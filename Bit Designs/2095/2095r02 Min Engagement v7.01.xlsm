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5\"/>
    </mc:Choice>
  </mc:AlternateContent>
  <xr:revisionPtr revIDLastSave="0" documentId="13_ncr:1_{D2198EC8-F8CA-4C82-865F-BB79E12AE35E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Assy.Model!$HK$2:$IF$55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11" i="1" l="1"/>
  <c r="BC14" i="4" a="1"/>
  <c r="BC14" i="4" s="1"/>
  <c r="K212" i="1" s="1"/>
  <c r="A25" i="10"/>
  <c r="A54" i="10"/>
  <c r="A55" i="10"/>
  <c r="A53" i="10"/>
  <c r="A52" i="10"/>
  <c r="A51" i="10"/>
  <c r="A49" i="10"/>
  <c r="A50" i="10"/>
  <c r="A47" i="10"/>
  <c r="A48" i="10"/>
  <c r="A46" i="10"/>
  <c r="A45" i="10"/>
  <c r="A44" i="10"/>
  <c r="A42" i="10"/>
  <c r="A43" i="10"/>
  <c r="A41" i="10"/>
  <c r="A39" i="10"/>
  <c r="A40" i="10"/>
  <c r="A38" i="10"/>
  <c r="A35" i="10"/>
  <c r="A34" i="10"/>
  <c r="A36" i="10"/>
  <c r="A37" i="10"/>
  <c r="A33" i="10"/>
  <c r="A32" i="10"/>
  <c r="A30" i="10"/>
  <c r="A31" i="10"/>
  <c r="A29" i="10"/>
  <c r="A28" i="10"/>
  <c r="A27" i="10"/>
  <c r="A26" i="10"/>
  <c r="A24" i="10"/>
  <c r="A23" i="10"/>
  <c r="A22" i="10"/>
  <c r="A20" i="10"/>
  <c r="A21" i="10"/>
  <c r="A18" i="10"/>
  <c r="A19" i="10"/>
  <c r="A17" i="10"/>
  <c r="A16" i="10"/>
  <c r="A15" i="10"/>
  <c r="A14" i="10"/>
  <c r="A13" i="10"/>
  <c r="A11" i="10"/>
  <c r="A10" i="10"/>
  <c r="A12" i="10"/>
  <c r="A9" i="10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AV24" i="4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W164" i="1" l="1"/>
  <c r="X183" i="1"/>
  <c r="P247" i="1"/>
  <c r="P246" i="1"/>
  <c r="U183" i="1" l="1"/>
  <c r="H28" i="1" s="1"/>
  <c r="K28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A28" i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JB28" i="7" l="1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AW9" i="1" s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S124" i="1"/>
  <c r="IR139" i="1"/>
  <c r="IT39" i="1"/>
  <c r="IY15" i="1"/>
  <c r="IY142" i="1"/>
  <c r="IY116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P60" i="1"/>
  <c r="IT109" i="1"/>
  <c r="IX132" i="1"/>
  <c r="IP142" i="1"/>
  <c r="IY72" i="1"/>
  <c r="IS149" i="1"/>
  <c r="IV125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IS138" i="1"/>
  <c r="IP115" i="1"/>
  <c r="IT67" i="1"/>
  <c r="IT64" i="1"/>
  <c r="IP15" i="1"/>
  <c r="IY109" i="1"/>
  <c r="IY65" i="1"/>
  <c r="IV144" i="1"/>
  <c r="IT122" i="1"/>
  <c r="IP119" i="1"/>
  <c r="IR144" i="1"/>
  <c r="IP13" i="1"/>
  <c r="IY149" i="1"/>
  <c r="IX147" i="1"/>
  <c r="IP95" i="1"/>
  <c r="IT25" i="1"/>
  <c r="IY97" i="1"/>
  <c r="IT125" i="1"/>
  <c r="IY125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R146" i="1"/>
  <c r="IY26" i="1"/>
  <c r="IV145" i="1"/>
  <c r="HF147" i="1"/>
  <c r="IX146" i="1"/>
  <c r="IS146" i="1"/>
  <c r="IY12" i="1"/>
  <c r="IT144" i="1"/>
  <c r="IU144" i="1" s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P40" i="1"/>
  <c r="IY51" i="1"/>
  <c r="IX133" i="1"/>
  <c r="IY32" i="1"/>
  <c r="IY98" i="1"/>
  <c r="IT100" i="1"/>
  <c r="IY120" i="1"/>
  <c r="IW141" i="1"/>
  <c r="IG141" i="1" s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Y46" i="1"/>
  <c r="IP62" i="1"/>
  <c r="IY78" i="1"/>
  <c r="JC9" i="1" a="1"/>
  <c r="JC9" i="1" s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U149" i="1" s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AV19" i="1"/>
  <c r="AV16" i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BG43" i="1" s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IS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BF43" i="1" s="1"/>
  <c r="BI43" i="1" s="1"/>
  <c r="Z36" i="1"/>
  <c r="AA35" i="1"/>
  <c r="O35" i="1"/>
  <c r="N31" i="1"/>
  <c r="O23" i="1"/>
  <c r="N23" i="1"/>
  <c r="P23" i="1"/>
  <c r="S23" i="1" s="1"/>
  <c r="Y23" i="1" s="1"/>
  <c r="IS12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P51" i="1"/>
  <c r="S51" i="1" s="1"/>
  <c r="Y51" i="1" s="1"/>
  <c r="O51" i="1"/>
  <c r="BG51" i="1" s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IS15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AV116" i="1"/>
  <c r="GE116" i="1" s="1"/>
  <c r="N271" i="7"/>
  <c r="N175" i="7"/>
  <c r="AV20" i="1"/>
  <c r="AV76" i="1"/>
  <c r="N231" i="7"/>
  <c r="AV60" i="1"/>
  <c r="N215" i="7"/>
  <c r="AV84" i="1"/>
  <c r="N239" i="7"/>
  <c r="N183" i="7"/>
  <c r="AV28" i="1"/>
  <c r="AV92" i="1"/>
  <c r="CS92" i="1" s="1"/>
  <c r="N247" i="7"/>
  <c r="N191" i="7"/>
  <c r="AV36" i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GW9" i="1" s="1"/>
  <c r="N164" i="7"/>
  <c r="AV18" i="1"/>
  <c r="GL18" i="1" s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FQ74" i="1" s="1"/>
  <c r="N229" i="7"/>
  <c r="AV82" i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BD10" i="1" s="1"/>
  <c r="N165" i="7"/>
  <c r="AV59" i="1"/>
  <c r="N214" i="7"/>
  <c r="AV67" i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BI25" i="1" s="1"/>
  <c r="P25" i="1"/>
  <c r="S25" i="1" s="1"/>
  <c r="Y25" i="1" s="1"/>
  <c r="IS14" i="1" s="1"/>
  <c r="Z25" i="1"/>
  <c r="O25" i="1"/>
  <c r="BG25" i="1" s="1"/>
  <c r="M172" i="7"/>
  <c r="AA17" i="1"/>
  <c r="P17" i="1"/>
  <c r="S17" i="1" s="1"/>
  <c r="Y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H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IS1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DD16" i="1"/>
  <c r="AZ16" i="1"/>
  <c r="GM16" i="1" s="1"/>
  <c r="DE16" i="1"/>
  <c r="GW16" i="1"/>
  <c r="DF16" i="1"/>
  <c r="BF16" i="1"/>
  <c r="BI16" i="1" s="1"/>
  <c r="BT16" i="1"/>
  <c r="GJ16" i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S13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I19" i="1" s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GV43" i="1" s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IW9" i="1" s="1"/>
  <c r="IG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IS1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I25" i="1" l="1"/>
  <c r="BH40" i="1"/>
  <c r="BH19" i="1"/>
  <c r="BH16" i="1"/>
  <c r="CD25" i="1"/>
  <c r="BD11" i="1"/>
  <c r="DH11" i="1" s="1"/>
  <c r="BH25" i="1"/>
  <c r="GV25" i="1"/>
  <c r="GU25" i="1" s="1"/>
  <c r="BH43" i="1"/>
  <c r="DK25" i="1"/>
  <c r="DJ51" i="1"/>
  <c r="DJ25" i="1"/>
  <c r="DI51" i="1"/>
  <c r="GV51" i="1"/>
  <c r="GU51" i="1" s="1"/>
  <c r="DK51" i="1"/>
  <c r="CD51" i="1"/>
  <c r="BI51" i="1"/>
  <c r="DK16" i="1"/>
  <c r="CD16" i="1"/>
  <c r="GV16" i="1"/>
  <c r="GX16" i="1" s="1"/>
  <c r="DI16" i="1"/>
  <c r="DJ16" i="1"/>
  <c r="GK16" i="1"/>
  <c r="DI19" i="1"/>
  <c r="DJ19" i="1"/>
  <c r="DK19" i="1"/>
  <c r="GV19" i="1"/>
  <c r="GX19" i="1" s="1"/>
  <c r="CD19" i="1"/>
  <c r="DK43" i="1"/>
  <c r="DI43" i="1"/>
  <c r="DJ43" i="1"/>
  <c r="CD43" i="1"/>
  <c r="GU43" i="1"/>
  <c r="GX4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BD118" i="1"/>
  <c r="FR86" i="1"/>
  <c r="CO13" i="1"/>
  <c r="EP118" i="1"/>
  <c r="CZ118" i="1"/>
  <c r="GB118" i="1"/>
  <c r="AE54" i="1"/>
  <c r="ET54" i="1" s="1"/>
  <c r="Q17" i="1"/>
  <c r="V11" i="1"/>
  <c r="CQ122" i="1"/>
  <c r="BG70" i="1"/>
  <c r="DB70" i="1"/>
  <c r="DC102" i="1"/>
  <c r="GM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IS2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AZ14" i="1"/>
  <c r="GM14" i="1" s="1"/>
  <c r="DE14" i="1"/>
  <c r="Q102" i="1"/>
  <c r="AD54" i="1"/>
  <c r="AE97" i="1"/>
  <c r="AC54" i="1"/>
  <c r="GW82" i="1"/>
  <c r="AZ96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X54" i="1" s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/>
  <c r="BI70" i="1"/>
  <c r="CV102" i="1"/>
  <c r="AZ70" i="1"/>
  <c r="DR102" i="1"/>
  <c r="GJ70" i="1"/>
  <c r="DD70" i="1"/>
  <c r="DI70" i="1"/>
  <c r="BE78" i="1"/>
  <c r="BW102" i="1"/>
  <c r="BJ70" i="1"/>
  <c r="BO70" i="1" s="1"/>
  <c r="CH70" i="1" s="1"/>
  <c r="BZ102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BK86" i="1"/>
  <c r="CL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BJ82" i="1"/>
  <c r="BO82" i="1" s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V45" i="1"/>
  <c r="BH60" i="1"/>
  <c r="Q43" i="1"/>
  <c r="BZ13" i="1"/>
  <c r="BS13" i="1"/>
  <c r="DE13" i="1"/>
  <c r="DD13" i="1"/>
  <c r="DD59" i="1"/>
  <c r="GL54" i="1"/>
  <c r="BF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W12" i="1" s="1"/>
  <c r="IG12" i="1" s="1"/>
  <c r="GG74" i="1"/>
  <c r="FX74" i="1"/>
  <c r="BG74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DW74" i="1"/>
  <c r="GX74" i="1"/>
  <c r="EE74" i="1"/>
  <c r="FB115" i="1"/>
  <c r="DO115" i="1"/>
  <c r="BN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BQ71" i="1" s="1"/>
  <c r="DF71" i="1"/>
  <c r="ES71" i="1"/>
  <c r="BH71" i="1"/>
  <c r="BN71" i="1" s="1"/>
  <c r="BP71" i="1" s="1"/>
  <c r="CF71" i="1" s="1"/>
  <c r="CL71" i="1" s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BP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S58" i="1"/>
  <c r="EK77" i="1"/>
  <c r="DO109" i="1"/>
  <c r="CC109" i="1"/>
  <c r="EF77" i="1"/>
  <c r="GG116" i="1"/>
  <c r="BY26" i="1"/>
  <c r="GL26" i="1"/>
  <c r="BD26" i="1"/>
  <c r="DH26" i="1" s="1"/>
  <c r="BF26" i="1"/>
  <c r="BI26" i="1" s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ET59" i="1" s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X21" i="1" s="1"/>
  <c r="IR1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X53" i="1" s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BP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EY72" i="1"/>
  <c r="DK72" i="1"/>
  <c r="DT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BN72" i="1"/>
  <c r="BP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CO55" i="1"/>
  <c r="BG55" i="1"/>
  <c r="DW73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F36" i="1"/>
  <c r="DB36" i="1"/>
  <c r="BY36" i="1"/>
  <c r="BZ36" i="1"/>
  <c r="DC36" i="1"/>
  <c r="BW36" i="1"/>
  <c r="BL36" i="1"/>
  <c r="AZ36" i="1"/>
  <c r="CO36" i="1"/>
  <c r="HI36" i="1"/>
  <c r="ES36" i="1"/>
  <c r="CI36" i="1"/>
  <c r="GJ52" i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BP112" i="1"/>
  <c r="GX112" i="1"/>
  <c r="BW70" i="1"/>
  <c r="ES70" i="1"/>
  <c r="DK70" i="1"/>
  <c r="CD70" i="1"/>
  <c r="BD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BQ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BR70" i="1"/>
  <c r="CJ70" i="1" s="1"/>
  <c r="CI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ET70" i="1"/>
  <c r="FK70" i="1" s="1"/>
  <c r="BK70" i="1"/>
  <c r="BP70" i="1" s="1"/>
  <c r="CF70" i="1" s="1"/>
  <c r="CL70" i="1" s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BZ84" i="1"/>
  <c r="BJ84" i="1"/>
  <c r="BO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GV71" i="1"/>
  <c r="FK71" i="1"/>
  <c r="Q69" i="1"/>
  <c r="DT68" i="1"/>
  <c r="GL68" i="1"/>
  <c r="GU68" i="1"/>
  <c r="DJ68" i="1"/>
  <c r="BT68" i="1"/>
  <c r="BN68" i="1"/>
  <c r="BP68" i="1" s="1"/>
  <c r="CF68" i="1" s="1"/>
  <c r="CL68" i="1" s="1"/>
  <c r="GX68" i="1"/>
  <c r="EU68" i="1"/>
  <c r="DF68" i="1"/>
  <c r="BK68" i="1"/>
  <c r="DH68" i="1"/>
  <c r="BV68" i="1"/>
  <c r="DI68" i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S2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K62" i="1" s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X14" i="1" s="1"/>
  <c r="IW14" i="1" s="1"/>
  <c r="IG14" i="1" s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AE51" i="1"/>
  <c r="ET51" i="1" s="1"/>
  <c r="R23" i="1"/>
  <c r="X23" i="1" s="1"/>
  <c r="IR12" i="1" s="1"/>
  <c r="AE12" i="1"/>
  <c r="ET12" i="1" s="1"/>
  <c r="AD45" i="1"/>
  <c r="AF45" i="1"/>
  <c r="R19" i="1"/>
  <c r="X19" i="1" s="1"/>
  <c r="IR9" i="1" s="1"/>
  <c r="AD32" i="1"/>
  <c r="AH32" i="1" s="1"/>
  <c r="BS28" i="1"/>
  <c r="DG28" i="1"/>
  <c r="BD20" i="1"/>
  <c r="DH20" i="1" s="1"/>
  <c r="AD12" i="1"/>
  <c r="AC51" i="1"/>
  <c r="AF18" i="1"/>
  <c r="EU18" i="1" s="1"/>
  <c r="EY18" i="1" s="1"/>
  <c r="AC45" i="1"/>
  <c r="AF32" i="1"/>
  <c r="EU32" i="1" s="1"/>
  <c r="EY32" i="1" s="1"/>
  <c r="AE32" i="1"/>
  <c r="ET32" i="1" s="1"/>
  <c r="BW28" i="1"/>
  <c r="BZ28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X11" i="1" s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X15" i="1" s="1"/>
  <c r="IW15" i="1" s="1"/>
  <c r="IG15" i="1" s="1"/>
  <c r="DF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Y81" i="1"/>
  <c r="GU81" i="1"/>
  <c r="DF81" i="1"/>
  <c r="GM81" i="1"/>
  <c r="GK81" i="1"/>
  <c r="DG81" i="1"/>
  <c r="GW81" i="1"/>
  <c r="HI81" i="1"/>
  <c r="FK81" i="1"/>
  <c r="GL81" i="1"/>
  <c r="AZ81" i="1"/>
  <c r="GJ81" i="1"/>
  <c r="GX81" i="1"/>
  <c r="DI81" i="1"/>
  <c r="DT81" i="1"/>
  <c r="BJ81" i="1"/>
  <c r="CD81" i="1"/>
  <c r="ES81" i="1"/>
  <c r="BZ81" i="1"/>
  <c r="DC81" i="1"/>
  <c r="ET81" i="1"/>
  <c r="BG81" i="1"/>
  <c r="CO81" i="1"/>
  <c r="DB81" i="1"/>
  <c r="DH81" i="1"/>
  <c r="BS81" i="1"/>
  <c r="DK81" i="1"/>
  <c r="BK81" i="1"/>
  <c r="BR81" i="1" s="1"/>
  <c r="BF81" i="1"/>
  <c r="BL81" i="1"/>
  <c r="EU81" i="1"/>
  <c r="BW81" i="1"/>
  <c r="BN81" i="1"/>
  <c r="BO81" i="1" s="1"/>
  <c r="BD81" i="1"/>
  <c r="BM81" i="1"/>
  <c r="BQ81" i="1" s="1"/>
  <c r="BT81" i="1"/>
  <c r="CI81" i="1"/>
  <c r="DD81" i="1"/>
  <c r="BI81" i="1"/>
  <c r="DJ81" i="1"/>
  <c r="BV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Q100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AZ63" i="1"/>
  <c r="GM63" i="1" s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BY81" i="1"/>
  <c r="DE81" i="1"/>
  <c r="BL80" i="1"/>
  <c r="DG80" i="1"/>
  <c r="BN80" i="1"/>
  <c r="BO80" i="1" s="1"/>
  <c r="CD80" i="1"/>
  <c r="DC80" i="1"/>
  <c r="BW80" i="1"/>
  <c r="DI80" i="1"/>
  <c r="BG80" i="1"/>
  <c r="GX80" i="1"/>
  <c r="BJ80" i="1"/>
  <c r="BR80" i="1" s="1"/>
  <c r="DD80" i="1"/>
  <c r="DT80" i="1"/>
  <c r="BY80" i="1"/>
  <c r="BV80" i="1"/>
  <c r="CO80" i="1"/>
  <c r="DF80" i="1"/>
  <c r="BI80" i="1"/>
  <c r="FK80" i="1"/>
  <c r="BZ80" i="1"/>
  <c r="EY80" i="1"/>
  <c r="ET80" i="1"/>
  <c r="BK80" i="1"/>
  <c r="GK80" i="1"/>
  <c r="BM80" i="1"/>
  <c r="BQ80" i="1" s="1"/>
  <c r="CG80" i="1" s="1"/>
  <c r="HI80" i="1"/>
  <c r="DE80" i="1"/>
  <c r="BH80" i="1"/>
  <c r="CI80" i="1"/>
  <c r="DJ80" i="1"/>
  <c r="GL80" i="1"/>
  <c r="EU80" i="1"/>
  <c r="AZ80" i="1"/>
  <c r="DB80" i="1"/>
  <c r="BD80" i="1"/>
  <c r="ES80" i="1"/>
  <c r="GU80" i="1"/>
  <c r="GV80" i="1"/>
  <c r="BT80" i="1"/>
  <c r="GW80" i="1"/>
  <c r="DH80" i="1"/>
  <c r="BF80" i="1"/>
  <c r="BS80" i="1"/>
  <c r="GJ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CM100" i="1"/>
  <c r="GM80" i="1"/>
  <c r="GV81" i="1"/>
  <c r="BQ75" i="1"/>
  <c r="DF66" i="1"/>
  <c r="DJ66" i="1" s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GK66" i="1" s="1"/>
  <c r="BZ66" i="1"/>
  <c r="HI66" i="1"/>
  <c r="GM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DG31" i="1"/>
  <c r="DK80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BP85" i="1" s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EY53" i="1" s="1"/>
  <c r="CI53" i="1"/>
  <c r="DG53" i="1"/>
  <c r="BG53" i="1"/>
  <c r="DF53" i="1"/>
  <c r="AZ53" i="1"/>
  <c r="GM53" i="1" s="1"/>
  <c r="CO53" i="1"/>
  <c r="ES53" i="1"/>
  <c r="BY53" i="1"/>
  <c r="BD53" i="1"/>
  <c r="DH53" i="1" s="1"/>
  <c r="BZ53" i="1"/>
  <c r="BF53" i="1"/>
  <c r="BI53" i="1" s="1"/>
  <c r="ET53" i="1"/>
  <c r="BS53" i="1"/>
  <c r="BH53" i="1"/>
  <c r="GW53" i="1"/>
  <c r="DD53" i="1"/>
  <c r="DC53" i="1"/>
  <c r="HI53" i="1"/>
  <c r="DB53" i="1"/>
  <c r="BV53" i="1"/>
  <c r="DE53" i="1"/>
  <c r="GJ53" i="1"/>
  <c r="GK53" i="1" s="1"/>
  <c r="GL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L17" i="1" s="1"/>
  <c r="BY17" i="1"/>
  <c r="BH17" i="1"/>
  <c r="CO17" i="1"/>
  <c r="BG17" i="1"/>
  <c r="ET17" i="1"/>
  <c r="HI17" i="1"/>
  <c r="BD17" i="1"/>
  <c r="DH17" i="1" s="1"/>
  <c r="DB17" i="1"/>
  <c r="BV17" i="1"/>
  <c r="EU17" i="1"/>
  <c r="EY17" i="1" s="1"/>
  <c r="BT17" i="1"/>
  <c r="BZ17" i="1"/>
  <c r="DD17" i="1"/>
  <c r="GJ17" i="1"/>
  <c r="GK17" i="1" s="1"/>
  <c r="GL17" i="1"/>
  <c r="DC17" i="1"/>
  <c r="ES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L82" i="1"/>
  <c r="BS82" i="1"/>
  <c r="CD82" i="1"/>
  <c r="BK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U59" i="1"/>
  <c r="GW59" i="1"/>
  <c r="BZ59" i="1"/>
  <c r="DG59" i="1"/>
  <c r="DK59" i="1" s="1"/>
  <c r="AZ59" i="1"/>
  <c r="GM59" i="1" s="1"/>
  <c r="GJ59" i="1"/>
  <c r="DF59" i="1"/>
  <c r="DB59" i="1"/>
  <c r="GL59" i="1"/>
  <c r="BW59" i="1"/>
  <c r="ES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BI59" i="1" s="1"/>
  <c r="DE59" i="1"/>
  <c r="DI59" i="1" s="1"/>
  <c r="GK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DK82" i="1"/>
  <c r="DB82" i="1"/>
  <c r="FK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BI60" i="1" s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GJ82" i="1"/>
  <c r="GV82" i="1"/>
  <c r="DT82" i="1"/>
  <c r="ES82" i="1"/>
  <c r="BW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GV64" i="1" s="1"/>
  <c r="BW64" i="1"/>
  <c r="CO64" i="1"/>
  <c r="DF64" i="1"/>
  <c r="GW64" i="1"/>
  <c r="DC64" i="1"/>
  <c r="BT64" i="1"/>
  <c r="GJ64" i="1"/>
  <c r="GK64" i="1" s="1"/>
  <c r="BV64" i="1"/>
  <c r="BZ64" i="1"/>
  <c r="BF64" i="1"/>
  <c r="BI64" i="1" s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X82" i="1"/>
  <c r="DC82" i="1"/>
  <c r="DD82" i="1"/>
  <c r="CO82" i="1"/>
  <c r="ET82" i="1"/>
  <c r="AZ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DJ69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I82" i="1"/>
  <c r="GK82" i="1"/>
  <c r="EY82" i="1"/>
  <c r="DF82" i="1"/>
  <c r="DH82" i="1"/>
  <c r="DI82" i="1"/>
  <c r="EU82" i="1"/>
  <c r="BD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DJ82" i="1"/>
  <c r="BM82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O69" i="1" s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DB60" i="1"/>
  <c r="EU60" i="1"/>
  <c r="EY60" i="1" s="1"/>
  <c r="AZ60" i="1"/>
  <c r="GM60" i="1" s="1"/>
  <c r="CI60" i="1"/>
  <c r="GW60" i="1"/>
  <c r="DD60" i="1"/>
  <c r="BD60" i="1"/>
  <c r="DG60" i="1"/>
  <c r="DF60" i="1"/>
  <c r="BG60" i="1"/>
  <c r="GL60" i="1"/>
  <c r="BY60" i="1"/>
  <c r="HI60" i="1"/>
  <c r="CO60" i="1"/>
  <c r="DC60" i="1"/>
  <c r="DJ60" i="1" s="1"/>
  <c r="BV60" i="1"/>
  <c r="DC14" i="1"/>
  <c r="DF14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M82" i="1"/>
  <c r="BF82" i="1"/>
  <c r="BI82" i="1"/>
  <c r="BN82" i="1"/>
  <c r="BP82" i="1" s="1"/>
  <c r="BZ82" i="1"/>
  <c r="BY14" i="1"/>
  <c r="HI14" i="1"/>
  <c r="DH111" i="1"/>
  <c r="DS111" i="1"/>
  <c r="DB111" i="1"/>
  <c r="DP111" i="1"/>
  <c r="FT111" i="1"/>
  <c r="CE111" i="1"/>
  <c r="EZ111" i="1"/>
  <c r="BV101" i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BW18" i="1"/>
  <c r="DB18" i="1"/>
  <c r="DE18" i="1"/>
  <c r="BF18" i="1"/>
  <c r="CI18" i="1"/>
  <c r="BY18" i="1"/>
  <c r="CO18" i="1"/>
  <c r="BZ18" i="1"/>
  <c r="HI18" i="1"/>
  <c r="GW18" i="1"/>
  <c r="GV18" i="1" s="1"/>
  <c r="DC18" i="1"/>
  <c r="DF18" i="1"/>
  <c r="DD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P83" i="1" s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BR83" i="1" s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DH10" i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BH42" i="1"/>
  <c r="GW42" i="1"/>
  <c r="GL42" i="1"/>
  <c r="BG42" i="1"/>
  <c r="DE42" i="1"/>
  <c r="DD42" i="1"/>
  <c r="BW42" i="1"/>
  <c r="CI42" i="1"/>
  <c r="BF42" i="1"/>
  <c r="BI42" i="1" s="1"/>
  <c r="HI42" i="1"/>
  <c r="DG42" i="1"/>
  <c r="BY42" i="1"/>
  <c r="DJ42" i="1"/>
  <c r="EU42" i="1"/>
  <c r="EY42" i="1" s="1"/>
  <c r="BT42" i="1"/>
  <c r="BZ42" i="1"/>
  <c r="CO42" i="1"/>
  <c r="ET42" i="1"/>
  <c r="AZ42" i="1"/>
  <c r="GM42" i="1" s="1"/>
  <c r="BD42" i="1"/>
  <c r="DH42" i="1" s="1"/>
  <c r="BV42" i="1"/>
  <c r="GJ42" i="1"/>
  <c r="GK42" i="1" s="1"/>
  <c r="ES42" i="1"/>
  <c r="BS42" i="1"/>
  <c r="BT9" i="1"/>
  <c r="GJ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DG15" i="1"/>
  <c r="BS15" i="1"/>
  <c r="BF15" i="1"/>
  <c r="BI15" i="1" s="1"/>
  <c r="BV15" i="1"/>
  <c r="CI15" i="1"/>
  <c r="BG15" i="1"/>
  <c r="DC15" i="1"/>
  <c r="CO15" i="1"/>
  <c r="GJ15" i="1"/>
  <c r="DD15" i="1"/>
  <c r="DF15" i="1"/>
  <c r="ET15" i="1"/>
  <c r="BD15" i="1"/>
  <c r="DH15" i="1" s="1"/>
  <c r="GW15" i="1"/>
  <c r="DB15" i="1"/>
  <c r="GL15" i="1"/>
  <c r="BW15" i="1"/>
  <c r="BT15" i="1"/>
  <c r="BH15" i="1"/>
  <c r="ES15" i="1"/>
  <c r="FK15" i="1" s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DI61" i="1" s="1"/>
  <c r="BT61" i="1"/>
  <c r="HI61" i="1"/>
  <c r="DB61" i="1"/>
  <c r="DG61" i="1"/>
  <c r="CO61" i="1"/>
  <c r="AZ61" i="1"/>
  <c r="GM61" i="1" s="1"/>
  <c r="BY61" i="1"/>
  <c r="GW68" i="1"/>
  <c r="GM68" i="1"/>
  <c r="BL68" i="1"/>
  <c r="FK68" i="1"/>
  <c r="BI68" i="1"/>
  <c r="HI68" i="1"/>
  <c r="EY68" i="1"/>
  <c r="AZ68" i="1"/>
  <c r="BJ68" i="1"/>
  <c r="BQ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M24" i="1" s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DI60" i="1" s="1"/>
  <c r="BT60" i="1"/>
  <c r="DH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D29" i="1"/>
  <c r="AE29" i="1"/>
  <c r="ET29" i="1" s="1"/>
  <c r="AF29" i="1"/>
  <c r="AD96" i="1"/>
  <c r="AH96" i="1" s="1"/>
  <c r="AF33" i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IR10" i="1" s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R17" i="1"/>
  <c r="X17" i="1" s="1"/>
  <c r="IW17" i="1" s="1"/>
  <c r="IG17" i="1" s="1"/>
  <c r="AC13" i="1"/>
  <c r="R13" i="1"/>
  <c r="X13" i="1" s="1"/>
  <c r="IW13" i="1" s="1"/>
  <c r="IG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EY63" i="1" s="1"/>
  <c r="Q55" i="1"/>
  <c r="R55" i="1"/>
  <c r="X55" i="1" s="1"/>
  <c r="IW55" i="1" s="1"/>
  <c r="IG55" i="1" s="1"/>
  <c r="R39" i="1"/>
  <c r="X39" i="1" s="1"/>
  <c r="Q39" i="1"/>
  <c r="AC33" i="1"/>
  <c r="R25" i="1"/>
  <c r="X25" i="1" s="1"/>
  <c r="R16" i="1"/>
  <c r="X16" i="1" s="1"/>
  <c r="IW16" i="1" s="1"/>
  <c r="IG16" i="1" s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EU66" i="1" s="1"/>
  <c r="EY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EY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EU50" i="1" s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ES18" i="1" l="1"/>
  <c r="BL18" i="1"/>
  <c r="EU15" i="1"/>
  <c r="EY15" i="1" s="1"/>
  <c r="DI42" i="1"/>
  <c r="FK42" i="1"/>
  <c r="GV42" i="1"/>
  <c r="GU42" i="1" s="1"/>
  <c r="CD60" i="1"/>
  <c r="DK60" i="1"/>
  <c r="DT60" i="1" s="1"/>
  <c r="DJ59" i="1"/>
  <c r="DT59" i="1" s="1"/>
  <c r="DI64" i="1"/>
  <c r="GV66" i="1"/>
  <c r="GU66" i="1" s="1"/>
  <c r="DJ62" i="1"/>
  <c r="BL67" i="1"/>
  <c r="CD66" i="1"/>
  <c r="DI66" i="1"/>
  <c r="BL66" i="1"/>
  <c r="DK66" i="1"/>
  <c r="DT66" i="1" s="1"/>
  <c r="BL61" i="1"/>
  <c r="GV61" i="1"/>
  <c r="GX61" i="1" s="1"/>
  <c r="FK60" i="1"/>
  <c r="GV62" i="1"/>
  <c r="GU62" i="1" s="1"/>
  <c r="GV60" i="1"/>
  <c r="GX60" i="1" s="1"/>
  <c r="CD61" i="1"/>
  <c r="DK61" i="1"/>
  <c r="DK33" i="1"/>
  <c r="DJ61" i="1"/>
  <c r="GU60" i="1"/>
  <c r="GU64" i="1"/>
  <c r="FK62" i="1"/>
  <c r="DK64" i="1"/>
  <c r="CD62" i="1"/>
  <c r="DI62" i="1"/>
  <c r="BI62" i="1"/>
  <c r="EU61" i="1"/>
  <c r="EY61" i="1" s="1"/>
  <c r="BL63" i="1"/>
  <c r="ES61" i="1"/>
  <c r="FK61" i="1" s="1"/>
  <c r="GX66" i="1"/>
  <c r="ES66" i="1"/>
  <c r="FK66" i="1" s="1"/>
  <c r="EU62" i="1"/>
  <c r="EY62" i="1" s="1"/>
  <c r="BL65" i="1"/>
  <c r="GV52" i="1"/>
  <c r="GX52" i="1" s="1"/>
  <c r="DK63" i="1"/>
  <c r="DK67" i="1"/>
  <c r="DI67" i="1"/>
  <c r="GV67" i="1"/>
  <c r="GX67" i="1" s="1"/>
  <c r="CD63" i="1"/>
  <c r="DJ63" i="1"/>
  <c r="DI63" i="1"/>
  <c r="GV63" i="1"/>
  <c r="GX63" i="1" s="1"/>
  <c r="BI63" i="1"/>
  <c r="DI65" i="1"/>
  <c r="GV65" i="1"/>
  <c r="GU65" i="1" s="1"/>
  <c r="CD67" i="1"/>
  <c r="DJ67" i="1"/>
  <c r="CD65" i="1"/>
  <c r="ES67" i="1"/>
  <c r="FK67" i="1" s="1"/>
  <c r="BI67" i="1"/>
  <c r="DJ52" i="1"/>
  <c r="DI52" i="1"/>
  <c r="DJ65" i="1"/>
  <c r="ES63" i="1"/>
  <c r="FK63" i="1" s="1"/>
  <c r="GK67" i="1"/>
  <c r="EU67" i="1"/>
  <c r="EY67" i="1" s="1"/>
  <c r="IW26" i="1"/>
  <c r="IG26" i="1" s="1"/>
  <c r="IR15" i="1"/>
  <c r="IW25" i="1"/>
  <c r="IG25" i="1" s="1"/>
  <c r="IR14" i="1"/>
  <c r="IW24" i="1"/>
  <c r="IG24" i="1" s="1"/>
  <c r="IR13" i="1"/>
  <c r="AQ11" i="1"/>
  <c r="IW11" i="1"/>
  <c r="IG11" i="1" s="1"/>
  <c r="AQ10" i="1"/>
  <c r="IW10" i="1"/>
  <c r="IG10" i="1" s="1"/>
  <c r="V10" i="1"/>
  <c r="IX10" i="1"/>
  <c r="IS24" i="1"/>
  <c r="IX9" i="1"/>
  <c r="DI35" i="1"/>
  <c r="DJ35" i="1"/>
  <c r="GV35" i="1"/>
  <c r="GU35" i="1" s="1"/>
  <c r="DK35" i="1"/>
  <c r="EU35" i="1"/>
  <c r="EY35" i="1" s="1"/>
  <c r="BL35" i="1"/>
  <c r="ES35" i="1"/>
  <c r="FK35" i="1" s="1"/>
  <c r="GV11" i="1"/>
  <c r="GU11" i="1" s="1"/>
  <c r="BL24" i="1"/>
  <c r="ES58" i="1"/>
  <c r="FK58" i="1" s="1"/>
  <c r="ES24" i="1"/>
  <c r="FK24" i="1" s="1"/>
  <c r="GX25" i="1"/>
  <c r="AH19" i="1"/>
  <c r="BL19" i="1" s="1"/>
  <c r="ES19" i="1"/>
  <c r="FK19" i="1" s="1"/>
  <c r="CG81" i="1"/>
  <c r="CG69" i="1"/>
  <c r="CJ83" i="1"/>
  <c r="CG70" i="1"/>
  <c r="CM70" i="1" s="1"/>
  <c r="CH84" i="1"/>
  <c r="CH82" i="1"/>
  <c r="BR68" i="1"/>
  <c r="CJ68" i="1" s="1"/>
  <c r="BO83" i="1"/>
  <c r="CH83" i="1" s="1"/>
  <c r="BR69" i="1"/>
  <c r="BR84" i="1"/>
  <c r="CJ84" i="1" s="1"/>
  <c r="BO68" i="1"/>
  <c r="CH68" i="1" s="1"/>
  <c r="BR82" i="1"/>
  <c r="BP69" i="1"/>
  <c r="CF69" i="1" s="1"/>
  <c r="CL69" i="1" s="1"/>
  <c r="BQ82" i="1"/>
  <c r="CG82" i="1" s="1"/>
  <c r="BR72" i="1"/>
  <c r="BO72" i="1"/>
  <c r="CH72" i="1" s="1"/>
  <c r="BP80" i="1"/>
  <c r="CF80" i="1" s="1"/>
  <c r="CL80" i="1" s="1"/>
  <c r="BQ83" i="1"/>
  <c r="CG83" i="1" s="1"/>
  <c r="BQ85" i="1"/>
  <c r="CG85" i="1" s="1"/>
  <c r="BO85" i="1"/>
  <c r="CH85" i="1" s="1"/>
  <c r="BP81" i="1"/>
  <c r="CF81" i="1" s="1"/>
  <c r="CL81" i="1" s="1"/>
  <c r="BQ84" i="1"/>
  <c r="CG84" i="1" s="1"/>
  <c r="BQ72" i="1"/>
  <c r="CF72" i="1" s="1"/>
  <c r="CL72" i="1" s="1"/>
  <c r="CG68" i="1"/>
  <c r="CJ80" i="1"/>
  <c r="BO71" i="1"/>
  <c r="CH71" i="1" s="1"/>
  <c r="BR71" i="1"/>
  <c r="CJ71" i="1" s="1"/>
  <c r="CM80" i="1"/>
  <c r="EY65" i="1"/>
  <c r="DJ64" i="1"/>
  <c r="DT64" i="1" s="1"/>
  <c r="ES64" i="1"/>
  <c r="FK64" i="1" s="1"/>
  <c r="DK42" i="1"/>
  <c r="ES65" i="1"/>
  <c r="FK65" i="1" s="1"/>
  <c r="CD64" i="1"/>
  <c r="ES41" i="1"/>
  <c r="FK41" i="1" s="1"/>
  <c r="GX64" i="1"/>
  <c r="EU41" i="1"/>
  <c r="EY41" i="1" s="1"/>
  <c r="BL64" i="1"/>
  <c r="AH54" i="1"/>
  <c r="ES54" i="1"/>
  <c r="FK54" i="1" s="1"/>
  <c r="DT25" i="1"/>
  <c r="BL54" i="1"/>
  <c r="DK52" i="1"/>
  <c r="AG44" i="1"/>
  <c r="BK44" i="1" s="1"/>
  <c r="AM33" i="1"/>
  <c r="EU33" i="1"/>
  <c r="EY33" i="1" s="1"/>
  <c r="AH16" i="1"/>
  <c r="BL16" i="1" s="1"/>
  <c r="ES16" i="1"/>
  <c r="FK16" i="1" s="1"/>
  <c r="CD42" i="1"/>
  <c r="BL42" i="1"/>
  <c r="ES34" i="1"/>
  <c r="FK34" i="1" s="1"/>
  <c r="AH25" i="1"/>
  <c r="BL25" i="1" s="1"/>
  <c r="ES25" i="1"/>
  <c r="FK25" i="1" s="1"/>
  <c r="AI16" i="1"/>
  <c r="EU16" i="1"/>
  <c r="EY16" i="1" s="1"/>
  <c r="BL59" i="1"/>
  <c r="GV59" i="1"/>
  <c r="AM43" i="1"/>
  <c r="EU43" i="1"/>
  <c r="EY43" i="1" s="1"/>
  <c r="EY59" i="1"/>
  <c r="EU34" i="1"/>
  <c r="EY34" i="1" s="1"/>
  <c r="AH33" i="1"/>
  <c r="BL33" i="1" s="1"/>
  <c r="ES33" i="1"/>
  <c r="FK33" i="1" s="1"/>
  <c r="AH52" i="1"/>
  <c r="BL52" i="1" s="1"/>
  <c r="ES52" i="1"/>
  <c r="FK52" i="1" s="1"/>
  <c r="ES50" i="1"/>
  <c r="FK50" i="1" s="1"/>
  <c r="CD59" i="1"/>
  <c r="BL34" i="1"/>
  <c r="FK59" i="1"/>
  <c r="GK52" i="1"/>
  <c r="CD52" i="1"/>
  <c r="ES26" i="1"/>
  <c r="FK26" i="1" s="1"/>
  <c r="AH43" i="1"/>
  <c r="BL43" i="1" s="1"/>
  <c r="ES43" i="1"/>
  <c r="FK43" i="1" s="1"/>
  <c r="EU26" i="1"/>
  <c r="EY26" i="1" s="1"/>
  <c r="CD35" i="1"/>
  <c r="AI51" i="1"/>
  <c r="EU51" i="1"/>
  <c r="EY51" i="1" s="1"/>
  <c r="BI52" i="1"/>
  <c r="AH51" i="1"/>
  <c r="BL51" i="1" s="1"/>
  <c r="ES51" i="1"/>
  <c r="FK51" i="1" s="1"/>
  <c r="EU52" i="1"/>
  <c r="EU36" i="1"/>
  <c r="EY36" i="1" s="1"/>
  <c r="DK34" i="1"/>
  <c r="DI34" i="1"/>
  <c r="DJ18" i="1"/>
  <c r="DK18" i="1"/>
  <c r="DI18" i="1"/>
  <c r="CD18" i="1"/>
  <c r="FK18" i="1"/>
  <c r="BI34" i="1"/>
  <c r="GX18" i="1"/>
  <c r="GU18" i="1"/>
  <c r="BI18" i="1"/>
  <c r="DK58" i="1"/>
  <c r="DJ41" i="1"/>
  <c r="DI58" i="1"/>
  <c r="DT51" i="1"/>
  <c r="DJ34" i="1"/>
  <c r="GV34" i="1"/>
  <c r="GX34" i="1" s="1"/>
  <c r="CD34" i="1"/>
  <c r="BL50" i="1"/>
  <c r="DK54" i="1"/>
  <c r="DI41" i="1"/>
  <c r="CD41" i="1"/>
  <c r="GV41" i="1"/>
  <c r="GU41" i="1" s="1"/>
  <c r="DK41" i="1"/>
  <c r="BI41" i="1"/>
  <c r="GX51" i="1"/>
  <c r="BL41" i="1"/>
  <c r="DI17" i="1"/>
  <c r="DK17" i="1"/>
  <c r="GV17" i="1"/>
  <c r="GX17" i="1" s="1"/>
  <c r="DJ58" i="1"/>
  <c r="DJ17" i="1"/>
  <c r="CD17" i="1"/>
  <c r="BI17" i="1"/>
  <c r="FK17" i="1"/>
  <c r="GM17" i="1"/>
  <c r="GV58" i="1"/>
  <c r="GX58" i="1" s="1"/>
  <c r="GV33" i="1"/>
  <c r="GX33" i="1" s="1"/>
  <c r="BL58" i="1"/>
  <c r="BI58" i="1"/>
  <c r="CD58" i="1"/>
  <c r="DJ33" i="1"/>
  <c r="DI33" i="1"/>
  <c r="GU16" i="1"/>
  <c r="CD33" i="1"/>
  <c r="GV24" i="1"/>
  <c r="GX24" i="1" s="1"/>
  <c r="BI24" i="1"/>
  <c r="DJ24" i="1"/>
  <c r="DI24" i="1"/>
  <c r="DK24" i="1"/>
  <c r="CD24" i="1"/>
  <c r="DI50" i="1"/>
  <c r="DJ50" i="1"/>
  <c r="DK50" i="1"/>
  <c r="CD50" i="1"/>
  <c r="GV50" i="1"/>
  <c r="GX50" i="1" s="1"/>
  <c r="EY50" i="1"/>
  <c r="DT16" i="1"/>
  <c r="DJ54" i="1"/>
  <c r="GV36" i="1"/>
  <c r="GX36" i="1" s="1"/>
  <c r="GV15" i="1"/>
  <c r="GX15" i="1" s="1"/>
  <c r="DJ15" i="1"/>
  <c r="DI15" i="1"/>
  <c r="CD15" i="1"/>
  <c r="BL15" i="1"/>
  <c r="DK15" i="1"/>
  <c r="GK15" i="1"/>
  <c r="GM15" i="1"/>
  <c r="FK36" i="1"/>
  <c r="BL53" i="1"/>
  <c r="DI54" i="1"/>
  <c r="GV54" i="1"/>
  <c r="GU54" i="1" s="1"/>
  <c r="DI36" i="1"/>
  <c r="CD54" i="1"/>
  <c r="EY54" i="1"/>
  <c r="BI54" i="1"/>
  <c r="DJ36" i="1"/>
  <c r="CD36" i="1"/>
  <c r="DK36" i="1"/>
  <c r="GM36" i="1"/>
  <c r="GV53" i="1"/>
  <c r="GX53" i="1" s="1"/>
  <c r="CD53" i="1"/>
  <c r="DJ53" i="1"/>
  <c r="DK53" i="1"/>
  <c r="FK53" i="1"/>
  <c r="DI53" i="1"/>
  <c r="DT19" i="1"/>
  <c r="GU19" i="1"/>
  <c r="DK26" i="1"/>
  <c r="DT43" i="1"/>
  <c r="GV26" i="1"/>
  <c r="GX26" i="1" s="1"/>
  <c r="GK26" i="1"/>
  <c r="BL26" i="1"/>
  <c r="CD26" i="1"/>
  <c r="DI26" i="1"/>
  <c r="DJ26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BN15" i="1" s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J62" i="1" s="1"/>
  <c r="AI18" i="1"/>
  <c r="AG18" i="1"/>
  <c r="BK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K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BK17" i="1" s="1"/>
  <c r="AG42" i="1"/>
  <c r="AJ11" i="1"/>
  <c r="AI37" i="1"/>
  <c r="AG59" i="1"/>
  <c r="AG37" i="1"/>
  <c r="AJ10" i="1"/>
  <c r="AI23" i="1"/>
  <c r="AI36" i="1"/>
  <c r="AG26" i="1"/>
  <c r="BK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BK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M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K52" i="1" s="1"/>
  <c r="AM96" i="1"/>
  <c r="AG96" i="1"/>
  <c r="AG41" i="1"/>
  <c r="BM41" i="1" s="1"/>
  <c r="AM16" i="1"/>
  <c r="AJ123" i="1"/>
  <c r="AJ120" i="1"/>
  <c r="AI67" i="1"/>
  <c r="AJ13" i="1"/>
  <c r="AG67" i="1"/>
  <c r="BM67" i="1" s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N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BJ66" i="1" s="1"/>
  <c r="AG65" i="1"/>
  <c r="AI65" i="1"/>
  <c r="AM65" i="1"/>
  <c r="AI64" i="1"/>
  <c r="AG64" i="1"/>
  <c r="BK64" i="1" s="1"/>
  <c r="AM64" i="1"/>
  <c r="AJ64" i="1"/>
  <c r="AJ58" i="1"/>
  <c r="AG58" i="1"/>
  <c r="BM58" i="1" s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J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J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DT42" i="1" l="1"/>
  <c r="GX42" i="1"/>
  <c r="BJ44" i="1"/>
  <c r="BR44" i="1" s="1"/>
  <c r="GX62" i="1"/>
  <c r="BJ58" i="1"/>
  <c r="GU61" i="1"/>
  <c r="DT61" i="1"/>
  <c r="DT62" i="1"/>
  <c r="BK67" i="1"/>
  <c r="BK60" i="1"/>
  <c r="BN60" i="1"/>
  <c r="BM60" i="1"/>
  <c r="BQ60" i="1" s="1"/>
  <c r="BJ61" i="1"/>
  <c r="BM61" i="1"/>
  <c r="BK61" i="1"/>
  <c r="BP61" i="1" s="1"/>
  <c r="BM66" i="1"/>
  <c r="BQ66" i="1" s="1"/>
  <c r="BM62" i="1"/>
  <c r="BQ62" i="1" s="1"/>
  <c r="BN62" i="1"/>
  <c r="BN66" i="1"/>
  <c r="BK66" i="1"/>
  <c r="BK62" i="1"/>
  <c r="GU52" i="1"/>
  <c r="GU33" i="1"/>
  <c r="DT63" i="1"/>
  <c r="DT65" i="1"/>
  <c r="DT67" i="1"/>
  <c r="GU67" i="1"/>
  <c r="GU63" i="1"/>
  <c r="GX65" i="1"/>
  <c r="DT52" i="1"/>
  <c r="BJ63" i="1"/>
  <c r="BM63" i="1"/>
  <c r="BN63" i="1"/>
  <c r="BP63" i="1" s="1"/>
  <c r="BJ67" i="1"/>
  <c r="BN67" i="1"/>
  <c r="GX11" i="1"/>
  <c r="GX35" i="1"/>
  <c r="DT35" i="1"/>
  <c r="BK58" i="1"/>
  <c r="BN58" i="1"/>
  <c r="BK24" i="1"/>
  <c r="BJ19" i="1"/>
  <c r="BK19" i="1"/>
  <c r="BM19" i="1"/>
  <c r="BN19" i="1"/>
  <c r="BN24" i="1"/>
  <c r="BM24" i="1"/>
  <c r="BQ24" i="1" s="1"/>
  <c r="CJ72" i="1"/>
  <c r="CF85" i="1"/>
  <c r="CL85" i="1" s="1"/>
  <c r="CF83" i="1"/>
  <c r="CL83" i="1" s="1"/>
  <c r="CM83" i="1"/>
  <c r="CJ69" i="1"/>
  <c r="CF84" i="1"/>
  <c r="CL84" i="1" s="1"/>
  <c r="CH80" i="1"/>
  <c r="CJ85" i="1"/>
  <c r="CG72" i="1"/>
  <c r="CM68" i="1"/>
  <c r="CM84" i="1"/>
  <c r="CG71" i="1"/>
  <c r="CM71" i="1" s="1"/>
  <c r="CJ82" i="1"/>
  <c r="CH81" i="1"/>
  <c r="CH69" i="1"/>
  <c r="CF82" i="1"/>
  <c r="CL82" i="1" s="1"/>
  <c r="CJ81" i="1"/>
  <c r="BJ65" i="1"/>
  <c r="BK65" i="1"/>
  <c r="BM65" i="1"/>
  <c r="BN65" i="1"/>
  <c r="BK41" i="1"/>
  <c r="BA35" i="1"/>
  <c r="GN35" i="1" s="1"/>
  <c r="BA70" i="1"/>
  <c r="GN70" i="1" s="1"/>
  <c r="BA71" i="1"/>
  <c r="GN71" i="1" s="1"/>
  <c r="BA67" i="1"/>
  <c r="GN67" i="1" s="1"/>
  <c r="BA72" i="1"/>
  <c r="GN72" i="1" s="1"/>
  <c r="BA66" i="1"/>
  <c r="GN66" i="1" s="1"/>
  <c r="BA80" i="1"/>
  <c r="GN80" i="1" s="1"/>
  <c r="BA68" i="1"/>
  <c r="GN68" i="1" s="1"/>
  <c r="BA85" i="1"/>
  <c r="GN85" i="1" s="1"/>
  <c r="BA84" i="1"/>
  <c r="GN84" i="1" s="1"/>
  <c r="BA81" i="1"/>
  <c r="GN81" i="1" s="1"/>
  <c r="BA83" i="1"/>
  <c r="GN83" i="1" s="1"/>
  <c r="BA69" i="1"/>
  <c r="GN69" i="1" s="1"/>
  <c r="BA82" i="1"/>
  <c r="GN82" i="1" s="1"/>
  <c r="BJ41" i="1"/>
  <c r="BJ64" i="1"/>
  <c r="BN64" i="1"/>
  <c r="BP64" i="1" s="1"/>
  <c r="BN41" i="1"/>
  <c r="BN25" i="1"/>
  <c r="BA65" i="1"/>
  <c r="GN65" i="1" s="1"/>
  <c r="BM64" i="1"/>
  <c r="BJ26" i="1"/>
  <c r="BJ36" i="1"/>
  <c r="BJ18" i="1"/>
  <c r="BN53" i="1"/>
  <c r="BN17" i="1"/>
  <c r="GU59" i="1"/>
  <c r="GX59" i="1"/>
  <c r="BN43" i="1"/>
  <c r="BM43" i="1"/>
  <c r="BJ43" i="1"/>
  <c r="BJ35" i="1"/>
  <c r="BN35" i="1"/>
  <c r="BP35" i="1" s="1"/>
  <c r="BM35" i="1"/>
  <c r="BJ15" i="1"/>
  <c r="BN18" i="1"/>
  <c r="BP18" i="1" s="1"/>
  <c r="BN34" i="1"/>
  <c r="BM51" i="1"/>
  <c r="BN51" i="1"/>
  <c r="BK51" i="1"/>
  <c r="BJ51" i="1"/>
  <c r="BN26" i="1"/>
  <c r="BK33" i="1"/>
  <c r="BM17" i="1"/>
  <c r="EY52" i="1"/>
  <c r="BM26" i="1"/>
  <c r="BQ26" i="1" s="1"/>
  <c r="BJ17" i="1"/>
  <c r="BM36" i="1"/>
  <c r="BM52" i="1"/>
  <c r="BM18" i="1"/>
  <c r="BK59" i="1"/>
  <c r="BN59" i="1"/>
  <c r="BJ59" i="1"/>
  <c r="BJ54" i="1"/>
  <c r="BQ54" i="1" s="1"/>
  <c r="BM50" i="1"/>
  <c r="BM33" i="1"/>
  <c r="BQ33" i="1" s="1"/>
  <c r="BN33" i="1"/>
  <c r="BN54" i="1"/>
  <c r="BJ52" i="1"/>
  <c r="BN36" i="1"/>
  <c r="BP36" i="1" s="1"/>
  <c r="BK50" i="1"/>
  <c r="BK54" i="1"/>
  <c r="BP54" i="1" s="1"/>
  <c r="BM59" i="1"/>
  <c r="BM15" i="1"/>
  <c r="BN52" i="1"/>
  <c r="BP52" i="1" s="1"/>
  <c r="BA62" i="1"/>
  <c r="GN62" i="1" s="1"/>
  <c r="BA59" i="1"/>
  <c r="GN59" i="1" s="1"/>
  <c r="BA52" i="1"/>
  <c r="GN52" i="1" s="1"/>
  <c r="BA42" i="1"/>
  <c r="GN42" i="1" s="1"/>
  <c r="BA61" i="1"/>
  <c r="GN61" i="1" s="1"/>
  <c r="BA63" i="1"/>
  <c r="GN63" i="1" s="1"/>
  <c r="BA64" i="1"/>
  <c r="GN64" i="1" s="1"/>
  <c r="BA60" i="1"/>
  <c r="GN60" i="1" s="1"/>
  <c r="BM42" i="1"/>
  <c r="BK42" i="1"/>
  <c r="BJ42" i="1"/>
  <c r="BN42" i="1"/>
  <c r="BK53" i="1"/>
  <c r="BJ53" i="1"/>
  <c r="BJ34" i="1"/>
  <c r="BQ34" i="1" s="1"/>
  <c r="BK34" i="1"/>
  <c r="BK43" i="1"/>
  <c r="BM25" i="1"/>
  <c r="BK25" i="1"/>
  <c r="BJ25" i="1"/>
  <c r="BN16" i="1"/>
  <c r="BM16" i="1"/>
  <c r="BK16" i="1"/>
  <c r="BJ16" i="1"/>
  <c r="GX13" i="1"/>
  <c r="GU13" i="1"/>
  <c r="BK15" i="1"/>
  <c r="BP15" i="1" s="1"/>
  <c r="BN50" i="1"/>
  <c r="BP50" i="1" s="1"/>
  <c r="DT34" i="1"/>
  <c r="DT18" i="1"/>
  <c r="BA41" i="1"/>
  <c r="GN41" i="1" s="1"/>
  <c r="BA25" i="1"/>
  <c r="GN25" i="1" s="1"/>
  <c r="DT58" i="1"/>
  <c r="GU34" i="1"/>
  <c r="DT41" i="1"/>
  <c r="BA18" i="1"/>
  <c r="GN18" i="1" s="1"/>
  <c r="BA34" i="1"/>
  <c r="GN34" i="1" s="1"/>
  <c r="BQ41" i="1"/>
  <c r="GX41" i="1"/>
  <c r="BA58" i="1"/>
  <c r="GN58" i="1" s="1"/>
  <c r="BA51" i="1"/>
  <c r="GN51" i="1" s="1"/>
  <c r="GU17" i="1"/>
  <c r="DT17" i="1"/>
  <c r="BA17" i="1"/>
  <c r="GN17" i="1" s="1"/>
  <c r="DT33" i="1"/>
  <c r="GU58" i="1"/>
  <c r="BQ58" i="1"/>
  <c r="DT24" i="1"/>
  <c r="BA50" i="1"/>
  <c r="GN50" i="1" s="1"/>
  <c r="BA33" i="1"/>
  <c r="GN33" i="1" s="1"/>
  <c r="GU24" i="1"/>
  <c r="BA24" i="1"/>
  <c r="GN24" i="1" s="1"/>
  <c r="DT50" i="1"/>
  <c r="GU50" i="1"/>
  <c r="DT54" i="1"/>
  <c r="GU36" i="1"/>
  <c r="BA15" i="1"/>
  <c r="GN15" i="1" s="1"/>
  <c r="BA16" i="1"/>
  <c r="GN16" i="1" s="1"/>
  <c r="GU56" i="1"/>
  <c r="GU15" i="1"/>
  <c r="DT15" i="1"/>
  <c r="BQ53" i="1"/>
  <c r="FK21" i="1"/>
  <c r="GX54" i="1"/>
  <c r="BA53" i="1"/>
  <c r="GN53" i="1" s="1"/>
  <c r="BA54" i="1"/>
  <c r="GN54" i="1" s="1"/>
  <c r="GU53" i="1"/>
  <c r="DT36" i="1"/>
  <c r="BA36" i="1"/>
  <c r="GN36" i="1" s="1"/>
  <c r="DT53" i="1"/>
  <c r="BA26" i="1"/>
  <c r="GN26" i="1" s="1"/>
  <c r="BA19" i="1"/>
  <c r="GN19" i="1" s="1"/>
  <c r="DT26" i="1"/>
  <c r="GU26" i="1"/>
  <c r="BA46" i="1"/>
  <c r="GN46" i="1" s="1"/>
  <c r="BA43" i="1"/>
  <c r="GN43" i="1" s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HX10" i="1" s="1"/>
  <c r="GU20" i="1"/>
  <c r="GU28" i="1"/>
  <c r="DT2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Q17" i="1" l="1"/>
  <c r="BQ15" i="1"/>
  <c r="BP42" i="1"/>
  <c r="BP19" i="1"/>
  <c r="BR18" i="1"/>
  <c r="BP41" i="1"/>
  <c r="BR54" i="1"/>
  <c r="BR58" i="1"/>
  <c r="BP67" i="1"/>
  <c r="BQ36" i="1"/>
  <c r="BP34" i="1"/>
  <c r="BO60" i="1"/>
  <c r="BP60" i="1"/>
  <c r="BR60" i="1"/>
  <c r="BQ61" i="1"/>
  <c r="BO61" i="1"/>
  <c r="BR61" i="1"/>
  <c r="BR66" i="1"/>
  <c r="BP66" i="1"/>
  <c r="BR62" i="1"/>
  <c r="BP62" i="1"/>
  <c r="BO66" i="1"/>
  <c r="BO62" i="1"/>
  <c r="BR33" i="1"/>
  <c r="BP33" i="1"/>
  <c r="BP51" i="1"/>
  <c r="BO67" i="1"/>
  <c r="BR67" i="1"/>
  <c r="BQ67" i="1"/>
  <c r="BP65" i="1"/>
  <c r="BR63" i="1"/>
  <c r="BQ63" i="1"/>
  <c r="BO63" i="1"/>
  <c r="BO50" i="1"/>
  <c r="BR26" i="1"/>
  <c r="BP24" i="1"/>
  <c r="BO24" i="1"/>
  <c r="BO26" i="1"/>
  <c r="BR24" i="1"/>
  <c r="BO58" i="1"/>
  <c r="BR34" i="1"/>
  <c r="BR50" i="1"/>
  <c r="BO33" i="1"/>
  <c r="BP58" i="1"/>
  <c r="BO34" i="1"/>
  <c r="BO36" i="1"/>
  <c r="BQ50" i="1"/>
  <c r="BO15" i="1"/>
  <c r="BO19" i="1"/>
  <c r="BR19" i="1"/>
  <c r="BQ19" i="1"/>
  <c r="BR17" i="1"/>
  <c r="BP26" i="1"/>
  <c r="BR36" i="1"/>
  <c r="BP53" i="1"/>
  <c r="BR41" i="1"/>
  <c r="CM85" i="1"/>
  <c r="CM72" i="1"/>
  <c r="CM81" i="1"/>
  <c r="CM82" i="1"/>
  <c r="CM69" i="1"/>
  <c r="BR15" i="1"/>
  <c r="BO17" i="1"/>
  <c r="BP17" i="1"/>
  <c r="BO41" i="1"/>
  <c r="BO54" i="1"/>
  <c r="BO18" i="1"/>
  <c r="BQ18" i="1"/>
  <c r="BP25" i="1"/>
  <c r="BR53" i="1"/>
  <c r="BR64" i="1"/>
  <c r="BO64" i="1"/>
  <c r="BQ64" i="1"/>
  <c r="BO65" i="1"/>
  <c r="BR65" i="1"/>
  <c r="BQ65" i="1"/>
  <c r="BO53" i="1"/>
  <c r="BQ25" i="1"/>
  <c r="BR25" i="1"/>
  <c r="BO25" i="1"/>
  <c r="BO59" i="1"/>
  <c r="BQ59" i="1"/>
  <c r="BR59" i="1"/>
  <c r="BO51" i="1"/>
  <c r="BR51" i="1"/>
  <c r="BQ51" i="1"/>
  <c r="BO35" i="1"/>
  <c r="BQ35" i="1"/>
  <c r="BR35" i="1"/>
  <c r="BP59" i="1"/>
  <c r="BO43" i="1"/>
  <c r="BQ43" i="1"/>
  <c r="BR43" i="1"/>
  <c r="BR42" i="1"/>
  <c r="BO42" i="1"/>
  <c r="BQ42" i="1"/>
  <c r="BO52" i="1"/>
  <c r="BR52" i="1"/>
  <c r="BQ52" i="1"/>
  <c r="BP43" i="1"/>
  <c r="BO16" i="1"/>
  <c r="BR16" i="1"/>
  <c r="BQ16" i="1"/>
  <c r="GX2" i="1"/>
  <c r="BP16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14" i="1" s="1"/>
  <c r="W26" i="1"/>
  <c r="W23" i="1"/>
  <c r="IN12" i="1" s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5" i="1" l="1"/>
  <c r="IN13" i="1"/>
  <c r="IN11" i="1"/>
  <c r="IN10" i="1"/>
  <c r="IN9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Z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IV12" i="1" s="1"/>
  <c r="AL22" i="1"/>
  <c r="AN22" i="1" s="1"/>
  <c r="U22" i="1"/>
  <c r="AK22" i="1"/>
  <c r="T22" i="1"/>
  <c r="AK21" i="1"/>
  <c r="AO21" i="1" s="1"/>
  <c r="IU11" i="1" s="1"/>
  <c r="T21" i="1"/>
  <c r="AL21" i="1"/>
  <c r="AN21" i="1" s="1"/>
  <c r="IV1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JA15" i="1" s="1"/>
  <c r="U15" i="1"/>
  <c r="AK14" i="1"/>
  <c r="U14" i="1"/>
  <c r="AL14" i="1"/>
  <c r="AN14" i="1" s="1"/>
  <c r="JA14" i="1" s="1"/>
  <c r="T14" i="1"/>
  <c r="AK13" i="1"/>
  <c r="U13" i="1"/>
  <c r="AL13" i="1"/>
  <c r="AN13" i="1" s="1"/>
  <c r="JA13" i="1" s="1"/>
  <c r="AK12" i="1"/>
  <c r="U12" i="1"/>
  <c r="AL12" i="1"/>
  <c r="AN12" i="1" s="1"/>
  <c r="JA12" i="1" s="1"/>
  <c r="AL11" i="1"/>
  <c r="AN11" i="1" s="1"/>
  <c r="JA11" i="1" s="1"/>
  <c r="T11" i="1"/>
  <c r="U11" i="1"/>
  <c r="AL10" i="1"/>
  <c r="T10" i="1"/>
  <c r="U10" i="1"/>
  <c r="AL9" i="1"/>
  <c r="AN9" i="1" s="1"/>
  <c r="JA9" i="1" s="1"/>
  <c r="U9" i="1"/>
  <c r="T9" i="1"/>
  <c r="AK9" i="1"/>
  <c r="DH3" i="7"/>
  <c r="DE3" i="7"/>
  <c r="DI3" i="7"/>
  <c r="DG3" i="7"/>
  <c r="DF3" i="7"/>
  <c r="IH11" i="1" l="1"/>
  <c r="JA26" i="1"/>
  <c r="IV15" i="1"/>
  <c r="JA25" i="1"/>
  <c r="IV14" i="1"/>
  <c r="IZ25" i="1"/>
  <c r="IU14" i="1"/>
  <c r="JA24" i="1"/>
  <c r="IV13" i="1"/>
  <c r="JA20" i="1"/>
  <c r="IV10" i="1"/>
  <c r="JA19" i="1"/>
  <c r="IV9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IU12" i="1" s="1"/>
  <c r="AP23" i="1"/>
  <c r="AP21" i="1"/>
  <c r="AO22" i="1"/>
  <c r="AP22" i="1"/>
  <c r="AO19" i="1"/>
  <c r="AP19" i="1"/>
  <c r="AP20" i="1"/>
  <c r="AO20" i="1"/>
  <c r="AO17" i="1"/>
  <c r="IZ17" i="1" s="1"/>
  <c r="IH17" i="1" s="1"/>
  <c r="AP17" i="1"/>
  <c r="AO18" i="1"/>
  <c r="AP15" i="1"/>
  <c r="AO15" i="1"/>
  <c r="IZ15" i="1" s="1"/>
  <c r="IH15" i="1" s="1"/>
  <c r="AO16" i="1"/>
  <c r="AP16" i="1"/>
  <c r="AO13" i="1"/>
  <c r="IZ13" i="1" s="1"/>
  <c r="IH13" i="1" s="1"/>
  <c r="AP13" i="1"/>
  <c r="AO14" i="1"/>
  <c r="IZ14" i="1" s="1"/>
  <c r="IH14" i="1" s="1"/>
  <c r="AP14" i="1"/>
  <c r="AP11" i="1"/>
  <c r="AO12" i="1"/>
  <c r="IZ12" i="1" s="1"/>
  <c r="IH12" i="1" s="1"/>
  <c r="AP12" i="1"/>
  <c r="AO10" i="1"/>
  <c r="IZ10" i="1" s="1"/>
  <c r="AP10" i="1"/>
  <c r="AN10" i="1"/>
  <c r="IV20" i="1" s="1"/>
  <c r="AO9" i="1"/>
  <c r="AP9" i="1"/>
  <c r="IV62" i="1" l="1"/>
  <c r="IZ26" i="1"/>
  <c r="IH26" i="1" s="1"/>
  <c r="IU15" i="1"/>
  <c r="IH25" i="1"/>
  <c r="IZ24" i="1"/>
  <c r="IH24" i="1" s="1"/>
  <c r="IU13" i="1"/>
  <c r="IZ20" i="1"/>
  <c r="IH20" i="1" s="1"/>
  <c r="IU10" i="1"/>
  <c r="IV43" i="1"/>
  <c r="JA10" i="1"/>
  <c r="IH10" i="1" s="1"/>
  <c r="HN9" i="1"/>
  <c r="IZ9" i="1"/>
  <c r="IH9" i="1" s="1"/>
  <c r="IZ19" i="1"/>
  <c r="IH19" i="1" s="1"/>
  <c r="IU9" i="1"/>
  <c r="HN15" i="1"/>
  <c r="HN14" i="1"/>
  <c r="HN12" i="1"/>
  <c r="IV61" i="1"/>
  <c r="IV54" i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B9" i="1"/>
  <c r="CG9" i="1" s="1"/>
  <c r="CE9" i="1"/>
  <c r="CJ9" i="1" s="1"/>
  <c r="HK16" i="1"/>
  <c r="HS17" i="1" s="1"/>
  <c r="HL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F9" i="1" l="1"/>
  <c r="CL9" i="1" s="1"/>
  <c r="CK9" i="1"/>
  <c r="HW17" i="1"/>
  <c r="CA12" i="1"/>
  <c r="BX12" i="1"/>
  <c r="BU12" i="1"/>
  <c r="AT14" i="1"/>
  <c r="BB14" i="1" s="1"/>
  <c r="BE14" i="1" s="1"/>
  <c r="BU14" i="1" s="1"/>
  <c r="CH9" i="1"/>
  <c r="CM9" i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A15" i="1" l="1"/>
  <c r="BU15" i="1"/>
  <c r="BX15" i="1"/>
  <c r="BX14" i="1"/>
  <c r="CA14" i="1"/>
  <c r="CC12" i="1"/>
  <c r="CB12" i="1"/>
  <c r="CG12" i="1" s="1"/>
  <c r="CE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J11" i="1"/>
  <c r="CH11" i="1"/>
  <c r="CF11" i="1"/>
  <c r="CL11" i="1" s="1"/>
  <c r="CK11" i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E15" i="1"/>
  <c r="CC15" i="1"/>
  <c r="CC14" i="1"/>
  <c r="CF14" i="1" s="1"/>
  <c r="CL14" i="1" s="1"/>
  <c r="CB14" i="1"/>
  <c r="CG14" i="1" s="1"/>
  <c r="CE14" i="1"/>
  <c r="CJ12" i="1"/>
  <c r="CH12" i="1"/>
  <c r="CK12" i="1"/>
  <c r="CF12" i="1"/>
  <c r="CL12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K15" i="1" l="1"/>
  <c r="CH15" i="1"/>
  <c r="CF15" i="1"/>
  <c r="CL15" i="1" s="1"/>
  <c r="CJ15" i="1"/>
  <c r="BX17" i="1"/>
  <c r="BU17" i="1"/>
  <c r="CA17" i="1"/>
  <c r="CE16" i="1"/>
  <c r="CB16" i="1"/>
  <c r="CG16" i="1" s="1"/>
  <c r="CC16" i="1"/>
  <c r="CJ14" i="1"/>
  <c r="CM14" i="1" s="1"/>
  <c r="CK14" i="1"/>
  <c r="CH14" i="1"/>
  <c r="CN12" i="1"/>
  <c r="CM12" i="1"/>
  <c r="CR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J16" i="1" l="1"/>
  <c r="CM16" i="1" s="1"/>
  <c r="CC17" i="1"/>
  <c r="CE17" i="1"/>
  <c r="CB17" i="1"/>
  <c r="CG17" i="1" s="1"/>
  <c r="BU18" i="1"/>
  <c r="CA18" i="1"/>
  <c r="BX18" i="1"/>
  <c r="CR15" i="1"/>
  <c r="CM15" i="1"/>
  <c r="CF16" i="1"/>
  <c r="CL16" i="1" s="1"/>
  <c r="CH16" i="1"/>
  <c r="CK16" i="1"/>
  <c r="CN15" i="1"/>
  <c r="CN14" i="1"/>
  <c r="CP14" i="1" s="1"/>
  <c r="CR14" i="1"/>
  <c r="CQ12" i="1"/>
  <c r="CP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J17" i="1" l="1"/>
  <c r="CM17" i="1" s="1"/>
  <c r="CP15" i="1"/>
  <c r="CQ15" i="1"/>
  <c r="CF17" i="1"/>
  <c r="CL17" i="1" s="1"/>
  <c r="CK17" i="1"/>
  <c r="CH17" i="1"/>
  <c r="BX19" i="1"/>
  <c r="BU19" i="1"/>
  <c r="CA19" i="1"/>
  <c r="CN16" i="1"/>
  <c r="CP16" i="1" s="1"/>
  <c r="CR16" i="1"/>
  <c r="CB18" i="1"/>
  <c r="CG18" i="1" s="1"/>
  <c r="CC18" i="1"/>
  <c r="CE18" i="1"/>
  <c r="CQ14" i="1"/>
  <c r="CS14" i="1" s="1"/>
  <c r="CS12" i="1"/>
  <c r="CT12" i="1" s="1"/>
  <c r="CV12" i="1" s="1"/>
  <c r="DL12" i="1" s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S15" i="1" l="1"/>
  <c r="CU15" i="1" s="1"/>
  <c r="CY15" i="1" s="1"/>
  <c r="CQ16" i="1"/>
  <c r="CS16" i="1" s="1"/>
  <c r="CT16" i="1" s="1"/>
  <c r="CN17" i="1"/>
  <c r="CQ17" i="1" s="1"/>
  <c r="CJ18" i="1"/>
  <c r="CF18" i="1"/>
  <c r="CL18" i="1" s="1"/>
  <c r="CK18" i="1"/>
  <c r="CH18" i="1"/>
  <c r="CC19" i="1"/>
  <c r="CE19" i="1"/>
  <c r="CB19" i="1"/>
  <c r="CG19" i="1" s="1"/>
  <c r="CR17" i="1"/>
  <c r="CT14" i="1"/>
  <c r="CW14" i="1" s="1"/>
  <c r="DM14" i="1" s="1"/>
  <c r="CU14" i="1"/>
  <c r="DA14" i="1" s="1"/>
  <c r="CW12" i="1"/>
  <c r="DM12" i="1" s="1"/>
  <c r="CX12" i="1"/>
  <c r="DN12" i="1" s="1"/>
  <c r="CU12" i="1"/>
  <c r="CY12" i="1" s="1"/>
  <c r="DO12" i="1" s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DA15" i="1" l="1"/>
  <c r="CZ15" i="1"/>
  <c r="CT15" i="1"/>
  <c r="CW15" i="1" s="1"/>
  <c r="CP17" i="1"/>
  <c r="CS17" i="1" s="1"/>
  <c r="CU17" i="1" s="1"/>
  <c r="CJ19" i="1"/>
  <c r="CM19" i="1" s="1"/>
  <c r="CU16" i="1"/>
  <c r="CN18" i="1"/>
  <c r="CV16" i="1"/>
  <c r="CW16" i="1"/>
  <c r="CX16" i="1"/>
  <c r="CM18" i="1"/>
  <c r="CR18" i="1"/>
  <c r="CF19" i="1"/>
  <c r="CL19" i="1" s="1"/>
  <c r="CH19" i="1"/>
  <c r="CK19" i="1"/>
  <c r="CX14" i="1"/>
  <c r="DN14" i="1" s="1"/>
  <c r="CY14" i="1"/>
  <c r="CZ14" i="1"/>
  <c r="DP14" i="1" s="1"/>
  <c r="CV14" i="1"/>
  <c r="DL14" i="1" s="1"/>
  <c r="DW12" i="1"/>
  <c r="DX12" i="1" s="1"/>
  <c r="DA12" i="1"/>
  <c r="DQ12" i="1" s="1"/>
  <c r="DR12" i="1"/>
  <c r="CZ12" i="1"/>
  <c r="DP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CV15" i="1" l="1"/>
  <c r="DO15" i="1" s="1"/>
  <c r="CX15" i="1"/>
  <c r="DQ15" i="1" s="1"/>
  <c r="DP15" i="1"/>
  <c r="CR19" i="1"/>
  <c r="CP18" i="1"/>
  <c r="CQ18" i="1"/>
  <c r="CT17" i="1"/>
  <c r="DM16" i="1"/>
  <c r="CY17" i="1"/>
  <c r="CZ17" i="1"/>
  <c r="DA17" i="1"/>
  <c r="DL16" i="1"/>
  <c r="DM15" i="1"/>
  <c r="DN16" i="1"/>
  <c r="CN19" i="1"/>
  <c r="CP19" i="1" s="1"/>
  <c r="CY16" i="1"/>
  <c r="DO16" i="1" s="1"/>
  <c r="CZ16" i="1"/>
  <c r="DP16" i="1" s="1"/>
  <c r="DA16" i="1"/>
  <c r="DQ16" i="1" s="1"/>
  <c r="DQ14" i="1"/>
  <c r="DR14" i="1"/>
  <c r="DW14" i="1"/>
  <c r="DX14" i="1" s="1"/>
  <c r="DO14" i="1"/>
  <c r="EA12" i="1"/>
  <c r="DV12" i="1"/>
  <c r="DS12" i="1"/>
  <c r="DU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N15" i="1" l="1"/>
  <c r="DL15" i="1"/>
  <c r="DS15" i="1"/>
  <c r="DS16" i="1"/>
  <c r="DU16" i="1"/>
  <c r="CW17" i="1"/>
  <c r="CV17" i="1"/>
  <c r="CX17" i="1"/>
  <c r="DW16" i="1"/>
  <c r="DX16" i="1" s="1"/>
  <c r="DR16" i="1"/>
  <c r="DV16" i="1"/>
  <c r="CQ19" i="1"/>
  <c r="DU15" i="1"/>
  <c r="DP17" i="1"/>
  <c r="CS18" i="1"/>
  <c r="CU18" i="1" s="1"/>
  <c r="EA14" i="1"/>
  <c r="DS14" i="1"/>
  <c r="DU14" i="1"/>
  <c r="DV14" i="1"/>
  <c r="DZ12" i="1"/>
  <c r="DY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W15" i="1" l="1"/>
  <c r="DX15" i="1" s="1"/>
  <c r="DR15" i="1"/>
  <c r="DV15" i="1"/>
  <c r="DY16" i="1"/>
  <c r="DY15" i="1"/>
  <c r="DZ16" i="1"/>
  <c r="CT18" i="1"/>
  <c r="CV18" i="1" s="1"/>
  <c r="EA16" i="1"/>
  <c r="DA18" i="1"/>
  <c r="CY18" i="1"/>
  <c r="CZ18" i="1"/>
  <c r="DN17" i="1"/>
  <c r="CA24" i="1"/>
  <c r="BX24" i="1"/>
  <c r="BU24" i="1"/>
  <c r="DL17" i="1"/>
  <c r="DQ17" i="1"/>
  <c r="DM17" i="1"/>
  <c r="DO17" i="1"/>
  <c r="CS19" i="1"/>
  <c r="CU19" i="1" s="1"/>
  <c r="DY14" i="1"/>
  <c r="DZ14" i="1"/>
  <c r="ED12" i="1"/>
  <c r="EL12" i="1" s="1"/>
  <c r="EB12" i="1"/>
  <c r="EC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DZ15" i="1" l="1"/>
  <c r="EA15" i="1"/>
  <c r="CT19" i="1"/>
  <c r="CV19" i="1" s="1"/>
  <c r="ED16" i="1"/>
  <c r="EJ16" i="1" s="1"/>
  <c r="EC16" i="1"/>
  <c r="EG16" i="1" s="1"/>
  <c r="EB16" i="1"/>
  <c r="CW18" i="1"/>
  <c r="DM18" i="1" s="1"/>
  <c r="CX18" i="1"/>
  <c r="DN18" i="1" s="1"/>
  <c r="DS17" i="1"/>
  <c r="DU17" i="1"/>
  <c r="BU25" i="1"/>
  <c r="BX25" i="1"/>
  <c r="CA25" i="1"/>
  <c r="DR17" i="1"/>
  <c r="DW17" i="1"/>
  <c r="DX17" i="1" s="1"/>
  <c r="DV17" i="1"/>
  <c r="CB24" i="1"/>
  <c r="CG24" i="1" s="1"/>
  <c r="CC24" i="1"/>
  <c r="CE24" i="1"/>
  <c r="DO18" i="1"/>
  <c r="DL18" i="1"/>
  <c r="CY19" i="1"/>
  <c r="CZ19" i="1"/>
  <c r="DA19" i="1"/>
  <c r="EC14" i="1"/>
  <c r="EE14" i="1" s="1"/>
  <c r="ED14" i="1"/>
  <c r="EJ14" i="1" s="1"/>
  <c r="EB14" i="1"/>
  <c r="EH12" i="1"/>
  <c r="EJ12" i="1"/>
  <c r="EI12" i="1"/>
  <c r="EF12" i="1"/>
  <c r="EE12" i="1"/>
  <c r="EG12" i="1"/>
  <c r="EK12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B15" i="1" l="1"/>
  <c r="ED15" i="1"/>
  <c r="EJ15" i="1" s="1"/>
  <c r="EC15" i="1"/>
  <c r="EF15" i="1" s="1"/>
  <c r="EF16" i="1"/>
  <c r="EH16" i="1"/>
  <c r="EI16" i="1"/>
  <c r="EL16" i="1"/>
  <c r="CX19" i="1"/>
  <c r="DQ19" i="1" s="1"/>
  <c r="CW19" i="1"/>
  <c r="DP19" i="1" s="1"/>
  <c r="DQ18" i="1"/>
  <c r="DP18" i="1"/>
  <c r="DZ17" i="1"/>
  <c r="EK16" i="1"/>
  <c r="DY17" i="1"/>
  <c r="EE16" i="1"/>
  <c r="EA17" i="1"/>
  <c r="DO19" i="1"/>
  <c r="CB25" i="1"/>
  <c r="CG25" i="1" s="1"/>
  <c r="CE25" i="1"/>
  <c r="CC25" i="1"/>
  <c r="DL19" i="1"/>
  <c r="CK24" i="1"/>
  <c r="CH24" i="1"/>
  <c r="CF24" i="1"/>
  <c r="CL24" i="1" s="1"/>
  <c r="CA26" i="1"/>
  <c r="BU26" i="1"/>
  <c r="BX26" i="1"/>
  <c r="DW18" i="1"/>
  <c r="DX18" i="1" s="1"/>
  <c r="DR18" i="1"/>
  <c r="CJ24" i="1"/>
  <c r="EI14" i="1"/>
  <c r="EH14" i="1"/>
  <c r="EL14" i="1"/>
  <c r="EF14" i="1"/>
  <c r="EK14" i="1"/>
  <c r="EG14" i="1"/>
  <c r="EO12" i="1"/>
  <c r="ER12" i="1" s="1"/>
  <c r="EM12" i="1"/>
  <c r="EN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L15" i="1" l="1"/>
  <c r="EH15" i="1"/>
  <c r="EI15" i="1"/>
  <c r="EE15" i="1"/>
  <c r="EK15" i="1"/>
  <c r="EG15" i="1"/>
  <c r="EM16" i="1"/>
  <c r="DN19" i="1"/>
  <c r="DM19" i="1"/>
  <c r="DS18" i="1"/>
  <c r="DU18" i="1"/>
  <c r="DV18" i="1"/>
  <c r="EA18" i="1"/>
  <c r="EO16" i="1"/>
  <c r="ER16" i="1" s="1"/>
  <c r="EN16" i="1"/>
  <c r="EQ16" i="1" s="1"/>
  <c r="EZ16" i="1" s="1"/>
  <c r="FC16" i="1" s="1"/>
  <c r="EB17" i="1"/>
  <c r="ED17" i="1"/>
  <c r="EL17" i="1" s="1"/>
  <c r="EC17" i="1"/>
  <c r="EE17" i="1" s="1"/>
  <c r="CB26" i="1"/>
  <c r="CG26" i="1" s="1"/>
  <c r="CC26" i="1"/>
  <c r="CE26" i="1"/>
  <c r="CF25" i="1"/>
  <c r="CL25" i="1" s="1"/>
  <c r="CK25" i="1"/>
  <c r="CH25" i="1"/>
  <c r="CN24" i="1"/>
  <c r="CJ25" i="1"/>
  <c r="CM24" i="1"/>
  <c r="CR24" i="1"/>
  <c r="DU19" i="1"/>
  <c r="DS19" i="1"/>
  <c r="EO14" i="1"/>
  <c r="ER14" i="1" s="1"/>
  <c r="EN14" i="1"/>
  <c r="EM14" i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O15" i="1" l="1"/>
  <c r="ER15" i="1" s="1"/>
  <c r="EP16" i="1"/>
  <c r="EV16" i="1" s="1"/>
  <c r="EI17" i="1"/>
  <c r="EH17" i="1"/>
  <c r="EN15" i="1"/>
  <c r="EM15" i="1"/>
  <c r="DW19" i="1"/>
  <c r="DX19" i="1" s="1"/>
  <c r="DR19" i="1"/>
  <c r="DV19" i="1"/>
  <c r="DZ18" i="1"/>
  <c r="DY18" i="1"/>
  <c r="CP24" i="1"/>
  <c r="EJ17" i="1"/>
  <c r="EF17" i="1"/>
  <c r="EK17" i="1"/>
  <c r="EN17" i="1" s="1"/>
  <c r="EG17" i="1"/>
  <c r="CQ24" i="1"/>
  <c r="CJ26" i="1"/>
  <c r="CM26" i="1" s="1"/>
  <c r="DY19" i="1"/>
  <c r="FF16" i="1"/>
  <c r="FI16" i="1" s="1"/>
  <c r="FY16" i="1"/>
  <c r="HE16" i="1" s="1"/>
  <c r="CM25" i="1"/>
  <c r="CR25" i="1"/>
  <c r="CH26" i="1"/>
  <c r="CF26" i="1"/>
  <c r="CL26" i="1" s="1"/>
  <c r="CK26" i="1"/>
  <c r="CN25" i="1"/>
  <c r="EQ14" i="1"/>
  <c r="EZ14" i="1" s="1"/>
  <c r="FC14" i="1" s="1"/>
  <c r="EP14" i="1"/>
  <c r="EV14" i="1" s="1"/>
  <c r="EW14" i="1" s="1"/>
  <c r="FU14" i="1" s="1"/>
  <c r="FB12" i="1"/>
  <c r="FA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FA16" i="1" l="1"/>
  <c r="FB16" i="1"/>
  <c r="FE16" i="1" s="1"/>
  <c r="EP15" i="1"/>
  <c r="EV15" i="1" s="1"/>
  <c r="EM17" i="1"/>
  <c r="EP17" i="1" s="1"/>
  <c r="EO17" i="1"/>
  <c r="ER17" i="1" s="1"/>
  <c r="EQ15" i="1"/>
  <c r="EZ15" i="1" s="1"/>
  <c r="FC15" i="1" s="1"/>
  <c r="FF15" i="1" s="1"/>
  <c r="FI15" i="1" s="1"/>
  <c r="EA19" i="1"/>
  <c r="DZ19" i="1"/>
  <c r="EB18" i="1"/>
  <c r="EC18" i="1"/>
  <c r="EK18" i="1" s="1"/>
  <c r="ED18" i="1"/>
  <c r="EJ18" i="1" s="1"/>
  <c r="CR26" i="1"/>
  <c r="CS24" i="1"/>
  <c r="CT24" i="1" s="1"/>
  <c r="CV24" i="1" s="1"/>
  <c r="CP25" i="1"/>
  <c r="EQ17" i="1"/>
  <c r="EZ17" i="1" s="1"/>
  <c r="FC17" i="1" s="1"/>
  <c r="CQ25" i="1"/>
  <c r="EX16" i="1"/>
  <c r="EW16" i="1"/>
  <c r="HB16" i="1"/>
  <c r="HF16" i="1" s="1"/>
  <c r="HH16" i="1" s="1"/>
  <c r="CN26" i="1"/>
  <c r="CP26" i="1" s="1"/>
  <c r="FB14" i="1"/>
  <c r="FA14" i="1"/>
  <c r="EX14" i="1"/>
  <c r="HB14" i="1"/>
  <c r="HF14" i="1" s="1"/>
  <c r="EW12" i="1"/>
  <c r="FE12" i="1"/>
  <c r="HB12" i="1"/>
  <c r="HF12" i="1" s="1"/>
  <c r="FD12" i="1"/>
  <c r="FV12" i="1" s="1"/>
  <c r="EX12" i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L16" i="1" l="1"/>
  <c r="FD16" i="1"/>
  <c r="FV16" i="1" s="1"/>
  <c r="FO16" i="1"/>
  <c r="FY15" i="1"/>
  <c r="HE15" i="1" s="1"/>
  <c r="FA15" i="1"/>
  <c r="FB15" i="1"/>
  <c r="EB19" i="1"/>
  <c r="EC19" i="1"/>
  <c r="EK19" i="1" s="1"/>
  <c r="ED19" i="1"/>
  <c r="EI19" i="1" s="1"/>
  <c r="EF18" i="1"/>
  <c r="EL18" i="1"/>
  <c r="EO18" i="1" s="1"/>
  <c r="ER18" i="1" s="1"/>
  <c r="EI18" i="1"/>
  <c r="EE18" i="1"/>
  <c r="EH18" i="1"/>
  <c r="EG18" i="1"/>
  <c r="CW24" i="1"/>
  <c r="DM24" i="1" s="1"/>
  <c r="CX24" i="1"/>
  <c r="DN24" i="1" s="1"/>
  <c r="CU24" i="1"/>
  <c r="CY24" i="1" s="1"/>
  <c r="DO24" i="1" s="1"/>
  <c r="CQ26" i="1"/>
  <c r="CS26" i="1" s="1"/>
  <c r="FU16" i="1"/>
  <c r="FG16" i="1"/>
  <c r="EV17" i="1"/>
  <c r="FA17" i="1"/>
  <c r="FB17" i="1"/>
  <c r="DL24" i="1"/>
  <c r="FH16" i="1"/>
  <c r="HG16" i="1"/>
  <c r="CS25" i="1"/>
  <c r="CT25" i="1" s="1"/>
  <c r="EX15" i="1"/>
  <c r="HB15" i="1"/>
  <c r="HF15" i="1" s="1"/>
  <c r="HH15" i="1" s="1"/>
  <c r="EW15" i="1"/>
  <c r="FF17" i="1"/>
  <c r="FI17" i="1" s="1"/>
  <c r="FY17" i="1"/>
  <c r="HE17" i="1" s="1"/>
  <c r="FD14" i="1"/>
  <c r="FG14" i="1" s="1"/>
  <c r="FE14" i="1"/>
  <c r="FH14" i="1" s="1"/>
  <c r="FO14" i="1"/>
  <c r="FL14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O15" i="1" l="1"/>
  <c r="FL15" i="1"/>
  <c r="FE15" i="1"/>
  <c r="FH15" i="1" s="1"/>
  <c r="FD15" i="1"/>
  <c r="FV15" i="1" s="1"/>
  <c r="EH19" i="1"/>
  <c r="EJ19" i="1"/>
  <c r="EL19" i="1"/>
  <c r="EF19" i="1"/>
  <c r="EG19" i="1"/>
  <c r="EE19" i="1"/>
  <c r="EN18" i="1"/>
  <c r="EM18" i="1"/>
  <c r="CT26" i="1"/>
  <c r="CV26" i="1" s="1"/>
  <c r="CU26" i="1"/>
  <c r="CZ26" i="1" s="1"/>
  <c r="CZ24" i="1"/>
  <c r="DP24" i="1" s="1"/>
  <c r="DA24" i="1"/>
  <c r="DQ24" i="1" s="1"/>
  <c r="CU25" i="1"/>
  <c r="CZ25" i="1" s="1"/>
  <c r="EX17" i="1"/>
  <c r="HB17" i="1"/>
  <c r="HF17" i="1" s="1"/>
  <c r="HH17" i="1" s="1"/>
  <c r="EW17" i="1"/>
  <c r="FD17" i="1"/>
  <c r="FV17" i="1" s="1"/>
  <c r="FE17" i="1"/>
  <c r="FW16" i="1"/>
  <c r="FX16" i="1" s="1"/>
  <c r="FZ16" i="1" s="1"/>
  <c r="FJ16" i="1"/>
  <c r="GQ16" i="1" s="1"/>
  <c r="FM16" i="1"/>
  <c r="FN16" i="1" s="1"/>
  <c r="FL17" i="1"/>
  <c r="FO17" i="1"/>
  <c r="HG15" i="1"/>
  <c r="FU15" i="1"/>
  <c r="DW24" i="1"/>
  <c r="DX24" i="1" s="1"/>
  <c r="DR24" i="1"/>
  <c r="CV25" i="1"/>
  <c r="CW25" i="1"/>
  <c r="CX25" i="1"/>
  <c r="FV14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EM19" i="1"/>
  <c r="EN19" i="1"/>
  <c r="EO19" i="1"/>
  <c r="ER19" i="1" s="1"/>
  <c r="EP18" i="1"/>
  <c r="EV18" i="1" s="1"/>
  <c r="HB18" i="1" s="1"/>
  <c r="HF18" i="1" s="1"/>
  <c r="EQ18" i="1"/>
  <c r="EZ18" i="1" s="1"/>
  <c r="FC18" i="1" s="1"/>
  <c r="DA25" i="1"/>
  <c r="DQ25" i="1" s="1"/>
  <c r="CY25" i="1"/>
  <c r="DO25" i="1" s="1"/>
  <c r="DU24" i="1"/>
  <c r="DS24" i="1"/>
  <c r="DV24" i="1"/>
  <c r="DA26" i="1"/>
  <c r="CY26" i="1"/>
  <c r="DO26" i="1" s="1"/>
  <c r="CX26" i="1"/>
  <c r="CW26" i="1"/>
  <c r="DP26" i="1" s="1"/>
  <c r="HG17" i="1"/>
  <c r="DP25" i="1"/>
  <c r="GP16" i="1"/>
  <c r="GA16" i="1"/>
  <c r="GD16" i="1"/>
  <c r="DN25" i="1"/>
  <c r="DM25" i="1"/>
  <c r="DL25" i="1"/>
  <c r="FH17" i="1"/>
  <c r="DL26" i="1"/>
  <c r="EA24" i="1"/>
  <c r="FP16" i="1"/>
  <c r="FQ16" i="1"/>
  <c r="FR16" i="1"/>
  <c r="FU17" i="1"/>
  <c r="FG17" i="1"/>
  <c r="FP12" i="1"/>
  <c r="FQ12" i="1"/>
  <c r="FR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GD14" i="1"/>
  <c r="GA14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FM15" i="1" l="1"/>
  <c r="FN15" i="1" s="1"/>
  <c r="FR15" i="1" s="1"/>
  <c r="FJ15" i="1"/>
  <c r="GQ15" i="1" s="1"/>
  <c r="EQ19" i="1"/>
  <c r="EZ19" i="1" s="1"/>
  <c r="FC19" i="1" s="1"/>
  <c r="FY19" i="1" s="1"/>
  <c r="HE19" i="1" s="1"/>
  <c r="EP19" i="1"/>
  <c r="EV19" i="1" s="1"/>
  <c r="EW18" i="1"/>
  <c r="FU18" i="1" s="1"/>
  <c r="EX18" i="1"/>
  <c r="FA18" i="1"/>
  <c r="FB18" i="1"/>
  <c r="FF18" i="1"/>
  <c r="FI18" i="1" s="1"/>
  <c r="FY18" i="1"/>
  <c r="HE18" i="1" s="1"/>
  <c r="HH18" i="1" s="1"/>
  <c r="DZ24" i="1"/>
  <c r="DY24" i="1"/>
  <c r="DS25" i="1"/>
  <c r="DM26" i="1"/>
  <c r="DQ26" i="1"/>
  <c r="DU26" i="1" s="1"/>
  <c r="DN26" i="1"/>
  <c r="DU25" i="1"/>
  <c r="FT16" i="1"/>
  <c r="FS16" i="1"/>
  <c r="GO16" i="1"/>
  <c r="GC16" i="1"/>
  <c r="GB16" i="1"/>
  <c r="BU33" i="1"/>
  <c r="BX33" i="1"/>
  <c r="CA33" i="1"/>
  <c r="DR25" i="1"/>
  <c r="DW25" i="1"/>
  <c r="DX25" i="1" s="1"/>
  <c r="DV25" i="1"/>
  <c r="GP15" i="1"/>
  <c r="GA15" i="1"/>
  <c r="GD15" i="1"/>
  <c r="FW17" i="1"/>
  <c r="FX17" i="1" s="1"/>
  <c r="FZ17" i="1" s="1"/>
  <c r="FJ17" i="1"/>
  <c r="GQ17" i="1" s="1"/>
  <c r="FM17" i="1"/>
  <c r="FN17" i="1" s="1"/>
  <c r="FT12" i="1"/>
  <c r="FS12" i="1"/>
  <c r="GO12" i="1"/>
  <c r="GB12" i="1"/>
  <c r="GC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GC15" i="1" s="1"/>
  <c r="FQ15" i="1"/>
  <c r="FF19" i="1"/>
  <c r="FI19" i="1" s="1"/>
  <c r="FB19" i="1"/>
  <c r="FA19" i="1"/>
  <c r="FE18" i="1"/>
  <c r="FH18" i="1" s="1"/>
  <c r="FO18" i="1"/>
  <c r="FL18" i="1"/>
  <c r="FD18" i="1"/>
  <c r="FV18" i="1" s="1"/>
  <c r="HG18" i="1"/>
  <c r="ED24" i="1"/>
  <c r="EI24" i="1" s="1"/>
  <c r="EC24" i="1"/>
  <c r="EF24" i="1" s="1"/>
  <c r="EB24" i="1"/>
  <c r="DY25" i="1"/>
  <c r="DW26" i="1"/>
  <c r="DX26" i="1" s="1"/>
  <c r="DR26" i="1"/>
  <c r="DS26" i="1"/>
  <c r="DY26" i="1" s="1"/>
  <c r="DV26" i="1"/>
  <c r="FS15" i="1"/>
  <c r="EA25" i="1"/>
  <c r="GI16" i="1"/>
  <c r="DZ25" i="1"/>
  <c r="FT15" i="1"/>
  <c r="HB19" i="1"/>
  <c r="HF19" i="1" s="1"/>
  <c r="HH19" i="1" s="1"/>
  <c r="EX19" i="1"/>
  <c r="EW19" i="1"/>
  <c r="FQ17" i="1"/>
  <c r="FP17" i="1"/>
  <c r="FR17" i="1"/>
  <c r="GE16" i="1"/>
  <c r="GF16" i="1" s="1"/>
  <c r="GG16" i="1"/>
  <c r="CA34" i="1"/>
  <c r="BU34" i="1"/>
  <c r="BX34" i="1"/>
  <c r="GP17" i="1"/>
  <c r="GD17" i="1"/>
  <c r="GA17" i="1"/>
  <c r="CC33" i="1"/>
  <c r="CB33" i="1"/>
  <c r="CG33" i="1" s="1"/>
  <c r="CE33" i="1"/>
  <c r="GH16" i="1"/>
  <c r="GH12" i="1"/>
  <c r="GE12" i="1"/>
  <c r="GF12" i="1" s="1"/>
  <c r="GG12" i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GZ10" i="1"/>
  <c r="EJ20" i="1"/>
  <c r="EL20" i="1"/>
  <c r="EB21" i="1"/>
  <c r="GI14" i="1"/>
  <c r="GE14" i="1"/>
  <c r="GF14" i="1" s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B15" i="1" l="1"/>
  <c r="GG15" i="1" s="1"/>
  <c r="GO15" i="1"/>
  <c r="FO19" i="1"/>
  <c r="FE19" i="1"/>
  <c r="FH19" i="1" s="1"/>
  <c r="FL19" i="1"/>
  <c r="FD19" i="1"/>
  <c r="FV19" i="1" s="1"/>
  <c r="HG19" i="1"/>
  <c r="FG18" i="1"/>
  <c r="FM18" i="1" s="1"/>
  <c r="FN18" i="1" s="1"/>
  <c r="FR18" i="1" s="1"/>
  <c r="EL24" i="1"/>
  <c r="EH24" i="1"/>
  <c r="EJ24" i="1"/>
  <c r="EK24" i="1"/>
  <c r="EE24" i="1"/>
  <c r="EG24" i="1"/>
  <c r="EB25" i="1"/>
  <c r="EA26" i="1"/>
  <c r="DZ26" i="1"/>
  <c r="EC25" i="1"/>
  <c r="EK25" i="1" s="1"/>
  <c r="ED25" i="1"/>
  <c r="EL25" i="1" s="1"/>
  <c r="BX35" i="1"/>
  <c r="BU35" i="1"/>
  <c r="CA35" i="1"/>
  <c r="CJ33" i="1"/>
  <c r="CM33" i="1" s="1"/>
  <c r="FT17" i="1"/>
  <c r="CC34" i="1"/>
  <c r="CE34" i="1"/>
  <c r="CB34" i="1"/>
  <c r="CG34" i="1" s="1"/>
  <c r="FU19" i="1"/>
  <c r="CK33" i="1"/>
  <c r="CH33" i="1"/>
  <c r="CF33" i="1"/>
  <c r="CL33" i="1" s="1"/>
  <c r="GB17" i="1"/>
  <c r="GC17" i="1"/>
  <c r="GO17" i="1"/>
  <c r="GE15" i="1"/>
  <c r="GF15" i="1" s="1"/>
  <c r="FS17" i="1"/>
  <c r="GY16" i="1"/>
  <c r="GZ16" i="1" s="1"/>
  <c r="GS16" i="1"/>
  <c r="GY12" i="1"/>
  <c r="GZ12" i="1" s="1"/>
  <c r="GS12" i="1"/>
  <c r="HA12" i="1" s="1"/>
  <c r="HC12" i="1" s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GY14" i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H15" i="1" l="1"/>
  <c r="GY15" i="1" s="1"/>
  <c r="GZ15" i="1" s="1"/>
  <c r="GI15" i="1"/>
  <c r="FG19" i="1"/>
  <c r="FJ19" i="1" s="1"/>
  <c r="GQ19" i="1" s="1"/>
  <c r="FP18" i="1"/>
  <c r="GO18" i="1" s="1"/>
  <c r="FQ18" i="1"/>
  <c r="FS18" i="1" s="1"/>
  <c r="FJ18" i="1"/>
  <c r="GQ18" i="1" s="1"/>
  <c r="FW18" i="1"/>
  <c r="FX18" i="1" s="1"/>
  <c r="FZ18" i="1" s="1"/>
  <c r="EN24" i="1"/>
  <c r="EO24" i="1"/>
  <c r="ER24" i="1" s="1"/>
  <c r="EM24" i="1"/>
  <c r="EE25" i="1"/>
  <c r="EG25" i="1"/>
  <c r="EF25" i="1"/>
  <c r="EI25" i="1"/>
  <c r="EN25" i="1" s="1"/>
  <c r="EJ25" i="1"/>
  <c r="EO25" i="1" s="1"/>
  <c r="ER25" i="1" s="1"/>
  <c r="CR33" i="1"/>
  <c r="EH25" i="1"/>
  <c r="EM25" i="1" s="1"/>
  <c r="EB26" i="1"/>
  <c r="ED26" i="1"/>
  <c r="EH26" i="1" s="1"/>
  <c r="EC26" i="1"/>
  <c r="EF26" i="1" s="1"/>
  <c r="GH17" i="1"/>
  <c r="CB35" i="1"/>
  <c r="CG35" i="1" s="1"/>
  <c r="CE35" i="1"/>
  <c r="CC35" i="1"/>
  <c r="CJ34" i="1"/>
  <c r="CM34" i="1" s="1"/>
  <c r="GI17" i="1"/>
  <c r="CN33" i="1"/>
  <c r="CQ33" i="1" s="1"/>
  <c r="GT16" i="1"/>
  <c r="GR16" i="1"/>
  <c r="HA16" i="1"/>
  <c r="GE17" i="1"/>
  <c r="GF17" i="1" s="1"/>
  <c r="GG17" i="1"/>
  <c r="GS15" i="1"/>
  <c r="FM19" i="1"/>
  <c r="FN19" i="1" s="1"/>
  <c r="BU36" i="1"/>
  <c r="CA36" i="1"/>
  <c r="BX36" i="1"/>
  <c r="CH34" i="1"/>
  <c r="CF34" i="1"/>
  <c r="CL34" i="1" s="1"/>
  <c r="CK34" i="1"/>
  <c r="HD12" i="1"/>
  <c r="GR12" i="1"/>
  <c r="GT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GR14" i="1"/>
  <c r="HA14" i="1"/>
  <c r="GZ14" i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FW19" i="1" l="1"/>
  <c r="FX19" i="1" s="1"/>
  <c r="FZ19" i="1" s="1"/>
  <c r="GA19" i="1" s="1"/>
  <c r="GB18" i="1"/>
  <c r="FT18" i="1"/>
  <c r="GP18" i="1"/>
  <c r="GA18" i="1"/>
  <c r="GD18" i="1"/>
  <c r="GC18" i="1"/>
  <c r="EQ24" i="1"/>
  <c r="EZ24" i="1" s="1"/>
  <c r="FC24" i="1" s="1"/>
  <c r="FY24" i="1" s="1"/>
  <c r="HE24" i="1" s="1"/>
  <c r="EP24" i="1"/>
  <c r="CR34" i="1"/>
  <c r="CP33" i="1"/>
  <c r="CS33" i="1" s="1"/>
  <c r="CU33" i="1" s="1"/>
  <c r="CJ35" i="1"/>
  <c r="CM35" i="1" s="1"/>
  <c r="EI26" i="1"/>
  <c r="EJ26" i="1"/>
  <c r="EL26" i="1"/>
  <c r="EE26" i="1"/>
  <c r="EG26" i="1"/>
  <c r="EK26" i="1"/>
  <c r="GY17" i="1"/>
  <c r="GZ17" i="1" s="1"/>
  <c r="GS17" i="1"/>
  <c r="HA17" i="1" s="1"/>
  <c r="CK35" i="1"/>
  <c r="CF35" i="1"/>
  <c r="CL35" i="1" s="1"/>
  <c r="CH35" i="1"/>
  <c r="GT17" i="1"/>
  <c r="GT15" i="1"/>
  <c r="GR15" i="1"/>
  <c r="HA15" i="1"/>
  <c r="EQ25" i="1"/>
  <c r="EZ25" i="1" s="1"/>
  <c r="FC25" i="1" s="1"/>
  <c r="EP25" i="1"/>
  <c r="CE36" i="1"/>
  <c r="CB36" i="1"/>
  <c r="CG36" i="1" s="1"/>
  <c r="CC36" i="1"/>
  <c r="HD16" i="1"/>
  <c r="HC16" i="1"/>
  <c r="FP19" i="1"/>
  <c r="FQ19" i="1"/>
  <c r="FR19" i="1"/>
  <c r="CN34" i="1"/>
  <c r="CP34" i="1" s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GD19" i="1" l="1"/>
  <c r="GP19" i="1"/>
  <c r="GI18" i="1"/>
  <c r="GH18" i="1"/>
  <c r="GE18" i="1"/>
  <c r="GF18" i="1" s="1"/>
  <c r="GG18" i="1"/>
  <c r="FT19" i="1"/>
  <c r="FF24" i="1"/>
  <c r="FI24" i="1" s="1"/>
  <c r="FA24" i="1"/>
  <c r="EV24" i="1"/>
  <c r="EW24" i="1" s="1"/>
  <c r="FB24" i="1"/>
  <c r="CR35" i="1"/>
  <c r="EM26" i="1"/>
  <c r="EO26" i="1"/>
  <c r="ER26" i="1" s="1"/>
  <c r="EN26" i="1"/>
  <c r="GR17" i="1"/>
  <c r="CN35" i="1"/>
  <c r="CP35" i="1" s="1"/>
  <c r="CJ36" i="1"/>
  <c r="CM36" i="1" s="1"/>
  <c r="CT33" i="1"/>
  <c r="CV33" i="1" s="1"/>
  <c r="CY33" i="1"/>
  <c r="CZ33" i="1"/>
  <c r="DA33" i="1"/>
  <c r="HC15" i="1"/>
  <c r="HD15" i="1"/>
  <c r="FS19" i="1"/>
  <c r="GO19" i="1"/>
  <c r="GC19" i="1"/>
  <c r="GB19" i="1"/>
  <c r="CQ34" i="1"/>
  <c r="HC17" i="1"/>
  <c r="HD17" i="1"/>
  <c r="EV25" i="1"/>
  <c r="FA25" i="1"/>
  <c r="FB25" i="1"/>
  <c r="CH36" i="1"/>
  <c r="CF36" i="1"/>
  <c r="CL36" i="1" s="1"/>
  <c r="CK36" i="1"/>
  <c r="FF25" i="1"/>
  <c r="FI25" i="1" s="1"/>
  <c r="FY25" i="1"/>
  <c r="HE25" i="1" s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GY18" i="1" l="1"/>
  <c r="GZ18" i="1" s="1"/>
  <c r="GS18" i="1"/>
  <c r="EX24" i="1"/>
  <c r="HB24" i="1"/>
  <c r="HF24" i="1" s="1"/>
  <c r="HG24" i="1" s="1"/>
  <c r="FE24" i="1"/>
  <c r="FD24" i="1"/>
  <c r="FV24" i="1" s="1"/>
  <c r="FO24" i="1"/>
  <c r="FL24" i="1"/>
  <c r="CR36" i="1"/>
  <c r="EP26" i="1"/>
  <c r="EV26" i="1" s="1"/>
  <c r="EX26" i="1" s="1"/>
  <c r="EQ26" i="1"/>
  <c r="EZ26" i="1" s="1"/>
  <c r="FC26" i="1" s="1"/>
  <c r="FF26" i="1" s="1"/>
  <c r="FI26" i="1" s="1"/>
  <c r="CX33" i="1"/>
  <c r="DN33" i="1" s="1"/>
  <c r="CQ35" i="1"/>
  <c r="CW33" i="1"/>
  <c r="DP33" i="1" s="1"/>
  <c r="GH19" i="1"/>
  <c r="CS34" i="1"/>
  <c r="CT34" i="1" s="1"/>
  <c r="GE19" i="1"/>
  <c r="GF19" i="1" s="1"/>
  <c r="GG19" i="1"/>
  <c r="DO33" i="1"/>
  <c r="DL33" i="1"/>
  <c r="FU24" i="1"/>
  <c r="FL25" i="1"/>
  <c r="FO25" i="1"/>
  <c r="CN36" i="1"/>
  <c r="CP36" i="1" s="1"/>
  <c r="EX25" i="1"/>
  <c r="FE25" i="1"/>
  <c r="HB25" i="1"/>
  <c r="HF25" i="1" s="1"/>
  <c r="HH25" i="1" s="1"/>
  <c r="EW25" i="1"/>
  <c r="FD25" i="1"/>
  <c r="FV25" i="1" s="1"/>
  <c r="GI19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HH24" i="1" l="1"/>
  <c r="GT18" i="1"/>
  <c r="HA18" i="1"/>
  <c r="GR18" i="1"/>
  <c r="FH24" i="1"/>
  <c r="FG24" i="1"/>
  <c r="DQ33" i="1"/>
  <c r="DS33" i="1" s="1"/>
  <c r="DM33" i="1"/>
  <c r="DR33" i="1" s="1"/>
  <c r="EW26" i="1"/>
  <c r="FU26" i="1" s="1"/>
  <c r="FB26" i="1"/>
  <c r="FY26" i="1"/>
  <c r="HE26" i="1" s="1"/>
  <c r="HB26" i="1"/>
  <c r="HF26" i="1" s="1"/>
  <c r="FA26" i="1"/>
  <c r="FH25" i="1"/>
  <c r="CS35" i="1"/>
  <c r="CU35" i="1" s="1"/>
  <c r="CQ36" i="1"/>
  <c r="CS36" i="1" s="1"/>
  <c r="GY19" i="1"/>
  <c r="GZ19" i="1" s="1"/>
  <c r="GS19" i="1"/>
  <c r="HA19" i="1" s="1"/>
  <c r="HG25" i="1"/>
  <c r="CU34" i="1"/>
  <c r="CV34" i="1"/>
  <c r="CW34" i="1"/>
  <c r="CX34" i="1"/>
  <c r="FG25" i="1"/>
  <c r="FU25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HC18" i="1" l="1"/>
  <c r="HD18" i="1"/>
  <c r="FJ24" i="1"/>
  <c r="GQ24" i="1" s="1"/>
  <c r="FW24" i="1"/>
  <c r="FX24" i="1" s="1"/>
  <c r="FZ24" i="1" s="1"/>
  <c r="GD24" i="1" s="1"/>
  <c r="FM24" i="1"/>
  <c r="FN24" i="1" s="1"/>
  <c r="FQ24" i="1" s="1"/>
  <c r="DW33" i="1"/>
  <c r="DX33" i="1" s="1"/>
  <c r="EA33" i="1" s="1"/>
  <c r="DV33" i="1"/>
  <c r="DZ33" i="1" s="1"/>
  <c r="DU33" i="1"/>
  <c r="DY33" i="1" s="1"/>
  <c r="CT35" i="1"/>
  <c r="CW35" i="1" s="1"/>
  <c r="HH26" i="1"/>
  <c r="HG26" i="1"/>
  <c r="FD26" i="1"/>
  <c r="FV26" i="1" s="1"/>
  <c r="FE26" i="1"/>
  <c r="FH26" i="1" s="1"/>
  <c r="FL26" i="1"/>
  <c r="FO26" i="1"/>
  <c r="GR19" i="1"/>
  <c r="CU36" i="1"/>
  <c r="DA36" i="1" s="1"/>
  <c r="CT36" i="1"/>
  <c r="CW36" i="1" s="1"/>
  <c r="CY35" i="1"/>
  <c r="CZ35" i="1"/>
  <c r="DA35" i="1"/>
  <c r="GT19" i="1"/>
  <c r="CV36" i="1"/>
  <c r="DN34" i="1"/>
  <c r="BU41" i="1"/>
  <c r="CA41" i="1"/>
  <c r="BX41" i="1"/>
  <c r="DM34" i="1"/>
  <c r="FM25" i="1"/>
  <c r="FN25" i="1" s="1"/>
  <c r="FJ25" i="1"/>
  <c r="GQ25" i="1" s="1"/>
  <c r="FW25" i="1"/>
  <c r="FX25" i="1" s="1"/>
  <c r="FZ25" i="1" s="1"/>
  <c r="DL34" i="1"/>
  <c r="CY34" i="1"/>
  <c r="DO34" i="1" s="1"/>
  <c r="CZ34" i="1"/>
  <c r="DP34" i="1" s="1"/>
  <c r="DA34" i="1"/>
  <c r="DQ34" i="1" s="1"/>
  <c r="HC19" i="1"/>
  <c r="HD19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FR24" i="1" l="1"/>
  <c r="FT24" i="1" s="1"/>
  <c r="GA24" i="1"/>
  <c r="GP24" i="1"/>
  <c r="FP24" i="1"/>
  <c r="GO24" i="1" s="1"/>
  <c r="CX36" i="1"/>
  <c r="DN36" i="1" s="1"/>
  <c r="CV35" i="1"/>
  <c r="DL35" i="1" s="1"/>
  <c r="CX35" i="1"/>
  <c r="DQ35" i="1" s="1"/>
  <c r="DP35" i="1"/>
  <c r="EO28" i="1"/>
  <c r="ER28" i="1" s="1"/>
  <c r="FG26" i="1"/>
  <c r="FM26" i="1" s="1"/>
  <c r="FN26" i="1" s="1"/>
  <c r="FQ26" i="1" s="1"/>
  <c r="CZ36" i="1"/>
  <c r="DP36" i="1" s="1"/>
  <c r="CY36" i="1"/>
  <c r="DO36" i="1" s="1"/>
  <c r="CA42" i="1"/>
  <c r="BX42" i="1"/>
  <c r="BU42" i="1"/>
  <c r="DM35" i="1"/>
  <c r="DR34" i="1"/>
  <c r="DV34" i="1"/>
  <c r="DW34" i="1"/>
  <c r="DX34" i="1" s="1"/>
  <c r="DQ36" i="1"/>
  <c r="EC33" i="1"/>
  <c r="ED33" i="1"/>
  <c r="EB33" i="1"/>
  <c r="DM36" i="1"/>
  <c r="DS34" i="1"/>
  <c r="DU34" i="1"/>
  <c r="GP25" i="1"/>
  <c r="GD25" i="1"/>
  <c r="GA25" i="1"/>
  <c r="DL36" i="1"/>
  <c r="FR25" i="1"/>
  <c r="FP25" i="1"/>
  <c r="FQ25" i="1"/>
  <c r="CE41" i="1"/>
  <c r="CC41" i="1"/>
  <c r="CB41" i="1"/>
  <c r="CG41" i="1" s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FS24" i="1" l="1"/>
  <c r="GB24" i="1"/>
  <c r="GC24" i="1"/>
  <c r="DY34" i="1"/>
  <c r="DO35" i="1"/>
  <c r="DU35" i="1" s="1"/>
  <c r="DN35" i="1"/>
  <c r="FW26" i="1"/>
  <c r="FX26" i="1" s="1"/>
  <c r="FZ26" i="1" s="1"/>
  <c r="FJ26" i="1"/>
  <c r="GQ26" i="1" s="1"/>
  <c r="FR26" i="1"/>
  <c r="FT26" i="1" s="1"/>
  <c r="FP26" i="1"/>
  <c r="GO26" i="1" s="1"/>
  <c r="DU36" i="1"/>
  <c r="DS36" i="1"/>
  <c r="EA34" i="1"/>
  <c r="FS25" i="1"/>
  <c r="CB42" i="1"/>
  <c r="CG42" i="1" s="1"/>
  <c r="CC42" i="1"/>
  <c r="CE42" i="1"/>
  <c r="BU43" i="1"/>
  <c r="CA43" i="1"/>
  <c r="BX43" i="1"/>
  <c r="CH41" i="1"/>
  <c r="CF41" i="1"/>
  <c r="CL41" i="1" s="1"/>
  <c r="CK41" i="1"/>
  <c r="EL33" i="1"/>
  <c r="EJ33" i="1"/>
  <c r="EI33" i="1"/>
  <c r="EH33" i="1"/>
  <c r="CJ41" i="1"/>
  <c r="EE33" i="1"/>
  <c r="EK33" i="1"/>
  <c r="EF33" i="1"/>
  <c r="EG33" i="1"/>
  <c r="DZ34" i="1"/>
  <c r="GO25" i="1"/>
  <c r="GC25" i="1"/>
  <c r="GB25" i="1"/>
  <c r="FT25" i="1"/>
  <c r="DV36" i="1"/>
  <c r="DR36" i="1"/>
  <c r="DW36" i="1"/>
  <c r="DX36" i="1" s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DV35" i="1" l="1"/>
  <c r="GG24" i="1"/>
  <c r="GH24" i="1"/>
  <c r="GE24" i="1"/>
  <c r="GF24" i="1" s="1"/>
  <c r="GI24" i="1"/>
  <c r="FS26" i="1"/>
  <c r="GC26" i="1"/>
  <c r="DS35" i="1"/>
  <c r="DY35" i="1" s="1"/>
  <c r="DR35" i="1"/>
  <c r="DW35" i="1"/>
  <c r="DX35" i="1" s="1"/>
  <c r="GB26" i="1"/>
  <c r="GA26" i="1"/>
  <c r="GD26" i="1"/>
  <c r="GP26" i="1"/>
  <c r="DY36" i="1"/>
  <c r="EA36" i="1"/>
  <c r="CJ42" i="1"/>
  <c r="CK42" i="1"/>
  <c r="CH42" i="1"/>
  <c r="CF42" i="1"/>
  <c r="CL42" i="1" s="1"/>
  <c r="GE25" i="1"/>
  <c r="GF25" i="1" s="1"/>
  <c r="GG25" i="1"/>
  <c r="EO33" i="1"/>
  <c r="ER33" i="1" s="1"/>
  <c r="EM33" i="1"/>
  <c r="EN33" i="1"/>
  <c r="CN41" i="1"/>
  <c r="GH25" i="1"/>
  <c r="CR41" i="1"/>
  <c r="CM41" i="1"/>
  <c r="GI25" i="1"/>
  <c r="DZ36" i="1"/>
  <c r="ED34" i="1"/>
  <c r="EC34" i="1"/>
  <c r="EB34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GS24" i="1" l="1"/>
  <c r="GT24" i="1" s="1"/>
  <c r="GY24" i="1"/>
  <c r="GZ24" i="1" s="1"/>
  <c r="GG26" i="1"/>
  <c r="GI26" i="1"/>
  <c r="GH26" i="1"/>
  <c r="DZ35" i="1"/>
  <c r="EA35" i="1"/>
  <c r="GE26" i="1"/>
  <c r="GF26" i="1" s="1"/>
  <c r="EP33" i="1"/>
  <c r="EV33" i="1" s="1"/>
  <c r="CN42" i="1"/>
  <c r="CM42" i="1"/>
  <c r="CR42" i="1"/>
  <c r="CP41" i="1"/>
  <c r="EG34" i="1"/>
  <c r="EK34" i="1"/>
  <c r="EE34" i="1"/>
  <c r="EF34" i="1"/>
  <c r="EL34" i="1"/>
  <c r="EJ34" i="1"/>
  <c r="EI34" i="1"/>
  <c r="EH34" i="1"/>
  <c r="CQ41" i="1"/>
  <c r="EQ33" i="1"/>
  <c r="EZ33" i="1" s="1"/>
  <c r="FC33" i="1" s="1"/>
  <c r="ED36" i="1"/>
  <c r="EC36" i="1"/>
  <c r="EB36" i="1"/>
  <c r="GS25" i="1"/>
  <c r="GY25" i="1"/>
  <c r="GZ25" i="1" s="1"/>
  <c r="CK43" i="1"/>
  <c r="CF43" i="1"/>
  <c r="CL43" i="1" s="1"/>
  <c r="CH43" i="1"/>
  <c r="CJ43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HA24" i="1" l="1"/>
  <c r="HC24" i="1" s="1"/>
  <c r="GR24" i="1"/>
  <c r="GS26" i="1"/>
  <c r="HA26" i="1" s="1"/>
  <c r="HC26" i="1" s="1"/>
  <c r="GY26" i="1"/>
  <c r="GZ26" i="1" s="1"/>
  <c r="CQ42" i="1"/>
  <c r="ED35" i="1"/>
  <c r="EH35" i="1" s="1"/>
  <c r="EB35" i="1"/>
  <c r="EC35" i="1"/>
  <c r="EK35" i="1" s="1"/>
  <c r="CP42" i="1"/>
  <c r="CN43" i="1"/>
  <c r="FA33" i="1"/>
  <c r="FB33" i="1"/>
  <c r="CR43" i="1"/>
  <c r="CM43" i="1"/>
  <c r="GT25" i="1"/>
  <c r="GR25" i="1"/>
  <c r="HA25" i="1"/>
  <c r="FF33" i="1"/>
  <c r="FI33" i="1" s="1"/>
  <c r="FY33" i="1"/>
  <c r="HE33" i="1" s="1"/>
  <c r="EW33" i="1"/>
  <c r="HB33" i="1"/>
  <c r="HF33" i="1" s="1"/>
  <c r="EX33" i="1"/>
  <c r="CS41" i="1"/>
  <c r="CT41" i="1" s="1"/>
  <c r="EK36" i="1"/>
  <c r="EF36" i="1"/>
  <c r="EE36" i="1"/>
  <c r="EG36" i="1"/>
  <c r="EJ36" i="1"/>
  <c r="EL36" i="1"/>
  <c r="EI36" i="1"/>
  <c r="EH36" i="1"/>
  <c r="EM34" i="1"/>
  <c r="EO34" i="1"/>
  <c r="ER34" i="1" s="1"/>
  <c r="EN34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D24" i="1" l="1"/>
  <c r="CS42" i="1"/>
  <c r="CT42" i="1" s="1"/>
  <c r="CW42" i="1" s="1"/>
  <c r="HD26" i="1"/>
  <c r="GT26" i="1"/>
  <c r="GR26" i="1"/>
  <c r="EJ35" i="1"/>
  <c r="EL35" i="1"/>
  <c r="EM35" i="1" s="1"/>
  <c r="EI35" i="1"/>
  <c r="EE35" i="1"/>
  <c r="EG35" i="1"/>
  <c r="EF35" i="1"/>
  <c r="CQ43" i="1"/>
  <c r="EO36" i="1"/>
  <c r="ER36" i="1" s="1"/>
  <c r="CP43" i="1"/>
  <c r="FD33" i="1"/>
  <c r="FV33" i="1" s="1"/>
  <c r="FU33" i="1"/>
  <c r="HG33" i="1"/>
  <c r="HH33" i="1"/>
  <c r="HD25" i="1"/>
  <c r="HC25" i="1"/>
  <c r="FL33" i="1"/>
  <c r="FO33" i="1"/>
  <c r="CV41" i="1"/>
  <c r="CX41" i="1"/>
  <c r="CW41" i="1"/>
  <c r="FE33" i="1"/>
  <c r="FH33" i="1" s="1"/>
  <c r="EQ34" i="1"/>
  <c r="EZ34" i="1" s="1"/>
  <c r="FC34" i="1" s="1"/>
  <c r="EP34" i="1"/>
  <c r="EN36" i="1"/>
  <c r="EM36" i="1"/>
  <c r="CU41" i="1"/>
  <c r="HX50" i="1"/>
  <c r="HZ50" i="1"/>
  <c r="HU50" i="1"/>
  <c r="ID50" i="1"/>
  <c r="HT50" i="1"/>
  <c r="HW50" i="1"/>
  <c r="HK50" i="1"/>
  <c r="HS51" i="1" s="1"/>
  <c r="HL51" i="1" s="1"/>
  <c r="HN51" i="1" s="1"/>
  <c r="HV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CU42" i="1" l="1"/>
  <c r="DA42" i="1" s="1"/>
  <c r="CX42" i="1"/>
  <c r="DN42" i="1" s="1"/>
  <c r="CV42" i="1"/>
  <c r="DL42" i="1" s="1"/>
  <c r="EN35" i="1"/>
  <c r="EQ35" i="1" s="1"/>
  <c r="EZ35" i="1" s="1"/>
  <c r="FC35" i="1" s="1"/>
  <c r="EO35" i="1"/>
  <c r="ER35" i="1" s="1"/>
  <c r="CS43" i="1"/>
  <c r="CU43" i="1" s="1"/>
  <c r="CY43" i="1" s="1"/>
  <c r="FG33" i="1"/>
  <c r="FJ33" i="1" s="1"/>
  <c r="GQ33" i="1" s="1"/>
  <c r="DM42" i="1"/>
  <c r="EV34" i="1"/>
  <c r="FB34" i="1"/>
  <c r="FA34" i="1"/>
  <c r="FY34" i="1"/>
  <c r="HE34" i="1" s="1"/>
  <c r="FF34" i="1"/>
  <c r="FI34" i="1" s="1"/>
  <c r="DM41" i="1"/>
  <c r="DA41" i="1"/>
  <c r="DQ41" i="1" s="1"/>
  <c r="CY41" i="1"/>
  <c r="DO41" i="1" s="1"/>
  <c r="CZ41" i="1"/>
  <c r="DP41" i="1" s="1"/>
  <c r="DN41" i="1"/>
  <c r="EP36" i="1"/>
  <c r="EQ36" i="1"/>
  <c r="EZ36" i="1" s="1"/>
  <c r="FC36" i="1" s="1"/>
  <c r="DL41" i="1"/>
  <c r="HV51" i="1"/>
  <c r="HU51" i="1"/>
  <c r="ID51" i="1"/>
  <c r="HZ51" i="1"/>
  <c r="HT51" i="1"/>
  <c r="HK51" i="1"/>
  <c r="HS52" i="1" s="1"/>
  <c r="HL52" i="1" s="1"/>
  <c r="HN52" i="1" s="1"/>
  <c r="HX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CZ42" i="1" l="1"/>
  <c r="DP42" i="1" s="1"/>
  <c r="DQ42" i="1"/>
  <c r="CY42" i="1"/>
  <c r="DO42" i="1" s="1"/>
  <c r="EP35" i="1"/>
  <c r="FA35" i="1" s="1"/>
  <c r="CT43" i="1"/>
  <c r="CW43" i="1" s="1"/>
  <c r="CZ43" i="1"/>
  <c r="DA43" i="1"/>
  <c r="FW33" i="1"/>
  <c r="FX33" i="1" s="1"/>
  <c r="FZ33" i="1" s="1"/>
  <c r="GD33" i="1" s="1"/>
  <c r="FM33" i="1"/>
  <c r="FN33" i="1" s="1"/>
  <c r="FR33" i="1" s="1"/>
  <c r="DR41" i="1"/>
  <c r="DW42" i="1"/>
  <c r="DX42" i="1" s="1"/>
  <c r="DR42" i="1"/>
  <c r="FY35" i="1"/>
  <c r="HE35" i="1" s="1"/>
  <c r="FF35" i="1"/>
  <c r="FI35" i="1" s="1"/>
  <c r="DW41" i="1"/>
  <c r="DX41" i="1" s="1"/>
  <c r="DV41" i="1"/>
  <c r="DS41" i="1"/>
  <c r="DU41" i="1"/>
  <c r="FY36" i="1"/>
  <c r="HE36" i="1" s="1"/>
  <c r="FF36" i="1"/>
  <c r="FI36" i="1" s="1"/>
  <c r="FL34" i="1"/>
  <c r="FO34" i="1"/>
  <c r="EV36" i="1"/>
  <c r="FA36" i="1"/>
  <c r="FB36" i="1"/>
  <c r="EW34" i="1"/>
  <c r="HB34" i="1"/>
  <c r="HF34" i="1" s="1"/>
  <c r="HH34" i="1" s="1"/>
  <c r="EX34" i="1"/>
  <c r="FD34" i="1"/>
  <c r="FV34" i="1" s="1"/>
  <c r="FE34" i="1"/>
  <c r="HU52" i="1"/>
  <c r="ID52" i="1"/>
  <c r="HK52" i="1"/>
  <c r="HS53" i="1" s="1"/>
  <c r="HL53" i="1" s="1"/>
  <c r="HN53" i="1" s="1"/>
  <c r="HV52" i="1"/>
  <c r="HW52" i="1"/>
  <c r="HZ52" i="1"/>
  <c r="HX52" i="1"/>
  <c r="HT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B35" i="1" l="1"/>
  <c r="FO35" i="1" s="1"/>
  <c r="EV35" i="1"/>
  <c r="HB35" i="1" s="1"/>
  <c r="HF35" i="1" s="1"/>
  <c r="HG35" i="1" s="1"/>
  <c r="DU42" i="1"/>
  <c r="CV43" i="1"/>
  <c r="DO43" i="1" s="1"/>
  <c r="DV42" i="1"/>
  <c r="DS42" i="1"/>
  <c r="CX43" i="1"/>
  <c r="EA41" i="1"/>
  <c r="GA33" i="1"/>
  <c r="GP33" i="1"/>
  <c r="FP33" i="1"/>
  <c r="GO33" i="1" s="1"/>
  <c r="FQ33" i="1"/>
  <c r="FS33" i="1" s="1"/>
  <c r="DY41" i="1"/>
  <c r="EA42" i="1"/>
  <c r="DZ41" i="1"/>
  <c r="BX50" i="1"/>
  <c r="CA50" i="1"/>
  <c r="BU50" i="1"/>
  <c r="FU34" i="1"/>
  <c r="FG34" i="1"/>
  <c r="DQ43" i="1"/>
  <c r="DN43" i="1"/>
  <c r="DP43" i="1"/>
  <c r="DM43" i="1"/>
  <c r="FH34" i="1"/>
  <c r="FL36" i="1"/>
  <c r="FO36" i="1"/>
  <c r="EW36" i="1"/>
  <c r="HB36" i="1"/>
  <c r="HF36" i="1" s="1"/>
  <c r="HG36" i="1" s="1"/>
  <c r="EX36" i="1"/>
  <c r="FD36" i="1"/>
  <c r="FV36" i="1" s="1"/>
  <c r="FE36" i="1"/>
  <c r="HG34" i="1"/>
  <c r="HZ53" i="1"/>
  <c r="HV53" i="1"/>
  <c r="ID53" i="1"/>
  <c r="HW53" i="1"/>
  <c r="HU53" i="1"/>
  <c r="HX53" i="1"/>
  <c r="HK53" i="1"/>
  <c r="HS54" i="1" s="1"/>
  <c r="HL54" i="1" s="1"/>
  <c r="HN54" i="1" s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51" i="1" s="1"/>
  <c r="BE51" i="1" s="1"/>
  <c r="BB48" i="1"/>
  <c r="BE48" i="1" s="1"/>
  <c r="FL35" i="1" l="1"/>
  <c r="FD35" i="1"/>
  <c r="FV35" i="1" s="1"/>
  <c r="FE35" i="1"/>
  <c r="EX35" i="1"/>
  <c r="EW35" i="1"/>
  <c r="DZ42" i="1"/>
  <c r="DL43" i="1"/>
  <c r="DW43" i="1" s="1"/>
  <c r="DX43" i="1" s="1"/>
  <c r="DY42" i="1"/>
  <c r="ED41" i="1"/>
  <c r="EH41" i="1" s="1"/>
  <c r="EC41" i="1"/>
  <c r="EG41" i="1" s="1"/>
  <c r="EB41" i="1"/>
  <c r="DU43" i="1"/>
  <c r="GC33" i="1"/>
  <c r="GB33" i="1"/>
  <c r="FT33" i="1"/>
  <c r="FU35" i="1"/>
  <c r="HQ24" i="1"/>
  <c r="HQ48" i="1"/>
  <c r="HH35" i="1"/>
  <c r="FH36" i="1"/>
  <c r="FU36" i="1"/>
  <c r="FG36" i="1"/>
  <c r="DR43" i="1"/>
  <c r="FM34" i="1"/>
  <c r="FN34" i="1" s="1"/>
  <c r="FW34" i="1"/>
  <c r="FX34" i="1" s="1"/>
  <c r="FZ34" i="1" s="1"/>
  <c r="FJ34" i="1"/>
  <c r="GQ34" i="1" s="1"/>
  <c r="HH36" i="1"/>
  <c r="BX51" i="1"/>
  <c r="BU51" i="1"/>
  <c r="CA51" i="1"/>
  <c r="DS43" i="1"/>
  <c r="CB50" i="1"/>
  <c r="CG50" i="1" s="1"/>
  <c r="CE50" i="1"/>
  <c r="CC50" i="1"/>
  <c r="HZ54" i="1"/>
  <c r="HV54" i="1"/>
  <c r="HW54" i="1"/>
  <c r="ID54" i="1"/>
  <c r="HX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H35" i="1" l="1"/>
  <c r="DV43" i="1"/>
  <c r="EB42" i="1"/>
  <c r="FG35" i="1"/>
  <c r="FJ35" i="1" s="1"/>
  <c r="GQ35" i="1" s="1"/>
  <c r="DY43" i="1"/>
  <c r="EC42" i="1"/>
  <c r="EF42" i="1" s="1"/>
  <c r="ED42" i="1"/>
  <c r="EJ42" i="1" s="1"/>
  <c r="EI41" i="1"/>
  <c r="EJ41" i="1"/>
  <c r="EL41" i="1"/>
  <c r="EF41" i="1"/>
  <c r="EK41" i="1"/>
  <c r="EE41" i="1"/>
  <c r="GG33" i="1"/>
  <c r="GI33" i="1"/>
  <c r="GE33" i="1"/>
  <c r="GF33" i="1" s="1"/>
  <c r="GH33" i="1"/>
  <c r="HQ54" i="1"/>
  <c r="BU52" i="1"/>
  <c r="BX52" i="1"/>
  <c r="CA52" i="1"/>
  <c r="FM35" i="1"/>
  <c r="FN35" i="1" s="1"/>
  <c r="FW35" i="1"/>
  <c r="FX35" i="1" s="1"/>
  <c r="FZ35" i="1" s="1"/>
  <c r="HR24" i="1"/>
  <c r="HR48" i="1"/>
  <c r="CE51" i="1"/>
  <c r="CC51" i="1"/>
  <c r="CB51" i="1"/>
  <c r="CG51" i="1" s="1"/>
  <c r="DZ43" i="1"/>
  <c r="EA43" i="1"/>
  <c r="CK50" i="1"/>
  <c r="CF50" i="1"/>
  <c r="CL50" i="1" s="1"/>
  <c r="CH50" i="1"/>
  <c r="CJ50" i="1"/>
  <c r="FM36" i="1"/>
  <c r="FN36" i="1" s="1"/>
  <c r="FJ36" i="1"/>
  <c r="GQ36" i="1" s="1"/>
  <c r="FW36" i="1"/>
  <c r="FX36" i="1" s="1"/>
  <c r="FZ36" i="1" s="1"/>
  <c r="GA34" i="1"/>
  <c r="GD34" i="1"/>
  <c r="GP34" i="1"/>
  <c r="FP34" i="1"/>
  <c r="FR34" i="1"/>
  <c r="FQ34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EK42" i="1" l="1"/>
  <c r="EL42" i="1"/>
  <c r="EO42" i="1" s="1"/>
  <c r="ER42" i="1" s="1"/>
  <c r="EH42" i="1"/>
  <c r="EE42" i="1"/>
  <c r="EG42" i="1"/>
  <c r="EI42" i="1"/>
  <c r="EN41" i="1"/>
  <c r="EO41" i="1"/>
  <c r="ER41" i="1" s="1"/>
  <c r="EM41" i="1"/>
  <c r="FS34" i="1"/>
  <c r="GY33" i="1"/>
  <c r="GZ33" i="1" s="1"/>
  <c r="GS33" i="1"/>
  <c r="GA35" i="1"/>
  <c r="GP35" i="1"/>
  <c r="GD35" i="1"/>
  <c r="FR35" i="1"/>
  <c r="FP35" i="1"/>
  <c r="FQ35" i="1"/>
  <c r="HM24" i="1"/>
  <c r="HM48" i="1"/>
  <c r="CC52" i="1"/>
  <c r="CB52" i="1"/>
  <c r="CG52" i="1" s="1"/>
  <c r="CE52" i="1"/>
  <c r="HR30" i="1"/>
  <c r="HR54" i="1"/>
  <c r="HR42" i="1"/>
  <c r="GD36" i="1"/>
  <c r="GP36" i="1"/>
  <c r="GA36" i="1"/>
  <c r="CN50" i="1"/>
  <c r="FR36" i="1"/>
  <c r="FP36" i="1"/>
  <c r="FQ36" i="1"/>
  <c r="FT34" i="1"/>
  <c r="EB43" i="1"/>
  <c r="ED43" i="1"/>
  <c r="EC43" i="1"/>
  <c r="CA53" i="1"/>
  <c r="BX53" i="1"/>
  <c r="BU53" i="1"/>
  <c r="GC34" i="1"/>
  <c r="GB34" i="1"/>
  <c r="GO34" i="1"/>
  <c r="CR50" i="1"/>
  <c r="CM50" i="1"/>
  <c r="CK51" i="1"/>
  <c r="CF51" i="1"/>
  <c r="CL51" i="1" s="1"/>
  <c r="CH51" i="1"/>
  <c r="CJ51" i="1"/>
  <c r="HQ42" i="1"/>
  <c r="FR32" i="1"/>
  <c r="FT32" i="1" s="1"/>
  <c r="FP32" i="1"/>
  <c r="GC32" i="1" s="1"/>
  <c r="GD32" i="1"/>
  <c r="GA32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EN42" i="1" l="1"/>
  <c r="EM42" i="1"/>
  <c r="EP41" i="1"/>
  <c r="EV41" i="1" s="1"/>
  <c r="EQ41" i="1"/>
  <c r="EZ41" i="1" s="1"/>
  <c r="FC41" i="1" s="1"/>
  <c r="FY41" i="1" s="1"/>
  <c r="HE41" i="1" s="1"/>
  <c r="GO32" i="1"/>
  <c r="GR33" i="1"/>
  <c r="GT33" i="1"/>
  <c r="HA33" i="1"/>
  <c r="HD33" i="1" s="1"/>
  <c r="FS35" i="1"/>
  <c r="CJ52" i="1"/>
  <c r="CM52" i="1" s="1"/>
  <c r="FT35" i="1"/>
  <c r="GB32" i="1"/>
  <c r="GG32" i="1" s="1"/>
  <c r="HM30" i="1"/>
  <c r="HM54" i="1"/>
  <c r="FS32" i="1"/>
  <c r="HM42" i="1"/>
  <c r="GO35" i="1"/>
  <c r="GC35" i="1"/>
  <c r="GB35" i="1"/>
  <c r="CP50" i="1"/>
  <c r="EP42" i="1"/>
  <c r="EQ42" i="1"/>
  <c r="EZ42" i="1" s="1"/>
  <c r="FC42" i="1" s="1"/>
  <c r="CK52" i="1"/>
  <c r="CF52" i="1"/>
  <c r="CL52" i="1" s="1"/>
  <c r="CH52" i="1"/>
  <c r="FS36" i="1"/>
  <c r="GE34" i="1"/>
  <c r="GF34" i="1" s="1"/>
  <c r="GG34" i="1"/>
  <c r="CN51" i="1"/>
  <c r="GH34" i="1"/>
  <c r="GO36" i="1"/>
  <c r="GC36" i="1"/>
  <c r="GB36" i="1"/>
  <c r="CQ50" i="1"/>
  <c r="CB53" i="1"/>
  <c r="CG53" i="1" s="1"/>
  <c r="CE53" i="1"/>
  <c r="CC53" i="1"/>
  <c r="FT36" i="1"/>
  <c r="CM51" i="1"/>
  <c r="CR51" i="1"/>
  <c r="EE43" i="1"/>
  <c r="EK43" i="1"/>
  <c r="EG43" i="1"/>
  <c r="EF43" i="1"/>
  <c r="CA54" i="1"/>
  <c r="BX54" i="1"/>
  <c r="BU54" i="1"/>
  <c r="GI34" i="1"/>
  <c r="EI43" i="1"/>
  <c r="EL43" i="1"/>
  <c r="EJ43" i="1"/>
  <c r="EH43" i="1"/>
  <c r="EG40" i="1"/>
  <c r="EI40" i="1"/>
  <c r="EN40" i="1" s="1"/>
  <c r="EH40" i="1"/>
  <c r="EM40" i="1" s="1"/>
  <c r="EJ40" i="1"/>
  <c r="EO40" i="1" s="1"/>
  <c r="ER40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FF41" i="1" l="1"/>
  <c r="FI41" i="1" s="1"/>
  <c r="FB41" i="1"/>
  <c r="FA41" i="1"/>
  <c r="GI32" i="1"/>
  <c r="GH32" i="1"/>
  <c r="GS32" i="1" s="1"/>
  <c r="GE32" i="1"/>
  <c r="GF32" i="1" s="1"/>
  <c r="HC33" i="1"/>
  <c r="CR52" i="1"/>
  <c r="GH35" i="1"/>
  <c r="IA24" i="1"/>
  <c r="IA48" i="1"/>
  <c r="GI35" i="1"/>
  <c r="FA42" i="1"/>
  <c r="FB42" i="1"/>
  <c r="EV42" i="1"/>
  <c r="HY24" i="1"/>
  <c r="HY48" i="1"/>
  <c r="CN52" i="1"/>
  <c r="CP52" i="1" s="1"/>
  <c r="FY42" i="1"/>
  <c r="HE42" i="1" s="1"/>
  <c r="FF42" i="1"/>
  <c r="FI42" i="1" s="1"/>
  <c r="GG35" i="1"/>
  <c r="GE35" i="1"/>
  <c r="GF35" i="1" s="1"/>
  <c r="GH36" i="1"/>
  <c r="CQ51" i="1"/>
  <c r="GE36" i="1"/>
  <c r="GF36" i="1" s="1"/>
  <c r="GG36" i="1"/>
  <c r="EX41" i="1"/>
  <c r="EW41" i="1"/>
  <c r="HB41" i="1"/>
  <c r="HF41" i="1" s="1"/>
  <c r="HH41" i="1" s="1"/>
  <c r="CE54" i="1"/>
  <c r="CC54" i="1"/>
  <c r="CB54" i="1"/>
  <c r="CG54" i="1" s="1"/>
  <c r="GI36" i="1"/>
  <c r="CF53" i="1"/>
  <c r="CL53" i="1" s="1"/>
  <c r="CH53" i="1"/>
  <c r="CK53" i="1"/>
  <c r="GS34" i="1"/>
  <c r="GY34" i="1"/>
  <c r="CS50" i="1"/>
  <c r="CU50" i="1" s="1"/>
  <c r="CJ53" i="1"/>
  <c r="CP51" i="1"/>
  <c r="EM43" i="1"/>
  <c r="EN43" i="1"/>
  <c r="EO43" i="1"/>
  <c r="ER43" i="1" s="1"/>
  <c r="EX37" i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HY54" i="1" s="1"/>
  <c r="GY31" i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L41" i="1" l="1"/>
  <c r="FD41" i="1"/>
  <c r="FV41" i="1" s="1"/>
  <c r="FE41" i="1"/>
  <c r="FH41" i="1" s="1"/>
  <c r="FO41" i="1"/>
  <c r="GY32" i="1"/>
  <c r="GR32" i="1" s="1"/>
  <c r="CS51" i="1"/>
  <c r="CU51" i="1" s="1"/>
  <c r="GS35" i="1"/>
  <c r="HA35" i="1" s="1"/>
  <c r="GY35" i="1"/>
  <c r="GZ35" i="1" s="1"/>
  <c r="HG41" i="1"/>
  <c r="GY36" i="1"/>
  <c r="GZ36" i="1" s="1"/>
  <c r="GS36" i="1"/>
  <c r="CQ52" i="1"/>
  <c r="CS52" i="1" s="1"/>
  <c r="CT52" i="1" s="1"/>
  <c r="FD42" i="1"/>
  <c r="FV42" i="1" s="1"/>
  <c r="EX42" i="1"/>
  <c r="EW42" i="1"/>
  <c r="HB42" i="1"/>
  <c r="HF42" i="1" s="1"/>
  <c r="HG42" i="1" s="1"/>
  <c r="FE42" i="1"/>
  <c r="IB24" i="1"/>
  <c r="IB48" i="1"/>
  <c r="IA42" i="1"/>
  <c r="FL42" i="1"/>
  <c r="FO42" i="1"/>
  <c r="IC24" i="1"/>
  <c r="IC48" i="1"/>
  <c r="IA30" i="1"/>
  <c r="IA54" i="1"/>
  <c r="IE24" i="1"/>
  <c r="IE48" i="1"/>
  <c r="CT50" i="1"/>
  <c r="CV50" i="1" s="1"/>
  <c r="CJ54" i="1"/>
  <c r="CZ50" i="1"/>
  <c r="CY50" i="1"/>
  <c r="DA50" i="1"/>
  <c r="CF54" i="1"/>
  <c r="CL54" i="1" s="1"/>
  <c r="CH54" i="1"/>
  <c r="CK54" i="1"/>
  <c r="GZ34" i="1"/>
  <c r="CM54" i="1"/>
  <c r="EP43" i="1"/>
  <c r="EQ43" i="1"/>
  <c r="EZ43" i="1" s="1"/>
  <c r="FC43" i="1" s="1"/>
  <c r="GR34" i="1"/>
  <c r="GT34" i="1"/>
  <c r="HA34" i="1"/>
  <c r="GT36" i="1"/>
  <c r="HA36" i="1"/>
  <c r="CN53" i="1"/>
  <c r="FU41" i="1"/>
  <c r="CM53" i="1"/>
  <c r="CR53" i="1"/>
  <c r="HY42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HY30" i="1"/>
  <c r="FL37" i="1"/>
  <c r="HH37" i="1"/>
  <c r="FD37" i="1"/>
  <c r="FG37" i="1" s="1"/>
  <c r="FW37" i="1" s="1"/>
  <c r="FE37" i="1"/>
  <c r="FH37" i="1" s="1"/>
  <c r="FO37" i="1"/>
  <c r="DL46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G41" i="1" l="1"/>
  <c r="FW41" i="1" s="1"/>
  <c r="FX41" i="1" s="1"/>
  <c r="FZ41" i="1" s="1"/>
  <c r="GR36" i="1"/>
  <c r="GZ32" i="1"/>
  <c r="HH42" i="1"/>
  <c r="GT35" i="1"/>
  <c r="CX50" i="1"/>
  <c r="DQ50" i="1" s="1"/>
  <c r="CT51" i="1"/>
  <c r="CV51" i="1" s="1"/>
  <c r="CW50" i="1"/>
  <c r="DP50" i="1" s="1"/>
  <c r="GR35" i="1"/>
  <c r="CP53" i="1"/>
  <c r="CV52" i="1"/>
  <c r="CW52" i="1"/>
  <c r="CX52" i="1"/>
  <c r="FU42" i="1"/>
  <c r="FG42" i="1"/>
  <c r="CU52" i="1"/>
  <c r="FH42" i="1"/>
  <c r="IB30" i="1"/>
  <c r="IB54" i="1"/>
  <c r="IB42" i="1"/>
  <c r="HD35" i="1"/>
  <c r="HC35" i="1"/>
  <c r="IE30" i="1"/>
  <c r="IE54" i="1"/>
  <c r="IC30" i="1"/>
  <c r="IC54" i="1"/>
  <c r="CN54" i="1"/>
  <c r="CQ54" i="1" s="1"/>
  <c r="EV43" i="1"/>
  <c r="FA43" i="1"/>
  <c r="FB43" i="1"/>
  <c r="HD36" i="1"/>
  <c r="HC36" i="1"/>
  <c r="DL50" i="1"/>
  <c r="HC34" i="1"/>
  <c r="HD34" i="1"/>
  <c r="CR54" i="1"/>
  <c r="DO50" i="1"/>
  <c r="FF43" i="1"/>
  <c r="FI43" i="1" s="1"/>
  <c r="FY43" i="1"/>
  <c r="HE43" i="1" s="1"/>
  <c r="CZ51" i="1"/>
  <c r="CY51" i="1"/>
  <c r="DA51" i="1"/>
  <c r="CQ53" i="1"/>
  <c r="IE42" i="1"/>
  <c r="IC42" i="1"/>
  <c r="FM38" i="1"/>
  <c r="FN38" i="1" s="1"/>
  <c r="FQ38" i="1" s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FM41" i="1" l="1"/>
  <c r="FN41" i="1" s="1"/>
  <c r="FR41" i="1" s="1"/>
  <c r="FJ41" i="1"/>
  <c r="GQ41" i="1" s="1"/>
  <c r="HQ25" i="1" s="1"/>
  <c r="CP54" i="1"/>
  <c r="DM50" i="1"/>
  <c r="CW51" i="1"/>
  <c r="DM51" i="1" s="1"/>
  <c r="DN50" i="1"/>
  <c r="CX51" i="1"/>
  <c r="DN51" i="1" s="1"/>
  <c r="CY52" i="1"/>
  <c r="DO52" i="1" s="1"/>
  <c r="CZ52" i="1"/>
  <c r="DP52" i="1" s="1"/>
  <c r="DA52" i="1"/>
  <c r="DQ52" i="1" s="1"/>
  <c r="FM42" i="1"/>
  <c r="FN42" i="1" s="1"/>
  <c r="FW42" i="1"/>
  <c r="FX42" i="1" s="1"/>
  <c r="FZ42" i="1" s="1"/>
  <c r="FJ42" i="1"/>
  <c r="GQ42" i="1" s="1"/>
  <c r="DN52" i="1"/>
  <c r="DM52" i="1"/>
  <c r="DL52" i="1"/>
  <c r="DO51" i="1"/>
  <c r="DU50" i="1"/>
  <c r="FL43" i="1"/>
  <c r="FO43" i="1"/>
  <c r="EW43" i="1"/>
  <c r="HB43" i="1"/>
  <c r="HF43" i="1" s="1"/>
  <c r="HG43" i="1" s="1"/>
  <c r="EX43" i="1"/>
  <c r="FD43" i="1"/>
  <c r="FV43" i="1" s="1"/>
  <c r="FE43" i="1"/>
  <c r="CS54" i="1"/>
  <c r="CT54" i="1" s="1"/>
  <c r="FP41" i="1"/>
  <c r="DS50" i="1"/>
  <c r="GA41" i="1"/>
  <c r="GD41" i="1"/>
  <c r="GP41" i="1"/>
  <c r="HR25" i="1" s="1"/>
  <c r="DL51" i="1"/>
  <c r="CA58" i="1"/>
  <c r="BU58" i="1"/>
  <c r="BX58" i="1"/>
  <c r="CS53" i="1"/>
  <c r="CT53" i="1" s="1"/>
  <c r="HQ36" i="1"/>
  <c r="HR36" i="1"/>
  <c r="FP38" i="1"/>
  <c r="GC38" i="1" s="1"/>
  <c r="FR38" i="1"/>
  <c r="FS38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HR14" i="1" s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FQ41" i="1" l="1"/>
  <c r="FS41" i="1" s="1"/>
  <c r="DP51" i="1"/>
  <c r="DV50" i="1"/>
  <c r="DW50" i="1"/>
  <c r="DX50" i="1" s="1"/>
  <c r="DR50" i="1"/>
  <c r="DY50" i="1"/>
  <c r="DQ51" i="1"/>
  <c r="GA42" i="1"/>
  <c r="GP42" i="1"/>
  <c r="GD42" i="1"/>
  <c r="DV52" i="1"/>
  <c r="DR52" i="1"/>
  <c r="DW52" i="1"/>
  <c r="DX52" i="1" s="1"/>
  <c r="FR42" i="1"/>
  <c r="FQ42" i="1"/>
  <c r="FP42" i="1"/>
  <c r="BX59" i="1"/>
  <c r="CA59" i="1"/>
  <c r="BU59" i="1"/>
  <c r="DS52" i="1"/>
  <c r="DU52" i="1"/>
  <c r="CU53" i="1"/>
  <c r="CY53" i="1" s="1"/>
  <c r="FH43" i="1"/>
  <c r="CU54" i="1"/>
  <c r="CY54" i="1" s="1"/>
  <c r="DA54" i="1"/>
  <c r="FU43" i="1"/>
  <c r="FG43" i="1"/>
  <c r="CV54" i="1"/>
  <c r="CW54" i="1"/>
  <c r="CX54" i="1"/>
  <c r="CE58" i="1"/>
  <c r="CC58" i="1"/>
  <c r="CB58" i="1"/>
  <c r="CG58" i="1" s="1"/>
  <c r="GB41" i="1"/>
  <c r="GO41" i="1"/>
  <c r="HM25" i="1" s="1"/>
  <c r="GC41" i="1"/>
  <c r="HH43" i="1"/>
  <c r="CV53" i="1"/>
  <c r="CX53" i="1"/>
  <c r="CW53" i="1"/>
  <c r="DW51" i="1"/>
  <c r="DX51" i="1" s="1"/>
  <c r="DR51" i="1"/>
  <c r="GO38" i="1"/>
  <c r="GB38" i="1"/>
  <c r="GH38" i="1" s="1"/>
  <c r="FT38" i="1"/>
  <c r="HM36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HQ41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FT41" i="1" l="1"/>
  <c r="FS42" i="1"/>
  <c r="CZ53" i="1"/>
  <c r="DP53" i="1" s="1"/>
  <c r="DA53" i="1"/>
  <c r="CZ54" i="1"/>
  <c r="DP54" i="1" s="1"/>
  <c r="DS51" i="1"/>
  <c r="DZ50" i="1"/>
  <c r="EA50" i="1"/>
  <c r="DV51" i="1"/>
  <c r="DU51" i="1"/>
  <c r="DY52" i="1"/>
  <c r="EA52" i="1"/>
  <c r="DO54" i="1"/>
  <c r="CC59" i="1"/>
  <c r="CE59" i="1"/>
  <c r="CJ59" i="1" s="1"/>
  <c r="CB59" i="1"/>
  <c r="CG59" i="1" s="1"/>
  <c r="BX60" i="1"/>
  <c r="CA60" i="1"/>
  <c r="BU60" i="1"/>
  <c r="DZ52" i="1"/>
  <c r="GC42" i="1"/>
  <c r="GO42" i="1"/>
  <c r="GB42" i="1"/>
  <c r="FT42" i="1"/>
  <c r="CJ58" i="1"/>
  <c r="GE41" i="1"/>
  <c r="GF41" i="1" s="1"/>
  <c r="GG41" i="1"/>
  <c r="DQ54" i="1"/>
  <c r="DS54" i="1" s="1"/>
  <c r="EA51" i="1"/>
  <c r="CK58" i="1"/>
  <c r="CH58" i="1"/>
  <c r="CF58" i="1"/>
  <c r="CL58" i="1" s="1"/>
  <c r="DM53" i="1"/>
  <c r="CM58" i="1"/>
  <c r="DN53" i="1"/>
  <c r="DN54" i="1"/>
  <c r="GI41" i="1"/>
  <c r="DL53" i="1"/>
  <c r="DM54" i="1"/>
  <c r="DQ53" i="1"/>
  <c r="DL54" i="1"/>
  <c r="GH41" i="1"/>
  <c r="DO53" i="1"/>
  <c r="FW43" i="1"/>
  <c r="FX43" i="1" s="1"/>
  <c r="FZ43" i="1" s="1"/>
  <c r="FM43" i="1"/>
  <c r="FN43" i="1" s="1"/>
  <c r="FJ43" i="1"/>
  <c r="GQ43" i="1" s="1"/>
  <c r="HQ47" i="1"/>
  <c r="GG38" i="1"/>
  <c r="GS38" i="1" s="1"/>
  <c r="GI38" i="1"/>
  <c r="GY38" i="1" s="1"/>
  <c r="IA36" i="1" s="1"/>
  <c r="GE38" i="1"/>
  <c r="GF38" i="1" s="1"/>
  <c r="HQ35" i="1"/>
  <c r="HQ29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41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GI42" i="1" l="1"/>
  <c r="DY51" i="1"/>
  <c r="DZ51" i="1"/>
  <c r="ED50" i="1"/>
  <c r="EI50" i="1" s="1"/>
  <c r="EB50" i="1"/>
  <c r="EC50" i="1"/>
  <c r="EG50" i="1" s="1"/>
  <c r="EB52" i="1"/>
  <c r="EC52" i="1"/>
  <c r="ED52" i="1"/>
  <c r="CE60" i="1"/>
  <c r="CC60" i="1"/>
  <c r="CB60" i="1"/>
  <c r="CG60" i="1" s="1"/>
  <c r="BU61" i="1"/>
  <c r="CA61" i="1"/>
  <c r="BX61" i="1"/>
  <c r="GG42" i="1"/>
  <c r="GE42" i="1"/>
  <c r="GF42" i="1" s="1"/>
  <c r="CM59" i="1"/>
  <c r="CK59" i="1"/>
  <c r="CR59" i="1" s="1"/>
  <c r="CH59" i="1"/>
  <c r="CF59" i="1"/>
  <c r="CL59" i="1" s="1"/>
  <c r="GH42" i="1"/>
  <c r="DU54" i="1"/>
  <c r="DY54" i="1" s="1"/>
  <c r="FQ43" i="1"/>
  <c r="FP43" i="1"/>
  <c r="FR43" i="1"/>
  <c r="DV53" i="1"/>
  <c r="DW53" i="1"/>
  <c r="DX53" i="1" s="1"/>
  <c r="DR53" i="1"/>
  <c r="GA43" i="1"/>
  <c r="GP43" i="1"/>
  <c r="GD43" i="1"/>
  <c r="DR54" i="1"/>
  <c r="DV54" i="1"/>
  <c r="DW54" i="1"/>
  <c r="DX54" i="1" s="1"/>
  <c r="DS53" i="1"/>
  <c r="DU53" i="1"/>
  <c r="GS41" i="1"/>
  <c r="HY25" i="1" s="1"/>
  <c r="GY41" i="1"/>
  <c r="IA25" i="1" s="1"/>
  <c r="CN58" i="1"/>
  <c r="CP58" i="1" s="1"/>
  <c r="CR58" i="1"/>
  <c r="HR47" i="1"/>
  <c r="HY36" i="1"/>
  <c r="HR35" i="1"/>
  <c r="HR29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41" i="1" s="1"/>
  <c r="GB39" i="1"/>
  <c r="GC39" i="1"/>
  <c r="FL44" i="1"/>
  <c r="FO44" i="1"/>
  <c r="ED48" i="1"/>
  <c r="EB48" i="1"/>
  <c r="EC48" i="1"/>
  <c r="DZ54" i="1" l="1"/>
  <c r="CJ60" i="1"/>
  <c r="CM60" i="1" s="1"/>
  <c r="CK60" i="1"/>
  <c r="CR60" i="1" s="1"/>
  <c r="CF60" i="1"/>
  <c r="CL60" i="1" s="1"/>
  <c r="CH60" i="1"/>
  <c r="EB51" i="1"/>
  <c r="ED51" i="1"/>
  <c r="EH51" i="1" s="1"/>
  <c r="EC51" i="1"/>
  <c r="EG51" i="1" s="1"/>
  <c r="EF50" i="1"/>
  <c r="EL50" i="1"/>
  <c r="EJ50" i="1"/>
  <c r="EH50" i="1"/>
  <c r="EE50" i="1"/>
  <c r="EK50" i="1"/>
  <c r="EA54" i="1"/>
  <c r="ED54" i="1" s="1"/>
  <c r="CB61" i="1"/>
  <c r="CG61" i="1" s="1"/>
  <c r="CE61" i="1"/>
  <c r="CJ61" i="1" s="1"/>
  <c r="CC61" i="1"/>
  <c r="EA53" i="1"/>
  <c r="GY42" i="1"/>
  <c r="GZ42" i="1" s="1"/>
  <c r="GS42" i="1"/>
  <c r="EL52" i="1"/>
  <c r="EH52" i="1"/>
  <c r="EI52" i="1"/>
  <c r="EJ52" i="1"/>
  <c r="CN59" i="1"/>
  <c r="CP59" i="1" s="1"/>
  <c r="EK52" i="1"/>
  <c r="EF52" i="1"/>
  <c r="EE52" i="1"/>
  <c r="EG52" i="1"/>
  <c r="FT43" i="1"/>
  <c r="CQ58" i="1"/>
  <c r="CS58" i="1" s="1"/>
  <c r="CU58" i="1" s="1"/>
  <c r="DY53" i="1"/>
  <c r="DZ53" i="1"/>
  <c r="GZ41" i="1"/>
  <c r="IE25" i="1" s="1"/>
  <c r="GR41" i="1"/>
  <c r="IB25" i="1" s="1"/>
  <c r="GT41" i="1"/>
  <c r="IC25" i="1" s="1"/>
  <c r="HA41" i="1"/>
  <c r="EB54" i="1"/>
  <c r="EC54" i="1"/>
  <c r="GB43" i="1"/>
  <c r="GO43" i="1"/>
  <c r="GC43" i="1"/>
  <c r="FS43" i="1"/>
  <c r="HM47" i="1"/>
  <c r="IB36" i="1"/>
  <c r="IC36" i="1"/>
  <c r="IE36" i="1"/>
  <c r="HM35" i="1"/>
  <c r="HM29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GH43" i="1" l="1"/>
  <c r="CN60" i="1"/>
  <c r="CK61" i="1"/>
  <c r="CR61" i="1" s="1"/>
  <c r="CF61" i="1"/>
  <c r="CL61" i="1" s="1"/>
  <c r="CH61" i="1"/>
  <c r="CM61" i="1"/>
  <c r="EJ51" i="1"/>
  <c r="EI51" i="1"/>
  <c r="EL51" i="1"/>
  <c r="EK51" i="1"/>
  <c r="EE51" i="1"/>
  <c r="EF51" i="1"/>
  <c r="EN50" i="1"/>
  <c r="EO50" i="1"/>
  <c r="ER50" i="1" s="1"/>
  <c r="EM50" i="1"/>
  <c r="CP60" i="1"/>
  <c r="CQ60" i="1"/>
  <c r="EO52" i="1"/>
  <c r="ER52" i="1" s="1"/>
  <c r="EM52" i="1"/>
  <c r="EN52" i="1"/>
  <c r="CQ59" i="1"/>
  <c r="GT42" i="1"/>
  <c r="GR42" i="1"/>
  <c r="HA42" i="1"/>
  <c r="CT58" i="1"/>
  <c r="CV58" i="1" s="1"/>
  <c r="HC41" i="1"/>
  <c r="HD41" i="1"/>
  <c r="GG43" i="1"/>
  <c r="GE43" i="1"/>
  <c r="GF43" i="1" s="1"/>
  <c r="GI43" i="1"/>
  <c r="CX58" i="1"/>
  <c r="EC53" i="1"/>
  <c r="ED53" i="1"/>
  <c r="EB53" i="1"/>
  <c r="EL54" i="1"/>
  <c r="EH54" i="1"/>
  <c r="EJ54" i="1"/>
  <c r="EI54" i="1"/>
  <c r="CY58" i="1"/>
  <c r="CZ58" i="1"/>
  <c r="DA58" i="1"/>
  <c r="EK54" i="1"/>
  <c r="EE54" i="1"/>
  <c r="EG54" i="1"/>
  <c r="EF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41" i="1" s="1"/>
  <c r="GY39" i="1"/>
  <c r="IA41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GY43" i="1" l="1"/>
  <c r="GZ43" i="1" s="1"/>
  <c r="GS43" i="1"/>
  <c r="GT43" i="1" s="1"/>
  <c r="CW58" i="1"/>
  <c r="CN61" i="1"/>
  <c r="EM51" i="1"/>
  <c r="EN51" i="1"/>
  <c r="EO51" i="1"/>
  <c r="ER51" i="1" s="1"/>
  <c r="EP50" i="1"/>
  <c r="EQ50" i="1"/>
  <c r="EZ50" i="1" s="1"/>
  <c r="FC50" i="1" s="1"/>
  <c r="FF50" i="1" s="1"/>
  <c r="FI50" i="1" s="1"/>
  <c r="HQ14" i="1"/>
  <c r="HQ53" i="1"/>
  <c r="CQ61" i="1"/>
  <c r="CP61" i="1"/>
  <c r="CS60" i="1"/>
  <c r="CT60" i="1"/>
  <c r="CU60" i="1"/>
  <c r="EQ52" i="1"/>
  <c r="EZ52" i="1" s="1"/>
  <c r="FC52" i="1" s="1"/>
  <c r="EP52" i="1"/>
  <c r="IA47" i="1"/>
  <c r="HD42" i="1"/>
  <c r="HC42" i="1"/>
  <c r="CS59" i="1"/>
  <c r="CU59" i="1" s="1"/>
  <c r="BU62" i="1"/>
  <c r="BX62" i="1"/>
  <c r="CA62" i="1"/>
  <c r="HY47" i="1"/>
  <c r="HA43" i="1"/>
  <c r="EL53" i="1"/>
  <c r="EJ53" i="1"/>
  <c r="EI53" i="1"/>
  <c r="EH53" i="1"/>
  <c r="EK53" i="1"/>
  <c r="EF53" i="1"/>
  <c r="EG53" i="1"/>
  <c r="EE53" i="1"/>
  <c r="DQ58" i="1"/>
  <c r="DN58" i="1"/>
  <c r="EN54" i="1"/>
  <c r="DP58" i="1"/>
  <c r="DM58" i="1"/>
  <c r="EO54" i="1"/>
  <c r="ER54" i="1" s="1"/>
  <c r="DO58" i="1"/>
  <c r="DL58" i="1"/>
  <c r="EM54" i="1"/>
  <c r="IA29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Y35" i="1"/>
  <c r="HA39" i="1"/>
  <c r="HD39" i="1" s="1"/>
  <c r="HY29" i="1"/>
  <c r="GZ40" i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41" i="1" s="1"/>
  <c r="HA40" i="1"/>
  <c r="HC40" i="1" s="1"/>
  <c r="GR40" i="1"/>
  <c r="GR39" i="1"/>
  <c r="IB41" i="1" s="1"/>
  <c r="GT39" i="1"/>
  <c r="IC41" i="1" s="1"/>
  <c r="FH45" i="1"/>
  <c r="CU56" i="1"/>
  <c r="CY56" i="1" s="1"/>
  <c r="GA44" i="1"/>
  <c r="GP44" i="1"/>
  <c r="HR53" i="1" s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GR43" i="1" l="1"/>
  <c r="CT59" i="1"/>
  <c r="EP51" i="1"/>
  <c r="EV51" i="1" s="1"/>
  <c r="EX51" i="1" s="1"/>
  <c r="EQ51" i="1"/>
  <c r="EZ51" i="1" s="1"/>
  <c r="FC51" i="1" s="1"/>
  <c r="FF51" i="1" s="1"/>
  <c r="FI51" i="1" s="1"/>
  <c r="FY50" i="1"/>
  <c r="HE50" i="1" s="1"/>
  <c r="FA50" i="1"/>
  <c r="EV50" i="1"/>
  <c r="EW50" i="1" s="1"/>
  <c r="FB50" i="1"/>
  <c r="CY60" i="1"/>
  <c r="CZ60" i="1"/>
  <c r="DA60" i="1"/>
  <c r="CV60" i="1"/>
  <c r="CW60" i="1"/>
  <c r="CX60" i="1"/>
  <c r="CS61" i="1"/>
  <c r="CU61" i="1" s="1"/>
  <c r="CY59" i="1"/>
  <c r="CZ59" i="1"/>
  <c r="DA59" i="1"/>
  <c r="CV59" i="1"/>
  <c r="CW59" i="1"/>
  <c r="CX59" i="1"/>
  <c r="CB62" i="1"/>
  <c r="CG62" i="1" s="1"/>
  <c r="CC62" i="1"/>
  <c r="CE62" i="1"/>
  <c r="CA63" i="1"/>
  <c r="BX63" i="1"/>
  <c r="BU63" i="1"/>
  <c r="EV52" i="1"/>
  <c r="FA52" i="1"/>
  <c r="FB52" i="1"/>
  <c r="FF52" i="1"/>
  <c r="FI52" i="1" s="1"/>
  <c r="FY52" i="1"/>
  <c r="HE52" i="1" s="1"/>
  <c r="DS58" i="1"/>
  <c r="DU58" i="1"/>
  <c r="DW58" i="1"/>
  <c r="DX58" i="1" s="1"/>
  <c r="DR58" i="1"/>
  <c r="DV58" i="1"/>
  <c r="EO53" i="1"/>
  <c r="ER53" i="1" s="1"/>
  <c r="EM53" i="1"/>
  <c r="EN53" i="1"/>
  <c r="EW51" i="1"/>
  <c r="EQ54" i="1"/>
  <c r="EZ54" i="1" s="1"/>
  <c r="FC54" i="1" s="1"/>
  <c r="EP54" i="1"/>
  <c r="HD43" i="1"/>
  <c r="HC43" i="1"/>
  <c r="IB47" i="1"/>
  <c r="IC47" i="1"/>
  <c r="IE47" i="1"/>
  <c r="IB35" i="1"/>
  <c r="IC35" i="1"/>
  <c r="IE35" i="1"/>
  <c r="HC39" i="1"/>
  <c r="IC29" i="1"/>
  <c r="IB29" i="1"/>
  <c r="IE29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Y58" i="1" l="1"/>
  <c r="HB51" i="1"/>
  <c r="HF51" i="1" s="1"/>
  <c r="CJ62" i="1"/>
  <c r="CK62" i="1"/>
  <c r="CR62" i="1" s="1"/>
  <c r="CH62" i="1"/>
  <c r="CF62" i="1"/>
  <c r="CL62" i="1" s="1"/>
  <c r="CM62" i="1"/>
  <c r="FB51" i="1"/>
  <c r="FY51" i="1"/>
  <c r="HE51" i="1" s="1"/>
  <c r="HH51" i="1" s="1"/>
  <c r="FA51" i="1"/>
  <c r="FL50" i="1"/>
  <c r="FO50" i="1"/>
  <c r="FD50" i="1"/>
  <c r="FV50" i="1" s="1"/>
  <c r="FE50" i="1"/>
  <c r="EX50" i="1"/>
  <c r="HB50" i="1"/>
  <c r="HF50" i="1" s="1"/>
  <c r="HH50" i="1" s="1"/>
  <c r="DZ58" i="1"/>
  <c r="HM14" i="1"/>
  <c r="HM53" i="1"/>
  <c r="CY61" i="1"/>
  <c r="CZ61" i="1"/>
  <c r="DA61" i="1"/>
  <c r="CT61" i="1"/>
  <c r="DN60" i="1"/>
  <c r="DM60" i="1"/>
  <c r="DL60" i="1"/>
  <c r="DQ60" i="1"/>
  <c r="DP60" i="1"/>
  <c r="DO60" i="1"/>
  <c r="CN62" i="1"/>
  <c r="FL52" i="1"/>
  <c r="FO52" i="1"/>
  <c r="DN59" i="1"/>
  <c r="FD52" i="1"/>
  <c r="FV52" i="1" s="1"/>
  <c r="FE52" i="1"/>
  <c r="EX52" i="1"/>
  <c r="HB52" i="1"/>
  <c r="HF52" i="1" s="1"/>
  <c r="HG52" i="1" s="1"/>
  <c r="EW52" i="1"/>
  <c r="DM59" i="1"/>
  <c r="DL59" i="1"/>
  <c r="BX64" i="1"/>
  <c r="BU64" i="1"/>
  <c r="CA64" i="1"/>
  <c r="DQ59" i="1"/>
  <c r="CB63" i="1"/>
  <c r="CG63" i="1" s="1"/>
  <c r="CE63" i="1"/>
  <c r="CC63" i="1"/>
  <c r="DP59" i="1"/>
  <c r="DO59" i="1"/>
  <c r="EA58" i="1"/>
  <c r="EB58" i="1" s="1"/>
  <c r="FU51" i="1"/>
  <c r="FB54" i="1"/>
  <c r="FA54" i="1"/>
  <c r="EV54" i="1"/>
  <c r="FF54" i="1"/>
  <c r="FI54" i="1" s="1"/>
  <c r="FY54" i="1"/>
  <c r="HE54" i="1" s="1"/>
  <c r="FU50" i="1"/>
  <c r="EP53" i="1"/>
  <c r="EQ53" i="1"/>
  <c r="EZ53" i="1" s="1"/>
  <c r="FC53" i="1" s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G50" i="1" l="1"/>
  <c r="FW50" i="1" s="1"/>
  <c r="FX50" i="1" s="1"/>
  <c r="FZ50" i="1" s="1"/>
  <c r="EC58" i="1"/>
  <c r="ED58" i="1"/>
  <c r="HG51" i="1"/>
  <c r="FL51" i="1"/>
  <c r="FO51" i="1"/>
  <c r="FE51" i="1"/>
  <c r="FH51" i="1" s="1"/>
  <c r="FD51" i="1"/>
  <c r="FV51" i="1" s="1"/>
  <c r="HG50" i="1"/>
  <c r="FH50" i="1"/>
  <c r="HH52" i="1"/>
  <c r="CJ63" i="1"/>
  <c r="CM63" i="1" s="1"/>
  <c r="CK63" i="1"/>
  <c r="CH63" i="1"/>
  <c r="CF63" i="1"/>
  <c r="CL63" i="1" s="1"/>
  <c r="BU65" i="1"/>
  <c r="CA65" i="1"/>
  <c r="BX65" i="1"/>
  <c r="FH52" i="1"/>
  <c r="DR60" i="1"/>
  <c r="DV60" i="1"/>
  <c r="DW60" i="1"/>
  <c r="DX60" i="1" s="1"/>
  <c r="CV61" i="1"/>
  <c r="DO61" i="1" s="1"/>
  <c r="CW61" i="1"/>
  <c r="DP61" i="1" s="1"/>
  <c r="CX61" i="1"/>
  <c r="DQ61" i="1" s="1"/>
  <c r="DS60" i="1"/>
  <c r="DU60" i="1"/>
  <c r="CP62" i="1"/>
  <c r="CQ62" i="1"/>
  <c r="DS59" i="1"/>
  <c r="DU59" i="1"/>
  <c r="CB64" i="1"/>
  <c r="CG64" i="1" s="1"/>
  <c r="CC64" i="1"/>
  <c r="CE64" i="1"/>
  <c r="FG52" i="1"/>
  <c r="FU52" i="1"/>
  <c r="DW59" i="1"/>
  <c r="DX59" i="1" s="1"/>
  <c r="DR59" i="1"/>
  <c r="DV59" i="1"/>
  <c r="FA53" i="1"/>
  <c r="FB53" i="1"/>
  <c r="EV53" i="1"/>
  <c r="FD54" i="1"/>
  <c r="FV54" i="1" s="1"/>
  <c r="FE54" i="1"/>
  <c r="HB54" i="1"/>
  <c r="HF54" i="1" s="1"/>
  <c r="HH54" i="1" s="1"/>
  <c r="EW54" i="1"/>
  <c r="EX54" i="1"/>
  <c r="FL54" i="1"/>
  <c r="FO54" i="1"/>
  <c r="EK58" i="1"/>
  <c r="EF58" i="1"/>
  <c r="EG58" i="1"/>
  <c r="EE58" i="1"/>
  <c r="EH58" i="1"/>
  <c r="EL58" i="1"/>
  <c r="EI58" i="1"/>
  <c r="EJ58" i="1"/>
  <c r="FF53" i="1"/>
  <c r="FI53" i="1" s="1"/>
  <c r="FY53" i="1"/>
  <c r="HE53" i="1" s="1"/>
  <c r="HQ9" i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FJ50" i="1" l="1"/>
  <c r="GQ50" i="1" s="1"/>
  <c r="FM50" i="1"/>
  <c r="FN50" i="1" s="1"/>
  <c r="FR50" i="1" s="1"/>
  <c r="DY60" i="1"/>
  <c r="CJ64" i="1"/>
  <c r="DZ59" i="1"/>
  <c r="EA59" i="1"/>
  <c r="DZ60" i="1"/>
  <c r="EA60" i="1"/>
  <c r="ED60" i="1" s="1"/>
  <c r="FG51" i="1"/>
  <c r="FJ51" i="1" s="1"/>
  <c r="GQ51" i="1" s="1"/>
  <c r="CR63" i="1"/>
  <c r="CN63" i="1"/>
  <c r="CQ63" i="1" s="1"/>
  <c r="EN58" i="1"/>
  <c r="CA66" i="1"/>
  <c r="BX66" i="1"/>
  <c r="BU66" i="1"/>
  <c r="CM64" i="1"/>
  <c r="CK64" i="1"/>
  <c r="CR64" i="1" s="1"/>
  <c r="CH64" i="1"/>
  <c r="CF64" i="1"/>
  <c r="CL64" i="1" s="1"/>
  <c r="IA14" i="1"/>
  <c r="IA53" i="1"/>
  <c r="CC65" i="1"/>
  <c r="CE65" i="1"/>
  <c r="CB65" i="1"/>
  <c r="CG65" i="1" s="1"/>
  <c r="HY14" i="1"/>
  <c r="HY53" i="1"/>
  <c r="DU61" i="1"/>
  <c r="DS61" i="1"/>
  <c r="EC60" i="1"/>
  <c r="EB60" i="1"/>
  <c r="DN61" i="1"/>
  <c r="DL61" i="1"/>
  <c r="CS62" i="1"/>
  <c r="CU62" i="1" s="1"/>
  <c r="DM61" i="1"/>
  <c r="FH54" i="1"/>
  <c r="DY59" i="1"/>
  <c r="ED59" i="1" s="1"/>
  <c r="HQ23" i="1"/>
  <c r="FJ52" i="1"/>
  <c r="GQ52" i="1" s="1"/>
  <c r="HQ15" i="1" s="1"/>
  <c r="FM52" i="1"/>
  <c r="FN52" i="1" s="1"/>
  <c r="FW52" i="1"/>
  <c r="FX52" i="1" s="1"/>
  <c r="FZ52" i="1" s="1"/>
  <c r="FG54" i="1"/>
  <c r="FU54" i="1"/>
  <c r="GP50" i="1"/>
  <c r="GA50" i="1"/>
  <c r="GD50" i="1"/>
  <c r="HG54" i="1"/>
  <c r="EX53" i="1"/>
  <c r="HB53" i="1"/>
  <c r="HF53" i="1" s="1"/>
  <c r="HG53" i="1" s="1"/>
  <c r="EW53" i="1"/>
  <c r="FE53" i="1"/>
  <c r="FD53" i="1"/>
  <c r="FV53" i="1" s="1"/>
  <c r="EM58" i="1"/>
  <c r="EO58" i="1"/>
  <c r="ER58" i="1" s="1"/>
  <c r="FL53" i="1"/>
  <c r="FO53" i="1"/>
  <c r="HR9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FQ50" i="1" l="1"/>
  <c r="FS50" i="1" s="1"/>
  <c r="FP50" i="1"/>
  <c r="HQ11" i="1"/>
  <c r="CT62" i="1"/>
  <c r="CN64" i="1"/>
  <c r="FW51" i="1"/>
  <c r="FX51" i="1" s="1"/>
  <c r="FZ51" i="1" s="1"/>
  <c r="FM51" i="1"/>
  <c r="FN51" i="1" s="1"/>
  <c r="FR51" i="1" s="1"/>
  <c r="CJ65" i="1"/>
  <c r="CM65" i="1" s="1"/>
  <c r="CP63" i="1"/>
  <c r="CS63" i="1" s="1"/>
  <c r="CT63" i="1" s="1"/>
  <c r="CA67" i="1"/>
  <c r="BU67" i="1"/>
  <c r="BX67" i="1"/>
  <c r="IE14" i="1"/>
  <c r="IE53" i="1"/>
  <c r="IB14" i="1"/>
  <c r="IB53" i="1"/>
  <c r="CK65" i="1"/>
  <c r="CF65" i="1"/>
  <c r="CL65" i="1" s="1"/>
  <c r="CH65" i="1"/>
  <c r="IC14" i="1"/>
  <c r="IC53" i="1"/>
  <c r="CB66" i="1"/>
  <c r="CG66" i="1" s="1"/>
  <c r="CC66" i="1"/>
  <c r="CE66" i="1"/>
  <c r="CY62" i="1"/>
  <c r="CZ62" i="1"/>
  <c r="DA62" i="1"/>
  <c r="CQ64" i="1"/>
  <c r="CP64" i="1"/>
  <c r="DV61" i="1"/>
  <c r="DR61" i="1"/>
  <c r="DW61" i="1"/>
  <c r="DX61" i="1" s="1"/>
  <c r="EK60" i="1"/>
  <c r="EG60" i="1"/>
  <c r="EE60" i="1"/>
  <c r="EF60" i="1"/>
  <c r="CV62" i="1"/>
  <c r="CW62" i="1"/>
  <c r="CX62" i="1"/>
  <c r="EL60" i="1"/>
  <c r="EI60" i="1"/>
  <c r="EH60" i="1"/>
  <c r="EJ60" i="1"/>
  <c r="DY61" i="1"/>
  <c r="EL59" i="1"/>
  <c r="EI59" i="1"/>
  <c r="EJ59" i="1"/>
  <c r="EH59" i="1"/>
  <c r="GD52" i="1"/>
  <c r="GA52" i="1"/>
  <c r="GP52" i="1"/>
  <c r="HR15" i="1" s="1"/>
  <c r="HR23" i="1"/>
  <c r="EC59" i="1"/>
  <c r="HH53" i="1"/>
  <c r="EB59" i="1"/>
  <c r="FR52" i="1"/>
  <c r="FQ52" i="1"/>
  <c r="FP52" i="1"/>
  <c r="EQ58" i="1"/>
  <c r="EZ58" i="1" s="1"/>
  <c r="FC58" i="1" s="1"/>
  <c r="EP58" i="1"/>
  <c r="FW54" i="1"/>
  <c r="FX54" i="1" s="1"/>
  <c r="FZ54" i="1" s="1"/>
  <c r="FM54" i="1"/>
  <c r="FN54" i="1" s="1"/>
  <c r="FJ54" i="1"/>
  <c r="GQ54" i="1" s="1"/>
  <c r="HQ34" i="1" s="1"/>
  <c r="FG53" i="1"/>
  <c r="FU53" i="1"/>
  <c r="FH53" i="1"/>
  <c r="GC50" i="1"/>
  <c r="GO50" i="1"/>
  <c r="GB50" i="1"/>
  <c r="HM9" i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FT50" i="1" l="1"/>
  <c r="FQ51" i="1"/>
  <c r="FT51" i="1" s="1"/>
  <c r="FP51" i="1"/>
  <c r="GC51" i="1" s="1"/>
  <c r="EA61" i="1"/>
  <c r="DZ61" i="1"/>
  <c r="CJ66" i="1"/>
  <c r="CM66" i="1" s="1"/>
  <c r="CK66" i="1"/>
  <c r="CR66" i="1" s="1"/>
  <c r="CH66" i="1"/>
  <c r="CF66" i="1"/>
  <c r="CL66" i="1" s="1"/>
  <c r="GD51" i="1"/>
  <c r="GP51" i="1"/>
  <c r="HR12" i="1" s="1"/>
  <c r="GA51" i="1"/>
  <c r="GO51" i="1"/>
  <c r="GB51" i="1"/>
  <c r="CR65" i="1"/>
  <c r="CU63" i="1"/>
  <c r="CZ63" i="1" s="1"/>
  <c r="CN65" i="1"/>
  <c r="CP65" i="1" s="1"/>
  <c r="CA68" i="1"/>
  <c r="BU68" i="1"/>
  <c r="BX68" i="1"/>
  <c r="FS52" i="1"/>
  <c r="CC67" i="1"/>
  <c r="CE67" i="1"/>
  <c r="CB67" i="1"/>
  <c r="CG67" i="1" s="1"/>
  <c r="CV63" i="1"/>
  <c r="CW63" i="1"/>
  <c r="CX63" i="1"/>
  <c r="CS64" i="1"/>
  <c r="CU64" i="1" s="1"/>
  <c r="DL62" i="1"/>
  <c r="EN60" i="1"/>
  <c r="EO60" i="1"/>
  <c r="ER60" i="1" s="1"/>
  <c r="EM60" i="1"/>
  <c r="DQ62" i="1"/>
  <c r="DN62" i="1"/>
  <c r="DP62" i="1"/>
  <c r="DM62" i="1"/>
  <c r="EC61" i="1"/>
  <c r="EB61" i="1"/>
  <c r="ED61" i="1"/>
  <c r="DO62" i="1"/>
  <c r="HM23" i="1"/>
  <c r="EK59" i="1"/>
  <c r="EF59" i="1"/>
  <c r="EE59" i="1"/>
  <c r="EG59" i="1"/>
  <c r="GB52" i="1"/>
  <c r="GC52" i="1"/>
  <c r="GO52" i="1"/>
  <c r="HM15" i="1" s="1"/>
  <c r="GH50" i="1"/>
  <c r="FT52" i="1"/>
  <c r="GE50" i="1"/>
  <c r="GF50" i="1" s="1"/>
  <c r="GG50" i="1"/>
  <c r="FW53" i="1"/>
  <c r="FX53" i="1" s="1"/>
  <c r="FZ53" i="1" s="1"/>
  <c r="FJ53" i="1"/>
  <c r="GQ53" i="1" s="1"/>
  <c r="HQ28" i="1" s="1"/>
  <c r="FM53" i="1"/>
  <c r="FN53" i="1" s="1"/>
  <c r="FB58" i="1"/>
  <c r="EV58" i="1"/>
  <c r="FA58" i="1"/>
  <c r="FQ54" i="1"/>
  <c r="FR54" i="1"/>
  <c r="FP54" i="1"/>
  <c r="FY58" i="1"/>
  <c r="HE58" i="1" s="1"/>
  <c r="FF58" i="1"/>
  <c r="FI58" i="1" s="1"/>
  <c r="GD54" i="1"/>
  <c r="GP54" i="1"/>
  <c r="GA54" i="1"/>
  <c r="GI50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11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FS51" i="1" l="1"/>
  <c r="GG51" i="1"/>
  <c r="GH51" i="1"/>
  <c r="GE51" i="1"/>
  <c r="GF51" i="1" s="1"/>
  <c r="GI51" i="1"/>
  <c r="CN66" i="1"/>
  <c r="CQ66" i="1" s="1"/>
  <c r="CY63" i="1"/>
  <c r="DO63" i="1" s="1"/>
  <c r="DA63" i="1"/>
  <c r="DP63" i="1"/>
  <c r="CK67" i="1"/>
  <c r="CF67" i="1"/>
  <c r="CL67" i="1" s="1"/>
  <c r="CH67" i="1"/>
  <c r="CJ67" i="1"/>
  <c r="CM67" i="1" s="1"/>
  <c r="GY50" i="1"/>
  <c r="GS51" i="1"/>
  <c r="GT51" i="1" s="1"/>
  <c r="GS50" i="1"/>
  <c r="CP66" i="1"/>
  <c r="CA69" i="1"/>
  <c r="BU69" i="1"/>
  <c r="BX69" i="1"/>
  <c r="CQ65" i="1"/>
  <c r="CC68" i="1"/>
  <c r="CK68" i="1" s="1"/>
  <c r="CR68" i="1" s="1"/>
  <c r="CE68" i="1"/>
  <c r="CB68" i="1"/>
  <c r="CY64" i="1"/>
  <c r="CZ64" i="1"/>
  <c r="DA64" i="1"/>
  <c r="EK61" i="1"/>
  <c r="EF61" i="1"/>
  <c r="EE61" i="1"/>
  <c r="EG61" i="1"/>
  <c r="EQ60" i="1"/>
  <c r="EZ60" i="1" s="1"/>
  <c r="FC60" i="1" s="1"/>
  <c r="EP60" i="1"/>
  <c r="CT64" i="1"/>
  <c r="DS62" i="1"/>
  <c r="DU62" i="1"/>
  <c r="EL61" i="1"/>
  <c r="EJ61" i="1"/>
  <c r="EI61" i="1"/>
  <c r="EH61" i="1"/>
  <c r="DN63" i="1"/>
  <c r="DR62" i="1"/>
  <c r="DV62" i="1"/>
  <c r="DW62" i="1"/>
  <c r="DX62" i="1" s="1"/>
  <c r="DM63" i="1"/>
  <c r="DQ63" i="1"/>
  <c r="DL63" i="1"/>
  <c r="GE52" i="1"/>
  <c r="GF52" i="1" s="1"/>
  <c r="GG52" i="1"/>
  <c r="GI52" i="1"/>
  <c r="EO59" i="1"/>
  <c r="ER59" i="1" s="1"/>
  <c r="EN59" i="1"/>
  <c r="EM59" i="1"/>
  <c r="GH52" i="1"/>
  <c r="FS54" i="1"/>
  <c r="GA53" i="1"/>
  <c r="GD53" i="1"/>
  <c r="GP53" i="1"/>
  <c r="HR28" i="1" s="1"/>
  <c r="FL58" i="1"/>
  <c r="FO58" i="1"/>
  <c r="HB58" i="1"/>
  <c r="HF58" i="1" s="1"/>
  <c r="HG58" i="1" s="1"/>
  <c r="FE58" i="1"/>
  <c r="EX58" i="1"/>
  <c r="FD58" i="1"/>
  <c r="FV58" i="1" s="1"/>
  <c r="EW58" i="1"/>
  <c r="GB54" i="1"/>
  <c r="GO54" i="1"/>
  <c r="GC54" i="1"/>
  <c r="FQ53" i="1"/>
  <c r="FR53" i="1"/>
  <c r="FP53" i="1"/>
  <c r="FT54" i="1"/>
  <c r="HR34" i="1"/>
  <c r="HY9" i="1"/>
  <c r="IA9" i="1"/>
  <c r="HY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11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GY51" i="1" l="1"/>
  <c r="HH58" i="1"/>
  <c r="DY62" i="1"/>
  <c r="HA51" i="1"/>
  <c r="HD51" i="1" s="1"/>
  <c r="GR51" i="1"/>
  <c r="CN67" i="1"/>
  <c r="CQ67" i="1" s="1"/>
  <c r="GT50" i="1"/>
  <c r="GZ50" i="1"/>
  <c r="IA12" i="1"/>
  <c r="HA50" i="1"/>
  <c r="HD50" i="1" s="1"/>
  <c r="GZ51" i="1"/>
  <c r="CR67" i="1"/>
  <c r="GR50" i="1"/>
  <c r="FT53" i="1"/>
  <c r="GH54" i="1"/>
  <c r="CP67" i="1"/>
  <c r="CS66" i="1"/>
  <c r="CT66" i="1" s="1"/>
  <c r="CN68" i="1"/>
  <c r="CE69" i="1"/>
  <c r="CB69" i="1"/>
  <c r="CC69" i="1"/>
  <c r="CK69" i="1" s="1"/>
  <c r="CR69" i="1" s="1"/>
  <c r="CS65" i="1"/>
  <c r="CT65" i="1" s="1"/>
  <c r="BX70" i="1"/>
  <c r="CA70" i="1"/>
  <c r="BU70" i="1"/>
  <c r="EA62" i="1"/>
  <c r="CV64" i="1"/>
  <c r="DO64" i="1" s="1"/>
  <c r="CW64" i="1"/>
  <c r="CX64" i="1"/>
  <c r="DZ62" i="1"/>
  <c r="DU63" i="1"/>
  <c r="EM61" i="1"/>
  <c r="EN61" i="1"/>
  <c r="EO61" i="1"/>
  <c r="ER61" i="1" s="1"/>
  <c r="DW63" i="1"/>
  <c r="DX63" i="1" s="1"/>
  <c r="DV63" i="1"/>
  <c r="DR63" i="1"/>
  <c r="DS63" i="1"/>
  <c r="FB60" i="1"/>
  <c r="FA60" i="1"/>
  <c r="EV60" i="1"/>
  <c r="FF60" i="1"/>
  <c r="FI60" i="1" s="1"/>
  <c r="FY60" i="1"/>
  <c r="HE60" i="1" s="1"/>
  <c r="DP64" i="1"/>
  <c r="GS52" i="1"/>
  <c r="HY15" i="1" s="1"/>
  <c r="GY52" i="1"/>
  <c r="IA15" i="1" s="1"/>
  <c r="EP59" i="1"/>
  <c r="EQ59" i="1"/>
  <c r="EZ59" i="1" s="1"/>
  <c r="FC59" i="1" s="1"/>
  <c r="IA23" i="1"/>
  <c r="HY23" i="1"/>
  <c r="GG54" i="1"/>
  <c r="GS54" i="1" s="1"/>
  <c r="GE54" i="1"/>
  <c r="GF54" i="1" s="1"/>
  <c r="GI54" i="1"/>
  <c r="GY54" i="1" s="1"/>
  <c r="FU58" i="1"/>
  <c r="FG58" i="1"/>
  <c r="GB53" i="1"/>
  <c r="GC53" i="1"/>
  <c r="GO53" i="1"/>
  <c r="HM28" i="1" s="1"/>
  <c r="FH58" i="1"/>
  <c r="FS53" i="1"/>
  <c r="HM34" i="1"/>
  <c r="IC9" i="1"/>
  <c r="IE9" i="1"/>
  <c r="IB9" i="1"/>
  <c r="IC12" i="1"/>
  <c r="IE1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GH53" i="1" l="1"/>
  <c r="HC51" i="1"/>
  <c r="HC50" i="1"/>
  <c r="CU65" i="1"/>
  <c r="CY65" i="1" s="1"/>
  <c r="DZ63" i="1"/>
  <c r="CV66" i="1"/>
  <c r="CW66" i="1"/>
  <c r="CX66" i="1"/>
  <c r="CP68" i="1"/>
  <c r="CQ68" i="1"/>
  <c r="CU66" i="1"/>
  <c r="CS67" i="1"/>
  <c r="CT67" i="1" s="1"/>
  <c r="CN69" i="1"/>
  <c r="CB70" i="1"/>
  <c r="CC70" i="1"/>
  <c r="CK70" i="1" s="1"/>
  <c r="CR70" i="1" s="1"/>
  <c r="CE70" i="1"/>
  <c r="GZ52" i="1"/>
  <c r="IE15" i="1" s="1"/>
  <c r="BX71" i="1"/>
  <c r="CA71" i="1"/>
  <c r="BU71" i="1"/>
  <c r="CV65" i="1"/>
  <c r="CW65" i="1"/>
  <c r="CX65" i="1"/>
  <c r="DY63" i="1"/>
  <c r="EC62" i="1"/>
  <c r="EB62" i="1"/>
  <c r="ED62" i="1"/>
  <c r="DN64" i="1"/>
  <c r="DM64" i="1"/>
  <c r="EA63" i="1"/>
  <c r="DL64" i="1"/>
  <c r="EQ61" i="1"/>
  <c r="EZ61" i="1" s="1"/>
  <c r="FC61" i="1" s="1"/>
  <c r="EP61" i="1"/>
  <c r="DQ64" i="1"/>
  <c r="DU64" i="1" s="1"/>
  <c r="FL60" i="1"/>
  <c r="FO60" i="1"/>
  <c r="FE60" i="1"/>
  <c r="EW60" i="1"/>
  <c r="FD60" i="1"/>
  <c r="FV60" i="1" s="1"/>
  <c r="HB60" i="1"/>
  <c r="HF60" i="1" s="1"/>
  <c r="HG60" i="1" s="1"/>
  <c r="EX60" i="1"/>
  <c r="IB23" i="1"/>
  <c r="FF59" i="1"/>
  <c r="FI59" i="1" s="1"/>
  <c r="FY59" i="1"/>
  <c r="HE59" i="1" s="1"/>
  <c r="FA59" i="1"/>
  <c r="FB59" i="1"/>
  <c r="EV59" i="1"/>
  <c r="IE23" i="1"/>
  <c r="IC23" i="1"/>
  <c r="GR52" i="1"/>
  <c r="IB15" i="1" s="1"/>
  <c r="GT52" i="1"/>
  <c r="IC15" i="1" s="1"/>
  <c r="HA52" i="1"/>
  <c r="GZ54" i="1"/>
  <c r="GT54" i="1"/>
  <c r="GR54" i="1"/>
  <c r="HA54" i="1"/>
  <c r="GE53" i="1"/>
  <c r="GF53" i="1" s="1"/>
  <c r="GG53" i="1"/>
  <c r="GS53" i="1" s="1"/>
  <c r="HY28" i="1" s="1"/>
  <c r="GI53" i="1"/>
  <c r="GY53" i="1" s="1"/>
  <c r="FM58" i="1"/>
  <c r="FN58" i="1" s="1"/>
  <c r="FJ58" i="1"/>
  <c r="GQ58" i="1" s="1"/>
  <c r="FW58" i="1"/>
  <c r="FX58" i="1" s="1"/>
  <c r="FZ58" i="1" s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11" i="1" s="1"/>
  <c r="GS49" i="1"/>
  <c r="HY11" i="1" s="1"/>
  <c r="HY34" i="1"/>
  <c r="GZ48" i="1"/>
  <c r="IA2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HH60" i="1" l="1"/>
  <c r="FH60" i="1"/>
  <c r="DA65" i="1"/>
  <c r="DQ65" i="1" s="1"/>
  <c r="CZ65" i="1"/>
  <c r="DP65" i="1" s="1"/>
  <c r="EB63" i="1"/>
  <c r="EC63" i="1"/>
  <c r="EK63" i="1" s="1"/>
  <c r="ED63" i="1"/>
  <c r="EL63" i="1" s="1"/>
  <c r="CU67" i="1"/>
  <c r="DA67" i="1" s="1"/>
  <c r="CV67" i="1"/>
  <c r="CW67" i="1"/>
  <c r="CX67" i="1"/>
  <c r="CY66" i="1"/>
  <c r="DO66" i="1" s="1"/>
  <c r="CZ66" i="1"/>
  <c r="DP66" i="1" s="1"/>
  <c r="DA66" i="1"/>
  <c r="DQ66" i="1" s="1"/>
  <c r="CS68" i="1"/>
  <c r="CT68" i="1" s="1"/>
  <c r="CU68" i="1"/>
  <c r="CQ69" i="1"/>
  <c r="CP69" i="1"/>
  <c r="DN66" i="1"/>
  <c r="DM66" i="1"/>
  <c r="DL66" i="1"/>
  <c r="CB71" i="1"/>
  <c r="CE71" i="1"/>
  <c r="CC71" i="1"/>
  <c r="CK71" i="1" s="1"/>
  <c r="CR71" i="1" s="1"/>
  <c r="CN70" i="1"/>
  <c r="DN65" i="1"/>
  <c r="BU72" i="1"/>
  <c r="CA72" i="1"/>
  <c r="BX72" i="1"/>
  <c r="DM65" i="1"/>
  <c r="DS64" i="1"/>
  <c r="DY64" i="1" s="1"/>
  <c r="DL65" i="1"/>
  <c r="DO65" i="1"/>
  <c r="FF61" i="1"/>
  <c r="FI61" i="1" s="1"/>
  <c r="FY61" i="1"/>
  <c r="HE61" i="1" s="1"/>
  <c r="FB61" i="1"/>
  <c r="FA61" i="1"/>
  <c r="EV61" i="1"/>
  <c r="FU60" i="1"/>
  <c r="FG60" i="1"/>
  <c r="EL62" i="1"/>
  <c r="EI62" i="1"/>
  <c r="EH62" i="1"/>
  <c r="EJ62" i="1"/>
  <c r="DR64" i="1"/>
  <c r="DW64" i="1"/>
  <c r="DX64" i="1" s="1"/>
  <c r="DV64" i="1"/>
  <c r="EK62" i="1"/>
  <c r="EF62" i="1"/>
  <c r="EG62" i="1"/>
  <c r="EE62" i="1"/>
  <c r="HC52" i="1"/>
  <c r="HD52" i="1"/>
  <c r="FE59" i="1"/>
  <c r="HB59" i="1"/>
  <c r="HF59" i="1" s="1"/>
  <c r="HG59" i="1" s="1"/>
  <c r="EX59" i="1"/>
  <c r="FD59" i="1"/>
  <c r="FV59" i="1" s="1"/>
  <c r="EW59" i="1"/>
  <c r="FL59" i="1"/>
  <c r="FO59" i="1"/>
  <c r="GZ53" i="1"/>
  <c r="GT53" i="1"/>
  <c r="IC28" i="1" s="1"/>
  <c r="GR53" i="1"/>
  <c r="HA53" i="1"/>
  <c r="GD58" i="1"/>
  <c r="GA58" i="1"/>
  <c r="GP58" i="1"/>
  <c r="HD54" i="1"/>
  <c r="HC54" i="1"/>
  <c r="FQ58" i="1"/>
  <c r="FP58" i="1"/>
  <c r="FR58" i="1"/>
  <c r="HA49" i="1"/>
  <c r="HC49" i="1" s="1"/>
  <c r="GT49" i="1"/>
  <c r="IC11" i="1" s="1"/>
  <c r="IA34" i="1"/>
  <c r="IE28" i="1"/>
  <c r="IB28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11" i="1" s="1"/>
  <c r="GR49" i="1"/>
  <c r="IB11" i="1" s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FH59" i="1" l="1"/>
  <c r="EF63" i="1"/>
  <c r="EI63" i="1"/>
  <c r="EE63" i="1"/>
  <c r="EJ63" i="1"/>
  <c r="EO63" i="1" s="1"/>
  <c r="ER63" i="1" s="1"/>
  <c r="EH63" i="1"/>
  <c r="EM63" i="1" s="1"/>
  <c r="EG63" i="1"/>
  <c r="CY67" i="1"/>
  <c r="DO67" i="1" s="1"/>
  <c r="DU67" i="1" s="1"/>
  <c r="DQ67" i="1"/>
  <c r="CZ67" i="1"/>
  <c r="DP67" i="1" s="1"/>
  <c r="CV68" i="1"/>
  <c r="CW68" i="1"/>
  <c r="CX68" i="1"/>
  <c r="DW66" i="1"/>
  <c r="DX66" i="1" s="1"/>
  <c r="DV66" i="1"/>
  <c r="DR66" i="1"/>
  <c r="DS66" i="1"/>
  <c r="DU66" i="1"/>
  <c r="CP70" i="1"/>
  <c r="CQ70" i="1"/>
  <c r="CS69" i="1"/>
  <c r="CT69" i="1" s="1"/>
  <c r="DN67" i="1"/>
  <c r="DM67" i="1"/>
  <c r="CY68" i="1"/>
  <c r="DO68" i="1" s="1"/>
  <c r="CZ68" i="1"/>
  <c r="DP68" i="1" s="1"/>
  <c r="DA68" i="1"/>
  <c r="DQ68" i="1" s="1"/>
  <c r="DL67" i="1"/>
  <c r="CC72" i="1"/>
  <c r="CK72" i="1" s="1"/>
  <c r="CR72" i="1" s="1"/>
  <c r="CE72" i="1"/>
  <c r="CB72" i="1"/>
  <c r="CN71" i="1"/>
  <c r="DU65" i="1"/>
  <c r="DS65" i="1"/>
  <c r="DW65" i="1"/>
  <c r="DX65" i="1" s="1"/>
  <c r="DV65" i="1"/>
  <c r="DR65" i="1"/>
  <c r="EO62" i="1"/>
  <c r="ER62" i="1" s="1"/>
  <c r="EN62" i="1"/>
  <c r="EM62" i="1"/>
  <c r="FM60" i="1"/>
  <c r="FN60" i="1" s="1"/>
  <c r="FJ60" i="1"/>
  <c r="GQ60" i="1" s="1"/>
  <c r="FW60" i="1"/>
  <c r="FX60" i="1" s="1"/>
  <c r="FZ60" i="1" s="1"/>
  <c r="EN63" i="1"/>
  <c r="EW61" i="1"/>
  <c r="FD61" i="1"/>
  <c r="FV61" i="1" s="1"/>
  <c r="HB61" i="1"/>
  <c r="HF61" i="1" s="1"/>
  <c r="HG61" i="1" s="1"/>
  <c r="EX61" i="1"/>
  <c r="FE61" i="1"/>
  <c r="DZ64" i="1"/>
  <c r="FL61" i="1"/>
  <c r="FO61" i="1"/>
  <c r="EA64" i="1"/>
  <c r="FU59" i="1"/>
  <c r="FG59" i="1"/>
  <c r="HH59" i="1"/>
  <c r="FS58" i="1"/>
  <c r="FT58" i="1"/>
  <c r="GB58" i="1"/>
  <c r="GI58" i="1" s="1"/>
  <c r="GC58" i="1"/>
  <c r="GO58" i="1"/>
  <c r="HD53" i="1"/>
  <c r="HC53" i="1"/>
  <c r="HD49" i="1"/>
  <c r="IE34" i="1"/>
  <c r="IB34" i="1"/>
  <c r="IC3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40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HQ46" i="1" s="1"/>
  <c r="FM56" i="1"/>
  <c r="FN56" i="1" s="1"/>
  <c r="FU57" i="1"/>
  <c r="AS74" i="1"/>
  <c r="AT74" i="1" s="1"/>
  <c r="FH61" i="1" l="1"/>
  <c r="DS67" i="1"/>
  <c r="DY67" i="1" s="1"/>
  <c r="GH58" i="1"/>
  <c r="CV69" i="1"/>
  <c r="CW69" i="1"/>
  <c r="CX69" i="1"/>
  <c r="DZ66" i="1"/>
  <c r="CU69" i="1"/>
  <c r="EA66" i="1"/>
  <c r="DN68" i="1"/>
  <c r="DW67" i="1"/>
  <c r="DX67" i="1" s="1"/>
  <c r="DV67" i="1"/>
  <c r="DR67" i="1"/>
  <c r="CS70" i="1"/>
  <c r="CU70" i="1" s="1"/>
  <c r="CT70" i="1"/>
  <c r="DM68" i="1"/>
  <c r="CP71" i="1"/>
  <c r="CQ71" i="1"/>
  <c r="DL68" i="1"/>
  <c r="DS68" i="1"/>
  <c r="DU68" i="1"/>
  <c r="DY68" i="1" s="1"/>
  <c r="DY66" i="1"/>
  <c r="DY65" i="1"/>
  <c r="CN72" i="1"/>
  <c r="DZ65" i="1"/>
  <c r="EA65" i="1"/>
  <c r="GA60" i="1"/>
  <c r="GP60" i="1"/>
  <c r="GD60" i="1"/>
  <c r="HH61" i="1"/>
  <c r="FR60" i="1"/>
  <c r="FQ60" i="1"/>
  <c r="FP60" i="1"/>
  <c r="EP62" i="1"/>
  <c r="EQ62" i="1"/>
  <c r="EZ62" i="1" s="1"/>
  <c r="FC62" i="1" s="1"/>
  <c r="EC64" i="1"/>
  <c r="EB64" i="1"/>
  <c r="ED64" i="1"/>
  <c r="FG61" i="1"/>
  <c r="FU61" i="1"/>
  <c r="EQ63" i="1"/>
  <c r="EZ63" i="1" s="1"/>
  <c r="FC63" i="1" s="1"/>
  <c r="EP63" i="1"/>
  <c r="FJ59" i="1"/>
  <c r="GQ59" i="1" s="1"/>
  <c r="FM59" i="1"/>
  <c r="FN59" i="1" s="1"/>
  <c r="FW59" i="1"/>
  <c r="FX59" i="1" s="1"/>
  <c r="FZ59" i="1" s="1"/>
  <c r="GY58" i="1"/>
  <c r="GE58" i="1"/>
  <c r="GF58" i="1" s="1"/>
  <c r="GG58" i="1"/>
  <c r="GS58" i="1" s="1"/>
  <c r="HQ37" i="1"/>
  <c r="HQ3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46" i="1" s="1"/>
  <c r="GA56" i="1"/>
  <c r="GD56" i="1"/>
  <c r="GD55" i="1"/>
  <c r="GA55" i="1"/>
  <c r="GP55" i="1"/>
  <c r="HR40" i="1" s="1"/>
  <c r="FR56" i="1"/>
  <c r="FQ56" i="1"/>
  <c r="FP56" i="1"/>
  <c r="FP55" i="1"/>
  <c r="FR55" i="1"/>
  <c r="FQ55" i="1"/>
  <c r="AS75" i="1"/>
  <c r="AT75" i="1" s="1"/>
  <c r="FT60" i="1" l="1"/>
  <c r="EA67" i="1"/>
  <c r="CY70" i="1"/>
  <c r="CZ70" i="1"/>
  <c r="DA70" i="1"/>
  <c r="DQ70" i="1" s="1"/>
  <c r="CP72" i="1"/>
  <c r="CQ72" i="1"/>
  <c r="CV70" i="1"/>
  <c r="CW70" i="1"/>
  <c r="CX70" i="1"/>
  <c r="CS71" i="1"/>
  <c r="CT71" i="1" s="1"/>
  <c r="CY69" i="1"/>
  <c r="DO69" i="1" s="1"/>
  <c r="CZ69" i="1"/>
  <c r="DP69" i="1" s="1"/>
  <c r="DA69" i="1"/>
  <c r="DQ69" i="1" s="1"/>
  <c r="DZ67" i="1"/>
  <c r="ED66" i="1"/>
  <c r="EB66" i="1"/>
  <c r="EC66" i="1"/>
  <c r="DN69" i="1"/>
  <c r="DM69" i="1"/>
  <c r="DR68" i="1"/>
  <c r="DV68" i="1"/>
  <c r="DZ68" i="1" s="1"/>
  <c r="DW68" i="1"/>
  <c r="DX68" i="1" s="1"/>
  <c r="EA68" i="1" s="1"/>
  <c r="DL69" i="1"/>
  <c r="ED65" i="1"/>
  <c r="EB65" i="1"/>
  <c r="EC65" i="1"/>
  <c r="EV62" i="1"/>
  <c r="FA62" i="1"/>
  <c r="FB62" i="1"/>
  <c r="FJ61" i="1"/>
  <c r="GQ61" i="1" s="1"/>
  <c r="FW61" i="1"/>
  <c r="FX61" i="1" s="1"/>
  <c r="FZ61" i="1" s="1"/>
  <c r="FM61" i="1"/>
  <c r="FN61" i="1" s="1"/>
  <c r="GB60" i="1"/>
  <c r="GC60" i="1"/>
  <c r="GH60" i="1" s="1"/>
  <c r="GO60" i="1"/>
  <c r="EL64" i="1"/>
  <c r="EI64" i="1"/>
  <c r="EH64" i="1"/>
  <c r="EJ64" i="1"/>
  <c r="FS60" i="1"/>
  <c r="EK64" i="1"/>
  <c r="EF64" i="1"/>
  <c r="EG64" i="1"/>
  <c r="EE64" i="1"/>
  <c r="FB63" i="1"/>
  <c r="EV63" i="1"/>
  <c r="FA63" i="1"/>
  <c r="FY63" i="1"/>
  <c r="HE63" i="1" s="1"/>
  <c r="FF63" i="1"/>
  <c r="FI63" i="1" s="1"/>
  <c r="FF62" i="1"/>
  <c r="FI62" i="1" s="1"/>
  <c r="FY62" i="1"/>
  <c r="HE62" i="1" s="1"/>
  <c r="GP59" i="1"/>
  <c r="GA59" i="1"/>
  <c r="GD59" i="1"/>
  <c r="FP59" i="1"/>
  <c r="FR59" i="1"/>
  <c r="FQ59" i="1"/>
  <c r="GT58" i="1"/>
  <c r="GR58" i="1"/>
  <c r="HA58" i="1"/>
  <c r="GZ58" i="1"/>
  <c r="HR37" i="1"/>
  <c r="HR3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HM40" i="1" s="1"/>
  <c r="GC55" i="1"/>
  <c r="GB55" i="1"/>
  <c r="GO56" i="1"/>
  <c r="HM46" i="1" s="1"/>
  <c r="GB56" i="1"/>
  <c r="GC56" i="1"/>
  <c r="FP57" i="1"/>
  <c r="FQ57" i="1"/>
  <c r="FR57" i="1"/>
  <c r="FT56" i="1"/>
  <c r="FS56" i="1"/>
  <c r="AS76" i="1"/>
  <c r="AT76" i="1" s="1"/>
  <c r="FS59" i="1" l="1"/>
  <c r="CV71" i="1"/>
  <c r="CW71" i="1"/>
  <c r="CX71" i="1"/>
  <c r="DM70" i="1"/>
  <c r="DL70" i="1"/>
  <c r="DV69" i="1"/>
  <c r="DW69" i="1"/>
  <c r="DX69" i="1" s="1"/>
  <c r="EA69" i="1" s="1"/>
  <c r="DR69" i="1"/>
  <c r="CS72" i="1"/>
  <c r="CU72" i="1" s="1"/>
  <c r="CT72" i="1"/>
  <c r="DU69" i="1"/>
  <c r="DS69" i="1"/>
  <c r="EC68" i="1"/>
  <c r="EB68" i="1"/>
  <c r="ED68" i="1"/>
  <c r="EK66" i="1"/>
  <c r="EG66" i="1"/>
  <c r="EE66" i="1"/>
  <c r="EF66" i="1"/>
  <c r="CU71" i="1"/>
  <c r="DP70" i="1"/>
  <c r="EC67" i="1"/>
  <c r="ED67" i="1"/>
  <c r="EB67" i="1"/>
  <c r="EL66" i="1"/>
  <c r="EH66" i="1"/>
  <c r="EJ66" i="1"/>
  <c r="EI66" i="1"/>
  <c r="DN70" i="1"/>
  <c r="DO70" i="1"/>
  <c r="EK65" i="1"/>
  <c r="EG65" i="1"/>
  <c r="EE65" i="1"/>
  <c r="EF65" i="1"/>
  <c r="HQ52" i="1"/>
  <c r="EL65" i="1"/>
  <c r="EH65" i="1"/>
  <c r="EI65" i="1"/>
  <c r="EJ65" i="1"/>
  <c r="GG60" i="1"/>
  <c r="GS60" i="1" s="1"/>
  <c r="GE60" i="1"/>
  <c r="GF60" i="1" s="1"/>
  <c r="EO64" i="1"/>
  <c r="ER64" i="1" s="1"/>
  <c r="EM64" i="1"/>
  <c r="EN64" i="1"/>
  <c r="FL63" i="1"/>
  <c r="FO63" i="1"/>
  <c r="FP61" i="1"/>
  <c r="FR61" i="1"/>
  <c r="FQ61" i="1"/>
  <c r="HB63" i="1"/>
  <c r="HF63" i="1" s="1"/>
  <c r="HG63" i="1" s="1"/>
  <c r="EW63" i="1"/>
  <c r="FD63" i="1"/>
  <c r="FV63" i="1" s="1"/>
  <c r="FE63" i="1"/>
  <c r="EX63" i="1"/>
  <c r="GI60" i="1"/>
  <c r="GY60" i="1" s="1"/>
  <c r="GA61" i="1"/>
  <c r="GP61" i="1"/>
  <c r="GD61" i="1"/>
  <c r="FL62" i="1"/>
  <c r="FO62" i="1"/>
  <c r="HB62" i="1"/>
  <c r="HF62" i="1" s="1"/>
  <c r="HH62" i="1" s="1"/>
  <c r="EW62" i="1"/>
  <c r="FD62" i="1"/>
  <c r="FV62" i="1" s="1"/>
  <c r="EX62" i="1"/>
  <c r="FE62" i="1"/>
  <c r="FT59" i="1"/>
  <c r="GO59" i="1"/>
  <c r="GB59" i="1"/>
  <c r="GC59" i="1"/>
  <c r="HD58" i="1"/>
  <c r="HC58" i="1"/>
  <c r="HQ43" i="1"/>
  <c r="HM37" i="1"/>
  <c r="HM3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GH59" i="1" l="1"/>
  <c r="FT61" i="1"/>
  <c r="HH63" i="1"/>
  <c r="CY72" i="1"/>
  <c r="CZ72" i="1"/>
  <c r="DA72" i="1"/>
  <c r="EK67" i="1"/>
  <c r="EE67" i="1"/>
  <c r="EG67" i="1"/>
  <c r="EF67" i="1"/>
  <c r="EN66" i="1"/>
  <c r="EM66" i="1"/>
  <c r="EO66" i="1"/>
  <c r="ER66" i="1" s="1"/>
  <c r="CV72" i="1"/>
  <c r="CW72" i="1"/>
  <c r="CX72" i="1"/>
  <c r="EL68" i="1"/>
  <c r="EI68" i="1"/>
  <c r="EJ68" i="1"/>
  <c r="EH68" i="1"/>
  <c r="EK68" i="1"/>
  <c r="EF68" i="1"/>
  <c r="EG68" i="1"/>
  <c r="EE68" i="1"/>
  <c r="DN71" i="1"/>
  <c r="CY71" i="1"/>
  <c r="DO71" i="1" s="1"/>
  <c r="CZ71" i="1"/>
  <c r="DP71" i="1" s="1"/>
  <c r="DA71" i="1"/>
  <c r="DQ71" i="1" s="1"/>
  <c r="DZ69" i="1"/>
  <c r="DM71" i="1"/>
  <c r="DU70" i="1"/>
  <c r="DS70" i="1"/>
  <c r="DY69" i="1"/>
  <c r="DL71" i="1"/>
  <c r="DW70" i="1"/>
  <c r="DX70" i="1" s="1"/>
  <c r="EA70" i="1" s="1"/>
  <c r="DR70" i="1"/>
  <c r="DV70" i="1"/>
  <c r="DZ70" i="1" s="1"/>
  <c r="EL67" i="1"/>
  <c r="EH67" i="1"/>
  <c r="EJ67" i="1"/>
  <c r="EI67" i="1"/>
  <c r="HM52" i="1"/>
  <c r="HR52" i="1"/>
  <c r="EM65" i="1"/>
  <c r="EN65" i="1"/>
  <c r="EO65" i="1"/>
  <c r="ER65" i="1" s="1"/>
  <c r="GZ60" i="1"/>
  <c r="FG63" i="1"/>
  <c r="FU63" i="1"/>
  <c r="HG62" i="1"/>
  <c r="FS61" i="1"/>
  <c r="EP64" i="1"/>
  <c r="EQ64" i="1"/>
  <c r="EZ64" i="1" s="1"/>
  <c r="FC64" i="1" s="1"/>
  <c r="GT60" i="1"/>
  <c r="GR60" i="1"/>
  <c r="HA60" i="1"/>
  <c r="FH62" i="1"/>
  <c r="FH63" i="1"/>
  <c r="GO61" i="1"/>
  <c r="GB61" i="1"/>
  <c r="GC61" i="1"/>
  <c r="FU62" i="1"/>
  <c r="FG62" i="1"/>
  <c r="GI59" i="1"/>
  <c r="GY59" i="1" s="1"/>
  <c r="GE59" i="1"/>
  <c r="GF59" i="1" s="1"/>
  <c r="GG59" i="1"/>
  <c r="GS59" i="1" s="1"/>
  <c r="HM43" i="1"/>
  <c r="HR43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40" i="1" s="1"/>
  <c r="GY55" i="1"/>
  <c r="IA40" i="1" s="1"/>
  <c r="GE57" i="1"/>
  <c r="GF57" i="1" s="1"/>
  <c r="GG57" i="1"/>
  <c r="GH57" i="1"/>
  <c r="GI57" i="1"/>
  <c r="AS78" i="1"/>
  <c r="AT78" i="1" s="1"/>
  <c r="GH61" i="1" l="1"/>
  <c r="DR71" i="1"/>
  <c r="DV71" i="1"/>
  <c r="DW71" i="1"/>
  <c r="DX71" i="1" s="1"/>
  <c r="EA71" i="1" s="1"/>
  <c r="EB69" i="1"/>
  <c r="ED69" i="1"/>
  <c r="EC69" i="1"/>
  <c r="DN72" i="1"/>
  <c r="DM72" i="1"/>
  <c r="EN67" i="1"/>
  <c r="EO67" i="1"/>
  <c r="ER67" i="1" s="1"/>
  <c r="EM67" i="1"/>
  <c r="EO68" i="1"/>
  <c r="ER68" i="1" s="1"/>
  <c r="EN68" i="1"/>
  <c r="EM68" i="1"/>
  <c r="DL72" i="1"/>
  <c r="DQ72" i="1"/>
  <c r="DY70" i="1"/>
  <c r="EC70" i="1" s="1"/>
  <c r="DU71" i="1"/>
  <c r="DS71" i="1"/>
  <c r="DP72" i="1"/>
  <c r="EQ66" i="1"/>
  <c r="EZ66" i="1" s="1"/>
  <c r="FC66" i="1" s="1"/>
  <c r="EP66" i="1"/>
  <c r="DO72" i="1"/>
  <c r="IA46" i="1"/>
  <c r="EP65" i="1"/>
  <c r="EQ65" i="1"/>
  <c r="EZ65" i="1" s="1"/>
  <c r="FC65" i="1" s="1"/>
  <c r="HY46" i="1"/>
  <c r="FA64" i="1"/>
  <c r="FB64" i="1"/>
  <c r="EV64" i="1"/>
  <c r="HD60" i="1"/>
  <c r="HC60" i="1"/>
  <c r="FJ62" i="1"/>
  <c r="GQ62" i="1" s="1"/>
  <c r="FW62" i="1"/>
  <c r="FX62" i="1" s="1"/>
  <c r="FZ62" i="1" s="1"/>
  <c r="FM62" i="1"/>
  <c r="FN62" i="1" s="1"/>
  <c r="GI61" i="1"/>
  <c r="GY61" i="1" s="1"/>
  <c r="GZ61" i="1" s="1"/>
  <c r="GG61" i="1"/>
  <c r="GS61" i="1" s="1"/>
  <c r="GE61" i="1"/>
  <c r="GF61" i="1" s="1"/>
  <c r="FW63" i="1"/>
  <c r="FX63" i="1" s="1"/>
  <c r="FZ63" i="1" s="1"/>
  <c r="FJ63" i="1"/>
  <c r="GQ63" i="1" s="1"/>
  <c r="FM63" i="1"/>
  <c r="FN63" i="1" s="1"/>
  <c r="FF64" i="1"/>
  <c r="FI64" i="1" s="1"/>
  <c r="FY64" i="1"/>
  <c r="HE64" i="1" s="1"/>
  <c r="GT59" i="1"/>
  <c r="GR59" i="1"/>
  <c r="HA59" i="1"/>
  <c r="GZ59" i="1"/>
  <c r="HY37" i="1"/>
  <c r="IA37" i="1"/>
  <c r="IA31" i="1"/>
  <c r="HY3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46" i="1" s="1"/>
  <c r="GT56" i="1"/>
  <c r="IC46" i="1" s="1"/>
  <c r="HA56" i="1"/>
  <c r="HD56" i="1" s="1"/>
  <c r="GR56" i="1"/>
  <c r="IB46" i="1" s="1"/>
  <c r="GZ55" i="1"/>
  <c r="GT55" i="1"/>
  <c r="IC40" i="1" s="1"/>
  <c r="GR55" i="1"/>
  <c r="IB40" i="1" s="1"/>
  <c r="HA55" i="1"/>
  <c r="GS57" i="1"/>
  <c r="GY57" i="1"/>
  <c r="AS79" i="1"/>
  <c r="AT79" i="1" s="1"/>
  <c r="HQ18" i="1" l="1"/>
  <c r="HQ17" i="1"/>
  <c r="EK70" i="1"/>
  <c r="EG70" i="1"/>
  <c r="EF70" i="1"/>
  <c r="EE70" i="1"/>
  <c r="EQ68" i="1"/>
  <c r="EZ68" i="1" s="1"/>
  <c r="FC68" i="1" s="1"/>
  <c r="EP68" i="1"/>
  <c r="DY71" i="1"/>
  <c r="DS72" i="1"/>
  <c r="DU72" i="1"/>
  <c r="FB66" i="1"/>
  <c r="FA66" i="1"/>
  <c r="EV66" i="1"/>
  <c r="EB70" i="1"/>
  <c r="ED70" i="1"/>
  <c r="DZ71" i="1"/>
  <c r="FF66" i="1"/>
  <c r="FI66" i="1" s="1"/>
  <c r="FY66" i="1"/>
  <c r="HE66" i="1" s="1"/>
  <c r="EL69" i="1"/>
  <c r="EJ69" i="1"/>
  <c r="EH69" i="1"/>
  <c r="EI69" i="1"/>
  <c r="DW72" i="1"/>
  <c r="DX72" i="1" s="1"/>
  <c r="EA72" i="1" s="1"/>
  <c r="DV72" i="1"/>
  <c r="DZ72" i="1" s="1"/>
  <c r="DR72" i="1"/>
  <c r="EQ67" i="1"/>
  <c r="EZ67" i="1" s="1"/>
  <c r="FC67" i="1" s="1"/>
  <c r="EP67" i="1"/>
  <c r="EK69" i="1"/>
  <c r="EE69" i="1"/>
  <c r="EG69" i="1"/>
  <c r="EF69" i="1"/>
  <c r="IE40" i="1"/>
  <c r="FF65" i="1"/>
  <c r="FI65" i="1" s="1"/>
  <c r="FY65" i="1"/>
  <c r="HE65" i="1" s="1"/>
  <c r="FA65" i="1"/>
  <c r="EV65" i="1"/>
  <c r="FB65" i="1"/>
  <c r="IA52" i="1"/>
  <c r="HY52" i="1"/>
  <c r="GD63" i="1"/>
  <c r="GA63" i="1"/>
  <c r="GP63" i="1"/>
  <c r="GR61" i="1"/>
  <c r="GT61" i="1"/>
  <c r="HA61" i="1"/>
  <c r="GD62" i="1"/>
  <c r="GA62" i="1"/>
  <c r="GP62" i="1"/>
  <c r="HB64" i="1"/>
  <c r="HF64" i="1" s="1"/>
  <c r="HG64" i="1" s="1"/>
  <c r="EW64" i="1"/>
  <c r="EX64" i="1"/>
  <c r="FE64" i="1"/>
  <c r="FD64" i="1"/>
  <c r="FV64" i="1" s="1"/>
  <c r="FP63" i="1"/>
  <c r="FR63" i="1"/>
  <c r="FQ63" i="1"/>
  <c r="FQ62" i="1"/>
  <c r="FR62" i="1"/>
  <c r="FP62" i="1"/>
  <c r="FL64" i="1"/>
  <c r="FO64" i="1"/>
  <c r="HD59" i="1"/>
  <c r="HC59" i="1"/>
  <c r="IA43" i="1"/>
  <c r="HY43" i="1"/>
  <c r="IE37" i="1"/>
  <c r="IB37" i="1"/>
  <c r="IC37" i="1"/>
  <c r="IB31" i="1"/>
  <c r="IC31" i="1"/>
  <c r="IE3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BB80" i="1" s="1"/>
  <c r="BE80" i="1" s="1"/>
  <c r="FH64" i="1" l="1"/>
  <c r="FT62" i="1"/>
  <c r="HR18" i="1"/>
  <c r="HR17" i="1"/>
  <c r="FT63" i="1"/>
  <c r="EV68" i="1"/>
  <c r="FB68" i="1"/>
  <c r="FA68" i="1"/>
  <c r="EM69" i="1"/>
  <c r="EO69" i="1"/>
  <c r="ER69" i="1" s="1"/>
  <c r="EN69" i="1"/>
  <c r="FY68" i="1"/>
  <c r="HE68" i="1" s="1"/>
  <c r="FF68" i="1"/>
  <c r="FI68" i="1" s="1"/>
  <c r="DY72" i="1"/>
  <c r="ED72" i="1" s="1"/>
  <c r="FB67" i="1"/>
  <c r="FA67" i="1"/>
  <c r="EV67" i="1"/>
  <c r="EC71" i="1"/>
  <c r="EB71" i="1"/>
  <c r="ED71" i="1"/>
  <c r="FF67" i="1"/>
  <c r="FI67" i="1" s="1"/>
  <c r="FY67" i="1"/>
  <c r="HE67" i="1" s="1"/>
  <c r="EL70" i="1"/>
  <c r="EJ70" i="1"/>
  <c r="EI70" i="1"/>
  <c r="EH70" i="1"/>
  <c r="EM70" i="1" s="1"/>
  <c r="FL66" i="1"/>
  <c r="FO66" i="1"/>
  <c r="EN70" i="1"/>
  <c r="EO70" i="1"/>
  <c r="ER70" i="1" s="1"/>
  <c r="FD66" i="1"/>
  <c r="FV66" i="1" s="1"/>
  <c r="HB66" i="1"/>
  <c r="HF66" i="1" s="1"/>
  <c r="HG66" i="1" s="1"/>
  <c r="EX66" i="1"/>
  <c r="FE66" i="1"/>
  <c r="EW66" i="1"/>
  <c r="BX80" i="1"/>
  <c r="BU80" i="1"/>
  <c r="CA80" i="1"/>
  <c r="EX65" i="1"/>
  <c r="FE65" i="1"/>
  <c r="EW65" i="1"/>
  <c r="FD65" i="1"/>
  <c r="FV65" i="1" s="1"/>
  <c r="HB65" i="1"/>
  <c r="HF65" i="1" s="1"/>
  <c r="HG65" i="1" s="1"/>
  <c r="FL65" i="1"/>
  <c r="FO65" i="1"/>
  <c r="IB52" i="1"/>
  <c r="IC52" i="1"/>
  <c r="IE52" i="1"/>
  <c r="FS62" i="1"/>
  <c r="FU64" i="1"/>
  <c r="FG64" i="1"/>
  <c r="FS63" i="1"/>
  <c r="HD61" i="1"/>
  <c r="HC61" i="1"/>
  <c r="GB63" i="1"/>
  <c r="GO63" i="1"/>
  <c r="GC63" i="1"/>
  <c r="HH64" i="1"/>
  <c r="GB62" i="1"/>
  <c r="GC62" i="1"/>
  <c r="GO62" i="1"/>
  <c r="IC43" i="1"/>
  <c r="IE43" i="1"/>
  <c r="IB43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GH62" i="1" l="1"/>
  <c r="FH66" i="1"/>
  <c r="HM18" i="1"/>
  <c r="HM17" i="1"/>
  <c r="FH65" i="1"/>
  <c r="EP70" i="1"/>
  <c r="EQ70" i="1"/>
  <c r="EZ70" i="1" s="1"/>
  <c r="FC70" i="1" s="1"/>
  <c r="EL72" i="1"/>
  <c r="EI72" i="1"/>
  <c r="EJ72" i="1"/>
  <c r="EH72" i="1"/>
  <c r="FD68" i="1"/>
  <c r="FV68" i="1" s="1"/>
  <c r="EW68" i="1"/>
  <c r="HB68" i="1"/>
  <c r="HF68" i="1" s="1"/>
  <c r="HG68" i="1" s="1"/>
  <c r="EX68" i="1"/>
  <c r="FE68" i="1"/>
  <c r="HH66" i="1"/>
  <c r="FG66" i="1"/>
  <c r="FU66" i="1"/>
  <c r="EL71" i="1"/>
  <c r="EH71" i="1"/>
  <c r="EI71" i="1"/>
  <c r="EJ71" i="1"/>
  <c r="HH68" i="1"/>
  <c r="EK71" i="1"/>
  <c r="EG71" i="1"/>
  <c r="EF71" i="1"/>
  <c r="EE71" i="1"/>
  <c r="EW67" i="1"/>
  <c r="EX67" i="1"/>
  <c r="FD67" i="1"/>
  <c r="FV67" i="1" s="1"/>
  <c r="FE67" i="1"/>
  <c r="HB67" i="1"/>
  <c r="HF67" i="1" s="1"/>
  <c r="HH67" i="1" s="1"/>
  <c r="EQ69" i="1"/>
  <c r="EZ69" i="1" s="1"/>
  <c r="FC69" i="1" s="1"/>
  <c r="EP69" i="1"/>
  <c r="EB72" i="1"/>
  <c r="FL67" i="1"/>
  <c r="FO67" i="1"/>
  <c r="FL68" i="1"/>
  <c r="FO68" i="1"/>
  <c r="EC72" i="1"/>
  <c r="CA81" i="1"/>
  <c r="BX81" i="1"/>
  <c r="BU81" i="1"/>
  <c r="HH65" i="1"/>
  <c r="FG65" i="1"/>
  <c r="FU65" i="1"/>
  <c r="CE80" i="1"/>
  <c r="CB80" i="1"/>
  <c r="CC80" i="1"/>
  <c r="CK80" i="1" s="1"/>
  <c r="CR80" i="1" s="1"/>
  <c r="GG63" i="1"/>
  <c r="GE63" i="1"/>
  <c r="GF63" i="1" s="1"/>
  <c r="GE62" i="1"/>
  <c r="GF62" i="1" s="1"/>
  <c r="GG62" i="1"/>
  <c r="GS62" i="1" s="1"/>
  <c r="FJ64" i="1"/>
  <c r="GQ64" i="1" s="1"/>
  <c r="FM64" i="1"/>
  <c r="FN64" i="1" s="1"/>
  <c r="FW64" i="1"/>
  <c r="FX64" i="1" s="1"/>
  <c r="FZ64" i="1" s="1"/>
  <c r="GI62" i="1"/>
  <c r="GY62" i="1" s="1"/>
  <c r="GI63" i="1"/>
  <c r="GH63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FH67" i="1" l="1"/>
  <c r="HG67" i="1"/>
  <c r="FU67" i="1"/>
  <c r="FG67" i="1"/>
  <c r="FA69" i="1"/>
  <c r="EV69" i="1"/>
  <c r="FB69" i="1"/>
  <c r="EK72" i="1"/>
  <c r="EF72" i="1"/>
  <c r="EG72" i="1"/>
  <c r="EE72" i="1"/>
  <c r="FF69" i="1"/>
  <c r="FI69" i="1" s="1"/>
  <c r="FY69" i="1"/>
  <c r="HE69" i="1" s="1"/>
  <c r="FH68" i="1"/>
  <c r="EM71" i="1"/>
  <c r="EO71" i="1"/>
  <c r="ER71" i="1" s="1"/>
  <c r="EN71" i="1"/>
  <c r="FU68" i="1"/>
  <c r="FG68" i="1"/>
  <c r="FF70" i="1"/>
  <c r="FI70" i="1" s="1"/>
  <c r="FY70" i="1"/>
  <c r="HE70" i="1" s="1"/>
  <c r="FB70" i="1"/>
  <c r="FA70" i="1"/>
  <c r="EV70" i="1"/>
  <c r="FJ66" i="1"/>
  <c r="GQ66" i="1" s="1"/>
  <c r="HQ16" i="1" s="1"/>
  <c r="FM66" i="1"/>
  <c r="FN66" i="1" s="1"/>
  <c r="FW66" i="1"/>
  <c r="FX66" i="1" s="1"/>
  <c r="FZ66" i="1" s="1"/>
  <c r="FW65" i="1"/>
  <c r="FX65" i="1" s="1"/>
  <c r="FZ65" i="1" s="1"/>
  <c r="FM65" i="1"/>
  <c r="FN65" i="1" s="1"/>
  <c r="FJ65" i="1"/>
  <c r="GQ65" i="1" s="1"/>
  <c r="BU82" i="1"/>
  <c r="CA82" i="1"/>
  <c r="BX82" i="1"/>
  <c r="CN80" i="1"/>
  <c r="CE81" i="1"/>
  <c r="CC81" i="1"/>
  <c r="CK81" i="1" s="1"/>
  <c r="CR81" i="1" s="1"/>
  <c r="CB81" i="1"/>
  <c r="GZ62" i="1"/>
  <c r="GT62" i="1"/>
  <c r="GR62" i="1"/>
  <c r="HA62" i="1"/>
  <c r="GS63" i="1"/>
  <c r="GY63" i="1"/>
  <c r="FR64" i="1"/>
  <c r="FT64" i="1" s="1"/>
  <c r="FQ64" i="1"/>
  <c r="FP64" i="1"/>
  <c r="GA64" i="1"/>
  <c r="GP64" i="1"/>
  <c r="GD64" i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HQ13" i="1" l="1"/>
  <c r="HQ19" i="1"/>
  <c r="IA18" i="1"/>
  <c r="IA17" i="1"/>
  <c r="HY18" i="1"/>
  <c r="HY17" i="1"/>
  <c r="GA66" i="1"/>
  <c r="GP66" i="1"/>
  <c r="HR16" i="1" s="1"/>
  <c r="GD66" i="1"/>
  <c r="CQ80" i="1"/>
  <c r="CP80" i="1"/>
  <c r="FR66" i="1"/>
  <c r="FP66" i="1"/>
  <c r="FQ66" i="1"/>
  <c r="EP71" i="1"/>
  <c r="EQ71" i="1"/>
  <c r="EZ71" i="1" s="1"/>
  <c r="FC71" i="1" s="1"/>
  <c r="EN72" i="1"/>
  <c r="EM72" i="1"/>
  <c r="EO72" i="1"/>
  <c r="ER72" i="1" s="1"/>
  <c r="EX69" i="1"/>
  <c r="FH69" i="1" s="1"/>
  <c r="FE69" i="1"/>
  <c r="FD69" i="1"/>
  <c r="FV69" i="1" s="1"/>
  <c r="EW69" i="1"/>
  <c r="HB69" i="1"/>
  <c r="HF69" i="1" s="1"/>
  <c r="HG69" i="1" s="1"/>
  <c r="FL69" i="1"/>
  <c r="FO69" i="1"/>
  <c r="EX70" i="1"/>
  <c r="FH70" i="1" s="1"/>
  <c r="FE70" i="1"/>
  <c r="EW70" i="1"/>
  <c r="HB70" i="1"/>
  <c r="HF70" i="1" s="1"/>
  <c r="HH70" i="1" s="1"/>
  <c r="FD70" i="1"/>
  <c r="FV70" i="1" s="1"/>
  <c r="FJ68" i="1"/>
  <c r="GQ68" i="1" s="1"/>
  <c r="HQ27" i="1" s="1"/>
  <c r="FW68" i="1"/>
  <c r="FM68" i="1"/>
  <c r="FN68" i="1" s="1"/>
  <c r="FJ67" i="1"/>
  <c r="GQ67" i="1" s="1"/>
  <c r="FM67" i="1"/>
  <c r="FN67" i="1" s="1"/>
  <c r="FW67" i="1"/>
  <c r="FX67" i="1" s="1"/>
  <c r="FZ67" i="1" s="1"/>
  <c r="FL70" i="1"/>
  <c r="FO70" i="1"/>
  <c r="FX68" i="1"/>
  <c r="FZ68" i="1" s="1"/>
  <c r="GA65" i="1"/>
  <c r="GD65" i="1"/>
  <c r="GP65" i="1"/>
  <c r="CB82" i="1"/>
  <c r="CC82" i="1"/>
  <c r="CK82" i="1" s="1"/>
  <c r="CR82" i="1" s="1"/>
  <c r="CE82" i="1"/>
  <c r="BX83" i="1"/>
  <c r="CA83" i="1"/>
  <c r="BU83" i="1"/>
  <c r="CN81" i="1"/>
  <c r="FR65" i="1"/>
  <c r="FQ65" i="1"/>
  <c r="FP65" i="1"/>
  <c r="GC64" i="1"/>
  <c r="GO64" i="1"/>
  <c r="GB64" i="1"/>
  <c r="GI64" i="1" s="1"/>
  <c r="GZ63" i="1"/>
  <c r="GT63" i="1"/>
  <c r="GR63" i="1"/>
  <c r="HA63" i="1"/>
  <c r="HD62" i="1"/>
  <c r="HC62" i="1"/>
  <c r="FS64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FT66" i="1" l="1"/>
  <c r="IB18" i="1"/>
  <c r="IB17" i="1"/>
  <c r="HR13" i="1"/>
  <c r="HR19" i="1"/>
  <c r="IC18" i="1"/>
  <c r="IC17" i="1"/>
  <c r="IE18" i="1"/>
  <c r="IE17" i="1"/>
  <c r="FS65" i="1"/>
  <c r="HQ21" i="1"/>
  <c r="HQ22" i="1"/>
  <c r="FG70" i="1"/>
  <c r="FU70" i="1"/>
  <c r="FU69" i="1"/>
  <c r="FG69" i="1"/>
  <c r="GO66" i="1"/>
  <c r="HM16" i="1" s="1"/>
  <c r="GB66" i="1"/>
  <c r="GC66" i="1"/>
  <c r="GH66" i="1" s="1"/>
  <c r="FQ67" i="1"/>
  <c r="FP67" i="1"/>
  <c r="FR67" i="1"/>
  <c r="EP72" i="1"/>
  <c r="EQ72" i="1"/>
  <c r="EZ72" i="1" s="1"/>
  <c r="FC72" i="1" s="1"/>
  <c r="CS80" i="1"/>
  <c r="CU80" i="1"/>
  <c r="CT80" i="1"/>
  <c r="FP68" i="1"/>
  <c r="FR68" i="1"/>
  <c r="FQ68" i="1"/>
  <c r="FS68" i="1" s="1"/>
  <c r="FF71" i="1"/>
  <c r="FI71" i="1" s="1"/>
  <c r="FY71" i="1"/>
  <c r="HE71" i="1" s="1"/>
  <c r="CQ81" i="1"/>
  <c r="CP81" i="1"/>
  <c r="GD67" i="1"/>
  <c r="GA67" i="1"/>
  <c r="GP67" i="1"/>
  <c r="GP68" i="1"/>
  <c r="HR27" i="1" s="1"/>
  <c r="GD68" i="1"/>
  <c r="GA68" i="1"/>
  <c r="HG70" i="1"/>
  <c r="HH69" i="1"/>
  <c r="FA71" i="1"/>
  <c r="FB71" i="1"/>
  <c r="EV71" i="1"/>
  <c r="FS66" i="1"/>
  <c r="GO65" i="1"/>
  <c r="GC65" i="1"/>
  <c r="GB65" i="1"/>
  <c r="CC83" i="1"/>
  <c r="CK83" i="1" s="1"/>
  <c r="CR83" i="1" s="1"/>
  <c r="CB83" i="1"/>
  <c r="CE83" i="1"/>
  <c r="FT65" i="1"/>
  <c r="CN82" i="1"/>
  <c r="BX84" i="1"/>
  <c r="CA84" i="1"/>
  <c r="BU84" i="1"/>
  <c r="HD63" i="1"/>
  <c r="HC63" i="1"/>
  <c r="GE64" i="1"/>
  <c r="GF64" i="1" s="1"/>
  <c r="GG64" i="1"/>
  <c r="GH64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GI66" i="1" l="1"/>
  <c r="GI65" i="1"/>
  <c r="HM13" i="1"/>
  <c r="HM19" i="1"/>
  <c r="FS67" i="1"/>
  <c r="HR21" i="1"/>
  <c r="HR22" i="1"/>
  <c r="CS81" i="1"/>
  <c r="CT81" i="1" s="1"/>
  <c r="CU81" i="1"/>
  <c r="CV80" i="1"/>
  <c r="CW80" i="1"/>
  <c r="CX80" i="1"/>
  <c r="HG71" i="1"/>
  <c r="CY80" i="1"/>
  <c r="CZ80" i="1"/>
  <c r="DA80" i="1"/>
  <c r="GY66" i="1"/>
  <c r="CQ82" i="1"/>
  <c r="CP82" i="1"/>
  <c r="FE71" i="1"/>
  <c r="EX71" i="1"/>
  <c r="HB71" i="1"/>
  <c r="HF71" i="1" s="1"/>
  <c r="HH71" i="1" s="1"/>
  <c r="FD71" i="1"/>
  <c r="FV71" i="1" s="1"/>
  <c r="EW71" i="1"/>
  <c r="FL71" i="1"/>
  <c r="FO71" i="1"/>
  <c r="GE66" i="1"/>
  <c r="GF66" i="1" s="1"/>
  <c r="GG66" i="1"/>
  <c r="GS66" i="1" s="1"/>
  <c r="FF72" i="1"/>
  <c r="FI72" i="1" s="1"/>
  <c r="FY72" i="1"/>
  <c r="HE72" i="1" s="1"/>
  <c r="FB72" i="1"/>
  <c r="FA72" i="1"/>
  <c r="EV72" i="1"/>
  <c r="FM69" i="1"/>
  <c r="FN69" i="1" s="1"/>
  <c r="FJ69" i="1"/>
  <c r="GQ69" i="1" s="1"/>
  <c r="HQ33" i="1" s="1"/>
  <c r="FW69" i="1"/>
  <c r="FX69" i="1"/>
  <c r="FZ69" i="1" s="1"/>
  <c r="FT68" i="1"/>
  <c r="GO68" i="1"/>
  <c r="HM27" i="1" s="1"/>
  <c r="GC68" i="1"/>
  <c r="GH68" i="1" s="1"/>
  <c r="GB68" i="1"/>
  <c r="FT67" i="1"/>
  <c r="GO67" i="1"/>
  <c r="GB67" i="1"/>
  <c r="GC67" i="1"/>
  <c r="FJ70" i="1"/>
  <c r="GQ70" i="1" s="1"/>
  <c r="HQ39" i="1" s="1"/>
  <c r="FW70" i="1"/>
  <c r="FX70" i="1" s="1"/>
  <c r="FZ70" i="1" s="1"/>
  <c r="FM70" i="1"/>
  <c r="FN70" i="1" s="1"/>
  <c r="CC84" i="1"/>
  <c r="CK84" i="1" s="1"/>
  <c r="CR84" i="1" s="1"/>
  <c r="CB84" i="1"/>
  <c r="CE84" i="1"/>
  <c r="CN83" i="1"/>
  <c r="GE65" i="1"/>
  <c r="GF65" i="1" s="1"/>
  <c r="GG65" i="1"/>
  <c r="GH65" i="1"/>
  <c r="CA85" i="1"/>
  <c r="BU85" i="1"/>
  <c r="BX85" i="1"/>
  <c r="GS64" i="1"/>
  <c r="GY6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GI67" i="1" l="1"/>
  <c r="HM21" i="1"/>
  <c r="HM22" i="1"/>
  <c r="GD70" i="1"/>
  <c r="GA70" i="1"/>
  <c r="GP70" i="1"/>
  <c r="HR39" i="1" s="1"/>
  <c r="GR66" i="1"/>
  <c r="IB16" i="1" s="1"/>
  <c r="GT66" i="1"/>
  <c r="IC16" i="1" s="1"/>
  <c r="HY16" i="1"/>
  <c r="HA66" i="1"/>
  <c r="CV81" i="1"/>
  <c r="CW81" i="1"/>
  <c r="CX81" i="1"/>
  <c r="CQ83" i="1"/>
  <c r="CP83" i="1"/>
  <c r="FQ70" i="1"/>
  <c r="FS70" i="1" s="1"/>
  <c r="FR70" i="1"/>
  <c r="FP70" i="1"/>
  <c r="GE68" i="1"/>
  <c r="GF68" i="1" s="1"/>
  <c r="GG68" i="1"/>
  <c r="FP69" i="1"/>
  <c r="FR69" i="1"/>
  <c r="FQ69" i="1"/>
  <c r="FS69" i="1" s="1"/>
  <c r="GI68" i="1"/>
  <c r="GY68" i="1" s="1"/>
  <c r="GS68" i="1"/>
  <c r="FD72" i="1"/>
  <c r="FV72" i="1" s="1"/>
  <c r="FE72" i="1"/>
  <c r="EX72" i="1"/>
  <c r="FH72" i="1" s="1"/>
  <c r="EW72" i="1"/>
  <c r="HB72" i="1"/>
  <c r="HF72" i="1" s="1"/>
  <c r="CS82" i="1"/>
  <c r="CT82" i="1" s="1"/>
  <c r="CU82" i="1"/>
  <c r="DN80" i="1"/>
  <c r="FL72" i="1"/>
  <c r="FO72" i="1"/>
  <c r="GZ66" i="1"/>
  <c r="IE16" i="1" s="1"/>
  <c r="IA16" i="1"/>
  <c r="DM80" i="1"/>
  <c r="GH67" i="1"/>
  <c r="FU71" i="1"/>
  <c r="FG71" i="1"/>
  <c r="DL80" i="1"/>
  <c r="GG67" i="1"/>
  <c r="GE67" i="1"/>
  <c r="GF67" i="1" s="1"/>
  <c r="HG72" i="1"/>
  <c r="HH72" i="1"/>
  <c r="DQ80" i="1"/>
  <c r="CY81" i="1"/>
  <c r="CZ81" i="1"/>
  <c r="DP81" i="1" s="1"/>
  <c r="DA81" i="1"/>
  <c r="DQ81" i="1" s="1"/>
  <c r="GA69" i="1"/>
  <c r="GD69" i="1"/>
  <c r="GP69" i="1"/>
  <c r="HR33" i="1" s="1"/>
  <c r="DP80" i="1"/>
  <c r="FH71" i="1"/>
  <c r="DO80" i="1"/>
  <c r="CE85" i="1"/>
  <c r="CC85" i="1"/>
  <c r="CK85" i="1" s="1"/>
  <c r="CR85" i="1" s="1"/>
  <c r="CB85" i="1"/>
  <c r="GS65" i="1"/>
  <c r="HY19" i="1" s="1"/>
  <c r="GY65" i="1"/>
  <c r="IA19" i="1" s="1"/>
  <c r="CN84" i="1"/>
  <c r="GZ64" i="1"/>
  <c r="GT64" i="1"/>
  <c r="GR64" i="1"/>
  <c r="HA64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CV82" i="1" l="1"/>
  <c r="CW82" i="1"/>
  <c r="CX82" i="1"/>
  <c r="GZ68" i="1"/>
  <c r="IE27" i="1" s="1"/>
  <c r="IA27" i="1"/>
  <c r="DU80" i="1"/>
  <c r="DY80" i="1" s="1"/>
  <c r="DS80" i="1"/>
  <c r="DO81" i="1"/>
  <c r="GR68" i="1"/>
  <c r="IB27" i="1" s="1"/>
  <c r="GT68" i="1"/>
  <c r="IC27" i="1" s="1"/>
  <c r="HY27" i="1"/>
  <c r="HA68" i="1"/>
  <c r="GO70" i="1"/>
  <c r="HM39" i="1" s="1"/>
  <c r="GC70" i="1"/>
  <c r="GH70" i="1" s="1"/>
  <c r="GB70" i="1"/>
  <c r="HC66" i="1"/>
  <c r="HD66" i="1"/>
  <c r="DL81" i="1"/>
  <c r="FW71" i="1"/>
  <c r="FJ71" i="1"/>
  <c r="GQ71" i="1" s="1"/>
  <c r="HQ45" i="1" s="1"/>
  <c r="FM71" i="1"/>
  <c r="FN71" i="1" s="1"/>
  <c r="FT70" i="1"/>
  <c r="CY82" i="1"/>
  <c r="DO82" i="1" s="1"/>
  <c r="CZ82" i="1"/>
  <c r="DP82" i="1" s="1"/>
  <c r="DA82" i="1"/>
  <c r="DQ82" i="1" s="1"/>
  <c r="FG72" i="1"/>
  <c r="FU72" i="1"/>
  <c r="FT69" i="1"/>
  <c r="CS83" i="1"/>
  <c r="CU83" i="1" s="1"/>
  <c r="CT83" i="1"/>
  <c r="FX71" i="1"/>
  <c r="FZ71" i="1" s="1"/>
  <c r="GB69" i="1"/>
  <c r="GC69" i="1"/>
  <c r="GO69" i="1"/>
  <c r="HM33" i="1" s="1"/>
  <c r="DN81" i="1"/>
  <c r="GS67" i="1"/>
  <c r="HY22" i="1" s="1"/>
  <c r="GY67" i="1"/>
  <c r="IA22" i="1" s="1"/>
  <c r="CP84" i="1"/>
  <c r="CQ84" i="1"/>
  <c r="DW80" i="1"/>
  <c r="DX80" i="1" s="1"/>
  <c r="EA80" i="1" s="1"/>
  <c r="DV80" i="1"/>
  <c r="DR80" i="1"/>
  <c r="DM81" i="1"/>
  <c r="GI70" i="1"/>
  <c r="GR65" i="1"/>
  <c r="GT65" i="1"/>
  <c r="HY13" i="1"/>
  <c r="HA65" i="1"/>
  <c r="GZ65" i="1"/>
  <c r="IA13" i="1"/>
  <c r="CN85" i="1"/>
  <c r="HC64" i="1"/>
  <c r="HD64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IC13" i="1" l="1"/>
  <c r="IC19" i="1"/>
  <c r="IB13" i="1"/>
  <c r="IB19" i="1"/>
  <c r="IE13" i="1"/>
  <c r="IE19" i="1"/>
  <c r="CY83" i="1"/>
  <c r="CZ83" i="1"/>
  <c r="DA83" i="1"/>
  <c r="CS84" i="1"/>
  <c r="CT84" i="1"/>
  <c r="CU84" i="1"/>
  <c r="HC68" i="1"/>
  <c r="HD68" i="1"/>
  <c r="CV83" i="1"/>
  <c r="CW83" i="1"/>
  <c r="CX83" i="1"/>
  <c r="CP85" i="1"/>
  <c r="CQ85" i="1"/>
  <c r="GH69" i="1"/>
  <c r="DU82" i="1"/>
  <c r="DS82" i="1"/>
  <c r="DV81" i="1"/>
  <c r="DW81" i="1"/>
  <c r="DX81" i="1" s="1"/>
  <c r="EA81" i="1" s="1"/>
  <c r="DR81" i="1"/>
  <c r="GZ67" i="1"/>
  <c r="IA21" i="1"/>
  <c r="GR67" i="1"/>
  <c r="GT67" i="1"/>
  <c r="HY21" i="1"/>
  <c r="HA67" i="1"/>
  <c r="FJ72" i="1"/>
  <c r="GQ72" i="1" s="1"/>
  <c r="HQ51" i="1" s="1"/>
  <c r="FM72" i="1"/>
  <c r="FN72" i="1" s="1"/>
  <c r="FW72" i="1"/>
  <c r="FX72" i="1" s="1"/>
  <c r="FZ72" i="1" s="1"/>
  <c r="FR71" i="1"/>
  <c r="FQ71" i="1"/>
  <c r="FS71" i="1" s="1"/>
  <c r="FP71" i="1"/>
  <c r="DN82" i="1"/>
  <c r="GE69" i="1"/>
  <c r="GF69" i="1" s="1"/>
  <c r="GG69" i="1"/>
  <c r="GA71" i="1"/>
  <c r="GD71" i="1"/>
  <c r="GP71" i="1"/>
  <c r="HR45" i="1" s="1"/>
  <c r="GI69" i="1"/>
  <c r="GG70" i="1"/>
  <c r="GE70" i="1"/>
  <c r="GF70" i="1" s="1"/>
  <c r="DU81" i="1"/>
  <c r="DS81" i="1"/>
  <c r="DM82" i="1"/>
  <c r="DZ80" i="1"/>
  <c r="GY70" i="1"/>
  <c r="GS70" i="1"/>
  <c r="DL82" i="1"/>
  <c r="HC65" i="1"/>
  <c r="HD65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IB21" i="1" l="1"/>
  <c r="IB22" i="1"/>
  <c r="IC21" i="1"/>
  <c r="IC22" i="1"/>
  <c r="IE21" i="1"/>
  <c r="IE22" i="1"/>
  <c r="GA72" i="1"/>
  <c r="GP72" i="1"/>
  <c r="HR51" i="1" s="1"/>
  <c r="GD72" i="1"/>
  <c r="DY82" i="1"/>
  <c r="DV82" i="1"/>
  <c r="DZ82" i="1" s="1"/>
  <c r="DR82" i="1"/>
  <c r="DW82" i="1"/>
  <c r="DX82" i="1" s="1"/>
  <c r="EA82" i="1" s="1"/>
  <c r="FT71" i="1"/>
  <c r="GS69" i="1"/>
  <c r="GY69" i="1"/>
  <c r="CY84" i="1"/>
  <c r="CZ84" i="1"/>
  <c r="DP84" i="1" s="1"/>
  <c r="DA84" i="1"/>
  <c r="DQ84" i="1" s="1"/>
  <c r="CS85" i="1"/>
  <c r="CT85" i="1" s="1"/>
  <c r="CV84" i="1"/>
  <c r="CW84" i="1"/>
  <c r="CX84" i="1"/>
  <c r="GC71" i="1"/>
  <c r="GH71" i="1" s="1"/>
  <c r="GO71" i="1"/>
  <c r="HM45" i="1" s="1"/>
  <c r="GB71" i="1"/>
  <c r="DY81" i="1"/>
  <c r="FQ72" i="1"/>
  <c r="FR72" i="1"/>
  <c r="FT72" i="1" s="1"/>
  <c r="FP72" i="1"/>
  <c r="DN83" i="1"/>
  <c r="DQ83" i="1"/>
  <c r="GZ70" i="1"/>
  <c r="IE39" i="1" s="1"/>
  <c r="IA39" i="1"/>
  <c r="HD67" i="1"/>
  <c r="HC67" i="1"/>
  <c r="DM83" i="1"/>
  <c r="DP83" i="1"/>
  <c r="GR70" i="1"/>
  <c r="IB39" i="1" s="1"/>
  <c r="GT70" i="1"/>
  <c r="IC39" i="1" s="1"/>
  <c r="HY39" i="1"/>
  <c r="HA70" i="1"/>
  <c r="ED80" i="1"/>
  <c r="EB80" i="1"/>
  <c r="EC80" i="1"/>
  <c r="DZ81" i="1"/>
  <c r="DL83" i="1"/>
  <c r="DO83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GR69" i="1"/>
  <c r="IB33" i="1" s="1"/>
  <c r="GT69" i="1"/>
  <c r="IC33" i="1" s="1"/>
  <c r="HY33" i="1"/>
  <c r="HA69" i="1"/>
  <c r="ED81" i="1"/>
  <c r="EB81" i="1"/>
  <c r="EC81" i="1"/>
  <c r="GE71" i="1"/>
  <c r="GF71" i="1" s="1"/>
  <c r="GG71" i="1"/>
  <c r="GS71" i="1" s="1"/>
  <c r="CU85" i="1"/>
  <c r="EC82" i="1"/>
  <c r="ED82" i="1"/>
  <c r="EB82" i="1"/>
  <c r="DL84" i="1"/>
  <c r="GY71" i="1"/>
  <c r="EK80" i="1"/>
  <c r="EE80" i="1"/>
  <c r="EF80" i="1"/>
  <c r="EG80" i="1"/>
  <c r="EL80" i="1"/>
  <c r="EH80" i="1"/>
  <c r="EJ80" i="1"/>
  <c r="EI80" i="1"/>
  <c r="DN84" i="1"/>
  <c r="DO84" i="1"/>
  <c r="GI71" i="1"/>
  <c r="DS83" i="1"/>
  <c r="DU83" i="1"/>
  <c r="DY83" i="1" s="1"/>
  <c r="HD70" i="1"/>
  <c r="HC70" i="1"/>
  <c r="GB72" i="1"/>
  <c r="GC72" i="1"/>
  <c r="GO72" i="1"/>
  <c r="HM51" i="1" s="1"/>
  <c r="DM84" i="1"/>
  <c r="GZ69" i="1"/>
  <c r="IE33" i="1" s="1"/>
  <c r="IA33" i="1"/>
  <c r="GI72" i="1"/>
  <c r="DW83" i="1"/>
  <c r="DX83" i="1" s="1"/>
  <c r="EA83" i="1" s="1"/>
  <c r="DV83" i="1"/>
  <c r="DZ83" i="1" s="1"/>
  <c r="DR83" i="1"/>
  <c r="FS72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T71" i="1" l="1"/>
  <c r="IC45" i="1" s="1"/>
  <c r="GR71" i="1"/>
  <c r="IB45" i="1" s="1"/>
  <c r="HY45" i="1"/>
  <c r="HA71" i="1"/>
  <c r="EN80" i="1"/>
  <c r="EM80" i="1"/>
  <c r="EO80" i="1"/>
  <c r="ER80" i="1" s="1"/>
  <c r="GZ71" i="1"/>
  <c r="IE45" i="1" s="1"/>
  <c r="IA45" i="1"/>
  <c r="CY85" i="1"/>
  <c r="DO85" i="1" s="1"/>
  <c r="CZ85" i="1"/>
  <c r="DP85" i="1" s="1"/>
  <c r="DA85" i="1"/>
  <c r="DQ85" i="1" s="1"/>
  <c r="EK81" i="1"/>
  <c r="EG81" i="1"/>
  <c r="EF81" i="1"/>
  <c r="EE81" i="1"/>
  <c r="EK82" i="1"/>
  <c r="EG82" i="1"/>
  <c r="EE82" i="1"/>
  <c r="EF82" i="1"/>
  <c r="ED83" i="1"/>
  <c r="EC83" i="1"/>
  <c r="EB83" i="1"/>
  <c r="DS84" i="1"/>
  <c r="DU84" i="1"/>
  <c r="DY84" i="1" s="1"/>
  <c r="DV84" i="1"/>
  <c r="DZ84" i="1" s="1"/>
  <c r="DW84" i="1"/>
  <c r="DX84" i="1" s="1"/>
  <c r="EA84" i="1" s="1"/>
  <c r="DR84" i="1"/>
  <c r="DN85" i="1"/>
  <c r="GH72" i="1"/>
  <c r="EL81" i="1"/>
  <c r="EJ81" i="1"/>
  <c r="EI81" i="1"/>
  <c r="EH81" i="1"/>
  <c r="DM85" i="1"/>
  <c r="GE72" i="1"/>
  <c r="GF72" i="1" s="1"/>
  <c r="GG72" i="1"/>
  <c r="EL82" i="1"/>
  <c r="EJ82" i="1"/>
  <c r="EH82" i="1"/>
  <c r="EI82" i="1"/>
  <c r="HC69" i="1"/>
  <c r="HD69" i="1"/>
  <c r="DL85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EK83" i="1" l="1"/>
  <c r="EF83" i="1"/>
  <c r="EE83" i="1"/>
  <c r="EG83" i="1"/>
  <c r="EP80" i="1"/>
  <c r="EQ80" i="1"/>
  <c r="EZ80" i="1" s="1"/>
  <c r="FC80" i="1" s="1"/>
  <c r="EL83" i="1"/>
  <c r="EJ83" i="1"/>
  <c r="EH83" i="1"/>
  <c r="EI83" i="1"/>
  <c r="EO81" i="1"/>
  <c r="ER81" i="1" s="1"/>
  <c r="EM81" i="1"/>
  <c r="EN81" i="1"/>
  <c r="DR85" i="1"/>
  <c r="DV85" i="1"/>
  <c r="DW85" i="1"/>
  <c r="DX85" i="1" s="1"/>
  <c r="HC71" i="1"/>
  <c r="HD71" i="1"/>
  <c r="ED84" i="1"/>
  <c r="EC84" i="1"/>
  <c r="EB84" i="1"/>
  <c r="DS85" i="1"/>
  <c r="DU85" i="1"/>
  <c r="EO82" i="1"/>
  <c r="ER82" i="1" s="1"/>
  <c r="EM82" i="1"/>
  <c r="EN82" i="1"/>
  <c r="GS72" i="1"/>
  <c r="GY72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FF80" i="1" l="1"/>
  <c r="FI80" i="1" s="1"/>
  <c r="FY80" i="1"/>
  <c r="HE80" i="1" s="1"/>
  <c r="FB80" i="1"/>
  <c r="FA80" i="1"/>
  <c r="EV80" i="1"/>
  <c r="EK84" i="1"/>
  <c r="EF84" i="1"/>
  <c r="EG84" i="1"/>
  <c r="EE84" i="1"/>
  <c r="EL84" i="1"/>
  <c r="EJ84" i="1"/>
  <c r="EH84" i="1"/>
  <c r="EI84" i="1"/>
  <c r="EP82" i="1"/>
  <c r="EQ82" i="1"/>
  <c r="EZ82" i="1" s="1"/>
  <c r="FC82" i="1" s="1"/>
  <c r="EA85" i="1"/>
  <c r="EN83" i="1"/>
  <c r="EO83" i="1"/>
  <c r="ER83" i="1" s="1"/>
  <c r="EM83" i="1"/>
  <c r="GZ72" i="1"/>
  <c r="IE51" i="1" s="1"/>
  <c r="IA51" i="1"/>
  <c r="EQ81" i="1"/>
  <c r="EZ81" i="1" s="1"/>
  <c r="FC81" i="1" s="1"/>
  <c r="EP81" i="1"/>
  <c r="GT72" i="1"/>
  <c r="IC51" i="1" s="1"/>
  <c r="GR72" i="1"/>
  <c r="IB51" i="1" s="1"/>
  <c r="HY51" i="1"/>
  <c r="HA72" i="1"/>
  <c r="DY85" i="1"/>
  <c r="DZ85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FF81" i="1" l="1"/>
  <c r="FI81" i="1" s="1"/>
  <c r="FY81" i="1"/>
  <c r="HE81" i="1" s="1"/>
  <c r="FB82" i="1"/>
  <c r="EV82" i="1"/>
  <c r="FA82" i="1"/>
  <c r="EM84" i="1"/>
  <c r="EO84" i="1"/>
  <c r="ER84" i="1" s="1"/>
  <c r="EN84" i="1"/>
  <c r="FY82" i="1"/>
  <c r="HE82" i="1" s="1"/>
  <c r="FF82" i="1"/>
  <c r="FI82" i="1" s="1"/>
  <c r="EC85" i="1"/>
  <c r="ED85" i="1"/>
  <c r="EB85" i="1"/>
  <c r="HC72" i="1"/>
  <c r="HD72" i="1"/>
  <c r="FD80" i="1"/>
  <c r="FV80" i="1" s="1"/>
  <c r="EX80" i="1"/>
  <c r="EW80" i="1"/>
  <c r="HB80" i="1"/>
  <c r="HF80" i="1" s="1"/>
  <c r="HH80" i="1" s="1"/>
  <c r="FE80" i="1"/>
  <c r="EQ83" i="1"/>
  <c r="EZ83" i="1" s="1"/>
  <c r="FC83" i="1" s="1"/>
  <c r="EP83" i="1"/>
  <c r="FL80" i="1"/>
  <c r="FO80" i="1"/>
  <c r="HG80" i="1"/>
  <c r="EV81" i="1"/>
  <c r="FB81" i="1"/>
  <c r="FA81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FB83" i="1" l="1"/>
  <c r="EV83" i="1"/>
  <c r="FA83" i="1"/>
  <c r="EQ84" i="1"/>
  <c r="EZ84" i="1" s="1"/>
  <c r="FC84" i="1" s="1"/>
  <c r="EP84" i="1"/>
  <c r="FL82" i="1"/>
  <c r="FO82" i="1"/>
  <c r="FF83" i="1"/>
  <c r="FI83" i="1" s="1"/>
  <c r="FY83" i="1"/>
  <c r="HE83" i="1" s="1"/>
  <c r="EW81" i="1"/>
  <c r="EX81" i="1"/>
  <c r="FH81" i="1" s="1"/>
  <c r="FE81" i="1"/>
  <c r="HB81" i="1"/>
  <c r="HF81" i="1" s="1"/>
  <c r="HG81" i="1" s="1"/>
  <c r="FD81" i="1"/>
  <c r="FV81" i="1" s="1"/>
  <c r="EL85" i="1"/>
  <c r="EH85" i="1"/>
  <c r="EJ85" i="1"/>
  <c r="EI85" i="1"/>
  <c r="HB82" i="1"/>
  <c r="HF82" i="1" s="1"/>
  <c r="HG82" i="1" s="1"/>
  <c r="EW82" i="1"/>
  <c r="FD82" i="1"/>
  <c r="FV82" i="1" s="1"/>
  <c r="EX82" i="1"/>
  <c r="FH82" i="1" s="1"/>
  <c r="FE82" i="1"/>
  <c r="EK85" i="1"/>
  <c r="EE85" i="1"/>
  <c r="EF85" i="1"/>
  <c r="EG85" i="1"/>
  <c r="FL81" i="1"/>
  <c r="FO81" i="1"/>
  <c r="FG80" i="1"/>
  <c r="FU80" i="1"/>
  <c r="FH80" i="1"/>
  <c r="HH82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EV84" i="1" l="1"/>
  <c r="FB84" i="1"/>
  <c r="FA84" i="1"/>
  <c r="FG82" i="1"/>
  <c r="FU82" i="1"/>
  <c r="FF84" i="1"/>
  <c r="FI84" i="1" s="1"/>
  <c r="FY84" i="1"/>
  <c r="HE84" i="1" s="1"/>
  <c r="FW80" i="1"/>
  <c r="FX80" i="1" s="1"/>
  <c r="FZ80" i="1" s="1"/>
  <c r="FJ80" i="1"/>
  <c r="GQ80" i="1" s="1"/>
  <c r="HQ20" i="1" s="1"/>
  <c r="FM80" i="1"/>
  <c r="FN80" i="1" s="1"/>
  <c r="FU81" i="1"/>
  <c r="FG81" i="1"/>
  <c r="FL83" i="1"/>
  <c r="FO83" i="1"/>
  <c r="HH81" i="1"/>
  <c r="EX83" i="1"/>
  <c r="EW83" i="1"/>
  <c r="FD83" i="1"/>
  <c r="FV83" i="1" s="1"/>
  <c r="HB83" i="1"/>
  <c r="HF83" i="1" s="1"/>
  <c r="HG83" i="1" s="1"/>
  <c r="FE83" i="1"/>
  <c r="EN85" i="1"/>
  <c r="EO85" i="1"/>
  <c r="ER85" i="1" s="1"/>
  <c r="EM85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GD80" i="1" l="1"/>
  <c r="GP80" i="1"/>
  <c r="HR20" i="1" s="1"/>
  <c r="GA80" i="1"/>
  <c r="FU83" i="1"/>
  <c r="FG83" i="1"/>
  <c r="FM81" i="1"/>
  <c r="FN81" i="1" s="1"/>
  <c r="FJ81" i="1"/>
  <c r="GQ81" i="1" s="1"/>
  <c r="HQ26" i="1" s="1"/>
  <c r="FW81" i="1"/>
  <c r="FJ82" i="1"/>
  <c r="GQ82" i="1" s="1"/>
  <c r="HQ32" i="1" s="1"/>
  <c r="FM82" i="1"/>
  <c r="FN82" i="1" s="1"/>
  <c r="FW82" i="1"/>
  <c r="FX82" i="1" s="1"/>
  <c r="FZ82" i="1" s="1"/>
  <c r="EQ85" i="1"/>
  <c r="EZ85" i="1" s="1"/>
  <c r="FC85" i="1" s="1"/>
  <c r="EP85" i="1"/>
  <c r="FH83" i="1"/>
  <c r="FX81" i="1"/>
  <c r="FZ81" i="1" s="1"/>
  <c r="FL84" i="1"/>
  <c r="FO84" i="1"/>
  <c r="HH83" i="1"/>
  <c r="FQ80" i="1"/>
  <c r="FR80" i="1"/>
  <c r="FT80" i="1" s="1"/>
  <c r="FP80" i="1"/>
  <c r="FE84" i="1"/>
  <c r="EX84" i="1"/>
  <c r="FD84" i="1"/>
  <c r="FV84" i="1" s="1"/>
  <c r="EW84" i="1"/>
  <c r="HB84" i="1"/>
  <c r="HF84" i="1" s="1"/>
  <c r="HH84" i="1" s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GA82" i="1" l="1"/>
  <c r="GD82" i="1"/>
  <c r="GP82" i="1"/>
  <c r="HR32" i="1" s="1"/>
  <c r="FU84" i="1"/>
  <c r="FG84" i="1"/>
  <c r="FQ82" i="1"/>
  <c r="FS82" i="1" s="1"/>
  <c r="FP82" i="1"/>
  <c r="FR82" i="1"/>
  <c r="FH84" i="1"/>
  <c r="GD81" i="1"/>
  <c r="GA81" i="1"/>
  <c r="GP81" i="1"/>
  <c r="HR26" i="1" s="1"/>
  <c r="HG84" i="1"/>
  <c r="GB80" i="1"/>
  <c r="GO80" i="1"/>
  <c r="HM20" i="1" s="1"/>
  <c r="GC80" i="1"/>
  <c r="EV85" i="1"/>
  <c r="FB85" i="1"/>
  <c r="FA85" i="1"/>
  <c r="FR81" i="1"/>
  <c r="FQ81" i="1"/>
  <c r="FS81" i="1" s="1"/>
  <c r="FP81" i="1"/>
  <c r="FF85" i="1"/>
  <c r="FI85" i="1" s="1"/>
  <c r="FY85" i="1"/>
  <c r="HE85" i="1" s="1"/>
  <c r="FW83" i="1"/>
  <c r="FX83" i="1" s="1"/>
  <c r="FZ83" i="1" s="1"/>
  <c r="FJ83" i="1"/>
  <c r="GQ83" i="1" s="1"/>
  <c r="HQ38" i="1" s="1"/>
  <c r="FM83" i="1"/>
  <c r="FN83" i="1" s="1"/>
  <c r="FS80" i="1"/>
  <c r="GI80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GP83" i="1" l="1"/>
  <c r="HR38" i="1" s="1"/>
  <c r="GD83" i="1"/>
  <c r="GA83" i="1"/>
  <c r="GG80" i="1"/>
  <c r="GE80" i="1"/>
  <c r="GF80" i="1" s="1"/>
  <c r="GB81" i="1"/>
  <c r="GC81" i="1"/>
  <c r="GH81" i="1" s="1"/>
  <c r="GO81" i="1"/>
  <c r="HM26" i="1" s="1"/>
  <c r="GC82" i="1"/>
  <c r="GH82" i="1" s="1"/>
  <c r="GB82" i="1"/>
  <c r="GO82" i="1"/>
  <c r="HM32" i="1" s="1"/>
  <c r="FT81" i="1"/>
  <c r="FW84" i="1"/>
  <c r="FJ84" i="1"/>
  <c r="GQ84" i="1" s="1"/>
  <c r="HQ44" i="1" s="1"/>
  <c r="FM84" i="1"/>
  <c r="FN84" i="1" s="1"/>
  <c r="FX84" i="1"/>
  <c r="FZ84" i="1" s="1"/>
  <c r="FL85" i="1"/>
  <c r="FO85" i="1"/>
  <c r="EW85" i="1"/>
  <c r="FD85" i="1"/>
  <c r="FV85" i="1" s="1"/>
  <c r="FE85" i="1"/>
  <c r="HB85" i="1"/>
  <c r="HF85" i="1" s="1"/>
  <c r="HG85" i="1" s="1"/>
  <c r="HG8" i="1" s="1"/>
  <c r="EX85" i="1"/>
  <c r="FH85" i="1" s="1"/>
  <c r="FQ83" i="1"/>
  <c r="FS83" i="1" s="1"/>
  <c r="FP83" i="1"/>
  <c r="FR83" i="1"/>
  <c r="GI81" i="1"/>
  <c r="GH80" i="1"/>
  <c r="GI82" i="1"/>
  <c r="FT82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R84" i="1" l="1"/>
  <c r="FQ84" i="1"/>
  <c r="FS84" i="1" s="1"/>
  <c r="FP84" i="1"/>
  <c r="GY81" i="1"/>
  <c r="GG81" i="1"/>
  <c r="GS81" i="1" s="1"/>
  <c r="GE81" i="1"/>
  <c r="GF81" i="1" s="1"/>
  <c r="GY80" i="1"/>
  <c r="GS80" i="1"/>
  <c r="HH85" i="1"/>
  <c r="HH8" i="1" s="1"/>
  <c r="HF8" i="1" s="1"/>
  <c r="FG85" i="1"/>
  <c r="FU85" i="1"/>
  <c r="GD84" i="1"/>
  <c r="GP84" i="1"/>
  <c r="HR44" i="1" s="1"/>
  <c r="GA84" i="1"/>
  <c r="FT83" i="1"/>
  <c r="GG82" i="1"/>
  <c r="GS82" i="1" s="1"/>
  <c r="GE82" i="1"/>
  <c r="GF82" i="1" s="1"/>
  <c r="GC83" i="1"/>
  <c r="GH83" i="1" s="1"/>
  <c r="GB83" i="1"/>
  <c r="GO83" i="1"/>
  <c r="HM38" i="1" s="1"/>
  <c r="GY82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E8" i="1" l="1"/>
  <c r="GT82" i="1"/>
  <c r="IC32" i="1" s="1"/>
  <c r="GR82" i="1"/>
  <c r="IB32" i="1" s="1"/>
  <c r="HY32" i="1"/>
  <c r="HA82" i="1"/>
  <c r="GT81" i="1"/>
  <c r="IC26" i="1" s="1"/>
  <c r="GR81" i="1"/>
  <c r="IB26" i="1" s="1"/>
  <c r="HY26" i="1"/>
  <c r="HA81" i="1"/>
  <c r="GS83" i="1"/>
  <c r="GZ81" i="1"/>
  <c r="IE26" i="1" s="1"/>
  <c r="IA26" i="1"/>
  <c r="GG83" i="1"/>
  <c r="GE83" i="1"/>
  <c r="GF83" i="1" s="1"/>
  <c r="GI84" i="1"/>
  <c r="FJ85" i="1"/>
  <c r="GQ85" i="1" s="1"/>
  <c r="HQ50" i="1" s="1"/>
  <c r="FM85" i="1"/>
  <c r="FN85" i="1" s="1"/>
  <c r="FW85" i="1"/>
  <c r="FX85" i="1" s="1"/>
  <c r="FZ85" i="1" s="1"/>
  <c r="GB84" i="1"/>
  <c r="GO84" i="1"/>
  <c r="HM44" i="1" s="1"/>
  <c r="GC84" i="1"/>
  <c r="GH84" i="1" s="1"/>
  <c r="GZ80" i="1"/>
  <c r="IE20" i="1" s="1"/>
  <c r="IA20" i="1"/>
  <c r="GI83" i="1"/>
  <c r="GY83" i="1" s="1"/>
  <c r="GZ82" i="1"/>
  <c r="IE32" i="1" s="1"/>
  <c r="IA32" i="1"/>
  <c r="GT80" i="1"/>
  <c r="IC20" i="1" s="1"/>
  <c r="GR80" i="1"/>
  <c r="IB20" i="1" s="1"/>
  <c r="HY20" i="1"/>
  <c r="HA80" i="1"/>
  <c r="FT84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GZ83" i="1" l="1"/>
  <c r="IE38" i="1" s="1"/>
  <c r="IA38" i="1"/>
  <c r="GP85" i="1"/>
  <c r="HR50" i="1" s="1"/>
  <c r="GD85" i="1"/>
  <c r="GA85" i="1"/>
  <c r="GR83" i="1"/>
  <c r="IB38" i="1" s="1"/>
  <c r="GT83" i="1"/>
  <c r="IC38" i="1" s="1"/>
  <c r="HY38" i="1"/>
  <c r="HA83" i="1"/>
  <c r="HC81" i="1"/>
  <c r="HD81" i="1"/>
  <c r="HC80" i="1"/>
  <c r="HD80" i="1"/>
  <c r="GY84" i="1"/>
  <c r="GG84" i="1"/>
  <c r="GS84" i="1" s="1"/>
  <c r="GE84" i="1"/>
  <c r="GF84" i="1" s="1"/>
  <c r="HC82" i="1"/>
  <c r="HD82" i="1"/>
  <c r="FP85" i="1"/>
  <c r="FR85" i="1"/>
  <c r="FQ85" i="1"/>
  <c r="FS85" i="1" s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R84" i="1" l="1"/>
  <c r="IB44" i="1" s="1"/>
  <c r="GT84" i="1"/>
  <c r="IC44" i="1" s="1"/>
  <c r="HY44" i="1"/>
  <c r="HA84" i="1"/>
  <c r="GZ84" i="1"/>
  <c r="IE44" i="1" s="1"/>
  <c r="IA44" i="1"/>
  <c r="FT85" i="1"/>
  <c r="GC85" i="1"/>
  <c r="GO85" i="1"/>
  <c r="HM50" i="1" s="1"/>
  <c r="GB85" i="1"/>
  <c r="HD83" i="1"/>
  <c r="HC83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G85" i="1" l="1"/>
  <c r="GE85" i="1"/>
  <c r="GF85" i="1" s="1"/>
  <c r="GH85" i="1"/>
  <c r="HC84" i="1"/>
  <c r="HD84" i="1"/>
  <c r="GI85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S85" i="1" l="1"/>
  <c r="GS2" i="1" s="1"/>
  <c r="GY85" i="1"/>
  <c r="GY2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5" i="1" l="1"/>
  <c r="IE50" i="1" s="1"/>
  <c r="IA50" i="1"/>
  <c r="GT85" i="1"/>
  <c r="IC50" i="1" s="1"/>
  <c r="GR85" i="1"/>
  <c r="HY50" i="1"/>
  <c r="HA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IB50" i="1" l="1"/>
  <c r="GR2" i="1"/>
  <c r="HC85" i="1"/>
  <c r="HC8" i="1" s="1"/>
  <c r="HD85" i="1"/>
  <c r="HD8" i="1" s="1"/>
  <c r="HH3" i="1" s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A8" i="1" l="1"/>
  <c r="HG3" i="1"/>
  <c r="HB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E3" i="1" l="1"/>
  <c r="HF3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W2" i="1" l="1"/>
  <c r="HA4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U2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IU1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<sst xmlns="http://schemas.openxmlformats.org/spreadsheetml/2006/main" count="803" uniqueCount="408">
  <si>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</si>
  <si>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</si>
  <si>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</si>
  <si>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</si>
  <si>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</si>
  <si>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</si>
  <si>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</si>
  <si>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</si>
  <si>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</si>
  <si>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</si>
  <si>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</si>
  <si>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</si>
  <si>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</si>
  <si>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</si>
  <si>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</si>
  <si>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</si>
  <si>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</si>
  <si>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</si>
  <si>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</si>
  <si>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</si>
  <si>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</si>
  <si>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</si>
  <si>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</si>
  <si>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</si>
  <si>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</si>
  <si>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</si>
  <si>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</si>
  <si>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</si>
  <si>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</si>
  <si>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</si>
  <si>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</si>
  <si>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</si>
  <si>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</si>
  <si>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</si>
  <si>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</si>
  <si>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</si>
  <si>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</si>
  <si>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</si>
  <si>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</si>
  <si>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</si>
  <si>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</si>
  <si>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</si>
  <si>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</si>
  <si>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</si>
  <si>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</si>
  <si>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</si>
  <si>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</si>
  <si>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</si>
  <si>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</si>
  <si>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</si>
  <si>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</si>
  <si>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</si>
  <si>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</si>
  <si>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</si>
  <si>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</si>
  <si>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</si>
  <si>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</si>
  <si>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</si>
  <si>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</si>
  <si>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</si>
  <si>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</si>
  <si>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</si>
  <si>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</si>
  <si>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</si>
  <si>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</si>
  <si>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</si>
  <si>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</si>
  <si>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</si>
  <si>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</si>
  <si>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</si>
  <si>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</si>
  <si>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</si>
  <si>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</si>
  <si>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</si>
  <si>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</si>
  <si>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</si>
  <si>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</si>
  <si>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</si>
  <si>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</si>
  <si>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</si>
  <si>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</si>
  <si>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</si>
  <si>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</si>
  <si>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</si>
  <si>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</si>
  <si>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</si>
  <si>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</si>
  <si>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</si>
  <si>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</si>
  <si>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</si>
  <si>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</si>
  <si>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</si>
  <si>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</si>
  <si>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</si>
  <si>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</si>
  <si>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</si>
  <si>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</si>
  <si>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</si>
  <si>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</si>
  <si>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</si>
  <si>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</si>
  <si>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</si>
  <si>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</si>
  <si>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</si>
  <si>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</si>
  <si>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</si>
  <si>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</si>
  <si>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</si>
  <si>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</si>
  <si>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</si>
  <si>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</si>
  <si>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</si>
  <si>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</si>
  <si>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</si>
  <si>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</si>
  <si>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</si>
  <si>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</si>
  <si>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</si>
  <si>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</si>
  <si>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</si>
  <si>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</si>
  <si>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</si>
  <si>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</si>
  <si>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</si>
  <si>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</si>
  <si>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</si>
  <si>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</si>
  <si>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</si>
  <si>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</si>
  <si>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</si>
  <si>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</si>
  <si>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</si>
  <si>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</si>
  <si>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</si>
  <si>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</si>
  <si>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</si>
  <si>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</si>
  <si>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</si>
  <si>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</si>
  <si>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</si>
  <si>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</si>
  <si>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</si>
  <si>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</si>
  <si>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</si>
  <si>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</si>
  <si>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</si>
  <si>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</si>
  <si>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</si>
  <si>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</si>
  <si>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</si>
  <si>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</si>
  <si>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</si>
  <si>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</si>
  <si>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</si>
  <si>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</si>
  <si>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</si>
  <si>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</si>
  <si>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</si>
  <si>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</si>
  <si>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</si>
  <si>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</si>
  <si>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</si>
  <si>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</si>
  <si>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</si>
  <si>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</si>
  <si>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</si>
  <si>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</si>
  <si>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</si>
  <si>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</si>
  <si>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</si>
  <si>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</si>
  <si>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</si>
  <si>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</si>
  <si>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</si>
  <si>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</si>
  <si>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</si>
  <si>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</si>
  <si>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</si>
  <si>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</si>
  <si>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</si>
  <si>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</si>
  <si>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</si>
  <si>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</si>
  <si>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</si>
  <si>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</si>
  <si>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</si>
  <si>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</si>
  <si>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</si>
  <si>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</si>
  <si>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</si>
  <si>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</si>
  <si>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</si>
  <si>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</si>
  <si>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</si>
  <si>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</si>
  <si>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</si>
  <si>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</si>
  <si>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</si>
  <si>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</si>
  <si>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</si>
  <si>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</si>
  <si>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</si>
  <si>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</si>
  <si>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</si>
  <si>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</si>
  <si>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</si>
  <si>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</si>
  <si>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</si>
  <si>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</si>
  <si>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</si>
  <si>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</si>
  <si>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</si>
  <si>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</si>
  <si>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</si>
  <si>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</si>
  <si>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</si>
  <si>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</si>
  <si>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</si>
  <si>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</si>
  <si>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</si>
  <si>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</si>
  <si>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</si>
  <si>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</si>
  <si>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</si>
  <si>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</si>
  <si>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</si>
  <si>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</si>
  <si>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</si>
  <si>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</si>
  <si>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</si>
  <si>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</si>
  <si>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</si>
  <si>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</si>
  <si>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</si>
  <si>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</si>
  <si>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</si>
  <si>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</si>
  <si>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</si>
  <si>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</si>
  <si>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</si>
  <si>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</si>
  <si>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</si>
  <si>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</si>
  <si>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</si>
  <si>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</si>
  <si>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</si>
  <si>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</si>
  <si>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</si>
  <si>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</si>
  <si>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</si>
  <si>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</si>
  <si>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</si>
  <si>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</si>
  <si>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</si>
  <si>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</si>
  <si>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</si>
  <si>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</si>
  <si>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</si>
  <si>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</si>
  <si>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</si>
  <si>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</si>
  <si>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</si>
  <si>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</si>
  <si>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</si>
  <si>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</si>
  <si>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</si>
  <si>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</si>
  <si>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</si>
  <si>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</si>
  <si>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</si>
  <si>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</si>
  <si>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</si>
  <si>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</si>
  <si>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</si>
  <si>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</si>
  <si>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</si>
  <si>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</si>
  <si>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</si>
  <si>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</si>
  <si>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</si>
  <si>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</si>
  <si>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</si>
  <si>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</si>
  <si>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</si>
  <si>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</si>
  <si>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</si>
  <si>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</si>
  <si>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</si>
  <si>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</si>
  <si>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</si>
  <si>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</si>
  <si>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</si>
  <si>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</si>
  <si>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</si>
  <si>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</si>
  <si>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</si>
  <si>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</si>
  <si>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</si>
  <si>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</si>
  <si>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</si>
  <si>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</si>
  <si>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</si>
  <si>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</si>
  <si>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</si>
  <si>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</si>
  <si>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</si>
  <si>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</si>
  <si>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</si>
  <si>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</si>
  <si>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</si>
  <si>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</si>
  <si>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</si>
  <si>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</si>
  <si>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</si>
  <si>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</si>
  <si>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</si>
  <si>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</si>
  <si>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</si>
  <si>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</si>
  <si>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</si>
  <si>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</si>
  <si>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</si>
  <si>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</si>
  <si>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</si>
  <si>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</si>
  <si>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</si>
  <si>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</si>
  <si>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</si>
  <si>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</si>
  <si>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</si>
  <si>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</si>
  <si>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</si>
  <si>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</si>
  <si>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</si>
  <si>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</si>
  <si>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</si>
  <si>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</si>
  <si>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</si>
  <si>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</si>
  <si>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</si>
  <si>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</si>
  <si>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</si>
  <si>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</si>
  <si>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</si>
  <si>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</si>
  <si>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</si>
  <si>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</si>
  <si>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</si>
  <si>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</si>
  <si>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</si>
  <si>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</si>
  <si>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</si>
  <si>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</si>
  <si>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</si>
  <si>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</si>
  <si>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</si>
  <si>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</si>
  <si>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</si>
  <si>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</si>
  <si>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</si>
  <si>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</si>
  <si>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</si>
  <si>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</si>
  <si>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</si>
  <si>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</si>
  <si>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</si>
  <si>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</si>
  <si>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</si>
  <si>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</si>
  <si>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</si>
  <si>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</si>
  <si>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</si>
  <si>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</si>
  <si>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</si>
  <si>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</si>
  <si>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</si>
  <si>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</si>
  <si>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</si>
  <si>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</si>
  <si>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</si>
  <si>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</si>
  <si>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</si>
  <si>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</si>
  <si>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</si>
  <si>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</si>
  <si>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</si>
  <si>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</si>
  <si>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</si>
  <si>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</si>
  <si>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</si>
  <si>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</si>
  <si>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</si>
  <si>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</si>
  <si>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</si>
  <si>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</si>
  <si>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</si>
  <si>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</si>
  <si>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</si>
  <si>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</si>
  <si>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</si>
  <si>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>Chamfer</t>
  </si>
  <si>
    <t>Display</t>
  </si>
  <si>
    <t>torque</t>
  </si>
  <si>
    <t>Cutlet Centroid</t>
  </si>
  <si>
    <t>WOB</t>
  </si>
  <si>
    <t>Small</t>
  </si>
  <si>
    <t>Large</t>
  </si>
  <si>
    <t>2095r02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</si>
</sst>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;;;"/>
  </numFmts>
  <fonts count="5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  <font>
      <sz val="18"/>
      <color theme="1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5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3" xfId="0" applyBorder="1" applyAlignment="1">
      <alignment horizontal="center"/>
    </xf>
    <xf numFmtId="0" fontId="0" fillId="0" borderId="314" xfId="0" applyBorder="1" applyAlignment="1">
      <alignment horizontal="center" wrapText="1"/>
    </xf>
    <xf numFmtId="3" fontId="25" fillId="0" borderId="327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28" xfId="37" applyBorder="1" applyAlignment="1">
      <alignment horizontal="center" vertical="center"/>
    </xf>
    <xf numFmtId="0" fontId="3" fillId="0" borderId="329" xfId="37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0" fontId="0" fillId="0" borderId="333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36" xfId="0" applyBorder="1" applyAlignment="1">
      <alignment horizontal="center" vertical="center" wrapText="1"/>
    </xf>
    <xf numFmtId="0" fontId="0" fillId="0" borderId="338" xfId="0" applyBorder="1" applyAlignment="1">
      <alignment horizontal="center" vertical="center"/>
    </xf>
    <xf numFmtId="0" fontId="0" fillId="0" borderId="337" xfId="0" applyBorder="1" applyAlignment="1">
      <alignment horizontal="center" vertical="center" wrapText="1"/>
    </xf>
    <xf numFmtId="0" fontId="0" fillId="0" borderId="339" xfId="0" applyBorder="1" applyAlignment="1">
      <alignment horizontal="center" vertical="center" wrapText="1"/>
    </xf>
    <xf numFmtId="0" fontId="0" fillId="0" borderId="341" xfId="0" applyBorder="1" applyAlignment="1">
      <alignment horizontal="center" vertical="center" wrapText="1"/>
    </xf>
    <xf numFmtId="0" fontId="0" fillId="0" borderId="343" xfId="0" applyBorder="1" applyAlignment="1">
      <alignment horizontal="center" vertical="center" wrapText="1"/>
    </xf>
    <xf numFmtId="0" fontId="0" fillId="0" borderId="34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326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272" xfId="0" applyBorder="1" applyAlignment="1">
      <alignment horizontal="center"/>
    </xf>
    <xf numFmtId="172" fontId="31" fillId="0" borderId="344" xfId="0" applyNumberFormat="1" applyFont="1" applyBorder="1" applyAlignment="1">
      <alignment horizontal="center"/>
    </xf>
    <xf numFmtId="172" fontId="31" fillId="0" borderId="95" xfId="0" applyNumberFormat="1" applyFont="1" applyBorder="1" applyAlignment="1">
      <alignment horizontal="center"/>
    </xf>
    <xf numFmtId="172" fontId="31" fillId="0" borderId="347" xfId="0" applyNumberFormat="1" applyFont="1" applyBorder="1" applyAlignment="1">
      <alignment horizontal="center"/>
    </xf>
    <xf numFmtId="172" fontId="31" fillId="0" borderId="342" xfId="0" applyNumberFormat="1" applyFont="1" applyBorder="1" applyAlignment="1">
      <alignment horizontal="center"/>
    </xf>
    <xf numFmtId="172" fontId="31" fillId="0" borderId="101" xfId="0" applyNumberFormat="1" applyFont="1" applyBorder="1" applyAlignment="1">
      <alignment horizontal="center"/>
    </xf>
    <xf numFmtId="172" fontId="31" fillId="0" borderId="334" xfId="0" applyNumberFormat="1" applyFont="1" applyBorder="1" applyAlignment="1">
      <alignment horizontal="center"/>
    </xf>
    <xf numFmtId="164" fontId="31" fillId="0" borderId="318" xfId="0" applyNumberFormat="1" applyFont="1" applyBorder="1" applyAlignment="1">
      <alignment horizontal="center"/>
    </xf>
    <xf numFmtId="164" fontId="31" fillId="0" borderId="165" xfId="0" applyNumberFormat="1" applyFont="1" applyBorder="1" applyAlignment="1">
      <alignment horizontal="center"/>
    </xf>
    <xf numFmtId="164" fontId="31" fillId="0" borderId="324" xfId="0" applyNumberFormat="1" applyFont="1" applyBorder="1" applyAlignment="1">
      <alignment horizontal="center"/>
    </xf>
    <xf numFmtId="10" fontId="31" fillId="0" borderId="312" xfId="0" applyNumberFormat="1" applyFont="1" applyBorder="1" applyAlignment="1">
      <alignment horizontal="center"/>
    </xf>
    <xf numFmtId="3" fontId="31" fillId="0" borderId="95" xfId="0" applyNumberFormat="1" applyFont="1" applyBorder="1" applyAlignment="1">
      <alignment horizontal="center"/>
    </xf>
    <xf numFmtId="172" fontId="31" fillId="0" borderId="338" xfId="0" applyNumberFormat="1" applyFont="1" applyBorder="1" applyAlignment="1">
      <alignment horizontal="center"/>
    </xf>
    <xf numFmtId="172" fontId="31" fillId="0" borderId="77" xfId="0" applyNumberFormat="1" applyFont="1" applyBorder="1" applyAlignment="1">
      <alignment horizontal="center"/>
    </xf>
    <xf numFmtId="172" fontId="31" fillId="0" borderId="345" xfId="0" applyNumberFormat="1" applyFont="1" applyBorder="1" applyAlignment="1">
      <alignment horizontal="center"/>
    </xf>
    <xf numFmtId="172" fontId="31" fillId="0" borderId="340" xfId="0" applyNumberFormat="1" applyFont="1" applyBorder="1" applyAlignment="1">
      <alignment horizontal="center"/>
    </xf>
    <xf numFmtId="172" fontId="31" fillId="0" borderId="335" xfId="0" applyNumberFormat="1" applyFont="1" applyBorder="1" applyAlignment="1">
      <alignment horizontal="center"/>
    </xf>
    <xf numFmtId="164" fontId="31" fillId="0" borderId="319" xfId="0" applyNumberFormat="1" applyFont="1" applyBorder="1" applyAlignment="1">
      <alignment horizontal="center"/>
    </xf>
    <xf numFmtId="164" fontId="31" fillId="0" borderId="78" xfId="0" applyNumberFormat="1" applyFont="1" applyBorder="1" applyAlignment="1">
      <alignment horizontal="center"/>
    </xf>
    <xf numFmtId="164" fontId="31" fillId="0" borderId="325" xfId="0" applyNumberFormat="1" applyFont="1" applyBorder="1" applyAlignment="1">
      <alignment horizontal="center"/>
    </xf>
    <xf numFmtId="10" fontId="31" fillId="0" borderId="313" xfId="0" applyNumberFormat="1" applyFont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6" xfId="0" applyNumberFormat="1" applyFont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3" fontId="31" fillId="0" borderId="325" xfId="0" applyNumberFormat="1" applyFont="1" applyBorder="1" applyAlignment="1">
      <alignment horizontal="center"/>
    </xf>
    <xf numFmtId="3" fontId="31" fillId="0" borderId="316" xfId="0" applyNumberFormat="1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175" fontId="31" fillId="0" borderId="187" xfId="0" applyNumberFormat="1" applyFont="1" applyBorder="1" applyAlignment="1">
      <alignment horizontal="center"/>
    </xf>
    <xf numFmtId="175" fontId="31" fillId="0" borderId="96" xfId="0" applyNumberFormat="1" applyFont="1" applyBorder="1" applyAlignment="1">
      <alignment horizontal="center"/>
    </xf>
    <xf numFmtId="175" fontId="31" fillId="0" borderId="95" xfId="0" applyNumberFormat="1" applyFont="1" applyBorder="1" applyAlignment="1">
      <alignment horizontal="center"/>
    </xf>
    <xf numFmtId="175" fontId="31" fillId="0" borderId="165" xfId="0" applyNumberFormat="1" applyFont="1" applyBorder="1" applyAlignment="1">
      <alignment horizontal="center"/>
    </xf>
    <xf numFmtId="175" fontId="31" fillId="0" borderId="324" xfId="0" applyNumberFormat="1" applyFont="1" applyBorder="1" applyAlignment="1">
      <alignment horizontal="center"/>
    </xf>
    <xf numFmtId="175" fontId="31" fillId="0" borderId="315" xfId="0" applyNumberFormat="1" applyFont="1" applyBorder="1" applyAlignment="1">
      <alignment horizontal="center"/>
    </xf>
    <xf numFmtId="175" fontId="31" fillId="0" borderId="77" xfId="0" applyNumberFormat="1" applyFont="1" applyBorder="1" applyAlignment="1">
      <alignment horizontal="center"/>
    </xf>
    <xf numFmtId="175" fontId="31" fillId="0" borderId="78" xfId="0" applyNumberFormat="1" applyFont="1" applyBorder="1" applyAlignment="1">
      <alignment horizontal="center"/>
    </xf>
    <xf numFmtId="175" fontId="31" fillId="0" borderId="325" xfId="0" applyNumberFormat="1" applyFont="1" applyBorder="1" applyAlignment="1">
      <alignment horizontal="center"/>
    </xf>
    <xf numFmtId="175" fontId="31" fillId="0" borderId="316" xfId="0" applyNumberFormat="1" applyFont="1" applyBorder="1" applyAlignment="1">
      <alignment horizontal="center"/>
    </xf>
    <xf numFmtId="3" fontId="25" fillId="0" borderId="154" xfId="0" applyNumberFormat="1" applyFont="1" applyBorder="1" applyAlignment="1">
      <alignment horizontal="center" vertical="center"/>
    </xf>
    <xf numFmtId="3" fontId="25" fillId="0" borderId="94" xfId="0" applyNumberFormat="1" applyFont="1" applyBorder="1" applyAlignment="1">
      <alignment horizontal="center" vertical="center"/>
    </xf>
    <xf numFmtId="3" fontId="25" fillId="0" borderId="199" xfId="0" applyNumberFormat="1" applyFont="1" applyBorder="1" applyAlignment="1">
      <alignment horizontal="center" vertical="center"/>
    </xf>
    <xf numFmtId="3" fontId="25" fillId="0" borderId="348" xfId="0" applyNumberFormat="1" applyFont="1" applyBorder="1" applyAlignment="1">
      <alignment horizontal="center" vertical="center"/>
    </xf>
    <xf numFmtId="3" fontId="25" fillId="0" borderId="349" xfId="0" applyNumberFormat="1" applyFont="1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1" xfId="0" applyBorder="1" applyAlignment="1">
      <alignment horizontal="center" vertical="center" wrapText="1"/>
    </xf>
    <xf numFmtId="166" fontId="25" fillId="0" borderId="23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170" xfId="0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189" xfId="0" applyBorder="1" applyAlignment="1">
      <alignment horizontal="center"/>
    </xf>
    <xf numFmtId="0" fontId="0" fillId="0" borderId="256" xfId="0" applyBorder="1" applyAlignment="1">
      <alignment horizontal="center"/>
    </xf>
    <xf numFmtId="0" fontId="51" fillId="0" borderId="84" xfId="0" applyFont="1" applyBorder="1" applyAlignment="1">
      <alignment horizontal="center"/>
    </xf>
    <xf numFmtId="0" fontId="51" fillId="0" borderId="84" xfId="0" applyFont="1" applyBorder="1" applyAlignment="1">
      <alignment horizontal="center" vertical="top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36" xfId="0" applyBorder="1" applyAlignment="1">
      <alignment horizontal="center"/>
    </xf>
    <xf numFmtId="0" fontId="0" fillId="0" borderId="353" xfId="0" applyBorder="1" applyAlignment="1">
      <alignment horizontal="center"/>
    </xf>
    <xf numFmtId="0" fontId="0" fillId="0" borderId="237" xfId="0" applyBorder="1" applyAlignment="1">
      <alignment horizont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352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0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45" xfId="0" applyBorder="1" applyAlignment="1">
      <alignment horizontal="center" vertical="center" wrapText="1"/>
    </xf>
    <xf numFmtId="0" fontId="0" fillId="0" borderId="34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  <xf numFmtId="49" fontId="25" fillId="0" borderId="11" xfId="0" applyNumberFormat="1" applyFont="1" applyBorder="1" applyAlignment="1">
      <alignment horizontal="center"/>
    </xf>
    <xf numFmtId="167" fontId="30" fillId="48" borderId="9" xfId="0" applyNumberFormat="1" applyFont="1" applyFill="1" applyBorder="1" applyAlignment="1">
      <alignment horizontal="right"/>
    </xf>
    <xf numFmtId="167" fontId="30" fillId="48" borderId="5" xfId="0" applyNumberFormat="1" applyFont="1" applyFill="1" applyBorder="1" applyAlignment="1">
      <alignment horizontal="center"/>
    </xf>
    <xf numFmtId="167" fontId="25" fillId="63" borderId="89" xfId="0" applyNumberFormat="1" applyFont="1" applyFill="1" applyBorder="1" applyAlignment="1">
      <alignment horizontal="center"/>
    </xf>
    <xf numFmtId="167" fontId="25" fillId="0" borderId="9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239</xdr:col>
      <xdr:colOff>1095375</xdr:colOff>
      <xdr:row>24</xdr:row>
      <xdr:rowOff>11910</xdr:rowOff>
    </xdr:from>
    <xdr:to>
      <xdr:col>239</xdr:col>
      <xdr:colOff>1726405</xdr:colOff>
      <xdr:row>47</xdr:row>
      <xdr:rowOff>35722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158168578" y="7042551"/>
          <a:ext cx="4405312" cy="6310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K29" sqref="K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07" t="s">
        <v>77</v>
      </c>
      <c r="D1" s="1007"/>
      <c r="E1" s="1007"/>
      <c r="F1" s="1007"/>
      <c r="G1" s="1007"/>
      <c r="H1" s="1007"/>
      <c r="I1" s="1007"/>
      <c r="J1" s="1007"/>
      <c r="K1" s="1007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4" t="s">
        <v>80</v>
      </c>
      <c r="B6" s="99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3" t="s">
        <v>370</v>
      </c>
      <c r="AQ7" s="993"/>
      <c r="AR7" s="99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9">
        <v>9</v>
      </c>
      <c r="D9" s="969"/>
      <c r="E9" s="969"/>
      <c r="F9" s="969"/>
      <c r="G9" s="969"/>
      <c r="H9" s="969"/>
      <c r="I9" s="969"/>
      <c r="J9" s="969"/>
      <c r="K9" s="100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88"/>
      <c r="C10" s="989"/>
      <c r="D10" s="989"/>
      <c r="E10" s="989"/>
      <c r="F10" s="989"/>
      <c r="G10" s="98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05"/>
      <c r="B11" s="995" t="s">
        <v>33</v>
      </c>
      <c r="C11" s="1004" t="s">
        <v>34</v>
      </c>
      <c r="D11" s="1004"/>
      <c r="E11" s="1001" t="s">
        <v>39</v>
      </c>
      <c r="F11" s="995" t="s">
        <v>35</v>
      </c>
      <c r="G11" s="995" t="s">
        <v>36</v>
      </c>
      <c r="H11" s="995" t="s">
        <v>43</v>
      </c>
      <c r="I11" s="1002" t="s">
        <v>67</v>
      </c>
      <c r="J11" s="1004" t="s">
        <v>56</v>
      </c>
      <c r="K11" s="100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68" t="s">
        <v>338</v>
      </c>
      <c r="AN11" s="969"/>
      <c r="AO11" s="969"/>
      <c r="AP11" s="969"/>
      <c r="AQ11" s="969"/>
      <c r="AR11" s="970"/>
      <c r="AS11" s="979" t="s">
        <v>345</v>
      </c>
      <c r="AT11" s="980"/>
      <c r="AU11" s="980"/>
      <c r="AV11" s="981"/>
      <c r="BC11" s="419"/>
    </row>
    <row r="12" spans="1:55" ht="15.75" thickBot="1" x14ac:dyDescent="0.3">
      <c r="A12" s="1006"/>
      <c r="B12" s="996"/>
      <c r="C12" s="48" t="s">
        <v>8</v>
      </c>
      <c r="D12" s="49" t="s">
        <v>10</v>
      </c>
      <c r="E12" s="996"/>
      <c r="F12" s="996"/>
      <c r="G12" s="996"/>
      <c r="H12" s="996"/>
      <c r="I12" s="1003"/>
      <c r="J12" s="52" t="s">
        <v>8</v>
      </c>
      <c r="K12" s="53" t="s">
        <v>10</v>
      </c>
      <c r="M12" s="31"/>
      <c r="N12" s="31"/>
      <c r="O12" s="1016" t="s">
        <v>46</v>
      </c>
      <c r="P12" s="1017"/>
      <c r="Q12" s="997" t="s">
        <v>45</v>
      </c>
      <c r="R12" s="998"/>
      <c r="S12" s="998"/>
      <c r="T12" s="998"/>
      <c r="U12" s="998"/>
      <c r="V12" s="998"/>
      <c r="W12" s="998"/>
      <c r="X12" s="998"/>
      <c r="Y12" s="998"/>
      <c r="Z12" s="998"/>
      <c r="AA12" s="998"/>
      <c r="AB12" s="998"/>
      <c r="AC12" s="998"/>
      <c r="AD12" s="998"/>
      <c r="AE12" s="999"/>
      <c r="AF12" s="1010" t="s">
        <v>56</v>
      </c>
      <c r="AG12" s="1011"/>
      <c r="AH12" s="31"/>
      <c r="AK12" s="974" t="s">
        <v>346</v>
      </c>
      <c r="AL12" s="990"/>
      <c r="AM12" s="971" t="s">
        <v>343</v>
      </c>
      <c r="AN12" s="972"/>
      <c r="AO12" s="973"/>
      <c r="AP12" s="974" t="s">
        <v>371</v>
      </c>
      <c r="AQ12" s="973"/>
      <c r="AR12" s="743" t="s">
        <v>369</v>
      </c>
      <c r="AS12" s="976" t="s">
        <v>343</v>
      </c>
      <c r="AT12" s="973"/>
      <c r="AU12" s="977" t="s">
        <v>344</v>
      </c>
      <c r="AV12" s="978"/>
      <c r="AW12" s="982" t="s">
        <v>342</v>
      </c>
      <c r="AX12" s="983"/>
      <c r="AZ12" s="974" t="s">
        <v>60</v>
      </c>
      <c r="BA12" s="973"/>
      <c r="BC12" s="975" t="s">
        <v>374</v>
      </c>
    </row>
    <row r="13" spans="1:55" ht="15.75" thickBot="1" x14ac:dyDescent="0.3">
      <c r="A13" s="63" t="s">
        <v>57</v>
      </c>
      <c r="B13" s="984" t="s">
        <v>97</v>
      </c>
      <c r="C13" s="986" t="str">
        <f>SUBSTITUTE(ADDRESS(1,COLUMN(Assy.Model!X9),4),"1","")</f>
        <v>X</v>
      </c>
      <c r="D13" s="97" t="str">
        <f>SUBSTITUTE(ADDRESS(1,COLUMN(Assy.Model!Y9),4),"1","")</f>
        <v>Y</v>
      </c>
      <c r="E13" s="991" t="str">
        <f>SUBSTITUTE(ADDRESS(1,COLUMN(Assy.Model!H9),4),"1","")</f>
        <v>H</v>
      </c>
      <c r="F13" s="991" t="str">
        <f>SUBSTITUTE(ADDRESS(1,COLUMN(Assy.Model!AN9),4),"1","")</f>
        <v>AN</v>
      </c>
      <c r="G13" s="991" t="str">
        <f>SUBSTITUTE(ADDRESS(1,COLUMN(Assy.Model!AO9),4),"1","")</f>
        <v>AO</v>
      </c>
      <c r="H13" s="991" t="str">
        <f>SUBSTITUTE(ADDRESS(1,COLUMN(Assy.Model!AO9),4),"1","")</f>
        <v>AO</v>
      </c>
      <c r="I13" s="99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18"/>
      <c r="P13" s="101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75"/>
    </row>
    <row r="14" spans="1:55" x14ac:dyDescent="0.25">
      <c r="A14" s="61" t="s">
        <v>58</v>
      </c>
      <c r="B14" s="985"/>
      <c r="C14" s="987"/>
      <c r="D14" s="98" t="str">
        <f>SUBSTITUTE(ADDRESS(1,COLUMN(Assy.Model!AT9),4),"1","")</f>
        <v>AT</v>
      </c>
      <c r="E14" s="992"/>
      <c r="F14" s="992"/>
      <c r="G14" s="992"/>
      <c r="H14" s="992"/>
      <c r="I14" s="992"/>
      <c r="J14" s="87">
        <v>0</v>
      </c>
      <c r="K14" s="88">
        <v>0</v>
      </c>
      <c r="L14" s="31"/>
      <c r="M14" s="185">
        <v>6.25E-2</v>
      </c>
      <c r="N14" s="31">
        <v>32</v>
      </c>
      <c r="O14" s="101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2">
        <f>ROUND(((ROUND(AP14,6)*1000000)+AQ14),6)</f>
        <v>438000.315</v>
      </c>
      <c r="AJ14" s="779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2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1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2">
        <f t="shared" ref="AI15:AI28" si="13">ROUND(((ROUND(AP15,6)*1000000)+AQ15),6)</f>
        <v>438000.39399999997</v>
      </c>
      <c r="AJ15" s="779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1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2">
        <f t="shared" si="13"/>
        <v>438000.42</v>
      </c>
      <c r="AJ16" s="779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1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2">
        <f t="shared" si="13"/>
        <v>484000.52</v>
      </c>
      <c r="AJ17" s="779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1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2">
        <f t="shared" si="13"/>
        <v>532000.31499999994</v>
      </c>
      <c r="AJ18" s="779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1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2">
        <f t="shared" si="13"/>
        <v>532000.39399999997</v>
      </c>
      <c r="AJ19" s="779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1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2">
        <f t="shared" si="13"/>
        <v>532000.52</v>
      </c>
      <c r="AJ20" s="779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9" t="s">
        <v>64</v>
      </c>
      <c r="C21" s="969"/>
      <c r="D21" s="969"/>
      <c r="E21" s="969"/>
      <c r="F21" s="1000"/>
      <c r="G21" s="31"/>
      <c r="H21" s="31"/>
      <c r="I21" s="31"/>
      <c r="AI21" s="782">
        <f t="shared" si="13"/>
        <v>580000.52</v>
      </c>
      <c r="AJ21" s="779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05"/>
      <c r="C22" s="999" t="s">
        <v>63</v>
      </c>
      <c r="D22" s="1000"/>
      <c r="E22" s="1002" t="s">
        <v>60</v>
      </c>
      <c r="F22" s="1002" t="s">
        <v>61</v>
      </c>
      <c r="G22" s="31"/>
      <c r="H22" s="31"/>
      <c r="I22" s="31"/>
      <c r="AI22" s="782">
        <f t="shared" si="13"/>
        <v>628000.31499999994</v>
      </c>
      <c r="AJ22" s="779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20"/>
      <c r="C23" s="56" t="s">
        <v>8</v>
      </c>
      <c r="D23" s="56" t="s">
        <v>9</v>
      </c>
      <c r="E23" s="1003"/>
      <c r="F23" s="1003"/>
      <c r="G23" s="31"/>
      <c r="H23" s="31"/>
      <c r="I23" s="31"/>
      <c r="N23" s="31"/>
      <c r="AI23" s="782">
        <f t="shared" si="13"/>
        <v>628000.39399999997</v>
      </c>
      <c r="AJ23" s="779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12">
        <v>0</v>
      </c>
      <c r="E24" s="1012">
        <v>2</v>
      </c>
      <c r="F24" s="1012">
        <v>270</v>
      </c>
      <c r="G24" s="31"/>
      <c r="H24" s="31"/>
      <c r="I24" s="31"/>
      <c r="N24" s="31"/>
      <c r="AI24" s="782">
        <f t="shared" si="13"/>
        <v>628000.52</v>
      </c>
      <c r="AJ24" s="779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013"/>
      <c r="E25" s="1013"/>
      <c r="F25" s="1013"/>
      <c r="G25" s="31"/>
      <c r="H25" s="31"/>
      <c r="I25" s="31"/>
      <c r="AI25" s="782">
        <f t="shared" si="13"/>
        <v>668000.52</v>
      </c>
      <c r="AJ25" s="779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2">
        <f t="shared" si="13"/>
        <v>711000.52</v>
      </c>
      <c r="AJ26" s="779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08" t="s">
        <v>302</v>
      </c>
      <c r="C27" s="1008"/>
      <c r="D27" s="1008"/>
      <c r="E27" s="1008"/>
      <c r="F27" s="1008"/>
      <c r="G27" s="31"/>
      <c r="H27" s="31"/>
      <c r="I27" s="31"/>
      <c r="AI27" s="782">
        <f t="shared" si="13"/>
        <v>753000.52</v>
      </c>
      <c r="AJ27" s="779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09" t="s">
        <v>407</v>
      </c>
      <c r="C28" s="1009"/>
      <c r="D28" s="1009"/>
      <c r="E28" s="1009"/>
      <c r="F28" s="1009"/>
      <c r="G28" s="31"/>
      <c r="H28" s="31"/>
      <c r="I28" s="31"/>
      <c r="AI28" s="782">
        <f t="shared" si="13"/>
        <v>390000.212</v>
      </c>
      <c r="AJ28" s="779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7">
        <f>($AP28+AU$9)-0.002</f>
        <v>0.38900000000000001</v>
      </c>
      <c r="AV28" s="778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2">
        <f>ROUND(((ROUND(AP29,6)*1000000)+AQ29),6)</f>
        <v>390000.43800000002</v>
      </c>
      <c r="AJ29" s="779" t="b">
        <f>TRUE</f>
        <v>1</v>
      </c>
      <c r="AK29" s="814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3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2">
        <f t="shared" ref="AI30:AI36" si="21">ROUND(((ROUND(AP30,6)*1000000)+AQ30),6)</f>
        <v>514000.45500000002</v>
      </c>
      <c r="AJ30" s="779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2">
        <f t="shared" si="21"/>
        <v>514000.71</v>
      </c>
      <c r="AJ31" s="779" t="b">
        <v>0</v>
      </c>
      <c r="AK31" s="814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3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2">
        <f t="shared" si="21"/>
        <v>514000.41499999998</v>
      </c>
      <c r="AJ32" s="779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  <c r="BC32" s="82" t="str">
        <v>CPS-32106r1</v>
      </c>
    </row>
    <row r="33" spans="35:50" x14ac:dyDescent="0.25">
      <c r="AI33" s="782">
        <f t="shared" si="21"/>
        <v>514000.67</v>
      </c>
      <c r="AJ33" s="779" t="b">
        <f>TRUE</f>
        <v>1</v>
      </c>
      <c r="AK33" s="814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3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2">
        <f t="shared" si="21"/>
        <v>450000.33189999999</v>
      </c>
      <c r="AJ34" s="779" t="b"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4">
        <f>($AM34+AS$9)+0.0008</f>
        <v>0.44130000000000003</v>
      </c>
      <c r="AT34" s="773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2">
        <f t="shared" si="21"/>
        <v>450000.33199999999</v>
      </c>
      <c r="AJ35" s="779" t="b"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3">
        <f>($AN35-($AO35/2))+0.0001</f>
        <v>0.33200000000000007</v>
      </c>
      <c r="AR35" s="177">
        <f t="shared" si="22"/>
        <v>0.22075</v>
      </c>
      <c r="AS35" s="774">
        <f>($AM35+AS$9)+0.0008</f>
        <v>0.44130000000000003</v>
      </c>
      <c r="AT35" s="773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2">
        <f t="shared" si="21"/>
        <v>525000.40700000001</v>
      </c>
      <c r="AJ36" s="779" t="b">
        <v>1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1433">
        <f>($AM36+AP$9)+0.0074</f>
        <v>0.52499999999999991</v>
      </c>
      <c r="AQ36" s="1434">
        <f>($AN36-($AO36/2))</f>
        <v>0.40700000000000003</v>
      </c>
      <c r="AR36" s="768">
        <f t="shared" si="22"/>
        <v>0.25729999999999997</v>
      </c>
      <c r="AS36" s="775">
        <f>($AM36+AS$9)+0.0008</f>
        <v>0.51439999999999997</v>
      </c>
      <c r="AT36" s="776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69" t="s">
        <v>95</v>
      </c>
      <c r="D3" s="969"/>
      <c r="E3" s="969"/>
      <c r="F3" s="969"/>
      <c r="G3" s="969"/>
      <c r="H3" s="969"/>
      <c r="I3" s="969"/>
      <c r="J3" s="969"/>
      <c r="K3" s="970"/>
      <c r="L3" s="1026"/>
      <c r="M3" s="969"/>
      <c r="N3" s="969"/>
      <c r="O3" s="969"/>
      <c r="P3" s="969"/>
      <c r="Q3" s="969"/>
      <c r="R3" s="100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8" t="s">
        <v>86</v>
      </c>
      <c r="C4" s="1065" t="s">
        <v>82</v>
      </c>
      <c r="D4" s="969" t="s">
        <v>83</v>
      </c>
      <c r="E4" s="969"/>
      <c r="F4" s="969"/>
      <c r="G4" s="969"/>
      <c r="H4" s="969"/>
      <c r="I4" s="969"/>
      <c r="J4" s="969"/>
      <c r="K4" s="969"/>
      <c r="L4" s="146" t="s">
        <v>91</v>
      </c>
      <c r="M4" s="999" t="s">
        <v>94</v>
      </c>
      <c r="N4" s="969"/>
      <c r="O4" s="969"/>
      <c r="P4" s="970"/>
      <c r="Q4" s="969" t="s">
        <v>52</v>
      </c>
      <c r="R4" s="1000"/>
      <c r="S4" s="103"/>
      <c r="T4" s="999">
        <v>350</v>
      </c>
      <c r="U4" s="969"/>
      <c r="V4" s="969" t="s">
        <v>76</v>
      </c>
      <c r="W4" s="96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9"/>
      <c r="C5" s="1066"/>
      <c r="D5" s="1054" t="s">
        <v>85</v>
      </c>
      <c r="E5" s="1068" t="s">
        <v>89</v>
      </c>
      <c r="F5" s="1004" t="s">
        <v>34</v>
      </c>
      <c r="G5" s="1004"/>
      <c r="H5" s="1001" t="s">
        <v>39</v>
      </c>
      <c r="I5" s="995" t="s">
        <v>35</v>
      </c>
      <c r="J5" s="995" t="s">
        <v>36</v>
      </c>
      <c r="K5" s="1038" t="s">
        <v>67</v>
      </c>
      <c r="L5" s="147" t="s">
        <v>92</v>
      </c>
      <c r="M5" s="1002" t="s">
        <v>90</v>
      </c>
      <c r="N5" s="1002" t="s">
        <v>47</v>
      </c>
      <c r="O5" s="1021" t="s">
        <v>84</v>
      </c>
      <c r="P5" s="1022"/>
      <c r="Q5" s="1023" t="s">
        <v>84</v>
      </c>
      <c r="R5" s="1024"/>
      <c r="S5" s="103"/>
      <c r="T5" s="1016" t="s">
        <v>46</v>
      </c>
      <c r="U5" s="1027"/>
      <c r="V5" s="983" t="s">
        <v>45</v>
      </c>
      <c r="W5" s="1011"/>
      <c r="X5" s="1011"/>
      <c r="Y5" s="1011"/>
      <c r="Z5" s="1011"/>
      <c r="AA5" s="1011"/>
      <c r="AB5" s="1011"/>
      <c r="AC5" s="1011"/>
      <c r="AD5" s="1011"/>
      <c r="AE5" s="1011"/>
      <c r="AF5" s="1011"/>
      <c r="AG5" s="1011"/>
      <c r="AH5" s="1011"/>
      <c r="AI5" s="1011"/>
      <c r="AJ5" s="1011"/>
      <c r="AK5" s="31"/>
      <c r="AL5" s="31"/>
    </row>
    <row r="6" spans="2:38" ht="15" customHeight="1" thickBot="1" x14ac:dyDescent="0.3">
      <c r="B6" s="1050"/>
      <c r="C6" s="1067"/>
      <c r="D6" s="1055"/>
      <c r="E6" s="1069"/>
      <c r="F6" s="104" t="s">
        <v>8</v>
      </c>
      <c r="G6" s="105" t="s">
        <v>10</v>
      </c>
      <c r="H6" s="1039"/>
      <c r="I6" s="1039"/>
      <c r="J6" s="1039"/>
      <c r="K6" s="1028"/>
      <c r="L6" s="148" t="s">
        <v>93</v>
      </c>
      <c r="M6" s="1025"/>
      <c r="N6" s="102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28"/>
      <c r="U6" s="102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6">
        <f>ROW(Assy.Model!B9)</f>
        <v>9</v>
      </c>
      <c r="D7" s="1045" t="str">
        <f>SUBSTITUTE(ADDRESS(1,COLUMN(Assy.Model!B9),4),"1","")</f>
        <v>B</v>
      </c>
      <c r="E7" s="1059" t="str">
        <f>SUBSTITUTE(ADDRESS(1,COLUMN(Assy.Model!M9),4),"1","")</f>
        <v>M</v>
      </c>
      <c r="F7" s="1062" t="str">
        <f>SUBSTITUTE(ADDRESS(1,COLUMN(Assy.Model!X9),4),"1","")</f>
        <v>X</v>
      </c>
      <c r="G7" s="1051" t="str">
        <f>SUBSTITUTE(ADDRESS(1,COLUMN(Assy.Model!AT9),4),"1","")</f>
        <v>AT</v>
      </c>
      <c r="H7" s="1030" t="str">
        <f>SUBSTITUTE(ADDRESS(1,COLUMN(Assy.Model!H9),4),"1","")</f>
        <v>H</v>
      </c>
      <c r="I7" s="1030" t="str">
        <f>SUBSTITUTE(ADDRESS(1,COLUMN(Assy.Model!AN9),4),"1","")</f>
        <v>AN</v>
      </c>
      <c r="J7" s="1030" t="str">
        <f>SUBSTITUTE(ADDRESS(1,COLUMN(Assy.Model!AO9),4),"1","")</f>
        <v>AO</v>
      </c>
      <c r="K7" s="103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4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40" t="s">
        <v>81</v>
      </c>
      <c r="C8" s="1057"/>
      <c r="D8" s="1046"/>
      <c r="E8" s="1060"/>
      <c r="F8" s="1063"/>
      <c r="G8" s="1052"/>
      <c r="H8" s="1031"/>
      <c r="I8" s="1031"/>
      <c r="J8" s="1031"/>
      <c r="K8" s="1034"/>
      <c r="L8" s="149" t="s">
        <v>93</v>
      </c>
      <c r="M8" s="103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40"/>
      <c r="C9" s="1057"/>
      <c r="D9" s="1046"/>
      <c r="E9" s="1060"/>
      <c r="F9" s="1063"/>
      <c r="G9" s="1052"/>
      <c r="H9" s="1031"/>
      <c r="I9" s="1031"/>
      <c r="J9" s="1031"/>
      <c r="K9" s="1034"/>
      <c r="L9" s="149" t="s">
        <v>92</v>
      </c>
      <c r="M9" s="103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40"/>
      <c r="C10" s="1057"/>
      <c r="D10" s="1046"/>
      <c r="E10" s="1060"/>
      <c r="F10" s="1063"/>
      <c r="G10" s="1052"/>
      <c r="H10" s="1031"/>
      <c r="I10" s="1031"/>
      <c r="J10" s="1031"/>
      <c r="K10" s="1034"/>
      <c r="L10" s="149" t="s">
        <v>92</v>
      </c>
      <c r="M10" s="103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40"/>
      <c r="C11" s="1057"/>
      <c r="D11" s="1046"/>
      <c r="E11" s="1060"/>
      <c r="F11" s="1063"/>
      <c r="G11" s="1052"/>
      <c r="H11" s="1031"/>
      <c r="I11" s="1031"/>
      <c r="J11" s="1031"/>
      <c r="K11" s="1034"/>
      <c r="L11" s="149" t="s">
        <v>92</v>
      </c>
      <c r="M11" s="103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40"/>
      <c r="C12" s="1057"/>
      <c r="D12" s="1046"/>
      <c r="E12" s="1060"/>
      <c r="F12" s="1063"/>
      <c r="G12" s="1052"/>
      <c r="H12" s="1031"/>
      <c r="I12" s="1031"/>
      <c r="J12" s="1031"/>
      <c r="K12" s="1034"/>
      <c r="L12" s="149" t="s">
        <v>92</v>
      </c>
      <c r="M12" s="103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40"/>
      <c r="C13" s="1057"/>
      <c r="D13" s="1046"/>
      <c r="E13" s="1060"/>
      <c r="F13" s="1063"/>
      <c r="G13" s="1052"/>
      <c r="H13" s="1031"/>
      <c r="I13" s="1031"/>
      <c r="J13" s="1031"/>
      <c r="K13" s="1034"/>
      <c r="L13" s="149" t="s">
        <v>92</v>
      </c>
      <c r="M13" s="103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41"/>
      <c r="C14" s="1058"/>
      <c r="D14" s="1047"/>
      <c r="E14" s="1061"/>
      <c r="F14" s="1064"/>
      <c r="G14" s="1053"/>
      <c r="H14" s="1032"/>
      <c r="I14" s="1032"/>
      <c r="J14" s="1032"/>
      <c r="K14" s="1035"/>
      <c r="L14" s="150" t="s">
        <v>93</v>
      </c>
      <c r="M14" s="103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style="31" hidden="1" customWidth="1"/>
    <col min="226" max="226" width="12.5703125" style="31" hidden="1" customWidth="1"/>
    <col min="227" max="227" width="10.7109375" style="31" bestFit="1" customWidth="1"/>
    <col min="228" max="230" width="7.7109375" style="31" customWidth="1"/>
    <col min="231" max="231" width="11.7109375" style="31" hidden="1" customWidth="1"/>
    <col min="232" max="235" width="11.7109375" style="31" customWidth="1"/>
    <col min="236" max="236" width="12.7109375" style="31" customWidth="1"/>
    <col min="237" max="237" width="10.7109375" hidden="1" customWidth="1"/>
    <col min="238" max="238" width="11.7109375" hidden="1" customWidth="1"/>
    <col min="239" max="239" width="10.7109375" hidden="1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305" t="str">
        <f>CONCATENATE(Settings!$C$19," ",Settings!$B$28)</f>
        <v>9.875 2095r02</v>
      </c>
      <c r="D1" s="1305"/>
      <c r="E1" s="1305"/>
      <c r="F1" s="1305"/>
      <c r="G1" s="1305"/>
      <c r="H1" s="1305"/>
      <c r="I1" s="1305"/>
      <c r="J1" s="1305"/>
      <c r="K1" s="1305"/>
      <c r="L1" s="709"/>
      <c r="M1" s="906">
        <f>IFERROR(LARGE(M9:M150,1),"Null")</f>
        <v>6.1269999999999998</v>
      </c>
      <c r="N1" s="419"/>
      <c r="O1" s="419"/>
      <c r="P1" s="902"/>
      <c r="Q1" s="82"/>
      <c r="R1" s="902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K1" s="103">
        <v>8000</v>
      </c>
      <c r="IL1" s="103">
        <v>14000</v>
      </c>
      <c r="IM1" s="948">
        <v>18000</v>
      </c>
      <c r="IN1" s="948"/>
      <c r="IO1" s="948"/>
      <c r="IP1" s="948"/>
      <c r="IQ1" s="948"/>
      <c r="IR1" s="948"/>
      <c r="IS1" s="948"/>
      <c r="IT1" s="948" t="s">
        <v>402</v>
      </c>
      <c r="IU1" s="141">
        <f>IM1/HX6</f>
        <v>3.1104924149692046</v>
      </c>
      <c r="JC1" s="82"/>
      <c r="JD1" s="82"/>
      <c r="JE1" s="82"/>
    </row>
    <row r="2" spans="1:285" ht="15" customHeight="1" thickTop="1" thickBot="1" x14ac:dyDescent="0.3">
      <c r="B2" s="1081" t="s">
        <v>306</v>
      </c>
      <c r="C2" s="1310"/>
      <c r="D2" s="1310"/>
      <c r="E2" s="1310"/>
      <c r="F2" s="1310"/>
      <c r="G2" s="1310"/>
      <c r="H2" s="1310"/>
      <c r="I2" s="1310"/>
      <c r="J2" s="1310"/>
      <c r="K2" s="1311"/>
      <c r="L2" s="1149" t="str" cm="1">
        <f t="array" ref="L2">IF(OR($K$9:$K$150="Undefined"),"Undefined Element","")</f>
        <v/>
      </c>
      <c r="M2" s="1320" t="s">
        <v>0</v>
      </c>
      <c r="N2" s="1267" t="s">
        <v>1</v>
      </c>
      <c r="O2" s="1268"/>
      <c r="P2" s="1268"/>
      <c r="Q2" s="1268"/>
      <c r="R2" s="1268"/>
      <c r="S2" s="1268"/>
      <c r="T2" s="1268"/>
      <c r="U2" s="1268"/>
      <c r="V2" s="1268"/>
      <c r="W2" s="1268"/>
      <c r="X2" s="1268"/>
      <c r="Y2" s="1280"/>
      <c r="Z2" s="1267" t="s">
        <v>2</v>
      </c>
      <c r="AA2" s="1268"/>
      <c r="AB2" s="1268"/>
      <c r="AC2" s="1268"/>
      <c r="AD2" s="1268"/>
      <c r="AE2" s="1268"/>
      <c r="AF2" s="1268"/>
      <c r="AG2" s="1268"/>
      <c r="AH2" s="1268"/>
      <c r="AI2" s="1268"/>
      <c r="AJ2" s="1268"/>
      <c r="AK2" s="1268"/>
      <c r="AL2" s="1268"/>
      <c r="AM2" s="1268"/>
      <c r="AN2" s="1268"/>
      <c r="AO2" s="1268"/>
      <c r="AP2" s="1268"/>
      <c r="AQ2" s="1269"/>
      <c r="AS2" s="1100" t="s">
        <v>44</v>
      </c>
      <c r="AT2" s="1102"/>
      <c r="AV2" s="1362" t="s">
        <v>0</v>
      </c>
      <c r="AW2" s="1267" t="s">
        <v>109</v>
      </c>
      <c r="AX2" s="1268"/>
      <c r="AY2" s="1268"/>
      <c r="AZ2" s="1268"/>
      <c r="BA2" s="1268"/>
      <c r="BB2" s="1268"/>
      <c r="BC2" s="1268"/>
      <c r="BD2" s="1268"/>
      <c r="BE2" s="1269"/>
      <c r="BF2" s="1279" t="s">
        <v>115</v>
      </c>
      <c r="BG2" s="1268"/>
      <c r="BH2" s="1268"/>
      <c r="BI2" s="1268"/>
      <c r="BJ2" s="1268"/>
      <c r="BK2" s="1268"/>
      <c r="BL2" s="1268"/>
      <c r="BM2" s="1268"/>
      <c r="BN2" s="1268"/>
      <c r="BO2" s="1268"/>
      <c r="BP2" s="1268"/>
      <c r="BQ2" s="1268"/>
      <c r="BR2" s="1268"/>
      <c r="BS2" s="1268"/>
      <c r="BT2" s="1268"/>
      <c r="BU2" s="1268"/>
      <c r="BV2" s="1268"/>
      <c r="BW2" s="1268"/>
      <c r="BX2" s="1268"/>
      <c r="BY2" s="1268"/>
      <c r="BZ2" s="1268"/>
      <c r="CA2" s="1268"/>
      <c r="CB2" s="1268"/>
      <c r="CC2" s="1268"/>
      <c r="CD2" s="1268"/>
      <c r="CE2" s="1268"/>
      <c r="CF2" s="1268"/>
      <c r="CG2" s="1268"/>
      <c r="CH2" s="1268"/>
      <c r="CI2" s="1268"/>
      <c r="CJ2" s="1268"/>
      <c r="CK2" s="1268"/>
      <c r="CL2" s="1268"/>
      <c r="CM2" s="1268"/>
      <c r="CN2" s="1268"/>
      <c r="CO2" s="1268"/>
      <c r="CP2" s="1268"/>
      <c r="CQ2" s="1268"/>
      <c r="CR2" s="1268"/>
      <c r="CS2" s="1268"/>
      <c r="CT2" s="1268"/>
      <c r="CU2" s="1268"/>
      <c r="CV2" s="1268"/>
      <c r="CW2" s="1268"/>
      <c r="CX2" s="1268"/>
      <c r="CY2" s="1268"/>
      <c r="CZ2" s="1268"/>
      <c r="DA2" s="1268"/>
      <c r="DB2" s="1268"/>
      <c r="DC2" s="1268"/>
      <c r="DD2" s="1268"/>
      <c r="DE2" s="1268"/>
      <c r="DF2" s="1268"/>
      <c r="DG2" s="1268"/>
      <c r="DH2" s="1268"/>
      <c r="DI2" s="1268"/>
      <c r="DJ2" s="1268"/>
      <c r="DK2" s="1268"/>
      <c r="DL2" s="1268"/>
      <c r="DM2" s="1268"/>
      <c r="DN2" s="1268"/>
      <c r="DO2" s="1268"/>
      <c r="DP2" s="1268"/>
      <c r="DQ2" s="1268"/>
      <c r="DR2" s="1268"/>
      <c r="DS2" s="1268"/>
      <c r="DT2" s="1268"/>
      <c r="DU2" s="1268"/>
      <c r="DV2" s="1268"/>
      <c r="DW2" s="1268"/>
      <c r="DX2" s="1268"/>
      <c r="DY2" s="1268"/>
      <c r="DZ2" s="1268"/>
      <c r="EA2" s="1268"/>
      <c r="EB2" s="1268"/>
      <c r="EC2" s="1268"/>
      <c r="ED2" s="1268"/>
      <c r="EE2" s="1268"/>
      <c r="EF2" s="1268"/>
      <c r="EG2" s="1268"/>
      <c r="EH2" s="1268"/>
      <c r="EI2" s="1268"/>
      <c r="EJ2" s="1268"/>
      <c r="EK2" s="1268"/>
      <c r="EL2" s="1268"/>
      <c r="EM2" s="1268"/>
      <c r="EN2" s="1268"/>
      <c r="EO2" s="1268"/>
      <c r="EP2" s="1268"/>
      <c r="EQ2" s="1268"/>
      <c r="ER2" s="1280"/>
      <c r="ES2" s="1129" t="s">
        <v>196</v>
      </c>
      <c r="ET2" s="1130"/>
      <c r="EU2" s="1130"/>
      <c r="EV2" s="1130"/>
      <c r="EW2" s="1130"/>
      <c r="EX2" s="1130"/>
      <c r="EY2" s="1130"/>
      <c r="EZ2" s="1130"/>
      <c r="FA2" s="1130"/>
      <c r="FB2" s="1130"/>
      <c r="FC2" s="1130"/>
      <c r="FD2" s="1130"/>
      <c r="FE2" s="1130"/>
      <c r="FF2" s="1131"/>
      <c r="FP2" t="s">
        <v>204</v>
      </c>
      <c r="GB2" s="1"/>
      <c r="GE2" s="302"/>
      <c r="GF2" s="302"/>
      <c r="GI2" s="302"/>
      <c r="GL2" s="322">
        <f>SUM(GL9:GL150)</f>
        <v>0.93070000000000019</v>
      </c>
      <c r="GM2" s="322">
        <f>SUM(GM9:GM150)</f>
        <v>14.549394150675619</v>
      </c>
      <c r="GR2" s="309">
        <f>SUM(GR9:GR150)</f>
        <v>52420.268806897016</v>
      </c>
      <c r="GS2" s="309">
        <f>SUM(GS9:GS150)</f>
        <v>6531.0974583957886</v>
      </c>
      <c r="GT2" s="309"/>
      <c r="GU2" s="309">
        <f>SUM(GU9:GU150)</f>
        <v>36373.485376689052</v>
      </c>
      <c r="GV2" s="309"/>
      <c r="GW2" s="369">
        <v>30000</v>
      </c>
      <c r="GX2" s="309">
        <f>SUM(GX9:GX150)</f>
        <v>5788.097925</v>
      </c>
      <c r="GY2" s="309">
        <f>SUM(GY9:GY150)</f>
        <v>9515.6859718121668</v>
      </c>
      <c r="GZ2" s="309"/>
      <c r="HE2" s="309"/>
      <c r="HF2" s="309"/>
      <c r="HG2" s="309"/>
      <c r="HH2" s="309"/>
      <c r="HU2" s="919"/>
      <c r="HV2" s="920"/>
      <c r="HW2" s="1098" t="str">
        <f>IFERROR(CONCATENATE("Sum of Lateral Forces = ",ROUND(HE3,0)," lbs @ ",ROUND(HF3,1),"° Relative to Blade 1"),"")</f>
        <v>Sum of Lateral Forces = 1269 lbs @ 24.4° Relative to Blade 1</v>
      </c>
      <c r="HX2" s="1098"/>
      <c r="HY2" s="1098"/>
      <c r="HZ2" s="1098"/>
      <c r="IA2" s="1098"/>
      <c r="IB2" s="1098"/>
      <c r="IC2" s="1098"/>
      <c r="ID2" s="1098"/>
      <c r="IE2" s="1098"/>
      <c r="IF2" s="846"/>
      <c r="IM2">
        <v>47000</v>
      </c>
      <c r="IN2" s="323" t="s">
        <v>396</v>
      </c>
      <c r="IO2" s="31"/>
      <c r="IP2" s="31"/>
      <c r="IQ2" s="31"/>
      <c r="IR2" s="31"/>
      <c r="IS2" s="31"/>
      <c r="IT2" s="31" t="s">
        <v>404</v>
      </c>
      <c r="IU2" s="82">
        <f>IM2/IE6</f>
        <v>6.6302357740191749</v>
      </c>
      <c r="JC2" s="82"/>
      <c r="JD2" s="82"/>
      <c r="JE2" s="82"/>
    </row>
    <row r="3" spans="1:285" ht="15" customHeight="1" x14ac:dyDescent="0.25">
      <c r="B3" s="1312"/>
      <c r="C3" s="1313"/>
      <c r="D3" s="1313"/>
      <c r="E3" s="1313"/>
      <c r="F3" s="1313"/>
      <c r="G3" s="1313"/>
      <c r="H3" s="1313"/>
      <c r="I3" s="1313"/>
      <c r="J3" s="1313"/>
      <c r="K3" s="1314"/>
      <c r="L3" s="1149"/>
      <c r="M3" s="1312"/>
      <c r="N3" s="1270"/>
      <c r="O3" s="1271"/>
      <c r="P3" s="1271"/>
      <c r="Q3" s="1271"/>
      <c r="R3" s="1271"/>
      <c r="S3" s="1271"/>
      <c r="T3" s="1271"/>
      <c r="U3" s="1271"/>
      <c r="V3" s="1271"/>
      <c r="W3" s="1271"/>
      <c r="X3" s="1271"/>
      <c r="Y3" s="1364"/>
      <c r="Z3" s="1270"/>
      <c r="AA3" s="1271"/>
      <c r="AB3" s="1271"/>
      <c r="AC3" s="1271"/>
      <c r="AD3" s="1271"/>
      <c r="AE3" s="1271"/>
      <c r="AF3" s="1271"/>
      <c r="AG3" s="1271"/>
      <c r="AH3" s="1271"/>
      <c r="AI3" s="1271"/>
      <c r="AJ3" s="1271"/>
      <c r="AK3" s="1271"/>
      <c r="AL3" s="1271"/>
      <c r="AM3" s="1271"/>
      <c r="AN3" s="1271"/>
      <c r="AO3" s="1271"/>
      <c r="AP3" s="1271"/>
      <c r="AQ3" s="1272"/>
      <c r="AS3" s="415">
        <v>200</v>
      </c>
      <c r="AT3" s="412" t="s">
        <v>45</v>
      </c>
      <c r="AV3" s="1363"/>
      <c r="AW3" s="1132"/>
      <c r="AX3" s="1133"/>
      <c r="AY3" s="1133"/>
      <c r="AZ3" s="1133"/>
      <c r="BA3" s="1133"/>
      <c r="BB3" s="1133"/>
      <c r="BC3" s="1133"/>
      <c r="BD3" s="1133"/>
      <c r="BE3" s="1288"/>
      <c r="BF3" s="1281"/>
      <c r="BG3" s="1133"/>
      <c r="BH3" s="1133"/>
      <c r="BI3" s="1133"/>
      <c r="BJ3" s="1133"/>
      <c r="BK3" s="1133"/>
      <c r="BL3" s="1133"/>
      <c r="BM3" s="1133"/>
      <c r="BN3" s="1133"/>
      <c r="BO3" s="1133"/>
      <c r="BP3" s="1133"/>
      <c r="BQ3" s="1133"/>
      <c r="BR3" s="1133"/>
      <c r="BS3" s="1133"/>
      <c r="BT3" s="1133"/>
      <c r="BU3" s="1133"/>
      <c r="BV3" s="1133"/>
      <c r="BW3" s="1133"/>
      <c r="BX3" s="1133"/>
      <c r="BY3" s="1133"/>
      <c r="BZ3" s="1133"/>
      <c r="CA3" s="1133"/>
      <c r="CB3" s="1133"/>
      <c r="CC3" s="1133"/>
      <c r="CD3" s="1133"/>
      <c r="CE3" s="1133"/>
      <c r="CF3" s="1133"/>
      <c r="CG3" s="1133"/>
      <c r="CH3" s="1133"/>
      <c r="CI3" s="1133"/>
      <c r="CJ3" s="1133"/>
      <c r="CK3" s="1133"/>
      <c r="CL3" s="1133"/>
      <c r="CM3" s="1133"/>
      <c r="CN3" s="1133"/>
      <c r="CO3" s="1133"/>
      <c r="CP3" s="1133"/>
      <c r="CQ3" s="1133"/>
      <c r="CR3" s="1133"/>
      <c r="CS3" s="1133"/>
      <c r="CT3" s="1133"/>
      <c r="CU3" s="1133"/>
      <c r="CV3" s="1133"/>
      <c r="CW3" s="1133"/>
      <c r="CX3" s="1133"/>
      <c r="CY3" s="1133"/>
      <c r="CZ3" s="1133"/>
      <c r="DA3" s="1133"/>
      <c r="DB3" s="1133"/>
      <c r="DC3" s="1133"/>
      <c r="DD3" s="1133"/>
      <c r="DE3" s="1133"/>
      <c r="DF3" s="1133"/>
      <c r="DG3" s="1133"/>
      <c r="DH3" s="1133"/>
      <c r="DI3" s="1133"/>
      <c r="DJ3" s="1133"/>
      <c r="DK3" s="1133"/>
      <c r="DL3" s="1133"/>
      <c r="DM3" s="1133"/>
      <c r="DN3" s="1133"/>
      <c r="DO3" s="1133"/>
      <c r="DP3" s="1133"/>
      <c r="DQ3" s="1133"/>
      <c r="DR3" s="1133"/>
      <c r="DS3" s="1133"/>
      <c r="DT3" s="1133"/>
      <c r="DU3" s="1133"/>
      <c r="DV3" s="1133"/>
      <c r="DW3" s="1133"/>
      <c r="DX3" s="1133"/>
      <c r="DY3" s="1133"/>
      <c r="DZ3" s="1133"/>
      <c r="EA3" s="1133"/>
      <c r="EB3" s="1133"/>
      <c r="EC3" s="1133"/>
      <c r="ED3" s="1133"/>
      <c r="EE3" s="1133"/>
      <c r="EF3" s="1133"/>
      <c r="EG3" s="1133"/>
      <c r="EH3" s="1133"/>
      <c r="EI3" s="1133"/>
      <c r="EJ3" s="1133"/>
      <c r="EK3" s="1133"/>
      <c r="EL3" s="1133"/>
      <c r="EM3" s="1133"/>
      <c r="EN3" s="1133"/>
      <c r="EO3" s="1133"/>
      <c r="EP3" s="1133"/>
      <c r="EQ3" s="1133"/>
      <c r="ER3" s="1134"/>
      <c r="ES3" s="1132"/>
      <c r="ET3" s="1133"/>
      <c r="EU3" s="1133"/>
      <c r="EV3" s="1133"/>
      <c r="EW3" s="1133"/>
      <c r="EX3" s="1133"/>
      <c r="EY3" s="1133"/>
      <c r="EZ3" s="1133"/>
      <c r="FA3" s="1133"/>
      <c r="FB3" s="1133"/>
      <c r="FC3" s="1133"/>
      <c r="FD3" s="1133"/>
      <c r="FE3" s="1133"/>
      <c r="FF3" s="113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1269.2441626434506</v>
      </c>
      <c r="HF3" s="162">
        <f>IFERROR(IF((DEGREES(ATAN2(HG3,HH3)))&lt;0,(360+(DEGREES(ATAN2(HG3,HH3)))),(DEGREES(ATAN2(HG3,HH3)))),"")</f>
        <v>24.377772367102835</v>
      </c>
      <c r="HG3" s="309">
        <f>HC8+HG8</f>
        <v>1156.0832450573616</v>
      </c>
      <c r="HH3" s="309">
        <f>HD8+HH8</f>
        <v>523.88192839810233</v>
      </c>
      <c r="HI3" s="103"/>
      <c r="HJ3" s="31"/>
      <c r="IN3" s="31"/>
      <c r="IO3" s="710"/>
      <c r="JC3" s="82"/>
      <c r="JD3" s="82"/>
      <c r="JE3" s="82"/>
    </row>
    <row r="4" spans="1:285" ht="15" customHeight="1" thickBot="1" x14ac:dyDescent="0.3">
      <c r="A4" s="31" t="s">
        <v>400</v>
      </c>
      <c r="B4" s="1315"/>
      <c r="C4" s="1316"/>
      <c r="D4" s="1316"/>
      <c r="E4" s="1316"/>
      <c r="F4" s="1316"/>
      <c r="G4" s="1316"/>
      <c r="H4" s="1316"/>
      <c r="I4" s="1316"/>
      <c r="J4" s="1316"/>
      <c r="K4" s="1317"/>
      <c r="L4" s="1149"/>
      <c r="M4" s="1312"/>
      <c r="N4" s="1322" t="s">
        <v>3</v>
      </c>
      <c r="O4" s="1319"/>
      <c r="P4" s="1319"/>
      <c r="Q4" s="1318" t="s">
        <v>4</v>
      </c>
      <c r="R4" s="1319"/>
      <c r="S4" s="1337"/>
      <c r="T4" s="1331" t="str">
        <f>N4</f>
        <v>Cartesian Coordinates</v>
      </c>
      <c r="U4" s="1292"/>
      <c r="V4" s="1332"/>
      <c r="W4" s="1292" t="str">
        <f>$Q$4</f>
        <v>Polar XY; Cartesian Z</v>
      </c>
      <c r="X4" s="1292"/>
      <c r="Y4" s="1306"/>
      <c r="Z4" s="1322" t="s">
        <v>3</v>
      </c>
      <c r="AA4" s="1319"/>
      <c r="AB4" s="1319"/>
      <c r="AC4" s="1319"/>
      <c r="AD4" s="1319"/>
      <c r="AE4" s="1319"/>
      <c r="AF4" s="1319"/>
      <c r="AG4" s="1359" t="s">
        <v>31</v>
      </c>
      <c r="AH4" s="1319"/>
      <c r="AI4" s="1319"/>
      <c r="AJ4" s="1337"/>
      <c r="AK4" s="1273" t="s">
        <v>32</v>
      </c>
      <c r="AL4" s="1274"/>
      <c r="AM4" s="1274"/>
      <c r="AN4" s="1274"/>
      <c r="AO4" s="1274"/>
      <c r="AP4" s="1274"/>
      <c r="AQ4" s="1275"/>
      <c r="AS4" s="416">
        <v>190</v>
      </c>
      <c r="AT4" s="413" t="s">
        <v>46</v>
      </c>
      <c r="AV4" s="1363"/>
      <c r="AW4" s="1213" t="s">
        <v>112</v>
      </c>
      <c r="AX4" s="1165"/>
      <c r="AY4" s="1017"/>
      <c r="AZ4" s="1286"/>
      <c r="BA4" s="1287"/>
      <c r="BB4" s="1289" t="s">
        <v>113</v>
      </c>
      <c r="BC4" s="1292" t="str">
        <f>$Q$4</f>
        <v>Polar XY; Cartesian Z</v>
      </c>
      <c r="BD4" s="1292"/>
      <c r="BE4" s="1293"/>
      <c r="BF4" s="1245" t="s">
        <v>129</v>
      </c>
      <c r="BG4" s="1246"/>
      <c r="BH4" s="1246"/>
      <c r="BI4" s="1246"/>
      <c r="BJ4" s="1246"/>
      <c r="BK4" s="1246"/>
      <c r="BL4" s="1246"/>
      <c r="BM4" s="1246"/>
      <c r="BN4" s="1246"/>
      <c r="BO4" s="1246"/>
      <c r="BP4" s="1246"/>
      <c r="BQ4" s="1246"/>
      <c r="BR4" s="1246"/>
      <c r="BS4" s="1246"/>
      <c r="BT4" s="1246"/>
      <c r="BU4" s="1246"/>
      <c r="BV4" s="1246"/>
      <c r="BW4" s="1246"/>
      <c r="BX4" s="1246"/>
      <c r="BY4" s="1246"/>
      <c r="BZ4" s="1246"/>
      <c r="CA4" s="1246"/>
      <c r="CB4" s="1246"/>
      <c r="CC4" s="1246"/>
      <c r="CD4" s="1246"/>
      <c r="CE4" s="1246"/>
      <c r="CF4" s="1246"/>
      <c r="CG4" s="1246"/>
      <c r="CH4" s="1246"/>
      <c r="CI4" s="1246"/>
      <c r="CJ4" s="1246"/>
      <c r="CK4" s="1246"/>
      <c r="CL4" s="1246"/>
      <c r="CM4" s="1246"/>
      <c r="CN4" s="1247"/>
      <c r="CO4" s="1282" t="s">
        <v>192</v>
      </c>
      <c r="CP4" s="1283"/>
      <c r="CQ4" s="1283"/>
      <c r="CR4" s="1283"/>
      <c r="CS4" s="1283"/>
      <c r="CT4" s="1283"/>
      <c r="CU4" s="1283"/>
      <c r="CV4" s="1283"/>
      <c r="CW4" s="1283"/>
      <c r="CX4" s="1283"/>
      <c r="CY4" s="1283"/>
      <c r="CZ4" s="1283"/>
      <c r="DA4" s="1284"/>
      <c r="DB4" s="1126" t="s">
        <v>389</v>
      </c>
      <c r="DC4" s="1127"/>
      <c r="DD4" s="1127"/>
      <c r="DE4" s="1127"/>
      <c r="DF4" s="1127"/>
      <c r="DG4" s="1127"/>
      <c r="DH4" s="1127"/>
      <c r="DI4" s="1127"/>
      <c r="DJ4" s="1127"/>
      <c r="DK4" s="1127"/>
      <c r="DL4" s="1127"/>
      <c r="DM4" s="1127"/>
      <c r="DN4" s="1127"/>
      <c r="DO4" s="1127"/>
      <c r="DP4" s="1127"/>
      <c r="DQ4" s="1127"/>
      <c r="DR4" s="1127"/>
      <c r="DS4" s="1127"/>
      <c r="DT4" s="1127"/>
      <c r="DU4" s="1127"/>
      <c r="DV4" s="1127"/>
      <c r="DW4" s="1127"/>
      <c r="DX4" s="1127"/>
      <c r="DY4" s="1127"/>
      <c r="DZ4" s="1127"/>
      <c r="EA4" s="1127"/>
      <c r="EB4" s="1127"/>
      <c r="EC4" s="1127"/>
      <c r="ED4" s="1127"/>
      <c r="EE4" s="1127"/>
      <c r="EF4" s="1127"/>
      <c r="EG4" s="1127"/>
      <c r="EH4" s="1127"/>
      <c r="EI4" s="1127"/>
      <c r="EJ4" s="1127"/>
      <c r="EK4" s="1127"/>
      <c r="EL4" s="1127"/>
      <c r="EM4" s="1127"/>
      <c r="EN4" s="1127"/>
      <c r="EO4" s="1127"/>
      <c r="EP4" s="1127"/>
      <c r="EQ4" s="1127"/>
      <c r="ER4" s="1128"/>
      <c r="ES4" s="1186" t="s">
        <v>195</v>
      </c>
      <c r="ET4" s="1187"/>
      <c r="EU4" s="1187"/>
      <c r="EV4" s="1187"/>
      <c r="EW4" s="1187"/>
      <c r="EX4" s="1187"/>
      <c r="EY4" s="1188"/>
      <c r="EZ4" s="1217" t="s">
        <v>200</v>
      </c>
      <c r="FA4" s="1218"/>
      <c r="FB4" s="1218"/>
      <c r="FC4" s="1218"/>
      <c r="FD4" s="1218"/>
      <c r="FE4" s="1218"/>
      <c r="FF4" s="1219"/>
      <c r="FG4" s="325"/>
      <c r="FP4" s="1142" t="s">
        <v>228</v>
      </c>
      <c r="FZ4" s="1142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7" t="s">
        <v>235</v>
      </c>
      <c r="GK4" s="998"/>
      <c r="GL4" s="998"/>
      <c r="GM4" s="998"/>
      <c r="GN4" s="1155"/>
      <c r="GO4" s="1157" t="s">
        <v>228</v>
      </c>
      <c r="GP4" s="1161" t="s">
        <v>227</v>
      </c>
      <c r="GR4" s="1167" t="s">
        <v>257</v>
      </c>
      <c r="GS4" s="1026" t="s">
        <v>255</v>
      </c>
      <c r="GT4" s="969"/>
      <c r="GU4" s="969"/>
      <c r="GV4" s="969"/>
      <c r="GW4" s="969"/>
      <c r="GX4" s="969"/>
      <c r="GY4" s="969"/>
      <c r="GZ4" s="969"/>
      <c r="HA4" s="1203" t="str">
        <f>IFERROR(CONCATENATE("Lateral Forces = ",ROUND(HE3,0)," lbs @ ",ROUND(HF3,1),"° Relative to Blade 1"),"")</f>
        <v>Lateral Forces = 1269 lbs @ 24.4° Relative to Blade 1</v>
      </c>
      <c r="HB4" s="1204"/>
      <c r="HC4" s="1204"/>
      <c r="HD4" s="1204"/>
      <c r="HE4" s="1204"/>
      <c r="HF4" s="1204"/>
      <c r="HG4" s="1204"/>
      <c r="HH4" s="1205"/>
      <c r="HI4" s="1208" t="s">
        <v>0</v>
      </c>
      <c r="HV4" s="921"/>
      <c r="HW4" s="1099" t="str">
        <f>CONCATENATE("Yeield Strength of Rock = ",IF(HW6&gt;1000,(ROUNDDOWN(HW6,-3)/1000),""), IF(HW6&gt;1000,",",""),RIGHT(HW6,3)," psi")</f>
        <v>Yeield Strength of Rock = 30,000 psi</v>
      </c>
      <c r="HX4" s="1099"/>
      <c r="HY4" s="1099"/>
      <c r="HZ4" s="1099"/>
      <c r="IA4" s="1099"/>
      <c r="IB4" s="1099"/>
      <c r="IC4" s="1099"/>
      <c r="ID4" s="1099"/>
      <c r="IE4" s="1099"/>
      <c r="IF4" s="844"/>
      <c r="IG4" s="994" t="s">
        <v>372</v>
      </c>
      <c r="IH4" s="994"/>
      <c r="II4" s="710" cm="1">
        <f t="array" ref="II4">MAX(MOD(IF($II$9:$II$150="",0,($II$9:$II$150*1000)),100))</f>
        <v>27</v>
      </c>
      <c r="IN4" s="31"/>
      <c r="IO4" s="710"/>
    </row>
    <row r="5" spans="1:285" ht="15" customHeight="1" thickBot="1" x14ac:dyDescent="0.3">
      <c r="A5" s="139">
        <v>0.02</v>
      </c>
      <c r="B5" s="1307" t="str">
        <f>CONCATENATE(B7," ; ",E7," ; ",H7)</f>
        <v>Absolute-Point ; Incremental-Vector Point ; Pocket Info.</v>
      </c>
      <c r="C5" s="1308"/>
      <c r="D5" s="1308"/>
      <c r="E5" s="1308"/>
      <c r="F5" s="1308"/>
      <c r="G5" s="1308"/>
      <c r="H5" s="1308"/>
      <c r="I5" s="1308"/>
      <c r="J5" s="1308"/>
      <c r="K5" s="1309"/>
      <c r="L5" s="812" t="str" cm="1">
        <f t="array" ref="L5">IF(OR(IF(LEFT($K$9:$K$150,4)="&lt;&gt;CS",TRUE,FALSE)),"Wrong CS","")</f>
        <v/>
      </c>
      <c r="M5" s="1312"/>
      <c r="N5" s="1342" t="s">
        <v>5</v>
      </c>
      <c r="O5" s="1277"/>
      <c r="P5" s="1277"/>
      <c r="Q5" s="1345" t="s">
        <v>6</v>
      </c>
      <c r="R5" s="1277"/>
      <c r="S5" s="1278"/>
      <c r="T5" s="1261" t="str">
        <f>CONCATENATE("Relative to ",M8,"'s θ about Z Axis")</f>
        <v>Relative to 1.113's θ about Z Axis</v>
      </c>
      <c r="U5" s="1262"/>
      <c r="V5" s="1263"/>
      <c r="W5" s="1262" t="str">
        <f>CONCATENATE("Relative to ",M8,"'s θ about Z Axis")</f>
        <v>Relative to 1.113's θ about Z Axis</v>
      </c>
      <c r="X5" s="1262"/>
      <c r="Y5" s="1333"/>
      <c r="Z5" s="1323" t="str">
        <f>N5</f>
        <v>Relative to World_CS</v>
      </c>
      <c r="AA5" s="1262"/>
      <c r="AB5" s="1262"/>
      <c r="AC5" s="1262"/>
      <c r="AD5" s="1262"/>
      <c r="AE5" s="1262"/>
      <c r="AF5" s="1262"/>
      <c r="AG5" s="1261" t="str">
        <f>N5</f>
        <v>Relative to World_CS</v>
      </c>
      <c r="AH5" s="1262"/>
      <c r="AI5" s="1262"/>
      <c r="AJ5" s="1299"/>
      <c r="AK5" s="1276" t="s">
        <v>7</v>
      </c>
      <c r="AL5" s="1277"/>
      <c r="AM5" s="1277"/>
      <c r="AN5" s="1277"/>
      <c r="AO5" s="1277"/>
      <c r="AP5" s="1277"/>
      <c r="AQ5" s="1278"/>
      <c r="AS5" s="167">
        <f>(((AS4*12)/60)/AS3)</f>
        <v>0.19</v>
      </c>
      <c r="AT5" s="413" t="s">
        <v>47</v>
      </c>
      <c r="AV5" s="1363"/>
      <c r="AW5" s="1302"/>
      <c r="AX5" s="1303"/>
      <c r="AY5" s="1304"/>
      <c r="AZ5" s="1173"/>
      <c r="BA5" s="1007"/>
      <c r="BB5" s="1290"/>
      <c r="BC5" s="1298" t="str">
        <f>$W$5</f>
        <v>Relative to 1.113's θ about Z Axis</v>
      </c>
      <c r="BD5" s="1262"/>
      <c r="BE5" s="1299"/>
      <c r="BF5" s="1026" t="s">
        <v>128</v>
      </c>
      <c r="BG5" s="969"/>
      <c r="BH5" s="969"/>
      <c r="BI5" s="969"/>
      <c r="BJ5" s="969"/>
      <c r="BK5" s="969"/>
      <c r="BL5" s="969"/>
      <c r="BM5" s="969"/>
      <c r="BN5" s="969"/>
      <c r="BO5" s="969"/>
      <c r="BP5" s="969"/>
      <c r="BQ5" s="969"/>
      <c r="BR5" s="970"/>
      <c r="BS5" s="1026" t="s">
        <v>130</v>
      </c>
      <c r="BT5" s="969"/>
      <c r="BU5" s="969"/>
      <c r="BV5" s="969"/>
      <c r="BW5" s="969"/>
      <c r="BX5" s="969"/>
      <c r="BY5" s="969"/>
      <c r="BZ5" s="969"/>
      <c r="CA5" s="969"/>
      <c r="CB5" s="969"/>
      <c r="CC5" s="969"/>
      <c r="CD5" s="969"/>
      <c r="CE5" s="970"/>
      <c r="CF5" s="1026" t="s">
        <v>138</v>
      </c>
      <c r="CG5" s="969"/>
      <c r="CH5" s="970"/>
      <c r="CI5" s="1026" t="s">
        <v>139</v>
      </c>
      <c r="CJ5" s="969"/>
      <c r="CK5" s="969"/>
      <c r="CL5" s="969"/>
      <c r="CM5" s="969"/>
      <c r="CN5" s="970"/>
      <c r="CO5" s="1180" t="s">
        <v>266</v>
      </c>
      <c r="CP5" s="1180" t="s">
        <v>149</v>
      </c>
      <c r="CQ5" s="1165"/>
      <c r="CR5" s="1165"/>
      <c r="CS5" s="1027"/>
      <c r="CT5" s="1165" t="s">
        <v>150</v>
      </c>
      <c r="CU5" s="1017"/>
      <c r="CV5" s="1026" t="s">
        <v>161</v>
      </c>
      <c r="CW5" s="969"/>
      <c r="CX5" s="969"/>
      <c r="CY5" s="969"/>
      <c r="CZ5" s="969"/>
      <c r="DA5" s="970"/>
      <c r="DB5" s="1026" t="s">
        <v>162</v>
      </c>
      <c r="DC5" s="969"/>
      <c r="DD5" s="969"/>
      <c r="DE5" s="969"/>
      <c r="DF5" s="969"/>
      <c r="DG5" s="969"/>
      <c r="DH5" s="970"/>
      <c r="DI5" s="1109" t="s">
        <v>172</v>
      </c>
      <c r="DJ5" s="1109"/>
      <c r="DK5" s="1255"/>
      <c r="DL5" s="1108" t="s">
        <v>173</v>
      </c>
      <c r="DM5" s="1109"/>
      <c r="DN5" s="1110"/>
      <c r="DO5" s="1257" t="s">
        <v>174</v>
      </c>
      <c r="DP5" s="1258"/>
      <c r="DQ5" s="1258"/>
      <c r="DR5" s="1179" t="s">
        <v>186</v>
      </c>
      <c r="DS5" s="1179"/>
      <c r="DT5" s="1179"/>
      <c r="DU5" s="1179"/>
      <c r="DV5" s="1179"/>
      <c r="DW5" s="1179"/>
      <c r="DX5" s="1180" t="s">
        <v>189</v>
      </c>
      <c r="DY5" s="1048" t="s">
        <v>149</v>
      </c>
      <c r="DZ5" s="1179"/>
      <c r="EA5" s="1179"/>
      <c r="EB5" s="1179"/>
      <c r="EC5" s="1179" t="s">
        <v>150</v>
      </c>
      <c r="ED5" s="1179"/>
      <c r="EE5" s="1167" t="s">
        <v>193</v>
      </c>
      <c r="EF5" s="1167"/>
      <c r="EG5" s="1176"/>
      <c r="EH5" s="1114" t="s">
        <v>194</v>
      </c>
      <c r="EI5" s="1115"/>
      <c r="EJ5" s="1116"/>
      <c r="EK5" s="1179" t="s">
        <v>187</v>
      </c>
      <c r="EL5" s="1180"/>
      <c r="EM5" s="1026" t="s">
        <v>188</v>
      </c>
      <c r="EN5" s="969"/>
      <c r="EO5" s="969"/>
      <c r="EP5" s="969"/>
      <c r="EQ5" s="969"/>
      <c r="ER5" s="1248"/>
      <c r="ES5" s="1213" t="s">
        <v>201</v>
      </c>
      <c r="ET5" s="1165"/>
      <c r="EU5" s="1027"/>
      <c r="EV5" s="1189" t="s">
        <v>221</v>
      </c>
      <c r="EW5" s="1190"/>
      <c r="EX5" s="1190"/>
      <c r="EY5" s="1191"/>
      <c r="EZ5" s="1237" t="s">
        <v>199</v>
      </c>
      <c r="FA5" s="1021" t="s">
        <v>201</v>
      </c>
      <c r="FB5" s="1137"/>
      <c r="FC5" s="1022"/>
      <c r="FD5" s="1230" t="s">
        <v>221</v>
      </c>
      <c r="FE5" s="1231"/>
      <c r="FF5" s="1232"/>
      <c r="FJ5" s="31" t="s">
        <v>390</v>
      </c>
      <c r="FP5" s="1143"/>
      <c r="FQ5" s="31"/>
      <c r="FR5" s="31"/>
      <c r="FS5" s="31"/>
      <c r="FT5" s="31"/>
      <c r="FZ5" s="1143"/>
      <c r="GJ5" s="1153" t="s">
        <v>262</v>
      </c>
      <c r="GK5" s="1120" t="s">
        <v>260</v>
      </c>
      <c r="GL5" s="1122" t="s">
        <v>110</v>
      </c>
      <c r="GM5" s="1122" t="s">
        <v>111</v>
      </c>
      <c r="GN5" s="1123"/>
      <c r="GO5" s="1158"/>
      <c r="GP5" s="1162"/>
      <c r="GQ5" s="31"/>
      <c r="GR5" s="1149"/>
      <c r="GS5" s="1173" t="s">
        <v>244</v>
      </c>
      <c r="GT5" s="1174"/>
      <c r="GU5" s="1169" t="s">
        <v>245</v>
      </c>
      <c r="GV5" s="1170"/>
      <c r="GW5" s="1171"/>
      <c r="GX5" s="1172"/>
      <c r="GY5" s="1156" t="s">
        <v>107</v>
      </c>
      <c r="GZ5" s="1009"/>
      <c r="HA5" s="1200" t="s">
        <v>244</v>
      </c>
      <c r="HB5" s="1201"/>
      <c r="HC5" s="1201"/>
      <c r="HD5" s="1202"/>
      <c r="HE5" s="1211" t="s">
        <v>245</v>
      </c>
      <c r="HF5" s="1201"/>
      <c r="HG5" s="1201"/>
      <c r="HH5" s="1212"/>
      <c r="HI5" s="1209"/>
      <c r="HM5" s="922"/>
      <c r="HS5" s="1070" t="s">
        <v>403</v>
      </c>
      <c r="HT5" s="1009"/>
      <c r="HU5" s="1009"/>
      <c r="HV5" s="1071"/>
      <c r="HW5" s="1175" t="s">
        <v>245</v>
      </c>
      <c r="HX5" s="1102"/>
      <c r="HY5" s="1100" t="s">
        <v>388</v>
      </c>
      <c r="HZ5" s="1101"/>
      <c r="IA5" s="1101"/>
      <c r="IB5" s="1102"/>
      <c r="IC5" s="1195" t="s">
        <v>254</v>
      </c>
      <c r="ID5" s="1196"/>
      <c r="IE5" s="1197"/>
      <c r="IF5" s="844"/>
    </row>
    <row r="6" spans="1:285" ht="15" hidden="1" customHeight="1" thickBot="1" x14ac:dyDescent="0.4">
      <c r="B6" s="1093"/>
      <c r="C6" s="1094"/>
      <c r="D6" s="1094"/>
      <c r="E6" s="1094"/>
      <c r="F6" s="1094"/>
      <c r="G6" s="1094"/>
      <c r="H6" s="1094"/>
      <c r="I6" s="1094"/>
      <c r="J6" s="1094"/>
      <c r="K6" s="1095"/>
      <c r="L6" s="1149" t="str" cm="1">
        <f t="array" ref="L6">IF(OR($K$9:$K$150="Inactive"),"Inactive Element","")</f>
        <v/>
      </c>
      <c r="M6" s="1312"/>
      <c r="N6" s="1338" t="s">
        <v>8</v>
      </c>
      <c r="O6" s="1340" t="s">
        <v>9</v>
      </c>
      <c r="P6" s="1343" t="s">
        <v>10</v>
      </c>
      <c r="Q6" s="1355" t="s">
        <v>11</v>
      </c>
      <c r="R6" s="1356"/>
      <c r="S6" s="1334" t="s">
        <v>10</v>
      </c>
      <c r="T6" s="1373" t="str">
        <f>N6</f>
        <v>X</v>
      </c>
      <c r="U6" s="1375" t="str">
        <f>O6</f>
        <v>Y</v>
      </c>
      <c r="V6" s="1329" t="str">
        <f>P6</f>
        <v>Z</v>
      </c>
      <c r="W6" s="1294" t="str">
        <f>$Q$6</f>
        <v>Projected XY</v>
      </c>
      <c r="X6" s="1295"/>
      <c r="Y6" s="1371" t="str">
        <f>$S$6</f>
        <v>Z</v>
      </c>
      <c r="Z6" s="1360" t="s">
        <v>12</v>
      </c>
      <c r="AA6" s="1313"/>
      <c r="AB6" s="1313"/>
      <c r="AC6" s="1361"/>
      <c r="AD6" s="1318" t="s">
        <v>13</v>
      </c>
      <c r="AE6" s="1319"/>
      <c r="AF6" s="1319"/>
      <c r="AG6" s="1359" t="s">
        <v>7</v>
      </c>
      <c r="AH6" s="1319"/>
      <c r="AI6" s="1318" t="s">
        <v>14</v>
      </c>
      <c r="AJ6" s="1337"/>
      <c r="AK6" s="1264" t="str">
        <f>AD6</f>
        <v>Unit Vector</v>
      </c>
      <c r="AL6" s="1265"/>
      <c r="AM6" s="1266"/>
      <c r="AN6" s="34" t="s">
        <v>15</v>
      </c>
      <c r="AO6" s="35" t="s">
        <v>16</v>
      </c>
      <c r="AP6" s="680" t="s">
        <v>17</v>
      </c>
      <c r="AQ6" s="1365" t="s">
        <v>108</v>
      </c>
      <c r="AS6" s="168">
        <f>(AS5/360)</f>
        <v>5.2777777777777784E-4</v>
      </c>
      <c r="AT6" s="414" t="s">
        <v>48</v>
      </c>
      <c r="AV6" s="1363"/>
      <c r="AW6" s="1357" t="s">
        <v>105</v>
      </c>
      <c r="AX6" s="1358"/>
      <c r="AY6" s="188" t="s">
        <v>110</v>
      </c>
      <c r="AZ6" s="1300" t="s">
        <v>111</v>
      </c>
      <c r="BA6" s="1301"/>
      <c r="BB6" s="1291"/>
      <c r="BC6" s="1294" t="str">
        <f>$Q$6</f>
        <v>Projected XY</v>
      </c>
      <c r="BD6" s="1295"/>
      <c r="BE6" s="1296" t="str">
        <f>$S$6</f>
        <v>Z</v>
      </c>
      <c r="BF6" s="976" t="s">
        <v>125</v>
      </c>
      <c r="BG6" s="972"/>
      <c r="BH6" s="1152"/>
      <c r="BI6" s="974" t="s">
        <v>126</v>
      </c>
      <c r="BJ6" s="972"/>
      <c r="BK6" s="973"/>
      <c r="BL6" s="977" t="s">
        <v>127</v>
      </c>
      <c r="BM6" s="972"/>
      <c r="BN6" s="978"/>
      <c r="BO6" s="976" t="s">
        <v>135</v>
      </c>
      <c r="BP6" s="972"/>
      <c r="BQ6" s="972"/>
      <c r="BR6" s="978"/>
      <c r="BS6" s="976" t="s">
        <v>125</v>
      </c>
      <c r="BT6" s="972"/>
      <c r="BU6" s="1152"/>
      <c r="BV6" s="974" t="s">
        <v>126</v>
      </c>
      <c r="BW6" s="972"/>
      <c r="BX6" s="973"/>
      <c r="BY6" s="977" t="s">
        <v>127</v>
      </c>
      <c r="BZ6" s="972"/>
      <c r="CA6" s="978"/>
      <c r="CB6" s="976" t="s">
        <v>135</v>
      </c>
      <c r="CC6" s="972"/>
      <c r="CD6" s="972"/>
      <c r="CE6" s="978"/>
      <c r="CF6" s="982" t="s">
        <v>136</v>
      </c>
      <c r="CG6" s="1250"/>
      <c r="CH6" s="1250"/>
      <c r="CI6" s="1252" t="s">
        <v>137</v>
      </c>
      <c r="CJ6" s="1250"/>
      <c r="CK6" s="983"/>
      <c r="CL6" s="1249" t="s">
        <v>140</v>
      </c>
      <c r="CM6" s="1250"/>
      <c r="CN6" s="1251"/>
      <c r="CO6" s="1182"/>
      <c r="CP6" s="1182"/>
      <c r="CQ6" s="1215"/>
      <c r="CR6" s="1215"/>
      <c r="CS6" s="1216"/>
      <c r="CT6" s="1215"/>
      <c r="CU6" s="1285"/>
      <c r="CV6" s="1336" t="s">
        <v>147</v>
      </c>
      <c r="CW6" s="972"/>
      <c r="CX6" s="973"/>
      <c r="CY6" s="1240" t="s">
        <v>148</v>
      </c>
      <c r="CZ6" s="1199"/>
      <c r="DA6" s="1241"/>
      <c r="DB6" s="1253" t="s">
        <v>175</v>
      </c>
      <c r="DC6" s="1243"/>
      <c r="DD6" s="1244"/>
      <c r="DE6" s="1254" t="s">
        <v>176</v>
      </c>
      <c r="DF6" s="1243"/>
      <c r="DG6" s="1244"/>
      <c r="DH6" s="242" t="s">
        <v>29</v>
      </c>
      <c r="DI6" s="1112"/>
      <c r="DJ6" s="1112"/>
      <c r="DK6" s="1256"/>
      <c r="DL6" s="1111"/>
      <c r="DM6" s="1112"/>
      <c r="DN6" s="1113"/>
      <c r="DO6" s="1259"/>
      <c r="DP6" s="1260"/>
      <c r="DQ6" s="1260"/>
      <c r="DR6" s="1181"/>
      <c r="DS6" s="1181"/>
      <c r="DT6" s="1181"/>
      <c r="DU6" s="1181"/>
      <c r="DV6" s="1181"/>
      <c r="DW6" s="1181"/>
      <c r="DX6" s="1182"/>
      <c r="DY6" s="1185"/>
      <c r="DZ6" s="1181"/>
      <c r="EA6" s="1181"/>
      <c r="EB6" s="1181"/>
      <c r="EC6" s="1181"/>
      <c r="ED6" s="1181"/>
      <c r="EE6" s="1177"/>
      <c r="EF6" s="1177"/>
      <c r="EG6" s="1178"/>
      <c r="EH6" s="1117"/>
      <c r="EI6" s="1118"/>
      <c r="EJ6" s="1119"/>
      <c r="EK6" s="1181"/>
      <c r="EL6" s="1182"/>
      <c r="EM6" s="1105" t="s">
        <v>198</v>
      </c>
      <c r="EN6" s="1106"/>
      <c r="EO6" s="1107"/>
      <c r="EP6" s="1220" t="s">
        <v>197</v>
      </c>
      <c r="EQ6" s="1106"/>
      <c r="ER6" s="1222"/>
      <c r="ES6" s="1214"/>
      <c r="ET6" s="1215"/>
      <c r="EU6" s="1216"/>
      <c r="EV6" s="263" t="s">
        <v>220</v>
      </c>
      <c r="EW6" s="1220" t="s">
        <v>201</v>
      </c>
      <c r="EX6" s="1106"/>
      <c r="EY6" s="1221"/>
      <c r="EZ6" s="1238"/>
      <c r="FA6" s="1227"/>
      <c r="FB6" s="1228"/>
      <c r="FC6" s="1229"/>
      <c r="FD6" s="1105" t="s">
        <v>201</v>
      </c>
      <c r="FE6" s="1106"/>
      <c r="FF6" s="1222"/>
      <c r="FG6" s="1224" t="s">
        <v>223</v>
      </c>
      <c r="FH6" s="1225"/>
      <c r="FI6" s="1226"/>
      <c r="FJ6" s="1179" t="s">
        <v>202</v>
      </c>
      <c r="FK6" s="1180" t="s">
        <v>213</v>
      </c>
      <c r="FL6" s="1165"/>
      <c r="FM6" s="1027"/>
      <c r="FN6" s="1138" t="s">
        <v>203</v>
      </c>
      <c r="FO6" s="1183" t="s">
        <v>226</v>
      </c>
      <c r="FP6" s="1135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3" t="s">
        <v>217</v>
      </c>
      <c r="FV6" s="1137"/>
      <c r="FW6" s="1024"/>
      <c r="FX6" s="1138" t="s">
        <v>218</v>
      </c>
      <c r="FY6" s="1183" t="s">
        <v>226</v>
      </c>
      <c r="FZ6" s="1135" t="s">
        <v>224</v>
      </c>
      <c r="GA6" s="1140" t="s">
        <v>237</v>
      </c>
      <c r="GB6" s="318" t="s">
        <v>206</v>
      </c>
      <c r="GC6" s="319" t="s">
        <v>238</v>
      </c>
      <c r="GD6" s="320" t="s">
        <v>225</v>
      </c>
      <c r="GE6" s="1150"/>
      <c r="GF6" s="1176" t="s">
        <v>256</v>
      </c>
      <c r="GG6" s="318" t="s">
        <v>206</v>
      </c>
      <c r="GH6" s="319" t="s">
        <v>238</v>
      </c>
      <c r="GI6" s="320" t="s">
        <v>225</v>
      </c>
      <c r="GJ6" s="1154"/>
      <c r="GK6" s="1121"/>
      <c r="GL6" s="1124"/>
      <c r="GM6" s="1124"/>
      <c r="GN6" s="1125"/>
      <c r="GO6" s="1159" t="s">
        <v>236</v>
      </c>
      <c r="GP6" s="1163" t="s">
        <v>224</v>
      </c>
      <c r="GQ6" s="1165" t="s">
        <v>202</v>
      </c>
      <c r="GR6" s="1149"/>
      <c r="GS6" s="1206" t="s">
        <v>248</v>
      </c>
      <c r="GT6" s="1207"/>
      <c r="GU6" s="1198" t="s">
        <v>247</v>
      </c>
      <c r="GV6" s="1199"/>
      <c r="GW6" s="1199"/>
      <c r="GX6" s="340" t="s">
        <v>106</v>
      </c>
      <c r="GY6" s="974" t="s">
        <v>246</v>
      </c>
      <c r="GZ6" s="1152"/>
      <c r="HA6" s="1242" t="s">
        <v>248</v>
      </c>
      <c r="HB6" s="1243"/>
      <c r="HC6" s="1243"/>
      <c r="HD6" s="1244"/>
      <c r="HE6" s="974" t="s">
        <v>247</v>
      </c>
      <c r="HF6" s="972"/>
      <c r="HG6" s="972"/>
      <c r="HH6" s="978"/>
      <c r="HI6" s="1209"/>
      <c r="HM6" s="871" t="s">
        <v>392</v>
      </c>
      <c r="HN6" s="1236" t="s">
        <v>393</v>
      </c>
      <c r="HO6" s="1236"/>
      <c r="HP6" s="1236"/>
      <c r="HQ6" s="1236"/>
      <c r="HR6" s="1236"/>
      <c r="HS6" s="1072"/>
      <c r="HT6" s="1007"/>
      <c r="HU6" s="1007"/>
      <c r="HV6" s="1073"/>
      <c r="HW6" s="854">
        <f>AVERAGE(HW$9:HW$150)</f>
        <v>30000</v>
      </c>
      <c r="HX6" s="959">
        <f t="shared" ref="HX6:IE6" si="0">SUM(HX$9:HX$150)</f>
        <v>5786.8650999999973</v>
      </c>
      <c r="HY6" s="960">
        <f t="shared" si="0"/>
        <v>6526.5801072915938</v>
      </c>
      <c r="HZ6" s="961">
        <f t="shared" si="0"/>
        <v>36365.739163125683</v>
      </c>
      <c r="IA6" s="962">
        <f t="shared" si="0"/>
        <v>9515.3085208650773</v>
      </c>
      <c r="IB6" s="963">
        <f t="shared" si="0"/>
        <v>52407.627791282364</v>
      </c>
      <c r="IC6" s="861">
        <f t="shared" si="0"/>
        <v>3714.2041527386973</v>
      </c>
      <c r="ID6" s="862">
        <f t="shared" si="0"/>
        <v>27918</v>
      </c>
      <c r="IE6" s="862">
        <f t="shared" si="0"/>
        <v>7088.737354434852</v>
      </c>
      <c r="IF6" s="844"/>
      <c r="IG6" s="793"/>
      <c r="IH6" s="793"/>
    </row>
    <row r="7" spans="1:285" ht="15" customHeight="1" thickTop="1" thickBot="1" x14ac:dyDescent="0.4">
      <c r="A7" s="139" t="s">
        <v>401</v>
      </c>
      <c r="B7" s="1324" t="s">
        <v>40</v>
      </c>
      <c r="C7" s="1325"/>
      <c r="D7" s="1326"/>
      <c r="E7" s="1327" t="s">
        <v>41</v>
      </c>
      <c r="F7" s="1325"/>
      <c r="G7" s="1328"/>
      <c r="H7" s="1079" t="s">
        <v>98</v>
      </c>
      <c r="I7" s="1077"/>
      <c r="J7" s="1080"/>
      <c r="K7" s="169"/>
      <c r="L7" s="1149"/>
      <c r="M7" s="1321"/>
      <c r="N7" s="1339"/>
      <c r="O7" s="1341"/>
      <c r="P7" s="1344"/>
      <c r="Q7" s="36" t="s">
        <v>18</v>
      </c>
      <c r="R7" s="2" t="s">
        <v>19</v>
      </c>
      <c r="S7" s="1335"/>
      <c r="T7" s="1374"/>
      <c r="U7" s="1376"/>
      <c r="V7" s="1330"/>
      <c r="W7" s="37" t="str">
        <f>$Q$7</f>
        <v>&lt; θ°</v>
      </c>
      <c r="X7" s="27" t="str">
        <f>$R$7</f>
        <v>r</v>
      </c>
      <c r="Y7" s="1372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6"/>
      <c r="AS7" s="1369" t="s">
        <v>54</v>
      </c>
      <c r="AT7" s="1367" t="s">
        <v>53</v>
      </c>
      <c r="AV7" s="136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1"/>
      <c r="BC7" s="37" t="str">
        <f>$Q$7</f>
        <v>&lt; θ°</v>
      </c>
      <c r="BD7" s="27" t="str">
        <f>$R$7</f>
        <v>r</v>
      </c>
      <c r="BE7" s="1297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3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3"/>
      <c r="FK7" s="358" t="s">
        <v>210</v>
      </c>
      <c r="FL7" s="361" t="s">
        <v>211</v>
      </c>
      <c r="FM7" s="865" t="s">
        <v>212</v>
      </c>
      <c r="FN7" s="1139"/>
      <c r="FO7" s="1184"/>
      <c r="FP7" s="1136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39"/>
      <c r="FY7" s="1184"/>
      <c r="FZ7" s="1136"/>
      <c r="GA7" s="1141"/>
      <c r="GB7" s="212" t="s">
        <v>231</v>
      </c>
      <c r="GC7" s="127" t="s">
        <v>232</v>
      </c>
      <c r="GD7" s="213" t="s">
        <v>233</v>
      </c>
      <c r="GE7" s="1151"/>
      <c r="GF7" s="123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0"/>
      <c r="GP7" s="1164"/>
      <c r="GQ7" s="1166"/>
      <c r="GR7" s="1168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0"/>
      <c r="HJ7" s="31"/>
      <c r="HK7" s="819" t="s">
        <v>244</v>
      </c>
      <c r="HL7" s="822" t="s">
        <v>386</v>
      </c>
      <c r="HM7" s="867" t="s">
        <v>259</v>
      </c>
      <c r="HN7" s="873" t="s">
        <v>395</v>
      </c>
      <c r="HO7" s="1234" t="s">
        <v>394</v>
      </c>
      <c r="HP7" s="1235"/>
      <c r="HQ7" s="1231" t="s">
        <v>390</v>
      </c>
      <c r="HR7" s="1232"/>
      <c r="HS7" s="855" t="s">
        <v>29</v>
      </c>
      <c r="HT7" s="856" t="s">
        <v>110</v>
      </c>
      <c r="HU7" s="1103" t="s">
        <v>391</v>
      </c>
      <c r="HV7" s="1104"/>
      <c r="HW7" s="823" t="s">
        <v>258</v>
      </c>
      <c r="HX7" s="905" t="s">
        <v>106</v>
      </c>
      <c r="HY7" s="904" t="s">
        <v>244</v>
      </c>
      <c r="HZ7" s="903" t="s">
        <v>245</v>
      </c>
      <c r="IA7" s="964" t="s">
        <v>107</v>
      </c>
      <c r="IB7" s="965" t="s">
        <v>384</v>
      </c>
      <c r="IC7" s="863" t="s">
        <v>244</v>
      </c>
      <c r="ID7" s="848" t="s">
        <v>245</v>
      </c>
      <c r="IE7" s="847" t="s">
        <v>107</v>
      </c>
      <c r="IF7" s="844"/>
      <c r="IG7" s="784" t="s">
        <v>359</v>
      </c>
      <c r="IH7" s="319" t="s">
        <v>377</v>
      </c>
      <c r="II7" s="980" t="s">
        <v>33</v>
      </c>
      <c r="IJ7" s="1192" t="s">
        <v>376</v>
      </c>
      <c r="IK7" s="976" t="s">
        <v>324</v>
      </c>
      <c r="IL7" s="977"/>
      <c r="IM7" s="977"/>
      <c r="IN7" s="972"/>
      <c r="IO7" s="972"/>
      <c r="IP7" s="972"/>
      <c r="IQ7" s="973"/>
      <c r="IR7" s="974" t="s">
        <v>320</v>
      </c>
      <c r="IS7" s="972"/>
      <c r="IT7" s="972"/>
      <c r="IU7" s="972"/>
      <c r="IV7" s="972"/>
      <c r="IW7" s="974" t="s">
        <v>319</v>
      </c>
      <c r="IX7" s="972"/>
      <c r="IY7" s="972"/>
      <c r="IZ7" s="972"/>
      <c r="JA7" s="973"/>
      <c r="JC7" s="725"/>
      <c r="JD7" s="1346" t="s">
        <v>355</v>
      </c>
      <c r="JE7" s="1346"/>
      <c r="JF7" s="1346"/>
      <c r="JG7" s="1347"/>
      <c r="JH7" s="785"/>
      <c r="JI7" s="785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49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89.660000049089916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-5.2500158340477561E-2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0"/>
      <c r="AT8" s="1368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198.05229918076807</v>
      </c>
      <c r="HB8" s="360">
        <f>IFERROR(IF((DEGREES(ATAN2(HC8,HD8)))&lt;0,(360+(DEGREES(ATAN2(HC8,HD8)))),(DEGREES(ATAN2(HC8,HD8)))),"")</f>
        <v>235.37142208213783</v>
      </c>
      <c r="HC8" s="360">
        <f>SUM(HC9:HC150)</f>
        <v>-112.54405822423888</v>
      </c>
      <c r="HD8" s="364">
        <f>SUM(HD9:HD150)</f>
        <v>-162.96793601567023</v>
      </c>
      <c r="HE8" s="366">
        <f>SQRT(HG8^2+HH8^2)</f>
        <v>1442.6288403039653</v>
      </c>
      <c r="HF8" s="360">
        <f>IFERROR(IF((DEGREES(ATAN2(HG8,HH8)))&lt;0,(360+(DEGREES(ATAN2(HG8,HH8)))),(DEGREES(ATAN2(HG8,HH8)))),"")</f>
        <v>28.431639749034634</v>
      </c>
      <c r="HG8" s="360">
        <f>SUM(HG9:HG150)</f>
        <v>1268.6273032816005</v>
      </c>
      <c r="HH8" s="367">
        <f>SUM(HH9:HH150)</f>
        <v>686.84986441377259</v>
      </c>
      <c r="HI8" s="316"/>
      <c r="HK8" s="820" t="s">
        <v>387</v>
      </c>
      <c r="HL8" s="824" t="s">
        <v>33</v>
      </c>
      <c r="HM8" s="868" t="str">
        <f>"@ 0 IPR"</f>
        <v>@ 0 IPR</v>
      </c>
      <c r="HN8" s="869" t="str">
        <f>"@ 0 IPR"</f>
        <v>@ 0 IPR</v>
      </c>
      <c r="HO8" s="872" t="str">
        <f>"@ 0 IPR"</f>
        <v>@ 0 IPR</v>
      </c>
      <c r="HP8" s="870" t="str">
        <f>"@ IDS"</f>
        <v>@ IDS</v>
      </c>
      <c r="HQ8" s="869" t="str">
        <f>"@ 0 IPR"</f>
        <v>@ 0 IPR</v>
      </c>
      <c r="HR8" s="866" t="str">
        <f>"@ IDS"</f>
        <v>@ IDS</v>
      </c>
      <c r="HS8" s="857" t="s">
        <v>261</v>
      </c>
      <c r="HT8" s="858" t="s">
        <v>49</v>
      </c>
      <c r="HU8" s="859" t="s">
        <v>50</v>
      </c>
      <c r="HV8" s="860" t="s">
        <v>51</v>
      </c>
      <c r="HW8" s="839" t="s">
        <v>243</v>
      </c>
      <c r="HX8" s="849" t="s">
        <v>239</v>
      </c>
      <c r="HY8" s="850" t="s">
        <v>249</v>
      </c>
      <c r="HZ8" s="851" t="s">
        <v>250</v>
      </c>
      <c r="IA8" s="852" t="s">
        <v>251</v>
      </c>
      <c r="IB8" s="853" t="s">
        <v>385</v>
      </c>
      <c r="IC8" s="864" t="s">
        <v>240</v>
      </c>
      <c r="ID8" s="851" t="s">
        <v>241</v>
      </c>
      <c r="IE8" s="821" t="s">
        <v>242</v>
      </c>
      <c r="IF8" s="844"/>
      <c r="IG8" s="792">
        <v>0.75</v>
      </c>
      <c r="IH8" s="798">
        <v>-6.25E-2</v>
      </c>
      <c r="II8" s="1194"/>
      <c r="IJ8" s="1193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9.9999999999999995E-7</v>
      </c>
      <c r="C9" s="641">
        <f t="shared" si="2"/>
        <v>0.29580089213549071</v>
      </c>
      <c r="D9" s="642">
        <f t="shared" si="2"/>
        <v>-0.53370160964405466</v>
      </c>
      <c r="E9" s="643">
        <f t="shared" ref="E9:K9" si="3">R164</f>
        <v>-0.93969263802333458</v>
      </c>
      <c r="F9" s="641">
        <f t="shared" si="3"/>
        <v>9.9999999999999995E-7</v>
      </c>
      <c r="G9" s="644">
        <f t="shared" si="3"/>
        <v>0.3420200959662259</v>
      </c>
      <c r="H9" s="643">
        <f t="shared" si="3"/>
        <v>0.26450000000000001</v>
      </c>
      <c r="I9" s="641">
        <f t="shared" si="3"/>
        <v>0.52</v>
      </c>
      <c r="J9" s="885">
        <f>IF(W164=0,"",W164)</f>
        <v>1.101</v>
      </c>
      <c r="K9" s="804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9.9999999999999995E-7</v>
      </c>
      <c r="O9" s="567">
        <f t="shared" ref="O9:O40" si="6">IF(M9="","",C9)</f>
        <v>0.29580089213549071</v>
      </c>
      <c r="P9" s="568">
        <f t="shared" ref="P9:P40" si="7">IF(M9="","",D9)</f>
        <v>-0.53370160964405466</v>
      </c>
      <c r="Q9" s="526">
        <f>IF(M9="","",IF(DEGREES(ATAN2(N9,O9))&lt;0,DEGREES(ATAN2(N9,O9))+360,IF(DEGREES(ATAN2(N9,O9))&gt;360,DEGREES(ATAN2(N9,O9))-360,DEGREES(ATAN2(N9,O9)))))</f>
        <v>89.999806302884693</v>
      </c>
      <c r="R9" s="567">
        <f>IF(M9="","",SQRT(N9^2+O9^2))</f>
        <v>0.29580089213718103</v>
      </c>
      <c r="S9" s="569">
        <f>IF(M9="","",P9)</f>
        <v>-0.53370160964405466</v>
      </c>
      <c r="T9" s="570">
        <f>IF(M9="","",X9*COS(RADIANS(W9)))</f>
        <v>0.29579568995351951</v>
      </c>
      <c r="U9" s="567">
        <f>IF(M9="","",X9*SIN(RADIANS(W9)))</f>
        <v>1.754307291653128E-3</v>
      </c>
      <c r="V9" s="571">
        <f>IF(M9="","",Y9)</f>
        <v>-0.53370160964405466</v>
      </c>
      <c r="W9" s="526">
        <f t="shared" ref="W9:W14" si="8">IF(M9="","",IF(Q9-$Q$8&lt;0,360+Q9-$Q$8,Q9-$Q$8))</f>
        <v>0.33980625379477658</v>
      </c>
      <c r="X9" s="572">
        <f>IF(M9="","",R9)</f>
        <v>0.29580089213718103</v>
      </c>
      <c r="Y9" s="573">
        <f t="shared" ref="Y9:Y15" si="9">IF(M9="","",S9)</f>
        <v>-0.53370160964405466</v>
      </c>
      <c r="Z9" s="566">
        <f t="shared" ref="Z9:Z40" si="10">IF(M9="","",-E9)</f>
        <v>0.93969263802333458</v>
      </c>
      <c r="AA9" s="567">
        <f t="shared" ref="AA9:AA40" si="11">IF(M9="","",-F9)</f>
        <v>-9.9999999999999995E-7</v>
      </c>
      <c r="AB9" s="567">
        <f t="shared" ref="AB9:AB40" si="12">IF(M9="","",-G9)</f>
        <v>-0.3420200959662259</v>
      </c>
      <c r="AC9" s="571">
        <f>IF(M9="","",SQRT(Z9^2+AA9^2+AB9^2))</f>
        <v>1.0000000000005</v>
      </c>
      <c r="AD9" s="574">
        <f>IF(M9="","",Z9*(1/SQRT(Z9^2+AA9^2+AB9^2)))</f>
        <v>0.93969263802286473</v>
      </c>
      <c r="AE9" s="567">
        <f>IF(M9="","",AA9*(1/SQRT(Z9^2+AA9^2+AB9^2)))</f>
        <v>-9.9999999999949999E-7</v>
      </c>
      <c r="AF9" s="568">
        <f>IF(M9="","",AB9*(1/SQRT(Z9^2+AA9^2+AB9^2)))</f>
        <v>-0.34202009596605487</v>
      </c>
      <c r="AG9" s="542">
        <f>IF(M9="","",DEGREES(ATAN2(-AF9,AE9)))</f>
        <v>-1.6752167544733089E-4</v>
      </c>
      <c r="AH9" s="543">
        <f>IF(M9="","",DEGREES(ACOS(AD9)))</f>
        <v>19.99999711243639</v>
      </c>
      <c r="AI9" s="526">
        <f>IF(M9="","",DEGREES(-ACOS(-AF9)))</f>
        <v>-70.000002887652741</v>
      </c>
      <c r="AJ9" s="544">
        <f>IF(M9="","",DEGREES(ATAN2(-AE9,AD9)))</f>
        <v>89.999939027106109</v>
      </c>
      <c r="AK9" s="570">
        <f>IF(M9="","",(COS(RADIANS((90-$Q$8)-W9))*AD9)+(-SIN(RADIANS((90-$Q$8)-W9))*AE9))</f>
        <v>0.93969263802087555</v>
      </c>
      <c r="AL9" s="567">
        <f>IF(M9="","",(SIN(RADIANS((90-$Q$8)-W9))*AD9)+(COS(RADIANS((90-$Q$8)-W9))*AE9))</f>
        <v>2.176774184891581E-6</v>
      </c>
      <c r="AM9" s="569">
        <f>IF(M9="","",AF9)</f>
        <v>-0.34202009596605487</v>
      </c>
      <c r="AN9" s="524">
        <f>IF(M9="","",DEGREES(ATAN2(-AM9,AL9)))</f>
        <v>3.6465685851983344E-4</v>
      </c>
      <c r="AO9" s="525">
        <f>IF(ROUND(IF(M9="",0,DEGREES(ACOS(AK9))),4)=90,0,IF(M9="","",DEGREES(ACOS(AK9))))</f>
        <v>19.999997112769623</v>
      </c>
      <c r="AP9" s="722">
        <f>IF(M9="","",DEGREES(ATAN2(AK9,AL9)))</f>
        <v>1.3272422141113311E-4</v>
      </c>
      <c r="AQ9" s="527">
        <f t="shared" ref="AQ9:AQ40" si="13">IF(M9="","",DEGREES(ATAN(($AS$5*SIN(RADIANS(90)))/(($X9*2*PI())-($AS$5*COS(RADIANS(90)))))))</f>
        <v>5.8370147224938469</v>
      </c>
      <c r="AS9" s="898">
        <f>IF(M9="","",W9)</f>
        <v>0.33980625379477658</v>
      </c>
      <c r="AT9" s="894">
        <f t="shared" ref="AT9:AT40" si="14">IF(M9="","",Y9+(((AS9-$AS$9)*$AS$6)*-1))</f>
        <v>-0.53370160964405466</v>
      </c>
      <c r="AU9" s="418"/>
      <c r="AV9" s="164">
        <f t="shared" ref="AV9:AV40" si="15">IF(AND(ISNUMBER(VALUE(K9)),ISNUMBER(AW9),ISNUMBER(AX9),ISNUMBER(AY9),AY9&gt;=0.0001),$M9,"")</f>
        <v>1.101</v>
      </c>
      <c r="AW9" s="825">
        <f>IFERROR(INDEX(MassProp!C$9:C$150,MATCH($M9,MassProp!$B$9:$B$150,0)),"")</f>
        <v>0.18390000000000001</v>
      </c>
      <c r="AX9" s="826">
        <f>IFERROR(INDEX(MassProp!D$9:D$150,MATCH($M9,MassProp!$B$9:$B$150,0)),"")</f>
        <v>-0.22520000000000001</v>
      </c>
      <c r="AY9" s="827">
        <f>IFERROR(INDEX(MassProp!E$9:E$150,MATCH($M9,MassProp!$B$9:$B$150,0)),"")</f>
        <v>5.3900000000000003E-2</v>
      </c>
      <c r="AZ9" s="297">
        <f>IF(ISNUMBER(AV9),$AY9*SQRT((2*PI()*$AW9)^2+$AS$5^2),"")</f>
        <v>6.3116621418534635E-2</v>
      </c>
      <c r="BA9" s="296">
        <f t="shared" ref="BA9:BA40" si="16">IF(ISNUMBER(AV9),AZ9/$AZ$151,"")</f>
        <v>4.3380927593884549E-3</v>
      </c>
      <c r="BB9" s="290">
        <f>IF(ISNUMBER($AV9),$AX9-($AT9+$AS$5),"")</f>
        <v>0.11850160964405465</v>
      </c>
      <c r="BC9" s="180"/>
      <c r="BD9" s="191">
        <f>IF(ISNUMBER(AV9),AW9,"")</f>
        <v>0.18390000000000001</v>
      </c>
      <c r="BE9" s="181">
        <f t="shared" ref="BE9:BE40" si="17">IF(ISNUMBER(AV9),Y9+BB9,"")</f>
        <v>-0.41520000000000001</v>
      </c>
      <c r="BF9" s="4">
        <f t="shared" ref="BF9:BF40" si="18">IF(ISNUMBER($AV9),N9,"")</f>
        <v>9.9999999999999995E-7</v>
      </c>
      <c r="BG9" s="5">
        <f t="shared" ref="BG9:BG40" si="19">IF(ISNUMBER($AV9),O9,"")</f>
        <v>0.29580089213549071</v>
      </c>
      <c r="BH9" s="10">
        <f t="shared" ref="BH9:BH40" si="20">IF(ISNUMBER($AV9),P9,"")</f>
        <v>-0.53370160964405466</v>
      </c>
      <c r="BI9" s="9">
        <f>IF(ISNUMBER($AV9),BF9+0,"")</f>
        <v>9.9999999999999995E-7</v>
      </c>
      <c r="BJ9" s="5">
        <f t="shared" ref="BJ9:BJ40" si="21">IF(ISNUMBER($AV9),BG9+COS(RADIANS($AG9)),"")</f>
        <v>1.2958008921312163</v>
      </c>
      <c r="BK9" s="8">
        <f t="shared" ref="BK9:BK40" si="22">IF(ISNUMBER($AV9),BH9+SIN(RADIANS($AG9)),"")</f>
        <v>-0.53370453344885971</v>
      </c>
      <c r="BL9" s="173">
        <f t="shared" ref="BL9:BL40" si="23">IF(ISNUMBER($AV9),BF9+SIN(RADIANS($AH9)),"")</f>
        <v>0.34202109596751656</v>
      </c>
      <c r="BM9" s="5">
        <f t="shared" ref="BM9:BM40" si="24">IF(ISNUMBER($AV9),BG9-SIN(RADIANS($AG9))*COS(RADIANS($AH9)),"")</f>
        <v>0.295803639613341</v>
      </c>
      <c r="BN9" s="6">
        <f t="shared" ref="BN9:BN40" si="25">IF(ISNUMBER($AV9),BH9+COS(RADIANS($AG9))*COS(RADIANS($AH9)),"")</f>
        <v>0.40599102837479351</v>
      </c>
      <c r="BO9" s="4">
        <f>IF(ISNUMBER($AV9),BJ9*BN9-BM9*BK9-BG9*(BN9-BK9)+BH9*(BM9-BJ9),"")</f>
        <v>0.93969263802286451</v>
      </c>
      <c r="BP9" s="5">
        <f>IF(ISNUMBER($AV9),BF9*(BN9-BK9)-(BI9*BN9-BL9*BK9)+BH9*(BI9-BL9),"")</f>
        <v>-1.0000000000010001E-6</v>
      </c>
      <c r="BQ9" s="5">
        <f>IF(ISNUMBER($AV9),BF9*(BJ9-BM9)-BG9*(BI9-BL9)+(BI9*BM9-BL9*BJ9),"")</f>
        <v>-0.34202009596605465</v>
      </c>
      <c r="BR9" s="6">
        <f>IF(ISNUMBER($AV9),-(BF9*(BJ9*BN9-BM9*BK9)-BG9*(BI9*BN9-BL9*BK9)+BH9*(BI9*BM9-BL9*BJ9)),"")</f>
        <v>-0.18253731963944328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-0.41520000000000001</v>
      </c>
      <c r="BV9" s="9">
        <f>IF(ISNUMBER($AV9),0,"")</f>
        <v>0</v>
      </c>
      <c r="BW9" s="5">
        <f>IF(ISNUMBER($AV9),1,"")</f>
        <v>1</v>
      </c>
      <c r="BX9" s="8">
        <f>IF(ISNUMBER($AV9),$BE9,"")</f>
        <v>-0.41520000000000001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-0.41520000000000001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-0.41520000000000001</v>
      </c>
      <c r="CF9" s="4">
        <f>IF(ISNUMBER($AV9),(BP9*CD9)-(BQ9*CC9),"")</f>
        <v>1.0000000000010001E-6</v>
      </c>
      <c r="CG9" s="5">
        <f>IF(ISNUMBER($AV9),(BQ9*CB9)-(BO9*CD9),"")</f>
        <v>0.93969263802286451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-40530.575794296856</v>
      </c>
      <c r="CK9" s="8">
        <f>IF(ISNUMBER($AV9),(CC9*BR9-BP9*CE9)/(-CC9*BQ9+BP9*CD9),"")</f>
        <v>-0.41520000000000001</v>
      </c>
      <c r="CL9" s="173">
        <f>IF(ISNUMBER($AV9),CI9+CF9,"")</f>
        <v>1.0000000000010001E-6</v>
      </c>
      <c r="CM9" s="5">
        <f>IF(ISNUMBER($AV9),CJ9+CG9,"")</f>
        <v>-40529.636101658834</v>
      </c>
      <c r="CN9" s="181">
        <f>IF(ISNUMBER($AV9),CK9+CH9,"")</f>
        <v>-0.41520000000000001</v>
      </c>
      <c r="CO9" s="228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>0.26450000000000001</v>
      </c>
      <c r="CP9" s="23">
        <f>IF(ISNUMBER($AV9),(CL9-CI9)^2+(CM9-CJ9)^2+(CN9-CK9)^2,"")</f>
        <v>0.8830222539525614</v>
      </c>
      <c r="CQ9" s="20">
        <f>IF(ISNUMBER($AV9),2*((CL9-CI9)*(CI9-BF9)+(CM9-CJ9)*(CJ9-BG9)+(CN9-CK9)*(CK9-BH9)),"")</f>
        <v>-76173.123301177111</v>
      </c>
      <c r="CR9" s="20">
        <f>IF(ISNUMBER($AV9),BF9^2+BG9^2+BH9^2+CI9^2+CJ9^2+CK9^2-2*(BF9*CI9+BG9*CJ9+BH9*CK9)-CO9^2,"")</f>
        <v>1642751552.2097802</v>
      </c>
      <c r="CS9" s="25">
        <f>IF(ISNUMBER($AV9),CQ9^2-(4*CP9*CR9),"")</f>
        <v>0.19093513488769531</v>
      </c>
      <c r="CT9" s="24">
        <f>IF(ISNUMBER($AV9),(-CQ9+SQRT(CS9))/(CP9*2),"")</f>
        <v>43132.299283207198</v>
      </c>
      <c r="CU9" s="22">
        <f>IF(ISNUMBER($AV9),(-CQ9-SQRT(CS9))/(CP9*2),"")</f>
        <v>43131.804435824735</v>
      </c>
      <c r="CV9" s="23">
        <f t="shared" ref="CV9:CX10" si="27">IF(ISNUMBER($AV9),CI9+($CT9*(CL9-CI9)),"")</f>
        <v>4.3132299283250332E-2</v>
      </c>
      <c r="CW9" s="20">
        <f t="shared" si="27"/>
        <v>0.52830306735995691</v>
      </c>
      <c r="CX9" s="25">
        <f t="shared" si="27"/>
        <v>-0.41520000000000001</v>
      </c>
      <c r="CY9" s="24">
        <f t="shared" ref="CY9:DA10" si="28">IF(ISNUMBER($AV9),CI9+($CU9*(CL9-CI9)),"")</f>
        <v>4.3131804435867872E-2</v>
      </c>
      <c r="CZ9" s="20">
        <f t="shared" si="28"/>
        <v>6.3298625114839524E-2</v>
      </c>
      <c r="DA9" s="22">
        <f t="shared" si="28"/>
        <v>-0.41520000000000001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0.18390000000000001</v>
      </c>
      <c r="DI9" s="4">
        <f t="shared" ref="DI9:DK9" si="29">IF(ISNUMBER($AV9),DE9-DB9,"")</f>
        <v>0</v>
      </c>
      <c r="DJ9" s="5">
        <f t="shared" si="29"/>
        <v>0</v>
      </c>
      <c r="DK9" s="10">
        <f t="shared" si="29"/>
        <v>20</v>
      </c>
      <c r="DL9" s="9">
        <f t="shared" ref="DL9:DN9" si="30">IF(ISNUMBER($AV9),CV9-DB9,"")</f>
        <v>4.3132299283250332E-2</v>
      </c>
      <c r="DM9" s="173">
        <f t="shared" si="30"/>
        <v>0.52830306735995691</v>
      </c>
      <c r="DN9" s="178">
        <f t="shared" si="30"/>
        <v>9.5847999999999995</v>
      </c>
      <c r="DO9" s="9">
        <f t="shared" ref="DO9:DQ10" si="31">IF(ISNUMBER($AV9),CY9-CV9,"")</f>
        <v>-4.9484738245952897E-7</v>
      </c>
      <c r="DP9" s="173">
        <f t="shared" si="31"/>
        <v>-0.46500444224511739</v>
      </c>
      <c r="DQ9" s="11">
        <f t="shared" si="31"/>
        <v>0</v>
      </c>
      <c r="DR9" s="173">
        <f>IF(ISNUMBER($AV9),SUMPRODUCT(DI9:DK9,DL9:DN9),"")</f>
        <v>191.696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0.21622913130793761</v>
      </c>
      <c r="DV9" s="5">
        <f>IF(ISNUMBER($AV9),SUMPRODUCT(DL9:DN9,DO9:DQ9),"")</f>
        <v>-0.24566329451800684</v>
      </c>
      <c r="DW9" s="5">
        <f>IF(ISNUMBER($AV9),SUMPRODUCT(DL9:DN9,DL9:DN9),"")</f>
        <v>92.149355566223392</v>
      </c>
      <c r="DX9" s="167">
        <f>IF(ISNUMBER($AV9),DW9-DH9*DH9,"")</f>
        <v>92.115536356223387</v>
      </c>
      <c r="DY9" s="9">
        <f>IF(ISNUMBER($AV9),DT9*DU9-DS9*DS9,"")</f>
        <v>86.491652523175048</v>
      </c>
      <c r="DZ9" s="5">
        <f>IF(ISNUMBER($AV9),DT9*DV9-DS9*DR9,"")</f>
        <v>-98.265317807202734</v>
      </c>
      <c r="EA9" s="10">
        <f>IF(ISNUMBER($AV9),DT9*DX9-DR9*DR9,"")</f>
        <v>98.85812648935098</v>
      </c>
      <c r="EB9" s="6">
        <f>IF(ISNUMBER($AV9),DZ9*DZ9-DY9*EA9,"")</f>
        <v>1105.6699583415229</v>
      </c>
      <c r="EC9" s="173">
        <f>IF(ISNUMBER($AV9),(-DZ9+SQRT(DZ9^2-DY9*EA9))/DY9,"")</f>
        <v>1.5205737183436228</v>
      </c>
      <c r="ED9" s="5">
        <f>IF(ISNUMBER($AV9),(-DZ9-SQRT(DZ9^2-DY9*EA9))/DY9,"")</f>
        <v>0.75167602924613408</v>
      </c>
      <c r="EE9" s="4">
        <f t="shared" ref="EE9:EG10" si="32">IF(ISNUMBER($AV9),CV9+DO9*$EC9,"")</f>
        <v>4.3131546831325973E-2</v>
      </c>
      <c r="EF9" s="5">
        <f t="shared" si="32"/>
        <v>-0.17877046643100358</v>
      </c>
      <c r="EG9" s="10">
        <f t="shared" si="32"/>
        <v>-0.41520000000000001</v>
      </c>
      <c r="EH9" s="9">
        <f t="shared" ref="EH9:EJ10" si="33">IF(ISNUMBER($AV9),CV9+DO9*$ED9,"")</f>
        <v>4.3131927318334803E-2</v>
      </c>
      <c r="EI9" s="5">
        <f t="shared" si="33"/>
        <v>0.17877037463133377</v>
      </c>
      <c r="EJ9" s="6">
        <f t="shared" si="33"/>
        <v>-0.41520000000000001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34">IF(ISNUMBER($AV9),IF($EK9=TRUE,EE9,IF($EL9=TRUE,EH9,"")),"")</f>
        <v>4.3131927318334803E-2</v>
      </c>
      <c r="EN9" s="5">
        <f t="shared" si="34"/>
        <v>0.17877037463133377</v>
      </c>
      <c r="EO9" s="10">
        <f t="shared" si="34"/>
        <v>-0.41520000000000001</v>
      </c>
      <c r="EP9" s="9">
        <f>IF(ISNUMBER($AV9),IF(DEGREES(ATAN2(EM9,EN9))&lt;0,DEGREES(ATAN2(EM9,EN9))+360,IF(DEGREES(ATAN2(EM9,EN9))&gt;360,DEGREES(ATAN2(EM9,EN9))-360,DEGREES(ATAN2(EM9,EN9)))),"")</f>
        <v>76.435484259230023</v>
      </c>
      <c r="EQ9" s="5">
        <f>IF(ISNUMBER($AV9),SQRT(EM9^2+EN9^2),"")</f>
        <v>0.18390000000005857</v>
      </c>
      <c r="ER9" s="7">
        <f>IF(ISNUMBER($AV9),EO9,"")</f>
        <v>-0.41520000000000001</v>
      </c>
      <c r="ES9" s="274">
        <f>IF(ISNUMBER($AV9),AD9,"")</f>
        <v>0.93969263802286473</v>
      </c>
      <c r="ET9" s="267">
        <f t="shared" ref="ET9:ET40" si="35">IF(ISNUMBER($AV9),AE9,"")</f>
        <v>-9.9999999999949999E-7</v>
      </c>
      <c r="EU9" s="273">
        <f t="shared" ref="EU9:EU40" si="36">IF(ISNUMBER($AV9),AF9,"")</f>
        <v>-0.34202009596605487</v>
      </c>
      <c r="EV9" s="174">
        <f>IF(ISNUMBER($AV9),IF(($EV$1-EP9)&lt;0,(360+($EV$1-EP9)),($EV$1-EP9)),"")</f>
        <v>13.564515740769977</v>
      </c>
      <c r="EW9" s="9">
        <f>IF(ISNUMBER($AV9),(COS(RADIANS($EV9))*ES9)+(-SIN(RADIANS($EV9))*ET9),"")</f>
        <v>0.91348150119373395</v>
      </c>
      <c r="EX9" s="5">
        <f t="shared" ref="EX9:EX40" si="37">IF(ISNUMBER($AV9),(SIN(RADIANS($EV9))*ES9)+(COS(RADIANS($EV9))*ET9),"")</f>
        <v>0.22039464814784632</v>
      </c>
      <c r="EY9" s="6">
        <f>IF(ISNUMBER($AV9),EU9,"")</f>
        <v>-0.34202009596605487</v>
      </c>
      <c r="EZ9" s="51">
        <f>IF(ISNUMBER($AV9),DEGREES(ATAN($AS$5/($EQ9*2*PI()))),"")</f>
        <v>9.3378203746106792</v>
      </c>
      <c r="FA9" s="266">
        <f>IF(ISNUMBER($AV9),SIN(RADIANS($EP9))*COS(RADIANS($EZ9)),"")</f>
        <v>0.95922489238591868</v>
      </c>
      <c r="FB9" s="267">
        <f>IF(ISNUMBER($AV9),-1*COS(RADIANS($EP9))*COS(RADIANS($EZ9)),"")</f>
        <v>-0.23143218458678169</v>
      </c>
      <c r="FC9" s="268">
        <f t="shared" ref="FC9:FC53" si="38">IF(ISNUMBER($AV9),-1*SIN(RADIANS($EZ9)),"")</f>
        <v>-0.16225519949946951</v>
      </c>
      <c r="FD9" s="4">
        <f>IF(ISNUMBER($AV9),(COS(RADIANS($EV9))*FA9)+(-SIN(RADIANS($EV9))*FB9),"")</f>
        <v>0.98674882834254618</v>
      </c>
      <c r="FE9" s="5">
        <f t="shared" ref="FE9:FE40" si="39">IF(ISNUMBER($AV9),(SIN(RADIANS($EV9))*FA9)+(COS(RADIANS($EV9))*FB9),"")</f>
        <v>-5.5511151231257827E-17</v>
      </c>
      <c r="FF9" s="7">
        <f>IF(ISNUMBER($AV9),FC9,"")</f>
        <v>-0.16225519949946951</v>
      </c>
      <c r="FG9" s="173">
        <f>IF(ISNUMBER($AV9),EW9-FD9,"")</f>
        <v>-7.3267327148812234E-2</v>
      </c>
      <c r="FH9" s="5">
        <f t="shared" ref="FH9:FH40" si="40">IF(ISNUMBER($AV9),EX9-FE9,"")</f>
        <v>0.22039464814784637</v>
      </c>
      <c r="FI9" s="10">
        <f t="shared" ref="FI9:FI40" si="41">IF(ISNUMBER($AV9),EY9-FF9,"")</f>
        <v>-0.17976489646658536</v>
      </c>
      <c r="FJ9" s="279">
        <f>IF(ISNUMBER($AV9),DEGREES(ACOS((2-SQRT((FG9)^2+(FH9)^2+(FI9)^2)^2)/2)),"")</f>
        <v>16.888612917649084</v>
      </c>
      <c r="FK9" s="23">
        <f t="shared" ref="FK9:FK40" si="42">IF(ISNUMBER($AV9),SQRT(ES9^2+ET9^2),"")</f>
        <v>0.93969263802339686</v>
      </c>
      <c r="FL9" s="20">
        <f>IF(ISNUMBER($AV9),SQRT(FA9^2+FB9^2),"")</f>
        <v>0.98674882834254607</v>
      </c>
      <c r="FM9" s="25">
        <f>IF(ISNUMBER($AV9),SQRT(FG9^2+FH9^2),"")</f>
        <v>0.23225396048236524</v>
      </c>
      <c r="FN9" s="24">
        <f>IF(ISNUMBER($AV9),DEGREES(ACOS((FK9^2+FL9^2-FM9^2)/(2*FK9*FL9))),"")</f>
        <v>13.564454767876075</v>
      </c>
      <c r="FO9" s="10">
        <f t="shared" ref="FO9:FO40" si="43">IF(ISNUMBER($AV9),IF(SQRT((EM9+(ES9/SQRT(ES9^2+(ET9/SQRT(ES9^2+ET9^2))^2)))^2+(EN9+ET9)^2)&gt;SQRT((EM9+(FA9/SQRT(FA9^2+FB9^2)))^2+(EN9+(FB9/SQRT(FA9^2+FB9^2)))^2),-1,1),"")</f>
        <v>-1</v>
      </c>
      <c r="FP9" s="276">
        <f t="shared" ref="FP9:FP40" si="44">IF(ISNUMBER($AV9),FN9*FO9,"")</f>
        <v>-13.564454767876075</v>
      </c>
      <c r="FQ9" s="173">
        <f>IF(ISNUMBER($AV9),SIN(RADIANS(FN9)),"")</f>
        <v>0.23453908142926064</v>
      </c>
      <c r="FR9" s="10">
        <f>IF(ISNUMBER($AV9),COS(RADIANS(FN9)),"")</f>
        <v>0.97210669130621596</v>
      </c>
      <c r="FS9" s="9">
        <f>IF(ISNUMBER($AV9),FQ9/(FQ9+FR9),"")</f>
        <v>0.19437277014409826</v>
      </c>
      <c r="FT9" s="6">
        <f>IF(ISNUMBER($AV9),FR9/(FQ9+FR9),"")</f>
        <v>0.80562722985590163</v>
      </c>
      <c r="FU9" s="4">
        <f>IF(ISNUMBER($AV9),SQRT(EW9^2+EY9^2),"")</f>
        <v>0.97541078478135923</v>
      </c>
      <c r="FV9" s="5">
        <f>IF(ISNUMBER($AV9),SQRT(FD9^2+FF9^2),"")</f>
        <v>1</v>
      </c>
      <c r="FW9" s="8">
        <f>IF(ISNUMBER($AV9),SQRT(FG9^2+FI9^2),"")</f>
        <v>0.19412243360614773</v>
      </c>
      <c r="FX9" s="9">
        <f>IF(ISNUMBER($AV9),DEGREES(ACOS((FU9^2+FV9^2-FW9^2)/(2*FU9*FV9))),"")</f>
        <v>11.18877409548846</v>
      </c>
      <c r="FY9" s="10">
        <f t="shared" ref="FY9:FY40" si="45">IF(ISNUMBER($AV9),IF(EU9&lt;FC9,1,-1),"")</f>
        <v>1</v>
      </c>
      <c r="FZ9" s="277">
        <f>IF(ISNUMBER($AV9),FX9*FY9,"")</f>
        <v>11.18877409548846</v>
      </c>
      <c r="GA9" s="177">
        <f>IF(ISNUMBER($AV9),DEGREES(FZ9*SIN(RADIANS(FU9))),"")</f>
        <v>10.913123761334765</v>
      </c>
      <c r="GB9" s="4">
        <f>IF(ISNUMBER($AV9),COS(RADIANS(FP9+90))*COS(RADIANS(FZ9)),"")</f>
        <v>0.23008124229522978</v>
      </c>
      <c r="GC9" s="5">
        <f>IF(ISNUMBER($AV9),SIN(RADIANS(FP9+90))*COS(RADIANS(FZ9)),"")</f>
        <v>0.95363004671227358</v>
      </c>
      <c r="GD9" s="10">
        <f>IF(ISNUMBER($AV9),-SIN(RADIANS(FZ9)),"")</f>
        <v>-0.194042149935087</v>
      </c>
      <c r="GE9" s="311">
        <f>IF(ISNUMBER($AV9),SUM(ABS(GB9),ABS(GC9),ABS(GD9)),"")</f>
        <v>1.3777534389425905</v>
      </c>
      <c r="GF9" s="341">
        <f>IF(ISNUMBER($AV9),1/GE9,"")</f>
        <v>0.72581927341621311</v>
      </c>
      <c r="GG9" s="303">
        <f t="shared" ref="GG9:GG40" si="46">IF(ISNUMBER($AV9),ABS(GB9)/(ABS($GB9)+ABS($GC9)+ABS($GD9)),"")</f>
        <v>0.16699740010942335</v>
      </c>
      <c r="GH9" s="304">
        <f t="shared" ref="GH9:GH40" si="47">IF(ISNUMBER($AV9),ABS(GC9)/(ABS($GB9)+ABS($GC9)+ABS($GD9)),"")</f>
        <v>0.69216306761257185</v>
      </c>
      <c r="GI9" s="305">
        <f t="shared" ref="GI9:GI40" si="48">IF(ISNUMBER($AV9),ABS(GD9)/(ABS($GB9)+ABS($GC9)+ABS($GD9)),"")</f>
        <v>0.14083953227800475</v>
      </c>
      <c r="GJ9" s="167">
        <f>IF(ISNUMBER($AV9),AW9,"")</f>
        <v>0.18390000000000001</v>
      </c>
      <c r="GK9" s="174">
        <f t="shared" ref="GK9:GK53" si="49">IF(ISNUMBER($AV9),SQRT((2*PI()*$GJ9)^2+$AS$5^2)/12,"")</f>
        <v>9.7582902626058496E-2</v>
      </c>
      <c r="GL9" s="174">
        <f t="shared" ref="GL9:GN10" si="50">IF(ISNUMBER($AV9),AY9,"")</f>
        <v>5.3900000000000003E-2</v>
      </c>
      <c r="GM9" s="9">
        <f t="shared" si="50"/>
        <v>6.3116621418534635E-2</v>
      </c>
      <c r="GN9" s="281">
        <f t="shared" si="50"/>
        <v>4.3380927593884549E-3</v>
      </c>
      <c r="GO9" s="4">
        <f>IF(ISNUMBER($AV9),FP9,"")</f>
        <v>-13.564454767876075</v>
      </c>
      <c r="GP9" s="8">
        <f>IF(ISNUMBER($AV9),FZ9,"")</f>
        <v>11.18877409548846</v>
      </c>
      <c r="GQ9" s="177">
        <f>IF(ISNUMBER($AV9),FJ9,"")</f>
        <v>16.888612917649084</v>
      </c>
      <c r="GR9" s="371">
        <f>IF(ISNUMBER($AV9),GS9+GU9+GY9,"")</f>
        <v>227.96875610626788</v>
      </c>
      <c r="GS9" s="342">
        <f t="shared" ref="GS9:GS40" si="51">IF(ISNUMBER($AV9),GU9/GH9*GG9,"")</f>
        <v>38.070189575925966</v>
      </c>
      <c r="GT9" s="343">
        <f t="shared" ref="GT9:GT40" si="52">IF(ISNUMBER($AV9),GS9/$GK9,"")</f>
        <v>390.13176029219403</v>
      </c>
      <c r="GU9" s="344">
        <f t="shared" ref="GU9:GU53" si="53">IF(ISNUMBER($AV9),$GV9*$GK9,"")</f>
        <v>157.79155354633659</v>
      </c>
      <c r="GV9" s="343">
        <f>IF(ISNUMBER($AV9),GW9*$GL9,"")</f>
        <v>1617</v>
      </c>
      <c r="GW9" s="345">
        <f>IF(ISNUMBER($AV9),$GW$2,"")</f>
        <v>30000</v>
      </c>
      <c r="GX9" s="346">
        <f t="shared" ref="GX9:GX53" si="54">IF(ISNUMBER($AV9),($GJ9/12)*$GV9,"")</f>
        <v>24.780525000000001</v>
      </c>
      <c r="GY9" s="344">
        <f t="shared" ref="GY9:GY40" si="55">IF(ISNUMBER($AV9),GU9/GH9*GI9,"")</f>
        <v>32.107012984005308</v>
      </c>
      <c r="GZ9" s="345">
        <f t="shared" ref="GZ9:GZ40" si="56">IF(ISNUMBER($AV9),GY9/$GK9,"")</f>
        <v>329.02293455074442</v>
      </c>
      <c r="HA9" s="342">
        <f t="shared" ref="HA9:HA53" si="57">IF(ISNUMBER($AV9),$FO9*$GS9,"")</f>
        <v>-38.070189575925966</v>
      </c>
      <c r="HB9" s="191">
        <f>IF(ISNUMBER($AV9),$EV9,"")</f>
        <v>13.564515740769977</v>
      </c>
      <c r="HC9" s="362">
        <f>IF(ISNUMBER($AV9),HA9*COS(RADIANS(HB9)),"")</f>
        <v>-37.008276524045762</v>
      </c>
      <c r="HD9" s="365">
        <f>IF(ISNUMBER($AV9),HA9*SIN(RADIANS(HB9)),"")</f>
        <v>-8.9289866763651009</v>
      </c>
      <c r="HE9" s="344">
        <f t="shared" ref="HE9:HE53" si="58">IF(ISNUMBER($AV9),$FY9*$GV9,"")</f>
        <v>1617</v>
      </c>
      <c r="HF9" s="5">
        <f t="shared" ref="HF9:HF53" si="59">IF(ISNUMBER($AV9),IF(($HB9+90)&lt;0,(360+($HB9+90)),($HB9+90)),"")</f>
        <v>103.56451574076998</v>
      </c>
      <c r="HG9" s="362">
        <f>IF(ISNUMBER($AV9),HE9*COS(RADIANS(HF9)),"")</f>
        <v>-379.25136744820611</v>
      </c>
      <c r="HH9" s="368">
        <f>IF(ISNUMBER($AV9),HE9*SIN(RADIANS(HF9)),"")</f>
        <v>1571.8961162521732</v>
      </c>
      <c r="HI9" s="317">
        <f t="shared" ref="HI9:HI40" si="60">IF(ISNUMBER($AV9),$M9,"")</f>
        <v>1.101</v>
      </c>
      <c r="HJ9" s="336"/>
      <c r="HK9" s="315">
        <v>1</v>
      </c>
      <c r="HL9" s="347">
        <f t="shared" ref="HL9:HL40" si="61">IF(ISNUMBER($HS9),INDEX(HI$9:HI$150,MATCH($HS9,$GJ$9:$GJ$150,0)),"")</f>
        <v>1.101</v>
      </c>
      <c r="HM9" s="923">
        <f t="shared" ref="HM9:HM40" si="62">IF(ISNUMBER($HL9),INDEX(GO$9:GO$150,MATCH($HL9,$AV$9:$AV$150,0)),"")</f>
        <v>-13.564454767876075</v>
      </c>
      <c r="HN9" s="924">
        <f t="shared" ref="HN9:HN40" si="63">IF(ISNUMBER($HL9),INDEX(AO$9:AO$150,MATCH($HL9,$AV$9:$AV$150,0)),"")</f>
        <v>19.999997112769623</v>
      </c>
      <c r="HO9" s="925"/>
      <c r="HP9" s="926"/>
      <c r="HQ9" s="927">
        <f t="shared" ref="HQ9:HQ40" si="64">IF(ISNUMBER($HL9),INDEX(GQ$9:GQ$150,MATCH($HL9,$AV$9:$AV$150,0)),"")</f>
        <v>16.888612917649084</v>
      </c>
      <c r="HR9" s="928">
        <f t="shared" ref="HR9:HR40" si="65">IF(ISNUMBER($HL9),INDEX(GP$9:GP$150,MATCH($HL9,$AV$9:$AV$150,0)),"")</f>
        <v>11.18877409548846</v>
      </c>
      <c r="HS9" s="929">
        <f>IFERROR(SMALL($GJ$9:$GJ$150,$HK9),"")</f>
        <v>0.18390000000000001</v>
      </c>
      <c r="HT9" s="930">
        <f t="shared" ref="HT9:HT40" si="66">IF(ISNUMBER($HL9),INDEX(GL$9:GL$150,MATCH($HL9,$AV$9:$AV$150,0)),"")</f>
        <v>5.3900000000000003E-2</v>
      </c>
      <c r="HU9" s="931">
        <f t="shared" ref="HU9:HU40" si="67">IF(ISNUMBER($HL9),INDEX(GM$9:GM$150,MATCH($HL9,$AV$9:$AV$150,0)),"")</f>
        <v>6.3116621418534635E-2</v>
      </c>
      <c r="HV9" s="932">
        <f t="shared" ref="HV9:HV40" si="68">IF(ISNUMBER($HL9),INDEX(GN$9:GN$150,MATCH($HL9,$AV$9:$AV$150,0)),"")</f>
        <v>4.3380927593884549E-3</v>
      </c>
      <c r="HW9" s="933">
        <f t="shared" ref="HW9:HW40" si="69">IF(ISNUMBER($HL9),INDEX(GW$9:GW$150,MATCH($HL9,$AV$9:$AV$150,0)),"")</f>
        <v>30000</v>
      </c>
      <c r="HX9" s="949">
        <f t="shared" ref="HX9:HX40" si="70">IF(ISNUMBER($HL9),INDEX(GX$9:GX$150,MATCH($HL9,$AV$9:$AV$150,0)),"")</f>
        <v>24.780525000000001</v>
      </c>
      <c r="HY9" s="951">
        <f t="shared" ref="HY9:HY40" si="71">IF(ISNUMBER($HL9),INDEX(GS$9:GS$150,MATCH($HL9,$AV$9:$AV$150,0)),"")</f>
        <v>38.070189575925966</v>
      </c>
      <c r="HZ9" s="952">
        <f t="shared" ref="HZ9:HZ40" si="72">IF(ISNUMBER($HL9),INDEX(GU$9:GU$150,MATCH($HL9,$AV$9:$AV$150,0)),"")</f>
        <v>157.79155354633659</v>
      </c>
      <c r="IA9" s="953">
        <f t="shared" ref="IA9:IA40" si="73">IF(ISNUMBER($HL9),INDEX(GY$9:GY$150,MATCH($HL9,$AV$9:$AV$150,0)),"")</f>
        <v>32.107012984005308</v>
      </c>
      <c r="IB9" s="954">
        <f t="shared" ref="IB9:IB40" si="74">IF(ISNUMBER($HL9),INDEX(GR$9:GR$150,MATCH($HL9,$AV$9:$AV$150,0)),"")</f>
        <v>227.96875610626788</v>
      </c>
      <c r="IC9" s="840">
        <f t="shared" ref="IC9:IC40" si="75">IF(ISNUMBER($HL9),INDEX(GT$9:GT$150,MATCH($HL9,$AV$9:$AV$150,0)),"")</f>
        <v>390.13176029219403</v>
      </c>
      <c r="ID9" s="350">
        <f t="shared" ref="ID9:ID40" si="76">IF(ISNUMBER($HL9),INDEX(GV$9:GV$150,MATCH($HL9,$AV$9:$AV$150,0)),"")</f>
        <v>1617</v>
      </c>
      <c r="IE9" s="842">
        <f t="shared" ref="IE9:IE40" si="77">IF(ISNUMBER($HL9),INDEX(GZ$9:GZ$150,MATCH($HL9,$AV$9:$AV$150,0)),"")</f>
        <v>329.02293455074442</v>
      </c>
      <c r="IF9" s="844"/>
      <c r="IG9" s="791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6">
        <f>$M9</f>
        <v>1.101</v>
      </c>
      <c r="IJ9" s="966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0">
        <f t="shared" ref="IL9:IL40" si="78">IF(ISNUMBER($IK9),INDEX($K$9:$K$150,MATCH($IK9,$M$9:$M$150,0)),$K9)</f>
        <v>1313</v>
      </c>
      <c r="IM9" s="780" t="str">
        <f t="shared" ref="IM9" si="79">IF(ISNUMBER($IK9),INDEX($K$9:$K$150,MATCH($II9,$M$9:$M$150,0)),"")</f>
        <v/>
      </c>
      <c r="IN9" s="672" t="str">
        <f t="shared" ref="IN9:IN40" si="8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2">IF(ISNUMBER($IK9),INDEX($Y$9:$Y$150,MATCH($IK9,$M$9:$M$150,0)),"")</f>
        <v/>
      </c>
      <c r="IT9" s="20" t="str">
        <f t="shared" ref="IT9:IT40" si="83">IF(ISNUMBER($IK9),INDEX($H$9:$H$150,MATCH($IK9,$M$9:$M$150,0)),"")</f>
        <v/>
      </c>
      <c r="IU9" s="20" t="str">
        <f t="shared" ref="IU9:IU40" si="84">IF(ISNUMBER($IK9),$IT9*COS(RADIANS(INDEX($AO$9:$AO$150,MATCH($IK9,$M$9:$M$150,0)))),"")</f>
        <v/>
      </c>
      <c r="IV9" s="672" t="str">
        <f t="shared" ref="IV9:IV40" si="85">IF(ISNUMBER($IK9),(-1*INDEX($AN$9:$AN$150,MATCH($IK9,$M$9:$M$150,0))),"")</f>
        <v/>
      </c>
      <c r="IW9" s="24" t="str">
        <f t="shared" ref="IW9:IW40" si="86">IF(ISNUMBER($IK9),-$X9,"")</f>
        <v/>
      </c>
      <c r="IX9" s="20" t="str">
        <f t="shared" ref="IX9:IX40" si="87">IF(ISNUMBER($IK9),$Y9,"")</f>
        <v/>
      </c>
      <c r="IY9" s="20" t="str">
        <f t="shared" ref="IY9:IY40" si="88">IF(ISNUMBER($IK9),$H9,"")</f>
        <v/>
      </c>
      <c r="IZ9" s="20" t="str">
        <f t="shared" ref="IZ9:IZ40" si="89">IF(ISNUMBER($IK9),$IY9*COS(RADIANS($AO9)),"")</f>
        <v/>
      </c>
      <c r="JA9" s="704" t="str">
        <f t="shared" ref="JA9:JA40" si="9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24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>IFERROR(O165+($A10*-E10),"")</f>
        <v>9.9999999999999995E-7</v>
      </c>
      <c r="C10" s="572">
        <f>IFERROR(P165+($A10*-F10),"")</f>
        <v>0.92410278709400595</v>
      </c>
      <c r="D10" s="576">
        <f>IFERROR(Q165+($A10*-G10),"")</f>
        <v>-0.40190121213405577</v>
      </c>
      <c r="E10" s="580">
        <f t="shared" ref="E10:K10" si="91">R165</f>
        <v>-0.96592583607220739</v>
      </c>
      <c r="F10" s="572">
        <f t="shared" si="91"/>
        <v>9.9999999999999995E-7</v>
      </c>
      <c r="G10" s="579">
        <f t="shared" si="91"/>
        <v>0.25881900859134593</v>
      </c>
      <c r="H10" s="580">
        <f t="shared" si="91"/>
        <v>0.26450000000000001</v>
      </c>
      <c r="I10" s="572">
        <f t="shared" si="91"/>
        <v>0.52</v>
      </c>
      <c r="J10" s="483">
        <f t="shared" ref="J10:J73" si="92">IF(W165=0,"",W165)</f>
        <v>1.1040000000000001</v>
      </c>
      <c r="K10" s="805">
        <f t="shared" si="91"/>
        <v>1313</v>
      </c>
      <c r="M10" s="164">
        <f t="shared" si="4"/>
        <v>1.1040000000000001</v>
      </c>
      <c r="N10" s="575">
        <f t="shared" si="5"/>
        <v>9.9999999999999995E-7</v>
      </c>
      <c r="O10" s="572">
        <f t="shared" si="6"/>
        <v>0.92410278709400595</v>
      </c>
      <c r="P10" s="576">
        <f t="shared" si="7"/>
        <v>-0.40190121213405577</v>
      </c>
      <c r="Q10" s="528">
        <f>IF(M10="","",IF(DEGREES(ATAN2(N10,O10))&lt;0,DEGREES(ATAN2(N10,O10))+360,IF(DEGREES(ATAN2(N10,O10))&gt;360,DEGREES(ATAN2(N10,O10))-360,DEGREES(ATAN2(N10,O10)))))</f>
        <v>89.999937998477762</v>
      </c>
      <c r="R10" s="572">
        <f t="shared" ref="R10:R105" si="93">IF(M10="","",SQRT(N10^2+O10^2))</f>
        <v>0.92410278709454707</v>
      </c>
      <c r="S10" s="577">
        <f t="shared" ref="S10:S105" si="94">IF(M10="","",P10)</f>
        <v>-0.40190121213405577</v>
      </c>
      <c r="T10" s="578">
        <f t="shared" ref="T10:T105" si="95">IF(M10="","",X10*COS(RADIANS(W10)))</f>
        <v>0.92408652250731094</v>
      </c>
      <c r="U10" s="572">
        <f t="shared" ref="U10:U105" si="96">IF(M10="","",X10*SIN(RADIANS(W10)))</f>
        <v>5.4827033710423056E-3</v>
      </c>
      <c r="V10" s="579">
        <f>IF(M10="","",Y10)</f>
        <v>-0.40190121213405577</v>
      </c>
      <c r="W10" s="528">
        <f t="shared" si="8"/>
        <v>0.33993794938784561</v>
      </c>
      <c r="X10" s="572">
        <f t="shared" ref="X10:X105" si="97">IF(M10="","",R10)</f>
        <v>0.92410278709454707</v>
      </c>
      <c r="Y10" s="573">
        <f t="shared" si="9"/>
        <v>-0.40190121213405577</v>
      </c>
      <c r="Z10" s="575">
        <f>IF(M10="","",-E10)</f>
        <v>0.96592583607220739</v>
      </c>
      <c r="AA10" s="572">
        <f t="shared" si="11"/>
        <v>-9.9999999999999995E-7</v>
      </c>
      <c r="AB10" s="572">
        <f t="shared" si="12"/>
        <v>-0.25881900859134593</v>
      </c>
      <c r="AC10" s="579">
        <f t="shared" ref="AC10:AC105" si="98">IF(M10="","",SQRT(Z10^2+AA10^2+AB10^2))</f>
        <v>1.0000000000005</v>
      </c>
      <c r="AD10" s="580">
        <f>IF(M10="","",Z10*(1/SQRT(Z10^2+AA10^2+AB10^2)))</f>
        <v>0.96592583607172433</v>
      </c>
      <c r="AE10" s="572">
        <f t="shared" ref="AE10:AE105" si="99">IF(M10="","",AA10*(1/SQRT(Z10^2+AA10^2+AB10^2)))</f>
        <v>-9.9999999999949999E-7</v>
      </c>
      <c r="AF10" s="576">
        <f t="shared" ref="AF10:AF105" si="100">IF(M10="","",AB10*(1/SQRT(Z10^2+AA10^2+AB10^2)))</f>
        <v>-0.25881900859121654</v>
      </c>
      <c r="AG10" s="545">
        <f t="shared" ref="AG10:AG105" si="101">IF(M10="","",DEGREES(ATAN2(-AF10,AE10)))</f>
        <v>-2.2137392390395315E-4</v>
      </c>
      <c r="AH10" s="546">
        <f t="shared" ref="AH10:AH105" si="102">IF(M10="","",DEGREES(ACOS(AD10)))</f>
        <v>14.999997834375199</v>
      </c>
      <c r="AI10" s="528">
        <f t="shared" ref="AI10:AI105" si="103">IF(M10="","",DEGREES(-ACOS(-AF10)))</f>
        <v>-75.000002165739403</v>
      </c>
      <c r="AJ10" s="529">
        <f t="shared" ref="AJ10:AJ105" si="104">IF(M10="","",DEGREES(ATAN2(-AE10,AD10)))</f>
        <v>89.999940683044841</v>
      </c>
      <c r="AK10" s="578">
        <f>IF(M10="","",(COS(RADIANS((90-$Q$8)-W10))*AD10)+(-SIN(RADIANS((90-$Q$8)-W10))*AE10))</f>
        <v>0.96592583607224092</v>
      </c>
      <c r="AL10" s="572">
        <f t="shared" ref="AL10:AL105" si="105">IF(M10="","",(SIN(RADIANS((90-$Q$8)-W10))*AD10)+(COS(RADIANS((90-$Q$8)-W10))*AE10))</f>
        <v>4.5258005294292531E-8</v>
      </c>
      <c r="AM10" s="577">
        <f t="shared" ref="AM10:AM105" si="106">IF(M10="","",AF10)</f>
        <v>-0.25881900859121654</v>
      </c>
      <c r="AN10" s="524">
        <f t="shared" ref="AN10:AN105" si="107">IF(M10="","",DEGREES(ATAN2(-AM10,AL10)))</f>
        <v>1.0018942220118186E-5</v>
      </c>
      <c r="AO10" s="525">
        <f t="shared" ref="AO10:AO54" si="108">IF(ROUND(IF(M10="",0,DEGREES(ACOS(AK10))),4)=90,0,IF(M10="","",DEGREES(ACOS(AK10))))</f>
        <v>14.999997834260839</v>
      </c>
      <c r="AP10" s="528">
        <f t="shared" ref="AP10:AP105" si="109">IF(M10="","",DEGREES(ATAN2(AK10,AL10)))</f>
        <v>2.684567070995873E-6</v>
      </c>
      <c r="AQ10" s="529">
        <f t="shared" si="13"/>
        <v>1.8742224822168712</v>
      </c>
      <c r="AS10" s="899">
        <f>IF($M10="","",IF(AND($W10&lt;($AS$9+180),$W10&gt;($AS$9-180)),$W10,IF($W10&gt;($AS$9+180),$W10-360,IF($W10&lt;($AS$9-180),$W10+360,"Error"))))</f>
        <v>0.33993794938784561</v>
      </c>
      <c r="AT10" s="895">
        <f t="shared" si="14"/>
        <v>-0.40190128164006322</v>
      </c>
      <c r="AU10" s="418"/>
      <c r="AV10" s="164">
        <f t="shared" si="15"/>
        <v>1.1040000000000001</v>
      </c>
      <c r="AW10" s="828">
        <f>IFERROR(INDEX(MassProp!C$9:C$150,MATCH($M10,MassProp!$B$9:$B$150,0)),"")</f>
        <v>0.84560000000000002</v>
      </c>
      <c r="AX10" s="829">
        <f>IFERROR(INDEX(MassProp!D$9:D$150,MATCH($M10,MassProp!$B$9:$B$150,0)),"")</f>
        <v>-5.0099999999999999E-2</v>
      </c>
      <c r="AY10" s="830">
        <f>IFERROR(INDEX(MassProp!E$9:E$150,MATCH($M10,MassProp!$B$9:$B$150,0)),"")</f>
        <v>3.8800000000000001E-2</v>
      </c>
      <c r="AZ10" s="297">
        <f>IF(ISNUMBER(AV10),$AY10*SQRT((2*PI()*$AW10)^2+$AS$5^2),"")</f>
        <v>0.20627855869338002</v>
      </c>
      <c r="BA10" s="296">
        <f t="shared" si="16"/>
        <v>1.4177810880448326E-2</v>
      </c>
      <c r="BB10" s="291">
        <f>IF(ISNUMBER($AV10),$AX10-($AT10+$AS$5),"")</f>
        <v>0.16180128164006322</v>
      </c>
      <c r="BC10" s="9"/>
      <c r="BD10" s="5">
        <f>IF(ISNUMBER(AV10),AW10,"")</f>
        <v>0.84560000000000002</v>
      </c>
      <c r="BE10" s="6">
        <f t="shared" si="17"/>
        <v>-0.24009993049399256</v>
      </c>
      <c r="BF10" s="4">
        <f t="shared" si="18"/>
        <v>9.9999999999999995E-7</v>
      </c>
      <c r="BG10" s="5">
        <f t="shared" si="19"/>
        <v>0.92410278709400595</v>
      </c>
      <c r="BH10" s="10">
        <f t="shared" si="20"/>
        <v>-0.40190121213405577</v>
      </c>
      <c r="BI10" s="9">
        <f>IF(ISNUMBER($AV10),BF10+0,"")</f>
        <v>9.9999999999999995E-7</v>
      </c>
      <c r="BJ10" s="5">
        <f t="shared" si="21"/>
        <v>1.9241027870865417</v>
      </c>
      <c r="BK10" s="8">
        <f t="shared" si="22"/>
        <v>-0.40190507583790597</v>
      </c>
      <c r="BL10" s="173">
        <f t="shared" si="23"/>
        <v>0.25882000859314858</v>
      </c>
      <c r="BM10" s="5">
        <f t="shared" si="24"/>
        <v>0.92410651914537778</v>
      </c>
      <c r="BN10" s="6">
        <f t="shared" si="25"/>
        <v>0.56402462393045871</v>
      </c>
      <c r="BO10" s="4">
        <f>IF(ISNUMBER($AV10),BJ10*BN10-BM10*BK10-BG10*(BN10-BK10)+BH10*(BM10-BJ10),"")</f>
        <v>0.96592583607172422</v>
      </c>
      <c r="BP10" s="5">
        <f>IF(ISNUMBER($AV10),BF10*(BN10-BK10)-(BI10*BN10-BL10*BK10)+BH10*(BI10-BL10),"")</f>
        <v>-1.0000000000010001E-6</v>
      </c>
      <c r="BQ10" s="5">
        <f>IF(ISNUMBER($AV10),BF10*(BJ10-BM10)-BG10*(BI10-BL10)+(BI10*BM10-BL10*BJ10),"")</f>
        <v>-0.25881900859121665</v>
      </c>
      <c r="BR10" s="6">
        <f>IF(ISNUMBER($AV10),-(BF10*(BJ10*BN10-BM10*BK10)-BG10*(BI10*BN10-BL10*BK10)+BH10*(BI10*BM10-BL10*BJ10)),"")</f>
        <v>-0.10401971509919353</v>
      </c>
      <c r="BS10" s="4">
        <f t="shared" ref="BS10:BT41" si="110">IF(ISNUMBER($AV10),0,"")</f>
        <v>0</v>
      </c>
      <c r="BT10" s="5">
        <f t="shared" si="110"/>
        <v>0</v>
      </c>
      <c r="BU10" s="10">
        <f t="shared" ref="BU10:BU73" si="111">IF(ISNUMBER($AV10),$BE10,"")</f>
        <v>-0.24009993049399256</v>
      </c>
      <c r="BV10" s="9">
        <f t="shared" ref="BV10:BV73" si="112">IF(ISNUMBER($AV10),0,"")</f>
        <v>0</v>
      </c>
      <c r="BW10" s="5">
        <f t="shared" ref="BW10:BW73" si="113">IF(ISNUMBER($AV10),1,"")</f>
        <v>1</v>
      </c>
      <c r="BX10" s="8">
        <f t="shared" ref="BX10:BX73" si="114">IF(ISNUMBER($AV10),$BE10,"")</f>
        <v>-0.24009993049399256</v>
      </c>
      <c r="BY10" s="173">
        <f t="shared" ref="BY10:BY73" si="115">IF(ISNUMBER($AV10),1,"")</f>
        <v>1</v>
      </c>
      <c r="BZ10" s="5">
        <f t="shared" ref="BZ10:BZ73" si="116">IF(ISNUMBER($AV10),0,"")</f>
        <v>0</v>
      </c>
      <c r="CA10" s="6">
        <f t="shared" ref="CA10:CA73" si="117">IF(ISNUMBER($AV10),$BE10,"")</f>
        <v>-0.24009993049399256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-0.24009993049399256</v>
      </c>
      <c r="CF10" s="4">
        <f>IF(ISNUMBER($AV10),(BP10*CD10)-(BQ10*CC10),"")</f>
        <v>1.0000000000010001E-6</v>
      </c>
      <c r="CG10" s="5">
        <f>IF(ISNUMBER($AV10),(BQ10*CB10)-(BO10*CD10),"")</f>
        <v>0.96592583607172422</v>
      </c>
      <c r="CH10" s="5">
        <f>IF(ISNUMBER($AV10),(BO10*CC10)-(BP10*CB10),"")</f>
        <v>0</v>
      </c>
      <c r="CI10" s="4">
        <f t="shared" ref="CI10:CI73" si="118">IF(ISNUMBER($AV10),0,"")</f>
        <v>0</v>
      </c>
      <c r="CJ10" s="5">
        <f t="shared" ref="CJ10:CJ73" si="119">IF(ISNUMBER($AV10),(CD10*BR10-BQ10*CE10)/(BQ10*CC10-CD10*BP10),"")</f>
        <v>-41877.289125876472</v>
      </c>
      <c r="CK10" s="8">
        <f t="shared" ref="CK10:CK73" si="120">IF(ISNUMBER($AV10),(CC10*BR10-BP10*CE10)/(-CC10*BQ10+BP10*CD10),"")</f>
        <v>-0.24009993049399253</v>
      </c>
      <c r="CL10" s="173">
        <f t="shared" ref="CL10:CL73" si="121">IF(ISNUMBER($AV10),CI10+CF10,"")</f>
        <v>1.0000000000010001E-6</v>
      </c>
      <c r="CM10" s="5">
        <f t="shared" ref="CM10:CM73" si="122">IF(ISNUMBER($AV10),CJ10+CG10,"")</f>
        <v>-41876.323200040402</v>
      </c>
      <c r="CN10" s="6">
        <f t="shared" ref="CN10:CN73" si="123">IF(ISNUMBER($AV10),CK10+CH10,"")</f>
        <v>-0.24009993049399253</v>
      </c>
      <c r="CO10" s="167">
        <f t="shared" si="26"/>
        <v>0.26450000000000001</v>
      </c>
      <c r="CP10" s="4">
        <f>IF(ISNUMBER($AV10),(CL10-CI10)^2+(CM10-CJ10)^2+(CN10-CK10)^2,"")</f>
        <v>0.9330127207881429</v>
      </c>
      <c r="CQ10" s="5">
        <f>IF(ISNUMBER($AV10),2*((CL10-CI10)*(CI10-BF10)+(CM10-CJ10)*(CJ10-BG10)+(CN10-CK10)*(CK10-BH10)),"")</f>
        <v>-80902.496252012468</v>
      </c>
      <c r="CR10" s="5">
        <f>IF(ISNUMBER($AV10),BF10^2+BG10^2+BH10^2+CI10^2+CJ10^2+CK10^2-2*(BF10*CI10+BG10*CJ10+BH10*CK10)-CO10^2,"")</f>
        <v>1753784743.1816313</v>
      </c>
      <c r="CS10" s="8">
        <f>IF(ISNUMBER($AV10),CQ10^2-(4*CP10*CR10),"")</f>
        <v>0.15637779235839844</v>
      </c>
      <c r="CT10" s="9">
        <f>IF(ISNUMBER($AV10),(-CQ10+SQRT(CS10))/(CP10*2),"")</f>
        <v>43355.728113755998</v>
      </c>
      <c r="CU10" s="6">
        <f>IF(ISNUMBER($AV10),(-CQ10-SQRT(CS10))/(CP10*2),"")</f>
        <v>43355.304275675713</v>
      </c>
      <c r="CV10" s="4">
        <f t="shared" si="27"/>
        <v>4.3355728113799355E-2</v>
      </c>
      <c r="CW10" s="5">
        <f t="shared" si="27"/>
        <v>1.1288008182455087</v>
      </c>
      <c r="CX10" s="8">
        <f t="shared" si="27"/>
        <v>-0.24009993049399253</v>
      </c>
      <c r="CY10" s="9">
        <f t="shared" si="28"/>
        <v>4.335530427571907E-2</v>
      </c>
      <c r="CZ10" s="5">
        <f t="shared" si="28"/>
        <v>0.71940466618252685</v>
      </c>
      <c r="DA10" s="6">
        <f t="shared" si="28"/>
        <v>-0.24009993049399253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0.84560000000000002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4.3355728113799355E-2</v>
      </c>
      <c r="DM10" s="173">
        <f>IF(ISNUMBER($AV10),CW10-DC10,"")</f>
        <v>1.1288008182455087</v>
      </c>
      <c r="DN10" s="178">
        <f>IF(ISNUMBER($AV10),CX10-DD10,"")</f>
        <v>9.7599000695060081</v>
      </c>
      <c r="DO10" s="9">
        <f t="shared" si="31"/>
        <v>-4.238380802851216E-7</v>
      </c>
      <c r="DP10" s="173">
        <f t="shared" si="31"/>
        <v>-0.40939615206298186</v>
      </c>
      <c r="DQ10" s="11">
        <f t="shared" si="31"/>
        <v>0</v>
      </c>
      <c r="DR10" s="173">
        <f>IF(ISNUMBER($AV10),SUMPRODUCT(DI10:DK10,DL10:DN10),"")</f>
        <v>195.19800139012017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0.16760520932415579</v>
      </c>
      <c r="DV10" s="5">
        <f>IF(ISNUMBER($AV10),SUMPRODUCT(DL10:DN10,DO10:DQ10),"")</f>
        <v>-0.46212672981106523</v>
      </c>
      <c r="DW10" s="5">
        <f>IF(ISNUMBER($AV10),SUMPRODUCT(DL10:DN10,DL10:DN10),"")</f>
        <v>96.531720373175389</v>
      </c>
      <c r="DX10" s="167">
        <f>IF(ISNUMBER($AV10),DW10-DH10*DH10,"")</f>
        <v>95.816681013175383</v>
      </c>
      <c r="DY10" s="9">
        <f>IF(ISNUMBER($AV10),DT10*DU10-DS10*DS10,"")</f>
        <v>67.042083729662323</v>
      </c>
      <c r="DZ10" s="5">
        <f>IF(ISNUMBER($AV10),DT10*DV10-DS10*DR10,"")</f>
        <v>-184.85069192442609</v>
      </c>
      <c r="EA10" s="10">
        <f>IF(ISNUMBER($AV10),DT10*DX10-DR10*DR10,"")</f>
        <v>224.41265857280086</v>
      </c>
      <c r="EB10" s="6">
        <f>IF(ISNUMBER($AV10),DZ10*DZ10-DY10*EA10,"")</f>
        <v>19124.686058905245</v>
      </c>
      <c r="EC10" s="173">
        <f>IF(ISNUMBER($AV10),(-DZ10+SQRT(DZ10^2-DY10*EA10))/DY10,"")</f>
        <v>4.8199982122537373</v>
      </c>
      <c r="ED10" s="5">
        <f>IF(ISNUMBER($AV10),(-DZ10-SQRT(DZ10^2-DY10*EA10))/DY10,"")</f>
        <v>0.69446916825938187</v>
      </c>
      <c r="EE10" s="4">
        <f t="shared" si="32"/>
        <v>4.3353685215010096E-2</v>
      </c>
      <c r="EF10" s="5">
        <f>IF(ISNUMBER($AV10),CW10+DP10*$EC10,"")</f>
        <v>-0.844487902801623</v>
      </c>
      <c r="EG10" s="10">
        <f>IF(ISNUMBER($AV10),CX10+DQ10*$EC10,"")</f>
        <v>-0.24009993049399253</v>
      </c>
      <c r="EH10" s="9">
        <f>IF(ISNUMBER($AV10),CV10+DO10*$ED10,"")</f>
        <v>4.3355433771320263E-2</v>
      </c>
      <c r="EI10" s="5">
        <f>IF(ISNUMBER($AV10),CW10+DP10*$ED10,"")</f>
        <v>0.84448781303373832</v>
      </c>
      <c r="EJ10" s="6">
        <f t="shared" si="33"/>
        <v>-0.24009993049399253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34"/>
        <v>4.3355433771320263E-2</v>
      </c>
      <c r="EN10" s="5">
        <f t="shared" si="34"/>
        <v>0.84448781303373832</v>
      </c>
      <c r="EO10" s="10">
        <f t="shared" si="34"/>
        <v>-0.24009993049399253</v>
      </c>
      <c r="EP10" s="9">
        <f>IF(ISNUMBER($AV10),IF(DEGREES(ATAN2(EM10,EN10))&lt;0,DEGREES(ATAN2(EM10,EN10))+360,IF(DEGREES(ATAN2(EM10,EN10))&gt;360,DEGREES(ATAN2(EM10,EN10))-360,DEGREES(ATAN2(EM10,EN10)))),"")</f>
        <v>87.061053663404095</v>
      </c>
      <c r="EQ10" s="5">
        <f>IF(ISNUMBER($AV10),SQRT(EM10^2+EN10^2),"")</f>
        <v>0.84560000000000324</v>
      </c>
      <c r="ER10" s="7">
        <f>IF(ISNUMBER($AV10),EO10,"")</f>
        <v>-0.24009993049399253</v>
      </c>
      <c r="ES10" s="21">
        <f t="shared" ref="ES10:ES40" si="124">IF(ISNUMBER($AV10),AD10,"")</f>
        <v>0.96592583607172433</v>
      </c>
      <c r="ET10" s="5">
        <f t="shared" si="35"/>
        <v>-9.9999999999949999E-7</v>
      </c>
      <c r="EU10" s="10">
        <f t="shared" si="36"/>
        <v>-0.25881900859121654</v>
      </c>
      <c r="EV10" s="174">
        <f>IF(ISNUMBER($AV10),IF(($EV$1-EP10)&lt;0,(360+($EV$1-EP10)),($EV$1-EP10)),"")</f>
        <v>2.9389463365959045</v>
      </c>
      <c r="EW10" s="9">
        <f t="shared" ref="EW10:EW40" si="125">IF(ISNUMBER($AV10),(COS(RADIANS($EV10))*ES10)+(-SIN(RADIANS($EV10))*ET10),"")</f>
        <v>0.96465544017552785</v>
      </c>
      <c r="EX10" s="5">
        <f t="shared" si="37"/>
        <v>4.9523757244561942E-2</v>
      </c>
      <c r="EY10" s="6">
        <f>IF(ISNUMBER($AV10),EU10,"")</f>
        <v>-0.25881900859121654</v>
      </c>
      <c r="EZ10" s="51">
        <f>IF(ISNUMBER($AV10),DEGREES(ATAN($AS$5/($EQ10*2*PI()))),"")</f>
        <v>2.0480773827322509</v>
      </c>
      <c r="FA10" s="266">
        <f t="shared" ref="FA10:FA53" si="126">IF(ISNUMBER($AV10),SIN(RADIANS($EP10))*COS(RADIANS($EZ10)),"")</f>
        <v>0.99804676724117292</v>
      </c>
      <c r="FB10" s="267">
        <f t="shared" ref="FB10:FB53" si="127">IF(ISNUMBER($AV10),-1*COS(RADIANS($EP10))*COS(RADIANS($EZ10)),"")</f>
        <v>-5.1239046733379236E-2</v>
      </c>
      <c r="FC10" s="269">
        <f t="shared" si="38"/>
        <v>-3.5738081779783916E-2</v>
      </c>
      <c r="FD10" s="4">
        <f t="shared" ref="FD10:FD40" si="128">IF(ISNUMBER($AV10),(COS(RADIANS($EV10))*FA10)+(-SIN(RADIANS($EV10))*FB10),"")</f>
        <v>0.9993611907167006</v>
      </c>
      <c r="FE10" s="5">
        <f t="shared" si="39"/>
        <v>-1.3877787807814457E-17</v>
      </c>
      <c r="FF10" s="7">
        <f>IF(ISNUMBER($AV10),FC10,"")</f>
        <v>-3.5738081779783916E-2</v>
      </c>
      <c r="FG10" s="173">
        <f>IF(ISNUMBER($AV10),EW10-FD10,"")</f>
        <v>-3.4705750541172753E-2</v>
      </c>
      <c r="FH10" s="5">
        <f t="shared" si="40"/>
        <v>4.9523757244561956E-2</v>
      </c>
      <c r="FI10" s="10">
        <f t="shared" si="41"/>
        <v>-0.22308092681143263</v>
      </c>
      <c r="FJ10" s="279">
        <f>IF(ISNUMBER($AV10),DEGREES(ACOS((2-SQRT((FG10)^2+(FH10)^2+(FI10)^2)^2)/2)),"")</f>
        <v>13.272567982752351</v>
      </c>
      <c r="FK10" s="4">
        <f t="shared" si="42"/>
        <v>0.96592583607224192</v>
      </c>
      <c r="FL10" s="5">
        <f>IF(ISNUMBER($AV10),SQRT(FA10^2+FB10^2),"")</f>
        <v>0.99936119071670049</v>
      </c>
      <c r="FM10" s="8">
        <f>IF(ISNUMBER($AV10),SQRT(FG10^2+FH10^2),"")</f>
        <v>6.0473892319284489E-2</v>
      </c>
      <c r="FN10" s="9">
        <f>IF(ISNUMBER($AV10),DEGREES(ACOS((FK10^2+FL10^2-FM10^2)/(2*FK10*FL10))),"")</f>
        <v>2.938887019640863</v>
      </c>
      <c r="FO10" s="10">
        <f t="shared" si="43"/>
        <v>-1</v>
      </c>
      <c r="FP10" s="277">
        <f t="shared" si="44"/>
        <v>-2.938887019640863</v>
      </c>
      <c r="FQ10" s="173">
        <f>IF(ISNUMBER($AV10),SIN(RADIANS(FN10)),"")</f>
        <v>5.1270765720423439E-2</v>
      </c>
      <c r="FR10" s="10">
        <f>IF(ISNUMBER($AV10),COS(RADIANS(FN10)),"")</f>
        <v>0.99868478940176186</v>
      </c>
      <c r="FS10" s="9">
        <f>IF(ISNUMBER($AV10),FQ10/(FQ10+FR10),"")</f>
        <v>4.8831367642468412E-2</v>
      </c>
      <c r="FT10" s="6">
        <f>IF(ISNUMBER($AV10),FR10/(FQ10+FR10),"")</f>
        <v>0.95116863235753157</v>
      </c>
      <c r="FU10" s="4">
        <f>IF(ISNUMBER($AV10),SQRT(EW10^2+EY10^2),"")</f>
        <v>0.99877294590331267</v>
      </c>
      <c r="FV10" s="5">
        <f>IF(ISNUMBER($AV10),SQRT(FD10^2+FF10^2),"")</f>
        <v>1</v>
      </c>
      <c r="FW10" s="8">
        <f>IF(ISNUMBER($AV10),SQRT(FG10^2+FI10^2),"")</f>
        <v>0.22576445474802687</v>
      </c>
      <c r="FX10" s="9">
        <f>IF(ISNUMBER($AV10),DEGREES(ACOS((FU10^2+FV10^2-FW10^2)/(2*FU10*FV10))),"")</f>
        <v>12.97078259838888</v>
      </c>
      <c r="FY10" s="10">
        <f t="shared" si="45"/>
        <v>1</v>
      </c>
      <c r="FZ10" s="277">
        <f>IF(ISNUMBER($AV10),FX10*FY10,"")</f>
        <v>12.97078259838888</v>
      </c>
      <c r="GA10" s="177">
        <f>IF(ISNUMBER($AV10),DEGREES(FZ10*SIN(RADIANS(FU10))),"")</f>
        <v>12.954210656527614</v>
      </c>
      <c r="GB10" s="4">
        <f>IF(ISNUMBER($AV10),COS(RADIANS(FP10+90))*COS(RADIANS(FZ10)),"")</f>
        <v>4.996257416788321E-2</v>
      </c>
      <c r="GC10" s="5">
        <f>IF(ISNUMBER($AV10),SIN(RADIANS(FP10+90))*COS(RADIANS(FZ10)),"")</f>
        <v>0.97320299706282998</v>
      </c>
      <c r="GD10" s="10">
        <f>IF(ISNUMBER($AV10),-SIN(RADIANS(FZ10)),"")</f>
        <v>-0.22445415498592133</v>
      </c>
      <c r="GE10" s="311">
        <f>IF(ISNUMBER($AV10),SUM(ABS(GB10),ABS(GC10),ABS(GD10)),"")</f>
        <v>1.2476197262166346</v>
      </c>
      <c r="GF10" s="341">
        <f>IF(ISNUMBER($AV10),1/GE10,"")</f>
        <v>0.80152628159580863</v>
      </c>
      <c r="GG10" s="285">
        <f t="shared" si="46"/>
        <v>4.0046316291738236E-2</v>
      </c>
      <c r="GH10" s="286">
        <f t="shared" si="47"/>
        <v>0.78004777947366677</v>
      </c>
      <c r="GI10" s="281">
        <f t="shared" si="48"/>
        <v>0.17990590423459488</v>
      </c>
      <c r="GJ10" s="167">
        <f>IF(ISNUMBER($AV10),AW10,"")</f>
        <v>0.84560000000000002</v>
      </c>
      <c r="GK10" s="174">
        <f t="shared" si="49"/>
        <v>0.44303814152358251</v>
      </c>
      <c r="GL10" s="174">
        <f t="shared" si="50"/>
        <v>3.8800000000000001E-2</v>
      </c>
      <c r="GM10" s="9">
        <f>IF(ISNUMBER($AV10),AZ10,"")</f>
        <v>0.20627855869338002</v>
      </c>
      <c r="GN10" s="281">
        <f>IF(ISNUMBER($AV10),BA10,"")</f>
        <v>1.4177810880448326E-2</v>
      </c>
      <c r="GO10" s="4">
        <f>IF(ISNUMBER($AV10),FP10,"")</f>
        <v>-2.938887019640863</v>
      </c>
      <c r="GP10" s="8">
        <f>IF(ISNUMBER($AV10),FZ10,"")</f>
        <v>12.97078259838888</v>
      </c>
      <c r="GQ10" s="177">
        <f>IF(ISNUMBER($AV10),FJ10,"")</f>
        <v>13.272567982752351</v>
      </c>
      <c r="GR10" s="371">
        <f>IF(ISNUMBER($AV10),GS10+GU10+GY10,"")</f>
        <v>661.10872987987148</v>
      </c>
      <c r="GS10" s="342">
        <f t="shared" si="51"/>
        <v>26.474969299998673</v>
      </c>
      <c r="GT10" s="343">
        <f t="shared" si="52"/>
        <v>59.757765344881562</v>
      </c>
      <c r="GU10" s="344">
        <f t="shared" si="53"/>
        <v>515.69639673345</v>
      </c>
      <c r="GV10" s="343">
        <f>IF(ISNUMBER($AV10),GW10*$GL10,"")</f>
        <v>1164</v>
      </c>
      <c r="GW10" s="345">
        <f t="shared" ref="GW10:GW53" si="129">IF(ISNUMBER($AV10),$GW$2,"")</f>
        <v>30000</v>
      </c>
      <c r="GX10" s="346">
        <f t="shared" si="54"/>
        <v>82.023200000000003</v>
      </c>
      <c r="GY10" s="344">
        <f t="shared" si="55"/>
        <v>118.93736384642283</v>
      </c>
      <c r="GZ10" s="345">
        <f t="shared" si="56"/>
        <v>268.45852015676149</v>
      </c>
      <c r="HA10" s="342">
        <f t="shared" si="57"/>
        <v>-26.474969299998673</v>
      </c>
      <c r="HB10" s="5">
        <f>IF(ISNUMBER($AV10),$EV10,"")</f>
        <v>2.9389463365959045</v>
      </c>
      <c r="HC10" s="343">
        <f>IF(ISNUMBER($AV10),HA10*COS(RADIANS(HB10)),"")</f>
        <v>-26.440147734497582</v>
      </c>
      <c r="HD10" s="345">
        <f>IF(ISNUMBER($AV10),HA10*SIN(RADIANS(HB10)),"")</f>
        <v>-1.3574193212911831</v>
      </c>
      <c r="HE10" s="344">
        <f t="shared" si="58"/>
        <v>1164</v>
      </c>
      <c r="HF10" s="5">
        <f t="shared" si="59"/>
        <v>92.938946336595905</v>
      </c>
      <c r="HG10" s="343">
        <f>IF(ISNUMBER($AV10),HE10*COS(RADIANS(HF10)),"")</f>
        <v>-59.680374775090407</v>
      </c>
      <c r="HH10" s="349">
        <f>IF(ISNUMBER($AV10),HE10*SIN(RADIANS(HF10)),"")</f>
        <v>1162.4690330786041</v>
      </c>
      <c r="HI10" s="317">
        <f t="shared" si="60"/>
        <v>1.1040000000000001</v>
      </c>
      <c r="HJ10" s="336"/>
      <c r="HK10" s="310">
        <f t="shared" ref="HK10:HK41" si="130">IF(ISNUMBER(HS10),HK9+1,"")</f>
        <v>2</v>
      </c>
      <c r="HL10" s="348">
        <f t="shared" si="61"/>
        <v>5.1020000000000003</v>
      </c>
      <c r="HM10" s="934">
        <f t="shared" si="62"/>
        <v>-5.7608510619408229</v>
      </c>
      <c r="HN10" s="935">
        <f t="shared" si="63"/>
        <v>14.999997834268255</v>
      </c>
      <c r="HO10" s="936"/>
      <c r="HP10" s="937"/>
      <c r="HQ10" s="935">
        <f t="shared" si="64"/>
        <v>12.331918904714438</v>
      </c>
      <c r="HR10" s="938">
        <f t="shared" si="65"/>
        <v>11.022798153146784</v>
      </c>
      <c r="HS10" s="939">
        <f>IFERROR(SMALL($GJ$9:$GJ$150,($HK9+1)),"")</f>
        <v>0.42709999999999998</v>
      </c>
      <c r="HT10" s="940">
        <f t="shared" si="66"/>
        <v>4.0099999999999997E-2</v>
      </c>
      <c r="HU10" s="941">
        <f t="shared" si="67"/>
        <v>0.10787967482994544</v>
      </c>
      <c r="HV10" s="942">
        <f t="shared" si="68"/>
        <v>7.4147193836889705E-3</v>
      </c>
      <c r="HW10" s="943">
        <f t="shared" si="69"/>
        <v>30000</v>
      </c>
      <c r="HX10" s="950">
        <f>IF(ISNUMBER($HL10),INDEX(GX$9:GX$150,MATCH($HL10,$AV$9:$AV$150,0)),"")</f>
        <v>42.816775</v>
      </c>
      <c r="HY10" s="955">
        <f t="shared" si="71"/>
        <v>27.208876465970754</v>
      </c>
      <c r="HZ10" s="956">
        <f t="shared" si="72"/>
        <v>269.69918707486363</v>
      </c>
      <c r="IA10" s="957">
        <f t="shared" si="73"/>
        <v>52.802265234238284</v>
      </c>
      <c r="IB10" s="958">
        <f t="shared" si="74"/>
        <v>349.7103287750727</v>
      </c>
      <c r="IC10" s="841">
        <f t="shared" si="75"/>
        <v>121.36587708540969</v>
      </c>
      <c r="ID10" s="351">
        <f t="shared" si="76"/>
        <v>1203</v>
      </c>
      <c r="IE10" s="843">
        <f t="shared" si="77"/>
        <v>235.5258307069214</v>
      </c>
      <c r="IF10" s="844"/>
      <c r="IG10" s="789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7">
        <f>$M10</f>
        <v>1.1040000000000001</v>
      </c>
      <c r="IJ10" s="967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8"/>
        <v>1313</v>
      </c>
      <c r="IM10" s="482" t="str">
        <f>IF(ISNUMBER($IK10),INDEX($K$9:$K$150,MATCH($II10,$M$9:$M$150,0)),"")</f>
        <v/>
      </c>
      <c r="IN10" s="670" t="str">
        <f t="shared" si="80"/>
        <v/>
      </c>
      <c r="IO10" s="702"/>
      <c r="IP10" s="5" t="str">
        <f t="shared" si="81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2"/>
        <v/>
      </c>
      <c r="IT10" s="5" t="str">
        <f t="shared" si="83"/>
        <v/>
      </c>
      <c r="IU10" s="5" t="str">
        <f t="shared" si="84"/>
        <v/>
      </c>
      <c r="IV10" s="670" t="str">
        <f t="shared" si="85"/>
        <v/>
      </c>
      <c r="IW10" s="9" t="str">
        <f t="shared" si="86"/>
        <v/>
      </c>
      <c r="IX10" s="5" t="str">
        <f t="shared" si="87"/>
        <v/>
      </c>
      <c r="IY10" s="5" t="str">
        <f t="shared" si="88"/>
        <v/>
      </c>
      <c r="IZ10" s="5" t="str">
        <f t="shared" si="89"/>
        <v/>
      </c>
      <c r="JA10" s="705" t="str">
        <f t="shared" si="90"/>
        <v/>
      </c>
      <c r="JC10" s="731">
        <v>1313</v>
      </c>
      <c r="JD10" s="728" cm="1">
        <f t="array" ref="JD10">IF($JC10="","",COUNT(IF(IF($IK$9:$IK$150="",$IL$9:$IL$150,"")=$JC10,$II$9:$II$150,"")))</f>
        <v>19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ref="B11:D11" si="132">IFERROR(O166+($A11*-E11),"")</f>
        <v>9.9999999999999995E-7</v>
      </c>
      <c r="C11" s="572">
        <f t="shared" si="132"/>
        <v>1.5510046778301083</v>
      </c>
      <c r="D11" s="576">
        <f t="shared" si="132"/>
        <v>-0.26290079290879131</v>
      </c>
      <c r="E11" s="580">
        <f>R166</f>
        <v>-0.96592583607220739</v>
      </c>
      <c r="F11" s="572">
        <f t="shared" ref="F11:K11" si="133">S166</f>
        <v>9.9999999999999995E-7</v>
      </c>
      <c r="G11" s="579">
        <f t="shared" si="133"/>
        <v>0.25881900859134593</v>
      </c>
      <c r="H11" s="580">
        <f t="shared" si="133"/>
        <v>0.26450000000000001</v>
      </c>
      <c r="I11" s="572">
        <f t="shared" si="133"/>
        <v>0.52</v>
      </c>
      <c r="J11" s="483">
        <f t="shared" si="92"/>
        <v>1.107</v>
      </c>
      <c r="K11" s="805">
        <f t="shared" si="133"/>
        <v>1313</v>
      </c>
      <c r="L11" s="720" t="s">
        <v>323</v>
      </c>
      <c r="M11" s="164">
        <f t="shared" si="4"/>
        <v>1.107</v>
      </c>
      <c r="N11" s="575">
        <f t="shared" si="5"/>
        <v>9.9999999999999995E-7</v>
      </c>
      <c r="O11" s="572">
        <f t="shared" si="6"/>
        <v>1.5510046778301083</v>
      </c>
      <c r="P11" s="576">
        <f t="shared" si="7"/>
        <v>-0.26290079290879131</v>
      </c>
      <c r="Q11" s="528">
        <f t="shared" ref="Q11:Q73" si="134">IF(M11="","",IF(DEGREES(ATAN2(N11,O11))&lt;0,DEGREES(ATAN2(N11,O11))+360,IF(DEGREES(ATAN2(N11,O11))&gt;360,DEGREES(ATAN2(N11,O11))-360,DEGREES(ATAN2(N11,O11)))))</f>
        <v>89.999963058925402</v>
      </c>
      <c r="R11" s="572">
        <f t="shared" si="93"/>
        <v>1.5510046778304307</v>
      </c>
      <c r="S11" s="577">
        <f t="shared" si="94"/>
        <v>-0.26290079290879131</v>
      </c>
      <c r="T11" s="578">
        <f t="shared" si="95"/>
        <v>1.550977375488326</v>
      </c>
      <c r="U11" s="572">
        <f t="shared" si="96"/>
        <v>9.202791708093053E-3</v>
      </c>
      <c r="V11" s="579">
        <f t="shared" ref="V11:V105" si="135">IF(M11="","",Y11)</f>
        <v>-0.26290079290879131</v>
      </c>
      <c r="W11" s="528">
        <f t="shared" si="8"/>
        <v>0.33996300983548622</v>
      </c>
      <c r="X11" s="572">
        <f>IF(M11="","",R11)</f>
        <v>1.5510046778304307</v>
      </c>
      <c r="Y11" s="573">
        <f t="shared" si="9"/>
        <v>-0.26290079290879131</v>
      </c>
      <c r="Z11" s="575">
        <f t="shared" si="10"/>
        <v>0.96592583607220739</v>
      </c>
      <c r="AA11" s="572">
        <f t="shared" si="11"/>
        <v>-9.9999999999999995E-7</v>
      </c>
      <c r="AB11" s="572">
        <f t="shared" si="12"/>
        <v>-0.25881900859134593</v>
      </c>
      <c r="AC11" s="579">
        <f t="shared" si="98"/>
        <v>1.0000000000005</v>
      </c>
      <c r="AD11" s="580">
        <f t="shared" ref="AD11:AD105" si="136">IF(M11="","",Z11*(1/SQRT(Z11^2+AA11^2+AB11^2)))</f>
        <v>0.96592583607172433</v>
      </c>
      <c r="AE11" s="572">
        <f t="shared" si="99"/>
        <v>-9.9999999999949999E-7</v>
      </c>
      <c r="AF11" s="576">
        <f t="shared" si="100"/>
        <v>-0.25881900859121654</v>
      </c>
      <c r="AG11" s="545">
        <f>IF(M11="","",DEGREES(ATAN2(-AF11,AE11)))</f>
        <v>-2.2137392390395315E-4</v>
      </c>
      <c r="AH11" s="546">
        <f t="shared" si="102"/>
        <v>14.999997834375199</v>
      </c>
      <c r="AI11" s="528">
        <f t="shared" si="103"/>
        <v>-75.000002165739403</v>
      </c>
      <c r="AJ11" s="529">
        <f t="shared" si="104"/>
        <v>89.999940683044841</v>
      </c>
      <c r="AK11" s="578">
        <f>IF(M11="","",(COS(RADIANS((90-$Q$8)-W11))*AD11)+(-SIN(RADIANS((90-$Q$8)-W11))*AE11))</f>
        <v>0.96592583607216831</v>
      </c>
      <c r="AL11" s="572">
        <f t="shared" si="105"/>
        <v>-3.7722571070219905E-7</v>
      </c>
      <c r="AM11" s="577">
        <f t="shared" si="106"/>
        <v>-0.25881900859121654</v>
      </c>
      <c r="AN11" s="524">
        <f>IF(M11="","",DEGREES(ATAN2(-AM11,AL11)))</f>
        <v>-8.3507935776001418E-5</v>
      </c>
      <c r="AO11" s="525">
        <f>IF(ROUND(IF(M11="",0,DEGREES(ACOS(AK11))),4)=90,0,IF(M11="","",DEGREES(ACOS(AK11))))</f>
        <v>14.999997834276906</v>
      </c>
      <c r="AP11" s="528">
        <f t="shared" si="109"/>
        <v>-2.2375880569616574E-5</v>
      </c>
      <c r="AQ11" s="529">
        <f>IF(M11="","",DEGREES(ATAN(($AS$5*SIN(RADIANS(90)))/(($X11*2*PI())-($AS$5*COS(RADIANS(90)))))))</f>
        <v>1.116935869921188</v>
      </c>
      <c r="AS11" s="899">
        <f t="shared" ref="AS11:AS42" si="137">IF(G11="","",IF(AND(W11&lt;(AS10+180),W11&gt;(AS10-180)),W11,IF(W11&gt;(AS10+180),W11-360,IF(W11&lt;(AS10-180),W11+360,"Error"))))</f>
        <v>0.33996300983548622</v>
      </c>
      <c r="AT11" s="895">
        <f t="shared" si="14"/>
        <v>-0.26290087564114611</v>
      </c>
      <c r="AU11" s="418"/>
      <c r="AV11" s="164">
        <f t="shared" si="15"/>
        <v>1.107</v>
      </c>
      <c r="AW11" s="828">
        <f>IFERROR(INDEX(MassProp!C$9:C$150,MATCH($M11,MassProp!$B$9:$B$150,0)),"")</f>
        <v>1.4723999999999999</v>
      </c>
      <c r="AX11" s="829">
        <f>IFERROR(INDEX(MassProp!D$9:D$150,MATCH($M11,MassProp!$B$9:$B$150,0)),"")</f>
        <v>8.8800000000000004E-2</v>
      </c>
      <c r="AY11" s="830">
        <f>IFERROR(INDEX(MassProp!E$9:E$150,MATCH($M11,MassProp!$B$9:$B$150,0)),"")</f>
        <v>3.8800000000000001E-2</v>
      </c>
      <c r="AZ11" s="297">
        <f t="shared" ref="AZ11:AZ74" si="138">IF(ISNUMBER(AV11),$AY11*SQRT((2*PI()*$AW11)^2+$AS$5^2),"")</f>
        <v>0.35902854070082985</v>
      </c>
      <c r="BA11" s="296">
        <f t="shared" si="16"/>
        <v>2.4676528588247634E-2</v>
      </c>
      <c r="BB11" s="291">
        <f t="shared" ref="BB11:BB73" si="139">IF(ISNUMBER($AV11),$AX11-($AT11+$AS$5),"")</f>
        <v>0.1617008756411461</v>
      </c>
      <c r="BC11" s="9"/>
      <c r="BD11" s="5">
        <f>IF(ISNUMBER(AV11),AW11,"")</f>
        <v>1.4723999999999999</v>
      </c>
      <c r="BE11" s="6">
        <f t="shared" si="17"/>
        <v>-0.10119991726764521</v>
      </c>
      <c r="BF11" s="4">
        <f t="shared" si="18"/>
        <v>9.9999999999999995E-7</v>
      </c>
      <c r="BG11" s="5">
        <f t="shared" si="19"/>
        <v>1.5510046778301083</v>
      </c>
      <c r="BH11" s="10">
        <f t="shared" si="20"/>
        <v>-0.26290079290879131</v>
      </c>
      <c r="BI11" s="9">
        <f t="shared" ref="BI11:BI74" si="140">IF(ISNUMBER($AV11),BF11+0,"")</f>
        <v>9.9999999999999995E-7</v>
      </c>
      <c r="BJ11" s="5">
        <f t="shared" si="21"/>
        <v>2.5510046778226441</v>
      </c>
      <c r="BK11" s="8">
        <f t="shared" si="22"/>
        <v>-0.26290465661264151</v>
      </c>
      <c r="BL11" s="173">
        <f t="shared" si="23"/>
        <v>0.25882000859314858</v>
      </c>
      <c r="BM11" s="5">
        <f t="shared" si="24"/>
        <v>1.55100840988148</v>
      </c>
      <c r="BN11" s="6">
        <f t="shared" si="25"/>
        <v>0.70302504315572323</v>
      </c>
      <c r="BO11" s="4">
        <f t="shared" ref="BO11:BO74" si="141">IF(ISNUMBER($AV11),BJ11*BN11-BM11*BK11-BG11*(BN11-BK11)+BH11*(BM11-BJ11),"")</f>
        <v>0.96592583607172389</v>
      </c>
      <c r="BP11" s="5">
        <f t="shared" ref="BP11:BP74" si="142">IF(ISNUMBER($AV11),BF11*(BN11-BK11)-(BI11*BN11-BL11*BK11)+BH11*(BI11-BL11),"")</f>
        <v>-1.0000000000010001E-6</v>
      </c>
      <c r="BQ11" s="5">
        <f t="shared" ref="BQ11:BQ74" si="143">IF(ISNUMBER($AV11),BF11*(BJ11-BM11)-BG11*(BI11-BL11)+(BI11*BM11-BL11*BJ11),"")</f>
        <v>-0.25881900859121665</v>
      </c>
      <c r="BR11" s="6">
        <f t="shared" ref="BR11:BR74" si="144">IF(ISNUMBER($AV11),-(BF11*(BJ11*BN11-BM11*BK11)-BG11*(BI11*BN11-BL11*BK11)+BH11*(BI11*BM11-BL11*BJ11)),"")</f>
        <v>-6.8043137499656361E-2</v>
      </c>
      <c r="BS11" s="4">
        <f t="shared" si="110"/>
        <v>0</v>
      </c>
      <c r="BT11" s="5">
        <f t="shared" si="110"/>
        <v>0</v>
      </c>
      <c r="BU11" s="10">
        <f t="shared" si="111"/>
        <v>-0.10119991726764521</v>
      </c>
      <c r="BV11" s="9">
        <f t="shared" si="112"/>
        <v>0</v>
      </c>
      <c r="BW11" s="5">
        <f t="shared" si="113"/>
        <v>1</v>
      </c>
      <c r="BX11" s="8">
        <f t="shared" si="114"/>
        <v>-0.10119991726764521</v>
      </c>
      <c r="BY11" s="173">
        <f t="shared" si="115"/>
        <v>1</v>
      </c>
      <c r="BZ11" s="5">
        <f t="shared" si="116"/>
        <v>0</v>
      </c>
      <c r="CA11" s="6">
        <f t="shared" si="117"/>
        <v>-0.10119991726764521</v>
      </c>
      <c r="CB11" s="4">
        <f t="shared" ref="CB11:CB74" si="145">IF(ISNUMBER($AV11),BW11*CA11-BZ11*BX11-BT11*(CA11-BX11)+BU11*(BZ11-BW11),"")</f>
        <v>0</v>
      </c>
      <c r="CC11" s="5">
        <f t="shared" ref="CC11:CC74" si="146">IF(ISNUMBER($AV11),BS11*(CA11-BX11)-(BV11*CA11-BY11*BX11)+BU11*(BV11-BY11),"")</f>
        <v>0</v>
      </c>
      <c r="CD11" s="5">
        <f t="shared" ref="CD11:CD74" si="147">IF(ISNUMBER($AV11),BS11*(BW11-BZ11)-BT11*(BV11-BY11)+(BV11*BZ11-BY11*BW11),"")</f>
        <v>-1</v>
      </c>
      <c r="CE11" s="6">
        <f t="shared" ref="CE11:CE74" si="148">IF(ISNUMBER($AV11),-(BS11*(BW11*CA11-BZ11*BX11)-BT11*(BV11*CA11-BY11*BX11)+BU11*(BV11*BZ11-BY11*BW11)),"")</f>
        <v>-0.10119991726764521</v>
      </c>
      <c r="CF11" s="4">
        <f t="shared" ref="CF11:CF74" si="149">IF(ISNUMBER($AV11),(BP11*CD11)-(BQ11*CC11),"")</f>
        <v>1.0000000000010001E-6</v>
      </c>
      <c r="CG11" s="5">
        <f t="shared" ref="CG11:CG74" si="150">IF(ISNUMBER($AV11),(BQ11*CB11)-(BO11*CD11),"")</f>
        <v>0.96592583607172389</v>
      </c>
      <c r="CH11" s="5">
        <f t="shared" ref="CH11:CH74" si="151">IF(ISNUMBER($AV11),(BO11*CC11)-(BP11*CB11),"")</f>
        <v>0</v>
      </c>
      <c r="CI11" s="4">
        <f t="shared" si="118"/>
        <v>0</v>
      </c>
      <c r="CJ11" s="5">
        <f t="shared" si="119"/>
        <v>-41850.675242889425</v>
      </c>
      <c r="CK11" s="8">
        <f t="shared" si="120"/>
        <v>-0.10119991726764521</v>
      </c>
      <c r="CL11" s="173">
        <f t="shared" si="121"/>
        <v>1.0000000000010001E-6</v>
      </c>
      <c r="CM11" s="5">
        <f t="shared" si="122"/>
        <v>-41849.709317053355</v>
      </c>
      <c r="CN11" s="6">
        <f t="shared" si="123"/>
        <v>-0.10119991726764521</v>
      </c>
      <c r="CO11" s="167">
        <f t="shared" si="26"/>
        <v>0.26450000000000001</v>
      </c>
      <c r="CP11" s="4">
        <f>IF(ISNUMBER($AV11),(CL11-CI11)^2+(CM11-CJ11)^2+(CN11-CK11)^2,"")</f>
        <v>0.9330127207881429</v>
      </c>
      <c r="CQ11" s="5">
        <f>IF(ISNUMBER($AV11),2*((CL11-CI11)*(CI11-BF11)+(CM11-CJ11)*(CJ11-BG11)+(CN11-CK11)*(CK11-BH11)),"")</f>
        <v>-80852.293259127691</v>
      </c>
      <c r="CR11" s="5">
        <f t="shared" ref="CR11:CR74" si="152">IF(ISNUMBER($AV11),BF11^2+BG11^2+BH11^2+CI11^2+CJ11^2+CK11^2-2*(BF11*CI11+BG11*CJ11+BH11*CK11)-CO11^2,"")</f>
        <v>1751608841.8337445</v>
      </c>
      <c r="CS11" s="8">
        <f t="shared" ref="CS11:CS74" si="153">IF(ISNUMBER($AV11),CQ11^2-(4*CP11*CR11),"")</f>
        <v>0.15650558471679688</v>
      </c>
      <c r="CT11" s="9">
        <f t="shared" ref="CT11:CT74" si="154">IF(ISNUMBER($AV11),(-CQ11+SQRT(CS11))/(CP11*2),"")</f>
        <v>43328.824498071393</v>
      </c>
      <c r="CU11" s="6">
        <f t="shared" ref="CU11:CU74" si="155">IF(ISNUMBER($AV11),(-CQ11-SQRT(CS11))/(CP11*2),"")</f>
        <v>43328.400486845661</v>
      </c>
      <c r="CV11" s="4">
        <f>IF(ISNUMBER($AV11),CI11+($CT11*(CL11-CI11)),"")</f>
        <v>4.3328824498114725E-2</v>
      </c>
      <c r="CW11" s="5">
        <f t="shared" ref="CW11:CW74" si="156">IF(ISNUMBER($AV11),CJ11+($CT11*(CM11-CJ11)),"")</f>
        <v>1.7557863318361342</v>
      </c>
      <c r="CX11" s="8">
        <f t="shared" ref="CX11:CX74" si="157">IF(ISNUMBER($AV11),CK11+($CT11*(CN11-CK11)),"")</f>
        <v>-0.10119991726764521</v>
      </c>
      <c r="CY11" s="9">
        <f t="shared" ref="CY11:CY74" si="158">IF(ISNUMBER($AV11),CI11+($CU11*(CL11-CI11)),"")</f>
        <v>4.332840048688899E-2</v>
      </c>
      <c r="CZ11" s="5">
        <f t="shared" ref="CZ11:CZ74" si="159">IF(ISNUMBER($AV11),CJ11+($CU11*(CM11-CJ11)),"")</f>
        <v>1.3462229341166676</v>
      </c>
      <c r="DA11" s="6">
        <f t="shared" ref="DA11:DA74" si="160">IF(ISNUMBER($AV11),CK11+($CU11*(CN11-CK11)),"")</f>
        <v>-0.10119991726764521</v>
      </c>
      <c r="DB11" s="4">
        <f t="shared" ref="DB11:DC42" si="161">IF(ISNUMBER($AV11),0,"")</f>
        <v>0</v>
      </c>
      <c r="DC11" s="5">
        <f t="shared" si="161"/>
        <v>0</v>
      </c>
      <c r="DD11" s="10">
        <f t="shared" ref="DD11:DD74" si="162">IF(ISNUMBER($AV11),-10,"")</f>
        <v>-10</v>
      </c>
      <c r="DE11" s="9">
        <f t="shared" ref="DE11:DF42" si="163">IF(ISNUMBER($AV11),0,"")</f>
        <v>0</v>
      </c>
      <c r="DF11" s="5">
        <f t="shared" si="163"/>
        <v>0</v>
      </c>
      <c r="DG11" s="10">
        <f t="shared" ref="DG11:DG74" si="164">IF(ISNUMBER($AV11),10,"")</f>
        <v>10</v>
      </c>
      <c r="DH11" s="70">
        <f t="shared" ref="DH11:DH74" si="165">IF(ISNUMBER($AV11),BD11,"")</f>
        <v>1.4723999999999999</v>
      </c>
      <c r="DI11" s="4">
        <f t="shared" ref="DI11:DI74" si="166">IF(ISNUMBER($AV11),DE11-DB11,"")</f>
        <v>0</v>
      </c>
      <c r="DJ11" s="5">
        <f t="shared" ref="DJ11:DJ74" si="167">IF(ISNUMBER($AV11),DF11-DC11,"")</f>
        <v>0</v>
      </c>
      <c r="DK11" s="10">
        <f t="shared" ref="DK11:DK74" si="168">IF(ISNUMBER($AV11),DG11-DD11,"")</f>
        <v>20</v>
      </c>
      <c r="DL11" s="9">
        <f t="shared" ref="DL11:DL74" si="169">IF(ISNUMBER($AV11),CV11-DB11,"")</f>
        <v>4.3328824498114725E-2</v>
      </c>
      <c r="DM11" s="173">
        <f t="shared" ref="DM11:DM74" si="170">IF(ISNUMBER($AV11),CW11-DC11,"")</f>
        <v>1.7557863318361342</v>
      </c>
      <c r="DN11" s="178">
        <f t="shared" ref="DN11:DN74" si="171">IF(ISNUMBER($AV11),CX11-DD11,"")</f>
        <v>9.8988000827323539</v>
      </c>
      <c r="DO11" s="9">
        <f t="shared" ref="DO11:DO74" si="172">IF(ISNUMBER($AV11),CY11-CV11,"")</f>
        <v>-4.2401122573448857E-7</v>
      </c>
      <c r="DP11" s="173">
        <f t="shared" ref="DP11:DP74" si="173">IF(ISNUMBER($AV11),CZ11-CW11,"")</f>
        <v>-0.40956339771946659</v>
      </c>
      <c r="DQ11" s="11">
        <f t="shared" ref="DQ11:DQ74" si="174">IF(ISNUMBER($AV11),DA11-CX11,"")</f>
        <v>0</v>
      </c>
      <c r="DR11" s="173">
        <f t="shared" ref="DR11:DR74" si="175">IF(ISNUMBER($AV11),SUMPRODUCT(DI11:DK11,DL11:DN11),"")</f>
        <v>197.97600165464706</v>
      </c>
      <c r="DS11" s="5">
        <f t="shared" ref="DS11:DS74" si="176">IF(ISNUMBER($AV11),SUMPRODUCT(DO11:DQ11,DI11:DK11),"")</f>
        <v>0</v>
      </c>
      <c r="DT11" s="5">
        <f t="shared" ref="DT11:DT74" si="177">IF(ISNUMBER($AV11),SUMPRODUCT(DI11:DK11,DI11:DK11),"")</f>
        <v>400</v>
      </c>
      <c r="DU11" s="5">
        <f t="shared" ref="DU11:DU74" si="178">IF(ISNUMBER($AV11),SUMPRODUCT(DO11:DQ11,DO11:DQ11),"")</f>
        <v>0.16774217675169376</v>
      </c>
      <c r="DV11" s="5">
        <f t="shared" ref="DV11:DV74" si="179">IF(ISNUMBER($AV11),SUMPRODUCT(DL11:DN11,DO11:DQ11),"")</f>
        <v>-0.71910583410811402</v>
      </c>
      <c r="DW11" s="5">
        <f t="shared" ref="DW11:DW74" si="180">IF(ISNUMBER($AV11),SUMPRODUCT(DL11:DN11,DL11:DN11),"")</f>
        <v>101.07090610799703</v>
      </c>
      <c r="DX11" s="167">
        <f t="shared" ref="DX11:DX74" si="181">IF(ISNUMBER($AV11),DW11-DH11*DH11,"")</f>
        <v>98.902944347997035</v>
      </c>
      <c r="DY11" s="9">
        <f t="shared" ref="DY11:DY74" si="182">IF(ISNUMBER($AV11),DT11*DU11-DS11*DS11,"")</f>
        <v>67.096870700677499</v>
      </c>
      <c r="DZ11" s="5">
        <f t="shared" ref="DZ11:DZ74" si="183">IF(ISNUMBER($AV11),DT11*DV11-DS11*DR11,"")</f>
        <v>-287.64233364324559</v>
      </c>
      <c r="EA11" s="10">
        <f t="shared" ref="EA11:EA74" si="184">IF(ISNUMBER($AV11),DT11*DX11-DR11*DR11,"")</f>
        <v>366.68050803799997</v>
      </c>
      <c r="EB11" s="6">
        <f t="shared" ref="EB11:EB74" si="185">IF(ISNUMBER($AV11),DZ11*DZ11-DY11*EA11,"")</f>
        <v>58134.9974674478</v>
      </c>
      <c r="EC11" s="173">
        <f t="shared" ref="EC11:EC74" si="186">IF(ISNUMBER($AV11),(-DZ11+SQRT(DZ11^2-DY11*EA11))/DY11,"")</f>
        <v>7.8804619356545258</v>
      </c>
      <c r="ED11" s="5">
        <f t="shared" ref="ED11:ED74" si="187">IF(ISNUMBER($AV11),(-DZ11-SQRT(DZ11^2-DY11*EA11))/DY11,"")</f>
        <v>0.6934799081143872</v>
      </c>
      <c r="EE11" s="4">
        <f t="shared" ref="EE11:EE74" si="188">IF(ISNUMBER($AV11),CV11+DO11*$EC11,"")</f>
        <v>4.3325483093790036E-2</v>
      </c>
      <c r="EF11" s="5">
        <f t="shared" ref="EF11:EF74" si="189">IF(ISNUMBER($AV11),CW11+DP11*$EC11,"")</f>
        <v>-1.4717624341294577</v>
      </c>
      <c r="EG11" s="10">
        <f t="shared" ref="EG11:EG74" si="190">IF(ISNUMBER($AV11),CX11+DQ11*$EC11,"")</f>
        <v>-0.10119991726764521</v>
      </c>
      <c r="EH11" s="9">
        <f t="shared" ref="EH11:EH74" si="191">IF(ISNUMBER($AV11),CV11+DO11*$ED11,"")</f>
        <v>4.3328530454848864E-2</v>
      </c>
      <c r="EI11" s="5">
        <f t="shared" ref="EI11:EI74" si="192">IF(ISNUMBER($AV11),CW11+DP11*$ED11,"")</f>
        <v>1.4717623444186223</v>
      </c>
      <c r="EJ11" s="6">
        <f t="shared" ref="EJ11:EJ74" si="193">IF(ISNUMBER($AV11),CX11+DQ11*$ED11,"")</f>
        <v>-0.10119991726764521</v>
      </c>
      <c r="EK11" s="236" t="b">
        <f t="shared" ref="EK11:EK74" si="194">IF(ISNUMBER($AV11),IF(OR($EC11&lt;0,$EC11&gt;1),FALSE,TRUE),"")</f>
        <v>0</v>
      </c>
      <c r="EL11" s="238" t="b">
        <f t="shared" ref="EL11:EL74" si="195">IF(ISNUMBER($AV11),IF(OR($ED11&lt;0,$ED11&gt;1),FALSE,TRUE),"")</f>
        <v>1</v>
      </c>
      <c r="EM11" s="4">
        <f t="shared" ref="EM11:EM74" si="196">IF(ISNUMBER($AV11),IF($EK11=TRUE,EE11,IF($EL11=TRUE,EH11,"")),"")</f>
        <v>4.3328530454848864E-2</v>
      </c>
      <c r="EN11" s="5">
        <f t="shared" ref="EN11:EN74" si="197">IF(ISNUMBER($AV11),IF($EK11=TRUE,EF11,IF($EL11=TRUE,EI11,"")),"")</f>
        <v>1.4717623444186223</v>
      </c>
      <c r="EO11" s="10">
        <f t="shared" ref="EO11:EO74" si="198">IF(ISNUMBER($AV11),IF($EK11=TRUE,EG11,IF($EL11=TRUE,EJ11,"")),"")</f>
        <v>-0.10119991726764521</v>
      </c>
      <c r="EP11" s="9">
        <f t="shared" ref="EP11:EP74" si="199">IF(ISNUMBER($AV11),IF(DEGREES(ATAN2(EM11,EN11))&lt;0,DEGREES(ATAN2(EM11,EN11))+360,IF(DEGREES(ATAN2(EM11,EN11))&gt;360,DEGREES(ATAN2(EM11,EN11))-360,DEGREES(ATAN2(EM11,EN11)))),"")</f>
        <v>88.31370526827034</v>
      </c>
      <c r="EQ11" s="5">
        <f t="shared" ref="EQ11:EQ74" si="200">IF(ISNUMBER($AV11),SQRT(EM11^2+EN11^2),"")</f>
        <v>1.4723999999999919</v>
      </c>
      <c r="ER11" s="7">
        <f t="shared" ref="ER11:ER74" si="201">IF(ISNUMBER($AV11),EO11,"")</f>
        <v>-0.10119991726764521</v>
      </c>
      <c r="ES11" s="21">
        <f t="shared" si="124"/>
        <v>0.96592583607172433</v>
      </c>
      <c r="ET11" s="5">
        <f t="shared" si="35"/>
        <v>-9.9999999999949999E-7</v>
      </c>
      <c r="EU11" s="10">
        <f t="shared" si="36"/>
        <v>-0.25881900859121654</v>
      </c>
      <c r="EV11" s="174">
        <f>IF(ISNUMBER($AV11),IF(($EV$1-EP11)&lt;0,(360+($EV$1-EP11)),($EV$1-EP11)),"")</f>
        <v>1.6862947317296602</v>
      </c>
      <c r="EW11" s="9">
        <f t="shared" si="125"/>
        <v>0.96550754982340203</v>
      </c>
      <c r="EX11" s="5">
        <f t="shared" si="37"/>
        <v>2.8423441485340251E-2</v>
      </c>
      <c r="EY11" s="6">
        <f t="shared" ref="EY11:EY74" si="202">IF(ISNUMBER($AV11),EU11,"")</f>
        <v>-0.25881900859121654</v>
      </c>
      <c r="EZ11" s="51">
        <f t="shared" ref="EZ11:EZ74" si="203">IF(ISNUMBER($AV11),DEGREES(ATAN($AS$5/($EQ11*2*PI()))),"")</f>
        <v>1.1765476130546015</v>
      </c>
      <c r="FA11" s="266">
        <f t="shared" si="126"/>
        <v>0.99935619095445882</v>
      </c>
      <c r="FB11" s="267">
        <f t="shared" si="127"/>
        <v>-2.9420942395503937E-2</v>
      </c>
      <c r="FC11" s="269">
        <f t="shared" si="38"/>
        <v>-2.0533186541687662E-2</v>
      </c>
      <c r="FD11" s="4">
        <f t="shared" si="128"/>
        <v>0.99978917190097849</v>
      </c>
      <c r="FE11" s="5">
        <f t="shared" si="39"/>
        <v>2.4286128663675299E-17</v>
      </c>
      <c r="FF11" s="7">
        <f t="shared" ref="FF11:FF74" si="204">IF(ISNUMBER($AV11),FC11,"")</f>
        <v>-2.0533186541687662E-2</v>
      </c>
      <c r="FG11" s="173">
        <f t="shared" ref="FG11:FG40" si="205">IF(ISNUMBER($AV11),EW11-FD11,"")</f>
        <v>-3.4281622077576457E-2</v>
      </c>
      <c r="FH11" s="5">
        <f t="shared" si="40"/>
        <v>2.8423441485340227E-2</v>
      </c>
      <c r="FI11" s="10">
        <f t="shared" si="41"/>
        <v>-0.23828582204952886</v>
      </c>
      <c r="FJ11" s="279">
        <f t="shared" ref="FJ11:FJ74" si="206">IF(ISNUMBER($AV11),DEGREES(ACOS((2-SQRT((FG11)^2+(FH11)^2+(FI11)^2)^2)/2)),"")</f>
        <v>13.923380263761192</v>
      </c>
      <c r="FK11" s="4">
        <f t="shared" si="42"/>
        <v>0.96592583607224192</v>
      </c>
      <c r="FL11" s="5">
        <f t="shared" ref="FL11:FL73" si="207">IF(ISNUMBER($AV11),SQRT(FA11^2+FB11^2),"")</f>
        <v>0.99978917190097849</v>
      </c>
      <c r="FM11" s="8">
        <f t="shared" ref="FM11:FM73" si="208">IF(ISNUMBER($AV11),SQRT(FG11^2+FH11^2),"")</f>
        <v>4.4532253908154455E-2</v>
      </c>
      <c r="FN11" s="9">
        <f t="shared" ref="FN11:FN73" si="209">IF(ISNUMBER($AV11),DEGREES(ACOS((FK11^2+FL11^2-FM11^2)/(2*FK11*FL11))),"")</f>
        <v>1.6862354147744005</v>
      </c>
      <c r="FO11" s="10">
        <f t="shared" si="43"/>
        <v>-1</v>
      </c>
      <c r="FP11" s="277">
        <f t="shared" si="44"/>
        <v>-1.6862354147744005</v>
      </c>
      <c r="FQ11" s="173">
        <f>IF(ISNUMBER($AV11),SIN(RADIANS(FN11)),"")</f>
        <v>2.9426111637014845E-2</v>
      </c>
      <c r="FR11" s="10">
        <f t="shared" ref="FR11:FR74" si="210">IF(ISNUMBER($AV11),COS(RADIANS(FN11)),"")</f>
        <v>0.99956695821436892</v>
      </c>
      <c r="FS11" s="9">
        <f t="shared" ref="FS11:FS74" si="211">IF(ISNUMBER($AV11),FQ11/(FQ11+FR11),"")</f>
        <v>2.8596996908117973E-2</v>
      </c>
      <c r="FT11" s="6">
        <f t="shared" ref="FT11:FT74" si="212">IF(ISNUMBER($AV11),FR11/(FQ11+FR11),"")</f>
        <v>0.97140300309188199</v>
      </c>
      <c r="FU11" s="4">
        <f t="shared" ref="FU11:FU74" si="213">IF(ISNUMBER($AV11),SQRT(EW11^2+EY11^2),"")</f>
        <v>0.99959597236790099</v>
      </c>
      <c r="FV11" s="5">
        <f t="shared" ref="FV11:FV74" si="214">IF(ISNUMBER($AV11),SQRT(FD11^2+FF11^2),"")</f>
        <v>1</v>
      </c>
      <c r="FW11" s="8">
        <f>IF(ISNUMBER($AV11),SQRT(FG11^2+FI11^2),"")</f>
        <v>0.24073920038516683</v>
      </c>
      <c r="FX11" s="9">
        <f>IF(ISNUMBER($AV11),DEGREES(ACOS((FU11^2+FV11^2-FW11^2)/(2*FU11*FV11))),"")</f>
        <v>13.829655594215438</v>
      </c>
      <c r="FY11" s="10">
        <f t="shared" si="45"/>
        <v>1</v>
      </c>
      <c r="FZ11" s="277">
        <f>IF(ISNUMBER($AV11),FX11*FY11,"")</f>
        <v>13.829655594215438</v>
      </c>
      <c r="GA11" s="177">
        <f t="shared" ref="GA11:GA74" si="215">IF(ISNUMBER($AV11),DEGREES(FZ11*SIN(RADIANS(FU11))),"")</f>
        <v>13.823366766908729</v>
      </c>
      <c r="GB11" s="4">
        <f t="shared" ref="GB11:GB74" si="216">IF(ISNUMBER($AV11),COS(RADIANS(FP11+90))*COS(RADIANS(FZ11)),"")</f>
        <v>2.8573068900966427E-2</v>
      </c>
      <c r="GC11" s="5">
        <f t="shared" ref="GC11:GC74" si="217">IF(ISNUMBER($AV11),SIN(RADIANS(FP11+90))*COS(RADIANS(FZ11)),"")</f>
        <v>0.97059019963284188</v>
      </c>
      <c r="GD11" s="10">
        <f t="shared" ref="GD11:GD74" si="218">IF(ISNUMBER($AV11),-SIN(RADIANS(FZ11)),"")</f>
        <v>-0.23903607282220141</v>
      </c>
      <c r="GE11" s="311">
        <f t="shared" ref="GE11:GE74" si="219">IF(ISNUMBER($AV11),SUM(ABS(GB11),ABS(GC11),ABS(GD11)),"")</f>
        <v>1.2381993413560097</v>
      </c>
      <c r="GF11" s="341">
        <f>IF(ISNUMBER($AV11),1/GE11,"")</f>
        <v>0.80762439988447532</v>
      </c>
      <c r="GG11" s="285">
        <f t="shared" si="46"/>
        <v>2.3076307624000775E-2</v>
      </c>
      <c r="GH11" s="286">
        <f t="shared" si="47"/>
        <v>0.78387232751222702</v>
      </c>
      <c r="GI11" s="281">
        <f t="shared" si="48"/>
        <v>0.19305136486377217</v>
      </c>
      <c r="GJ11" s="167">
        <f t="shared" ref="GJ11:GJ74" si="220">IF(ISNUMBER($AV11),AW11,"")</f>
        <v>1.4723999999999999</v>
      </c>
      <c r="GK11" s="174">
        <f t="shared" si="49"/>
        <v>0.77110940872171352</v>
      </c>
      <c r="GL11" s="174">
        <f t="shared" ref="GL11:GL74" si="221">IF(ISNUMBER($AV11),AY11,"")</f>
        <v>3.8800000000000001E-2</v>
      </c>
      <c r="GM11" s="9">
        <f>IF(ISNUMBER($AV11),AZ11,"")</f>
        <v>0.35902854070082985</v>
      </c>
      <c r="GN11" s="281">
        <f t="shared" ref="GN11:GN74" si="222">IF(ISNUMBER($AV11),BA11,"")</f>
        <v>2.4676528588247634E-2</v>
      </c>
      <c r="GO11" s="4">
        <f t="shared" ref="GO11:GO74" si="223">IF(ISNUMBER($AV11),FP11,"")</f>
        <v>-1.6862354147744005</v>
      </c>
      <c r="GP11" s="8">
        <f>IF(ISNUMBER($AV11),FZ11,"")</f>
        <v>13.829655594215438</v>
      </c>
      <c r="GQ11" s="177">
        <f t="shared" ref="GQ11:GQ74" si="224">IF(ISNUMBER($AV11),FJ11,"")</f>
        <v>13.923380263761192</v>
      </c>
      <c r="GR11" s="371">
        <f>IF(ISNUMBER($AV11),GS11+GU11+GY11,"")</f>
        <v>1145.0478863065541</v>
      </c>
      <c r="GS11" s="342">
        <f>IF(ISNUMBER($AV11),GU11/GH11*GG11,"")</f>
        <v>26.423477268621909</v>
      </c>
      <c r="GT11" s="343">
        <f t="shared" si="52"/>
        <v>34.266832915999217</v>
      </c>
      <c r="GU11" s="344">
        <f>IF(ISNUMBER($AV11),$GV11*$GK11,"")</f>
        <v>897.57135175207452</v>
      </c>
      <c r="GV11" s="343">
        <f>IF(ISNUMBER($AV11),GW11*$GL11,"")</f>
        <v>1164</v>
      </c>
      <c r="GW11" s="345">
        <f>IF(ISNUMBER($AV11),$GW$2,"")</f>
        <v>30000</v>
      </c>
      <c r="GX11" s="346">
        <f>IF(ISNUMBER($AV11),($GJ11/12)*$GV11,"")</f>
        <v>142.8228</v>
      </c>
      <c r="GY11" s="344">
        <f t="shared" si="55"/>
        <v>221.05305728585768</v>
      </c>
      <c r="GZ11" s="345">
        <f t="shared" si="56"/>
        <v>286.66886279121223</v>
      </c>
      <c r="HA11" s="342">
        <f t="shared" si="57"/>
        <v>-26.423477268621909</v>
      </c>
      <c r="HB11" s="5">
        <f t="shared" ref="HB11:HB74" si="225">IF(ISNUMBER($AV11),$EV11,"")</f>
        <v>1.6862947317296602</v>
      </c>
      <c r="HC11" s="343">
        <f t="shared" ref="HC11:HC74" si="226">IF(ISNUMBER($AV11),HA11*COS(RADIANS(HB11)),"")</f>
        <v>-26.412033993859936</v>
      </c>
      <c r="HD11" s="345">
        <f t="shared" ref="HD11:HD74" si="227">IF(ISNUMBER($AV11),HA11*SIN(RADIANS(HB11)),"")</f>
        <v>-0.77756753569444481</v>
      </c>
      <c r="HE11" s="344">
        <f t="shared" si="58"/>
        <v>1164</v>
      </c>
      <c r="HF11" s="5">
        <f t="shared" si="59"/>
        <v>91.68629473172966</v>
      </c>
      <c r="HG11" s="343">
        <f t="shared" ref="HG11:HG74" si="228">IF(ISNUMBER($AV11),HE11*COS(RADIANS(HF11)),"")</f>
        <v>-34.253198485088717</v>
      </c>
      <c r="HH11" s="349">
        <f t="shared" ref="HH11:HH74" si="229">IF(ISNUMBER($AV11),HE11*SIN(RADIANS(HF11)),"")</f>
        <v>1163.4959039006287</v>
      </c>
      <c r="HI11" s="317">
        <f t="shared" si="60"/>
        <v>1.107</v>
      </c>
      <c r="HJ11" s="336"/>
      <c r="HK11" s="310">
        <f t="shared" si="130"/>
        <v>3</v>
      </c>
      <c r="HL11" s="348">
        <f t="shared" si="61"/>
        <v>3.1030000000000002</v>
      </c>
      <c r="HM11" s="934">
        <f t="shared" si="62"/>
        <v>-3.8736105622022503</v>
      </c>
      <c r="HN11" s="935">
        <f t="shared" si="63"/>
        <v>14.99999783426823</v>
      </c>
      <c r="HO11" s="936"/>
      <c r="HP11" s="937"/>
      <c r="HQ11" s="935">
        <f t="shared" si="64"/>
        <v>12.86759052538593</v>
      </c>
      <c r="HR11" s="938">
        <f t="shared" si="65"/>
        <v>12.320433298883904</v>
      </c>
      <c r="HS11" s="939">
        <f>IFERROR(SMALL($GJ$9:$GJ$150,($HK10+1)),"")</f>
        <v>0.63829999999999998</v>
      </c>
      <c r="HT11" s="940">
        <f t="shared" si="66"/>
        <v>4.02E-2</v>
      </c>
      <c r="HU11" s="941">
        <f t="shared" si="67"/>
        <v>0.16140522228207568</v>
      </c>
      <c r="HV11" s="942">
        <f t="shared" si="68"/>
        <v>1.1093604352905694E-2</v>
      </c>
      <c r="HW11" s="943">
        <f t="shared" si="69"/>
        <v>30000</v>
      </c>
      <c r="HX11" s="950">
        <f t="shared" si="70"/>
        <v>64.149149999999992</v>
      </c>
      <c r="HY11" s="955">
        <f t="shared" si="71"/>
        <v>27.322051398066908</v>
      </c>
      <c r="HZ11" s="956">
        <f t="shared" si="72"/>
        <v>403.51305570518923</v>
      </c>
      <c r="IA11" s="957">
        <f t="shared" si="73"/>
        <v>88.332627140347356</v>
      </c>
      <c r="IB11" s="958">
        <f t="shared" si="74"/>
        <v>519.16773424360349</v>
      </c>
      <c r="IC11" s="841">
        <f t="shared" si="75"/>
        <v>81.658805137007974</v>
      </c>
      <c r="ID11" s="351">
        <f t="shared" si="76"/>
        <v>1206</v>
      </c>
      <c r="IE11" s="843">
        <f t="shared" si="77"/>
        <v>264.00421702610339</v>
      </c>
      <c r="IF11" s="844"/>
      <c r="IG11" s="789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7">
        <f t="shared" ref="II11:II74" si="230">$M11</f>
        <v>1.107</v>
      </c>
      <c r="IJ11" s="967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8"/>
        <v>1313</v>
      </c>
      <c r="IM11" s="482" t="str">
        <f t="shared" ref="IM11:IM74" si="231">IF(ISNUMBER($IK11),INDEX($K$9:$K$150,MATCH($II11,$M$9:$M$150,0)),"")</f>
        <v/>
      </c>
      <c r="IN11" s="670" t="str">
        <f t="shared" si="80"/>
        <v/>
      </c>
      <c r="IO11" s="702"/>
      <c r="IP11" s="5" t="str">
        <f t="shared" si="81"/>
        <v/>
      </c>
      <c r="IQ11" s="714"/>
      <c r="IR11" s="9" t="str">
        <f t="shared" si="131"/>
        <v/>
      </c>
      <c r="IS11" s="5" t="str">
        <f t="shared" si="82"/>
        <v/>
      </c>
      <c r="IT11" s="5" t="str">
        <f t="shared" si="83"/>
        <v/>
      </c>
      <c r="IU11" s="5" t="str">
        <f t="shared" si="84"/>
        <v/>
      </c>
      <c r="IV11" s="670" t="str">
        <f t="shared" si="85"/>
        <v/>
      </c>
      <c r="IW11" s="9" t="str">
        <f t="shared" si="86"/>
        <v/>
      </c>
      <c r="IX11" s="5" t="str">
        <f t="shared" si="87"/>
        <v/>
      </c>
      <c r="IY11" s="5" t="str">
        <f t="shared" si="88"/>
        <v/>
      </c>
      <c r="IZ11" s="5" t="str">
        <f t="shared" si="89"/>
        <v/>
      </c>
      <c r="JA11" s="705" t="str">
        <f t="shared" si="9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ref="B12:D12" si="232">IFERROR(O167+($A12*-E12),"")</f>
        <v>9.9999999999999995E-7</v>
      </c>
      <c r="C12" s="572">
        <f t="shared" si="232"/>
        <v>2.1778065682646099</v>
      </c>
      <c r="D12" s="576">
        <f t="shared" si="232"/>
        <v>-0.12400037398512791</v>
      </c>
      <c r="E12" s="580">
        <f t="shared" ref="E12:K12" si="233">R167</f>
        <v>-0.96592583607220739</v>
      </c>
      <c r="F12" s="572">
        <f t="shared" si="233"/>
        <v>9.9999999999999995E-7</v>
      </c>
      <c r="G12" s="579">
        <f t="shared" si="233"/>
        <v>0.25881900859134593</v>
      </c>
      <c r="H12" s="580">
        <f t="shared" si="233"/>
        <v>0.26450000000000001</v>
      </c>
      <c r="I12" s="572">
        <f t="shared" si="233"/>
        <v>0.52</v>
      </c>
      <c r="J12" s="483">
        <f t="shared" si="92"/>
        <v>1.1100000000000001</v>
      </c>
      <c r="K12" s="805">
        <f t="shared" si="233"/>
        <v>1313</v>
      </c>
      <c r="L12" s="716" t="s">
        <v>357</v>
      </c>
      <c r="M12" s="164">
        <f t="shared" si="4"/>
        <v>1.1100000000000001</v>
      </c>
      <c r="N12" s="575">
        <f t="shared" si="5"/>
        <v>9.9999999999999995E-7</v>
      </c>
      <c r="O12" s="572">
        <f t="shared" si="6"/>
        <v>2.1778065682646099</v>
      </c>
      <c r="P12" s="576">
        <f t="shared" si="7"/>
        <v>-0.12400037398512791</v>
      </c>
      <c r="Q12" s="528">
        <f>IF(M12="","",IF(DEGREES(ATAN2(N12,O12))&lt;0,DEGREES(ATAN2(N12,O12))+360,IF(DEGREES(ATAN2(N12,O12))&gt;360,DEGREES(ATAN2(N12,O12))-360,DEGREES(ATAN2(N12,O12)))))</f>
        <v>89.9999736910613</v>
      </c>
      <c r="R12" s="572">
        <f t="shared" si="93"/>
        <v>2.1778065682648395</v>
      </c>
      <c r="S12" s="577">
        <f t="shared" si="94"/>
        <v>-0.12400037398512791</v>
      </c>
      <c r="T12" s="578">
        <f>IF(M12="","",X12*COS(RADIANS(W12)))</f>
        <v>2.1777682299284287</v>
      </c>
      <c r="U12" s="572">
        <f t="shared" si="96"/>
        <v>1.2922286634976771E-2</v>
      </c>
      <c r="V12" s="579">
        <f t="shared" si="135"/>
        <v>-0.12400037398512791</v>
      </c>
      <c r="W12" s="528">
        <f>IF(M12="","",IF(Q12-$Q$8&lt;0,360+Q12-$Q$8,Q12-$Q$8))</f>
        <v>0.33997364197138324</v>
      </c>
      <c r="X12" s="572">
        <f t="shared" si="97"/>
        <v>2.1778065682648395</v>
      </c>
      <c r="Y12" s="573">
        <f t="shared" si="9"/>
        <v>-0.12400037398512791</v>
      </c>
      <c r="Z12" s="575">
        <f t="shared" si="10"/>
        <v>0.96592583607220739</v>
      </c>
      <c r="AA12" s="572">
        <f t="shared" si="11"/>
        <v>-9.9999999999999995E-7</v>
      </c>
      <c r="AB12" s="572">
        <f t="shared" si="12"/>
        <v>-0.25881900859134593</v>
      </c>
      <c r="AC12" s="579">
        <f t="shared" si="98"/>
        <v>1.0000000000005</v>
      </c>
      <c r="AD12" s="580">
        <f t="shared" si="136"/>
        <v>0.96592583607172433</v>
      </c>
      <c r="AE12" s="572">
        <f t="shared" si="99"/>
        <v>-9.9999999999949999E-7</v>
      </c>
      <c r="AF12" s="576">
        <f t="shared" si="100"/>
        <v>-0.25881900859121654</v>
      </c>
      <c r="AG12" s="545">
        <f t="shared" si="101"/>
        <v>-2.2137392390395315E-4</v>
      </c>
      <c r="AH12" s="546">
        <f t="shared" si="102"/>
        <v>14.999997834375199</v>
      </c>
      <c r="AI12" s="528">
        <f t="shared" si="103"/>
        <v>-75.000002165739403</v>
      </c>
      <c r="AJ12" s="529">
        <f t="shared" si="104"/>
        <v>89.999940683044841</v>
      </c>
      <c r="AK12" s="578">
        <f t="shared" ref="AK12:AK105" si="234">IF(M12="","",(COS(RADIANS((90-$Q$8)-W12))*AD12)+(-SIN(RADIANS((90-$Q$8)-W12))*AE12))</f>
        <v>0.9659258360720816</v>
      </c>
      <c r="AL12" s="572">
        <f>IF(M12="","",(SIN(RADIANS((90-$Q$8)-W12))*AD12)+(COS(RADIANS((90-$Q$8)-W12))*AE12))</f>
        <v>-5.5646848988845077E-7</v>
      </c>
      <c r="AM12" s="577">
        <f t="shared" si="106"/>
        <v>-0.25881900859121654</v>
      </c>
      <c r="AN12" s="524">
        <f>IF(M12="","",DEGREES(ATAN2(-AM12,AL12)))</f>
        <v>-1.2318761313599841E-4</v>
      </c>
      <c r="AO12" s="525">
        <f t="shared" si="108"/>
        <v>14.999997834296105</v>
      </c>
      <c r="AP12" s="528">
        <f t="shared" si="109"/>
        <v>-3.3008016466642848E-5</v>
      </c>
      <c r="AQ12" s="529">
        <f t="shared" si="13"/>
        <v>0.79551642924214072</v>
      </c>
      <c r="AS12" s="899">
        <f t="shared" si="137"/>
        <v>0.33997364197138324</v>
      </c>
      <c r="AT12" s="895">
        <f>IF(M12="","",Y12+(((AS12-$AS$9)*$AS$6)*-1))</f>
        <v>-0.12400046232888778</v>
      </c>
      <c r="AU12" s="418"/>
      <c r="AV12" s="164">
        <f t="shared" si="15"/>
        <v>1.1100000000000001</v>
      </c>
      <c r="AW12" s="828">
        <f>IFERROR(INDEX(MassProp!C$9:C$150,MATCH($M12,MassProp!$B$9:$B$150,0)),"")</f>
        <v>2.0992999999999999</v>
      </c>
      <c r="AX12" s="829">
        <f>IFERROR(INDEX(MassProp!D$9:D$150,MATCH($M12,MassProp!$B$9:$B$150,0)),"")</f>
        <v>0.22770000000000001</v>
      </c>
      <c r="AY12" s="830">
        <f>IFERROR(INDEX(MassProp!E$9:E$150,MATCH($M12,MassProp!$B$9:$B$150,0)),"")</f>
        <v>3.8800000000000001E-2</v>
      </c>
      <c r="AZ12" s="297">
        <f t="shared" si="138"/>
        <v>0.51183637987616282</v>
      </c>
      <c r="BA12" s="296">
        <f t="shared" si="16"/>
        <v>3.5179222899284442E-2</v>
      </c>
      <c r="BB12" s="291">
        <f t="shared" si="139"/>
        <v>0.1617004623288878</v>
      </c>
      <c r="BC12" s="9"/>
      <c r="BD12" s="5">
        <f t="shared" ref="BD12:BD73" si="235">IF(ISNUMBER(AV12),AW12,"")</f>
        <v>2.0992999999999999</v>
      </c>
      <c r="BE12" s="6">
        <f t="shared" si="17"/>
        <v>3.7700088343759888E-2</v>
      </c>
      <c r="BF12" s="4">
        <f t="shared" si="18"/>
        <v>9.9999999999999995E-7</v>
      </c>
      <c r="BG12" s="5">
        <f t="shared" si="19"/>
        <v>2.1778065682646099</v>
      </c>
      <c r="BH12" s="10">
        <f t="shared" si="20"/>
        <v>-0.12400037398512791</v>
      </c>
      <c r="BI12" s="9">
        <f t="shared" si="140"/>
        <v>9.9999999999999995E-7</v>
      </c>
      <c r="BJ12" s="5">
        <f t="shared" si="21"/>
        <v>3.1778065682571457</v>
      </c>
      <c r="BK12" s="8">
        <f t="shared" si="22"/>
        <v>-0.12400423768897809</v>
      </c>
      <c r="BL12" s="173">
        <f t="shared" si="23"/>
        <v>0.25882000859314858</v>
      </c>
      <c r="BM12" s="5">
        <f t="shared" si="24"/>
        <v>2.1778103003159819</v>
      </c>
      <c r="BN12" s="6">
        <f t="shared" si="25"/>
        <v>0.84192546207938668</v>
      </c>
      <c r="BO12" s="4">
        <f t="shared" si="141"/>
        <v>0.965925836071724</v>
      </c>
      <c r="BP12" s="5">
        <f t="shared" si="142"/>
        <v>-1.0000000000010001E-6</v>
      </c>
      <c r="BQ12" s="5">
        <f t="shared" si="143"/>
        <v>-0.25881900859121665</v>
      </c>
      <c r="BR12" s="6">
        <f t="shared" si="144"/>
        <v>-3.2092441979038711E-2</v>
      </c>
      <c r="BS12" s="4">
        <f t="shared" si="110"/>
        <v>0</v>
      </c>
      <c r="BT12" s="5">
        <f t="shared" si="110"/>
        <v>0</v>
      </c>
      <c r="BU12" s="10">
        <f t="shared" si="111"/>
        <v>3.7700088343759888E-2</v>
      </c>
      <c r="BV12" s="9">
        <f t="shared" si="112"/>
        <v>0</v>
      </c>
      <c r="BW12" s="5">
        <f t="shared" si="113"/>
        <v>1</v>
      </c>
      <c r="BX12" s="8">
        <f t="shared" si="114"/>
        <v>3.7700088343759888E-2</v>
      </c>
      <c r="BY12" s="173">
        <f t="shared" si="115"/>
        <v>1</v>
      </c>
      <c r="BZ12" s="5">
        <f t="shared" si="116"/>
        <v>0</v>
      </c>
      <c r="CA12" s="6">
        <f t="shared" si="117"/>
        <v>3.7700088343759888E-2</v>
      </c>
      <c r="CB12" s="4">
        <f t="shared" si="145"/>
        <v>0</v>
      </c>
      <c r="CC12" s="5">
        <f t="shared" si="146"/>
        <v>0</v>
      </c>
      <c r="CD12" s="5">
        <f t="shared" si="147"/>
        <v>-1</v>
      </c>
      <c r="CE12" s="6">
        <f t="shared" si="148"/>
        <v>3.7700088343759888E-2</v>
      </c>
      <c r="CF12" s="4">
        <f t="shared" si="149"/>
        <v>1.0000000000010001E-6</v>
      </c>
      <c r="CG12" s="5">
        <f t="shared" si="150"/>
        <v>0.965925836071724</v>
      </c>
      <c r="CH12" s="5">
        <f t="shared" si="151"/>
        <v>0</v>
      </c>
      <c r="CI12" s="4">
        <f t="shared" si="118"/>
        <v>0</v>
      </c>
      <c r="CJ12" s="5">
        <f t="shared" si="119"/>
        <v>-41849.941467930075</v>
      </c>
      <c r="CK12" s="8">
        <f t="shared" si="120"/>
        <v>3.7700088343759888E-2</v>
      </c>
      <c r="CL12" s="173">
        <f t="shared" si="121"/>
        <v>1.0000000000010001E-6</v>
      </c>
      <c r="CM12" s="5">
        <f t="shared" si="122"/>
        <v>-41848.975542094006</v>
      </c>
      <c r="CN12" s="6">
        <f t="shared" si="123"/>
        <v>3.7700088343759888E-2</v>
      </c>
      <c r="CO12" s="167">
        <f t="shared" si="26"/>
        <v>0.26450000000000001</v>
      </c>
      <c r="CP12" s="4">
        <f t="shared" ref="CP12:CP74" si="236">IF(ISNUMBER($AV12),(CL12-CI12)^2+(CM12-CJ12)^2+(CN12-CK12)^2,"")</f>
        <v>0.9330127207881429</v>
      </c>
      <c r="CQ12" s="5">
        <f t="shared" ref="CQ12:CQ74" si="237">IF(ISNUMBER($AV12),2*((CL12-CI12)*(CI12-BF12)+(CM12-CJ12)*(CJ12-BG12)+(CN12-CK12)*(CK12-BH12)),"")</f>
        <v>-80852.086603025644</v>
      </c>
      <c r="CR12" s="5">
        <f t="shared" si="152"/>
        <v>1751599887.723022</v>
      </c>
      <c r="CS12" s="8">
        <f t="shared" si="153"/>
        <v>0.1565093994140625</v>
      </c>
      <c r="CT12" s="9">
        <f t="shared" si="154"/>
        <v>43328.713753986041</v>
      </c>
      <c r="CU12" s="6">
        <f t="shared" si="155"/>
        <v>43328.289737592873</v>
      </c>
      <c r="CV12" s="4">
        <f t="shared" ref="CV12:CV74" si="238">IF(ISNUMBER($AV12),CI12+($CT12*(CL12-CI12)),"")</f>
        <v>4.3328713754029372E-2</v>
      </c>
      <c r="CW12" s="5">
        <f t="shared" si="156"/>
        <v>2.3825907179561909</v>
      </c>
      <c r="CX12" s="8">
        <f t="shared" si="157"/>
        <v>3.7700088343759888E-2</v>
      </c>
      <c r="CY12" s="9">
        <f t="shared" si="158"/>
        <v>4.3328289737636208E-2</v>
      </c>
      <c r="CZ12" s="5">
        <f t="shared" si="159"/>
        <v>1.9730223288715933</v>
      </c>
      <c r="DA12" s="6">
        <f t="shared" si="160"/>
        <v>3.7700088343759888E-2</v>
      </c>
      <c r="DB12" s="4">
        <f t="shared" si="161"/>
        <v>0</v>
      </c>
      <c r="DC12" s="5">
        <f t="shared" si="161"/>
        <v>0</v>
      </c>
      <c r="DD12" s="10">
        <f t="shared" si="162"/>
        <v>-10</v>
      </c>
      <c r="DE12" s="9">
        <f t="shared" si="163"/>
        <v>0</v>
      </c>
      <c r="DF12" s="5">
        <f t="shared" si="163"/>
        <v>0</v>
      </c>
      <c r="DG12" s="10">
        <f t="shared" si="164"/>
        <v>10</v>
      </c>
      <c r="DH12" s="70">
        <f t="shared" si="165"/>
        <v>2.0992999999999999</v>
      </c>
      <c r="DI12" s="4">
        <f t="shared" si="166"/>
        <v>0</v>
      </c>
      <c r="DJ12" s="5">
        <f t="shared" si="167"/>
        <v>0</v>
      </c>
      <c r="DK12" s="10">
        <f t="shared" si="168"/>
        <v>20</v>
      </c>
      <c r="DL12" s="9">
        <f t="shared" si="169"/>
        <v>4.3328713754029372E-2</v>
      </c>
      <c r="DM12" s="173">
        <f t="shared" si="170"/>
        <v>2.3825907179561909</v>
      </c>
      <c r="DN12" s="178">
        <f t="shared" si="171"/>
        <v>10.03770008834376</v>
      </c>
      <c r="DO12" s="9">
        <f t="shared" si="172"/>
        <v>-4.2401639316347328E-7</v>
      </c>
      <c r="DP12" s="173">
        <f t="shared" si="173"/>
        <v>-0.40956838908459758</v>
      </c>
      <c r="DQ12" s="11">
        <f t="shared" si="174"/>
        <v>0</v>
      </c>
      <c r="DR12" s="173">
        <f t="shared" si="175"/>
        <v>200.75400176687521</v>
      </c>
      <c r="DS12" s="5">
        <f t="shared" si="176"/>
        <v>0</v>
      </c>
      <c r="DT12" s="5">
        <f t="shared" si="177"/>
        <v>400</v>
      </c>
      <c r="DU12" s="5">
        <f t="shared" si="178"/>
        <v>0.16774626533753212</v>
      </c>
      <c r="DV12" s="5">
        <f t="shared" si="179"/>
        <v>-0.97583386057331689</v>
      </c>
      <c r="DW12" s="5">
        <f t="shared" si="180"/>
        <v>106.4340389702629</v>
      </c>
      <c r="DX12" s="167">
        <f t="shared" si="181"/>
        <v>102.0269784802629</v>
      </c>
      <c r="DY12" s="9">
        <f t="shared" si="182"/>
        <v>67.098506135012855</v>
      </c>
      <c r="DZ12" s="5">
        <f t="shared" si="183"/>
        <v>-390.33354422932678</v>
      </c>
      <c r="EA12" s="10">
        <f t="shared" si="184"/>
        <v>508.62216669062764</v>
      </c>
      <c r="EB12" s="6">
        <f t="shared" si="185"/>
        <v>118232.48817853318</v>
      </c>
      <c r="EC12" s="173">
        <f t="shared" si="186"/>
        <v>10.941868908487232</v>
      </c>
      <c r="ED12" s="5">
        <f t="shared" si="187"/>
        <v>0.69277295504140246</v>
      </c>
      <c r="EE12" s="4">
        <f t="shared" si="188"/>
        <v>4.3324074222240327E-2</v>
      </c>
      <c r="EF12" s="5">
        <f t="shared" si="189"/>
        <v>-2.0988529044677682</v>
      </c>
      <c r="EG12" s="10">
        <f t="shared" si="190"/>
        <v>3.7700088343759888E-2</v>
      </c>
      <c r="EH12" s="9">
        <f t="shared" si="191"/>
        <v>4.3328420006939691E-2</v>
      </c>
      <c r="EI12" s="5">
        <f t="shared" si="192"/>
        <v>2.0988528147585073</v>
      </c>
      <c r="EJ12" s="6">
        <f t="shared" si="193"/>
        <v>3.7700088343759888E-2</v>
      </c>
      <c r="EK12" s="236" t="b">
        <f t="shared" si="194"/>
        <v>0</v>
      </c>
      <c r="EL12" s="238" t="b">
        <f t="shared" si="195"/>
        <v>1</v>
      </c>
      <c r="EM12" s="4">
        <f t="shared" si="196"/>
        <v>4.3328420006939691E-2</v>
      </c>
      <c r="EN12" s="5">
        <f t="shared" si="197"/>
        <v>2.0988528147585073</v>
      </c>
      <c r="EO12" s="10">
        <f t="shared" si="198"/>
        <v>3.7700088343759888E-2</v>
      </c>
      <c r="EP12" s="9">
        <f t="shared" si="199"/>
        <v>88.817362031175477</v>
      </c>
      <c r="EQ12" s="5">
        <f t="shared" si="200"/>
        <v>2.0993000000000017</v>
      </c>
      <c r="ER12" s="7">
        <f t="shared" si="201"/>
        <v>3.7700088343759888E-2</v>
      </c>
      <c r="ES12" s="21">
        <f t="shared" si="124"/>
        <v>0.96592583607172433</v>
      </c>
      <c r="ET12" s="5">
        <f t="shared" si="35"/>
        <v>-9.9999999999949999E-7</v>
      </c>
      <c r="EU12" s="10">
        <f t="shared" si="36"/>
        <v>-0.25881900859121654</v>
      </c>
      <c r="EV12" s="174">
        <f>IF(ISNUMBER($AV12),IF(($EV$1-EP12)&lt;0,(360+($EV$1-EP12)),($EV$1-EP12)),"")</f>
        <v>1.1826379688245225</v>
      </c>
      <c r="EW12" s="9">
        <f t="shared" si="125"/>
        <v>0.96572009870696018</v>
      </c>
      <c r="EX12" s="5">
        <f t="shared" si="37"/>
        <v>1.9935188619089845E-2</v>
      </c>
      <c r="EY12" s="6">
        <f t="shared" si="202"/>
        <v>-0.25881900859121654</v>
      </c>
      <c r="EZ12" s="51">
        <f t="shared" si="203"/>
        <v>0.82526195540968739</v>
      </c>
      <c r="FA12" s="266">
        <f t="shared" si="126"/>
        <v>0.99968327657283107</v>
      </c>
      <c r="FB12" s="267">
        <f t="shared" si="127"/>
        <v>-2.063731986191953E-2</v>
      </c>
      <c r="FC12" s="269">
        <f t="shared" si="38"/>
        <v>-1.4403040287569295E-2</v>
      </c>
      <c r="FD12" s="4">
        <f t="shared" si="128"/>
        <v>0.99989627083536747</v>
      </c>
      <c r="FE12" s="5">
        <f t="shared" si="39"/>
        <v>-5.8980598183211441E-17</v>
      </c>
      <c r="FF12" s="7">
        <f t="shared" si="204"/>
        <v>-1.4403040287569295E-2</v>
      </c>
      <c r="FG12" s="173">
        <f t="shared" si="205"/>
        <v>-3.4176172128407289E-2</v>
      </c>
      <c r="FH12" s="5">
        <f t="shared" si="40"/>
        <v>1.9935188619089904E-2</v>
      </c>
      <c r="FI12" s="10">
        <f t="shared" si="41"/>
        <v>-0.24441596830364723</v>
      </c>
      <c r="FJ12" s="279">
        <f t="shared" si="206"/>
        <v>14.22278851564613</v>
      </c>
      <c r="FK12" s="4">
        <f t="shared" si="42"/>
        <v>0.96592583607224192</v>
      </c>
      <c r="FL12" s="5">
        <f t="shared" si="207"/>
        <v>0.99989627083536747</v>
      </c>
      <c r="FM12" s="8">
        <f t="shared" si="208"/>
        <v>3.956542033934702E-2</v>
      </c>
      <c r="FN12" s="9">
        <f t="shared" si="209"/>
        <v>1.1825786518693693</v>
      </c>
      <c r="FO12" s="10">
        <f t="shared" si="43"/>
        <v>-1</v>
      </c>
      <c r="FP12" s="277">
        <f t="shared" si="44"/>
        <v>-1.1825786518693693</v>
      </c>
      <c r="FQ12" s="173">
        <f t="shared" ref="FQ12:FQ74" si="239">IF(ISNUMBER($AV12),SIN(RADIANS(FN12)),"")</f>
        <v>2.0638425720294239E-2</v>
      </c>
      <c r="FR12" s="10">
        <f t="shared" si="210"/>
        <v>0.99978700500846074</v>
      </c>
      <c r="FS12" s="9">
        <f t="shared" si="211"/>
        <v>2.0225314950799433E-2</v>
      </c>
      <c r="FT12" s="6">
        <f t="shared" si="212"/>
        <v>0.97977468504920051</v>
      </c>
      <c r="FU12" s="4">
        <f t="shared" si="213"/>
        <v>0.99980127438142485</v>
      </c>
      <c r="FV12" s="5">
        <f t="shared" si="214"/>
        <v>1</v>
      </c>
      <c r="FW12" s="8">
        <f t="shared" ref="FW12:FW74" si="240">IF(ISNUMBER($AV12),SQRT(FG12^2+FI12^2),"")</f>
        <v>0.24679379308070129</v>
      </c>
      <c r="FX12" s="9">
        <f t="shared" ref="FX12:FX74" si="241">IF(ISNUMBER($AV12),DEGREES(ACOS((FU12^2+FV12^2-FW12^2)/(2*FU12*FV12))),"")</f>
        <v>14.177787413389069</v>
      </c>
      <c r="FY12" s="10">
        <f t="shared" si="45"/>
        <v>1</v>
      </c>
      <c r="FZ12" s="277">
        <f t="shared" ref="FZ12:FZ74" si="242">IF(ISNUMBER($AV12),FX12*FY12,"")</f>
        <v>14.177787413389069</v>
      </c>
      <c r="GA12" s="177">
        <f t="shared" si="215"/>
        <v>14.174250563640438</v>
      </c>
      <c r="GB12" s="4">
        <f t="shared" si="216"/>
        <v>2.0009787084234489E-2</v>
      </c>
      <c r="GC12" s="5">
        <f t="shared" si="217"/>
        <v>0.96933387124251635</v>
      </c>
      <c r="GD12" s="10">
        <f t="shared" si="218"/>
        <v>-0.24493153019331826</v>
      </c>
      <c r="GE12" s="311">
        <f t="shared" si="219"/>
        <v>1.2342751885200691</v>
      </c>
      <c r="GF12" s="341">
        <f t="shared" ref="GF12:GF74" si="243">IF(ISNUMBER($AV12),1/GE12,"")</f>
        <v>0.81019209435703576</v>
      </c>
      <c r="GG12" s="285">
        <f t="shared" si="46"/>
        <v>1.6211771305414305E-2</v>
      </c>
      <c r="GH12" s="286">
        <f t="shared" si="47"/>
        <v>0.7853466392731876</v>
      </c>
      <c r="GI12" s="281">
        <f t="shared" si="48"/>
        <v>0.19844158942139808</v>
      </c>
      <c r="GJ12" s="167">
        <f t="shared" si="220"/>
        <v>2.0992999999999999</v>
      </c>
      <c r="GK12" s="174">
        <f t="shared" si="49"/>
        <v>1.0993049395965695</v>
      </c>
      <c r="GL12" s="174">
        <f t="shared" si="221"/>
        <v>3.8800000000000001E-2</v>
      </c>
      <c r="GM12" s="177">
        <f t="shared" ref="GM12:GM74" si="244">IF(ISNUMBER($AV12),AZ12,"")</f>
        <v>0.51183637987616282</v>
      </c>
      <c r="GN12" s="280">
        <f t="shared" si="222"/>
        <v>3.5179222899284442E-2</v>
      </c>
      <c r="GO12" s="4">
        <f t="shared" si="223"/>
        <v>-1.1825786518693693</v>
      </c>
      <c r="GP12" s="8">
        <f t="shared" ref="GP12:GP74" si="245">IF(ISNUMBER($AV12),FZ12,"")</f>
        <v>14.177787413389069</v>
      </c>
      <c r="GQ12" s="177">
        <f t="shared" si="224"/>
        <v>14.22278851564613</v>
      </c>
      <c r="GR12" s="371">
        <f t="shared" ref="GR12:GR74" si="246">IF(ISNUMBER($AV12),GS12+GU12+GY12,"")</f>
        <v>1629.3326866141886</v>
      </c>
      <c r="GS12" s="342">
        <f t="shared" si="51"/>
        <v>26.414368895825504</v>
      </c>
      <c r="GT12" s="343">
        <f t="shared" si="52"/>
        <v>24.028245434355306</v>
      </c>
      <c r="GU12" s="344">
        <f>IF(ISNUMBER($AV12),$GV12*$GK12,"")</f>
        <v>1279.5909496904069</v>
      </c>
      <c r="GV12" s="343">
        <f>IF(ISNUMBER($AV12),GW12*$GL12,"")</f>
        <v>1164</v>
      </c>
      <c r="GW12" s="345">
        <f t="shared" si="129"/>
        <v>30000</v>
      </c>
      <c r="GX12" s="346">
        <f>IF(ISNUMBER($AV12),($GJ12/12)*$GV12,"")</f>
        <v>203.63210000000001</v>
      </c>
      <c r="GY12" s="344">
        <f t="shared" si="55"/>
        <v>323.32736802795631</v>
      </c>
      <c r="GZ12" s="345">
        <f t="shared" si="56"/>
        <v>294.1198173334991</v>
      </c>
      <c r="HA12" s="342">
        <f t="shared" si="57"/>
        <v>-26.414368895825504</v>
      </c>
      <c r="HB12" s="5">
        <f t="shared" si="225"/>
        <v>1.1826379688245225</v>
      </c>
      <c r="HC12" s="343">
        <f t="shared" si="226"/>
        <v>-26.408742203150041</v>
      </c>
      <c r="HD12" s="345">
        <f t="shared" si="227"/>
        <v>-0.54517833074671163</v>
      </c>
      <c r="HE12" s="344">
        <f t="shared" si="58"/>
        <v>1164</v>
      </c>
      <c r="HF12" s="5">
        <f t="shared" si="59"/>
        <v>91.182637968824523</v>
      </c>
      <c r="HG12" s="343">
        <f t="shared" si="228"/>
        <v>-24.024332343198999</v>
      </c>
      <c r="HH12" s="349">
        <f t="shared" si="229"/>
        <v>1163.7520489586532</v>
      </c>
      <c r="HI12" s="317">
        <f t="shared" si="60"/>
        <v>1.1100000000000001</v>
      </c>
      <c r="HJ12" s="336"/>
      <c r="HK12" s="310">
        <f t="shared" si="130"/>
        <v>4</v>
      </c>
      <c r="HL12" s="348">
        <f t="shared" si="61"/>
        <v>1.1040000000000001</v>
      </c>
      <c r="HM12" s="934">
        <f t="shared" si="62"/>
        <v>-2.938887019640863</v>
      </c>
      <c r="HN12" s="935">
        <f t="shared" si="63"/>
        <v>14.999997834260839</v>
      </c>
      <c r="HO12" s="936"/>
      <c r="HP12" s="937"/>
      <c r="HQ12" s="935">
        <f t="shared" si="64"/>
        <v>13.272567982752351</v>
      </c>
      <c r="HR12" s="938">
        <f t="shared" si="65"/>
        <v>12.97078259838888</v>
      </c>
      <c r="HS12" s="939">
        <f>IFERROR(SMALL($GJ$9:$GJ$150,($HK11+1)),"")</f>
        <v>0.84560000000000002</v>
      </c>
      <c r="HT12" s="940">
        <f t="shared" si="66"/>
        <v>3.8800000000000001E-2</v>
      </c>
      <c r="HU12" s="941">
        <f t="shared" si="67"/>
        <v>0.20627855869338002</v>
      </c>
      <c r="HV12" s="942">
        <f t="shared" si="68"/>
        <v>1.4177810880448326E-2</v>
      </c>
      <c r="HW12" s="943">
        <f t="shared" si="69"/>
        <v>30000</v>
      </c>
      <c r="HX12" s="950">
        <f t="shared" si="70"/>
        <v>82.023200000000003</v>
      </c>
      <c r="HY12" s="955">
        <f t="shared" si="71"/>
        <v>26.474969299998673</v>
      </c>
      <c r="HZ12" s="956">
        <f t="shared" si="72"/>
        <v>515.69639673345</v>
      </c>
      <c r="IA12" s="957">
        <f t="shared" si="73"/>
        <v>118.93736384642283</v>
      </c>
      <c r="IB12" s="958">
        <f t="shared" si="74"/>
        <v>661.10872987987148</v>
      </c>
      <c r="IC12" s="841">
        <f t="shared" si="75"/>
        <v>59.757765344881562</v>
      </c>
      <c r="ID12" s="351">
        <f t="shared" si="76"/>
        <v>1164</v>
      </c>
      <c r="IE12" s="843">
        <f t="shared" si="77"/>
        <v>268.45852015676149</v>
      </c>
      <c r="IF12" s="844"/>
      <c r="IG12" s="789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7">
        <f t="shared" si="230"/>
        <v>1.1100000000000001</v>
      </c>
      <c r="IJ12" s="967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8"/>
        <v>1313</v>
      </c>
      <c r="IM12" s="482" t="str">
        <f t="shared" si="231"/>
        <v/>
      </c>
      <c r="IN12" s="670" t="str">
        <f t="shared" si="80"/>
        <v/>
      </c>
      <c r="IO12" s="702"/>
      <c r="IP12" s="5" t="str">
        <f t="shared" si="81"/>
        <v/>
      </c>
      <c r="IQ12" s="714"/>
      <c r="IR12" s="9" t="str">
        <f t="shared" si="131"/>
        <v/>
      </c>
      <c r="IS12" s="5" t="str">
        <f t="shared" si="82"/>
        <v/>
      </c>
      <c r="IT12" s="5" t="str">
        <f t="shared" si="83"/>
        <v/>
      </c>
      <c r="IU12" s="5" t="str">
        <f t="shared" si="84"/>
        <v/>
      </c>
      <c r="IV12" s="670" t="str">
        <f t="shared" si="85"/>
        <v/>
      </c>
      <c r="IW12" s="9" t="str">
        <f t="shared" si="86"/>
        <v/>
      </c>
      <c r="IX12" s="5" t="str">
        <f t="shared" si="87"/>
        <v/>
      </c>
      <c r="IY12" s="5" t="str">
        <f t="shared" si="88"/>
        <v/>
      </c>
      <c r="IZ12" s="5" t="str">
        <f t="shared" si="89"/>
        <v/>
      </c>
      <c r="JA12" s="705" t="str">
        <f t="shared" si="9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ref="B13:D13" si="247">IFERROR(O168+($A13*-E13),"")</f>
        <v>1.7001201285133716E-2</v>
      </c>
      <c r="C13" s="572">
        <f t="shared" si="247"/>
        <v>2.864958197145651</v>
      </c>
      <c r="D13" s="576">
        <f t="shared" si="247"/>
        <v>-5.2500158340477561E-2</v>
      </c>
      <c r="E13" s="580">
        <f t="shared" ref="E13:K13" si="248">R168</f>
        <v>-0.95175588380876563</v>
      </c>
      <c r="F13" s="572">
        <f t="shared" si="248"/>
        <v>6.3561420389576684E-2</v>
      </c>
      <c r="G13" s="579">
        <f t="shared" si="248"/>
        <v>0.30020107173935096</v>
      </c>
      <c r="H13" s="580">
        <f t="shared" si="248"/>
        <v>0.3125</v>
      </c>
      <c r="I13" s="572">
        <f t="shared" si="248"/>
        <v>0.52</v>
      </c>
      <c r="J13" s="483">
        <f t="shared" si="92"/>
        <v>1.113</v>
      </c>
      <c r="K13" s="805">
        <f t="shared" si="248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1.7001201285133716E-2</v>
      </c>
      <c r="O13" s="572">
        <f t="shared" si="6"/>
        <v>2.864958197145651</v>
      </c>
      <c r="P13" s="576">
        <f t="shared" si="7"/>
        <v>-5.2500158340477561E-2</v>
      </c>
      <c r="Q13" s="528">
        <f t="shared" si="134"/>
        <v>89.660000049089916</v>
      </c>
      <c r="R13" s="572">
        <f t="shared" si="93"/>
        <v>2.8650086408660616</v>
      </c>
      <c r="S13" s="577">
        <f t="shared" si="94"/>
        <v>-5.2500158340477561E-2</v>
      </c>
      <c r="T13" s="578">
        <f>IF(M13="","",X13*COS(RADIANS(W13)))</f>
        <v>2.8650086408660616</v>
      </c>
      <c r="U13" s="572">
        <f t="shared" si="96"/>
        <v>0</v>
      </c>
      <c r="V13" s="579">
        <f t="shared" si="135"/>
        <v>-5.2500158340477561E-2</v>
      </c>
      <c r="W13" s="528">
        <f t="shared" si="8"/>
        <v>0</v>
      </c>
      <c r="X13" s="572">
        <f t="shared" si="97"/>
        <v>2.8650086408660616</v>
      </c>
      <c r="Y13" s="573">
        <f t="shared" si="9"/>
        <v>-5.2500158340477561E-2</v>
      </c>
      <c r="Z13" s="575">
        <f t="shared" si="10"/>
        <v>0.95175588380876563</v>
      </c>
      <c r="AA13" s="572">
        <f t="shared" si="11"/>
        <v>-6.3561420389576684E-2</v>
      </c>
      <c r="AB13" s="572">
        <f t="shared" si="12"/>
        <v>-0.30020107173935096</v>
      </c>
      <c r="AC13" s="579">
        <f t="shared" si="98"/>
        <v>1</v>
      </c>
      <c r="AD13" s="580">
        <f>IF(M13="","",Z13*(1/SQRT(Z13^2+AA13^2+AB13^2)))</f>
        <v>0.95175588380876563</v>
      </c>
      <c r="AE13" s="572">
        <f t="shared" si="99"/>
        <v>-6.3561420389576684E-2</v>
      </c>
      <c r="AF13" s="576">
        <f t="shared" si="100"/>
        <v>-0.30020107173935096</v>
      </c>
      <c r="AG13" s="545">
        <f>IF(M13="","",DEGREES(ATAN2(-AF13,AE13)))</f>
        <v>-11.954653212340279</v>
      </c>
      <c r="AH13" s="546">
        <f t="shared" si="102"/>
        <v>17.869873250131086</v>
      </c>
      <c r="AI13" s="528">
        <f t="shared" si="103"/>
        <v>-72.530319645389753</v>
      </c>
      <c r="AJ13" s="529">
        <f t="shared" si="104"/>
        <v>86.179270889499648</v>
      </c>
      <c r="AK13" s="578">
        <f t="shared" si="234"/>
        <v>0.95211630519793056</v>
      </c>
      <c r="AL13" s="572">
        <f t="shared" si="105"/>
        <v>-5.7912502128523891E-2</v>
      </c>
      <c r="AM13" s="577">
        <f t="shared" si="106"/>
        <v>-0.30020107173935096</v>
      </c>
      <c r="AN13" s="524">
        <f t="shared" si="107"/>
        <v>-10.91893356120597</v>
      </c>
      <c r="AO13" s="525">
        <f t="shared" si="108"/>
        <v>17.80245280528338</v>
      </c>
      <c r="AP13" s="528">
        <f t="shared" si="109"/>
        <v>-3.4807291595902727</v>
      </c>
      <c r="AQ13" s="529">
        <f t="shared" si="13"/>
        <v>0.60471995839922177</v>
      </c>
      <c r="AS13" s="899">
        <f t="shared" si="137"/>
        <v>0</v>
      </c>
      <c r="AT13" s="895">
        <f t="shared" si="14"/>
        <v>-5.232081615097476E-2</v>
      </c>
      <c r="AU13" s="418"/>
      <c r="AV13" s="164">
        <f t="shared" si="15"/>
        <v>1.113</v>
      </c>
      <c r="AW13" s="828">
        <f>IFERROR(INDEX(MassProp!C$9:C$150,MATCH($M13,MassProp!$B$9:$B$150,0)),"")</f>
        <v>2.8643999999999998</v>
      </c>
      <c r="AX13" s="829">
        <f>IFERROR(INDEX(MassProp!D$9:D$150,MATCH($M13,MassProp!$B$9:$B$150,0)),"")</f>
        <v>0.38290000000000002</v>
      </c>
      <c r="AY13" s="830">
        <f>IFERROR(INDEX(MassProp!E$9:E$150,MATCH($M13,MassProp!$B$9:$B$150,0)),"")</f>
        <v>2.6599999999999999E-2</v>
      </c>
      <c r="AZ13" s="297">
        <f t="shared" si="138"/>
        <v>0.47876166620519678</v>
      </c>
      <c r="BA13" s="296">
        <f t="shared" si="16"/>
        <v>3.2905952044949234E-2</v>
      </c>
      <c r="BB13" s="291">
        <f t="shared" si="139"/>
        <v>0.24522081615097477</v>
      </c>
      <c r="BC13" s="9"/>
      <c r="BD13" s="5">
        <f t="shared" si="235"/>
        <v>2.8643999999999998</v>
      </c>
      <c r="BE13" s="6">
        <f t="shared" si="17"/>
        <v>0.19272065781049721</v>
      </c>
      <c r="BF13" s="4">
        <f t="shared" si="18"/>
        <v>1.7001201285133716E-2</v>
      </c>
      <c r="BG13" s="5">
        <f t="shared" si="19"/>
        <v>2.864958197145651</v>
      </c>
      <c r="BH13" s="10">
        <f t="shared" si="20"/>
        <v>-5.2500158340477561E-2</v>
      </c>
      <c r="BI13" s="9">
        <f t="shared" si="140"/>
        <v>1.7001201285133716E-2</v>
      </c>
      <c r="BJ13" s="5">
        <f t="shared" si="21"/>
        <v>3.8432700433728613</v>
      </c>
      <c r="BK13" s="8">
        <f t="shared" si="22"/>
        <v>-0.25963762846963423</v>
      </c>
      <c r="BL13" s="173">
        <f t="shared" si="23"/>
        <v>0.32385741783515798</v>
      </c>
      <c r="BM13" s="5">
        <f t="shared" si="24"/>
        <v>3.0621025030983384</v>
      </c>
      <c r="BN13" s="6">
        <f t="shared" si="25"/>
        <v>0.87861389750608609</v>
      </c>
      <c r="BO13" s="4">
        <f t="shared" si="141"/>
        <v>0.95175588380876541</v>
      </c>
      <c r="BP13" s="5">
        <f t="shared" si="142"/>
        <v>-6.3561420389576684E-2</v>
      </c>
      <c r="BQ13" s="5">
        <f t="shared" si="143"/>
        <v>-0.30020107173935096</v>
      </c>
      <c r="BR13" s="6">
        <f t="shared" si="144"/>
        <v>0.15015921521209832</v>
      </c>
      <c r="BS13" s="4">
        <f t="shared" si="110"/>
        <v>0</v>
      </c>
      <c r="BT13" s="5">
        <f t="shared" si="110"/>
        <v>0</v>
      </c>
      <c r="BU13" s="10">
        <f t="shared" si="111"/>
        <v>0.19272065781049721</v>
      </c>
      <c r="BV13" s="9">
        <f t="shared" si="112"/>
        <v>0</v>
      </c>
      <c r="BW13" s="5">
        <f t="shared" si="113"/>
        <v>1</v>
      </c>
      <c r="BX13" s="8">
        <f t="shared" si="114"/>
        <v>0.19272065781049721</v>
      </c>
      <c r="BY13" s="173">
        <f t="shared" si="115"/>
        <v>1</v>
      </c>
      <c r="BZ13" s="5">
        <f t="shared" si="116"/>
        <v>0</v>
      </c>
      <c r="CA13" s="6">
        <f t="shared" si="117"/>
        <v>0.19272065781049721</v>
      </c>
      <c r="CB13" s="4">
        <f t="shared" si="145"/>
        <v>0</v>
      </c>
      <c r="CC13" s="5">
        <f t="shared" si="146"/>
        <v>0</v>
      </c>
      <c r="CD13" s="5">
        <f t="shared" si="147"/>
        <v>-1</v>
      </c>
      <c r="CE13" s="6">
        <f t="shared" si="148"/>
        <v>0.19272065781049721</v>
      </c>
      <c r="CF13" s="4">
        <f t="shared" si="149"/>
        <v>6.3561420389576684E-2</v>
      </c>
      <c r="CG13" s="5">
        <f t="shared" si="150"/>
        <v>0.95175588380876541</v>
      </c>
      <c r="CH13" s="5">
        <f t="shared" si="151"/>
        <v>0</v>
      </c>
      <c r="CI13" s="4">
        <f t="shared" si="118"/>
        <v>0</v>
      </c>
      <c r="CJ13" s="5">
        <f t="shared" si="119"/>
        <v>1.4522058604941299</v>
      </c>
      <c r="CK13" s="8">
        <f t="shared" si="120"/>
        <v>0.19272065781049721</v>
      </c>
      <c r="CL13" s="173">
        <f t="shared" si="121"/>
        <v>6.3561420389576684E-2</v>
      </c>
      <c r="CM13" s="5">
        <f t="shared" si="122"/>
        <v>2.4039617443028956</v>
      </c>
      <c r="CN13" s="6">
        <f t="shared" si="123"/>
        <v>0.19272065781049721</v>
      </c>
      <c r="CO13" s="167">
        <f t="shared" si="26"/>
        <v>0.3125</v>
      </c>
      <c r="CP13" s="4">
        <f t="shared" si="236"/>
        <v>0.90987931652654508</v>
      </c>
      <c r="CQ13" s="5">
        <f t="shared" si="237"/>
        <v>-2.6913519385493587</v>
      </c>
      <c r="CR13" s="5">
        <f t="shared" si="152"/>
        <v>1.9586352042332198</v>
      </c>
      <c r="CS13" s="8">
        <f t="shared" si="153"/>
        <v>0.11488861332318301</v>
      </c>
      <c r="CT13" s="9">
        <f t="shared" si="154"/>
        <v>1.6652231302452716</v>
      </c>
      <c r="CU13" s="6">
        <f t="shared" si="155"/>
        <v>1.2926987497943441</v>
      </c>
      <c r="CV13" s="4">
        <f t="shared" si="238"/>
        <v>0.10584394742396651</v>
      </c>
      <c r="CW13" s="5">
        <f t="shared" si="156"/>
        <v>3.0370917725595179</v>
      </c>
      <c r="CX13" s="8">
        <f t="shared" si="157"/>
        <v>0.19272065781049721</v>
      </c>
      <c r="CY13" s="9">
        <f t="shared" si="158"/>
        <v>8.2165768672758516E-2</v>
      </c>
      <c r="CZ13" s="5">
        <f t="shared" si="159"/>
        <v>2.6825395016031321</v>
      </c>
      <c r="DA13" s="6">
        <f t="shared" si="160"/>
        <v>0.19272065781049721</v>
      </c>
      <c r="DB13" s="4">
        <f t="shared" si="161"/>
        <v>0</v>
      </c>
      <c r="DC13" s="5">
        <f t="shared" si="161"/>
        <v>0</v>
      </c>
      <c r="DD13" s="10">
        <f t="shared" si="162"/>
        <v>-10</v>
      </c>
      <c r="DE13" s="9">
        <f t="shared" si="163"/>
        <v>0</v>
      </c>
      <c r="DF13" s="5">
        <f t="shared" si="163"/>
        <v>0</v>
      </c>
      <c r="DG13" s="10">
        <f t="shared" si="164"/>
        <v>10</v>
      </c>
      <c r="DH13" s="70">
        <f t="shared" si="165"/>
        <v>2.8643999999999998</v>
      </c>
      <c r="DI13" s="4">
        <f t="shared" si="166"/>
        <v>0</v>
      </c>
      <c r="DJ13" s="5">
        <f t="shared" si="167"/>
        <v>0</v>
      </c>
      <c r="DK13" s="10">
        <f t="shared" si="168"/>
        <v>20</v>
      </c>
      <c r="DL13" s="9">
        <f t="shared" si="169"/>
        <v>0.10584394742396651</v>
      </c>
      <c r="DM13" s="173">
        <f t="shared" si="170"/>
        <v>3.0370917725595179</v>
      </c>
      <c r="DN13" s="178">
        <f t="shared" si="171"/>
        <v>10.192720657810497</v>
      </c>
      <c r="DO13" s="9">
        <f t="shared" si="172"/>
        <v>-2.3678178751207993E-2</v>
      </c>
      <c r="DP13" s="173">
        <f t="shared" si="173"/>
        <v>-0.35455227095638575</v>
      </c>
      <c r="DQ13" s="11">
        <f t="shared" si="174"/>
        <v>0</v>
      </c>
      <c r="DR13" s="173">
        <f t="shared" si="175"/>
        <v>203.85441315620994</v>
      </c>
      <c r="DS13" s="5">
        <f t="shared" si="176"/>
        <v>0</v>
      </c>
      <c r="DT13" s="5">
        <f t="shared" si="177"/>
        <v>400</v>
      </c>
      <c r="DU13" s="5">
        <f t="shared" si="178"/>
        <v>0.12626796898930454</v>
      </c>
      <c r="DV13" s="5">
        <f t="shared" si="179"/>
        <v>-1.0793139769707703</v>
      </c>
      <c r="DW13" s="5">
        <f t="shared" si="180"/>
        <v>113.12668378431185</v>
      </c>
      <c r="DX13" s="167">
        <f t="shared" si="181"/>
        <v>104.92189642431185</v>
      </c>
      <c r="DY13" s="9">
        <f t="shared" si="182"/>
        <v>50.507187595721817</v>
      </c>
      <c r="DZ13" s="5">
        <f t="shared" si="183"/>
        <v>-431.72559078830812</v>
      </c>
      <c r="EA13" s="10">
        <f t="shared" si="184"/>
        <v>412.13680646199646</v>
      </c>
      <c r="EB13" s="6">
        <f t="shared" si="185"/>
        <v>165571.11474243595</v>
      </c>
      <c r="EC13" s="173">
        <f t="shared" si="186"/>
        <v>16.604169373213793</v>
      </c>
      <c r="ED13" s="5">
        <f t="shared" si="187"/>
        <v>0.49144063160370549</v>
      </c>
      <c r="EE13" s="4">
        <f t="shared" si="188"/>
        <v>-0.28731254301032283</v>
      </c>
      <c r="EF13" s="5">
        <f t="shared" si="189"/>
        <v>-2.849954186057901</v>
      </c>
      <c r="EG13" s="10">
        <f t="shared" si="190"/>
        <v>0.19272065781049721</v>
      </c>
      <c r="EH13" s="9">
        <f t="shared" si="191"/>
        <v>9.4207528303247412E-2</v>
      </c>
      <c r="EI13" s="5">
        <f t="shared" si="192"/>
        <v>2.8628503805841836</v>
      </c>
      <c r="EJ13" s="6">
        <f t="shared" si="193"/>
        <v>0.19272065781049721</v>
      </c>
      <c r="EK13" s="236" t="b">
        <f t="shared" si="194"/>
        <v>0</v>
      </c>
      <c r="EL13" s="238" t="b">
        <f t="shared" si="195"/>
        <v>1</v>
      </c>
      <c r="EM13" s="4">
        <f t="shared" si="196"/>
        <v>9.4207528303247412E-2</v>
      </c>
      <c r="EN13" s="5">
        <f t="shared" si="197"/>
        <v>2.8628503805841836</v>
      </c>
      <c r="EO13" s="10">
        <f t="shared" si="198"/>
        <v>0.19272065781049721</v>
      </c>
      <c r="EP13" s="9">
        <f t="shared" si="199"/>
        <v>88.115253682534657</v>
      </c>
      <c r="EQ13" s="5">
        <f t="shared" si="200"/>
        <v>2.8644000000000021</v>
      </c>
      <c r="ER13" s="7">
        <f t="shared" si="201"/>
        <v>0.19272065781049721</v>
      </c>
      <c r="ES13" s="21">
        <f t="shared" si="124"/>
        <v>0.95175588380876563</v>
      </c>
      <c r="ET13" s="5">
        <f t="shared" si="35"/>
        <v>-6.3561420389576684E-2</v>
      </c>
      <c r="EU13" s="10">
        <f t="shared" si="36"/>
        <v>-0.30020107173935096</v>
      </c>
      <c r="EV13" s="174">
        <f>IF(ISNUMBER($AV13),IF(($EV$1-EP13)&lt;0,(360+($EV$1-EP13)),($EV$1-EP13)),"")</f>
        <v>1.8847463174653427</v>
      </c>
      <c r="EW13" s="9">
        <f t="shared" si="125"/>
        <v>0.95333146854332651</v>
      </c>
      <c r="EX13" s="5">
        <f t="shared" si="37"/>
        <v>-3.2224642923849613E-2</v>
      </c>
      <c r="EY13" s="6">
        <f t="shared" si="202"/>
        <v>-0.30020107173935096</v>
      </c>
      <c r="EZ13" s="51">
        <f t="shared" si="203"/>
        <v>0.60484844252786618</v>
      </c>
      <c r="FA13" s="266">
        <f t="shared" si="126"/>
        <v>0.99940331711965025</v>
      </c>
      <c r="FB13" s="267">
        <f t="shared" si="127"/>
        <v>-3.288726400878008E-2</v>
      </c>
      <c r="FC13" s="269">
        <f t="shared" si="38"/>
        <v>-1.0556400724518024E-2</v>
      </c>
      <c r="FD13" s="4">
        <f t="shared" si="128"/>
        <v>0.99994427964949306</v>
      </c>
      <c r="FE13" s="5">
        <f t="shared" si="39"/>
        <v>-1.1796119636642288E-16</v>
      </c>
      <c r="FF13" s="7">
        <f t="shared" si="204"/>
        <v>-1.0556400724518024E-2</v>
      </c>
      <c r="FG13" s="173">
        <f t="shared" si="205"/>
        <v>-4.6612811106166552E-2</v>
      </c>
      <c r="FH13" s="5">
        <f t="shared" si="40"/>
        <v>-3.2224642923849495E-2</v>
      </c>
      <c r="FI13" s="10">
        <f t="shared" si="41"/>
        <v>-0.28964467101483293</v>
      </c>
      <c r="FJ13" s="279">
        <f t="shared" si="206"/>
        <v>16.972025544775537</v>
      </c>
      <c r="FK13" s="4">
        <f t="shared" si="42"/>
        <v>0.95387594399195597</v>
      </c>
      <c r="FL13" s="5">
        <f t="shared" si="207"/>
        <v>0.99994427964949295</v>
      </c>
      <c r="FM13" s="8">
        <f t="shared" si="208"/>
        <v>5.6667290130980916E-2</v>
      </c>
      <c r="FN13" s="9">
        <f t="shared" si="209"/>
        <v>1.9359827930350482</v>
      </c>
      <c r="FO13" s="10">
        <f t="shared" si="43"/>
        <v>1</v>
      </c>
      <c r="FP13" s="277">
        <f t="shared" si="44"/>
        <v>1.9359827930350482</v>
      </c>
      <c r="FQ13" s="173">
        <f t="shared" si="239"/>
        <v>3.3782844747075332E-2</v>
      </c>
      <c r="FR13" s="10">
        <f t="shared" si="210"/>
        <v>0.99942919679224651</v>
      </c>
      <c r="FS13" s="9">
        <f t="shared" si="211"/>
        <v>3.2696913497779471E-2</v>
      </c>
      <c r="FT13" s="6">
        <f t="shared" si="212"/>
        <v>0.96730308650222063</v>
      </c>
      <c r="FU13" s="4">
        <f t="shared" si="213"/>
        <v>0.99948065133269615</v>
      </c>
      <c r="FV13" s="5">
        <f t="shared" si="214"/>
        <v>1</v>
      </c>
      <c r="FW13" s="8">
        <f t="shared" si="240"/>
        <v>0.29337141920526266</v>
      </c>
      <c r="FX13" s="9">
        <f t="shared" si="241"/>
        <v>16.874201894651751</v>
      </c>
      <c r="FY13" s="10">
        <f t="shared" si="45"/>
        <v>1</v>
      </c>
      <c r="FZ13" s="277">
        <f t="shared" si="242"/>
        <v>16.874201894651751</v>
      </c>
      <c r="GA13" s="177">
        <f t="shared" si="215"/>
        <v>16.864582951505191</v>
      </c>
      <c r="GB13" s="4">
        <f t="shared" si="216"/>
        <v>-3.2328303393389497E-2</v>
      </c>
      <c r="GC13" s="5">
        <f t="shared" si="217"/>
        <v>0.95639815225769376</v>
      </c>
      <c r="GD13" s="10">
        <f t="shared" si="218"/>
        <v>-0.29027134746263561</v>
      </c>
      <c r="GE13" s="311">
        <f t="shared" si="219"/>
        <v>1.278997803113719</v>
      </c>
      <c r="GF13" s="341">
        <f t="shared" si="243"/>
        <v>0.78186217174533135</v>
      </c>
      <c r="GG13" s="285">
        <f t="shared" si="46"/>
        <v>2.5276277499997477E-2</v>
      </c>
      <c r="GH13" s="286">
        <f t="shared" si="47"/>
        <v>0.74777153637742244</v>
      </c>
      <c r="GI13" s="281">
        <f t="shared" si="48"/>
        <v>0.22695218612257995</v>
      </c>
      <c r="GJ13" s="167">
        <f t="shared" si="220"/>
        <v>2.8643999999999998</v>
      </c>
      <c r="GK13" s="174">
        <f t="shared" si="49"/>
        <v>1.4998799066578847</v>
      </c>
      <c r="GL13" s="174">
        <f t="shared" si="221"/>
        <v>2.6599999999999999E-2</v>
      </c>
      <c r="GM13" s="177">
        <f t="shared" si="244"/>
        <v>0.47876166620519678</v>
      </c>
      <c r="GN13" s="280">
        <f t="shared" si="222"/>
        <v>3.2905952044949234E-2</v>
      </c>
      <c r="GO13" s="4">
        <f t="shared" si="223"/>
        <v>1.9359827930350482</v>
      </c>
      <c r="GP13" s="8">
        <f t="shared" si="245"/>
        <v>16.874201894651751</v>
      </c>
      <c r="GQ13" s="177">
        <f t="shared" si="224"/>
        <v>16.972025544775537</v>
      </c>
      <c r="GR13" s="371">
        <f t="shared" si="246"/>
        <v>1600.6281428033371</v>
      </c>
      <c r="GS13" s="342">
        <f t="shared" si="51"/>
        <v>40.457921111802747</v>
      </c>
      <c r="GT13" s="343">
        <f t="shared" si="52"/>
        <v>26.9741070149765</v>
      </c>
      <c r="GU13" s="344">
        <f>IF(ISNUMBER($AV13),$GV13*$GK13,"")</f>
        <v>1196.904165512992</v>
      </c>
      <c r="GV13" s="343">
        <f>IF(ISNUMBER($AV13),GW13*$GL13,"")</f>
        <v>798</v>
      </c>
      <c r="GW13" s="345">
        <f t="shared" si="129"/>
        <v>30000</v>
      </c>
      <c r="GX13" s="346">
        <f>IF(ISNUMBER($AV13),($GJ13/12)*$GV13,"")</f>
        <v>190.48259999999999</v>
      </c>
      <c r="GY13" s="344">
        <f t="shared" si="55"/>
        <v>363.2660561785425</v>
      </c>
      <c r="GZ13" s="345">
        <f t="shared" si="56"/>
        <v>242.19676159806153</v>
      </c>
      <c r="HA13" s="342">
        <f t="shared" si="57"/>
        <v>40.457921111802747</v>
      </c>
      <c r="HB13" s="5">
        <f t="shared" si="225"/>
        <v>1.8847463174653427</v>
      </c>
      <c r="HC13" s="343">
        <f t="shared" si="226"/>
        <v>40.43603367287016</v>
      </c>
      <c r="HD13" s="345">
        <f t="shared" si="227"/>
        <v>1.3306244757124295</v>
      </c>
      <c r="HE13" s="344">
        <f t="shared" si="58"/>
        <v>798</v>
      </c>
      <c r="HF13" s="5">
        <f t="shared" si="59"/>
        <v>91.884746317465343</v>
      </c>
      <c r="HG13" s="343">
        <f t="shared" si="228"/>
        <v>-26.245499087414796</v>
      </c>
      <c r="HH13" s="349">
        <f t="shared" si="229"/>
        <v>797.56828784603306</v>
      </c>
      <c r="HI13" s="317">
        <f t="shared" si="60"/>
        <v>1.113</v>
      </c>
      <c r="HJ13" s="336"/>
      <c r="HK13" s="310">
        <f t="shared" si="130"/>
        <v>5</v>
      </c>
      <c r="HL13" s="348">
        <f t="shared" si="61"/>
        <v>5.1050000000000004</v>
      </c>
      <c r="HM13" s="934">
        <f t="shared" si="62"/>
        <v>-2.3298708663265351</v>
      </c>
      <c r="HN13" s="935">
        <f t="shared" si="63"/>
        <v>14.99999783426823</v>
      </c>
      <c r="HO13" s="936"/>
      <c r="HP13" s="937"/>
      <c r="HQ13" s="935">
        <f t="shared" si="64"/>
        <v>13.553012468106658</v>
      </c>
      <c r="HR13" s="938">
        <f t="shared" si="65"/>
        <v>13.368317350745077</v>
      </c>
      <c r="HS13" s="939">
        <f t="shared" ref="HS13:HS41" si="249">IFERROR(SMALL($GJ$9:$GJ$150,($HK12+1)),"")</f>
        <v>1.0539000000000001</v>
      </c>
      <c r="HT13" s="940">
        <f t="shared" si="66"/>
        <v>4.0099999999999997E-2</v>
      </c>
      <c r="HU13" s="941">
        <f t="shared" si="67"/>
        <v>0.26564542779410244</v>
      </c>
      <c r="HV13" s="942">
        <f t="shared" si="68"/>
        <v>1.8258177972432402E-2</v>
      </c>
      <c r="HW13" s="943">
        <f t="shared" si="69"/>
        <v>30000</v>
      </c>
      <c r="HX13" s="950">
        <f t="shared" si="70"/>
        <v>105.653475</v>
      </c>
      <c r="HY13" s="955">
        <f t="shared" si="71"/>
        <v>27.020354424258706</v>
      </c>
      <c r="HZ13" s="956">
        <f t="shared" si="72"/>
        <v>664.11356948525622</v>
      </c>
      <c r="IA13" s="957">
        <f t="shared" si="73"/>
        <v>157.95672234247482</v>
      </c>
      <c r="IB13" s="958">
        <f t="shared" si="74"/>
        <v>849.09064625198971</v>
      </c>
      <c r="IC13" s="841">
        <f t="shared" si="75"/>
        <v>48.945674152656906</v>
      </c>
      <c r="ID13" s="351">
        <f t="shared" si="76"/>
        <v>1203</v>
      </c>
      <c r="IE13" s="843">
        <f t="shared" si="77"/>
        <v>286.12867694493906</v>
      </c>
      <c r="IF13" s="844"/>
      <c r="IG13" s="789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7">
        <f t="shared" si="230"/>
        <v>1.113</v>
      </c>
      <c r="IJ13" s="967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8"/>
        <v>1613</v>
      </c>
      <c r="IM13" s="482" t="str">
        <f t="shared" si="231"/>
        <v/>
      </c>
      <c r="IN13" s="670" t="str">
        <f t="shared" si="80"/>
        <v/>
      </c>
      <c r="IO13" s="702"/>
      <c r="IP13" s="5" t="str">
        <f t="shared" si="81"/>
        <v/>
      </c>
      <c r="IQ13" s="714"/>
      <c r="IR13" s="9" t="str">
        <f t="shared" si="131"/>
        <v/>
      </c>
      <c r="IS13" s="5" t="str">
        <f t="shared" si="82"/>
        <v/>
      </c>
      <c r="IT13" s="5" t="str">
        <f t="shared" si="83"/>
        <v/>
      </c>
      <c r="IU13" s="5" t="str">
        <f t="shared" si="84"/>
        <v/>
      </c>
      <c r="IV13" s="670" t="str">
        <f t="shared" si="85"/>
        <v/>
      </c>
      <c r="IW13" s="9" t="str">
        <f t="shared" si="86"/>
        <v/>
      </c>
      <c r="IX13" s="5" t="str">
        <f t="shared" si="87"/>
        <v/>
      </c>
      <c r="IY13" s="5" t="str">
        <f t="shared" si="88"/>
        <v/>
      </c>
      <c r="IZ13" s="5" t="str">
        <f t="shared" si="89"/>
        <v/>
      </c>
      <c r="JA13" s="705" t="str">
        <f t="shared" si="9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ref="B14:D14" si="250">IFERROR(O169+($A14*-E14),"")</f>
        <v>6.0160224477057322E-2</v>
      </c>
      <c r="C14" s="572">
        <f t="shared" si="250"/>
        <v>3.6280121850864906</v>
      </c>
      <c r="D14" s="576">
        <f t="shared" si="250"/>
        <v>-0.21210063969552917</v>
      </c>
      <c r="E14" s="580">
        <f t="shared" ref="E14:K14" si="251">R169</f>
        <v>-0.93058422978776689</v>
      </c>
      <c r="F14" s="572">
        <f t="shared" si="251"/>
        <v>0.21913562749187504</v>
      </c>
      <c r="G14" s="579">
        <f t="shared" si="251"/>
        <v>0.29324489430176098</v>
      </c>
      <c r="H14" s="580">
        <f t="shared" si="251"/>
        <v>0.3125</v>
      </c>
      <c r="I14" s="572">
        <f t="shared" si="251"/>
        <v>0.52</v>
      </c>
      <c r="J14" s="483">
        <f t="shared" si="92"/>
        <v>1.1160000000000001</v>
      </c>
      <c r="K14" s="805">
        <f t="shared" si="251"/>
        <v>1613</v>
      </c>
      <c r="L14" s="719" t="s">
        <v>358</v>
      </c>
      <c r="M14" s="164">
        <f t="shared" si="4"/>
        <v>1.1160000000000001</v>
      </c>
      <c r="N14" s="575">
        <f t="shared" si="5"/>
        <v>6.0160224477057322E-2</v>
      </c>
      <c r="O14" s="572">
        <f t="shared" si="6"/>
        <v>3.6280121850864906</v>
      </c>
      <c r="P14" s="576">
        <f t="shared" si="7"/>
        <v>-0.21210063969552917</v>
      </c>
      <c r="Q14" s="528">
        <f t="shared" si="134"/>
        <v>89.050000137163025</v>
      </c>
      <c r="R14" s="572">
        <f t="shared" si="93"/>
        <v>3.6285109435890068</v>
      </c>
      <c r="S14" s="577">
        <f>IF(M14="","",P14)</f>
        <v>-0.21210063969552917</v>
      </c>
      <c r="T14" s="578">
        <f t="shared" si="95"/>
        <v>3.6283053031041486</v>
      </c>
      <c r="U14" s="572">
        <f t="shared" si="96"/>
        <v>-3.863023701061119E-2</v>
      </c>
      <c r="V14" s="579">
        <f t="shared" si="135"/>
        <v>-0.21210063969552917</v>
      </c>
      <c r="W14" s="528">
        <f t="shared" si="8"/>
        <v>359.39000008807307</v>
      </c>
      <c r="X14" s="572">
        <f t="shared" si="97"/>
        <v>3.6285109435890068</v>
      </c>
      <c r="Y14" s="573">
        <f t="shared" si="9"/>
        <v>-0.21210063969552917</v>
      </c>
      <c r="Z14" s="575">
        <f t="shared" si="10"/>
        <v>0.93058422978776689</v>
      </c>
      <c r="AA14" s="572">
        <f t="shared" si="11"/>
        <v>-0.21913562749187504</v>
      </c>
      <c r="AB14" s="572">
        <f t="shared" si="12"/>
        <v>-0.29324489430176098</v>
      </c>
      <c r="AC14" s="579">
        <f t="shared" si="98"/>
        <v>1</v>
      </c>
      <c r="AD14" s="580">
        <f>IF(M14="","",Z14*(1/SQRT(Z14^2+AA14^2+AB14^2)))</f>
        <v>0.93058422978776689</v>
      </c>
      <c r="AE14" s="572">
        <f t="shared" si="99"/>
        <v>-0.21913562749187504</v>
      </c>
      <c r="AF14" s="576">
        <f t="shared" si="100"/>
        <v>-0.29324489430176098</v>
      </c>
      <c r="AG14" s="545">
        <f t="shared" si="101"/>
        <v>-36.76997456653158</v>
      </c>
      <c r="AH14" s="546">
        <f t="shared" si="102"/>
        <v>21.473930410432533</v>
      </c>
      <c r="AI14" s="528">
        <f t="shared" si="103"/>
        <v>-72.947676648731104</v>
      </c>
      <c r="AJ14" s="529">
        <f t="shared" si="104"/>
        <v>76.749292500483193</v>
      </c>
      <c r="AK14" s="578">
        <f>IF(M14="","",(COS(RADIANS((90-$Q$8)-W14))*AD14)+(-SIN(RADIANS((90-$Q$8)-W14))*AE14))</f>
        <v>0.93408955523439141</v>
      </c>
      <c r="AL14" s="572">
        <f t="shared" si="105"/>
        <v>-0.20367654447178232</v>
      </c>
      <c r="AM14" s="577">
        <f t="shared" si="106"/>
        <v>-0.29324489430176098</v>
      </c>
      <c r="AN14" s="524">
        <f t="shared" si="107"/>
        <v>-34.782346726074145</v>
      </c>
      <c r="AO14" s="525">
        <f t="shared" si="108"/>
        <v>20.918449404978791</v>
      </c>
      <c r="AP14" s="528">
        <f>IF(M14="","",DEGREES(ATAN2(AK14,AL14)))</f>
        <v>-12.30070763667983</v>
      </c>
      <c r="AQ14" s="529">
        <f t="shared" si="13"/>
        <v>0.4774829558698952</v>
      </c>
      <c r="AS14" s="899">
        <f t="shared" si="137"/>
        <v>-0.60999991192693415</v>
      </c>
      <c r="AT14" s="895">
        <f>IF(M14="","",Y14+(((AS14-$AS$9)*$AS$6)*-1))</f>
        <v>-0.21159935310806494</v>
      </c>
      <c r="AU14" s="418"/>
      <c r="AV14" s="164">
        <f t="shared" si="15"/>
        <v>1.1160000000000001</v>
      </c>
      <c r="AW14" s="828">
        <f>IFERROR(INDEX(MassProp!C$9:C$150,MATCH($M14,MassProp!$B$9:$B$150,0)),"")</f>
        <v>3.7395999999999998</v>
      </c>
      <c r="AX14" s="829">
        <f>IFERROR(INDEX(MassProp!D$9:D$150,MATCH($M14,MassProp!$B$9:$B$150,0)),"")</f>
        <v>0.1953</v>
      </c>
      <c r="AY14" s="830">
        <f>IFERROR(INDEX(MassProp!E$9:E$150,MATCH($M14,MassProp!$B$9:$B$150,0)),"")</f>
        <v>2.3800000000000002E-2</v>
      </c>
      <c r="AZ14" s="297">
        <f t="shared" si="138"/>
        <v>0.55923735741059943</v>
      </c>
      <c r="BA14" s="296">
        <f t="shared" si="16"/>
        <v>3.8437157700111559E-2</v>
      </c>
      <c r="BB14" s="291">
        <f>IF(ISNUMBER($AV14),$AX14-($AT14+$AS$5),"")</f>
        <v>0.21689935310806494</v>
      </c>
      <c r="BC14" s="9"/>
      <c r="BD14" s="5">
        <f t="shared" si="235"/>
        <v>3.7395999999999998</v>
      </c>
      <c r="BE14" s="6">
        <f>IF(ISNUMBER(AV14),Y14+BB14,"")</f>
        <v>4.7987134125357656E-3</v>
      </c>
      <c r="BF14" s="4">
        <f t="shared" si="18"/>
        <v>6.0160224477057322E-2</v>
      </c>
      <c r="BG14" s="5">
        <f t="shared" si="19"/>
        <v>3.6280121850864906</v>
      </c>
      <c r="BH14" s="10">
        <f t="shared" si="20"/>
        <v>-0.21210063969552917</v>
      </c>
      <c r="BI14" s="9">
        <f t="shared" si="140"/>
        <v>6.0160224477057322E-2</v>
      </c>
      <c r="BJ14" s="5">
        <f t="shared" si="21"/>
        <v>4.429057360000118</v>
      </c>
      <c r="BK14" s="8">
        <f t="shared" si="22"/>
        <v>-0.81070453856989866</v>
      </c>
      <c r="BL14" s="173">
        <f t="shared" si="23"/>
        <v>0.42623807312445722</v>
      </c>
      <c r="BM14" s="5">
        <f t="shared" si="24"/>
        <v>4.1850635332684503</v>
      </c>
      <c r="BN14" s="6">
        <f t="shared" si="25"/>
        <v>0.53333936742667565</v>
      </c>
      <c r="BO14" s="4">
        <f t="shared" si="141"/>
        <v>0.93058422978776734</v>
      </c>
      <c r="BP14" s="5">
        <f t="shared" si="142"/>
        <v>-0.21913562749187493</v>
      </c>
      <c r="BQ14" s="5">
        <f t="shared" si="143"/>
        <v>-0.29324489430176093</v>
      </c>
      <c r="BR14" s="6">
        <f t="shared" si="144"/>
        <v>0.67684514089940362</v>
      </c>
      <c r="BS14" s="4">
        <f t="shared" si="110"/>
        <v>0</v>
      </c>
      <c r="BT14" s="5">
        <f t="shared" si="110"/>
        <v>0</v>
      </c>
      <c r="BU14" s="10">
        <f t="shared" si="111"/>
        <v>4.7987134125357656E-3</v>
      </c>
      <c r="BV14" s="9">
        <f t="shared" si="112"/>
        <v>0</v>
      </c>
      <c r="BW14" s="5">
        <f t="shared" si="113"/>
        <v>1</v>
      </c>
      <c r="BX14" s="8">
        <f t="shared" si="114"/>
        <v>4.7987134125357656E-3</v>
      </c>
      <c r="BY14" s="173">
        <f t="shared" si="115"/>
        <v>1</v>
      </c>
      <c r="BZ14" s="5">
        <f t="shared" si="116"/>
        <v>0</v>
      </c>
      <c r="CA14" s="6">
        <f t="shared" si="117"/>
        <v>4.7987134125357656E-3</v>
      </c>
      <c r="CB14" s="4">
        <f t="shared" si="145"/>
        <v>0</v>
      </c>
      <c r="CC14" s="5">
        <f t="shared" si="146"/>
        <v>0</v>
      </c>
      <c r="CD14" s="5">
        <f t="shared" si="147"/>
        <v>-1</v>
      </c>
      <c r="CE14" s="6">
        <f t="shared" si="148"/>
        <v>4.7987134125357656E-3</v>
      </c>
      <c r="CF14" s="4">
        <f t="shared" si="149"/>
        <v>0.21913562749187493</v>
      </c>
      <c r="CG14" s="5">
        <f t="shared" si="150"/>
        <v>0.93058422978776734</v>
      </c>
      <c r="CH14" s="5">
        <f t="shared" si="151"/>
        <v>0</v>
      </c>
      <c r="CI14" s="4">
        <f t="shared" si="118"/>
        <v>0</v>
      </c>
      <c r="CJ14" s="5">
        <f t="shared" si="119"/>
        <v>3.0822826503508831</v>
      </c>
      <c r="CK14" s="8">
        <f t="shared" si="120"/>
        <v>4.7987134125357656E-3</v>
      </c>
      <c r="CL14" s="173">
        <f t="shared" si="121"/>
        <v>0.21913562749187493</v>
      </c>
      <c r="CM14" s="5">
        <f t="shared" si="122"/>
        <v>4.0128668801386507</v>
      </c>
      <c r="CN14" s="6">
        <f t="shared" si="123"/>
        <v>4.7987134125357656E-3</v>
      </c>
      <c r="CO14" s="167">
        <f t="shared" si="26"/>
        <v>0.3125</v>
      </c>
      <c r="CP14" s="4">
        <f t="shared" si="236"/>
        <v>0.91400743196595036</v>
      </c>
      <c r="CQ14" s="5">
        <f t="shared" si="237"/>
        <v>-1.0420610945904081</v>
      </c>
      <c r="CR14" s="5">
        <f t="shared" si="152"/>
        <v>0.25082905707056824</v>
      </c>
      <c r="CS14" s="8">
        <f t="shared" si="153"/>
        <v>0.16885283559691588</v>
      </c>
      <c r="CT14" s="9">
        <f t="shared" si="154"/>
        <v>0.79483935816214235</v>
      </c>
      <c r="CU14" s="6">
        <f t="shared" si="155"/>
        <v>0.34526197815743814</v>
      </c>
      <c r="CV14" s="4">
        <f>IF(ISNUMBER($AV14),CI14+($CT14*(CL14-CI14)),"")</f>
        <v>0.17417762150610019</v>
      </c>
      <c r="CW14" s="5">
        <f t="shared" si="156"/>
        <v>3.8219476222712041</v>
      </c>
      <c r="CX14" s="8">
        <f t="shared" si="157"/>
        <v>4.7987134125357656E-3</v>
      </c>
      <c r="CY14" s="9">
        <f t="shared" si="158"/>
        <v>7.5659200232616228E-2</v>
      </c>
      <c r="CZ14" s="5">
        <f t="shared" si="159"/>
        <v>3.4035780023695237</v>
      </c>
      <c r="DA14" s="6">
        <f t="shared" si="160"/>
        <v>4.7987134125357656E-3</v>
      </c>
      <c r="DB14" s="4">
        <f t="shared" si="161"/>
        <v>0</v>
      </c>
      <c r="DC14" s="5">
        <f t="shared" si="161"/>
        <v>0</v>
      </c>
      <c r="DD14" s="10">
        <f t="shared" si="162"/>
        <v>-10</v>
      </c>
      <c r="DE14" s="9">
        <f t="shared" si="163"/>
        <v>0</v>
      </c>
      <c r="DF14" s="5">
        <f t="shared" si="163"/>
        <v>0</v>
      </c>
      <c r="DG14" s="10">
        <f t="shared" si="164"/>
        <v>10</v>
      </c>
      <c r="DH14" s="70">
        <f t="shared" si="165"/>
        <v>3.7395999999999998</v>
      </c>
      <c r="DI14" s="4">
        <f t="shared" si="166"/>
        <v>0</v>
      </c>
      <c r="DJ14" s="5">
        <f t="shared" si="167"/>
        <v>0</v>
      </c>
      <c r="DK14" s="10">
        <f t="shared" si="168"/>
        <v>20</v>
      </c>
      <c r="DL14" s="9">
        <f t="shared" si="169"/>
        <v>0.17417762150610019</v>
      </c>
      <c r="DM14" s="173">
        <f t="shared" si="170"/>
        <v>3.8219476222712041</v>
      </c>
      <c r="DN14" s="178">
        <f t="shared" si="171"/>
        <v>10.004798713412535</v>
      </c>
      <c r="DO14" s="9">
        <f t="shared" si="172"/>
        <v>-9.8518421273483966E-2</v>
      </c>
      <c r="DP14" s="173">
        <f t="shared" si="173"/>
        <v>-0.41836961990168042</v>
      </c>
      <c r="DQ14" s="11">
        <f t="shared" si="174"/>
        <v>0</v>
      </c>
      <c r="DR14" s="173">
        <f t="shared" si="175"/>
        <v>200.0959742682507</v>
      </c>
      <c r="DS14" s="5">
        <f t="shared" si="176"/>
        <v>0</v>
      </c>
      <c r="DT14" s="5">
        <f t="shared" si="177"/>
        <v>400</v>
      </c>
      <c r="DU14" s="5">
        <f t="shared" si="178"/>
        <v>0.1847390181868962</v>
      </c>
      <c r="DV14" s="5">
        <f t="shared" si="179"/>
        <v>-1.6161464783056863</v>
      </c>
      <c r="DW14" s="5">
        <f t="shared" si="180"/>
        <v>114.73361876711917</v>
      </c>
      <c r="DX14" s="167">
        <f t="shared" si="181"/>
        <v>100.74901060711917</v>
      </c>
      <c r="DY14" s="9">
        <f t="shared" si="182"/>
        <v>73.895607274758476</v>
      </c>
      <c r="DZ14" s="5">
        <f t="shared" si="183"/>
        <v>-646.45859132227451</v>
      </c>
      <c r="EA14" s="10">
        <f t="shared" si="184"/>
        <v>261.20532448722952</v>
      </c>
      <c r="EB14" s="6">
        <f t="shared" si="185"/>
        <v>398606.78421799542</v>
      </c>
      <c r="EC14" s="173">
        <f t="shared" si="186"/>
        <v>17.292120275306008</v>
      </c>
      <c r="ED14" s="5">
        <f t="shared" si="187"/>
        <v>0.20441612688130167</v>
      </c>
      <c r="EE14" s="4">
        <f t="shared" si="188"/>
        <v>-1.5294147684882506</v>
      </c>
      <c r="EF14" s="5">
        <f t="shared" si="189"/>
        <v>-3.4125501646027114</v>
      </c>
      <c r="EG14" s="10">
        <f t="shared" si="190"/>
        <v>4.7987134125357656E-3</v>
      </c>
      <c r="EH14" s="9">
        <f t="shared" si="191"/>
        <v>0.15403886740291417</v>
      </c>
      <c r="EI14" s="5">
        <f t="shared" si="192"/>
        <v>3.7364261249661004</v>
      </c>
      <c r="EJ14" s="6">
        <f t="shared" si="193"/>
        <v>4.7987134125357656E-3</v>
      </c>
      <c r="EK14" s="236" t="b">
        <f t="shared" si="194"/>
        <v>0</v>
      </c>
      <c r="EL14" s="238" t="b">
        <f t="shared" si="195"/>
        <v>1</v>
      </c>
      <c r="EM14" s="4">
        <f t="shared" si="196"/>
        <v>0.15403886740291417</v>
      </c>
      <c r="EN14" s="5">
        <f t="shared" si="197"/>
        <v>3.7364261249661004</v>
      </c>
      <c r="EO14" s="10">
        <f t="shared" si="198"/>
        <v>4.7987134125357656E-3</v>
      </c>
      <c r="EP14" s="9">
        <f t="shared" si="199"/>
        <v>87.639246255313111</v>
      </c>
      <c r="EQ14" s="5">
        <f t="shared" si="200"/>
        <v>3.7395999999999949</v>
      </c>
      <c r="ER14" s="7">
        <f t="shared" si="201"/>
        <v>4.7987134125357656E-3</v>
      </c>
      <c r="ES14" s="21">
        <f t="shared" si="124"/>
        <v>0.93058422978776689</v>
      </c>
      <c r="ET14" s="5">
        <f t="shared" si="35"/>
        <v>-0.21913562749187504</v>
      </c>
      <c r="EU14" s="10">
        <f t="shared" si="36"/>
        <v>-0.29324489430176098</v>
      </c>
      <c r="EV14" s="174">
        <f t="shared" ref="EV14:EV40" si="252">IF(ISNUMBER($AV14),IF(($EV$1-EP14)&lt;0,(360+($EV$1-EP14)),($EV$1-EP14)),"")</f>
        <v>2.3607537446868889</v>
      </c>
      <c r="EW14" s="9">
        <f t="shared" si="125"/>
        <v>0.93882089836531957</v>
      </c>
      <c r="EX14" s="5">
        <f t="shared" si="37"/>
        <v>-0.18061769779975451</v>
      </c>
      <c r="EY14" s="6">
        <f t="shared" si="202"/>
        <v>-0.29324489430176098</v>
      </c>
      <c r="EZ14" s="51">
        <f>IF(ISNUMBER($AV14),DEGREES(ATAN($AS$5/($EQ14*2*PI()))),"")</f>
        <v>0.46329941123715868</v>
      </c>
      <c r="FA14" s="266">
        <f t="shared" si="126"/>
        <v>0.99911861495652632</v>
      </c>
      <c r="FB14" s="267">
        <f t="shared" si="127"/>
        <v>-4.1189921786682598E-2</v>
      </c>
      <c r="FC14" s="269">
        <f t="shared" si="38"/>
        <v>-8.0860120306303022E-3</v>
      </c>
      <c r="FD14" s="4">
        <f t="shared" si="128"/>
        <v>0.99996730767032604</v>
      </c>
      <c r="FE14" s="5">
        <f t="shared" si="39"/>
        <v>-6.9388939039072284E-18</v>
      </c>
      <c r="FF14" s="7">
        <f t="shared" si="204"/>
        <v>-8.0860120306303022E-3</v>
      </c>
      <c r="FG14" s="173">
        <f t="shared" si="205"/>
        <v>-6.1146409305006477E-2</v>
      </c>
      <c r="FH14" s="5">
        <f t="shared" si="40"/>
        <v>-0.18061769779975451</v>
      </c>
      <c r="FI14" s="10">
        <f t="shared" si="41"/>
        <v>-0.28515888227113068</v>
      </c>
      <c r="FJ14" s="279">
        <f t="shared" si="206"/>
        <v>19.752480011077289</v>
      </c>
      <c r="FK14" s="4">
        <f t="shared" si="42"/>
        <v>0.95603735908485765</v>
      </c>
      <c r="FL14" s="5">
        <f t="shared" si="207"/>
        <v>0.99996730767032604</v>
      </c>
      <c r="FM14" s="8">
        <f t="shared" si="208"/>
        <v>0.19068727311852468</v>
      </c>
      <c r="FN14" s="9">
        <f t="shared" si="209"/>
        <v>10.889953754829913</v>
      </c>
      <c r="FO14" s="10">
        <f t="shared" si="43"/>
        <v>1</v>
      </c>
      <c r="FP14" s="277">
        <f t="shared" si="44"/>
        <v>10.889953754829913</v>
      </c>
      <c r="FQ14" s="173">
        <f t="shared" si="239"/>
        <v>0.18892326338862536</v>
      </c>
      <c r="FR14" s="10">
        <f t="shared" si="210"/>
        <v>0.98199185360704089</v>
      </c>
      <c r="FS14" s="9">
        <f t="shared" si="211"/>
        <v>0.16134667718131834</v>
      </c>
      <c r="FT14" s="6">
        <f t="shared" si="212"/>
        <v>0.83865332281868166</v>
      </c>
      <c r="FU14" s="4">
        <f t="shared" si="213"/>
        <v>0.98355337793203512</v>
      </c>
      <c r="FV14" s="5">
        <f t="shared" si="214"/>
        <v>1</v>
      </c>
      <c r="FW14" s="8">
        <f t="shared" si="240"/>
        <v>0.29164099764782031</v>
      </c>
      <c r="FX14" s="9">
        <f t="shared" si="241"/>
        <v>16.883127946436758</v>
      </c>
      <c r="FY14" s="10">
        <f t="shared" si="45"/>
        <v>1</v>
      </c>
      <c r="FZ14" s="277">
        <f t="shared" si="242"/>
        <v>16.883127946436758</v>
      </c>
      <c r="GA14" s="177">
        <f t="shared" si="215"/>
        <v>16.604641984530307</v>
      </c>
      <c r="GB14" s="4">
        <f>IF(ISNUMBER($AV14),COS(RADIANS(FP14+90))*COS(RADIANS(FZ14)),"")</f>
        <v>-0.18078050948786095</v>
      </c>
      <c r="GC14" s="5">
        <f t="shared" si="217"/>
        <v>0.93966716657244675</v>
      </c>
      <c r="GD14" s="10">
        <f t="shared" si="218"/>
        <v>-0.29042042534060675</v>
      </c>
      <c r="GE14" s="311">
        <f t="shared" si="219"/>
        <v>1.4108681014009146</v>
      </c>
      <c r="GF14" s="341">
        <f>IF(ISNUMBER($AV14),1/GE14,"")</f>
        <v>0.70878347806365094</v>
      </c>
      <c r="GG14" s="285">
        <f>IF(ISNUMBER($AV14),ABS(GB14)/(ABS($GB14)+ABS($GC14)+ABS($GD14)),"")</f>
        <v>0.12813423828092493</v>
      </c>
      <c r="GH14" s="286">
        <f>IF(ISNUMBER($AV14),ABS(GC14)/(ABS($GB14)+ABS($GC14)+ABS($GD14)),"")</f>
        <v>0.66602056254543485</v>
      </c>
      <c r="GI14" s="281">
        <f t="shared" si="48"/>
        <v>0.20584519917364011</v>
      </c>
      <c r="GJ14" s="167">
        <f t="shared" si="220"/>
        <v>3.7395999999999998</v>
      </c>
      <c r="GK14" s="174">
        <f t="shared" si="49"/>
        <v>1.9581139965357124</v>
      </c>
      <c r="GL14" s="174">
        <f t="shared" si="221"/>
        <v>2.3800000000000002E-2</v>
      </c>
      <c r="GM14" s="177">
        <f t="shared" si="244"/>
        <v>0.55923735741059943</v>
      </c>
      <c r="GN14" s="280">
        <f t="shared" si="222"/>
        <v>3.8437157700111559E-2</v>
      </c>
      <c r="GO14" s="4">
        <f t="shared" si="223"/>
        <v>10.889953754829913</v>
      </c>
      <c r="GP14" s="8">
        <f t="shared" si="245"/>
        <v>16.883127946436758</v>
      </c>
      <c r="GQ14" s="177">
        <f t="shared" si="224"/>
        <v>19.752480011077289</v>
      </c>
      <c r="GR14" s="371">
        <f t="shared" si="246"/>
        <v>2099.174518250888</v>
      </c>
      <c r="GS14" s="342">
        <f>IF(ISNUMBER($AV14),GU14/GH14*GG14,"")</f>
        <v>268.97612791480509</v>
      </c>
      <c r="GT14" s="343">
        <f t="shared" si="52"/>
        <v>137.36489723819787</v>
      </c>
      <c r="GU14" s="344">
        <f t="shared" si="53"/>
        <v>1398.0933935264986</v>
      </c>
      <c r="GV14" s="343">
        <f t="shared" ref="GV14:GV74" si="253">IF(ISNUMBER($AV14),GW14*$GL14,"")</f>
        <v>714</v>
      </c>
      <c r="GW14" s="345">
        <f t="shared" si="129"/>
        <v>30000</v>
      </c>
      <c r="GX14" s="346">
        <f t="shared" si="54"/>
        <v>222.50619999999998</v>
      </c>
      <c r="GY14" s="344">
        <f t="shared" si="55"/>
        <v>432.10499680958407</v>
      </c>
      <c r="GZ14" s="345">
        <f t="shared" si="56"/>
        <v>220.67407595985858</v>
      </c>
      <c r="HA14" s="342">
        <f t="shared" si="57"/>
        <v>268.97612791480509</v>
      </c>
      <c r="HB14" s="5">
        <f t="shared" si="225"/>
        <v>2.3607537446868889</v>
      </c>
      <c r="HC14" s="343">
        <f t="shared" si="226"/>
        <v>268.74784237167148</v>
      </c>
      <c r="HD14" s="345">
        <f t="shared" si="227"/>
        <v>11.079467884912258</v>
      </c>
      <c r="HE14" s="344">
        <f t="shared" si="58"/>
        <v>714</v>
      </c>
      <c r="HF14" s="5">
        <f t="shared" si="59"/>
        <v>92.360753744686889</v>
      </c>
      <c r="HG14" s="343">
        <f t="shared" si="228"/>
        <v>-29.410565655599601</v>
      </c>
      <c r="HH14" s="349">
        <f t="shared" si="229"/>
        <v>713.39401359123951</v>
      </c>
      <c r="HI14" s="317">
        <f t="shared" si="60"/>
        <v>1.1160000000000001</v>
      </c>
      <c r="HJ14" s="336"/>
      <c r="HK14" s="310">
        <f t="shared" si="130"/>
        <v>6</v>
      </c>
      <c r="HL14" s="348">
        <f t="shared" si="61"/>
        <v>3.1059999999999999</v>
      </c>
      <c r="HM14" s="934">
        <f t="shared" si="62"/>
        <v>-1.9532959552864626</v>
      </c>
      <c r="HN14" s="935">
        <f t="shared" si="63"/>
        <v>14.999997834268255</v>
      </c>
      <c r="HO14" s="936"/>
      <c r="HP14" s="937"/>
      <c r="HQ14" s="935">
        <f t="shared" si="64"/>
        <v>13.766482801418132</v>
      </c>
      <c r="HR14" s="938">
        <f>IF(ISNUMBER($HL14),INDEX(GP$9:GP$150,MATCH($HL14,$AV$9:$AV$150,0)),"")</f>
        <v>13.639056240498938</v>
      </c>
      <c r="HS14" s="939">
        <f t="shared" si="249"/>
        <v>1.2650999999999999</v>
      </c>
      <c r="HT14" s="940">
        <f t="shared" si="66"/>
        <v>4.0099999999999997E-2</v>
      </c>
      <c r="HU14" s="941">
        <f t="shared" si="67"/>
        <v>0.31884023979251569</v>
      </c>
      <c r="HV14" s="942">
        <f t="shared" si="68"/>
        <v>2.1914331036094033E-2</v>
      </c>
      <c r="HW14" s="943">
        <f t="shared" si="69"/>
        <v>30000</v>
      </c>
      <c r="HX14" s="950">
        <f t="shared" si="70"/>
        <v>126.826275</v>
      </c>
      <c r="HY14" s="955">
        <f t="shared" si="71"/>
        <v>27.184844259636023</v>
      </c>
      <c r="HZ14" s="956">
        <f t="shared" si="72"/>
        <v>797.10059948128924</v>
      </c>
      <c r="IA14" s="957">
        <f t="shared" si="73"/>
        <v>193.52662775877718</v>
      </c>
      <c r="IB14" s="958">
        <f t="shared" si="74"/>
        <v>1017.8120714997025</v>
      </c>
      <c r="IC14" s="841">
        <f t="shared" si="75"/>
        <v>41.027904966604908</v>
      </c>
      <c r="ID14" s="351">
        <f t="shared" si="76"/>
        <v>1203</v>
      </c>
      <c r="IE14" s="843">
        <f t="shared" si="77"/>
        <v>292.07421666137373</v>
      </c>
      <c r="IF14" s="844"/>
      <c r="IG14" s="789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7">
        <f t="shared" si="230"/>
        <v>1.1160000000000001</v>
      </c>
      <c r="IJ14" s="967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8"/>
        <v>1613</v>
      </c>
      <c r="IM14" s="482" t="str">
        <f t="shared" si="231"/>
        <v/>
      </c>
      <c r="IN14" s="670" t="str">
        <f t="shared" si="80"/>
        <v/>
      </c>
      <c r="IO14" s="702"/>
      <c r="IP14" s="5" t="str">
        <f t="shared" si="81"/>
        <v/>
      </c>
      <c r="IQ14" s="714"/>
      <c r="IR14" s="9" t="str">
        <f t="shared" si="131"/>
        <v/>
      </c>
      <c r="IS14" s="5" t="str">
        <f t="shared" si="82"/>
        <v/>
      </c>
      <c r="IT14" s="5" t="str">
        <f t="shared" si="83"/>
        <v/>
      </c>
      <c r="IU14" s="5" t="str">
        <f t="shared" si="84"/>
        <v/>
      </c>
      <c r="IV14" s="670" t="str">
        <f t="shared" si="85"/>
        <v/>
      </c>
      <c r="IW14" s="9" t="str">
        <f t="shared" si="86"/>
        <v/>
      </c>
      <c r="IX14" s="5" t="str">
        <f t="shared" si="87"/>
        <v/>
      </c>
      <c r="IY14" s="5" t="str">
        <f t="shared" si="88"/>
        <v/>
      </c>
      <c r="IZ14" s="5" t="str">
        <f t="shared" si="89"/>
        <v/>
      </c>
      <c r="JA14" s="705" t="str">
        <f t="shared" si="9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ref="B15:D15" si="254">IFERROR(O170+($A15*-E15),"")</f>
        <v>0.11410281182323204</v>
      </c>
      <c r="C15" s="572">
        <f t="shared" si="254"/>
        <v>4.2441792812589672</v>
      </c>
      <c r="D15" s="576">
        <f t="shared" si="254"/>
        <v>-0.68420206355342394</v>
      </c>
      <c r="E15" s="580">
        <f t="shared" ref="E15:K15" si="255">R170</f>
        <v>-0.90402806633293786</v>
      </c>
      <c r="F15" s="572">
        <f t="shared" si="255"/>
        <v>0.36159515556283728</v>
      </c>
      <c r="G15" s="579">
        <f t="shared" si="255"/>
        <v>0.22799604986888902</v>
      </c>
      <c r="H15" s="580">
        <f t="shared" si="255"/>
        <v>0.3125</v>
      </c>
      <c r="I15" s="572">
        <f t="shared" si="255"/>
        <v>0.52</v>
      </c>
      <c r="J15" s="483">
        <f t="shared" si="92"/>
        <v>1.119</v>
      </c>
      <c r="K15" s="805">
        <f t="shared" si="255"/>
        <v>1613</v>
      </c>
      <c r="L15" s="813" t="str">
        <f>IF($L14=$JJ$22,$JJ$29,IF($L14=$JK$22,$JK$29,""))</f>
        <v/>
      </c>
      <c r="M15" s="164">
        <f t="shared" si="4"/>
        <v>1.119</v>
      </c>
      <c r="N15" s="575">
        <f t="shared" si="5"/>
        <v>0.11410281182323204</v>
      </c>
      <c r="O15" s="572">
        <f t="shared" si="6"/>
        <v>4.2441792812589672</v>
      </c>
      <c r="P15" s="576">
        <f t="shared" si="7"/>
        <v>-0.68420206355342394</v>
      </c>
      <c r="Q15" s="528">
        <f t="shared" si="134"/>
        <v>88.460000222348455</v>
      </c>
      <c r="R15" s="572">
        <f t="shared" si="93"/>
        <v>4.2457128050698216</v>
      </c>
      <c r="S15" s="577">
        <f t="shared" si="94"/>
        <v>-0.68420206355342394</v>
      </c>
      <c r="T15" s="578">
        <f t="shared" si="95"/>
        <v>4.2447816503594842</v>
      </c>
      <c r="U15" s="572">
        <f t="shared" si="96"/>
        <v>-8.8915487431984769E-2</v>
      </c>
      <c r="V15" s="579">
        <f t="shared" si="135"/>
        <v>-0.68420206355342394</v>
      </c>
      <c r="W15" s="528">
        <f t="shared" ref="W15:W78" si="256">IF(M15="","",IF(Q15-$Q$8&lt;0,360+Q15-$Q$8,Q15-$Q$8))</f>
        <v>358.80000017325858</v>
      </c>
      <c r="X15" s="572">
        <f>IF(M15="","",R15)</f>
        <v>4.2457128050698216</v>
      </c>
      <c r="Y15" s="573">
        <f t="shared" si="9"/>
        <v>-0.68420206355342394</v>
      </c>
      <c r="Z15" s="575">
        <f t="shared" si="10"/>
        <v>0.90402806633293786</v>
      </c>
      <c r="AA15" s="572">
        <f t="shared" si="11"/>
        <v>-0.36159515556283728</v>
      </c>
      <c r="AB15" s="572">
        <f t="shared" si="12"/>
        <v>-0.22799604986888902</v>
      </c>
      <c r="AC15" s="579">
        <f t="shared" si="98"/>
        <v>1</v>
      </c>
      <c r="AD15" s="580">
        <f t="shared" si="136"/>
        <v>0.90402806633293786</v>
      </c>
      <c r="AE15" s="572">
        <f t="shared" si="99"/>
        <v>-0.36159515556283728</v>
      </c>
      <c r="AF15" s="576">
        <f t="shared" si="100"/>
        <v>-0.22799604986888902</v>
      </c>
      <c r="AG15" s="545">
        <f t="shared" si="101"/>
        <v>-57.767400420021247</v>
      </c>
      <c r="AH15" s="546">
        <f t="shared" si="102"/>
        <v>25.307303583635193</v>
      </c>
      <c r="AI15" s="528">
        <f t="shared" si="103"/>
        <v>-76.820880520215994</v>
      </c>
      <c r="AJ15" s="529">
        <f t="shared" si="104"/>
        <v>68.199468580315823</v>
      </c>
      <c r="AK15" s="578">
        <f t="shared" si="234"/>
        <v>0.9134193457850861</v>
      </c>
      <c r="AL15" s="572">
        <f t="shared" si="105"/>
        <v>-0.337168948733018</v>
      </c>
      <c r="AM15" s="577">
        <f t="shared" si="106"/>
        <v>-0.22799604986888902</v>
      </c>
      <c r="AN15" s="524">
        <f>IF(M15="","",DEGREES(ATAN2(-AM15,AL15)))</f>
        <v>-55.933161675942479</v>
      </c>
      <c r="AO15" s="525">
        <f t="shared" si="108"/>
        <v>24.017758820569377</v>
      </c>
      <c r="AP15" s="528">
        <f t="shared" si="109"/>
        <v>-20.26053164203271</v>
      </c>
      <c r="AQ15" s="529">
        <f t="shared" si="13"/>
        <v>0.40807351411720555</v>
      </c>
      <c r="AS15" s="899">
        <f t="shared" si="137"/>
        <v>-1.1999998267414185</v>
      </c>
      <c r="AT15" s="895">
        <f t="shared" si="14"/>
        <v>-0.68338938812202987</v>
      </c>
      <c r="AU15" s="418"/>
      <c r="AV15" s="164">
        <f t="shared" si="15"/>
        <v>1.119</v>
      </c>
      <c r="AW15" s="828">
        <f>IFERROR(INDEX(MassProp!C$9:C$150,MATCH($M15,MassProp!$B$9:$B$150,0)),"")</f>
        <v>4.4401000000000002</v>
      </c>
      <c r="AX15" s="829">
        <f>IFERROR(INDEX(MassProp!D$9:D$150,MATCH($M15,MassProp!$B$9:$B$150,0)),"")</f>
        <v>-0.34089999999999998</v>
      </c>
      <c r="AY15" s="830">
        <f>IFERROR(INDEX(MassProp!E$9:E$150,MATCH($M15,MassProp!$B$9:$B$150,0)),"")</f>
        <v>1.6899999999999998E-2</v>
      </c>
      <c r="AZ15" s="297">
        <f>IF(ISNUMBER(AV15),$AY15*SQRT((2*PI()*$AW15)^2+$AS$5^2),"")</f>
        <v>0.4714866454736063</v>
      </c>
      <c r="BA15" s="296">
        <f t="shared" si="16"/>
        <v>3.2405929799606964E-2</v>
      </c>
      <c r="BB15" s="291">
        <f t="shared" si="139"/>
        <v>0.15248938812202989</v>
      </c>
      <c r="BC15" s="9"/>
      <c r="BD15" s="5">
        <f t="shared" si="235"/>
        <v>4.4401000000000002</v>
      </c>
      <c r="BE15" s="6">
        <f t="shared" si="17"/>
        <v>-0.53171267543139411</v>
      </c>
      <c r="BF15" s="4">
        <f t="shared" si="18"/>
        <v>0.11410281182323204</v>
      </c>
      <c r="BG15" s="5">
        <f t="shared" si="19"/>
        <v>4.2441792812589672</v>
      </c>
      <c r="BH15" s="10">
        <f t="shared" si="20"/>
        <v>-0.68420206355342394</v>
      </c>
      <c r="BI15" s="9">
        <f t="shared" si="140"/>
        <v>0.11410281182323204</v>
      </c>
      <c r="BJ15" s="5">
        <f t="shared" si="21"/>
        <v>4.7775369295808368</v>
      </c>
      <c r="BK15" s="8">
        <f t="shared" si="22"/>
        <v>-1.5300919021119472</v>
      </c>
      <c r="BL15" s="173">
        <f t="shared" si="23"/>
        <v>0.5415759165705708</v>
      </c>
      <c r="BM15" s="5">
        <f t="shared" si="24"/>
        <v>5.00888743634171</v>
      </c>
      <c r="BN15" s="6">
        <f t="shared" si="25"/>
        <v>-0.20203178007712075</v>
      </c>
      <c r="BO15" s="4">
        <f t="shared" si="141"/>
        <v>0.90402806633293797</v>
      </c>
      <c r="BP15" s="5">
        <f t="shared" si="142"/>
        <v>-0.36159515556283717</v>
      </c>
      <c r="BQ15" s="5">
        <f t="shared" si="143"/>
        <v>-0.22799604986888866</v>
      </c>
      <c r="BR15" s="6">
        <f t="shared" si="144"/>
        <v>1.2755271553053755</v>
      </c>
      <c r="BS15" s="4">
        <f t="shared" si="110"/>
        <v>0</v>
      </c>
      <c r="BT15" s="5">
        <f t="shared" si="110"/>
        <v>0</v>
      </c>
      <c r="BU15" s="10">
        <f t="shared" si="111"/>
        <v>-0.53171267543139411</v>
      </c>
      <c r="BV15" s="9">
        <f t="shared" si="112"/>
        <v>0</v>
      </c>
      <c r="BW15" s="5">
        <f t="shared" si="113"/>
        <v>1</v>
      </c>
      <c r="BX15" s="8">
        <f t="shared" si="114"/>
        <v>-0.53171267543139411</v>
      </c>
      <c r="BY15" s="173">
        <f t="shared" si="115"/>
        <v>1</v>
      </c>
      <c r="BZ15" s="5">
        <f t="shared" si="116"/>
        <v>0</v>
      </c>
      <c r="CA15" s="6">
        <f t="shared" si="117"/>
        <v>-0.53171267543139411</v>
      </c>
      <c r="CB15" s="4">
        <f t="shared" si="145"/>
        <v>0</v>
      </c>
      <c r="CC15" s="5">
        <f t="shared" si="146"/>
        <v>0</v>
      </c>
      <c r="CD15" s="5">
        <f t="shared" si="147"/>
        <v>-1</v>
      </c>
      <c r="CE15" s="6">
        <f t="shared" si="148"/>
        <v>-0.53171267543139411</v>
      </c>
      <c r="CF15" s="4">
        <f t="shared" si="149"/>
        <v>0.36159515556283717</v>
      </c>
      <c r="CG15" s="5">
        <f t="shared" si="150"/>
        <v>0.90402806633293797</v>
      </c>
      <c r="CH15" s="5">
        <f t="shared" si="151"/>
        <v>0</v>
      </c>
      <c r="CI15" s="4">
        <f t="shared" si="118"/>
        <v>0</v>
      </c>
      <c r="CJ15" s="5">
        <f t="shared" si="119"/>
        <v>3.8627606688890692</v>
      </c>
      <c r="CK15" s="8">
        <f t="shared" si="120"/>
        <v>-0.53171267543139411</v>
      </c>
      <c r="CL15" s="173">
        <f t="shared" si="121"/>
        <v>0.36159515556283717</v>
      </c>
      <c r="CM15" s="5">
        <f t="shared" si="122"/>
        <v>4.7667887352220069</v>
      </c>
      <c r="CN15" s="6">
        <f t="shared" si="123"/>
        <v>-0.53171267543139411</v>
      </c>
      <c r="CO15" s="167">
        <f t="shared" si="26"/>
        <v>0.3125</v>
      </c>
      <c r="CP15" s="4">
        <f t="shared" si="236"/>
        <v>0.94801780124418267</v>
      </c>
      <c r="CQ15" s="5">
        <f t="shared" si="237"/>
        <v>-0.7721443091910597</v>
      </c>
      <c r="CR15" s="5">
        <f t="shared" si="152"/>
        <v>8.4096373017985115E-2</v>
      </c>
      <c r="CS15" s="8">
        <f t="shared" si="153"/>
        <v>0.27730739965165541</v>
      </c>
      <c r="CT15" s="9">
        <f t="shared" si="154"/>
        <v>0.68497878164199399</v>
      </c>
      <c r="CU15" s="6">
        <f t="shared" si="155"/>
        <v>0.12950414070154653</v>
      </c>
      <c r="CV15" s="4">
        <f t="shared" si="238"/>
        <v>0.24768500910507948</v>
      </c>
      <c r="CW15" s="5">
        <f t="shared" si="156"/>
        <v>4.4820007123359726</v>
      </c>
      <c r="CX15" s="8">
        <f t="shared" si="157"/>
        <v>-0.53171267543139411</v>
      </c>
      <c r="CY15" s="9">
        <f t="shared" si="158"/>
        <v>4.6828069903007273E-2</v>
      </c>
      <c r="CZ15" s="5">
        <f t="shared" si="159"/>
        <v>3.9798360467895968</v>
      </c>
      <c r="DA15" s="6">
        <f t="shared" si="160"/>
        <v>-0.53171267543139411</v>
      </c>
      <c r="DB15" s="4">
        <f t="shared" si="161"/>
        <v>0</v>
      </c>
      <c r="DC15" s="5">
        <f t="shared" si="161"/>
        <v>0</v>
      </c>
      <c r="DD15" s="10">
        <f t="shared" si="162"/>
        <v>-10</v>
      </c>
      <c r="DE15" s="9">
        <f t="shared" si="163"/>
        <v>0</v>
      </c>
      <c r="DF15" s="5">
        <f t="shared" si="163"/>
        <v>0</v>
      </c>
      <c r="DG15" s="10">
        <f t="shared" si="164"/>
        <v>10</v>
      </c>
      <c r="DH15" s="70">
        <f t="shared" si="165"/>
        <v>4.4401000000000002</v>
      </c>
      <c r="DI15" s="4">
        <f t="shared" si="166"/>
        <v>0</v>
      </c>
      <c r="DJ15" s="5">
        <f t="shared" si="167"/>
        <v>0</v>
      </c>
      <c r="DK15" s="10">
        <f t="shared" si="168"/>
        <v>20</v>
      </c>
      <c r="DL15" s="9">
        <f t="shared" si="169"/>
        <v>0.24768500910507948</v>
      </c>
      <c r="DM15" s="173">
        <f t="shared" si="170"/>
        <v>4.4820007123359726</v>
      </c>
      <c r="DN15" s="178">
        <f t="shared" si="171"/>
        <v>9.4682873245686068</v>
      </c>
      <c r="DO15" s="9">
        <f t="shared" si="172"/>
        <v>-0.2008569392020722</v>
      </c>
      <c r="DP15" s="173">
        <f t="shared" si="173"/>
        <v>-0.50216466554637584</v>
      </c>
      <c r="DQ15" s="11">
        <f t="shared" si="174"/>
        <v>0</v>
      </c>
      <c r="DR15" s="173">
        <f t="shared" si="175"/>
        <v>189.36574649137214</v>
      </c>
      <c r="DS15" s="5">
        <f t="shared" si="176"/>
        <v>0</v>
      </c>
      <c r="DT15" s="5">
        <f t="shared" si="177"/>
        <v>400</v>
      </c>
      <c r="DU15" s="5">
        <f t="shared" si="178"/>
        <v>0.29251286134892845</v>
      </c>
      <c r="DV15" s="5">
        <f t="shared" si="179"/>
        <v>-2.3004516415038956</v>
      </c>
      <c r="DW15" s="5">
        <f t="shared" si="180"/>
        <v>109.7981431097021</v>
      </c>
      <c r="DX15" s="167">
        <f t="shared" si="181"/>
        <v>90.083655099702099</v>
      </c>
      <c r="DY15" s="9">
        <f t="shared" si="182"/>
        <v>117.00514453957138</v>
      </c>
      <c r="DZ15" s="5">
        <f t="shared" si="183"/>
        <v>-920.18065660155821</v>
      </c>
      <c r="EA15" s="10">
        <f t="shared" si="184"/>
        <v>174.07609564622544</v>
      </c>
      <c r="EB15" s="6">
        <f t="shared" si="185"/>
        <v>826364.642051704</v>
      </c>
      <c r="EC15" s="173">
        <f t="shared" si="186"/>
        <v>15.633728502834092</v>
      </c>
      <c r="ED15" s="5">
        <f t="shared" si="187"/>
        <v>9.5163764639690868E-2</v>
      </c>
      <c r="EE15" s="4">
        <f t="shared" si="188"/>
        <v>-2.8924578462903709</v>
      </c>
      <c r="EF15" s="5">
        <f t="shared" si="189"/>
        <v>-3.368705332532552</v>
      </c>
      <c r="EG15" s="10">
        <f t="shared" si="190"/>
        <v>-0.53171267543139411</v>
      </c>
      <c r="EH15" s="9">
        <f t="shared" si="191"/>
        <v>0.22857070661660478</v>
      </c>
      <c r="EI15" s="5">
        <f t="shared" si="192"/>
        <v>4.4342128322935483</v>
      </c>
      <c r="EJ15" s="6">
        <f t="shared" si="193"/>
        <v>-0.53171267543139411</v>
      </c>
      <c r="EK15" s="236" t="b">
        <f t="shared" si="194"/>
        <v>0</v>
      </c>
      <c r="EL15" s="238" t="b">
        <f t="shared" si="195"/>
        <v>1</v>
      </c>
      <c r="EM15" s="4">
        <f t="shared" si="196"/>
        <v>0.22857070661660478</v>
      </c>
      <c r="EN15" s="5">
        <f t="shared" si="197"/>
        <v>4.4342128322935483</v>
      </c>
      <c r="EO15" s="10">
        <f t="shared" si="198"/>
        <v>-0.53171267543139411</v>
      </c>
      <c r="EP15" s="9">
        <f t="shared" si="199"/>
        <v>87.049181780729256</v>
      </c>
      <c r="EQ15" s="5">
        <f t="shared" si="200"/>
        <v>4.4400999999999984</v>
      </c>
      <c r="ER15" s="7">
        <f t="shared" si="201"/>
        <v>-0.53171267543139411</v>
      </c>
      <c r="ES15" s="21">
        <f t="shared" si="124"/>
        <v>0.90402806633293786</v>
      </c>
      <c r="ET15" s="5">
        <f t="shared" si="35"/>
        <v>-0.36159515556283728</v>
      </c>
      <c r="EU15" s="10">
        <f t="shared" si="36"/>
        <v>-0.22799604986888902</v>
      </c>
      <c r="EV15" s="174">
        <f t="shared" si="252"/>
        <v>2.9508182192707437</v>
      </c>
      <c r="EW15" s="9">
        <f t="shared" si="125"/>
        <v>0.92144386673795098</v>
      </c>
      <c r="EX15" s="5">
        <f t="shared" si="37"/>
        <v>-0.31457749712145067</v>
      </c>
      <c r="EY15" s="6">
        <f t="shared" si="202"/>
        <v>-0.22799604986888902</v>
      </c>
      <c r="EZ15" s="51">
        <f t="shared" si="203"/>
        <v>0.39020865593746168</v>
      </c>
      <c r="FA15" s="266">
        <f t="shared" si="126"/>
        <v>0.99865093107889269</v>
      </c>
      <c r="FB15" s="267">
        <f t="shared" si="127"/>
        <v>-5.1477535610749366E-2</v>
      </c>
      <c r="FC15" s="269">
        <f t="shared" si="38"/>
        <v>-6.8103731692645613E-3</v>
      </c>
      <c r="FD15" s="4">
        <f t="shared" si="128"/>
        <v>0.99997680913973963</v>
      </c>
      <c r="FE15" s="5">
        <f t="shared" si="39"/>
        <v>-7.6327832942979512E-17</v>
      </c>
      <c r="FF15" s="7">
        <f t="shared" si="204"/>
        <v>-6.8103731692645613E-3</v>
      </c>
      <c r="FG15" s="173">
        <f t="shared" si="205"/>
        <v>-7.8532942401788652E-2</v>
      </c>
      <c r="FH15" s="5">
        <f t="shared" si="40"/>
        <v>-0.31457749712145061</v>
      </c>
      <c r="FI15" s="10">
        <f t="shared" si="41"/>
        <v>-0.22118567669962447</v>
      </c>
      <c r="FJ15" s="279">
        <f t="shared" si="206"/>
        <v>22.635008393577074</v>
      </c>
      <c r="FK15" s="4">
        <f t="shared" si="42"/>
        <v>0.97366205700139263</v>
      </c>
      <c r="FL15" s="5">
        <f t="shared" si="207"/>
        <v>0.99997680913973963</v>
      </c>
      <c r="FM15" s="8">
        <f t="shared" si="208"/>
        <v>0.32423205384026871</v>
      </c>
      <c r="FN15" s="9">
        <f t="shared" si="209"/>
        <v>18.849713200413412</v>
      </c>
      <c r="FO15" s="10">
        <f t="shared" si="43"/>
        <v>1</v>
      </c>
      <c r="FP15" s="277">
        <f t="shared" si="44"/>
        <v>18.849713200413412</v>
      </c>
      <c r="FQ15" s="173">
        <f>IF(ISNUMBER($AV15),SIN(RADIANS(FN15)),"")</f>
        <v>0.32308694259922305</v>
      </c>
      <c r="FR15" s="10">
        <f t="shared" si="210"/>
        <v>0.9463692870766075</v>
      </c>
      <c r="FS15" s="9">
        <f>IF(ISNUMBER($AV15),FQ15/(FQ15+FR15),"")</f>
        <v>0.25450813903345593</v>
      </c>
      <c r="FT15" s="6">
        <f t="shared" si="212"/>
        <v>0.74549186096654407</v>
      </c>
      <c r="FU15" s="4">
        <f t="shared" si="213"/>
        <v>0.94923179377052247</v>
      </c>
      <c r="FV15" s="5">
        <f t="shared" si="214"/>
        <v>1</v>
      </c>
      <c r="FW15" s="8">
        <f t="shared" si="240"/>
        <v>0.23471371203948321</v>
      </c>
      <c r="FX15" s="9">
        <f t="shared" si="241"/>
        <v>13.507549989367984</v>
      </c>
      <c r="FY15" s="10">
        <f t="shared" si="45"/>
        <v>1</v>
      </c>
      <c r="FZ15" s="277">
        <f t="shared" si="242"/>
        <v>13.507549989367984</v>
      </c>
      <c r="GA15" s="177">
        <f t="shared" si="215"/>
        <v>12.821209374899087</v>
      </c>
      <c r="GB15" s="4">
        <f t="shared" si="216"/>
        <v>-0.31415008325702315</v>
      </c>
      <c r="GC15" s="5">
        <f t="shared" si="217"/>
        <v>0.92019190851608457</v>
      </c>
      <c r="GD15" s="10">
        <f t="shared" si="218"/>
        <v>-0.23357349312610656</v>
      </c>
      <c r="GE15" s="311">
        <f t="shared" si="219"/>
        <v>1.4679154848992144</v>
      </c>
      <c r="GF15" s="341">
        <f t="shared" si="243"/>
        <v>0.6812381300471525</v>
      </c>
      <c r="GG15" s="285">
        <f t="shared" si="46"/>
        <v>0.21401101527217173</v>
      </c>
      <c r="GH15" s="286">
        <f t="shared" si="47"/>
        <v>0.62686981504201789</v>
      </c>
      <c r="GI15" s="281">
        <f t="shared" si="48"/>
        <v>0.15911916968581027</v>
      </c>
      <c r="GJ15" s="167">
        <f t="shared" si="220"/>
        <v>4.4401000000000002</v>
      </c>
      <c r="GK15" s="174">
        <f t="shared" si="49"/>
        <v>2.3248848396134436</v>
      </c>
      <c r="GL15" s="174">
        <f t="shared" si="221"/>
        <v>1.6899999999999998E-2</v>
      </c>
      <c r="GM15" s="177">
        <f t="shared" si="244"/>
        <v>0.4714866454736063</v>
      </c>
      <c r="GN15" s="280">
        <f t="shared" si="222"/>
        <v>3.2405929799606964E-2</v>
      </c>
      <c r="GO15" s="4">
        <f t="shared" si="223"/>
        <v>18.849713200413412</v>
      </c>
      <c r="GP15" s="8">
        <f t="shared" si="245"/>
        <v>13.507549989367984</v>
      </c>
      <c r="GQ15" s="177">
        <f t="shared" si="224"/>
        <v>22.635008393577074</v>
      </c>
      <c r="GR15" s="371">
        <f t="shared" si="246"/>
        <v>1880.3212172610488</v>
      </c>
      <c r="GS15" s="342">
        <f t="shared" si="51"/>
        <v>402.40945274384291</v>
      </c>
      <c r="GT15" s="343">
        <f t="shared" si="52"/>
        <v>173.08790779105908</v>
      </c>
      <c r="GU15" s="344">
        <f t="shared" si="53"/>
        <v>1178.7166136840158</v>
      </c>
      <c r="GV15" s="343">
        <f t="shared" si="253"/>
        <v>506.99999999999994</v>
      </c>
      <c r="GW15" s="345">
        <f t="shared" si="129"/>
        <v>30000</v>
      </c>
      <c r="GX15" s="346">
        <f t="shared" si="54"/>
        <v>187.59422499999997</v>
      </c>
      <c r="GY15" s="344">
        <f t="shared" si="55"/>
        <v>299.19515083319021</v>
      </c>
      <c r="GZ15" s="345">
        <f t="shared" si="56"/>
        <v>128.69246069105819</v>
      </c>
      <c r="HA15" s="342">
        <f t="shared" si="57"/>
        <v>402.40945274384291</v>
      </c>
      <c r="HB15" s="5">
        <f t="shared" si="225"/>
        <v>2.9508182192707437</v>
      </c>
      <c r="HC15" s="343">
        <f t="shared" si="226"/>
        <v>401.87589450529788</v>
      </c>
      <c r="HD15" s="345">
        <f t="shared" si="227"/>
        <v>20.715527344623172</v>
      </c>
      <c r="HE15" s="344">
        <f t="shared" si="58"/>
        <v>506.99999999999994</v>
      </c>
      <c r="HF15" s="5">
        <f t="shared" si="59"/>
        <v>92.950818219270744</v>
      </c>
      <c r="HG15" s="343">
        <f t="shared" si="228"/>
        <v>-26.099715829512501</v>
      </c>
      <c r="HH15" s="349">
        <f t="shared" si="229"/>
        <v>506.32776423342483</v>
      </c>
      <c r="HI15" s="317">
        <f t="shared" si="60"/>
        <v>1.119</v>
      </c>
      <c r="HJ15" s="336"/>
      <c r="HK15" s="310">
        <f t="shared" si="130"/>
        <v>7</v>
      </c>
      <c r="HL15" s="348">
        <f t="shared" si="61"/>
        <v>1.107</v>
      </c>
      <c r="HM15" s="934">
        <f t="shared" si="62"/>
        <v>-1.6862354147744005</v>
      </c>
      <c r="HN15" s="935">
        <f t="shared" si="63"/>
        <v>14.999997834276906</v>
      </c>
      <c r="HO15" s="936"/>
      <c r="HP15" s="937"/>
      <c r="HQ15" s="935">
        <f t="shared" si="64"/>
        <v>13.923380263761192</v>
      </c>
      <c r="HR15" s="938">
        <f t="shared" si="65"/>
        <v>13.829655594215438</v>
      </c>
      <c r="HS15" s="939">
        <f t="shared" si="249"/>
        <v>1.4723999999999999</v>
      </c>
      <c r="HT15" s="940">
        <f t="shared" si="66"/>
        <v>3.8800000000000001E-2</v>
      </c>
      <c r="HU15" s="941">
        <f t="shared" si="67"/>
        <v>0.35902854070082985</v>
      </c>
      <c r="HV15" s="942">
        <f t="shared" si="68"/>
        <v>2.4676528588247634E-2</v>
      </c>
      <c r="HW15" s="943">
        <f t="shared" si="69"/>
        <v>30000</v>
      </c>
      <c r="HX15" s="950">
        <f t="shared" si="70"/>
        <v>142.8228</v>
      </c>
      <c r="HY15" s="955">
        <f t="shared" si="71"/>
        <v>26.423477268621909</v>
      </c>
      <c r="HZ15" s="956">
        <f t="shared" si="72"/>
        <v>897.57135175207452</v>
      </c>
      <c r="IA15" s="957">
        <f t="shared" si="73"/>
        <v>221.05305728585768</v>
      </c>
      <c r="IB15" s="958">
        <f t="shared" si="74"/>
        <v>1145.0478863065541</v>
      </c>
      <c r="IC15" s="841">
        <f t="shared" si="75"/>
        <v>34.266832915999217</v>
      </c>
      <c r="ID15" s="351">
        <f t="shared" si="76"/>
        <v>1164</v>
      </c>
      <c r="IE15" s="843">
        <f t="shared" si="77"/>
        <v>286.66886279121223</v>
      </c>
      <c r="IF15" s="844"/>
      <c r="IG15" s="789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7">
        <f t="shared" si="230"/>
        <v>1.119</v>
      </c>
      <c r="IJ15" s="967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8"/>
        <v>1613</v>
      </c>
      <c r="IM15" s="482" t="str">
        <f t="shared" si="231"/>
        <v/>
      </c>
      <c r="IN15" s="670" t="str">
        <f t="shared" si="80"/>
        <v/>
      </c>
      <c r="IO15" s="702"/>
      <c r="IP15" s="5" t="str">
        <f t="shared" si="81"/>
        <v/>
      </c>
      <c r="IQ15" s="714"/>
      <c r="IR15" s="9" t="str">
        <f t="shared" si="131"/>
        <v/>
      </c>
      <c r="IS15" s="5" t="str">
        <f t="shared" si="82"/>
        <v/>
      </c>
      <c r="IT15" s="5" t="str">
        <f t="shared" si="83"/>
        <v/>
      </c>
      <c r="IU15" s="5" t="str">
        <f t="shared" si="84"/>
        <v/>
      </c>
      <c r="IV15" s="670" t="str">
        <f t="shared" si="85"/>
        <v/>
      </c>
      <c r="IW15" s="9" t="str">
        <f t="shared" si="86"/>
        <v/>
      </c>
      <c r="IX15" s="5" t="str">
        <f t="shared" si="87"/>
        <v/>
      </c>
      <c r="IY15" s="5" t="str">
        <f t="shared" si="88"/>
        <v/>
      </c>
      <c r="IZ15" s="5" t="str">
        <f t="shared" si="89"/>
        <v/>
      </c>
      <c r="JA15" s="705" t="str">
        <f t="shared" si="9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43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ref="B16:D16" si="257">IFERROR(O171+($A16*-E16),"")</f>
        <v>0.15325667511735006</v>
      </c>
      <c r="C16" s="572">
        <f t="shared" si="257"/>
        <v>4.5956591659258832</v>
      </c>
      <c r="D16" s="576">
        <f t="shared" si="257"/>
        <v>-1.3814041663149654</v>
      </c>
      <c r="E16" s="580">
        <f t="shared" ref="E16:K16" si="258">R171</f>
        <v>-0.8776031045833359</v>
      </c>
      <c r="F16" s="572">
        <f t="shared" si="258"/>
        <v>0.4644016483520268</v>
      </c>
      <c r="G16" s="579">
        <f t="shared" si="258"/>
        <v>0.11892812885777294</v>
      </c>
      <c r="H16" s="580">
        <f t="shared" si="258"/>
        <v>0.3125</v>
      </c>
      <c r="I16" s="572">
        <f t="shared" si="258"/>
        <v>0.52</v>
      </c>
      <c r="J16" s="483">
        <f t="shared" si="92"/>
        <v>1.1220000000000001</v>
      </c>
      <c r="K16" s="805">
        <f t="shared" si="258"/>
        <v>1613</v>
      </c>
      <c r="L16" s="309"/>
      <c r="M16" s="164">
        <f t="shared" si="4"/>
        <v>1.1220000000000001</v>
      </c>
      <c r="N16" s="575">
        <f t="shared" si="5"/>
        <v>0.15325667511735006</v>
      </c>
      <c r="O16" s="572">
        <f t="shared" si="6"/>
        <v>4.5956591659258832</v>
      </c>
      <c r="P16" s="576">
        <f t="shared" si="7"/>
        <v>-1.3814041663149654</v>
      </c>
      <c r="Q16" s="528">
        <f>IF(M16="","",IF(DEGREES(ATAN2(N16,O16))&lt;0,DEGREES(ATAN2(N16,O16))+360,IF(DEGREES(ATAN2(N16,O16))&gt;360,DEGREES(ATAN2(N16,O16))-360,DEGREES(ATAN2(N16,O16)))))</f>
        <v>88.090000275769839</v>
      </c>
      <c r="R16" s="572">
        <f t="shared" si="93"/>
        <v>4.5982138682130271</v>
      </c>
      <c r="S16" s="577">
        <f t="shared" si="94"/>
        <v>-1.3814041663149654</v>
      </c>
      <c r="T16" s="578">
        <f t="shared" si="95"/>
        <v>4.5964876888846051</v>
      </c>
      <c r="U16" s="572">
        <f t="shared" si="96"/>
        <v>-0.12598295027056583</v>
      </c>
      <c r="V16" s="579">
        <f t="shared" si="135"/>
        <v>-1.3814041663149654</v>
      </c>
      <c r="W16" s="528">
        <f>IF(M16="","",IF(Q16-$Q$8&lt;0,360+Q16-$Q$8,Q16-$Q$8))</f>
        <v>358.43000022667991</v>
      </c>
      <c r="X16" s="572">
        <f t="shared" si="97"/>
        <v>4.5982138682130271</v>
      </c>
      <c r="Y16" s="573">
        <f t="shared" ref="Y16:Y75" si="259">IF(M16="","",S16)</f>
        <v>-1.3814041663149654</v>
      </c>
      <c r="Z16" s="575">
        <f t="shared" si="10"/>
        <v>0.8776031045833359</v>
      </c>
      <c r="AA16" s="572">
        <f t="shared" si="11"/>
        <v>-0.4644016483520268</v>
      </c>
      <c r="AB16" s="572">
        <f t="shared" si="12"/>
        <v>-0.11892812885777294</v>
      </c>
      <c r="AC16" s="579">
        <f t="shared" si="98"/>
        <v>1</v>
      </c>
      <c r="AD16" s="580">
        <f t="shared" si="136"/>
        <v>0.8776031045833359</v>
      </c>
      <c r="AE16" s="572">
        <f t="shared" si="99"/>
        <v>-0.4644016483520268</v>
      </c>
      <c r="AF16" s="576">
        <f t="shared" si="100"/>
        <v>-0.11892812885777294</v>
      </c>
      <c r="AG16" s="545">
        <f t="shared" si="101"/>
        <v>-75.635880747825411</v>
      </c>
      <c r="AH16" s="546">
        <f t="shared" si="102"/>
        <v>28.645434618726277</v>
      </c>
      <c r="AI16" s="528">
        <f t="shared" si="103"/>
        <v>-83.169754101452028</v>
      </c>
      <c r="AJ16" s="529">
        <f t="shared" si="104"/>
        <v>62.113528571533564</v>
      </c>
      <c r="AK16" s="578">
        <f t="shared" si="234"/>
        <v>0.89259384661112062</v>
      </c>
      <c r="AL16" s="572">
        <f t="shared" si="105"/>
        <v>-0.43489346414766034</v>
      </c>
      <c r="AM16" s="577">
        <f t="shared" si="106"/>
        <v>-0.11892812885777294</v>
      </c>
      <c r="AN16" s="524">
        <f t="shared" si="107"/>
        <v>-74.705547811601619</v>
      </c>
      <c r="AO16" s="525">
        <f t="shared" si="108"/>
        <v>26.798979794526385</v>
      </c>
      <c r="AP16" s="528">
        <f t="shared" si="109"/>
        <v>-25.976471704236307</v>
      </c>
      <c r="AQ16" s="529">
        <f t="shared" si="13"/>
        <v>0.37679136146340503</v>
      </c>
      <c r="AS16" s="899">
        <f t="shared" si="137"/>
        <v>-1.5699997733200917</v>
      </c>
      <c r="AT16" s="895">
        <f t="shared" si="14"/>
        <v>-1.3803962131339882</v>
      </c>
      <c r="AU16" s="418"/>
      <c r="AV16" s="164">
        <f t="shared" si="15"/>
        <v>1.1220000000000001</v>
      </c>
      <c r="AW16" s="828">
        <f>IFERROR(INDEX(MassProp!C$9:C$150,MATCH($M16,MassProp!$B$9:$B$150,0)),"")</f>
        <v>4.8396999999999997</v>
      </c>
      <c r="AX16" s="829">
        <f>IFERROR(INDEX(MassProp!D$9:D$150,MATCH($M16,MassProp!$B$9:$B$150,0)),"")</f>
        <v>-1.101</v>
      </c>
      <c r="AY16" s="830">
        <f>IFERROR(INDEX(MassProp!E$9:E$150,MATCH($M16,MassProp!$B$9:$B$150,0)),"")</f>
        <v>7.0000000000000001E-3</v>
      </c>
      <c r="AZ16" s="297">
        <f t="shared" si="138"/>
        <v>0.21286527853407075</v>
      </c>
      <c r="BA16" s="296">
        <f t="shared" si="16"/>
        <v>1.4630525252777353E-2</v>
      </c>
      <c r="BB16" s="291">
        <f t="shared" si="139"/>
        <v>8.9396213133988267E-2</v>
      </c>
      <c r="BC16" s="9"/>
      <c r="BD16" s="5">
        <f t="shared" si="235"/>
        <v>4.8396999999999997</v>
      </c>
      <c r="BE16" s="6">
        <f t="shared" si="17"/>
        <v>-1.2920079531809772</v>
      </c>
      <c r="BF16" s="4">
        <f t="shared" si="18"/>
        <v>0.15325667511735006</v>
      </c>
      <c r="BG16" s="5">
        <f t="shared" si="19"/>
        <v>4.5956591659258832</v>
      </c>
      <c r="BH16" s="10">
        <f t="shared" si="20"/>
        <v>-1.3814041663149654</v>
      </c>
      <c r="BI16" s="9">
        <f t="shared" si="140"/>
        <v>0.15325667511735006</v>
      </c>
      <c r="BJ16" s="5">
        <f t="shared" si="21"/>
        <v>4.8437424415708419</v>
      </c>
      <c r="BK16" s="8">
        <f t="shared" si="22"/>
        <v>-2.3501428763628645</v>
      </c>
      <c r="BL16" s="173">
        <f t="shared" si="23"/>
        <v>0.63264460865937233</v>
      </c>
      <c r="BM16" s="5">
        <f t="shared" si="24"/>
        <v>5.4458272653939757</v>
      </c>
      <c r="BN16" s="6">
        <f t="shared" si="25"/>
        <v>-1.1636855134137458</v>
      </c>
      <c r="BO16" s="4">
        <f t="shared" si="141"/>
        <v>0.87760310458333657</v>
      </c>
      <c r="BP16" s="5">
        <f t="shared" si="142"/>
        <v>-0.46440164835202646</v>
      </c>
      <c r="BQ16" s="5">
        <f t="shared" si="143"/>
        <v>-0.11892812885777282</v>
      </c>
      <c r="BR16" s="6">
        <f t="shared" si="144"/>
        <v>1.8354453453428028</v>
      </c>
      <c r="BS16" s="4">
        <f t="shared" si="110"/>
        <v>0</v>
      </c>
      <c r="BT16" s="5">
        <f t="shared" si="110"/>
        <v>0</v>
      </c>
      <c r="BU16" s="10">
        <f t="shared" si="111"/>
        <v>-1.2920079531809772</v>
      </c>
      <c r="BV16" s="9">
        <f t="shared" si="112"/>
        <v>0</v>
      </c>
      <c r="BW16" s="5">
        <f t="shared" si="113"/>
        <v>1</v>
      </c>
      <c r="BX16" s="8">
        <f t="shared" si="114"/>
        <v>-1.2920079531809772</v>
      </c>
      <c r="BY16" s="173">
        <f t="shared" si="115"/>
        <v>1</v>
      </c>
      <c r="BZ16" s="5">
        <f t="shared" si="116"/>
        <v>0</v>
      </c>
      <c r="CA16" s="6">
        <f t="shared" si="117"/>
        <v>-1.2920079531809772</v>
      </c>
      <c r="CB16" s="4">
        <f t="shared" si="145"/>
        <v>0</v>
      </c>
      <c r="CC16" s="5">
        <f t="shared" si="146"/>
        <v>0</v>
      </c>
      <c r="CD16" s="5">
        <f t="shared" si="147"/>
        <v>-1</v>
      </c>
      <c r="CE16" s="6">
        <f t="shared" si="148"/>
        <v>-1.2920079531809772</v>
      </c>
      <c r="CF16" s="4">
        <f t="shared" si="149"/>
        <v>0.46440164835202646</v>
      </c>
      <c r="CG16" s="5">
        <f t="shared" si="150"/>
        <v>0.87760310458333657</v>
      </c>
      <c r="CH16" s="5">
        <f t="shared" si="151"/>
        <v>0</v>
      </c>
      <c r="CI16" s="4">
        <f t="shared" si="118"/>
        <v>0</v>
      </c>
      <c r="CJ16" s="5">
        <f t="shared" si="119"/>
        <v>4.2831489525123212</v>
      </c>
      <c r="CK16" s="8">
        <f t="shared" si="120"/>
        <v>-1.2920079531809772</v>
      </c>
      <c r="CL16" s="173">
        <f t="shared" si="121"/>
        <v>0.46440164835202646</v>
      </c>
      <c r="CM16" s="5">
        <f t="shared" si="122"/>
        <v>5.1607520570956575</v>
      </c>
      <c r="CN16" s="6">
        <f t="shared" si="123"/>
        <v>-1.2920079531809772</v>
      </c>
      <c r="CO16" s="167">
        <f t="shared" si="26"/>
        <v>0.3125</v>
      </c>
      <c r="CP16" s="4">
        <f t="shared" si="236"/>
        <v>0.98585610016638969</v>
      </c>
      <c r="CQ16" s="5">
        <f t="shared" si="237"/>
        <v>-0.69086517210238274</v>
      </c>
      <c r="CR16" s="5">
        <f>IF(ISNUMBER($AV16),BF16^2+BG16^2+BH16^2+CI16^2+CJ16^2+CK16^2-2*(BF16*CI16+BG16*CJ16+BH16*CK16)-CO16^2,"")</f>
        <v>3.1485674878503289E-2</v>
      </c>
      <c r="CS16" s="8">
        <f t="shared" si="153"/>
        <v>0.35313330743674248</v>
      </c>
      <c r="CT16" s="9">
        <f t="shared" si="154"/>
        <v>0.6517763484825122</v>
      </c>
      <c r="CU16" s="6">
        <f t="shared" si="155"/>
        <v>4.9000541761186407E-2</v>
      </c>
      <c r="CV16" s="4">
        <f t="shared" si="238"/>
        <v>0.30268601059214351</v>
      </c>
      <c r="CW16" s="5">
        <f t="shared" si="156"/>
        <v>4.8551498994345641</v>
      </c>
      <c r="CX16" s="8">
        <f t="shared" si="157"/>
        <v>-1.2920079531809772</v>
      </c>
      <c r="CY16" s="9">
        <f t="shared" si="158"/>
        <v>2.2755932364037279E-2</v>
      </c>
      <c r="CZ16" s="5">
        <f t="shared" si="159"/>
        <v>4.3261519800882038</v>
      </c>
      <c r="DA16" s="6">
        <f t="shared" si="160"/>
        <v>-1.2920079531809772</v>
      </c>
      <c r="DB16" s="4">
        <f t="shared" si="161"/>
        <v>0</v>
      </c>
      <c r="DC16" s="5">
        <f t="shared" si="161"/>
        <v>0</v>
      </c>
      <c r="DD16" s="10">
        <f>IF(ISNUMBER($AV16),-10,"")</f>
        <v>-10</v>
      </c>
      <c r="DE16" s="9">
        <f t="shared" si="163"/>
        <v>0</v>
      </c>
      <c r="DF16" s="5">
        <f t="shared" si="163"/>
        <v>0</v>
      </c>
      <c r="DG16" s="10">
        <f t="shared" si="164"/>
        <v>10</v>
      </c>
      <c r="DH16" s="70">
        <f t="shared" si="165"/>
        <v>4.8396999999999997</v>
      </c>
      <c r="DI16" s="4">
        <f t="shared" si="166"/>
        <v>0</v>
      </c>
      <c r="DJ16" s="5">
        <f t="shared" si="167"/>
        <v>0</v>
      </c>
      <c r="DK16" s="10">
        <f t="shared" si="168"/>
        <v>20</v>
      </c>
      <c r="DL16" s="9">
        <f t="shared" si="169"/>
        <v>0.30268601059214351</v>
      </c>
      <c r="DM16" s="173">
        <f t="shared" si="170"/>
        <v>4.8551498994345641</v>
      </c>
      <c r="DN16" s="178">
        <f t="shared" si="171"/>
        <v>8.7079920468190224</v>
      </c>
      <c r="DO16" s="9">
        <f t="shared" si="172"/>
        <v>-0.27993007822810623</v>
      </c>
      <c r="DP16" s="173">
        <f t="shared" si="173"/>
        <v>-0.52899791934636031</v>
      </c>
      <c r="DQ16" s="11">
        <f t="shared" si="174"/>
        <v>0</v>
      </c>
      <c r="DR16" s="173">
        <f t="shared" si="175"/>
        <v>174.15984093638045</v>
      </c>
      <c r="DS16" s="5">
        <f t="shared" si="176"/>
        <v>0</v>
      </c>
      <c r="DT16" s="5">
        <f t="shared" si="177"/>
        <v>400</v>
      </c>
      <c r="DU16" s="5">
        <f t="shared" si="178"/>
        <v>0.35819964736957199</v>
      </c>
      <c r="DV16" s="5">
        <f t="shared" si="179"/>
        <v>-2.6530951135391874</v>
      </c>
      <c r="DW16" s="5">
        <f t="shared" si="180"/>
        <v>99.493224854450986</v>
      </c>
      <c r="DX16" s="167">
        <f t="shared" si="181"/>
        <v>76.070528764450984</v>
      </c>
      <c r="DY16" s="9">
        <f t="shared" si="182"/>
        <v>143.27985894782879</v>
      </c>
      <c r="DZ16" s="5">
        <f t="shared" si="183"/>
        <v>-1061.2380454156751</v>
      </c>
      <c r="EA16" s="10">
        <f t="shared" si="184"/>
        <v>96.561310795055761</v>
      </c>
      <c r="EB16" s="6">
        <f t="shared" si="185"/>
        <v>1112390.8980471494</v>
      </c>
      <c r="EC16" s="173">
        <f t="shared" si="186"/>
        <v>14.767864066077385</v>
      </c>
      <c r="ED16" s="5">
        <f t="shared" si="187"/>
        <v>4.5635238135279324E-2</v>
      </c>
      <c r="EE16" s="4">
        <f t="shared" si="188"/>
        <v>-3.8312833326869375</v>
      </c>
      <c r="EF16" s="5">
        <f t="shared" si="189"/>
        <v>-2.9570194647102532</v>
      </c>
      <c r="EG16" s="10">
        <f t="shared" si="190"/>
        <v>-1.2920079531809772</v>
      </c>
      <c r="EH16" s="9">
        <f t="shared" si="191"/>
        <v>0.28991133481097653</v>
      </c>
      <c r="EI16" s="5">
        <f t="shared" si="192"/>
        <v>4.8310089534121259</v>
      </c>
      <c r="EJ16" s="6">
        <f t="shared" si="193"/>
        <v>-1.2920079531809772</v>
      </c>
      <c r="EK16" s="236" t="b">
        <f t="shared" si="194"/>
        <v>0</v>
      </c>
      <c r="EL16" s="238" t="b">
        <f t="shared" si="195"/>
        <v>1</v>
      </c>
      <c r="EM16" s="4">
        <f t="shared" si="196"/>
        <v>0.28991133481097653</v>
      </c>
      <c r="EN16" s="5">
        <f t="shared" si="197"/>
        <v>4.8310089534121259</v>
      </c>
      <c r="EO16" s="10">
        <f t="shared" si="198"/>
        <v>-1.2920079531809772</v>
      </c>
      <c r="EP16" s="9">
        <f t="shared" si="199"/>
        <v>86.565769339251858</v>
      </c>
      <c r="EQ16" s="5">
        <f t="shared" si="200"/>
        <v>4.8397000000000006</v>
      </c>
      <c r="ER16" s="7">
        <f t="shared" si="201"/>
        <v>-1.2920079531809772</v>
      </c>
      <c r="ES16" s="21">
        <f t="shared" si="124"/>
        <v>0.8776031045833359</v>
      </c>
      <c r="ET16" s="5">
        <f t="shared" si="35"/>
        <v>-0.4644016483520268</v>
      </c>
      <c r="EU16" s="10">
        <f t="shared" si="36"/>
        <v>-0.11892812885777294</v>
      </c>
      <c r="EV16" s="174">
        <f t="shared" si="252"/>
        <v>3.4342306607481419</v>
      </c>
      <c r="EW16" s="9">
        <f t="shared" si="125"/>
        <v>0.90384605606680735</v>
      </c>
      <c r="EX16" s="5">
        <f t="shared" si="37"/>
        <v>-0.41099684560695465</v>
      </c>
      <c r="EY16" s="6">
        <f t="shared" si="202"/>
        <v>-0.11892812885777294</v>
      </c>
      <c r="EZ16" s="51">
        <f t="shared" si="203"/>
        <v>0.35799113456859483</v>
      </c>
      <c r="FA16" s="266">
        <f>IF(ISNUMBER($AV16),SIN(RADIANS($EP16))*COS(RADIANS($EZ16)),"")</f>
        <v>0.99818473349807368</v>
      </c>
      <c r="FB16" s="267">
        <f t="shared" si="127"/>
        <v>-5.9901579828779666E-2</v>
      </c>
      <c r="FC16" s="269">
        <f t="shared" si="38"/>
        <v>-6.2480833377770578E-3</v>
      </c>
      <c r="FD16" s="4">
        <f t="shared" si="128"/>
        <v>0.99998048053679733</v>
      </c>
      <c r="FE16" s="5">
        <f t="shared" si="39"/>
        <v>6.2450045135165055E-17</v>
      </c>
      <c r="FF16" s="7">
        <f t="shared" si="204"/>
        <v>-6.2480833377770578E-3</v>
      </c>
      <c r="FG16" s="173">
        <f t="shared" si="205"/>
        <v>-9.6134424469989987E-2</v>
      </c>
      <c r="FH16" s="5">
        <f t="shared" si="40"/>
        <v>-0.41099684560695471</v>
      </c>
      <c r="FI16" s="10">
        <f t="shared" si="41"/>
        <v>-0.11268004551999589</v>
      </c>
      <c r="FJ16" s="279">
        <f t="shared" si="206"/>
        <v>25.234368826109783</v>
      </c>
      <c r="FK16" s="4">
        <f t="shared" si="42"/>
        <v>0.99290286542359674</v>
      </c>
      <c r="FL16" s="5">
        <f t="shared" si="207"/>
        <v>0.99998048053679733</v>
      </c>
      <c r="FM16" s="8">
        <f t="shared" si="208"/>
        <v>0.42209031577026634</v>
      </c>
      <c r="FN16" s="9">
        <f t="shared" si="209"/>
        <v>24.452240767718301</v>
      </c>
      <c r="FO16" s="10">
        <f t="shared" si="43"/>
        <v>1</v>
      </c>
      <c r="FP16" s="277">
        <f t="shared" si="44"/>
        <v>24.452240767718301</v>
      </c>
      <c r="FQ16" s="173">
        <f t="shared" si="239"/>
        <v>0.41393459513445291</v>
      </c>
      <c r="FR16" s="10">
        <f t="shared" si="210"/>
        <v>0.91030662468800949</v>
      </c>
      <c r="FS16" s="9">
        <f t="shared" si="211"/>
        <v>0.31258247284429647</v>
      </c>
      <c r="FT16" s="6">
        <f t="shared" si="212"/>
        <v>0.68741752715570348</v>
      </c>
      <c r="FU16" s="4">
        <f t="shared" si="213"/>
        <v>0.91163676587834774</v>
      </c>
      <c r="FV16" s="5">
        <f t="shared" si="214"/>
        <v>1</v>
      </c>
      <c r="FW16" s="8">
        <f t="shared" si="240"/>
        <v>0.14811691404618366</v>
      </c>
      <c r="FX16" s="9">
        <f t="shared" si="241"/>
        <v>7.1379298279638705</v>
      </c>
      <c r="FY16" s="10">
        <f t="shared" si="45"/>
        <v>1</v>
      </c>
      <c r="FZ16" s="277">
        <f t="shared" si="242"/>
        <v>7.1379298279638705</v>
      </c>
      <c r="GA16" s="177">
        <f t="shared" si="215"/>
        <v>6.506924704385753</v>
      </c>
      <c r="GB16" s="4">
        <f t="shared" si="216"/>
        <v>-0.41072655906591637</v>
      </c>
      <c r="GC16" s="5">
        <f t="shared" si="217"/>
        <v>0.90325165387920703</v>
      </c>
      <c r="GD16" s="10">
        <f t="shared" si="218"/>
        <v>-0.12425837373130766</v>
      </c>
      <c r="GE16" s="311">
        <f t="shared" si="219"/>
        <v>1.4382365866764311</v>
      </c>
      <c r="GF16" s="341">
        <f t="shared" si="243"/>
        <v>0.69529589864687269</v>
      </c>
      <c r="GG16" s="285">
        <f t="shared" si="46"/>
        <v>0.28557649198387419</v>
      </c>
      <c r="GH16" s="286">
        <f t="shared" si="47"/>
        <v>0.62802717038821732</v>
      </c>
      <c r="GI16" s="281">
        <f t="shared" si="48"/>
        <v>8.639633762790852E-2</v>
      </c>
      <c r="GJ16" s="167">
        <f t="shared" si="220"/>
        <v>4.8396999999999997</v>
      </c>
      <c r="GK16" s="174">
        <f t="shared" si="49"/>
        <v>2.5341104587389376</v>
      </c>
      <c r="GL16" s="174">
        <f t="shared" si="221"/>
        <v>7.0000000000000001E-3</v>
      </c>
      <c r="GM16" s="177">
        <f t="shared" si="244"/>
        <v>0.21286527853407075</v>
      </c>
      <c r="GN16" s="280">
        <f t="shared" si="222"/>
        <v>1.4630525252777353E-2</v>
      </c>
      <c r="GO16" s="4">
        <f t="shared" si="223"/>
        <v>24.452240767718301</v>
      </c>
      <c r="GP16" s="8">
        <f t="shared" si="245"/>
        <v>7.1379298279638705</v>
      </c>
      <c r="GQ16" s="177">
        <f t="shared" si="224"/>
        <v>25.234368826109783</v>
      </c>
      <c r="GR16" s="371">
        <f t="shared" si="246"/>
        <v>847.35696388138467</v>
      </c>
      <c r="GS16" s="342">
        <f t="shared" si="51"/>
        <v>241.98522920335222</v>
      </c>
      <c r="GT16" s="343">
        <f t="shared" si="52"/>
        <v>95.491192330965944</v>
      </c>
      <c r="GU16" s="344">
        <f t="shared" si="53"/>
        <v>532.16319633517685</v>
      </c>
      <c r="GV16" s="343">
        <f t="shared" si="253"/>
        <v>210</v>
      </c>
      <c r="GW16" s="345">
        <f t="shared" si="129"/>
        <v>30000</v>
      </c>
      <c r="GX16" s="346">
        <f t="shared" si="54"/>
        <v>84.694749999999999</v>
      </c>
      <c r="GY16" s="344">
        <f t="shared" si="55"/>
        <v>73.20853834285559</v>
      </c>
      <c r="GZ16" s="345">
        <f t="shared" si="56"/>
        <v>28.889245174926877</v>
      </c>
      <c r="HA16" s="342">
        <f t="shared" si="57"/>
        <v>241.98522920335222</v>
      </c>
      <c r="HB16" s="5">
        <f t="shared" si="225"/>
        <v>3.4342306607481419</v>
      </c>
      <c r="HC16" s="343">
        <f t="shared" si="226"/>
        <v>241.55067646235921</v>
      </c>
      <c r="HD16" s="345">
        <f t="shared" si="227"/>
        <v>14.495580470459759</v>
      </c>
      <c r="HE16" s="344">
        <f t="shared" si="58"/>
        <v>210</v>
      </c>
      <c r="HF16" s="5">
        <f t="shared" si="59"/>
        <v>93.434230660748142</v>
      </c>
      <c r="HG16" s="343">
        <f t="shared" si="228"/>
        <v>-12.579577310640172</v>
      </c>
      <c r="HH16" s="349">
        <f t="shared" si="229"/>
        <v>209.62288576080053</v>
      </c>
      <c r="HI16" s="317">
        <f t="shared" si="60"/>
        <v>1.1220000000000001</v>
      </c>
      <c r="HJ16" s="336"/>
      <c r="HK16" s="310">
        <f t="shared" si="130"/>
        <v>8</v>
      </c>
      <c r="HL16" s="348">
        <f t="shared" si="61"/>
        <v>5.1079999999999997</v>
      </c>
      <c r="HM16" s="934">
        <f t="shared" si="62"/>
        <v>-1.460720985864304</v>
      </c>
      <c r="HN16" s="935">
        <f t="shared" si="63"/>
        <v>14.99999783426823</v>
      </c>
      <c r="HO16" s="936"/>
      <c r="HP16" s="937"/>
      <c r="HQ16" s="935">
        <f t="shared" si="64"/>
        <v>14.043529223333412</v>
      </c>
      <c r="HR16" s="938">
        <f t="shared" si="65"/>
        <v>13.973889859755474</v>
      </c>
      <c r="HS16" s="939">
        <f t="shared" si="249"/>
        <v>1.6807000000000001</v>
      </c>
      <c r="HT16" s="940">
        <f t="shared" si="66"/>
        <v>4.0099999999999997E-2</v>
      </c>
      <c r="HU16" s="941">
        <f t="shared" si="67"/>
        <v>0.42353053240904276</v>
      </c>
      <c r="HV16" s="942">
        <f t="shared" si="68"/>
        <v>2.9109839765346902E-2</v>
      </c>
      <c r="HW16" s="943">
        <f t="shared" si="69"/>
        <v>30000</v>
      </c>
      <c r="HX16" s="950">
        <f t="shared" si="70"/>
        <v>168.49017500000002</v>
      </c>
      <c r="HY16" s="955">
        <f t="shared" si="71"/>
        <v>26.999982045469118</v>
      </c>
      <c r="HZ16" s="956">
        <f t="shared" si="72"/>
        <v>1058.8263310226071</v>
      </c>
      <c r="IA16" s="957">
        <f t="shared" si="73"/>
        <v>263.56825209917713</v>
      </c>
      <c r="IB16" s="958">
        <f t="shared" si="74"/>
        <v>1349.3945651672534</v>
      </c>
      <c r="IC16" s="841">
        <f t="shared" si="75"/>
        <v>30.676398431959516</v>
      </c>
      <c r="ID16" s="351">
        <f t="shared" si="76"/>
        <v>1203</v>
      </c>
      <c r="IE16" s="843">
        <f t="shared" si="77"/>
        <v>299.45667007457553</v>
      </c>
      <c r="IF16" s="844"/>
      <c r="IG16" s="789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7">
        <f t="shared" si="230"/>
        <v>1.1220000000000001</v>
      </c>
      <c r="IJ16" s="967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8"/>
        <v>1613</v>
      </c>
      <c r="IM16" s="482" t="str">
        <f t="shared" si="231"/>
        <v/>
      </c>
      <c r="IN16" s="670" t="str">
        <f t="shared" si="80"/>
        <v/>
      </c>
      <c r="IO16" s="702"/>
      <c r="IP16" s="5" t="str">
        <f t="shared" si="81"/>
        <v/>
      </c>
      <c r="IQ16" s="714"/>
      <c r="IR16" s="9" t="str">
        <f t="shared" si="131"/>
        <v/>
      </c>
      <c r="IS16" s="5" t="str">
        <f t="shared" si="82"/>
        <v/>
      </c>
      <c r="IT16" s="5" t="str">
        <f t="shared" si="83"/>
        <v/>
      </c>
      <c r="IU16" s="5" t="str">
        <f t="shared" si="84"/>
        <v/>
      </c>
      <c r="IV16" s="670" t="str">
        <f t="shared" si="85"/>
        <v/>
      </c>
      <c r="IW16" s="9" t="str">
        <f t="shared" si="86"/>
        <v/>
      </c>
      <c r="IX16" s="5" t="str">
        <f t="shared" si="87"/>
        <v/>
      </c>
      <c r="IY16" s="5" t="str">
        <f t="shared" si="88"/>
        <v/>
      </c>
      <c r="IZ16" s="5" t="str">
        <f t="shared" si="89"/>
        <v/>
      </c>
      <c r="JA16" s="705" t="str">
        <f t="shared" si="9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ref="B17:D17" si="260">IFERROR(O172+($A17*-E17),"")</f>
        <v>0.17159384104805164</v>
      </c>
      <c r="C17" s="572">
        <f t="shared" si="260"/>
        <v>4.7474999645828726</v>
      </c>
      <c r="D17" s="576">
        <f t="shared" si="260"/>
        <v>-2.0673062349956051</v>
      </c>
      <c r="E17" s="580">
        <f t="shared" ref="E17:K17" si="261">R172</f>
        <v>-0.83191399331943161</v>
      </c>
      <c r="F17" s="572">
        <f t="shared" si="261"/>
        <v>0.55334037381019141</v>
      </c>
      <c r="G17" s="579">
        <f t="shared" si="261"/>
        <v>4.1635783058740827E-2</v>
      </c>
      <c r="H17" s="580">
        <f t="shared" si="261"/>
        <v>0.26450000000000001</v>
      </c>
      <c r="I17" s="572">
        <f t="shared" si="261"/>
        <v>0.52</v>
      </c>
      <c r="J17" s="483">
        <f t="shared" si="92"/>
        <v>1.125</v>
      </c>
      <c r="K17" s="805">
        <f t="shared" si="261"/>
        <v>1313</v>
      </c>
      <c r="M17" s="164">
        <f t="shared" si="4"/>
        <v>1.125</v>
      </c>
      <c r="N17" s="575">
        <f t="shared" si="5"/>
        <v>0.17159384104805164</v>
      </c>
      <c r="O17" s="572">
        <f t="shared" si="6"/>
        <v>4.7474999645828726</v>
      </c>
      <c r="P17" s="576">
        <f t="shared" si="7"/>
        <v>-2.0673062349956051</v>
      </c>
      <c r="Q17" s="528">
        <f>IF(M17="","",IF(DEGREES(ATAN2(N17,O17))&lt;0,DEGREES(ATAN2(N17,O17))+360,IF(DEGREES(ATAN2(N17,O17))&gt;360,DEGREES(ATAN2(N17,O17))-360,DEGREES(ATAN2(N17,O17)))))</f>
        <v>87.93</v>
      </c>
      <c r="R17" s="572">
        <f>IF(M17="","",SQRT(N17^2+O17^2))</f>
        <v>4.7505999999999995</v>
      </c>
      <c r="S17" s="577">
        <f>IF(M17="","",P17)</f>
        <v>-2.0673062349956051</v>
      </c>
      <c r="T17" s="578">
        <f>IF(M17="","",X17*COS(RADIANS(W17)))</f>
        <v>4.7484346283852386</v>
      </c>
      <c r="U17" s="572">
        <f>IF(M17="","",X17*SIN(RADIANS(W17)))</f>
        <v>-0.14341875732251699</v>
      </c>
      <c r="V17" s="579">
        <f>IF(M17="","",Y17)</f>
        <v>-2.0673062349956051</v>
      </c>
      <c r="W17" s="528">
        <f t="shared" si="256"/>
        <v>358.26999995091012</v>
      </c>
      <c r="X17" s="572">
        <f>IF(M17="","",R17)</f>
        <v>4.7505999999999995</v>
      </c>
      <c r="Y17" s="573">
        <f t="shared" si="259"/>
        <v>-2.0673062349956051</v>
      </c>
      <c r="Z17" s="575">
        <f t="shared" si="10"/>
        <v>0.83191399331943161</v>
      </c>
      <c r="AA17" s="572">
        <f t="shared" si="11"/>
        <v>-0.55334037381019141</v>
      </c>
      <c r="AB17" s="572">
        <f t="shared" si="12"/>
        <v>-4.1635783058740827E-2</v>
      </c>
      <c r="AC17" s="579">
        <f>IF(M17="","",SQRT(Z17^2+AA17^2+AB17^2))</f>
        <v>1</v>
      </c>
      <c r="AD17" s="580">
        <f>IF(M17="","",Z17*(1/SQRT(Z17^2+AA17^2+AB17^2)))</f>
        <v>0.83191399331943161</v>
      </c>
      <c r="AE17" s="572">
        <f>IF(M17="","",AA17*(1/SQRT(Z17^2+AA17^2+AB17^2)))</f>
        <v>-0.55334037381019141</v>
      </c>
      <c r="AF17" s="576">
        <f>IF(M17="","",AB17*(1/SQRT(Z17^2+AA17^2+AB17^2)))</f>
        <v>-4.1635783058740827E-2</v>
      </c>
      <c r="AG17" s="545">
        <f>IF(M17="","",DEGREES(ATAN2(-AF17,AE17)))</f>
        <v>-85.696920244768876</v>
      </c>
      <c r="AH17" s="546">
        <f>IF(M17="","",DEGREES(ACOS(AD17)))</f>
        <v>33.704143660352038</v>
      </c>
      <c r="AI17" s="528">
        <f>IF(M17="","",DEGREES(-ACOS(-AF17)))</f>
        <v>-87.613755574007882</v>
      </c>
      <c r="AJ17" s="529">
        <f>IF(M17="","",DEGREES(ATAN2(-AE17,AD17)))</f>
        <v>56.370479845861986</v>
      </c>
      <c r="AK17" s="578">
        <f>IF(M17="","",(COS(RADIANS((90-$Q$8)-W17))*AD17)+(-SIN(RADIANS((90-$Q$8)-W17))*AE17))</f>
        <v>0.851358029295047</v>
      </c>
      <c r="AL17" s="572">
        <f>IF(M17="","",(SIN(RADIANS((90-$Q$8)-W17))*AD17)+(COS(RADIANS((90-$Q$8)-W17))*AE17))</f>
        <v>-0.52293017461601832</v>
      </c>
      <c r="AM17" s="577">
        <f>IF(M17="","",AF17)</f>
        <v>-4.1635783058740827E-2</v>
      </c>
      <c r="AN17" s="524">
        <f>IF(M17="","",DEGREES(ATAN2(-AM17,AL17)))</f>
        <v>-85.447704343190779</v>
      </c>
      <c r="AO17" s="525">
        <f t="shared" si="108"/>
        <v>31.640315229482812</v>
      </c>
      <c r="AP17" s="528">
        <f>IF(M17="","",DEGREES(ATAN2(AK17,AL17)))</f>
        <v>-31.559520154138077</v>
      </c>
      <c r="AQ17" s="529">
        <f t="shared" si="13"/>
        <v>0.3647052667716485</v>
      </c>
      <c r="AS17" s="899">
        <f t="shared" si="137"/>
        <v>-1.730000049089881</v>
      </c>
      <c r="AT17" s="895">
        <f t="shared" si="14"/>
        <v>-2.0662138372246384</v>
      </c>
      <c r="AU17" s="418"/>
      <c r="AV17" s="164">
        <f t="shared" si="15"/>
        <v>1.125</v>
      </c>
      <c r="AW17" s="828">
        <f>IFERROR(INDEX(MassProp!C$9:C$150,MATCH($M17,MassProp!$B$9:$B$150,0)),"")</f>
        <v>4.9313000000000002</v>
      </c>
      <c r="AX17" s="829">
        <f>IFERROR(INDEX(MassProp!D$9:D$150,MATCH($M17,MassProp!$B$9:$B$150,0)),"")</f>
        <v>-1.7703</v>
      </c>
      <c r="AY17" s="830">
        <f>IFERROR(INDEX(MassProp!E$9:E$150,MATCH($M17,MassProp!$B$9:$B$150,0)),"")</f>
        <v>1.1000000000000001E-3</v>
      </c>
      <c r="AZ17" s="297">
        <f t="shared" si="138"/>
        <v>3.4083339678794768E-2</v>
      </c>
      <c r="BA17" s="296">
        <f t="shared" si="16"/>
        <v>2.3425951160455753E-3</v>
      </c>
      <c r="BB17" s="190">
        <f t="shared" si="139"/>
        <v>0.10591383722463843</v>
      </c>
      <c r="BC17" s="9"/>
      <c r="BD17" s="5">
        <f t="shared" si="235"/>
        <v>4.9313000000000002</v>
      </c>
      <c r="BE17" s="6">
        <f t="shared" si="17"/>
        <v>-1.9613923977709666</v>
      </c>
      <c r="BF17" s="4">
        <f t="shared" si="18"/>
        <v>0.17159384104805164</v>
      </c>
      <c r="BG17" s="5">
        <f t="shared" si="19"/>
        <v>4.7474999645828726</v>
      </c>
      <c r="BH17" s="10">
        <f t="shared" si="20"/>
        <v>-2.0673062349956051</v>
      </c>
      <c r="BI17" s="9">
        <f t="shared" si="140"/>
        <v>0.17159384104805164</v>
      </c>
      <c r="BJ17" s="5">
        <f t="shared" si="21"/>
        <v>4.8225322918654623</v>
      </c>
      <c r="BK17" s="8">
        <f t="shared" si="22"/>
        <v>-3.06448733683346</v>
      </c>
      <c r="BL17" s="173">
        <f t="shared" si="23"/>
        <v>0.726498434396599</v>
      </c>
      <c r="BM17" s="5">
        <f t="shared" si="24"/>
        <v>5.5770688770754733</v>
      </c>
      <c r="BN17" s="6">
        <f t="shared" si="25"/>
        <v>-2.0048857919778951</v>
      </c>
      <c r="BO17" s="4">
        <f t="shared" si="141"/>
        <v>0.8319139933194335</v>
      </c>
      <c r="BP17" s="5">
        <f t="shared" si="142"/>
        <v>-0.55334037381019119</v>
      </c>
      <c r="BQ17" s="5">
        <f t="shared" si="143"/>
        <v>-4.1635783058740827E-2</v>
      </c>
      <c r="BR17" s="6">
        <f t="shared" si="144"/>
        <v>2.3981581736145934</v>
      </c>
      <c r="BS17" s="4">
        <f t="shared" si="110"/>
        <v>0</v>
      </c>
      <c r="BT17" s="5">
        <f t="shared" si="110"/>
        <v>0</v>
      </c>
      <c r="BU17" s="10">
        <f t="shared" si="111"/>
        <v>-1.9613923977709666</v>
      </c>
      <c r="BV17" s="9">
        <f t="shared" si="112"/>
        <v>0</v>
      </c>
      <c r="BW17" s="5">
        <f t="shared" si="113"/>
        <v>1</v>
      </c>
      <c r="BX17" s="8">
        <f t="shared" si="114"/>
        <v>-1.9613923977709666</v>
      </c>
      <c r="BY17" s="173">
        <f t="shared" si="115"/>
        <v>1</v>
      </c>
      <c r="BZ17" s="5">
        <f t="shared" si="116"/>
        <v>0</v>
      </c>
      <c r="CA17" s="6">
        <f t="shared" si="117"/>
        <v>-1.9613923977709666</v>
      </c>
      <c r="CB17" s="4">
        <f t="shared" si="145"/>
        <v>0</v>
      </c>
      <c r="CC17" s="5">
        <f t="shared" si="146"/>
        <v>0</v>
      </c>
      <c r="CD17" s="5">
        <f t="shared" si="147"/>
        <v>-1</v>
      </c>
      <c r="CE17" s="6">
        <f t="shared" si="148"/>
        <v>-1.9613923977709666</v>
      </c>
      <c r="CF17" s="4">
        <f t="shared" si="149"/>
        <v>0.55334037381019119</v>
      </c>
      <c r="CG17" s="5">
        <f t="shared" si="150"/>
        <v>0.8319139933194335</v>
      </c>
      <c r="CH17" s="5">
        <f t="shared" si="151"/>
        <v>0</v>
      </c>
      <c r="CI17" s="4">
        <f t="shared" si="118"/>
        <v>0</v>
      </c>
      <c r="CJ17" s="5">
        <f t="shared" si="119"/>
        <v>4.4815495115704076</v>
      </c>
      <c r="CK17" s="8">
        <f t="shared" si="120"/>
        <v>-1.9613923977709664</v>
      </c>
      <c r="CL17" s="173">
        <f t="shared" si="121"/>
        <v>0.55334037381019119</v>
      </c>
      <c r="CM17" s="5">
        <f t="shared" si="122"/>
        <v>5.3134635048898406</v>
      </c>
      <c r="CN17" s="6">
        <f t="shared" si="123"/>
        <v>-1.9613923977709664</v>
      </c>
      <c r="CO17" s="167">
        <f t="shared" si="26"/>
        <v>0.26450000000000001</v>
      </c>
      <c r="CP17" s="4">
        <f t="shared" si="236"/>
        <v>0.99826646156908783</v>
      </c>
      <c r="CQ17" s="5">
        <f t="shared" si="237"/>
        <v>-0.6323954070795349</v>
      </c>
      <c r="CR17" s="5">
        <f t="shared" si="152"/>
        <v>4.1431580658803313E-2</v>
      </c>
      <c r="CS17" s="8">
        <f t="shared" si="153"/>
        <v>0.23448492120937928</v>
      </c>
      <c r="CT17" s="9">
        <f t="shared" si="154"/>
        <v>0.55928546193441842</v>
      </c>
      <c r="CU17" s="6">
        <f t="shared" si="155"/>
        <v>7.4208130633569791E-2</v>
      </c>
      <c r="CV17" s="4">
        <f t="shared" si="238"/>
        <v>0.30947522657339654</v>
      </c>
      <c r="CW17" s="5">
        <f t="shared" si="156"/>
        <v>4.9468269136137737</v>
      </c>
      <c r="CX17" s="8">
        <f t="shared" si="157"/>
        <v>-1.9613923977709664</v>
      </c>
      <c r="CY17" s="9">
        <f t="shared" si="158"/>
        <v>4.1062354744535005E-2</v>
      </c>
      <c r="CZ17" s="5">
        <f t="shared" si="159"/>
        <v>4.5432842938625511</v>
      </c>
      <c r="DA17" s="6">
        <f t="shared" si="160"/>
        <v>-1.9613923977709664</v>
      </c>
      <c r="DB17" s="4">
        <f t="shared" si="161"/>
        <v>0</v>
      </c>
      <c r="DC17" s="5">
        <f t="shared" si="161"/>
        <v>0</v>
      </c>
      <c r="DD17" s="10">
        <f t="shared" si="162"/>
        <v>-10</v>
      </c>
      <c r="DE17" s="9">
        <f t="shared" si="163"/>
        <v>0</v>
      </c>
      <c r="DF17" s="5">
        <f t="shared" si="163"/>
        <v>0</v>
      </c>
      <c r="DG17" s="10">
        <f t="shared" si="164"/>
        <v>10</v>
      </c>
      <c r="DH17" s="70">
        <f t="shared" si="165"/>
        <v>4.9313000000000002</v>
      </c>
      <c r="DI17" s="4">
        <f t="shared" si="166"/>
        <v>0</v>
      </c>
      <c r="DJ17" s="5">
        <f t="shared" si="167"/>
        <v>0</v>
      </c>
      <c r="DK17" s="10">
        <f t="shared" si="168"/>
        <v>20</v>
      </c>
      <c r="DL17" s="9">
        <f t="shared" si="169"/>
        <v>0.30947522657339654</v>
      </c>
      <c r="DM17" s="173">
        <f t="shared" si="170"/>
        <v>4.9468269136137737</v>
      </c>
      <c r="DN17" s="178">
        <f t="shared" si="171"/>
        <v>8.0386076022290336</v>
      </c>
      <c r="DO17" s="9">
        <f t="shared" si="172"/>
        <v>-0.26841287182886153</v>
      </c>
      <c r="DP17" s="173">
        <f t="shared" si="173"/>
        <v>-0.40354261975122263</v>
      </c>
      <c r="DQ17" s="11">
        <f t="shared" si="174"/>
        <v>0</v>
      </c>
      <c r="DR17" s="173">
        <f t="shared" si="175"/>
        <v>160.77215204458068</v>
      </c>
      <c r="DS17" s="5">
        <f t="shared" si="176"/>
        <v>0</v>
      </c>
      <c r="DT17" s="5">
        <f t="shared" si="177"/>
        <v>400</v>
      </c>
      <c r="DU17" s="5">
        <f t="shared" si="178"/>
        <v>0.23489211571909668</v>
      </c>
      <c r="DV17" s="5">
        <f t="shared" si="179"/>
        <v>-2.0793226265000104</v>
      </c>
      <c r="DW17" s="5">
        <f t="shared" si="180"/>
        <v>89.186083611730652</v>
      </c>
      <c r="DX17" s="167">
        <f t="shared" si="181"/>
        <v>64.868363921730648</v>
      </c>
      <c r="DY17" s="9">
        <f t="shared" si="182"/>
        <v>93.956846287638669</v>
      </c>
      <c r="DZ17" s="5">
        <f t="shared" si="183"/>
        <v>-831.72905060000414</v>
      </c>
      <c r="EA17" s="10">
        <f t="shared" si="184"/>
        <v>99.660695646492968</v>
      </c>
      <c r="EB17" s="6">
        <f t="shared" si="185"/>
        <v>682409.40895020764</v>
      </c>
      <c r="EC17" s="173">
        <f t="shared" si="186"/>
        <v>17.644374712201952</v>
      </c>
      <c r="ED17" s="5">
        <f t="shared" si="187"/>
        <v>6.0115880293162248E-2</v>
      </c>
      <c r="EE17" s="4">
        <f t="shared" si="188"/>
        <v>-4.426502061553272</v>
      </c>
      <c r="EF17" s="5">
        <f t="shared" si="189"/>
        <v>-2.1734302816204263</v>
      </c>
      <c r="EG17" s="10">
        <f t="shared" si="190"/>
        <v>-1.9613923977709664</v>
      </c>
      <c r="EH17" s="9">
        <f t="shared" si="191"/>
        <v>0.29333935050138882</v>
      </c>
      <c r="EI17" s="5">
        <f t="shared" si="192"/>
        <v>4.9225675937916202</v>
      </c>
      <c r="EJ17" s="6">
        <f t="shared" si="193"/>
        <v>-1.9613923977709664</v>
      </c>
      <c r="EK17" s="236" t="b">
        <f t="shared" si="194"/>
        <v>0</v>
      </c>
      <c r="EL17" s="238" t="b">
        <f t="shared" si="195"/>
        <v>1</v>
      </c>
      <c r="EM17" s="4">
        <f t="shared" si="196"/>
        <v>0.29333935050138882</v>
      </c>
      <c r="EN17" s="5">
        <f t="shared" si="197"/>
        <v>4.9225675937916202</v>
      </c>
      <c r="EO17" s="10">
        <f t="shared" si="198"/>
        <v>-1.9613923977709664</v>
      </c>
      <c r="EP17" s="9">
        <f t="shared" si="199"/>
        <v>86.589736068680054</v>
      </c>
      <c r="EQ17" s="5">
        <f t="shared" si="200"/>
        <v>4.9313000000000002</v>
      </c>
      <c r="ER17" s="7">
        <f t="shared" si="201"/>
        <v>-1.9613923977709664</v>
      </c>
      <c r="ES17" s="21">
        <f t="shared" si="124"/>
        <v>0.83191399331943161</v>
      </c>
      <c r="ET17" s="5">
        <f t="shared" si="35"/>
        <v>-0.55334037381019141</v>
      </c>
      <c r="EU17" s="10">
        <f t="shared" si="36"/>
        <v>-4.1635783058740827E-2</v>
      </c>
      <c r="EV17" s="174">
        <f t="shared" si="252"/>
        <v>3.4102639313199461</v>
      </c>
      <c r="EW17" s="9">
        <f t="shared" si="125"/>
        <v>0.86335639084940885</v>
      </c>
      <c r="EX17" s="5">
        <f t="shared" si="37"/>
        <v>-0.50287394439219912</v>
      </c>
      <c r="EY17" s="6">
        <f t="shared" si="202"/>
        <v>-4.1635783058740827E-2</v>
      </c>
      <c r="EZ17" s="51">
        <f t="shared" si="203"/>
        <v>0.35134153748081365</v>
      </c>
      <c r="FA17" s="266">
        <f t="shared" si="126"/>
        <v>0.99821042003017535</v>
      </c>
      <c r="FB17" s="267">
        <f t="shared" si="127"/>
        <v>-5.9484078318126049E-2</v>
      </c>
      <c r="FC17" s="269">
        <f t="shared" si="38"/>
        <v>-6.1320281982235178E-3</v>
      </c>
      <c r="FD17" s="4">
        <f t="shared" si="128"/>
        <v>0.99998119893834803</v>
      </c>
      <c r="FE17" s="5">
        <f t="shared" si="39"/>
        <v>-7.6327832942979512E-17</v>
      </c>
      <c r="FF17" s="7">
        <f t="shared" si="204"/>
        <v>-6.1320281982235178E-3</v>
      </c>
      <c r="FG17" s="173">
        <f t="shared" si="205"/>
        <v>-0.13662480808893918</v>
      </c>
      <c r="FH17" s="5">
        <f t="shared" si="40"/>
        <v>-0.50287394439219901</v>
      </c>
      <c r="FI17" s="10">
        <f t="shared" si="41"/>
        <v>-3.5503754860517309E-2</v>
      </c>
      <c r="FJ17" s="279">
        <f t="shared" si="206"/>
        <v>30.277288735893869</v>
      </c>
      <c r="FK17" s="4">
        <f t="shared" si="42"/>
        <v>0.99913285481415615</v>
      </c>
      <c r="FL17" s="5">
        <f t="shared" si="207"/>
        <v>0.99998119893834803</v>
      </c>
      <c r="FM17" s="8">
        <f t="shared" si="208"/>
        <v>0.52110319720177112</v>
      </c>
      <c r="FN17" s="9">
        <f t="shared" si="209"/>
        <v>30.219256222818046</v>
      </c>
      <c r="FO17" s="10">
        <f t="shared" si="43"/>
        <v>1</v>
      </c>
      <c r="FP17" s="277">
        <f t="shared" si="44"/>
        <v>30.219256222818046</v>
      </c>
      <c r="FQ17" s="173">
        <f t="shared" si="239"/>
        <v>0.50331038757176683</v>
      </c>
      <c r="FR17" s="10">
        <f t="shared" si="210"/>
        <v>0.86410569594370679</v>
      </c>
      <c r="FS17" s="9">
        <f t="shared" si="211"/>
        <v>0.36807405853952818</v>
      </c>
      <c r="FT17" s="6">
        <f t="shared" si="212"/>
        <v>0.63192594146047176</v>
      </c>
      <c r="FU17" s="4">
        <f t="shared" si="213"/>
        <v>0.86435976077755472</v>
      </c>
      <c r="FV17" s="5">
        <f t="shared" si="214"/>
        <v>0.99999999999999989</v>
      </c>
      <c r="FW17" s="8">
        <f t="shared" si="240"/>
        <v>0.14116251200136376</v>
      </c>
      <c r="FX17" s="9">
        <f t="shared" si="241"/>
        <v>2.4096363020040497</v>
      </c>
      <c r="FY17" s="10">
        <f t="shared" si="45"/>
        <v>1</v>
      </c>
      <c r="FZ17" s="277">
        <f t="shared" si="242"/>
        <v>2.4096363020040497</v>
      </c>
      <c r="GA17" s="177">
        <f t="shared" si="215"/>
        <v>2.0827136563658653</v>
      </c>
      <c r="GB17" s="4">
        <f t="shared" si="216"/>
        <v>-0.50286534698956975</v>
      </c>
      <c r="GC17" s="5">
        <f t="shared" si="217"/>
        <v>0.86334163044556</v>
      </c>
      <c r="GD17" s="10">
        <f t="shared" si="218"/>
        <v>-4.2043690806848576E-2</v>
      </c>
      <c r="GE17" s="311">
        <f t="shared" si="219"/>
        <v>1.4082506682419784</v>
      </c>
      <c r="GF17" s="341">
        <f t="shared" si="243"/>
        <v>0.71010085246284504</v>
      </c>
      <c r="GG17" s="285">
        <f t="shared" si="46"/>
        <v>0.35708511157131784</v>
      </c>
      <c r="GH17" s="286">
        <f t="shared" si="47"/>
        <v>0.6130596277460546</v>
      </c>
      <c r="GI17" s="281">
        <f t="shared" si="48"/>
        <v>2.9855260682627453E-2</v>
      </c>
      <c r="GJ17" s="167">
        <f t="shared" si="220"/>
        <v>4.9313000000000002</v>
      </c>
      <c r="GK17" s="174">
        <f t="shared" si="49"/>
        <v>2.5820711877874825</v>
      </c>
      <c r="GL17" s="174">
        <f t="shared" si="221"/>
        <v>1.1000000000000001E-3</v>
      </c>
      <c r="GM17" s="177">
        <f t="shared" si="244"/>
        <v>3.4083339678794768E-2</v>
      </c>
      <c r="GN17" s="280">
        <f t="shared" si="222"/>
        <v>2.3425951160455753E-3</v>
      </c>
      <c r="GO17" s="4">
        <f t="shared" si="223"/>
        <v>30.219256222818046</v>
      </c>
      <c r="GP17" s="8">
        <f t="shared" si="245"/>
        <v>2.4096363020040497</v>
      </c>
      <c r="GQ17" s="177">
        <f t="shared" si="224"/>
        <v>30.277288735893869</v>
      </c>
      <c r="GR17" s="371">
        <f t="shared" si="246"/>
        <v>138.98868126459382</v>
      </c>
      <c r="GS17" s="342">
        <f t="shared" si="51"/>
        <v>49.630788756517816</v>
      </c>
      <c r="GT17" s="343">
        <f t="shared" si="52"/>
        <v>19.221309230844753</v>
      </c>
      <c r="GU17" s="344">
        <f t="shared" si="53"/>
        <v>85.208349196986916</v>
      </c>
      <c r="GV17" s="343">
        <f t="shared" si="253"/>
        <v>33</v>
      </c>
      <c r="GW17" s="345">
        <f t="shared" si="129"/>
        <v>30000</v>
      </c>
      <c r="GX17" s="346">
        <f t="shared" si="54"/>
        <v>13.561075000000001</v>
      </c>
      <c r="GY17" s="344">
        <f t="shared" si="55"/>
        <v>4.1495433110890669</v>
      </c>
      <c r="GZ17" s="345">
        <f t="shared" si="56"/>
        <v>1.6070599953693436</v>
      </c>
      <c r="HA17" s="342">
        <f t="shared" si="57"/>
        <v>49.630788756517816</v>
      </c>
      <c r="HB17" s="5">
        <f t="shared" si="225"/>
        <v>3.4102639313199461</v>
      </c>
      <c r="HC17" s="343">
        <f t="shared" si="226"/>
        <v>49.542901950226536</v>
      </c>
      <c r="HD17" s="345">
        <f t="shared" si="227"/>
        <v>2.95229723170534</v>
      </c>
      <c r="HE17" s="344">
        <f t="shared" si="58"/>
        <v>33</v>
      </c>
      <c r="HF17" s="5">
        <f t="shared" si="59"/>
        <v>93.410263931319946</v>
      </c>
      <c r="HG17" s="343">
        <f t="shared" si="228"/>
        <v>-1.9630114911982248</v>
      </c>
      <c r="HH17" s="349">
        <f t="shared" si="229"/>
        <v>32.941563197356373</v>
      </c>
      <c r="HI17" s="317">
        <f t="shared" si="60"/>
        <v>1.125</v>
      </c>
      <c r="HJ17" s="336"/>
      <c r="HK17" s="310">
        <f t="shared" si="130"/>
        <v>9</v>
      </c>
      <c r="HL17" s="348">
        <f t="shared" si="61"/>
        <v>3.109</v>
      </c>
      <c r="HM17" s="934">
        <f>IF(ISNUMBER($HL17),INDEX(GO$9:GO$150,MATCH($HL17,$AV$9:$AV$150,0)),"")</f>
        <v>-1.3067543395496917</v>
      </c>
      <c r="HN17" s="935">
        <f t="shared" si="63"/>
        <v>14.99999783426823</v>
      </c>
      <c r="HO17" s="936"/>
      <c r="HP17" s="937"/>
      <c r="HQ17" s="935">
        <f t="shared" si="64"/>
        <v>14.14334721742903</v>
      </c>
      <c r="HR17" s="938">
        <f t="shared" si="65"/>
        <v>14.088055533318343</v>
      </c>
      <c r="HS17" s="939">
        <f t="shared" si="249"/>
        <v>1.8919999999999999</v>
      </c>
      <c r="HT17" s="940">
        <f t="shared" si="66"/>
        <v>4.0099999999999997E-2</v>
      </c>
      <c r="HU17" s="941">
        <f t="shared" si="67"/>
        <v>0.47676112525913883</v>
      </c>
      <c r="HV17" s="942">
        <f t="shared" si="68"/>
        <v>3.2768452096474394E-2</v>
      </c>
      <c r="HW17" s="943">
        <f t="shared" si="69"/>
        <v>30000</v>
      </c>
      <c r="HX17" s="950">
        <f t="shared" si="70"/>
        <v>189.67299999999997</v>
      </c>
      <c r="HY17" s="955">
        <f t="shared" si="71"/>
        <v>27.188639378024977</v>
      </c>
      <c r="HZ17" s="956">
        <f t="shared" si="72"/>
        <v>1191.9028131478472</v>
      </c>
      <c r="IA17" s="957">
        <f t="shared" si="73"/>
        <v>299.1989672096945</v>
      </c>
      <c r="IB17" s="958">
        <f t="shared" si="74"/>
        <v>1518.2904197355667</v>
      </c>
      <c r="IC17" s="841">
        <f t="shared" si="75"/>
        <v>27.441778650879701</v>
      </c>
      <c r="ID17" s="351">
        <f t="shared" si="76"/>
        <v>1203</v>
      </c>
      <c r="IE17" s="843">
        <f t="shared" si="77"/>
        <v>301.98465309655654</v>
      </c>
      <c r="IF17" s="844"/>
      <c r="IG17" s="789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7">
        <f t="shared" si="230"/>
        <v>1.125</v>
      </c>
      <c r="IJ17" s="967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8"/>
        <v>1313</v>
      </c>
      <c r="IM17" s="482" t="str">
        <f t="shared" si="231"/>
        <v/>
      </c>
      <c r="IN17" s="670" t="str">
        <f t="shared" si="80"/>
        <v/>
      </c>
      <c r="IO17" s="702"/>
      <c r="IP17" s="5" t="str">
        <f t="shared" si="81"/>
        <v/>
      </c>
      <c r="IQ17" s="714"/>
      <c r="IR17" s="9" t="str">
        <f t="shared" si="131"/>
        <v/>
      </c>
      <c r="IS17" s="5" t="str">
        <f t="shared" si="82"/>
        <v/>
      </c>
      <c r="IT17" s="5" t="str">
        <f t="shared" si="83"/>
        <v/>
      </c>
      <c r="IU17" s="5" t="str">
        <f t="shared" si="84"/>
        <v/>
      </c>
      <c r="IV17" s="670" t="str">
        <f t="shared" si="85"/>
        <v/>
      </c>
      <c r="IW17" s="9" t="str">
        <f t="shared" si="86"/>
        <v/>
      </c>
      <c r="IX17" s="5" t="str">
        <f t="shared" si="87"/>
        <v/>
      </c>
      <c r="IY17" s="5" t="str">
        <f t="shared" si="88"/>
        <v/>
      </c>
      <c r="IZ17" s="5" t="str">
        <f t="shared" si="89"/>
        <v/>
      </c>
      <c r="JA17" s="705" t="str">
        <f t="shared" si="90"/>
        <v/>
      </c>
    </row>
    <row r="18" spans="1:271" ht="15" customHeight="1" x14ac:dyDescent="0.25">
      <c r="A18" s="75">
        <f t="shared" si="1"/>
        <v>0</v>
      </c>
      <c r="B18" s="578">
        <f t="shared" ref="B18:D18" si="262">IFERROR(O173+($A18*-E18),"")</f>
        <v>2.8229338028784996</v>
      </c>
      <c r="C18" s="572">
        <f t="shared" si="262"/>
        <v>1.2858875484152739</v>
      </c>
      <c r="D18" s="576">
        <f t="shared" si="262"/>
        <v>-6.4700195135788688E-2</v>
      </c>
      <c r="E18" s="580">
        <f>R173</f>
        <v>-0.30169671250454327</v>
      </c>
      <c r="F18" s="572">
        <f t="shared" ref="F18:K18" si="263">S173</f>
        <v>0.90479056093336252</v>
      </c>
      <c r="G18" s="579">
        <f t="shared" si="263"/>
        <v>0.30055471134194894</v>
      </c>
      <c r="H18" s="580">
        <f t="shared" si="263"/>
        <v>0.3125</v>
      </c>
      <c r="I18" s="572">
        <f t="shared" si="263"/>
        <v>0.52</v>
      </c>
      <c r="J18" s="483">
        <f t="shared" si="92"/>
        <v>2.1139999999999999</v>
      </c>
      <c r="K18" s="805">
        <f t="shared" si="263"/>
        <v>1613</v>
      </c>
      <c r="L18" s="720" t="s">
        <v>322</v>
      </c>
      <c r="M18" s="164">
        <f t="shared" si="4"/>
        <v>2.1139999999999999</v>
      </c>
      <c r="N18" s="575">
        <f t="shared" si="5"/>
        <v>2.8229338028784996</v>
      </c>
      <c r="O18" s="572">
        <f t="shared" si="6"/>
        <v>1.2858875484152739</v>
      </c>
      <c r="P18" s="576">
        <f t="shared" si="7"/>
        <v>-6.4700195135788688E-2</v>
      </c>
      <c r="Q18" s="528">
        <f t="shared" si="134"/>
        <v>24.489957480910817</v>
      </c>
      <c r="R18" s="572">
        <f>IF(M18="","",SQRT(N18^2+O18^2))</f>
        <v>3.1020093556602162</v>
      </c>
      <c r="S18" s="577">
        <f>IF(M18="","",P18)</f>
        <v>-6.4700195135788688E-2</v>
      </c>
      <c r="T18" s="578">
        <f>IF(M18="","",X18*COS(RADIANS(W18)))</f>
        <v>1.302616433683444</v>
      </c>
      <c r="U18" s="572">
        <f>IF(M18="","",X18*SIN(RADIANS(W18)))</f>
        <v>-2.8152535355277215</v>
      </c>
      <c r="V18" s="579">
        <f>IF(M18="","",Y18)</f>
        <v>-6.4700195135788688E-2</v>
      </c>
      <c r="W18" s="528">
        <f t="shared" si="256"/>
        <v>294.82995743182084</v>
      </c>
      <c r="X18" s="572">
        <f>IF(M18="","",R18)</f>
        <v>3.1020093556602162</v>
      </c>
      <c r="Y18" s="573">
        <f t="shared" si="259"/>
        <v>-6.4700195135788688E-2</v>
      </c>
      <c r="Z18" s="575">
        <f t="shared" si="10"/>
        <v>0.30169671250454327</v>
      </c>
      <c r="AA18" s="572">
        <f t="shared" si="11"/>
        <v>-0.90479056093336252</v>
      </c>
      <c r="AB18" s="572">
        <f t="shared" si="12"/>
        <v>-0.30055471134194894</v>
      </c>
      <c r="AC18" s="579">
        <f>IF(M18="","",SQRT(Z18^2+AA18^2+AB18^2))</f>
        <v>1</v>
      </c>
      <c r="AD18" s="580">
        <f>IF(M18="","",Z18*(1/SQRT(Z18^2+AA18^2+AB18^2)))</f>
        <v>0.30169671250454327</v>
      </c>
      <c r="AE18" s="572">
        <f>IF(M18="","",AA18*(1/SQRT(Z18^2+AA18^2+AB18^2)))</f>
        <v>-0.90479056093336252</v>
      </c>
      <c r="AF18" s="576">
        <f>IF(M18="","",AB18*(1/SQRT(Z18^2+AA18^2+AB18^2)))</f>
        <v>-0.30055471134194894</v>
      </c>
      <c r="AG18" s="545">
        <f>IF(M18="","",DEGREES(ATAN2(-AF18,AE18)))</f>
        <v>-71.624465895426127</v>
      </c>
      <c r="AH18" s="546">
        <f>IF(M18="","",DEGREES(ACOS(AD18)))</f>
        <v>72.44045985483065</v>
      </c>
      <c r="AI18" s="528">
        <f>IF(M18="","",DEGREES(-ACOS(-AF18)))</f>
        <v>-72.509076590151267</v>
      </c>
      <c r="AJ18" s="529">
        <f>IF(M18="","",DEGREES(ATAN2(-AE18,AD18)))</f>
        <v>18.440639832336966</v>
      </c>
      <c r="AK18" s="578">
        <f>IF(M18="","",(COS(RADIANS((90-$Q$8)-W18))*AD18)+(-SIN(RADIANS((90-$Q$8)-W18))*AE18))</f>
        <v>0.94845358851776196</v>
      </c>
      <c r="AL18" s="572">
        <f>IF(M18="","",(SIN(RADIANS((90-$Q$8)-W18))*AD18)+(COS(RADIANS((90-$Q$8)-W18))*AE18))</f>
        <v>-0.10051196902825915</v>
      </c>
      <c r="AM18" s="577">
        <f>IF(M18="","",AF18)</f>
        <v>-0.30055471134194894</v>
      </c>
      <c r="AN18" s="524">
        <f>IF(M18="","",DEGREES(ATAN2(-AM18,AL18)))</f>
        <v>-18.491045108600652</v>
      </c>
      <c r="AO18" s="525">
        <f t="shared" si="108"/>
        <v>18.476523534948878</v>
      </c>
      <c r="AP18" s="528">
        <f>IF(M18="","",DEGREES(ATAN2(AK18,AL18)))</f>
        <v>-6.0493176485738411</v>
      </c>
      <c r="AQ18" s="529">
        <f t="shared" si="13"/>
        <v>0.55852099782934972</v>
      </c>
      <c r="AS18" s="899">
        <f t="shared" si="137"/>
        <v>-65.170042568179156</v>
      </c>
      <c r="AT18" s="895">
        <f t="shared" si="14"/>
        <v>-3.0125552701969108E-2</v>
      </c>
      <c r="AU18" s="418"/>
      <c r="AV18" s="164">
        <f t="shared" si="15"/>
        <v>2.1139999999999999</v>
      </c>
      <c r="AW18" s="828">
        <f>IFERROR(INDEX(MassProp!C$9:C$150,MATCH($M18,MassProp!$B$9:$B$150,0)),"")</f>
        <v>3.1553</v>
      </c>
      <c r="AX18" s="829">
        <f>IFERROR(INDEX(MassProp!D$9:D$150,MATCH($M18,MassProp!$B$9:$B$150,0)),"")</f>
        <v>0.39589999999999997</v>
      </c>
      <c r="AY18" s="830">
        <f>IFERROR(INDEX(MassProp!E$9:E$150,MATCH($M18,MassProp!$B$9:$B$150,0)),"")</f>
        <v>2.81E-2</v>
      </c>
      <c r="AZ18" s="297">
        <f t="shared" si="138"/>
        <v>0.55711748534455685</v>
      </c>
      <c r="BA18" s="296">
        <f t="shared" si="16"/>
        <v>3.8291455958575873E-2</v>
      </c>
      <c r="BB18" s="190">
        <f t="shared" si="139"/>
        <v>0.23602555270196907</v>
      </c>
      <c r="BC18" s="9"/>
      <c r="BD18" s="5">
        <f t="shared" si="235"/>
        <v>3.1553</v>
      </c>
      <c r="BE18" s="6">
        <f t="shared" si="17"/>
        <v>0.17132535756618039</v>
      </c>
      <c r="BF18" s="4">
        <f t="shared" si="18"/>
        <v>2.8229338028784996</v>
      </c>
      <c r="BG18" s="5">
        <f t="shared" si="19"/>
        <v>1.2858875484152739</v>
      </c>
      <c r="BH18" s="10">
        <f t="shared" si="20"/>
        <v>-6.4700195135788688E-2</v>
      </c>
      <c r="BI18" s="9">
        <f t="shared" si="140"/>
        <v>2.8229338028784996</v>
      </c>
      <c r="BJ18" s="5">
        <f t="shared" si="21"/>
        <v>1.6011313766438953</v>
      </c>
      <c r="BK18" s="8">
        <f t="shared" si="22"/>
        <v>-1.0137109056990381</v>
      </c>
      <c r="BL18" s="173">
        <f t="shared" si="23"/>
        <v>3.7763377538163754</v>
      </c>
      <c r="BM18" s="5">
        <f t="shared" si="24"/>
        <v>1.5722009599238069</v>
      </c>
      <c r="BN18" s="6">
        <f t="shared" si="25"/>
        <v>3.0407831478133376E-2</v>
      </c>
      <c r="BO18" s="4">
        <f t="shared" si="141"/>
        <v>0.30169671250454327</v>
      </c>
      <c r="BP18" s="5">
        <f t="shared" si="142"/>
        <v>-0.90479056093336263</v>
      </c>
      <c r="BQ18" s="5">
        <f t="shared" si="143"/>
        <v>-0.30055471134194844</v>
      </c>
      <c r="BR18" s="6">
        <f t="shared" si="144"/>
        <v>0.29234311980868505</v>
      </c>
      <c r="BS18" s="4">
        <f t="shared" si="110"/>
        <v>0</v>
      </c>
      <c r="BT18" s="5">
        <f t="shared" si="110"/>
        <v>0</v>
      </c>
      <c r="BU18" s="10">
        <f t="shared" si="111"/>
        <v>0.17132535756618039</v>
      </c>
      <c r="BV18" s="9">
        <f t="shared" si="112"/>
        <v>0</v>
      </c>
      <c r="BW18" s="5">
        <f t="shared" si="113"/>
        <v>1</v>
      </c>
      <c r="BX18" s="8">
        <f t="shared" si="114"/>
        <v>0.17132535756618039</v>
      </c>
      <c r="BY18" s="173">
        <f t="shared" si="115"/>
        <v>1</v>
      </c>
      <c r="BZ18" s="5">
        <f t="shared" si="116"/>
        <v>0</v>
      </c>
      <c r="CA18" s="6">
        <f t="shared" si="117"/>
        <v>0.17132535756618039</v>
      </c>
      <c r="CB18" s="4">
        <f t="shared" si="145"/>
        <v>0</v>
      </c>
      <c r="CC18" s="5">
        <f t="shared" si="146"/>
        <v>0</v>
      </c>
      <c r="CD18" s="5">
        <f t="shared" si="147"/>
        <v>-1</v>
      </c>
      <c r="CE18" s="6">
        <f t="shared" si="148"/>
        <v>0.17132535756618039</v>
      </c>
      <c r="CF18" s="4">
        <f t="shared" si="149"/>
        <v>0.90479056093336263</v>
      </c>
      <c r="CG18" s="5">
        <f t="shared" si="150"/>
        <v>0.30169671250454327</v>
      </c>
      <c r="CH18" s="5">
        <f t="shared" si="151"/>
        <v>0</v>
      </c>
      <c r="CI18" s="4">
        <f t="shared" si="118"/>
        <v>0</v>
      </c>
      <c r="CJ18" s="5">
        <f t="shared" si="119"/>
        <v>0.26619472706630515</v>
      </c>
      <c r="CK18" s="8">
        <f t="shared" si="120"/>
        <v>0.17132535756618039</v>
      </c>
      <c r="CL18" s="173">
        <f t="shared" si="121"/>
        <v>0.90479056093336263</v>
      </c>
      <c r="CM18" s="5">
        <f t="shared" si="122"/>
        <v>0.56789143957084842</v>
      </c>
      <c r="CN18" s="6">
        <f t="shared" si="123"/>
        <v>0.17132535756618039</v>
      </c>
      <c r="CO18" s="167">
        <f t="shared" si="26"/>
        <v>0.3125</v>
      </c>
      <c r="CP18" s="4">
        <f t="shared" si="236"/>
        <v>0.90966686549015807</v>
      </c>
      <c r="CQ18" s="5">
        <f t="shared" si="237"/>
        <v>-5.7236036618993094</v>
      </c>
      <c r="CR18" s="5">
        <f t="shared" si="152"/>
        <v>8.9667805168729586</v>
      </c>
      <c r="CS18" s="8">
        <f t="shared" si="153"/>
        <v>0.13250637321900882</v>
      </c>
      <c r="CT18" s="9">
        <f>IF(ISNUMBER($AV18),(-CQ18+SQRT(CS18))/(CP18*2),"")</f>
        <v>3.3460699413666308</v>
      </c>
      <c r="CU18" s="6">
        <f t="shared" si="155"/>
        <v>2.9459077913995788</v>
      </c>
      <c r="CV18" s="4">
        <f>IF(ISNUMBER($AV18),CI18+($CT18*(CL18-CI18)),"")</f>
        <v>3.0274924991713776</v>
      </c>
      <c r="CW18" s="5">
        <f t="shared" si="156"/>
        <v>1.2756930281868877</v>
      </c>
      <c r="CX18" s="8">
        <f t="shared" si="157"/>
        <v>0.17132535756618039</v>
      </c>
      <c r="CY18" s="9">
        <f t="shared" si="158"/>
        <v>2.6654295630383884</v>
      </c>
      <c r="CZ18" s="5">
        <f t="shared" si="159"/>
        <v>1.1549654230730779</v>
      </c>
      <c r="DA18" s="6">
        <f t="shared" si="160"/>
        <v>0.17132535756618039</v>
      </c>
      <c r="DB18" s="4">
        <f t="shared" si="161"/>
        <v>0</v>
      </c>
      <c r="DC18" s="5">
        <f t="shared" si="161"/>
        <v>0</v>
      </c>
      <c r="DD18" s="10">
        <f t="shared" si="162"/>
        <v>-10</v>
      </c>
      <c r="DE18" s="9">
        <f t="shared" si="163"/>
        <v>0</v>
      </c>
      <c r="DF18" s="5">
        <f t="shared" si="163"/>
        <v>0</v>
      </c>
      <c r="DG18" s="10">
        <f t="shared" si="164"/>
        <v>10</v>
      </c>
      <c r="DH18" s="70">
        <f t="shared" si="165"/>
        <v>3.1553</v>
      </c>
      <c r="DI18" s="4">
        <f t="shared" si="166"/>
        <v>0</v>
      </c>
      <c r="DJ18" s="5">
        <f t="shared" si="167"/>
        <v>0</v>
      </c>
      <c r="DK18" s="10">
        <f t="shared" si="168"/>
        <v>20</v>
      </c>
      <c r="DL18" s="9">
        <f>IF(ISNUMBER($AV18),CV18-DB18,"")</f>
        <v>3.0274924991713776</v>
      </c>
      <c r="DM18" s="173">
        <f t="shared" si="170"/>
        <v>1.2756930281868877</v>
      </c>
      <c r="DN18" s="178">
        <f t="shared" si="171"/>
        <v>10.171325357566181</v>
      </c>
      <c r="DO18" s="9">
        <f t="shared" si="172"/>
        <v>-0.36206293613298923</v>
      </c>
      <c r="DP18" s="173">
        <f t="shared" si="173"/>
        <v>-0.12072760511380976</v>
      </c>
      <c r="DQ18" s="11">
        <f t="shared" si="174"/>
        <v>0</v>
      </c>
      <c r="DR18" s="173">
        <f t="shared" si="175"/>
        <v>203.42650715132362</v>
      </c>
      <c r="DS18" s="5">
        <f t="shared" si="176"/>
        <v>0</v>
      </c>
      <c r="DT18" s="5">
        <f t="shared" si="177"/>
        <v>400</v>
      </c>
      <c r="DU18" s="5">
        <f t="shared" si="178"/>
        <v>0.14566472435775701</v>
      </c>
      <c r="DV18" s="5">
        <f t="shared" si="179"/>
        <v>-1.2501541875239772</v>
      </c>
      <c r="DW18" s="5">
        <f t="shared" si="180"/>
        <v>114.24896306417239</v>
      </c>
      <c r="DX18" s="167">
        <f t="shared" si="181"/>
        <v>104.29304497417239</v>
      </c>
      <c r="DY18" s="9">
        <f t="shared" si="182"/>
        <v>58.265889743102804</v>
      </c>
      <c r="DZ18" s="5">
        <f t="shared" si="183"/>
        <v>-500.06167500959089</v>
      </c>
      <c r="EA18" s="10">
        <f t="shared" si="184"/>
        <v>334.87417788143648</v>
      </c>
      <c r="EB18" s="6">
        <f t="shared" si="185"/>
        <v>230549.93688714571</v>
      </c>
      <c r="EC18" s="173">
        <f t="shared" si="186"/>
        <v>16.823184854590036</v>
      </c>
      <c r="ED18" s="5">
        <f t="shared" si="187"/>
        <v>0.34163240691193852</v>
      </c>
      <c r="EE18" s="4">
        <f t="shared" si="188"/>
        <v>-3.0635592043895263</v>
      </c>
      <c r="EF18" s="5">
        <f t="shared" si="189"/>
        <v>-0.7553297896946829</v>
      </c>
      <c r="EG18" s="10">
        <f t="shared" si="190"/>
        <v>0.17132535756618039</v>
      </c>
      <c r="EH18" s="9">
        <f t="shared" si="191"/>
        <v>2.903800066846661</v>
      </c>
      <c r="EI18" s="5">
        <f t="shared" si="192"/>
        <v>1.2344485658711428</v>
      </c>
      <c r="EJ18" s="6">
        <f t="shared" si="193"/>
        <v>0.17132535756618039</v>
      </c>
      <c r="EK18" s="236" t="b">
        <f t="shared" si="194"/>
        <v>0</v>
      </c>
      <c r="EL18" s="238" t="b">
        <f t="shared" si="195"/>
        <v>1</v>
      </c>
      <c r="EM18" s="4">
        <f t="shared" si="196"/>
        <v>2.903800066846661</v>
      </c>
      <c r="EN18" s="5">
        <f t="shared" si="197"/>
        <v>1.2344485658711428</v>
      </c>
      <c r="EO18" s="10">
        <f t="shared" si="198"/>
        <v>0.17132535756618039</v>
      </c>
      <c r="EP18" s="9">
        <f t="shared" si="199"/>
        <v>23.031066055278057</v>
      </c>
      <c r="EQ18" s="5">
        <f t="shared" si="200"/>
        <v>3.1552999999999991</v>
      </c>
      <c r="ER18" s="7">
        <f t="shared" si="201"/>
        <v>0.17132535756618039</v>
      </c>
      <c r="ES18" s="21">
        <f t="shared" si="124"/>
        <v>0.30169671250454327</v>
      </c>
      <c r="ET18" s="5">
        <f t="shared" si="35"/>
        <v>-0.90479056093336252</v>
      </c>
      <c r="EU18" s="10">
        <f t="shared" si="36"/>
        <v>-0.30055471134194894</v>
      </c>
      <c r="EV18" s="174">
        <f t="shared" si="252"/>
        <v>66.96893394472194</v>
      </c>
      <c r="EW18" s="9">
        <f t="shared" si="125"/>
        <v>0.95070515177631254</v>
      </c>
      <c r="EX18" s="5">
        <f t="shared" si="37"/>
        <v>-7.6332037023365829E-2</v>
      </c>
      <c r="EY18" s="6">
        <f t="shared" si="202"/>
        <v>-0.30055471134194894</v>
      </c>
      <c r="EZ18" s="51">
        <f t="shared" si="203"/>
        <v>0.54908858067283595</v>
      </c>
      <c r="FA18" s="266">
        <f t="shared" si="126"/>
        <v>0.39121220784835642</v>
      </c>
      <c r="FB18" s="267">
        <f t="shared" si="127"/>
        <v>-0.92025060153042304</v>
      </c>
      <c r="FC18" s="269">
        <f t="shared" si="38"/>
        <v>-9.5832569259570524E-3</v>
      </c>
      <c r="FD18" s="4">
        <f t="shared" si="128"/>
        <v>0.99995407953900117</v>
      </c>
      <c r="FE18" s="5">
        <f t="shared" si="39"/>
        <v>-1.6653345369377348E-16</v>
      </c>
      <c r="FF18" s="7">
        <f t="shared" si="204"/>
        <v>-9.5832569259570524E-3</v>
      </c>
      <c r="FG18" s="173">
        <f t="shared" si="205"/>
        <v>-4.9248927762688632E-2</v>
      </c>
      <c r="FH18" s="5">
        <f t="shared" si="40"/>
        <v>-7.6332037023365662E-2</v>
      </c>
      <c r="FI18" s="10">
        <f t="shared" si="41"/>
        <v>-0.29097145441599187</v>
      </c>
      <c r="FJ18" s="279">
        <f t="shared" si="206"/>
        <v>17.533344333636872</v>
      </c>
      <c r="FK18" s="4">
        <f t="shared" si="42"/>
        <v>0.95376457550600913</v>
      </c>
      <c r="FL18" s="5">
        <f t="shared" si="207"/>
        <v>0.99995407953900117</v>
      </c>
      <c r="FM18" s="8">
        <f t="shared" si="208"/>
        <v>9.0840721936315483E-2</v>
      </c>
      <c r="FN18" s="9">
        <f t="shared" si="209"/>
        <v>4.5904262229410051</v>
      </c>
      <c r="FO18" s="10">
        <f t="shared" si="43"/>
        <v>1</v>
      </c>
      <c r="FP18" s="277">
        <f t="shared" si="44"/>
        <v>4.5904262229410051</v>
      </c>
      <c r="FQ18" s="173">
        <f t="shared" si="239"/>
        <v>8.0032367508373004E-2</v>
      </c>
      <c r="FR18" s="10">
        <f t="shared" si="210"/>
        <v>0.99679226529453202</v>
      </c>
      <c r="FS18" s="9">
        <f t="shared" si="211"/>
        <v>7.4322563832937144E-2</v>
      </c>
      <c r="FT18" s="6">
        <f t="shared" si="212"/>
        <v>0.92567743616706288</v>
      </c>
      <c r="FU18" s="4">
        <f t="shared" si="213"/>
        <v>0.99708245402467277</v>
      </c>
      <c r="FV18" s="5">
        <f t="shared" si="214"/>
        <v>1</v>
      </c>
      <c r="FW18" s="8">
        <f t="shared" si="240"/>
        <v>0.29510988490854073</v>
      </c>
      <c r="FX18" s="9">
        <f t="shared" si="241"/>
        <v>16.994673853661133</v>
      </c>
      <c r="FY18" s="10">
        <f t="shared" si="45"/>
        <v>1</v>
      </c>
      <c r="FZ18" s="277">
        <f t="shared" si="242"/>
        <v>16.994673853661133</v>
      </c>
      <c r="GA18" s="177">
        <f t="shared" si="215"/>
        <v>16.944235841896827</v>
      </c>
      <c r="GB18" s="4">
        <f t="shared" si="216"/>
        <v>-7.6537508509846017E-2</v>
      </c>
      <c r="GC18" s="5">
        <f t="shared" si="217"/>
        <v>0.9532642712281042</v>
      </c>
      <c r="GD18" s="10">
        <f t="shared" si="218"/>
        <v>-0.29228280652658423</v>
      </c>
      <c r="GE18" s="311">
        <f t="shared" si="219"/>
        <v>1.3220845862645345</v>
      </c>
      <c r="GF18" s="341">
        <f t="shared" si="243"/>
        <v>0.75638125607790052</v>
      </c>
      <c r="GG18" s="285">
        <f t="shared" si="46"/>
        <v>5.7891536823750325E-2</v>
      </c>
      <c r="GH18" s="286">
        <f t="shared" si="47"/>
        <v>0.72103122684569787</v>
      </c>
      <c r="GI18" s="281">
        <f t="shared" si="48"/>
        <v>0.22107723633055174</v>
      </c>
      <c r="GJ18" s="167">
        <f t="shared" si="220"/>
        <v>3.1553</v>
      </c>
      <c r="GK18" s="174">
        <f t="shared" si="49"/>
        <v>1.6521870858379504</v>
      </c>
      <c r="GL18" s="174">
        <f t="shared" si="221"/>
        <v>2.81E-2</v>
      </c>
      <c r="GM18" s="177">
        <f t="shared" si="244"/>
        <v>0.55711748534455685</v>
      </c>
      <c r="GN18" s="280">
        <f t="shared" si="222"/>
        <v>3.8291455958575873E-2</v>
      </c>
      <c r="GO18" s="4">
        <f t="shared" si="223"/>
        <v>4.5904262229410051</v>
      </c>
      <c r="GP18" s="8">
        <f t="shared" si="245"/>
        <v>16.994673853661133</v>
      </c>
      <c r="GQ18" s="177">
        <f t="shared" si="224"/>
        <v>17.533344333636872</v>
      </c>
      <c r="GR18" s="371">
        <f t="shared" si="246"/>
        <v>1931.669061622282</v>
      </c>
      <c r="GS18" s="342">
        <f t="shared" si="51"/>
        <v>111.82729061220559</v>
      </c>
      <c r="GT18" s="343">
        <f t="shared" si="52"/>
        <v>67.684399406553538</v>
      </c>
      <c r="GU18" s="344">
        <f t="shared" si="53"/>
        <v>1392.7937133613921</v>
      </c>
      <c r="GV18" s="343">
        <f t="shared" si="253"/>
        <v>843</v>
      </c>
      <c r="GW18" s="345">
        <f t="shared" si="129"/>
        <v>30000</v>
      </c>
      <c r="GX18" s="346">
        <f t="shared" si="54"/>
        <v>221.65982500000001</v>
      </c>
      <c r="GY18" s="344">
        <f t="shared" si="55"/>
        <v>427.04805764868439</v>
      </c>
      <c r="GZ18" s="345">
        <f t="shared" si="56"/>
        <v>258.47439512704801</v>
      </c>
      <c r="HA18" s="342">
        <f t="shared" si="57"/>
        <v>111.82729061220559</v>
      </c>
      <c r="HB18" s="5">
        <f t="shared" si="225"/>
        <v>66.96893394472194</v>
      </c>
      <c r="HC18" s="343">
        <f t="shared" si="226"/>
        <v>43.750210287925967</v>
      </c>
      <c r="HD18" s="345">
        <f t="shared" si="227"/>
        <v>102.91385730517024</v>
      </c>
      <c r="HE18" s="344">
        <f t="shared" si="58"/>
        <v>843</v>
      </c>
      <c r="HF18" s="5">
        <f t="shared" si="59"/>
        <v>156.96893394472193</v>
      </c>
      <c r="HG18" s="343">
        <f t="shared" si="228"/>
        <v>-775.806882499837</v>
      </c>
      <c r="HH18" s="349">
        <f t="shared" si="229"/>
        <v>329.80703610730353</v>
      </c>
      <c r="HI18" s="317">
        <f t="shared" si="60"/>
        <v>2.1139999999999999</v>
      </c>
      <c r="HJ18" s="336"/>
      <c r="HK18" s="310">
        <f t="shared" si="130"/>
        <v>10</v>
      </c>
      <c r="HL18" s="348">
        <f t="shared" si="61"/>
        <v>1.1100000000000001</v>
      </c>
      <c r="HM18" s="934">
        <f t="shared" si="62"/>
        <v>-1.1825786518693693</v>
      </c>
      <c r="HN18" s="935">
        <f t="shared" si="63"/>
        <v>14.999997834296105</v>
      </c>
      <c r="HO18" s="936"/>
      <c r="HP18" s="937"/>
      <c r="HQ18" s="935">
        <f t="shared" si="64"/>
        <v>14.22278851564613</v>
      </c>
      <c r="HR18" s="938">
        <f t="shared" si="65"/>
        <v>14.177787413389069</v>
      </c>
      <c r="HS18" s="939">
        <f t="shared" si="249"/>
        <v>2.0992999999999999</v>
      </c>
      <c r="HT18" s="940">
        <f t="shared" si="66"/>
        <v>3.8800000000000001E-2</v>
      </c>
      <c r="HU18" s="941">
        <f t="shared" si="67"/>
        <v>0.51183637987616282</v>
      </c>
      <c r="HV18" s="942">
        <f t="shared" si="68"/>
        <v>3.5179222899284442E-2</v>
      </c>
      <c r="HW18" s="943">
        <f t="shared" si="69"/>
        <v>30000</v>
      </c>
      <c r="HX18" s="950">
        <f t="shared" si="70"/>
        <v>203.63210000000001</v>
      </c>
      <c r="HY18" s="955">
        <f t="shared" si="71"/>
        <v>26.414368895825504</v>
      </c>
      <c r="HZ18" s="956">
        <f t="shared" si="72"/>
        <v>1279.5909496904069</v>
      </c>
      <c r="IA18" s="957">
        <f t="shared" si="73"/>
        <v>323.32736802795631</v>
      </c>
      <c r="IB18" s="958">
        <f t="shared" si="74"/>
        <v>1629.3326866141886</v>
      </c>
      <c r="IC18" s="841">
        <f t="shared" si="75"/>
        <v>24.028245434355306</v>
      </c>
      <c r="ID18" s="351">
        <f t="shared" si="76"/>
        <v>1164</v>
      </c>
      <c r="IE18" s="843">
        <f t="shared" si="77"/>
        <v>294.1198173334991</v>
      </c>
      <c r="IF18" s="844"/>
      <c r="IG18" s="789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7">
        <f t="shared" si="230"/>
        <v>2.1139999999999999</v>
      </c>
      <c r="IJ18" s="967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8"/>
        <v>1613</v>
      </c>
      <c r="IM18" s="482" t="str">
        <f t="shared" si="231"/>
        <v/>
      </c>
      <c r="IN18" s="670" t="str">
        <f t="shared" si="80"/>
        <v/>
      </c>
      <c r="IO18" s="702">
        <v>4.8485777957190203E-2</v>
      </c>
      <c r="IP18" s="5" t="str">
        <f t="shared" si="81"/>
        <v/>
      </c>
      <c r="IQ18" s="714">
        <v>260</v>
      </c>
      <c r="IR18" s="9" t="str">
        <f t="shared" si="131"/>
        <v/>
      </c>
      <c r="IS18" s="5" t="str">
        <f t="shared" si="82"/>
        <v/>
      </c>
      <c r="IT18" s="5" t="str">
        <f t="shared" si="83"/>
        <v/>
      </c>
      <c r="IU18" s="5" t="str">
        <f t="shared" si="84"/>
        <v/>
      </c>
      <c r="IV18" s="670" t="str">
        <f t="shared" si="85"/>
        <v/>
      </c>
      <c r="IW18" s="9" t="str">
        <f t="shared" si="86"/>
        <v/>
      </c>
      <c r="IX18" s="5" t="str">
        <f t="shared" si="87"/>
        <v/>
      </c>
      <c r="IY18" s="5" t="str">
        <f t="shared" si="88"/>
        <v/>
      </c>
      <c r="IZ18" s="5" t="str">
        <f t="shared" si="89"/>
        <v/>
      </c>
      <c r="JA18" s="705" t="str">
        <f t="shared" si="90"/>
        <v/>
      </c>
    </row>
    <row r="19" spans="1:271" ht="15" customHeight="1" thickBot="1" x14ac:dyDescent="0.3">
      <c r="A19" s="75">
        <f t="shared" si="1"/>
        <v>0</v>
      </c>
      <c r="B19" s="578">
        <f t="shared" ref="B19:D19" si="264">IFERROR(O174+($A19*-E19),"")</f>
        <v>3.5160360598014018</v>
      </c>
      <c r="C19" s="572">
        <f t="shared" si="264"/>
        <v>1.5544201688575137</v>
      </c>
      <c r="D19" s="576">
        <f t="shared" si="264"/>
        <v>-0.32950099377499747</v>
      </c>
      <c r="E19" s="580">
        <f t="shared" ref="E19:K19" si="265">R174</f>
        <v>-0.14628283941228409</v>
      </c>
      <c r="F19" s="572">
        <f t="shared" si="265"/>
        <v>0.9482684416586955</v>
      </c>
      <c r="G19" s="579">
        <f t="shared" si="265"/>
        <v>0.28175928280656382</v>
      </c>
      <c r="H19" s="580">
        <f t="shared" si="265"/>
        <v>0.3125</v>
      </c>
      <c r="I19" s="572">
        <f t="shared" si="265"/>
        <v>0.52</v>
      </c>
      <c r="J19" s="483">
        <f t="shared" si="92"/>
        <v>2.117</v>
      </c>
      <c r="K19" s="805">
        <f t="shared" si="265"/>
        <v>1613</v>
      </c>
      <c r="L19" s="718" t="s">
        <v>357</v>
      </c>
      <c r="M19" s="164">
        <f t="shared" si="4"/>
        <v>2.117</v>
      </c>
      <c r="N19" s="575">
        <f t="shared" si="5"/>
        <v>3.5160360598014018</v>
      </c>
      <c r="O19" s="572">
        <f t="shared" si="6"/>
        <v>1.5544201688575137</v>
      </c>
      <c r="P19" s="576">
        <f t="shared" si="7"/>
        <v>-0.32950099377499747</v>
      </c>
      <c r="Q19" s="528">
        <f t="shared" si="134"/>
        <v>23.849957573315372</v>
      </c>
      <c r="R19" s="572">
        <f>IF(M19="","",SQRT(N19^2+O19^2))</f>
        <v>3.8443115944437682</v>
      </c>
      <c r="S19" s="577">
        <f>IF(M19="","",P19)</f>
        <v>-0.32950099377499747</v>
      </c>
      <c r="T19" s="578">
        <f>IF(M19="","",X19*COS(RADIANS(W19)))</f>
        <v>1.5752572529732598</v>
      </c>
      <c r="U19" s="572">
        <f>IF(M19="","",X19*SIN(RADIANS(W19)))</f>
        <v>-3.5067500940514607</v>
      </c>
      <c r="V19" s="579">
        <f>IF(M19="","",Y19)</f>
        <v>-0.32950099377499747</v>
      </c>
      <c r="W19" s="528">
        <f t="shared" si="256"/>
        <v>294.18995752422541</v>
      </c>
      <c r="X19" s="572">
        <f>IF(M19="","",R19)</f>
        <v>3.8443115944437682</v>
      </c>
      <c r="Y19" s="573">
        <f t="shared" si="259"/>
        <v>-0.32950099377499747</v>
      </c>
      <c r="Z19" s="575">
        <f t="shared" si="10"/>
        <v>0.14628283941228409</v>
      </c>
      <c r="AA19" s="572">
        <f t="shared" si="11"/>
        <v>-0.9482684416586955</v>
      </c>
      <c r="AB19" s="572">
        <f t="shared" si="12"/>
        <v>-0.28175928280656382</v>
      </c>
      <c r="AC19" s="579">
        <f>IF(M19="","",SQRT(Z19^2+AA19^2+AB19^2))</f>
        <v>1</v>
      </c>
      <c r="AD19" s="580">
        <f>IF(M19="","",Z19*(1/SQRT(Z19^2+AA19^2+AB19^2)))</f>
        <v>0.14628283941228409</v>
      </c>
      <c r="AE19" s="572">
        <f>IF(M19="","",AA19*(1/SQRT(Z19^2+AA19^2+AB19^2)))</f>
        <v>-0.9482684416586955</v>
      </c>
      <c r="AF19" s="576">
        <f>IF(M19="","",AB19*(1/SQRT(Z19^2+AA19^2+AB19^2)))</f>
        <v>-0.28175928280656382</v>
      </c>
      <c r="AG19" s="545">
        <f>IF(M19="","",DEGREES(ATAN2(-AF19,AE19)))</f>
        <v>-73.451720455351733</v>
      </c>
      <c r="AH19" s="546">
        <f>IF(M19="","",DEGREES(ACOS(AD19)))</f>
        <v>81.588427363400612</v>
      </c>
      <c r="AI19" s="528">
        <f>IF(M19="","",DEGREES(-ACOS(-AF19)))</f>
        <v>-73.634767698394356</v>
      </c>
      <c r="AJ19" s="529">
        <f>IF(M19="","",DEGREES(ATAN2(-AE19,AD19)))</f>
        <v>8.769498289585508</v>
      </c>
      <c r="AK19" s="578">
        <f>IF(M19="","",(COS(RADIANS((90-$Q$8)-W19))*AD19)+(-SIN(RADIANS((90-$Q$8)-W19))*AE19))</f>
        <v>0.926441820254992</v>
      </c>
      <c r="AL19" s="572">
        <f>IF(M19="","",(SIN(RADIANS((90-$Q$8)-W19))*AD19)+(COS(RADIANS((90-$Q$8)-W19))*AE19))</f>
        <v>-0.24963425292805483</v>
      </c>
      <c r="AM19" s="577">
        <f>IF(M19="","",AF19)</f>
        <v>-0.28175928280656382</v>
      </c>
      <c r="AN19" s="524">
        <f>IF(M19="","",DEGREES(ATAN2(-AM19,AL19)))</f>
        <v>-41.54043363397102</v>
      </c>
      <c r="AO19" s="525">
        <f t="shared" si="108"/>
        <v>22.113216770145126</v>
      </c>
      <c r="AP19" s="528">
        <f>IF(M19="","",DEGREES(ATAN2(AK19,AL19)))</f>
        <v>-15.080459283729818</v>
      </c>
      <c r="AQ19" s="529">
        <f t="shared" si="13"/>
        <v>0.45068056132693424</v>
      </c>
      <c r="AS19" s="899">
        <f t="shared" si="137"/>
        <v>-65.810042475774594</v>
      </c>
      <c r="AT19" s="895">
        <f t="shared" si="14"/>
        <v>-0.29458857361216917</v>
      </c>
      <c r="AU19" s="418"/>
      <c r="AV19" s="164">
        <f t="shared" si="15"/>
        <v>2.117</v>
      </c>
      <c r="AW19" s="828">
        <f>IFERROR(INDEX(MassProp!C$9:C$150,MATCH($M19,MassProp!$B$9:$B$150,0)),"")</f>
        <v>3.9918</v>
      </c>
      <c r="AX19" s="829">
        <f>IFERROR(INDEX(MassProp!D$9:D$150,MATCH($M19,MassProp!$B$9:$B$150,0)),"")</f>
        <v>8.72E-2</v>
      </c>
      <c r="AY19" s="830">
        <f>IFERROR(INDEX(MassProp!E$9:E$150,MATCH($M19,MassProp!$B$9:$B$150,0)),"")</f>
        <v>2.3300000000000001E-2</v>
      </c>
      <c r="AZ19" s="297">
        <f t="shared" si="138"/>
        <v>0.58440917312810381</v>
      </c>
      <c r="BA19" s="296">
        <f t="shared" si="16"/>
        <v>4.0167251438505157E-2</v>
      </c>
      <c r="BB19" s="190">
        <f t="shared" si="139"/>
        <v>0.19178857361216917</v>
      </c>
      <c r="BC19" s="9"/>
      <c r="BD19" s="5">
        <f t="shared" si="235"/>
        <v>3.9918</v>
      </c>
      <c r="BE19" s="6">
        <f t="shared" si="17"/>
        <v>-0.13771242016282831</v>
      </c>
      <c r="BF19" s="4">
        <f t="shared" si="18"/>
        <v>3.5160360598014018</v>
      </c>
      <c r="BG19" s="5">
        <f t="shared" si="19"/>
        <v>1.5544201688575137</v>
      </c>
      <c r="BH19" s="10">
        <f t="shared" si="20"/>
        <v>-0.32950099377499747</v>
      </c>
      <c r="BI19" s="9">
        <f t="shared" si="140"/>
        <v>3.5160360598014018</v>
      </c>
      <c r="BJ19" s="5">
        <f t="shared" si="21"/>
        <v>1.8392433496348786</v>
      </c>
      <c r="BK19" s="8">
        <f t="shared" si="22"/>
        <v>-1.2880810664303102</v>
      </c>
      <c r="BL19" s="173">
        <f t="shared" si="23"/>
        <v>4.505278866645849</v>
      </c>
      <c r="BM19" s="5">
        <f t="shared" si="24"/>
        <v>1.6946439836895664</v>
      </c>
      <c r="BN19" s="6">
        <f t="shared" si="25"/>
        <v>-0.28783625016044628</v>
      </c>
      <c r="BO19" s="4">
        <f t="shared" si="141"/>
        <v>0.14628283941228423</v>
      </c>
      <c r="BP19" s="5">
        <f t="shared" si="142"/>
        <v>-0.94826844165869617</v>
      </c>
      <c r="BQ19" s="5">
        <f t="shared" si="143"/>
        <v>-0.28175928280656315</v>
      </c>
      <c r="BR19" s="6">
        <f t="shared" si="144"/>
        <v>0.86683188921153909</v>
      </c>
      <c r="BS19" s="4">
        <f t="shared" si="110"/>
        <v>0</v>
      </c>
      <c r="BT19" s="5">
        <f t="shared" si="110"/>
        <v>0</v>
      </c>
      <c r="BU19" s="10">
        <f t="shared" si="111"/>
        <v>-0.13771242016282831</v>
      </c>
      <c r="BV19" s="9">
        <f t="shared" si="112"/>
        <v>0</v>
      </c>
      <c r="BW19" s="5">
        <f t="shared" si="113"/>
        <v>1</v>
      </c>
      <c r="BX19" s="8">
        <f t="shared" si="114"/>
        <v>-0.13771242016282831</v>
      </c>
      <c r="BY19" s="173">
        <f t="shared" si="115"/>
        <v>1</v>
      </c>
      <c r="BZ19" s="5">
        <f t="shared" si="116"/>
        <v>0</v>
      </c>
      <c r="CA19" s="6">
        <f t="shared" si="117"/>
        <v>-0.13771242016282831</v>
      </c>
      <c r="CB19" s="4">
        <f t="shared" si="145"/>
        <v>0</v>
      </c>
      <c r="CC19" s="5">
        <f t="shared" si="146"/>
        <v>0</v>
      </c>
      <c r="CD19" s="5">
        <f t="shared" si="147"/>
        <v>-1</v>
      </c>
      <c r="CE19" s="6">
        <f t="shared" si="148"/>
        <v>-0.13771242016282831</v>
      </c>
      <c r="CF19" s="4">
        <f t="shared" si="149"/>
        <v>0.94826844165869617</v>
      </c>
      <c r="CG19" s="5">
        <f t="shared" si="150"/>
        <v>0.14628283941228423</v>
      </c>
      <c r="CH19" s="5">
        <f t="shared" si="151"/>
        <v>0</v>
      </c>
      <c r="CI19" s="4">
        <f t="shared" si="118"/>
        <v>0</v>
      </c>
      <c r="CJ19" s="5">
        <f t="shared" si="119"/>
        <v>0.95503931393736319</v>
      </c>
      <c r="CK19" s="8">
        <f t="shared" si="120"/>
        <v>-0.13771242016282831</v>
      </c>
      <c r="CL19" s="173">
        <f t="shared" si="121"/>
        <v>0.94826844165869617</v>
      </c>
      <c r="CM19" s="5">
        <f t="shared" si="122"/>
        <v>1.1013221533496473</v>
      </c>
      <c r="CN19" s="6">
        <f t="shared" si="123"/>
        <v>-0.13771242016282831</v>
      </c>
      <c r="CO19" s="167">
        <f t="shared" si="26"/>
        <v>0.3125</v>
      </c>
      <c r="CP19" s="4">
        <f t="shared" si="236"/>
        <v>0.92061170655233215</v>
      </c>
      <c r="CQ19" s="5">
        <f t="shared" si="237"/>
        <v>-6.8436503371814785</v>
      </c>
      <c r="CR19" s="5">
        <f t="shared" si="152"/>
        <v>12.660893590036768</v>
      </c>
      <c r="CS19" s="8">
        <f t="shared" si="153"/>
        <v>0.2124825199992344</v>
      </c>
      <c r="CT19" s="9">
        <f t="shared" si="154"/>
        <v>3.9672581545203993</v>
      </c>
      <c r="CU19" s="6">
        <f t="shared" si="155"/>
        <v>3.4665494849791871</v>
      </c>
      <c r="CV19" s="4">
        <f t="shared" si="238"/>
        <v>3.7620257078448138</v>
      </c>
      <c r="CW19" s="5">
        <f t="shared" si="156"/>
        <v>1.5353811014621455</v>
      </c>
      <c r="CX19" s="8">
        <f t="shared" si="157"/>
        <v>-0.13771242016282831</v>
      </c>
      <c r="CY19" s="9">
        <f t="shared" si="158"/>
        <v>3.2872194780539696</v>
      </c>
      <c r="CZ19" s="5">
        <f t="shared" si="159"/>
        <v>1.4621360155633099</v>
      </c>
      <c r="DA19" s="6">
        <f t="shared" si="160"/>
        <v>-0.13771242016282831</v>
      </c>
      <c r="DB19" s="4">
        <f t="shared" si="161"/>
        <v>0</v>
      </c>
      <c r="DC19" s="5">
        <f t="shared" si="161"/>
        <v>0</v>
      </c>
      <c r="DD19" s="10">
        <f t="shared" si="162"/>
        <v>-10</v>
      </c>
      <c r="DE19" s="9">
        <f t="shared" si="163"/>
        <v>0</v>
      </c>
      <c r="DF19" s="5">
        <f t="shared" si="163"/>
        <v>0</v>
      </c>
      <c r="DG19" s="10">
        <f t="shared" si="164"/>
        <v>10</v>
      </c>
      <c r="DH19" s="70">
        <f t="shared" si="165"/>
        <v>3.9918</v>
      </c>
      <c r="DI19" s="4">
        <f t="shared" si="166"/>
        <v>0</v>
      </c>
      <c r="DJ19" s="5">
        <f t="shared" si="167"/>
        <v>0</v>
      </c>
      <c r="DK19" s="10">
        <f t="shared" si="168"/>
        <v>20</v>
      </c>
      <c r="DL19" s="9">
        <f t="shared" si="169"/>
        <v>3.7620257078448138</v>
      </c>
      <c r="DM19" s="173">
        <f t="shared" si="170"/>
        <v>1.5353811014621455</v>
      </c>
      <c r="DN19" s="178">
        <f t="shared" si="171"/>
        <v>9.8622875798371723</v>
      </c>
      <c r="DO19" s="9">
        <f t="shared" si="172"/>
        <v>-0.47480622979084419</v>
      </c>
      <c r="DP19" s="173">
        <f t="shared" si="173"/>
        <v>-7.3245085898835605E-2</v>
      </c>
      <c r="DQ19" s="11">
        <f t="shared" si="174"/>
        <v>0</v>
      </c>
      <c r="DR19" s="173">
        <f t="shared" si="175"/>
        <v>197.24575159674345</v>
      </c>
      <c r="DS19" s="5">
        <f t="shared" si="176"/>
        <v>0</v>
      </c>
      <c r="DT19" s="5">
        <f t="shared" si="177"/>
        <v>400</v>
      </c>
      <c r="DU19" s="5">
        <f t="shared" si="178"/>
        <v>0.23080579845652374</v>
      </c>
      <c r="DV19" s="5">
        <f t="shared" si="179"/>
        <v>-1.8986923633820716</v>
      </c>
      <c r="DW19" s="5">
        <f t="shared" si="180"/>
        <v>113.77494886062294</v>
      </c>
      <c r="DX19" s="167">
        <f t="shared" si="181"/>
        <v>97.840481620622938</v>
      </c>
      <c r="DY19" s="9">
        <f t="shared" si="182"/>
        <v>92.322319382609493</v>
      </c>
      <c r="DZ19" s="5">
        <f t="shared" si="183"/>
        <v>-759.47694535282858</v>
      </c>
      <c r="EA19" s="10">
        <f t="shared" si="184"/>
        <v>230.3061252849584</v>
      </c>
      <c r="EB19" s="6">
        <f t="shared" si="185"/>
        <v>555542.83486813412</v>
      </c>
      <c r="EC19" s="173">
        <f t="shared" si="186"/>
        <v>16.299681534981367</v>
      </c>
      <c r="ED19" s="5">
        <f t="shared" si="187"/>
        <v>0.15304518227849492</v>
      </c>
      <c r="EE19" s="4">
        <f t="shared" si="188"/>
        <v>-3.9771646285711291</v>
      </c>
      <c r="EF19" s="5">
        <f t="shared" si="189"/>
        <v>0.34150952730877071</v>
      </c>
      <c r="EG19" s="10">
        <f t="shared" si="190"/>
        <v>-0.13771242016282831</v>
      </c>
      <c r="EH19" s="9">
        <f t="shared" si="191"/>
        <v>3.6893589018595092</v>
      </c>
      <c r="EI19" s="5">
        <f t="shared" si="192"/>
        <v>1.5241712939397543</v>
      </c>
      <c r="EJ19" s="6">
        <f t="shared" si="193"/>
        <v>-0.13771242016282831</v>
      </c>
      <c r="EK19" s="236" t="b">
        <f t="shared" si="194"/>
        <v>0</v>
      </c>
      <c r="EL19" s="238" t="b">
        <f t="shared" si="195"/>
        <v>1</v>
      </c>
      <c r="EM19" s="4">
        <f t="shared" si="196"/>
        <v>3.6893589018595092</v>
      </c>
      <c r="EN19" s="5">
        <f t="shared" si="197"/>
        <v>1.5241712939397543</v>
      </c>
      <c r="EO19" s="10">
        <f t="shared" si="198"/>
        <v>-0.13771242016282831</v>
      </c>
      <c r="EP19" s="9">
        <f t="shared" si="199"/>
        <v>22.446808339500947</v>
      </c>
      <c r="EQ19" s="5">
        <f t="shared" si="200"/>
        <v>3.9917999999999987</v>
      </c>
      <c r="ER19" s="7">
        <f t="shared" si="201"/>
        <v>-0.13771242016282831</v>
      </c>
      <c r="ES19" s="21">
        <f t="shared" si="124"/>
        <v>0.14628283941228409</v>
      </c>
      <c r="ET19" s="5">
        <f t="shared" si="35"/>
        <v>-0.9482684416586955</v>
      </c>
      <c r="EU19" s="10">
        <f t="shared" si="36"/>
        <v>-0.28175928280656382</v>
      </c>
      <c r="EV19" s="174">
        <f t="shared" si="252"/>
        <v>67.553191660499053</v>
      </c>
      <c r="EW19" s="9">
        <f t="shared" si="125"/>
        <v>0.93227684784161446</v>
      </c>
      <c r="EX19" s="5">
        <f t="shared" si="37"/>
        <v>-0.22687350116493143</v>
      </c>
      <c r="EY19" s="6">
        <f t="shared" si="202"/>
        <v>-0.28175928280656382</v>
      </c>
      <c r="EZ19" s="51">
        <f t="shared" si="203"/>
        <v>0.43402953528312688</v>
      </c>
      <c r="FA19" s="266">
        <f t="shared" si="126"/>
        <v>0.38181461054558957</v>
      </c>
      <c r="FB19" s="267">
        <f t="shared" si="127"/>
        <v>-0.92420788783866992</v>
      </c>
      <c r="FC19" s="269">
        <f t="shared" si="38"/>
        <v>-7.5751719917469436E-3</v>
      </c>
      <c r="FD19" s="4">
        <f t="shared" si="128"/>
        <v>0.9999713079730318</v>
      </c>
      <c r="FE19" s="5">
        <f t="shared" si="39"/>
        <v>-1.1102230246251565E-16</v>
      </c>
      <c r="FF19" s="7">
        <f t="shared" si="204"/>
        <v>-7.5751719917469436E-3</v>
      </c>
      <c r="FG19" s="173">
        <f t="shared" si="205"/>
        <v>-6.7694460131417333E-2</v>
      </c>
      <c r="FH19" s="5">
        <f t="shared" si="40"/>
        <v>-0.22687350116493132</v>
      </c>
      <c r="FI19" s="10">
        <f t="shared" si="41"/>
        <v>-0.27418411081481686</v>
      </c>
      <c r="FJ19" s="279">
        <f t="shared" si="206"/>
        <v>20.871071087038473</v>
      </c>
      <c r="FK19" s="4">
        <f t="shared" si="42"/>
        <v>0.95948512575877432</v>
      </c>
      <c r="FL19" s="5">
        <f t="shared" si="207"/>
        <v>0.99997130797303169</v>
      </c>
      <c r="FM19" s="8">
        <f t="shared" si="208"/>
        <v>0.23675752461815897</v>
      </c>
      <c r="FN19" s="9">
        <f t="shared" si="209"/>
        <v>13.677310049915461</v>
      </c>
      <c r="FO19" s="10">
        <f t="shared" si="43"/>
        <v>1</v>
      </c>
      <c r="FP19" s="277">
        <f t="shared" si="44"/>
        <v>13.677310049915461</v>
      </c>
      <c r="FQ19" s="173">
        <f t="shared" si="239"/>
        <v>0.23645338012459235</v>
      </c>
      <c r="FR19" s="10">
        <f t="shared" si="210"/>
        <v>0.97164283511363114</v>
      </c>
      <c r="FS19" s="9">
        <f t="shared" si="211"/>
        <v>0.19572396398739342</v>
      </c>
      <c r="FT19" s="6">
        <f t="shared" si="212"/>
        <v>0.80427603601260655</v>
      </c>
      <c r="FU19" s="4">
        <f t="shared" si="213"/>
        <v>0.97392423446034337</v>
      </c>
      <c r="FV19" s="5">
        <f t="shared" si="214"/>
        <v>1.0000000000000002</v>
      </c>
      <c r="FW19" s="8">
        <f t="shared" si="240"/>
        <v>0.28241718530534898</v>
      </c>
      <c r="FX19" s="9">
        <f t="shared" si="241"/>
        <v>16.382207637737686</v>
      </c>
      <c r="FY19" s="10">
        <f t="shared" si="45"/>
        <v>1</v>
      </c>
      <c r="FZ19" s="277">
        <f t="shared" si="242"/>
        <v>16.382207637737686</v>
      </c>
      <c r="GA19" s="177">
        <f t="shared" si="215"/>
        <v>15.954260707017847</v>
      </c>
      <c r="GB19" s="4">
        <f t="shared" si="216"/>
        <v>-0.22685375246404088</v>
      </c>
      <c r="GC19" s="5">
        <f t="shared" si="217"/>
        <v>0.93219569576117778</v>
      </c>
      <c r="GD19" s="10">
        <f t="shared" si="218"/>
        <v>-0.28204354237833074</v>
      </c>
      <c r="GE19" s="311">
        <f t="shared" si="219"/>
        <v>1.4410929906035495</v>
      </c>
      <c r="GF19" s="341">
        <f t="shared" si="243"/>
        <v>0.69391774612767099</v>
      </c>
      <c r="GG19" s="285">
        <f t="shared" si="46"/>
        <v>0.15741784461045183</v>
      </c>
      <c r="GH19" s="286">
        <f t="shared" si="47"/>
        <v>0.64686713615251257</v>
      </c>
      <c r="GI19" s="281">
        <f t="shared" si="48"/>
        <v>0.19571501923703552</v>
      </c>
      <c r="GJ19" s="167">
        <f t="shared" si="220"/>
        <v>3.9918</v>
      </c>
      <c r="GK19" s="174">
        <f t="shared" si="49"/>
        <v>2.0901615634052351</v>
      </c>
      <c r="GL19" s="174">
        <f t="shared" si="221"/>
        <v>2.3300000000000001E-2</v>
      </c>
      <c r="GM19" s="177">
        <f t="shared" si="244"/>
        <v>0.58440917312810381</v>
      </c>
      <c r="GN19" s="280">
        <f t="shared" si="222"/>
        <v>4.0167251438505157E-2</v>
      </c>
      <c r="GO19" s="4">
        <f t="shared" si="223"/>
        <v>13.677310049915461</v>
      </c>
      <c r="GP19" s="8">
        <f t="shared" si="245"/>
        <v>16.382207637737686</v>
      </c>
      <c r="GQ19" s="177">
        <f t="shared" si="224"/>
        <v>20.871071087038473</v>
      </c>
      <c r="GR19" s="371">
        <f t="shared" si="246"/>
        <v>2258.6136335666188</v>
      </c>
      <c r="GS19" s="342">
        <f t="shared" si="51"/>
        <v>355.546090003838</v>
      </c>
      <c r="GT19" s="343">
        <f t="shared" si="52"/>
        <v>170.10459680666591</v>
      </c>
      <c r="GU19" s="344">
        <f t="shared" si="53"/>
        <v>1461.0229328202593</v>
      </c>
      <c r="GV19" s="343">
        <f t="shared" si="253"/>
        <v>699</v>
      </c>
      <c r="GW19" s="345">
        <f t="shared" si="129"/>
        <v>30000</v>
      </c>
      <c r="GX19" s="346">
        <f t="shared" si="54"/>
        <v>232.52234999999999</v>
      </c>
      <c r="GY19" s="344">
        <f t="shared" si="55"/>
        <v>442.04461074252151</v>
      </c>
      <c r="GZ19" s="345">
        <f t="shared" si="56"/>
        <v>211.48824975154281</v>
      </c>
      <c r="HA19" s="342">
        <f t="shared" si="57"/>
        <v>355.546090003838</v>
      </c>
      <c r="HB19" s="5">
        <f t="shared" si="225"/>
        <v>67.553191660499053</v>
      </c>
      <c r="HC19" s="343">
        <f t="shared" si="226"/>
        <v>135.75658701747841</v>
      </c>
      <c r="HD19" s="345">
        <f t="shared" si="227"/>
        <v>328.60792929931421</v>
      </c>
      <c r="HE19" s="344">
        <f t="shared" si="58"/>
        <v>699</v>
      </c>
      <c r="HF19" s="5">
        <f t="shared" si="59"/>
        <v>157.55319166049907</v>
      </c>
      <c r="HG19" s="343">
        <f t="shared" si="228"/>
        <v>-646.03984979202312</v>
      </c>
      <c r="HH19" s="349">
        <f t="shared" si="229"/>
        <v>266.89607056062135</v>
      </c>
      <c r="HI19" s="317">
        <f t="shared" si="60"/>
        <v>2.117</v>
      </c>
      <c r="HJ19" s="336"/>
      <c r="HK19" s="310">
        <f t="shared" si="130"/>
        <v>11</v>
      </c>
      <c r="HL19" s="348">
        <f t="shared" si="61"/>
        <v>5.1109999999999998</v>
      </c>
      <c r="HM19" s="934">
        <f t="shared" si="62"/>
        <v>-1.0638336096933139</v>
      </c>
      <c r="HN19" s="935">
        <f t="shared" si="63"/>
        <v>14.99999783426823</v>
      </c>
      <c r="HO19" s="936"/>
      <c r="HP19" s="937"/>
      <c r="HQ19" s="935">
        <f t="shared" si="64"/>
        <v>14.28792243358267</v>
      </c>
      <c r="HR19" s="938">
        <f t="shared" si="65"/>
        <v>14.251690207524279</v>
      </c>
      <c r="HS19" s="939">
        <f t="shared" si="249"/>
        <v>2.3075999999999999</v>
      </c>
      <c r="HT19" s="940">
        <f t="shared" si="66"/>
        <v>4.0099999999999997E-2</v>
      </c>
      <c r="HU19" s="941">
        <f t="shared" si="67"/>
        <v>0.58146296305149814</v>
      </c>
      <c r="HV19" s="942">
        <f t="shared" si="68"/>
        <v>3.9964754341643649E-2</v>
      </c>
      <c r="HW19" s="943">
        <f t="shared" si="69"/>
        <v>30000</v>
      </c>
      <c r="HX19" s="950">
        <f t="shared" si="70"/>
        <v>231.33689999999999</v>
      </c>
      <c r="HY19" s="955">
        <f t="shared" si="71"/>
        <v>26.993739448746986</v>
      </c>
      <c r="HZ19" s="956">
        <f t="shared" si="72"/>
        <v>1453.6574076287454</v>
      </c>
      <c r="IA19" s="957">
        <f t="shared" si="73"/>
        <v>369.29125371400278</v>
      </c>
      <c r="IB19" s="958">
        <f t="shared" si="74"/>
        <v>1849.9424007914952</v>
      </c>
      <c r="IC19" s="841">
        <f t="shared" si="75"/>
        <v>22.339148403484167</v>
      </c>
      <c r="ID19" s="351">
        <f t="shared" si="76"/>
        <v>1203</v>
      </c>
      <c r="IE19" s="843">
        <f t="shared" si="77"/>
        <v>305.61353444525338</v>
      </c>
      <c r="IF19" s="844"/>
      <c r="IG19" s="789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7">
        <f t="shared" si="230"/>
        <v>2.117</v>
      </c>
      <c r="IJ19" s="967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8"/>
        <v>1613</v>
      </c>
      <c r="IM19" s="482" t="str">
        <f t="shared" si="231"/>
        <v/>
      </c>
      <c r="IN19" s="670" t="str">
        <f t="shared" si="80"/>
        <v/>
      </c>
      <c r="IO19" s="702">
        <v>4.8271982651780503E-2</v>
      </c>
      <c r="IP19" s="5" t="str">
        <f t="shared" si="81"/>
        <v/>
      </c>
      <c r="IQ19" s="714">
        <v>270</v>
      </c>
      <c r="IR19" s="9" t="str">
        <f t="shared" si="131"/>
        <v/>
      </c>
      <c r="IS19" s="5" t="str">
        <f t="shared" si="82"/>
        <v/>
      </c>
      <c r="IT19" s="5" t="str">
        <f t="shared" si="83"/>
        <v/>
      </c>
      <c r="IU19" s="5" t="str">
        <f t="shared" si="84"/>
        <v/>
      </c>
      <c r="IV19" s="670" t="str">
        <f t="shared" si="85"/>
        <v/>
      </c>
      <c r="IW19" s="9" t="str">
        <f t="shared" si="86"/>
        <v/>
      </c>
      <c r="IX19" s="5" t="str">
        <f t="shared" si="87"/>
        <v/>
      </c>
      <c r="IY19" s="5" t="str">
        <f t="shared" si="88"/>
        <v/>
      </c>
      <c r="IZ19" s="5" t="str">
        <f t="shared" si="89"/>
        <v/>
      </c>
      <c r="JA19" s="705" t="str">
        <f t="shared" si="90"/>
        <v/>
      </c>
      <c r="JD19" s="1348" t="s">
        <v>356</v>
      </c>
      <c r="JE19" s="1349"/>
      <c r="JF19" s="1349"/>
      <c r="JG19" s="1349"/>
      <c r="JH19" s="1349"/>
      <c r="JI19" s="1349"/>
      <c r="JJ19" s="1349"/>
      <c r="JK19" s="1350"/>
    </row>
    <row r="20" spans="1:271" ht="15" customHeight="1" x14ac:dyDescent="0.25">
      <c r="A20" s="75">
        <f t="shared" si="1"/>
        <v>0</v>
      </c>
      <c r="B20" s="578">
        <f t="shared" ref="B20:D20" si="266">IFERROR(O175+($A20*-E20),"")</f>
        <v>4.0389732737637143</v>
      </c>
      <c r="C20" s="572">
        <f t="shared" si="266"/>
        <v>1.739453163068517</v>
      </c>
      <c r="D20" s="576">
        <f t="shared" si="266"/>
        <v>-0.9014027186305994</v>
      </c>
      <c r="E20" s="580">
        <f t="shared" ref="E20:K20" si="267">R175</f>
        <v>-1.8176074493984909E-2</v>
      </c>
      <c r="F20" s="572">
        <f t="shared" si="267"/>
        <v>0.98149258126452488</v>
      </c>
      <c r="G20" s="579">
        <f t="shared" si="267"/>
        <v>0.19063562951003976</v>
      </c>
      <c r="H20" s="580">
        <f t="shared" si="267"/>
        <v>0.3125</v>
      </c>
      <c r="I20" s="572">
        <f t="shared" si="267"/>
        <v>0.52</v>
      </c>
      <c r="J20" s="483">
        <f t="shared" si="92"/>
        <v>2.12</v>
      </c>
      <c r="K20" s="805">
        <f t="shared" si="267"/>
        <v>1613</v>
      </c>
      <c r="L20" s="717" t="str">
        <f>IF($L19=$JJ$22,$JJ$30,IF($L19=$JK$22,$JK$30,""))</f>
        <v/>
      </c>
      <c r="M20" s="164">
        <f t="shared" si="4"/>
        <v>2.12</v>
      </c>
      <c r="N20" s="575">
        <f t="shared" si="5"/>
        <v>4.0389732737637143</v>
      </c>
      <c r="O20" s="572">
        <f t="shared" si="6"/>
        <v>1.739453163068517</v>
      </c>
      <c r="P20" s="576">
        <f t="shared" si="7"/>
        <v>-0.9014027186305994</v>
      </c>
      <c r="Q20" s="528">
        <f t="shared" si="134"/>
        <v>23.299957652725546</v>
      </c>
      <c r="R20" s="572">
        <f>IF(M20="","",SQRT(N20^2+O20^2))</f>
        <v>4.3976132632016025</v>
      </c>
      <c r="S20" s="577">
        <f>IF(M20="","",P20)</f>
        <v>-0.9014027186305994</v>
      </c>
      <c r="T20" s="578">
        <f>IF(M20="","",X20*COS(RADIANS(W20)))</f>
        <v>1.7633901425754166</v>
      </c>
      <c r="U20" s="572">
        <f>IF(M20="","",X20*SIN(RADIANS(W20)))</f>
        <v>-4.0285800994586793</v>
      </c>
      <c r="V20" s="579">
        <f>IF(M20="","",Y20)</f>
        <v>-0.9014027186305994</v>
      </c>
      <c r="W20" s="528">
        <f t="shared" si="256"/>
        <v>293.63995760363559</v>
      </c>
      <c r="X20" s="572">
        <f>IF(M20="","",R20)</f>
        <v>4.3976132632016025</v>
      </c>
      <c r="Y20" s="573">
        <f t="shared" si="259"/>
        <v>-0.9014027186305994</v>
      </c>
      <c r="Z20" s="575">
        <f t="shared" si="10"/>
        <v>1.8176074493984909E-2</v>
      </c>
      <c r="AA20" s="572">
        <f t="shared" si="11"/>
        <v>-0.98149258126452488</v>
      </c>
      <c r="AB20" s="572">
        <f t="shared" si="12"/>
        <v>-0.19063562951003976</v>
      </c>
      <c r="AC20" s="579">
        <f>IF(M20="","",SQRT(Z20^2+AA20^2+AB20^2))</f>
        <v>1</v>
      </c>
      <c r="AD20" s="580">
        <f>IF(M20="","",Z20*(1/SQRT(Z20^2+AA20^2+AB20^2)))</f>
        <v>1.8176074493984909E-2</v>
      </c>
      <c r="AE20" s="572">
        <f>IF(M20="","",AA20*(1/SQRT(Z20^2+AA20^2+AB20^2)))</f>
        <v>-0.98149258126452488</v>
      </c>
      <c r="AF20" s="576">
        <f>IF(M20="","",AB20*(1/SQRT(Z20^2+AA20^2+AB20^2)))</f>
        <v>-0.19063562951003976</v>
      </c>
      <c r="AG20" s="545">
        <f>IF(M20="","",DEGREES(ATAN2(-AF20,AE20)))</f>
        <v>-79.008280455674893</v>
      </c>
      <c r="AH20" s="546">
        <f>IF(M20="","",DEGREES(ACOS(AD20)))</f>
        <v>88.958530293007612</v>
      </c>
      <c r="AI20" s="528">
        <f>IF(M20="","",DEGREES(-ACOS(-AF20)))</f>
        <v>-79.010118874239524</v>
      </c>
      <c r="AJ20" s="529">
        <f>IF(M20="","",DEGREES(ATAN2(-AE20,AD20)))</f>
        <v>1.060928377327496</v>
      </c>
      <c r="AK20" s="578">
        <f>IF(M20="","",(COS(RADIANS((90-$Q$8)-W20))*AD20)+(-SIN(RADIANS((90-$Q$8)-W20))*AE20))</f>
        <v>0.90863804869608078</v>
      </c>
      <c r="AL20" s="572">
        <f>IF(M20="","",(SIN(RADIANS((90-$Q$8)-W20))*AD20)+(COS(RADIANS((90-$Q$8)-W20))*AE20))</f>
        <v>-0.37153055489836839</v>
      </c>
      <c r="AM20" s="577">
        <f>IF(M20="","",AF20)</f>
        <v>-0.19063562951003976</v>
      </c>
      <c r="AN20" s="524">
        <f>IF(M20="","",DEGREES(ATAN2(-AM20,AL20)))</f>
        <v>-62.837237632034622</v>
      </c>
      <c r="AO20" s="525">
        <f t="shared" si="108"/>
        <v>24.682186713902937</v>
      </c>
      <c r="AP20" s="528">
        <f>IF(M20="","",DEGREES(ATAN2(AK20,AL20)))</f>
        <v>-22.239029275398021</v>
      </c>
      <c r="AQ20" s="529">
        <f t="shared" si="13"/>
        <v>0.39397846728443114</v>
      </c>
      <c r="AS20" s="899">
        <f t="shared" si="137"/>
        <v>-66.360042396364406</v>
      </c>
      <c r="AT20" s="895">
        <f t="shared" si="14"/>
        <v>-0.86620002073190427</v>
      </c>
      <c r="AU20" s="418"/>
      <c r="AV20" s="164">
        <f t="shared" si="15"/>
        <v>2.12</v>
      </c>
      <c r="AW20" s="828">
        <f>IFERROR(INDEX(MassProp!C$9:C$150,MATCH($M20,MassProp!$B$9:$B$150,0)),"")</f>
        <v>4.6100000000000003</v>
      </c>
      <c r="AX20" s="829">
        <f>IFERROR(INDEX(MassProp!D$9:D$150,MATCH($M20,MassProp!$B$9:$B$150,0)),"")</f>
        <v>-0.54600000000000004</v>
      </c>
      <c r="AY20" s="830">
        <f>IFERROR(INDEX(MassProp!E$9:E$150,MATCH($M20,MassProp!$B$9:$B$150,0)),"")</f>
        <v>1.4500000000000001E-2</v>
      </c>
      <c r="AZ20" s="297">
        <f t="shared" si="138"/>
        <v>0.42000855751555949</v>
      </c>
      <c r="BA20" s="296">
        <f t="shared" si="16"/>
        <v>2.8867769555617949E-2</v>
      </c>
      <c r="BB20" s="190">
        <f t="shared" si="139"/>
        <v>0.13020002073190429</v>
      </c>
      <c r="BC20" s="9"/>
      <c r="BD20" s="5">
        <f t="shared" si="235"/>
        <v>4.6100000000000003</v>
      </c>
      <c r="BE20" s="6">
        <f t="shared" si="17"/>
        <v>-0.77120269789869511</v>
      </c>
      <c r="BF20" s="4">
        <f t="shared" si="18"/>
        <v>4.0389732737637143</v>
      </c>
      <c r="BG20" s="5">
        <f t="shared" si="19"/>
        <v>1.739453163068517</v>
      </c>
      <c r="BH20" s="10">
        <f t="shared" si="20"/>
        <v>-0.9014027186305994</v>
      </c>
      <c r="BI20" s="9">
        <f t="shared" si="140"/>
        <v>4.0389732737637143</v>
      </c>
      <c r="BJ20" s="5">
        <f t="shared" si="21"/>
        <v>1.9301202904995816</v>
      </c>
      <c r="BK20" s="8">
        <f t="shared" si="22"/>
        <v>-1.8830574677747096</v>
      </c>
      <c r="BL20" s="173">
        <f t="shared" si="23"/>
        <v>5.0388080752764388</v>
      </c>
      <c r="BM20" s="5">
        <f t="shared" si="24"/>
        <v>1.7572957929163344</v>
      </c>
      <c r="BN20" s="6">
        <f t="shared" si="25"/>
        <v>-0.89793713871885827</v>
      </c>
      <c r="BO20" s="4">
        <f t="shared" si="141"/>
        <v>1.817607449398459E-2</v>
      </c>
      <c r="BP20" s="5">
        <f t="shared" si="142"/>
        <v>-0.98149258126452543</v>
      </c>
      <c r="BQ20" s="5">
        <f t="shared" si="143"/>
        <v>-0.19063562951003998</v>
      </c>
      <c r="BR20" s="6">
        <f t="shared" si="144"/>
        <v>1.4620082211975149</v>
      </c>
      <c r="BS20" s="4">
        <f t="shared" si="110"/>
        <v>0</v>
      </c>
      <c r="BT20" s="5">
        <f t="shared" si="110"/>
        <v>0</v>
      </c>
      <c r="BU20" s="10">
        <f t="shared" si="111"/>
        <v>-0.77120269789869511</v>
      </c>
      <c r="BV20" s="9">
        <f t="shared" si="112"/>
        <v>0</v>
      </c>
      <c r="BW20" s="5">
        <f t="shared" si="113"/>
        <v>1</v>
      </c>
      <c r="BX20" s="8">
        <f t="shared" si="114"/>
        <v>-0.77120269789869511</v>
      </c>
      <c r="BY20" s="173">
        <f t="shared" si="115"/>
        <v>1</v>
      </c>
      <c r="BZ20" s="5">
        <f t="shared" si="116"/>
        <v>0</v>
      </c>
      <c r="CA20" s="6">
        <f t="shared" si="117"/>
        <v>-0.77120269789869511</v>
      </c>
      <c r="CB20" s="4">
        <f t="shared" si="145"/>
        <v>0</v>
      </c>
      <c r="CC20" s="5">
        <f t="shared" si="146"/>
        <v>0</v>
      </c>
      <c r="CD20" s="5">
        <f t="shared" si="147"/>
        <v>-1</v>
      </c>
      <c r="CE20" s="6">
        <f t="shared" si="148"/>
        <v>-0.77120269789869511</v>
      </c>
      <c r="CF20" s="4">
        <f t="shared" si="149"/>
        <v>0.98149258126452543</v>
      </c>
      <c r="CG20" s="5">
        <f t="shared" si="150"/>
        <v>1.817607449398459E-2</v>
      </c>
      <c r="CH20" s="5">
        <f t="shared" si="151"/>
        <v>0</v>
      </c>
      <c r="CI20" s="4">
        <f t="shared" si="118"/>
        <v>0</v>
      </c>
      <c r="CJ20" s="5">
        <f t="shared" si="119"/>
        <v>1.6393673917720826</v>
      </c>
      <c r="CK20" s="8">
        <f t="shared" si="120"/>
        <v>-0.77120269789869511</v>
      </c>
      <c r="CL20" s="173">
        <f t="shared" si="121"/>
        <v>0.98149258126452543</v>
      </c>
      <c r="CM20" s="5">
        <f t="shared" si="122"/>
        <v>1.6575434662660671</v>
      </c>
      <c r="CN20" s="6">
        <f t="shared" si="123"/>
        <v>-0.77120269789869511</v>
      </c>
      <c r="CO20" s="167">
        <f t="shared" si="26"/>
        <v>0.3125</v>
      </c>
      <c r="CP20" s="4">
        <f t="shared" si="236"/>
        <v>0.963658056761312</v>
      </c>
      <c r="CQ20" s="5">
        <f t="shared" si="237"/>
        <v>-7.932082941119301</v>
      </c>
      <c r="CR20" s="5">
        <f t="shared" si="152"/>
        <v>16.242618063192168</v>
      </c>
      <c r="CS20" s="8">
        <f t="shared" si="153"/>
        <v>0.30862074682801932</v>
      </c>
      <c r="CT20" s="9">
        <f t="shared" si="154"/>
        <v>4.4038543190512947</v>
      </c>
      <c r="CU20" s="6">
        <f t="shared" si="155"/>
        <v>3.8273672075736784</v>
      </c>
      <c r="CV20" s="4">
        <f t="shared" si="238"/>
        <v>4.3223503431185843</v>
      </c>
      <c r="CW20" s="5">
        <f t="shared" si="156"/>
        <v>1.7194121759358143</v>
      </c>
      <c r="CX20" s="8">
        <f t="shared" si="157"/>
        <v>-0.77120269789869511</v>
      </c>
      <c r="CY20" s="9">
        <f t="shared" si="158"/>
        <v>3.7565325200086885</v>
      </c>
      <c r="CZ20" s="5">
        <f t="shared" si="159"/>
        <v>1.7089339032527753</v>
      </c>
      <c r="DA20" s="6">
        <f t="shared" si="160"/>
        <v>-0.77120269789869511</v>
      </c>
      <c r="DB20" s="4">
        <f t="shared" si="161"/>
        <v>0</v>
      </c>
      <c r="DC20" s="5">
        <f t="shared" si="161"/>
        <v>0</v>
      </c>
      <c r="DD20" s="10">
        <f t="shared" si="162"/>
        <v>-10</v>
      </c>
      <c r="DE20" s="9">
        <f t="shared" si="163"/>
        <v>0</v>
      </c>
      <c r="DF20" s="5">
        <f t="shared" si="163"/>
        <v>0</v>
      </c>
      <c r="DG20" s="10">
        <f t="shared" si="164"/>
        <v>10</v>
      </c>
      <c r="DH20" s="70">
        <f t="shared" si="165"/>
        <v>4.6100000000000003</v>
      </c>
      <c r="DI20" s="4">
        <f t="shared" si="166"/>
        <v>0</v>
      </c>
      <c r="DJ20" s="5">
        <f t="shared" si="167"/>
        <v>0</v>
      </c>
      <c r="DK20" s="10">
        <f t="shared" si="168"/>
        <v>20</v>
      </c>
      <c r="DL20" s="9">
        <f t="shared" si="169"/>
        <v>4.3223503431185843</v>
      </c>
      <c r="DM20" s="173">
        <f t="shared" si="170"/>
        <v>1.7194121759358143</v>
      </c>
      <c r="DN20" s="178">
        <f t="shared" si="171"/>
        <v>9.2287973021013041</v>
      </c>
      <c r="DO20" s="9">
        <f t="shared" si="172"/>
        <v>-0.56581782310989581</v>
      </c>
      <c r="DP20" s="173">
        <f t="shared" si="173"/>
        <v>-1.0478272683039025E-2</v>
      </c>
      <c r="DQ20" s="11">
        <f t="shared" si="174"/>
        <v>0</v>
      </c>
      <c r="DR20" s="173">
        <f t="shared" si="175"/>
        <v>184.57594604202609</v>
      </c>
      <c r="DS20" s="5">
        <f t="shared" si="176"/>
        <v>0</v>
      </c>
      <c r="DT20" s="5">
        <f t="shared" si="177"/>
        <v>400</v>
      </c>
      <c r="DU20" s="5">
        <f t="shared" si="178"/>
        <v>0.32025960314724145</v>
      </c>
      <c r="DV20" s="5">
        <f t="shared" si="179"/>
        <v>-2.4636793314956615</v>
      </c>
      <c r="DW20" s="5">
        <f t="shared" si="180"/>
        <v>106.80979036268599</v>
      </c>
      <c r="DX20" s="167">
        <f t="shared" si="181"/>
        <v>85.557690362685989</v>
      </c>
      <c r="DY20" s="9">
        <f t="shared" si="182"/>
        <v>128.10384125889658</v>
      </c>
      <c r="DZ20" s="5">
        <f t="shared" si="183"/>
        <v>-985.47173259826457</v>
      </c>
      <c r="EA20" s="10">
        <f t="shared" si="184"/>
        <v>154.79628776547179</v>
      </c>
      <c r="EB20" s="6">
        <f t="shared" si="185"/>
        <v>951324.53667485097</v>
      </c>
      <c r="EC20" s="173">
        <f t="shared" si="186"/>
        <v>15.306569921038687</v>
      </c>
      <c r="ED20" s="5">
        <f t="shared" si="187"/>
        <v>7.8944251118509792E-2</v>
      </c>
      <c r="EE20" s="4">
        <f t="shared" si="188"/>
        <v>-4.338379728882936</v>
      </c>
      <c r="EF20" s="5">
        <f t="shared" si="189"/>
        <v>1.5590257624611679</v>
      </c>
      <c r="EG20" s="10">
        <f t="shared" si="190"/>
        <v>-0.77120269789869511</v>
      </c>
      <c r="EH20" s="9">
        <f t="shared" si="191"/>
        <v>4.2776822788036686</v>
      </c>
      <c r="EI20" s="5">
        <f t="shared" si="192"/>
        <v>1.7185849765458363</v>
      </c>
      <c r="EJ20" s="6">
        <f t="shared" si="193"/>
        <v>-0.77120269789869511</v>
      </c>
      <c r="EK20" s="236" t="b">
        <f t="shared" si="194"/>
        <v>0</v>
      </c>
      <c r="EL20" s="238" t="b">
        <f t="shared" si="195"/>
        <v>1</v>
      </c>
      <c r="EM20" s="4">
        <f t="shared" si="196"/>
        <v>4.2776822788036686</v>
      </c>
      <c r="EN20" s="5">
        <f t="shared" si="197"/>
        <v>1.7185849765458363</v>
      </c>
      <c r="EO20" s="10">
        <f t="shared" si="198"/>
        <v>-0.77120269789869511</v>
      </c>
      <c r="EP20" s="9">
        <f t="shared" si="199"/>
        <v>21.888096135678065</v>
      </c>
      <c r="EQ20" s="5">
        <f>IF(ISNUMBER($AV20),SQRT(EM20^2+EN20^2),"")</f>
        <v>4.6099999999999994</v>
      </c>
      <c r="ER20" s="7">
        <f t="shared" si="201"/>
        <v>-0.77120269789869511</v>
      </c>
      <c r="ES20" s="21">
        <f t="shared" si="124"/>
        <v>1.8176074493984909E-2</v>
      </c>
      <c r="ET20" s="5">
        <f t="shared" si="35"/>
        <v>-0.98149258126452488</v>
      </c>
      <c r="EU20" s="10">
        <f t="shared" si="36"/>
        <v>-0.19063562951003976</v>
      </c>
      <c r="EV20" s="174">
        <f>IF(ISNUMBER($AV20),IF(($EV$1-EP20)&lt;0,(360+($EV$1-EP20)),($EV$1-EP20)),"")</f>
        <v>68.111903864321931</v>
      </c>
      <c r="EW20" s="9">
        <f t="shared" si="125"/>
        <v>0.91751638833198867</v>
      </c>
      <c r="EX20" s="5">
        <f t="shared" si="37"/>
        <v>-0.34902970346882239</v>
      </c>
      <c r="EY20" s="6">
        <f t="shared" si="202"/>
        <v>-0.19063562951003976</v>
      </c>
      <c r="EZ20" s="51">
        <f t="shared" si="203"/>
        <v>0.3758280675162311</v>
      </c>
      <c r="FA20" s="266">
        <f t="shared" si="126"/>
        <v>0.37278698580778097</v>
      </c>
      <c r="FB20" s="267">
        <f t="shared" si="127"/>
        <v>-0.92789376418480995</v>
      </c>
      <c r="FC20" s="269">
        <f t="shared" si="38"/>
        <v>-6.5593901617062656E-3</v>
      </c>
      <c r="FD20" s="4">
        <f t="shared" si="128"/>
        <v>0.99997848696894787</v>
      </c>
      <c r="FE20" s="5">
        <f t="shared" si="39"/>
        <v>0</v>
      </c>
      <c r="FF20" s="7">
        <f t="shared" si="204"/>
        <v>-6.5593901617062656E-3</v>
      </c>
      <c r="FG20" s="173">
        <f t="shared" si="205"/>
        <v>-8.2462098636959191E-2</v>
      </c>
      <c r="FH20" s="5">
        <f t="shared" si="40"/>
        <v>-0.34902970346882239</v>
      </c>
      <c r="FI20" s="10">
        <f t="shared" si="41"/>
        <v>-0.1840762393483335</v>
      </c>
      <c r="FJ20" s="279">
        <f t="shared" si="206"/>
        <v>23.256401140406233</v>
      </c>
      <c r="FK20" s="4">
        <f t="shared" si="42"/>
        <v>0.98166086647136486</v>
      </c>
      <c r="FL20" s="5">
        <f t="shared" si="207"/>
        <v>0.99997848696894798</v>
      </c>
      <c r="FM20" s="8">
        <f t="shared" si="208"/>
        <v>0.35863872018389992</v>
      </c>
      <c r="FN20" s="9">
        <f t="shared" si="209"/>
        <v>20.827167758350566</v>
      </c>
      <c r="FO20" s="10">
        <f t="shared" si="43"/>
        <v>1</v>
      </c>
      <c r="FP20" s="277">
        <f t="shared" si="44"/>
        <v>20.827167758350566</v>
      </c>
      <c r="FQ20" s="173">
        <f t="shared" si="239"/>
        <v>0.35555018580238323</v>
      </c>
      <c r="FR20" s="10">
        <f t="shared" si="210"/>
        <v>0.93465719136798531</v>
      </c>
      <c r="FS20" s="9">
        <f t="shared" si="211"/>
        <v>0.27557599816407941</v>
      </c>
      <c r="FT20" s="6">
        <f t="shared" si="212"/>
        <v>0.72442400183592048</v>
      </c>
      <c r="FU20" s="4">
        <f t="shared" si="213"/>
        <v>0.93711166148782177</v>
      </c>
      <c r="FV20" s="5">
        <f t="shared" si="214"/>
        <v>0.99999999999999978</v>
      </c>
      <c r="FW20" s="8">
        <f t="shared" si="240"/>
        <v>0.20170289934514216</v>
      </c>
      <c r="FX20" s="9">
        <f t="shared" si="241"/>
        <v>11.361717910023538</v>
      </c>
      <c r="FY20" s="10">
        <f t="shared" si="45"/>
        <v>1</v>
      </c>
      <c r="FZ20" s="277">
        <f t="shared" si="242"/>
        <v>11.361717910023538</v>
      </c>
      <c r="GA20" s="177">
        <f t="shared" si="215"/>
        <v>10.646723651872691</v>
      </c>
      <c r="GB20" s="4">
        <f t="shared" si="216"/>
        <v>-0.34858247601564252</v>
      </c>
      <c r="GC20" s="5">
        <f t="shared" si="217"/>
        <v>0.91634073332748223</v>
      </c>
      <c r="GD20" s="10">
        <f t="shared" si="218"/>
        <v>-0.19700232957926189</v>
      </c>
      <c r="GE20" s="311">
        <f t="shared" si="219"/>
        <v>1.4619255389223866</v>
      </c>
      <c r="GF20" s="341">
        <f t="shared" si="243"/>
        <v>0.68402936632266453</v>
      </c>
      <c r="GG20" s="285">
        <f t="shared" si="46"/>
        <v>0.23844065018016536</v>
      </c>
      <c r="GH20" s="286">
        <f t="shared" si="47"/>
        <v>0.62680397115364339</v>
      </c>
      <c r="GI20" s="281">
        <f t="shared" si="48"/>
        <v>0.13475537866619122</v>
      </c>
      <c r="GJ20" s="167">
        <f t="shared" si="220"/>
        <v>4.6100000000000003</v>
      </c>
      <c r="GK20" s="174">
        <f t="shared" si="49"/>
        <v>2.4138422845721808</v>
      </c>
      <c r="GL20" s="174">
        <f t="shared" si="221"/>
        <v>1.4500000000000001E-2</v>
      </c>
      <c r="GM20" s="177">
        <f t="shared" si="244"/>
        <v>0.42000855751555949</v>
      </c>
      <c r="GN20" s="280">
        <f t="shared" si="222"/>
        <v>2.8867769555617949E-2</v>
      </c>
      <c r="GO20" s="4">
        <f t="shared" si="223"/>
        <v>20.827167758350566</v>
      </c>
      <c r="GP20" s="8">
        <f t="shared" si="245"/>
        <v>11.361717910023538</v>
      </c>
      <c r="GQ20" s="177">
        <f t="shared" si="224"/>
        <v>23.256401140406233</v>
      </c>
      <c r="GR20" s="371">
        <f t="shared" si="246"/>
        <v>1675.1990129486837</v>
      </c>
      <c r="GS20" s="342">
        <f t="shared" si="51"/>
        <v>399.4355418286554</v>
      </c>
      <c r="GT20" s="343">
        <f t="shared" si="52"/>
        <v>165.4770671562122</v>
      </c>
      <c r="GU20" s="344">
        <f t="shared" si="53"/>
        <v>1050.0213937888986</v>
      </c>
      <c r="GV20" s="343">
        <f t="shared" si="253"/>
        <v>435</v>
      </c>
      <c r="GW20" s="345">
        <f t="shared" si="129"/>
        <v>30000</v>
      </c>
      <c r="GX20" s="346">
        <f t="shared" si="54"/>
        <v>167.11250000000001</v>
      </c>
      <c r="GY20" s="344">
        <f t="shared" si="55"/>
        <v>225.74207733112965</v>
      </c>
      <c r="GZ20" s="345">
        <f t="shared" si="56"/>
        <v>93.519812281828195</v>
      </c>
      <c r="HA20" s="342">
        <f t="shared" si="57"/>
        <v>399.4355418286554</v>
      </c>
      <c r="HB20" s="5">
        <f t="shared" si="225"/>
        <v>68.111903864321931</v>
      </c>
      <c r="HC20" s="343">
        <f t="shared" si="226"/>
        <v>148.90757511608962</v>
      </c>
      <c r="HD20" s="345">
        <f t="shared" si="227"/>
        <v>370.6417220834665</v>
      </c>
      <c r="HE20" s="344">
        <f t="shared" si="58"/>
        <v>435</v>
      </c>
      <c r="HF20" s="5">
        <f t="shared" si="59"/>
        <v>158.11190386432193</v>
      </c>
      <c r="HG20" s="343">
        <f t="shared" si="228"/>
        <v>-403.64247099340469</v>
      </c>
      <c r="HH20" s="349">
        <f t="shared" si="229"/>
        <v>162.16582750486754</v>
      </c>
      <c r="HI20" s="317">
        <f t="shared" si="60"/>
        <v>2.12</v>
      </c>
      <c r="HJ20" s="336"/>
      <c r="HK20" s="310">
        <f t="shared" si="130"/>
        <v>12</v>
      </c>
      <c r="HL20" s="348">
        <f t="shared" si="61"/>
        <v>3.1120000000000001</v>
      </c>
      <c r="HM20" s="934">
        <f t="shared" si="62"/>
        <v>-1.10851294264304</v>
      </c>
      <c r="HN20" s="935">
        <f t="shared" si="63"/>
        <v>14.99999783426823</v>
      </c>
      <c r="HO20" s="936"/>
      <c r="HP20" s="937"/>
      <c r="HQ20" s="935">
        <f t="shared" si="64"/>
        <v>14.360982894761085</v>
      </c>
      <c r="HR20" s="938">
        <f t="shared" si="65"/>
        <v>14.321848027903851</v>
      </c>
      <c r="HS20" s="939">
        <f t="shared" si="249"/>
        <v>2.5447000000000002</v>
      </c>
      <c r="HT20" s="940">
        <f t="shared" si="66"/>
        <v>3.3099999999999997E-2</v>
      </c>
      <c r="HU20" s="941">
        <f t="shared" si="67"/>
        <v>0.52926736237883631</v>
      </c>
      <c r="HV20" s="942">
        <f t="shared" si="68"/>
        <v>3.6377278455560921E-2</v>
      </c>
      <c r="HW20" s="943">
        <f t="shared" si="69"/>
        <v>30000</v>
      </c>
      <c r="HX20" s="950">
        <f t="shared" si="70"/>
        <v>210.573925</v>
      </c>
      <c r="HY20" s="955">
        <f t="shared" si="71"/>
        <v>25.602799220312335</v>
      </c>
      <c r="HZ20" s="956">
        <f t="shared" si="72"/>
        <v>1323.1684059470908</v>
      </c>
      <c r="IA20" s="957">
        <f t="shared" si="73"/>
        <v>337.87201539142995</v>
      </c>
      <c r="IB20" s="958">
        <f t="shared" si="74"/>
        <v>1686.643220558833</v>
      </c>
      <c r="IC20" s="841">
        <f t="shared" si="75"/>
        <v>19.214167683797275</v>
      </c>
      <c r="ID20" s="351">
        <f t="shared" si="76"/>
        <v>992.99999999999989</v>
      </c>
      <c r="IE20" s="843">
        <f t="shared" si="77"/>
        <v>253.56327265352323</v>
      </c>
      <c r="IF20" s="844"/>
      <c r="IG20" s="789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7">
        <f t="shared" si="230"/>
        <v>2.12</v>
      </c>
      <c r="IJ20" s="967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8"/>
        <v>1613</v>
      </c>
      <c r="IM20" s="482" t="str">
        <f t="shared" si="231"/>
        <v/>
      </c>
      <c r="IN20" s="670" t="str">
        <f t="shared" si="80"/>
        <v/>
      </c>
      <c r="IO20" s="702">
        <v>4.7030965380952701E-2</v>
      </c>
      <c r="IP20" s="5" t="str">
        <f t="shared" si="81"/>
        <v/>
      </c>
      <c r="IQ20" s="714">
        <v>270</v>
      </c>
      <c r="IR20" s="9" t="str">
        <f t="shared" si="131"/>
        <v/>
      </c>
      <c r="IS20" s="5" t="str">
        <f t="shared" si="82"/>
        <v/>
      </c>
      <c r="IT20" s="5" t="str">
        <f t="shared" si="83"/>
        <v/>
      </c>
      <c r="IU20" s="5" t="str">
        <f t="shared" si="84"/>
        <v/>
      </c>
      <c r="IV20" s="670" t="str">
        <f t="shared" si="85"/>
        <v/>
      </c>
      <c r="IW20" s="9" t="str">
        <f t="shared" si="86"/>
        <v/>
      </c>
      <c r="IX20" s="5" t="str">
        <f t="shared" si="87"/>
        <v/>
      </c>
      <c r="IY20" s="5" t="str">
        <f t="shared" si="88"/>
        <v/>
      </c>
      <c r="IZ20" s="5" t="str">
        <f t="shared" si="89"/>
        <v/>
      </c>
      <c r="JA20" s="705" t="str">
        <f t="shared" si="90"/>
        <v/>
      </c>
      <c r="JC20" s="31"/>
      <c r="JD20" s="1351" t="s">
        <v>360</v>
      </c>
      <c r="JE20" s="1352"/>
      <c r="JF20" s="1352"/>
      <c r="JG20" s="1352"/>
      <c r="JH20" s="1144" t="s">
        <v>361</v>
      </c>
      <c r="JI20" s="1145"/>
      <c r="JJ20" s="1145"/>
      <c r="JK20" s="1146"/>
    </row>
    <row r="21" spans="1:271" ht="15" customHeight="1" x14ac:dyDescent="0.25">
      <c r="A21" s="75">
        <f t="shared" si="1"/>
        <v>0</v>
      </c>
      <c r="B21" s="578">
        <f t="shared" ref="B21:D21" si="268">IFERROR(O176+($A21*-E21),"")</f>
        <v>4.2726095278931551</v>
      </c>
      <c r="C21" s="572">
        <f t="shared" si="268"/>
        <v>1.8180134114141842</v>
      </c>
      <c r="D21" s="576">
        <f t="shared" si="268"/>
        <v>-1.6373049381116935</v>
      </c>
      <c r="E21" s="580">
        <f t="shared" ref="E21:K21" si="269">R176</f>
        <v>9.1254569119267617E-2</v>
      </c>
      <c r="F21" s="572">
        <f t="shared" si="269"/>
        <v>0.9919878558148485</v>
      </c>
      <c r="G21" s="579">
        <f t="shared" si="269"/>
        <v>8.736531079734168E-2</v>
      </c>
      <c r="H21" s="580">
        <f t="shared" si="269"/>
        <v>0.3125</v>
      </c>
      <c r="I21" s="572">
        <f t="shared" si="269"/>
        <v>0.52</v>
      </c>
      <c r="J21" s="483">
        <f t="shared" si="92"/>
        <v>2.1230000000000002</v>
      </c>
      <c r="K21" s="805">
        <f t="shared" si="269"/>
        <v>1613</v>
      </c>
      <c r="L21" s="719" t="s">
        <v>358</v>
      </c>
      <c r="M21" s="164">
        <f t="shared" si="4"/>
        <v>2.1230000000000002</v>
      </c>
      <c r="N21" s="575">
        <f t="shared" si="5"/>
        <v>4.2726095278931551</v>
      </c>
      <c r="O21" s="572">
        <f t="shared" si="6"/>
        <v>1.8180134114141842</v>
      </c>
      <c r="P21" s="576">
        <f t="shared" si="7"/>
        <v>-1.6373049381116935</v>
      </c>
      <c r="Q21" s="528">
        <f t="shared" si="134"/>
        <v>23.049957688821078</v>
      </c>
      <c r="R21" s="572">
        <f>IF(M21="","",SQRT(N21^2+O21^2))</f>
        <v>4.6433140042350365</v>
      </c>
      <c r="S21" s="577">
        <f>IF(M21="","",P21)</f>
        <v>-1.6373049381116935</v>
      </c>
      <c r="T21" s="578">
        <f>IF(M21="","",X21*COS(RADIANS(W21)))</f>
        <v>1.8433354248285412</v>
      </c>
      <c r="U21" s="572">
        <f>IF(M21="","",X21*SIN(RADIANS(W21)))</f>
        <v>-4.2617460568993772</v>
      </c>
      <c r="V21" s="579">
        <f>IF(M21="","",Y21)</f>
        <v>-1.6373049381116935</v>
      </c>
      <c r="W21" s="528">
        <f t="shared" si="256"/>
        <v>293.38995763973116</v>
      </c>
      <c r="X21" s="572">
        <f>IF(M21="","",R21)</f>
        <v>4.6433140042350365</v>
      </c>
      <c r="Y21" s="573">
        <f t="shared" si="259"/>
        <v>-1.6373049381116935</v>
      </c>
      <c r="Z21" s="575">
        <f t="shared" si="10"/>
        <v>-9.1254569119267617E-2</v>
      </c>
      <c r="AA21" s="572">
        <f t="shared" si="11"/>
        <v>-0.9919878558148485</v>
      </c>
      <c r="AB21" s="572">
        <f t="shared" si="12"/>
        <v>-8.736531079734168E-2</v>
      </c>
      <c r="AC21" s="579">
        <f>IF(M21="","",SQRT(Z21^2+AA21^2+AB21^2))</f>
        <v>1</v>
      </c>
      <c r="AD21" s="580">
        <f>IF(M21="","",Z21*(1/SQRT(Z21^2+AA21^2+AB21^2)))</f>
        <v>-9.1254569119267617E-2</v>
      </c>
      <c r="AE21" s="572">
        <f>IF(M21="","",AA21*(1/SQRT(Z21^2+AA21^2+AB21^2)))</f>
        <v>-0.9919878558148485</v>
      </c>
      <c r="AF21" s="576">
        <f>IF(M21="","",AB21*(1/SQRT(Z21^2+AA21^2+AB21^2)))</f>
        <v>-8.736531079734168E-2</v>
      </c>
      <c r="AG21" s="545">
        <f>IF(M21="","",DEGREES(ATAN2(-AF21,AE21)))</f>
        <v>-84.966892663806377</v>
      </c>
      <c r="AH21" s="546">
        <f>IF(M21="","",DEGREES(ACOS(AD21)))</f>
        <v>95.235785634689222</v>
      </c>
      <c r="AI21" s="528">
        <f>IF(M21="","",DEGREES(-ACOS(-AF21)))</f>
        <v>-84.987946658039618</v>
      </c>
      <c r="AJ21" s="529">
        <f>IF(M21="","",DEGREES(ATAN2(-AE21,AD21)))</f>
        <v>-5.2559387888511715</v>
      </c>
      <c r="AK21" s="578">
        <f>IF(M21="","",(COS(RADIANS((90-$Q$8)-W21))*AD21)+(-SIN(RADIANS((90-$Q$8)-W21))*AE21))</f>
        <v>0.87706210049175659</v>
      </c>
      <c r="AL21" s="572">
        <f>IF(M21="","",(SIN(RADIANS((90-$Q$8)-W21))*AD21)+(COS(RADIANS((90-$Q$8)-W21))*AE21))</f>
        <v>-0.4723657209729254</v>
      </c>
      <c r="AM21" s="577">
        <f>IF(M21="","",AF21)</f>
        <v>-8.736531079734168E-2</v>
      </c>
      <c r="AN21" s="524">
        <f>IF(M21="","",DEGREES(ATAN2(-AM21,AL21)))</f>
        <v>-79.521402834342894</v>
      </c>
      <c r="AO21" s="525">
        <f>IF(ROUND(IF(M21="",0,DEGREES(ACOS(AK21))),4)=90,0,IF(M21="","",DEGREES(ACOS(AK21))))</f>
        <v>28.710028034160967</v>
      </c>
      <c r="AP21" s="528">
        <f>IF(M21="","",DEGREES(ATAN2(AK21,AL21)))</f>
        <v>-28.305896477672285</v>
      </c>
      <c r="AQ21" s="529">
        <f t="shared" si="13"/>
        <v>0.37313172121164018</v>
      </c>
      <c r="AS21" s="899">
        <f t="shared" si="137"/>
        <v>-66.610042360268835</v>
      </c>
      <c r="AT21" s="895">
        <f t="shared" si="14"/>
        <v>-1.6019702957876043</v>
      </c>
      <c r="AU21" s="418"/>
      <c r="AV21" s="164">
        <f t="shared" si="15"/>
        <v>2.1230000000000002</v>
      </c>
      <c r="AW21" s="828">
        <f>IFERROR(INDEX(MassProp!C$9:C$150,MATCH($M21,MassProp!$B$9:$B$150,0)),"")</f>
        <v>4.8981000000000003</v>
      </c>
      <c r="AX21" s="829">
        <f>IFERROR(INDEX(MassProp!D$9:D$150,MATCH($M21,MassProp!$B$9:$B$150,0)),"")</f>
        <v>-1.3608</v>
      </c>
      <c r="AY21" s="830">
        <f>IFERROR(INDEX(MassProp!E$9:E$150,MATCH($M21,MassProp!$B$9:$B$150,0)),"")</f>
        <v>3.7000000000000002E-3</v>
      </c>
      <c r="AZ21" s="297">
        <f t="shared" si="138"/>
        <v>0.11387214886414342</v>
      </c>
      <c r="BA21" s="296">
        <f t="shared" si="16"/>
        <v>7.8265904191519627E-3</v>
      </c>
      <c r="BB21" s="190">
        <f t="shared" si="139"/>
        <v>5.1170295787604347E-2</v>
      </c>
      <c r="BC21" s="9"/>
      <c r="BD21" s="5">
        <f t="shared" si="235"/>
        <v>4.8981000000000003</v>
      </c>
      <c r="BE21" s="6">
        <f t="shared" si="17"/>
        <v>-1.5861346423240892</v>
      </c>
      <c r="BF21" s="4">
        <f t="shared" si="18"/>
        <v>4.2726095278931551</v>
      </c>
      <c r="BG21" s="5">
        <f t="shared" si="19"/>
        <v>1.8180134114141842</v>
      </c>
      <c r="BH21" s="10">
        <f t="shared" si="20"/>
        <v>-1.6373049381116935</v>
      </c>
      <c r="BI21" s="9">
        <f t="shared" si="140"/>
        <v>4.2726095278931551</v>
      </c>
      <c r="BJ21" s="5">
        <f t="shared" si="21"/>
        <v>1.9057447727774441</v>
      </c>
      <c r="BK21" s="8">
        <f t="shared" si="22"/>
        <v>-2.6334491085174383</v>
      </c>
      <c r="BL21" s="173">
        <f t="shared" si="23"/>
        <v>5.2684371252285862</v>
      </c>
      <c r="BM21" s="5">
        <f t="shared" si="24"/>
        <v>1.7271107043631377</v>
      </c>
      <c r="BN21" s="6">
        <f t="shared" si="25"/>
        <v>-1.6453108256911446</v>
      </c>
      <c r="BO21" s="4">
        <f t="shared" si="141"/>
        <v>-9.1254569119267437E-2</v>
      </c>
      <c r="BP21" s="5">
        <f t="shared" si="142"/>
        <v>-0.99198785581484894</v>
      </c>
      <c r="BQ21" s="5">
        <f t="shared" si="143"/>
        <v>-8.7365310797340889E-2</v>
      </c>
      <c r="BR21" s="6">
        <f t="shared" si="144"/>
        <v>2.0502987125260121</v>
      </c>
      <c r="BS21" s="4">
        <f t="shared" si="110"/>
        <v>0</v>
      </c>
      <c r="BT21" s="5">
        <f t="shared" si="110"/>
        <v>0</v>
      </c>
      <c r="BU21" s="10">
        <f t="shared" si="111"/>
        <v>-1.5861346423240892</v>
      </c>
      <c r="BV21" s="9">
        <f t="shared" si="112"/>
        <v>0</v>
      </c>
      <c r="BW21" s="5">
        <f t="shared" si="113"/>
        <v>1</v>
      </c>
      <c r="BX21" s="8">
        <f t="shared" si="114"/>
        <v>-1.5861346423240892</v>
      </c>
      <c r="BY21" s="173">
        <f t="shared" si="115"/>
        <v>1</v>
      </c>
      <c r="BZ21" s="5">
        <f t="shared" si="116"/>
        <v>0</v>
      </c>
      <c r="CA21" s="6">
        <f t="shared" si="117"/>
        <v>-1.5861346423240892</v>
      </c>
      <c r="CB21" s="4">
        <f t="shared" si="145"/>
        <v>0</v>
      </c>
      <c r="CC21" s="5">
        <f t="shared" si="146"/>
        <v>0</v>
      </c>
      <c r="CD21" s="5">
        <f t="shared" si="147"/>
        <v>-1</v>
      </c>
      <c r="CE21" s="6">
        <f t="shared" si="148"/>
        <v>-1.5861346423240892</v>
      </c>
      <c r="CF21" s="4">
        <f t="shared" si="149"/>
        <v>0.99198785581484894</v>
      </c>
      <c r="CG21" s="5">
        <f t="shared" si="150"/>
        <v>-9.1254569119267437E-2</v>
      </c>
      <c r="CH21" s="5">
        <f t="shared" si="151"/>
        <v>0</v>
      </c>
      <c r="CI21" s="4">
        <f t="shared" si="118"/>
        <v>0</v>
      </c>
      <c r="CJ21" s="5">
        <f>IF(ISNUMBER($AV21),(CD21*BR21-BQ21*CE21)/(BQ21*CC21-CD21*BP21),"")</f>
        <v>2.2065510637941022</v>
      </c>
      <c r="CK21" s="8">
        <f t="shared" si="120"/>
        <v>-1.5861346423240892</v>
      </c>
      <c r="CL21" s="173">
        <f t="shared" si="121"/>
        <v>0.99198785581484894</v>
      </c>
      <c r="CM21" s="5">
        <f t="shared" si="122"/>
        <v>2.1152964946748347</v>
      </c>
      <c r="CN21" s="6">
        <f t="shared" si="123"/>
        <v>-1.5861346423240892</v>
      </c>
      <c r="CO21" s="167">
        <f t="shared" si="26"/>
        <v>0.3125</v>
      </c>
      <c r="CP21" s="4">
        <f t="shared" si="236"/>
        <v>0.99236730246928462</v>
      </c>
      <c r="CQ21" s="5">
        <f t="shared" si="237"/>
        <v>-8.5476652007267315</v>
      </c>
      <c r="CR21" s="5">
        <f t="shared" si="152"/>
        <v>18.311115834331257</v>
      </c>
      <c r="CS21" s="8">
        <f t="shared" si="153"/>
        <v>0.37716988084309833</v>
      </c>
      <c r="CT21" s="9">
        <f>IF(ISNUMBER($AV21),(-CQ21+SQRT(CS21))/(CP21*2),"")</f>
        <v>4.6161369678263657</v>
      </c>
      <c r="CU21" s="6">
        <f t="shared" si="155"/>
        <v>3.9972717765546442</v>
      </c>
      <c r="CV21" s="4">
        <f t="shared" si="238"/>
        <v>4.5791518128617348</v>
      </c>
      <c r="CW21" s="5">
        <f t="shared" si="156"/>
        <v>1.7853074737995853</v>
      </c>
      <c r="CX21" s="8">
        <f t="shared" si="157"/>
        <v>-1.5861346423240892</v>
      </c>
      <c r="CY21" s="9">
        <f t="shared" si="158"/>
        <v>3.9652450587336534</v>
      </c>
      <c r="CZ21" s="5">
        <f t="shared" si="159"/>
        <v>1.8417817501719993</v>
      </c>
      <c r="DA21" s="6">
        <f t="shared" si="160"/>
        <v>-1.5861346423240892</v>
      </c>
      <c r="DB21" s="4">
        <f t="shared" si="161"/>
        <v>0</v>
      </c>
      <c r="DC21" s="5">
        <f t="shared" si="161"/>
        <v>0</v>
      </c>
      <c r="DD21" s="10">
        <f t="shared" si="162"/>
        <v>-10</v>
      </c>
      <c r="DE21" s="9">
        <f t="shared" si="163"/>
        <v>0</v>
      </c>
      <c r="DF21" s="5">
        <f t="shared" si="163"/>
        <v>0</v>
      </c>
      <c r="DG21" s="10">
        <f t="shared" si="164"/>
        <v>10</v>
      </c>
      <c r="DH21" s="70">
        <f t="shared" si="165"/>
        <v>4.8981000000000003</v>
      </c>
      <c r="DI21" s="4">
        <f t="shared" si="166"/>
        <v>0</v>
      </c>
      <c r="DJ21" s="5">
        <f t="shared" si="167"/>
        <v>0</v>
      </c>
      <c r="DK21" s="10">
        <f t="shared" si="168"/>
        <v>20</v>
      </c>
      <c r="DL21" s="9">
        <f t="shared" si="169"/>
        <v>4.5791518128617348</v>
      </c>
      <c r="DM21" s="173">
        <f t="shared" si="170"/>
        <v>1.7853074737995853</v>
      </c>
      <c r="DN21" s="178">
        <f t="shared" si="171"/>
        <v>8.4138653576759115</v>
      </c>
      <c r="DO21" s="9">
        <f t="shared" si="172"/>
        <v>-0.61390675412808138</v>
      </c>
      <c r="DP21" s="173">
        <f t="shared" si="173"/>
        <v>5.6474276372413978E-2</v>
      </c>
      <c r="DQ21" s="11">
        <f t="shared" si="174"/>
        <v>0</v>
      </c>
      <c r="DR21" s="173">
        <f t="shared" si="175"/>
        <v>168.27730715351822</v>
      </c>
      <c r="DS21" s="5">
        <f t="shared" si="176"/>
        <v>0</v>
      </c>
      <c r="DT21" s="5">
        <f t="shared" si="177"/>
        <v>400</v>
      </c>
      <c r="DU21" s="5">
        <f t="shared" si="178"/>
        <v>0.38007084665586438</v>
      </c>
      <c r="DV21" s="5">
        <f t="shared" si="179"/>
        <v>-2.7103482784085728</v>
      </c>
      <c r="DW21" s="5">
        <f t="shared" si="180"/>
        <v>94.949084358338368</v>
      </c>
      <c r="DX21" s="167">
        <f t="shared" si="181"/>
        <v>70.957700748338368</v>
      </c>
      <c r="DY21" s="9">
        <f t="shared" si="182"/>
        <v>152.02833866234576</v>
      </c>
      <c r="DZ21" s="5">
        <f t="shared" si="183"/>
        <v>-1084.1393113634292</v>
      </c>
      <c r="EA21" s="10">
        <f t="shared" si="184"/>
        <v>65.828196495829616</v>
      </c>
      <c r="EB21" s="6">
        <f t="shared" si="185"/>
        <v>1165350.2950931711</v>
      </c>
      <c r="EC21" s="173">
        <f t="shared" si="186"/>
        <v>14.231907330693396</v>
      </c>
      <c r="ED21" s="5">
        <f t="shared" si="187"/>
        <v>3.0424559564217461E-2</v>
      </c>
      <c r="EE21" s="4">
        <f t="shared" si="188"/>
        <v>-4.157912221575895</v>
      </c>
      <c r="EF21" s="5">
        <f t="shared" si="189"/>
        <v>2.5890441416997487</v>
      </c>
      <c r="EG21" s="10">
        <f t="shared" si="190"/>
        <v>-1.5861346423240892</v>
      </c>
      <c r="EH21" s="9">
        <f t="shared" si="191"/>
        <v>4.5604739702538897</v>
      </c>
      <c r="EI21" s="5">
        <f t="shared" si="192"/>
        <v>1.7870256787849239</v>
      </c>
      <c r="EJ21" s="6">
        <f t="shared" si="193"/>
        <v>-1.5861346423240892</v>
      </c>
      <c r="EK21" s="236" t="b">
        <f t="shared" si="194"/>
        <v>0</v>
      </c>
      <c r="EL21" s="238" t="b">
        <f t="shared" si="195"/>
        <v>1</v>
      </c>
      <c r="EM21" s="4">
        <f t="shared" si="196"/>
        <v>4.5604739702538897</v>
      </c>
      <c r="EN21" s="5">
        <f t="shared" si="197"/>
        <v>1.7870256787849239</v>
      </c>
      <c r="EO21" s="10">
        <f t="shared" si="198"/>
        <v>-1.5861346423240892</v>
      </c>
      <c r="EP21" s="9">
        <f t="shared" si="199"/>
        <v>21.397772482038594</v>
      </c>
      <c r="EQ21" s="5">
        <f t="shared" si="200"/>
        <v>4.8980999999999995</v>
      </c>
      <c r="ER21" s="7">
        <f t="shared" si="201"/>
        <v>-1.5861346423240892</v>
      </c>
      <c r="ES21" s="21">
        <f t="shared" si="124"/>
        <v>-9.1254569119267617E-2</v>
      </c>
      <c r="ET21" s="5">
        <f t="shared" si="35"/>
        <v>-0.9919878558148485</v>
      </c>
      <c r="EU21" s="10">
        <f t="shared" si="36"/>
        <v>-8.736531079734168E-2</v>
      </c>
      <c r="EV21" s="174">
        <f t="shared" si="252"/>
        <v>68.60222751796141</v>
      </c>
      <c r="EW21" s="9">
        <f t="shared" si="125"/>
        <v>0.89031676301606755</v>
      </c>
      <c r="EX21" s="5">
        <f t="shared" si="37"/>
        <v>-0.44688182326189452</v>
      </c>
      <c r="EY21" s="6">
        <f t="shared" si="202"/>
        <v>-8.736531079734168E-2</v>
      </c>
      <c r="EZ21" s="51">
        <f t="shared" si="203"/>
        <v>0.3537229187630333</v>
      </c>
      <c r="FA21" s="266">
        <f t="shared" si="126"/>
        <v>0.36483363422774334</v>
      </c>
      <c r="FB21" s="267">
        <f t="shared" si="127"/>
        <v>-0.93105225745835474</v>
      </c>
      <c r="FC21" s="269">
        <f t="shared" si="38"/>
        <v>-6.1735903556077009E-3</v>
      </c>
      <c r="FD21" s="4">
        <f t="shared" si="128"/>
        <v>0.99998094320947994</v>
      </c>
      <c r="FE21" s="5">
        <f t="shared" si="39"/>
        <v>-5.5511151231257827E-17</v>
      </c>
      <c r="FF21" s="7">
        <f t="shared" si="204"/>
        <v>-6.1735903556077009E-3</v>
      </c>
      <c r="FG21" s="173">
        <f t="shared" si="205"/>
        <v>-0.1096641801934124</v>
      </c>
      <c r="FH21" s="5">
        <f t="shared" si="40"/>
        <v>-0.44688182326189446</v>
      </c>
      <c r="FI21" s="10">
        <f t="shared" si="41"/>
        <v>-8.1191720441733978E-2</v>
      </c>
      <c r="FJ21" s="279">
        <f t="shared" si="206"/>
        <v>27.02111527559293</v>
      </c>
      <c r="FK21" s="4">
        <f t="shared" si="42"/>
        <v>0.99617634105076192</v>
      </c>
      <c r="FL21" s="5">
        <f t="shared" si="207"/>
        <v>0.99998094320948006</v>
      </c>
      <c r="FM21" s="8">
        <f t="shared" si="208"/>
        <v>0.46014084406773575</v>
      </c>
      <c r="FN21" s="9">
        <f t="shared" si="209"/>
        <v>26.653711270889751</v>
      </c>
      <c r="FO21" s="10">
        <f t="shared" si="43"/>
        <v>1</v>
      </c>
      <c r="FP21" s="277">
        <f t="shared" si="44"/>
        <v>26.653711270889751</v>
      </c>
      <c r="FQ21" s="173">
        <f t="shared" si="239"/>
        <v>0.44859710559932142</v>
      </c>
      <c r="FR21" s="10">
        <f t="shared" si="210"/>
        <v>0.89373409739581455</v>
      </c>
      <c r="FS21" s="9">
        <f t="shared" si="211"/>
        <v>0.33419256335423719</v>
      </c>
      <c r="FT21" s="6">
        <f t="shared" si="212"/>
        <v>0.66580743664576281</v>
      </c>
      <c r="FU21" s="4">
        <f t="shared" si="213"/>
        <v>0.894593000217487</v>
      </c>
      <c r="FV21" s="5">
        <f t="shared" si="214"/>
        <v>1</v>
      </c>
      <c r="FW21" s="8">
        <f t="shared" si="240"/>
        <v>0.13644899371480138</v>
      </c>
      <c r="FX21" s="9">
        <f t="shared" si="241"/>
        <v>5.2506745106319581</v>
      </c>
      <c r="FY21" s="10">
        <f t="shared" si="45"/>
        <v>1</v>
      </c>
      <c r="FZ21" s="277">
        <f t="shared" si="242"/>
        <v>5.2506745106319581</v>
      </c>
      <c r="GA21" s="177">
        <f t="shared" si="215"/>
        <v>4.6970258146815311</v>
      </c>
      <c r="GB21" s="4">
        <f t="shared" si="216"/>
        <v>-0.4467147249933362</v>
      </c>
      <c r="GC21" s="5">
        <f t="shared" si="217"/>
        <v>0.88998385533930868</v>
      </c>
      <c r="GD21" s="10">
        <f t="shared" si="218"/>
        <v>-9.1513341702226678E-2</v>
      </c>
      <c r="GE21" s="311">
        <f t="shared" si="219"/>
        <v>1.4282119220348715</v>
      </c>
      <c r="GF21" s="341">
        <f t="shared" si="243"/>
        <v>0.70017620254508972</v>
      </c>
      <c r="GG21" s="285">
        <f t="shared" si="46"/>
        <v>0.31277901976680822</v>
      </c>
      <c r="GH21" s="286">
        <f t="shared" si="47"/>
        <v>0.62314551615791558</v>
      </c>
      <c r="GI21" s="281">
        <f t="shared" si="48"/>
        <v>6.407546407527627E-2</v>
      </c>
      <c r="GJ21" s="167">
        <f t="shared" si="220"/>
        <v>4.8981000000000003</v>
      </c>
      <c r="GK21" s="174">
        <f t="shared" si="49"/>
        <v>2.5646880374807073</v>
      </c>
      <c r="GL21" s="174">
        <f t="shared" si="221"/>
        <v>3.7000000000000002E-3</v>
      </c>
      <c r="GM21" s="177">
        <f t="shared" si="244"/>
        <v>0.11387214886414342</v>
      </c>
      <c r="GN21" s="280">
        <f t="shared" si="222"/>
        <v>7.8265904191519627E-3</v>
      </c>
      <c r="GO21" s="4">
        <f t="shared" si="223"/>
        <v>26.653711270889751</v>
      </c>
      <c r="GP21" s="8">
        <f t="shared" si="245"/>
        <v>5.2506745106319581</v>
      </c>
      <c r="GQ21" s="177">
        <f t="shared" si="224"/>
        <v>27.02111527559293</v>
      </c>
      <c r="GR21" s="371">
        <f t="shared" si="246"/>
        <v>456.84413155307971</v>
      </c>
      <c r="GS21" s="342">
        <f t="shared" si="51"/>
        <v>142.89125965339105</v>
      </c>
      <c r="GT21" s="343">
        <f t="shared" si="52"/>
        <v>55.71486963137751</v>
      </c>
      <c r="GU21" s="344">
        <f t="shared" si="53"/>
        <v>284.6803721603585</v>
      </c>
      <c r="GV21" s="343">
        <f t="shared" si="253"/>
        <v>111</v>
      </c>
      <c r="GW21" s="345">
        <f t="shared" si="129"/>
        <v>30000</v>
      </c>
      <c r="GX21" s="346">
        <f t="shared" si="54"/>
        <v>45.307425000000002</v>
      </c>
      <c r="GY21" s="344">
        <f t="shared" si="55"/>
        <v>29.27249973933014</v>
      </c>
      <c r="GZ21" s="345">
        <f t="shared" si="56"/>
        <v>11.413668762647839</v>
      </c>
      <c r="HA21" s="342">
        <f t="shared" si="57"/>
        <v>142.89125965339105</v>
      </c>
      <c r="HB21" s="5">
        <f t="shared" si="225"/>
        <v>68.60222751796141</v>
      </c>
      <c r="HC21" s="343">
        <f t="shared" si="226"/>
        <v>52.132531037450036</v>
      </c>
      <c r="HD21" s="345">
        <f t="shared" si="227"/>
        <v>133.04176522040785</v>
      </c>
      <c r="HE21" s="344">
        <f t="shared" si="58"/>
        <v>111</v>
      </c>
      <c r="HF21" s="5">
        <f t="shared" si="59"/>
        <v>158.60222751796141</v>
      </c>
      <c r="HG21" s="343">
        <f t="shared" si="228"/>
        <v>-103.34877007373916</v>
      </c>
      <c r="HH21" s="349">
        <f t="shared" si="229"/>
        <v>40.497305147940352</v>
      </c>
      <c r="HI21" s="317">
        <f t="shared" si="60"/>
        <v>2.1230000000000002</v>
      </c>
      <c r="HJ21" s="336"/>
      <c r="HK21" s="310">
        <f t="shared" si="130"/>
        <v>13</v>
      </c>
      <c r="HL21" s="348">
        <f t="shared" si="61"/>
        <v>6.1120000000000001</v>
      </c>
      <c r="HM21" s="934">
        <f t="shared" si="62"/>
        <v>-1.198523871897593</v>
      </c>
      <c r="HN21" s="935">
        <f t="shared" si="63"/>
        <v>14.99999783426828</v>
      </c>
      <c r="HO21" s="936"/>
      <c r="HP21" s="937"/>
      <c r="HQ21" s="935">
        <f t="shared" si="64"/>
        <v>14.378408640522453</v>
      </c>
      <c r="HR21" s="938">
        <f t="shared" si="65"/>
        <v>14.332706886838578</v>
      </c>
      <c r="HS21" s="939">
        <f t="shared" si="249"/>
        <v>2.5842000000000001</v>
      </c>
      <c r="HT21" s="940">
        <f t="shared" si="66"/>
        <v>2.4400000000000002E-2</v>
      </c>
      <c r="HU21" s="941">
        <f t="shared" si="67"/>
        <v>0.39621010581570754</v>
      </c>
      <c r="HV21" s="942">
        <f t="shared" si="68"/>
        <v>2.7232069027239118E-2</v>
      </c>
      <c r="HW21" s="943">
        <f t="shared" si="69"/>
        <v>30000</v>
      </c>
      <c r="HX21" s="950">
        <f t="shared" si="70"/>
        <v>157.6362</v>
      </c>
      <c r="HY21" s="955">
        <f t="shared" si="71"/>
        <v>20.723016115541942</v>
      </c>
      <c r="HZ21" s="956">
        <f t="shared" si="72"/>
        <v>990.52526453926885</v>
      </c>
      <c r="IA21" s="957">
        <f t="shared" si="73"/>
        <v>253.13936470521412</v>
      </c>
      <c r="IB21" s="958">
        <f t="shared" si="74"/>
        <v>1264.3876453600249</v>
      </c>
      <c r="IC21" s="841">
        <f t="shared" si="75"/>
        <v>15.314347184907492</v>
      </c>
      <c r="ID21" s="351">
        <f t="shared" si="76"/>
        <v>732</v>
      </c>
      <c r="IE21" s="843">
        <f t="shared" si="77"/>
        <v>187.07045806691858</v>
      </c>
      <c r="IF21" s="844"/>
      <c r="IG21" s="789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7">
        <f t="shared" si="230"/>
        <v>2.1230000000000002</v>
      </c>
      <c r="IJ21" s="967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8"/>
        <v>1613</v>
      </c>
      <c r="IM21" s="482" t="str">
        <f t="shared" si="231"/>
        <v/>
      </c>
      <c r="IN21" s="670" t="str">
        <f t="shared" si="80"/>
        <v/>
      </c>
      <c r="IO21" s="702"/>
      <c r="IP21" s="5" t="str">
        <f t="shared" si="81"/>
        <v/>
      </c>
      <c r="IQ21" s="714"/>
      <c r="IR21" s="9" t="str">
        <f t="shared" si="131"/>
        <v/>
      </c>
      <c r="IS21" s="5" t="str">
        <f t="shared" si="82"/>
        <v/>
      </c>
      <c r="IT21" s="5" t="str">
        <f t="shared" si="83"/>
        <v/>
      </c>
      <c r="IU21" s="5" t="str">
        <f t="shared" si="84"/>
        <v/>
      </c>
      <c r="IV21" s="670" t="str">
        <f t="shared" si="85"/>
        <v/>
      </c>
      <c r="IW21" s="9" t="str">
        <f t="shared" si="86"/>
        <v/>
      </c>
      <c r="IX21" s="5" t="str">
        <f t="shared" si="87"/>
        <v/>
      </c>
      <c r="IY21" s="5" t="str">
        <f t="shared" si="88"/>
        <v/>
      </c>
      <c r="IZ21" s="5" t="str">
        <f t="shared" si="89"/>
        <v/>
      </c>
      <c r="JA21" s="705" t="str">
        <f t="shared" si="90"/>
        <v/>
      </c>
      <c r="JC21" s="708"/>
      <c r="JD21" s="1214"/>
      <c r="JE21" s="1215"/>
      <c r="JF21" s="1215"/>
      <c r="JG21" s="1215"/>
      <c r="JH21" s="1147" t="s">
        <v>349</v>
      </c>
      <c r="JI21" s="1148"/>
      <c r="JJ21" s="1353" t="s">
        <v>362</v>
      </c>
      <c r="JK21" s="1354"/>
    </row>
    <row r="22" spans="1:271" ht="15" customHeight="1" thickBot="1" x14ac:dyDescent="0.3">
      <c r="A22" s="75">
        <f t="shared" si="1"/>
        <v>0</v>
      </c>
      <c r="B22" s="578">
        <f t="shared" ref="B22:D22" si="270">IFERROR(O177+($A22*-E22),"")</f>
        <v>4.3752162090055107</v>
      </c>
      <c r="C22" s="572">
        <f t="shared" si="270"/>
        <v>1.8508600978530749</v>
      </c>
      <c r="D22" s="576">
        <f t="shared" si="270"/>
        <v>-2.3116068591756145</v>
      </c>
      <c r="E22" s="580">
        <f t="shared" ref="E22:K22" si="271">R177</f>
        <v>0.14991537822174322</v>
      </c>
      <c r="F22" s="572">
        <f t="shared" si="271"/>
        <v>0.98782176577645686</v>
      </c>
      <c r="G22" s="579">
        <f t="shared" si="271"/>
        <v>4.1635783058741022E-2</v>
      </c>
      <c r="H22" s="580">
        <f t="shared" si="271"/>
        <v>0.26450000000000001</v>
      </c>
      <c r="I22" s="572">
        <f t="shared" si="271"/>
        <v>0.52</v>
      </c>
      <c r="J22" s="483">
        <f t="shared" si="92"/>
        <v>2.125</v>
      </c>
      <c r="K22" s="805">
        <f t="shared" si="271"/>
        <v>1313</v>
      </c>
      <c r="L22" s="813" t="str">
        <f>IF($L21=$JJ$22,$JJ$30,IF($L21=$JK$22,$JK$30,""))</f>
        <v/>
      </c>
      <c r="M22" s="164">
        <f t="shared" si="4"/>
        <v>2.125</v>
      </c>
      <c r="N22" s="575">
        <f t="shared" si="5"/>
        <v>4.3752162090055107</v>
      </c>
      <c r="O22" s="572">
        <f t="shared" si="6"/>
        <v>1.8508600978530749</v>
      </c>
      <c r="P22" s="576">
        <f t="shared" si="7"/>
        <v>-2.3116068591756145</v>
      </c>
      <c r="Q22" s="528">
        <f t="shared" si="134"/>
        <v>22.929957639179488</v>
      </c>
      <c r="R22" s="572">
        <f t="shared" si="93"/>
        <v>4.7505999597281656</v>
      </c>
      <c r="S22" s="577">
        <f t="shared" si="94"/>
        <v>-2.3116068591756145</v>
      </c>
      <c r="T22" s="578">
        <f t="shared" si="95"/>
        <v>1.8767904095827905</v>
      </c>
      <c r="U22" s="572">
        <f t="shared" si="96"/>
        <v>-4.3641560164443378</v>
      </c>
      <c r="V22" s="579">
        <f t="shared" si="135"/>
        <v>-2.3116068591756145</v>
      </c>
      <c r="W22" s="528">
        <f t="shared" si="256"/>
        <v>293.26995759008958</v>
      </c>
      <c r="X22" s="572">
        <f t="shared" si="97"/>
        <v>4.7505999597281656</v>
      </c>
      <c r="Y22" s="573">
        <f t="shared" si="259"/>
        <v>-2.3116068591756145</v>
      </c>
      <c r="Z22" s="575">
        <f t="shared" si="10"/>
        <v>-0.14991537822174322</v>
      </c>
      <c r="AA22" s="572">
        <f t="shared" si="11"/>
        <v>-0.98782176577645686</v>
      </c>
      <c r="AB22" s="572">
        <f t="shared" si="12"/>
        <v>-4.1635783058741022E-2</v>
      </c>
      <c r="AC22" s="579">
        <f t="shared" si="98"/>
        <v>1</v>
      </c>
      <c r="AD22" s="580">
        <f t="shared" si="136"/>
        <v>-0.14991537822174322</v>
      </c>
      <c r="AE22" s="572">
        <f t="shared" si="99"/>
        <v>-0.98782176577645686</v>
      </c>
      <c r="AF22" s="576">
        <f t="shared" si="100"/>
        <v>-4.1635783058741022E-2</v>
      </c>
      <c r="AG22" s="545">
        <f t="shared" si="101"/>
        <v>-87.586463924451664</v>
      </c>
      <c r="AH22" s="546">
        <f t="shared" si="102"/>
        <v>98.622022636410165</v>
      </c>
      <c r="AI22" s="528">
        <f t="shared" si="103"/>
        <v>-87.613755574007882</v>
      </c>
      <c r="AJ22" s="529">
        <f t="shared" si="104"/>
        <v>-8.6295627468620708</v>
      </c>
      <c r="AK22" s="578">
        <f t="shared" si="234"/>
        <v>0.85135802717849762</v>
      </c>
      <c r="AL22" s="572">
        <f t="shared" si="105"/>
        <v>-0.52293017806187292</v>
      </c>
      <c r="AM22" s="577">
        <f t="shared" si="106"/>
        <v>-4.1635783058741022E-2</v>
      </c>
      <c r="AN22" s="524">
        <f t="shared" si="107"/>
        <v>-85.447704373062081</v>
      </c>
      <c r="AO22" s="525">
        <f t="shared" si="108"/>
        <v>31.640315460654737</v>
      </c>
      <c r="AP22" s="528">
        <f t="shared" si="109"/>
        <v>-31.559520386041598</v>
      </c>
      <c r="AQ22" s="529">
        <f t="shared" si="13"/>
        <v>0.36470526986324819</v>
      </c>
      <c r="AS22" s="899">
        <f t="shared" si="137"/>
        <v>-66.730042409910425</v>
      </c>
      <c r="AT22" s="895">
        <f t="shared" si="14"/>
        <v>-2.2762088834919925</v>
      </c>
      <c r="AU22" s="418"/>
      <c r="AV22" s="164" t="str">
        <f t="shared" si="15"/>
        <v/>
      </c>
      <c r="AW22" s="828" t="str">
        <f>IFERROR(INDEX(MassProp!C$9:C$150,MATCH($M22,MassProp!$B$9:$B$150,0)),"")</f>
        <v/>
      </c>
      <c r="AX22" s="829" t="str">
        <f>IFERROR(INDEX(MassProp!D$9:D$150,MATCH($M22,MassProp!$B$9:$B$150,0)),"")</f>
        <v/>
      </c>
      <c r="AY22" s="830" t="str">
        <f>IFERROR(INDEX(MassProp!E$9:E$150,MATCH($M22,MassProp!$B$9:$B$150,0)),"")</f>
        <v/>
      </c>
      <c r="AZ22" s="297" t="str">
        <f t="shared" si="138"/>
        <v/>
      </c>
      <c r="BA22" s="296" t="str">
        <f t="shared" si="16"/>
        <v/>
      </c>
      <c r="BB22" s="190" t="str">
        <f t="shared" si="139"/>
        <v/>
      </c>
      <c r="BC22" s="9"/>
      <c r="BD22" s="5" t="str">
        <f t="shared" si="235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40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41"/>
        <v/>
      </c>
      <c r="BP22" s="5" t="str">
        <f t="shared" si="142"/>
        <v/>
      </c>
      <c r="BQ22" s="5" t="str">
        <f t="shared" si="143"/>
        <v/>
      </c>
      <c r="BR22" s="6" t="str">
        <f t="shared" si="144"/>
        <v/>
      </c>
      <c r="BS22" s="4" t="str">
        <f t="shared" si="110"/>
        <v/>
      </c>
      <c r="BT22" s="5" t="str">
        <f t="shared" si="110"/>
        <v/>
      </c>
      <c r="BU22" s="10" t="str">
        <f t="shared" si="111"/>
        <v/>
      </c>
      <c r="BV22" s="9" t="str">
        <f t="shared" si="112"/>
        <v/>
      </c>
      <c r="BW22" s="5" t="str">
        <f t="shared" si="113"/>
        <v/>
      </c>
      <c r="BX22" s="8" t="str">
        <f t="shared" si="114"/>
        <v/>
      </c>
      <c r="BY22" s="173" t="str">
        <f t="shared" si="115"/>
        <v/>
      </c>
      <c r="BZ22" s="5" t="str">
        <f t="shared" si="116"/>
        <v/>
      </c>
      <c r="CA22" s="6" t="str">
        <f t="shared" si="117"/>
        <v/>
      </c>
      <c r="CB22" s="4" t="str">
        <f t="shared" si="145"/>
        <v/>
      </c>
      <c r="CC22" s="5" t="str">
        <f t="shared" si="146"/>
        <v/>
      </c>
      <c r="CD22" s="5" t="str">
        <f t="shared" si="147"/>
        <v/>
      </c>
      <c r="CE22" s="6" t="str">
        <f t="shared" si="148"/>
        <v/>
      </c>
      <c r="CF22" s="4" t="str">
        <f t="shared" si="149"/>
        <v/>
      </c>
      <c r="CG22" s="5" t="str">
        <f t="shared" si="150"/>
        <v/>
      </c>
      <c r="CH22" s="5" t="str">
        <f t="shared" si="151"/>
        <v/>
      </c>
      <c r="CI22" s="4" t="str">
        <f t="shared" si="118"/>
        <v/>
      </c>
      <c r="CJ22" s="5" t="str">
        <f t="shared" si="119"/>
        <v/>
      </c>
      <c r="CK22" s="8" t="str">
        <f t="shared" si="120"/>
        <v/>
      </c>
      <c r="CL22" s="173" t="str">
        <f t="shared" si="121"/>
        <v/>
      </c>
      <c r="CM22" s="5" t="str">
        <f t="shared" si="122"/>
        <v/>
      </c>
      <c r="CN22" s="6" t="str">
        <f t="shared" si="123"/>
        <v/>
      </c>
      <c r="CO22" s="167" t="str">
        <f t="shared" si="26"/>
        <v/>
      </c>
      <c r="CP22" s="4" t="str">
        <f t="shared" si="236"/>
        <v/>
      </c>
      <c r="CQ22" s="5" t="str">
        <f t="shared" si="237"/>
        <v/>
      </c>
      <c r="CR22" s="5" t="str">
        <f t="shared" si="152"/>
        <v/>
      </c>
      <c r="CS22" s="8" t="str">
        <f t="shared" si="153"/>
        <v/>
      </c>
      <c r="CT22" s="9" t="str">
        <f t="shared" si="154"/>
        <v/>
      </c>
      <c r="CU22" s="6" t="str">
        <f t="shared" si="155"/>
        <v/>
      </c>
      <c r="CV22" s="4" t="str">
        <f t="shared" si="238"/>
        <v/>
      </c>
      <c r="CW22" s="5" t="str">
        <f t="shared" si="156"/>
        <v/>
      </c>
      <c r="CX22" s="8" t="str">
        <f t="shared" si="157"/>
        <v/>
      </c>
      <c r="CY22" s="9" t="str">
        <f t="shared" si="158"/>
        <v/>
      </c>
      <c r="CZ22" s="5" t="str">
        <f t="shared" si="159"/>
        <v/>
      </c>
      <c r="DA22" s="6" t="str">
        <f t="shared" si="160"/>
        <v/>
      </c>
      <c r="DB22" s="4" t="str">
        <f t="shared" si="161"/>
        <v/>
      </c>
      <c r="DC22" s="5" t="str">
        <f t="shared" si="161"/>
        <v/>
      </c>
      <c r="DD22" s="10" t="str">
        <f t="shared" si="162"/>
        <v/>
      </c>
      <c r="DE22" s="9" t="str">
        <f t="shared" si="163"/>
        <v/>
      </c>
      <c r="DF22" s="5" t="str">
        <f t="shared" si="163"/>
        <v/>
      </c>
      <c r="DG22" s="10" t="str">
        <f t="shared" si="164"/>
        <v/>
      </c>
      <c r="DH22" s="70" t="str">
        <f t="shared" si="165"/>
        <v/>
      </c>
      <c r="DI22" s="4" t="str">
        <f t="shared" si="166"/>
        <v/>
      </c>
      <c r="DJ22" s="5" t="str">
        <f t="shared" si="167"/>
        <v/>
      </c>
      <c r="DK22" s="10" t="str">
        <f t="shared" si="168"/>
        <v/>
      </c>
      <c r="DL22" s="9" t="str">
        <f t="shared" si="169"/>
        <v/>
      </c>
      <c r="DM22" s="173" t="str">
        <f t="shared" si="170"/>
        <v/>
      </c>
      <c r="DN22" s="178" t="str">
        <f t="shared" si="171"/>
        <v/>
      </c>
      <c r="DO22" s="9" t="str">
        <f t="shared" si="172"/>
        <v/>
      </c>
      <c r="DP22" s="173" t="str">
        <f t="shared" si="173"/>
        <v/>
      </c>
      <c r="DQ22" s="11" t="str">
        <f t="shared" si="174"/>
        <v/>
      </c>
      <c r="DR22" s="173" t="str">
        <f t="shared" si="175"/>
        <v/>
      </c>
      <c r="DS22" s="5" t="str">
        <f t="shared" si="176"/>
        <v/>
      </c>
      <c r="DT22" s="5" t="str">
        <f t="shared" si="177"/>
        <v/>
      </c>
      <c r="DU22" s="5" t="str">
        <f t="shared" si="178"/>
        <v/>
      </c>
      <c r="DV22" s="5" t="str">
        <f t="shared" si="179"/>
        <v/>
      </c>
      <c r="DW22" s="5" t="str">
        <f t="shared" si="180"/>
        <v/>
      </c>
      <c r="DX22" s="167" t="str">
        <f t="shared" si="181"/>
        <v/>
      </c>
      <c r="DY22" s="9" t="str">
        <f t="shared" si="182"/>
        <v/>
      </c>
      <c r="DZ22" s="5" t="str">
        <f t="shared" si="183"/>
        <v/>
      </c>
      <c r="EA22" s="10" t="str">
        <f t="shared" si="184"/>
        <v/>
      </c>
      <c r="EB22" s="6" t="str">
        <f t="shared" si="185"/>
        <v/>
      </c>
      <c r="EC22" s="173" t="str">
        <f t="shared" si="186"/>
        <v/>
      </c>
      <c r="ED22" s="5" t="str">
        <f t="shared" si="187"/>
        <v/>
      </c>
      <c r="EE22" s="4" t="str">
        <f t="shared" si="188"/>
        <v/>
      </c>
      <c r="EF22" s="5" t="str">
        <f t="shared" si="189"/>
        <v/>
      </c>
      <c r="EG22" s="10" t="str">
        <f t="shared" si="190"/>
        <v/>
      </c>
      <c r="EH22" s="9" t="str">
        <f t="shared" si="191"/>
        <v/>
      </c>
      <c r="EI22" s="5" t="str">
        <f t="shared" si="192"/>
        <v/>
      </c>
      <c r="EJ22" s="6" t="str">
        <f t="shared" si="193"/>
        <v/>
      </c>
      <c r="EK22" s="236" t="str">
        <f t="shared" si="194"/>
        <v/>
      </c>
      <c r="EL22" s="238" t="str">
        <f t="shared" si="195"/>
        <v/>
      </c>
      <c r="EM22" s="4" t="str">
        <f t="shared" si="196"/>
        <v/>
      </c>
      <c r="EN22" s="5" t="str">
        <f t="shared" si="197"/>
        <v/>
      </c>
      <c r="EO22" s="10" t="str">
        <f t="shared" si="198"/>
        <v/>
      </c>
      <c r="EP22" s="9" t="str">
        <f t="shared" si="199"/>
        <v/>
      </c>
      <c r="EQ22" s="5" t="str">
        <f t="shared" si="200"/>
        <v/>
      </c>
      <c r="ER22" s="7" t="str">
        <f t="shared" si="201"/>
        <v/>
      </c>
      <c r="ES22" s="21" t="str">
        <f t="shared" si="124"/>
        <v/>
      </c>
      <c r="ET22" s="5" t="str">
        <f t="shared" si="35"/>
        <v/>
      </c>
      <c r="EU22" s="10" t="str">
        <f t="shared" si="36"/>
        <v/>
      </c>
      <c r="EV22" s="174" t="str">
        <f t="shared" si="252"/>
        <v/>
      </c>
      <c r="EW22" s="9" t="str">
        <f t="shared" si="125"/>
        <v/>
      </c>
      <c r="EX22" s="5" t="str">
        <f t="shared" si="37"/>
        <v/>
      </c>
      <c r="EY22" s="6" t="str">
        <f t="shared" si="202"/>
        <v/>
      </c>
      <c r="EZ22" s="51" t="str">
        <f t="shared" si="203"/>
        <v/>
      </c>
      <c r="FA22" s="266" t="str">
        <f t="shared" si="126"/>
        <v/>
      </c>
      <c r="FB22" s="267" t="str">
        <f t="shared" si="127"/>
        <v/>
      </c>
      <c r="FC22" s="269" t="str">
        <f t="shared" si="38"/>
        <v/>
      </c>
      <c r="FD22" s="4" t="str">
        <f t="shared" si="128"/>
        <v/>
      </c>
      <c r="FE22" s="5" t="str">
        <f t="shared" si="39"/>
        <v/>
      </c>
      <c r="FF22" s="7" t="str">
        <f t="shared" si="204"/>
        <v/>
      </c>
      <c r="FG22" s="173" t="str">
        <f t="shared" si="205"/>
        <v/>
      </c>
      <c r="FH22" s="5" t="str">
        <f t="shared" si="40"/>
        <v/>
      </c>
      <c r="FI22" s="10" t="str">
        <f t="shared" si="41"/>
        <v/>
      </c>
      <c r="FJ22" s="279" t="str">
        <f t="shared" si="206"/>
        <v/>
      </c>
      <c r="FK22" s="4" t="str">
        <f t="shared" si="42"/>
        <v/>
      </c>
      <c r="FL22" s="5" t="str">
        <f t="shared" si="207"/>
        <v/>
      </c>
      <c r="FM22" s="8" t="str">
        <f t="shared" si="208"/>
        <v/>
      </c>
      <c r="FN22" s="9" t="str">
        <f t="shared" si="209"/>
        <v/>
      </c>
      <c r="FO22" s="10" t="str">
        <f t="shared" si="43"/>
        <v/>
      </c>
      <c r="FP22" s="277" t="str">
        <f t="shared" si="44"/>
        <v/>
      </c>
      <c r="FQ22" s="173" t="str">
        <f t="shared" si="239"/>
        <v/>
      </c>
      <c r="FR22" s="10" t="str">
        <f t="shared" si="210"/>
        <v/>
      </c>
      <c r="FS22" s="9" t="str">
        <f t="shared" si="211"/>
        <v/>
      </c>
      <c r="FT22" s="6" t="str">
        <f t="shared" si="212"/>
        <v/>
      </c>
      <c r="FU22" s="4" t="str">
        <f t="shared" si="213"/>
        <v/>
      </c>
      <c r="FV22" s="5" t="str">
        <f t="shared" si="214"/>
        <v/>
      </c>
      <c r="FW22" s="8" t="str">
        <f t="shared" si="240"/>
        <v/>
      </c>
      <c r="FX22" s="9" t="str">
        <f t="shared" si="241"/>
        <v/>
      </c>
      <c r="FY22" s="10" t="str">
        <f t="shared" si="45"/>
        <v/>
      </c>
      <c r="FZ22" s="277" t="str">
        <f t="shared" si="242"/>
        <v/>
      </c>
      <c r="GA22" s="177" t="str">
        <f t="shared" si="215"/>
        <v/>
      </c>
      <c r="GB22" s="4" t="str">
        <f t="shared" si="216"/>
        <v/>
      </c>
      <c r="GC22" s="5" t="str">
        <f t="shared" si="217"/>
        <v/>
      </c>
      <c r="GD22" s="10" t="str">
        <f t="shared" si="218"/>
        <v/>
      </c>
      <c r="GE22" s="311" t="str">
        <f t="shared" si="219"/>
        <v/>
      </c>
      <c r="GF22" s="341" t="str">
        <f t="shared" si="243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20"/>
        <v/>
      </c>
      <c r="GK22" s="174" t="str">
        <f t="shared" si="49"/>
        <v/>
      </c>
      <c r="GL22" s="174" t="str">
        <f t="shared" si="221"/>
        <v/>
      </c>
      <c r="GM22" s="177" t="str">
        <f>IF(ISNUMBER($AV22),AZ22,"")</f>
        <v/>
      </c>
      <c r="GN22" s="280" t="str">
        <f t="shared" si="222"/>
        <v/>
      </c>
      <c r="GO22" s="4" t="str">
        <f t="shared" si="223"/>
        <v/>
      </c>
      <c r="GP22" s="8" t="str">
        <f t="shared" si="245"/>
        <v/>
      </c>
      <c r="GQ22" s="177" t="str">
        <f t="shared" si="224"/>
        <v/>
      </c>
      <c r="GR22" s="371" t="str">
        <f t="shared" si="246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53"/>
        <v/>
      </c>
      <c r="GW22" s="345" t="str">
        <f t="shared" si="129"/>
        <v/>
      </c>
      <c r="GX22" s="346" t="str">
        <f t="shared" si="54"/>
        <v/>
      </c>
      <c r="GY22" s="344" t="str">
        <f t="shared" si="55"/>
        <v/>
      </c>
      <c r="GZ22" s="345" t="str">
        <f t="shared" si="56"/>
        <v/>
      </c>
      <c r="HA22" s="342" t="str">
        <f t="shared" si="57"/>
        <v/>
      </c>
      <c r="HB22" s="5" t="str">
        <f t="shared" si="225"/>
        <v/>
      </c>
      <c r="HC22" s="343" t="str">
        <f t="shared" si="226"/>
        <v/>
      </c>
      <c r="HD22" s="345" t="str">
        <f t="shared" si="227"/>
        <v/>
      </c>
      <c r="HE22" s="344" t="str">
        <f t="shared" si="58"/>
        <v/>
      </c>
      <c r="HF22" s="5" t="str">
        <f t="shared" si="59"/>
        <v/>
      </c>
      <c r="HG22" s="343" t="str">
        <f t="shared" si="228"/>
        <v/>
      </c>
      <c r="HH22" s="349" t="str">
        <f t="shared" si="229"/>
        <v/>
      </c>
      <c r="HI22" s="317" t="str">
        <f t="shared" si="60"/>
        <v/>
      </c>
      <c r="HJ22" s="336"/>
      <c r="HK22" s="310">
        <f t="shared" si="130"/>
        <v>14</v>
      </c>
      <c r="HL22" s="348">
        <f t="shared" si="61"/>
        <v>1.113</v>
      </c>
      <c r="HM22" s="934">
        <f t="shared" si="62"/>
        <v>1.9359827930350482</v>
      </c>
      <c r="HN22" s="935">
        <f t="shared" si="63"/>
        <v>17.80245280528338</v>
      </c>
      <c r="HO22" s="936"/>
      <c r="HP22" s="937"/>
      <c r="HQ22" s="935">
        <f t="shared" si="64"/>
        <v>16.972025544775537</v>
      </c>
      <c r="HR22" s="938">
        <f t="shared" si="65"/>
        <v>16.874201894651751</v>
      </c>
      <c r="HS22" s="939">
        <f t="shared" si="249"/>
        <v>2.8643999999999998</v>
      </c>
      <c r="HT22" s="940">
        <f t="shared" si="66"/>
        <v>2.6599999999999999E-2</v>
      </c>
      <c r="HU22" s="941">
        <f t="shared" si="67"/>
        <v>0.47876166620519678</v>
      </c>
      <c r="HV22" s="942">
        <f t="shared" si="68"/>
        <v>3.2905952044949234E-2</v>
      </c>
      <c r="HW22" s="943">
        <f t="shared" si="69"/>
        <v>30000</v>
      </c>
      <c r="HX22" s="950">
        <f t="shared" si="70"/>
        <v>190.48259999999999</v>
      </c>
      <c r="HY22" s="955">
        <f t="shared" si="71"/>
        <v>40.457921111802747</v>
      </c>
      <c r="HZ22" s="956">
        <f t="shared" si="72"/>
        <v>1196.904165512992</v>
      </c>
      <c r="IA22" s="957">
        <f t="shared" si="73"/>
        <v>363.2660561785425</v>
      </c>
      <c r="IB22" s="958">
        <f t="shared" si="74"/>
        <v>1600.6281428033371</v>
      </c>
      <c r="IC22" s="841">
        <f t="shared" si="75"/>
        <v>26.9741070149765</v>
      </c>
      <c r="ID22" s="351">
        <f t="shared" si="76"/>
        <v>798</v>
      </c>
      <c r="IE22" s="843">
        <f t="shared" si="77"/>
        <v>242.19676159806153</v>
      </c>
      <c r="IF22" s="844"/>
      <c r="IG22" s="789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7">
        <f t="shared" si="230"/>
        <v>2.125</v>
      </c>
      <c r="IJ22" s="967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8"/>
        <v>1313</v>
      </c>
      <c r="IM22" s="482" t="str">
        <f t="shared" si="231"/>
        <v/>
      </c>
      <c r="IN22" s="670" t="str">
        <f t="shared" si="80"/>
        <v/>
      </c>
      <c r="IO22" s="702"/>
      <c r="IP22" s="5" t="str">
        <f t="shared" si="81"/>
        <v/>
      </c>
      <c r="IQ22" s="714"/>
      <c r="IR22" s="9" t="str">
        <f t="shared" si="131"/>
        <v/>
      </c>
      <c r="IS22" s="5" t="str">
        <f t="shared" si="82"/>
        <v/>
      </c>
      <c r="IT22" s="5" t="str">
        <f t="shared" si="83"/>
        <v/>
      </c>
      <c r="IU22" s="5" t="str">
        <f t="shared" si="84"/>
        <v/>
      </c>
      <c r="IV22" s="670" t="str">
        <f t="shared" si="85"/>
        <v/>
      </c>
      <c r="IW22" s="9" t="str">
        <f t="shared" si="86"/>
        <v/>
      </c>
      <c r="IX22" s="5" t="str">
        <f t="shared" si="87"/>
        <v/>
      </c>
      <c r="IY22" s="5" t="str">
        <f t="shared" si="88"/>
        <v/>
      </c>
      <c r="IZ22" s="5" t="str">
        <f t="shared" si="89"/>
        <v/>
      </c>
      <c r="JA22" s="705" t="str">
        <f t="shared" si="90"/>
        <v/>
      </c>
      <c r="JC22" s="31" t="s">
        <v>352</v>
      </c>
      <c r="JD22" s="800" t="s">
        <v>379</v>
      </c>
      <c r="JE22" s="361"/>
      <c r="JF22" s="361"/>
      <c r="JG22" s="333"/>
      <c r="JH22" s="801" t="str" cm="1">
        <f t="array" ref="JH22">IFERROR(TRANSPOSE(_xlfn._xlws.SORT(_xlfn.UNIQUE(_xlfn._xlws.FILTER($IG$9:$IG$150,$IG$9:$IG$150&lt;&gt;"")),,1)),"")</f>
        <v/>
      </c>
      <c r="JI22" s="802"/>
      <c r="JJ22" s="803" t="str" cm="1">
        <f t="array" ref="JJ22">IFERROR(TRANSPOSE(_xlfn._xlws.SORT(_xlfn.UNIQUE(_xlfn._xlws.FILTER($IG$9:$IG$150,$IG$9:$IG$150&lt;&gt;"")),,1)),"")</f>
        <v/>
      </c>
      <c r="JK22" s="802"/>
    </row>
    <row r="23" spans="1:271" ht="15" customHeight="1" thickTop="1" x14ac:dyDescent="0.25">
      <c r="A23" s="75">
        <f t="shared" si="1"/>
        <v>0</v>
      </c>
      <c r="B23" s="578">
        <f t="shared" ref="B23:D23" si="272">IFERROR(O178+($A23*-E23),"")</f>
        <v>0.58585906609840444</v>
      </c>
      <c r="C23" s="572">
        <f t="shared" si="272"/>
        <v>-0.41022345144915506</v>
      </c>
      <c r="D23" s="576">
        <f t="shared" si="272"/>
        <v>-0.44820135177527692</v>
      </c>
      <c r="E23" s="580">
        <f t="shared" ref="E23:K23" si="273">R178</f>
        <v>0.55403276739546137</v>
      </c>
      <c r="F23" s="572">
        <f t="shared" si="273"/>
        <v>0.79123979515941922</v>
      </c>
      <c r="G23" s="579">
        <f t="shared" si="273"/>
        <v>0.25881900859134599</v>
      </c>
      <c r="H23" s="580">
        <f t="shared" si="273"/>
        <v>0.26450000000000001</v>
      </c>
      <c r="I23" s="572">
        <f t="shared" si="273"/>
        <v>0.52</v>
      </c>
      <c r="J23" s="483">
        <f t="shared" si="92"/>
        <v>3.1030000000000002</v>
      </c>
      <c r="K23" s="805">
        <f t="shared" si="273"/>
        <v>1313</v>
      </c>
      <c r="M23" s="164">
        <f t="shared" si="4"/>
        <v>3.1030000000000002</v>
      </c>
      <c r="N23" s="575">
        <f t="shared" si="5"/>
        <v>0.58585906609840444</v>
      </c>
      <c r="O23" s="572">
        <f t="shared" si="6"/>
        <v>-0.41022345144915506</v>
      </c>
      <c r="P23" s="576">
        <f t="shared" si="7"/>
        <v>-0.44820135177527692</v>
      </c>
      <c r="Q23" s="528">
        <f t="shared" si="134"/>
        <v>324.9999660702029</v>
      </c>
      <c r="R23" s="572">
        <f t="shared" si="93"/>
        <v>0.71520215704970569</v>
      </c>
      <c r="S23" s="577">
        <f t="shared" si="94"/>
        <v>-0.44820135177527692</v>
      </c>
      <c r="T23" s="578">
        <f t="shared" si="95"/>
        <v>-0.40673969193716547</v>
      </c>
      <c r="U23" s="572">
        <f t="shared" si="96"/>
        <v>-0.58828305130388692</v>
      </c>
      <c r="V23" s="579">
        <f t="shared" si="135"/>
        <v>-0.44820135177527692</v>
      </c>
      <c r="W23" s="528">
        <f t="shared" si="256"/>
        <v>235.33996602111299</v>
      </c>
      <c r="X23" s="572">
        <f t="shared" si="97"/>
        <v>0.71520215704970569</v>
      </c>
      <c r="Y23" s="573">
        <f t="shared" si="259"/>
        <v>-0.44820135177527692</v>
      </c>
      <c r="Z23" s="575">
        <f t="shared" si="10"/>
        <v>-0.55403276739546137</v>
      </c>
      <c r="AA23" s="572">
        <f t="shared" si="11"/>
        <v>-0.79123979515941922</v>
      </c>
      <c r="AB23" s="572">
        <f t="shared" si="12"/>
        <v>-0.25881900859134599</v>
      </c>
      <c r="AC23" s="579">
        <f t="shared" si="98"/>
        <v>1</v>
      </c>
      <c r="AD23" s="580">
        <f t="shared" si="136"/>
        <v>-0.55403276739546137</v>
      </c>
      <c r="AE23" s="572">
        <f t="shared" si="99"/>
        <v>-0.79123979515941922</v>
      </c>
      <c r="AF23" s="576">
        <f t="shared" si="100"/>
        <v>-0.25881900859134599</v>
      </c>
      <c r="AG23" s="545">
        <f t="shared" si="101"/>
        <v>-71.886786804836689</v>
      </c>
      <c r="AH23" s="546">
        <f t="shared" si="102"/>
        <v>123.64412001543977</v>
      </c>
      <c r="AI23" s="528">
        <f t="shared" si="103"/>
        <v>-75.000002165731729</v>
      </c>
      <c r="AJ23" s="529">
        <f t="shared" si="104"/>
        <v>-35.000033929797112</v>
      </c>
      <c r="AK23" s="578">
        <f t="shared" si="234"/>
        <v>0.9659258360722075</v>
      </c>
      <c r="AL23" s="572">
        <f t="shared" si="105"/>
        <v>1.6653345369377348E-16</v>
      </c>
      <c r="AM23" s="577">
        <f t="shared" si="106"/>
        <v>-0.25881900859134599</v>
      </c>
      <c r="AN23" s="524">
        <f t="shared" si="107"/>
        <v>3.686616410565136E-14</v>
      </c>
      <c r="AO23" s="525">
        <f t="shared" si="108"/>
        <v>14.99999783426823</v>
      </c>
      <c r="AP23" s="528">
        <f t="shared" si="109"/>
        <v>9.8782574065834049E-15</v>
      </c>
      <c r="AQ23" s="529">
        <f t="shared" si="13"/>
        <v>2.4210789759477103</v>
      </c>
      <c r="AS23" s="899">
        <f t="shared" si="137"/>
        <v>-124.66003397888701</v>
      </c>
      <c r="AT23" s="895">
        <f t="shared" si="14"/>
        <v>-0.38222921387469488</v>
      </c>
      <c r="AU23" s="418"/>
      <c r="AV23" s="164">
        <f t="shared" si="15"/>
        <v>3.1030000000000002</v>
      </c>
      <c r="AW23" s="828">
        <f>IFERROR(INDEX(MassProp!C$9:C$150,MATCH($M23,MassProp!$B$9:$B$150,0)),"")</f>
        <v>0.63829999999999998</v>
      </c>
      <c r="AX23" s="829">
        <f>IFERROR(INDEX(MassProp!D$9:D$150,MATCH($M23,MassProp!$B$9:$B$150,0)),"")</f>
        <v>-3.1300000000000001E-2</v>
      </c>
      <c r="AY23" s="830">
        <f>IFERROR(INDEX(MassProp!E$9:E$150,MATCH($M23,MassProp!$B$9:$B$150,0)),"")</f>
        <v>4.02E-2</v>
      </c>
      <c r="AZ23" s="297">
        <f t="shared" si="138"/>
        <v>0.16140522228207568</v>
      </c>
      <c r="BA23" s="296">
        <f t="shared" si="16"/>
        <v>1.1093604352905694E-2</v>
      </c>
      <c r="BB23" s="190">
        <f t="shared" si="139"/>
        <v>0.16092921387469489</v>
      </c>
      <c r="BC23" s="9"/>
      <c r="BD23" s="5">
        <f t="shared" si="235"/>
        <v>0.63829999999999998</v>
      </c>
      <c r="BE23" s="6">
        <f t="shared" si="17"/>
        <v>-0.28727213790058204</v>
      </c>
      <c r="BF23" s="4">
        <f t="shared" si="18"/>
        <v>0.58585906609840444</v>
      </c>
      <c r="BG23" s="5">
        <f t="shared" si="19"/>
        <v>-0.41022345144915506</v>
      </c>
      <c r="BH23" s="10">
        <f t="shared" si="20"/>
        <v>-0.44820135177527692</v>
      </c>
      <c r="BI23" s="9">
        <f t="shared" si="140"/>
        <v>0.58585906609840444</v>
      </c>
      <c r="BJ23" s="5">
        <f t="shared" si="21"/>
        <v>-9.9327828074569857E-2</v>
      </c>
      <c r="BK23" s="8">
        <f t="shared" si="22"/>
        <v>-1.3986454118685199</v>
      </c>
      <c r="BL23" s="173">
        <f t="shared" si="23"/>
        <v>1.4183539265342673</v>
      </c>
      <c r="BM23" s="5">
        <f t="shared" si="24"/>
        <v>-0.93680060431719259</v>
      </c>
      <c r="BN23" s="6">
        <f t="shared" si="25"/>
        <v>-0.62044771436463542</v>
      </c>
      <c r="BO23" s="4">
        <f t="shared" si="141"/>
        <v>-0.55403276739546126</v>
      </c>
      <c r="BP23" s="5">
        <f t="shared" si="142"/>
        <v>-0.79123979515941911</v>
      </c>
      <c r="BQ23" s="5">
        <f t="shared" si="143"/>
        <v>-0.25881900859134582</v>
      </c>
      <c r="BR23" s="6">
        <f t="shared" si="144"/>
        <v>-0.11600302951577807</v>
      </c>
      <c r="BS23" s="4">
        <f t="shared" si="110"/>
        <v>0</v>
      </c>
      <c r="BT23" s="5">
        <f t="shared" si="110"/>
        <v>0</v>
      </c>
      <c r="BU23" s="10">
        <f t="shared" si="111"/>
        <v>-0.28727213790058204</v>
      </c>
      <c r="BV23" s="9">
        <f t="shared" si="112"/>
        <v>0</v>
      </c>
      <c r="BW23" s="5">
        <f t="shared" si="113"/>
        <v>1</v>
      </c>
      <c r="BX23" s="8">
        <f t="shared" si="114"/>
        <v>-0.28727213790058204</v>
      </c>
      <c r="BY23" s="173">
        <f t="shared" si="115"/>
        <v>1</v>
      </c>
      <c r="BZ23" s="5">
        <f t="shared" si="116"/>
        <v>0</v>
      </c>
      <c r="CA23" s="6">
        <f t="shared" si="117"/>
        <v>-0.28727213790058204</v>
      </c>
      <c r="CB23" s="4">
        <f t="shared" si="145"/>
        <v>0</v>
      </c>
      <c r="CC23" s="5">
        <f t="shared" si="146"/>
        <v>0</v>
      </c>
      <c r="CD23" s="5">
        <f t="shared" si="147"/>
        <v>-1</v>
      </c>
      <c r="CE23" s="6">
        <f t="shared" si="148"/>
        <v>-0.28727213790058204</v>
      </c>
      <c r="CF23" s="4">
        <f t="shared" si="149"/>
        <v>0.79123979515941911</v>
      </c>
      <c r="CG23" s="5">
        <f t="shared" si="150"/>
        <v>-0.55403276739546126</v>
      </c>
      <c r="CH23" s="5">
        <f t="shared" si="151"/>
        <v>0</v>
      </c>
      <c r="CI23" s="4">
        <f t="shared" si="118"/>
        <v>0</v>
      </c>
      <c r="CJ23" s="5">
        <f t="shared" si="119"/>
        <v>-5.2640855330135516E-2</v>
      </c>
      <c r="CK23" s="8">
        <f t="shared" si="120"/>
        <v>-0.28727213790058204</v>
      </c>
      <c r="CL23" s="173">
        <f t="shared" si="121"/>
        <v>0.79123979515941911</v>
      </c>
      <c r="CM23" s="5">
        <f t="shared" si="122"/>
        <v>-0.60667362272559677</v>
      </c>
      <c r="CN23" s="6">
        <f t="shared" si="123"/>
        <v>-0.28727213790058204</v>
      </c>
      <c r="CO23" s="167">
        <f t="shared" si="26"/>
        <v>0.26450000000000001</v>
      </c>
      <c r="CP23" s="4">
        <f t="shared" si="236"/>
        <v>0.93301272079179276</v>
      </c>
      <c r="CQ23" s="5">
        <f t="shared" si="237"/>
        <v>-1.3233349655045281</v>
      </c>
      <c r="CR23" s="5">
        <f>IF(ISNUMBER($AV23),BF23^2+BG23^2+BH23^2+CI23^2+CJ23^2+CK23^2-2*(BF23*CI23+BG23*CJ23+BH23*CK23)-CO23^2,"")</f>
        <v>0.42703412025523974</v>
      </c>
      <c r="CS23" s="8">
        <f>IF(ISNUMBER($AV23),CQ23^2-(4*CP23*CR23),"")</f>
        <v>0.1575023652857872</v>
      </c>
      <c r="CT23" s="9">
        <f t="shared" si="154"/>
        <v>0.92185272708456911</v>
      </c>
      <c r="CU23" s="6">
        <f t="shared" si="155"/>
        <v>0.49649338547592409</v>
      </c>
      <c r="CV23" s="4">
        <f t="shared" si="238"/>
        <v>0.7294065629455464</v>
      </c>
      <c r="CW23" s="5">
        <f t="shared" si="156"/>
        <v>-0.56337747284785222</v>
      </c>
      <c r="CX23" s="8">
        <f t="shared" si="157"/>
        <v>-0.28727213790058204</v>
      </c>
      <c r="CY23" s="9">
        <f t="shared" si="158"/>
        <v>0.39284532462197669</v>
      </c>
      <c r="CZ23" s="5">
        <f t="shared" si="159"/>
        <v>-0.32771445967890322</v>
      </c>
      <c r="DA23" s="6">
        <f t="shared" si="160"/>
        <v>-0.28727213790058204</v>
      </c>
      <c r="DB23" s="4">
        <f t="shared" si="161"/>
        <v>0</v>
      </c>
      <c r="DC23" s="5">
        <f t="shared" si="161"/>
        <v>0</v>
      </c>
      <c r="DD23" s="10">
        <f t="shared" si="162"/>
        <v>-10</v>
      </c>
      <c r="DE23" s="9">
        <f t="shared" si="163"/>
        <v>0</v>
      </c>
      <c r="DF23" s="5">
        <f t="shared" si="163"/>
        <v>0</v>
      </c>
      <c r="DG23" s="10">
        <f t="shared" si="164"/>
        <v>10</v>
      </c>
      <c r="DH23" s="70">
        <f t="shared" si="165"/>
        <v>0.63829999999999998</v>
      </c>
      <c r="DI23" s="4">
        <f t="shared" si="166"/>
        <v>0</v>
      </c>
      <c r="DJ23" s="5">
        <f t="shared" si="167"/>
        <v>0</v>
      </c>
      <c r="DK23" s="10">
        <f t="shared" si="168"/>
        <v>20</v>
      </c>
      <c r="DL23" s="9">
        <f t="shared" si="169"/>
        <v>0.7294065629455464</v>
      </c>
      <c r="DM23" s="173">
        <f t="shared" si="170"/>
        <v>-0.56337747284785222</v>
      </c>
      <c r="DN23" s="178">
        <f t="shared" si="171"/>
        <v>9.7127278620994186</v>
      </c>
      <c r="DO23" s="9">
        <f t="shared" si="172"/>
        <v>-0.33656123832356971</v>
      </c>
      <c r="DP23" s="173">
        <f t="shared" si="173"/>
        <v>0.235663013168949</v>
      </c>
      <c r="DQ23" s="11">
        <f t="shared" si="174"/>
        <v>0</v>
      </c>
      <c r="DR23" s="173">
        <f t="shared" si="175"/>
        <v>194.25455724198838</v>
      </c>
      <c r="DS23" s="5">
        <f t="shared" si="176"/>
        <v>0</v>
      </c>
      <c r="DT23" s="5">
        <f t="shared" si="177"/>
        <v>400</v>
      </c>
      <c r="DU23" s="5">
        <f t="shared" si="178"/>
        <v>0.16881052291776291</v>
      </c>
      <c r="DV23" s="5">
        <f t="shared" si="179"/>
        <v>-0.37825720886912451</v>
      </c>
      <c r="DW23" s="5">
        <f t="shared" si="180"/>
        <v>95.18651063418281</v>
      </c>
      <c r="DX23" s="167">
        <f t="shared" si="181"/>
        <v>94.779083744182813</v>
      </c>
      <c r="DY23" s="9">
        <f t="shared" si="182"/>
        <v>67.52420916710517</v>
      </c>
      <c r="DZ23" s="5">
        <f t="shared" si="183"/>
        <v>-151.3028835476498</v>
      </c>
      <c r="EA23" s="10">
        <f t="shared" si="184"/>
        <v>176.80048839218216</v>
      </c>
      <c r="EB23" s="6">
        <f t="shared" si="185"/>
        <v>10954.24941079362</v>
      </c>
      <c r="EC23" s="173">
        <f t="shared" si="186"/>
        <v>3.7907209412423817</v>
      </c>
      <c r="ED23" s="5">
        <f t="shared" si="187"/>
        <v>0.69072017192086377</v>
      </c>
      <c r="EE23" s="4">
        <f t="shared" si="188"/>
        <v>-0.54640317117807724</v>
      </c>
      <c r="EF23" s="5">
        <f t="shared" si="189"/>
        <v>0.32995524624796191</v>
      </c>
      <c r="EG23" s="10">
        <f t="shared" si="190"/>
        <v>-0.28727213790058204</v>
      </c>
      <c r="EH23" s="9">
        <f t="shared" si="191"/>
        <v>0.49693692654879151</v>
      </c>
      <c r="EI23" s="5">
        <f t="shared" si="192"/>
        <v>-0.40060027587640701</v>
      </c>
      <c r="EJ23" s="6">
        <f t="shared" si="193"/>
        <v>-0.28727213790058204</v>
      </c>
      <c r="EK23" s="236" t="b">
        <f t="shared" si="194"/>
        <v>0</v>
      </c>
      <c r="EL23" s="238" t="b">
        <f t="shared" si="195"/>
        <v>1</v>
      </c>
      <c r="EM23" s="4">
        <f t="shared" si="196"/>
        <v>0.49693692654879151</v>
      </c>
      <c r="EN23" s="5">
        <f t="shared" si="197"/>
        <v>-0.40060027587640701</v>
      </c>
      <c r="EO23" s="10">
        <f t="shared" si="198"/>
        <v>-0.28727213790058204</v>
      </c>
      <c r="EP23" s="9">
        <f t="shared" si="199"/>
        <v>321.12635550800064</v>
      </c>
      <c r="EQ23" s="5">
        <f t="shared" si="200"/>
        <v>0.63830000000000975</v>
      </c>
      <c r="ER23" s="7">
        <f t="shared" si="201"/>
        <v>-0.28727213790058204</v>
      </c>
      <c r="ES23" s="21">
        <f t="shared" si="124"/>
        <v>-0.55403276739546137</v>
      </c>
      <c r="ET23" s="5">
        <f t="shared" si="35"/>
        <v>-0.79123979515941922</v>
      </c>
      <c r="EU23" s="10">
        <f t="shared" si="36"/>
        <v>-0.25881900859134599</v>
      </c>
      <c r="EV23" s="174">
        <f t="shared" si="252"/>
        <v>128.87364449199936</v>
      </c>
      <c r="EW23" s="9">
        <f t="shared" si="125"/>
        <v>0.96371917818079089</v>
      </c>
      <c r="EX23" s="5">
        <f t="shared" si="37"/>
        <v>6.5253861175673777E-2</v>
      </c>
      <c r="EY23" s="6">
        <f t="shared" si="202"/>
        <v>-0.25881900859134599</v>
      </c>
      <c r="EZ23" s="51">
        <f t="shared" si="203"/>
        <v>2.7123574814408742</v>
      </c>
      <c r="FA23" s="266">
        <f t="shared" si="126"/>
        <v>-0.62690189586432177</v>
      </c>
      <c r="FB23" s="267">
        <f t="shared" si="127"/>
        <v>-0.77765972750987133</v>
      </c>
      <c r="FC23" s="269">
        <f t="shared" si="38"/>
        <v>-4.7321888920369197E-2</v>
      </c>
      <c r="FD23" s="4">
        <f t="shared" si="128"/>
        <v>0.99887969186935033</v>
      </c>
      <c r="FE23" s="5">
        <f t="shared" si="39"/>
        <v>-7.2164496600635175E-16</v>
      </c>
      <c r="FF23" s="7">
        <f t="shared" si="204"/>
        <v>-4.7321888920369197E-2</v>
      </c>
      <c r="FG23" s="173">
        <f t="shared" si="205"/>
        <v>-3.5160513688559436E-2</v>
      </c>
      <c r="FH23" s="5">
        <f t="shared" si="40"/>
        <v>6.5253861175674499E-2</v>
      </c>
      <c r="FI23" s="10">
        <f t="shared" si="41"/>
        <v>-0.21149711967097679</v>
      </c>
      <c r="FJ23" s="279">
        <f t="shared" si="206"/>
        <v>12.86759052538593</v>
      </c>
      <c r="FK23" s="4">
        <f t="shared" si="42"/>
        <v>0.9659258360722075</v>
      </c>
      <c r="FL23" s="5">
        <f t="shared" si="207"/>
        <v>0.99887969186935033</v>
      </c>
      <c r="FM23" s="8">
        <f t="shared" si="208"/>
        <v>7.4123735207945199E-2</v>
      </c>
      <c r="FN23" s="9">
        <f t="shared" si="209"/>
        <v>3.8736105622022503</v>
      </c>
      <c r="FO23" s="10">
        <f t="shared" si="43"/>
        <v>-1</v>
      </c>
      <c r="FP23" s="277">
        <f t="shared" si="44"/>
        <v>-3.8736105622022503</v>
      </c>
      <c r="FQ23" s="173">
        <f t="shared" si="239"/>
        <v>6.7555767470739839E-2</v>
      </c>
      <c r="FR23" s="10">
        <f t="shared" si="210"/>
        <v>0.99771549966984041</v>
      </c>
      <c r="FS23" s="9">
        <f t="shared" si="211"/>
        <v>6.34164926386067E-2</v>
      </c>
      <c r="FT23" s="6">
        <f t="shared" si="212"/>
        <v>0.9365835073613934</v>
      </c>
      <c r="FU23" s="4">
        <f t="shared" si="213"/>
        <v>0.99786869557154978</v>
      </c>
      <c r="FV23" s="5">
        <f t="shared" si="214"/>
        <v>1</v>
      </c>
      <c r="FW23" s="8">
        <f t="shared" si="240"/>
        <v>0.21439984457075256</v>
      </c>
      <c r="FX23" s="9">
        <f t="shared" si="241"/>
        <v>12.320433298883904</v>
      </c>
      <c r="FY23" s="10">
        <f t="shared" si="45"/>
        <v>1</v>
      </c>
      <c r="FZ23" s="277">
        <f t="shared" si="242"/>
        <v>12.320433298883904</v>
      </c>
      <c r="GA23" s="177">
        <f t="shared" si="215"/>
        <v>12.293553202053678</v>
      </c>
      <c r="GB23" s="4">
        <f t="shared" si="216"/>
        <v>6.5999927045316112E-2</v>
      </c>
      <c r="GC23" s="5">
        <f t="shared" si="217"/>
        <v>0.97473765239528543</v>
      </c>
      <c r="GD23" s="10">
        <f t="shared" si="218"/>
        <v>-0.21337881486441082</v>
      </c>
      <c r="GE23" s="311">
        <f t="shared" si="219"/>
        <v>1.2541163943050124</v>
      </c>
      <c r="GF23" s="341">
        <f t="shared" si="243"/>
        <v>0.79737415485598939</v>
      </c>
      <c r="GG23" s="285">
        <f t="shared" si="46"/>
        <v>5.262663604831589E-2</v>
      </c>
      <c r="GH23" s="286">
        <f t="shared" si="47"/>
        <v>0.77723061178500186</v>
      </c>
      <c r="GI23" s="281">
        <f t="shared" si="48"/>
        <v>0.1701427521666822</v>
      </c>
      <c r="GJ23" s="167">
        <f t="shared" si="220"/>
        <v>0.63829999999999998</v>
      </c>
      <c r="GK23" s="174">
        <f t="shared" si="49"/>
        <v>0.33458794005405407</v>
      </c>
      <c r="GL23" s="174">
        <f t="shared" si="221"/>
        <v>4.02E-2</v>
      </c>
      <c r="GM23" s="177">
        <f t="shared" si="244"/>
        <v>0.16140522228207568</v>
      </c>
      <c r="GN23" s="280">
        <f t="shared" si="222"/>
        <v>1.1093604352905694E-2</v>
      </c>
      <c r="GO23" s="4">
        <f t="shared" si="223"/>
        <v>-3.8736105622022503</v>
      </c>
      <c r="GP23" s="8">
        <f t="shared" si="245"/>
        <v>12.320433298883904</v>
      </c>
      <c r="GQ23" s="177">
        <f t="shared" si="224"/>
        <v>12.86759052538593</v>
      </c>
      <c r="GR23" s="371">
        <f t="shared" si="246"/>
        <v>519.16773424360349</v>
      </c>
      <c r="GS23" s="342">
        <f t="shared" si="51"/>
        <v>27.322051398066908</v>
      </c>
      <c r="GT23" s="343">
        <f t="shared" si="52"/>
        <v>81.658805137007974</v>
      </c>
      <c r="GU23" s="344">
        <f t="shared" si="53"/>
        <v>403.51305570518923</v>
      </c>
      <c r="GV23" s="343">
        <f t="shared" si="253"/>
        <v>1206</v>
      </c>
      <c r="GW23" s="345">
        <f t="shared" si="129"/>
        <v>30000</v>
      </c>
      <c r="GX23" s="346">
        <f t="shared" si="54"/>
        <v>64.149149999999992</v>
      </c>
      <c r="GY23" s="344">
        <f t="shared" si="55"/>
        <v>88.332627140347356</v>
      </c>
      <c r="GZ23" s="345">
        <f t="shared" si="56"/>
        <v>264.00421702610339</v>
      </c>
      <c r="HA23" s="342">
        <f t="shared" si="57"/>
        <v>-27.322051398066908</v>
      </c>
      <c r="HB23" s="5">
        <f t="shared" si="225"/>
        <v>128.87364449199936</v>
      </c>
      <c r="HC23" s="343">
        <f t="shared" si="226"/>
        <v>17.147456255013022</v>
      </c>
      <c r="HD23" s="345">
        <f t="shared" si="227"/>
        <v>-21.271089219431726</v>
      </c>
      <c r="HE23" s="344">
        <f t="shared" si="58"/>
        <v>1206</v>
      </c>
      <c r="HF23" s="5">
        <f t="shared" si="59"/>
        <v>218.87364449199936</v>
      </c>
      <c r="HG23" s="343">
        <f t="shared" si="228"/>
        <v>-938.90949932294086</v>
      </c>
      <c r="HH23" s="349">
        <f t="shared" si="229"/>
        <v>-756.89163826874483</v>
      </c>
      <c r="HI23" s="317">
        <f t="shared" si="60"/>
        <v>3.1030000000000002</v>
      </c>
      <c r="HJ23" s="336"/>
      <c r="HK23" s="310">
        <f t="shared" si="130"/>
        <v>15</v>
      </c>
      <c r="HL23" s="348">
        <f t="shared" si="61"/>
        <v>4.1130000000000004</v>
      </c>
      <c r="HM23" s="934">
        <f t="shared" si="62"/>
        <v>1.9634892373876549</v>
      </c>
      <c r="HN23" s="935">
        <f t="shared" si="63"/>
        <v>17.802452805283341</v>
      </c>
      <c r="HO23" s="936"/>
      <c r="HP23" s="937"/>
      <c r="HQ23" s="935">
        <f t="shared" si="64"/>
        <v>16.975104208164915</v>
      </c>
      <c r="HR23" s="938">
        <f t="shared" si="65"/>
        <v>16.87449127439821</v>
      </c>
      <c r="HS23" s="939">
        <f t="shared" si="249"/>
        <v>2.8645</v>
      </c>
      <c r="HT23" s="940">
        <f t="shared" si="66"/>
        <v>2.9700000000000001E-2</v>
      </c>
      <c r="HU23" s="941">
        <f t="shared" si="67"/>
        <v>0.53457585875346803</v>
      </c>
      <c r="HV23" s="942">
        <f t="shared" si="68"/>
        <v>3.6742138759684663E-2</v>
      </c>
      <c r="HW23" s="943">
        <f t="shared" si="69"/>
        <v>30000</v>
      </c>
      <c r="HX23" s="950">
        <f t="shared" si="70"/>
        <v>212.68912499999999</v>
      </c>
      <c r="HY23" s="955">
        <f t="shared" si="71"/>
        <v>45.816857713520619</v>
      </c>
      <c r="HZ23" s="956">
        <f t="shared" si="72"/>
        <v>1336.4396468836699</v>
      </c>
      <c r="IA23" s="957">
        <f t="shared" si="73"/>
        <v>405.62973681793773</v>
      </c>
      <c r="IB23" s="958">
        <f t="shared" si="74"/>
        <v>1787.8862414151283</v>
      </c>
      <c r="IC23" s="841">
        <f t="shared" si="75"/>
        <v>30.545951190491945</v>
      </c>
      <c r="ID23" s="351">
        <f t="shared" si="76"/>
        <v>891</v>
      </c>
      <c r="IE23" s="843">
        <f t="shared" si="77"/>
        <v>270.43203660377628</v>
      </c>
      <c r="IF23" s="1074" t="s">
        <v>405</v>
      </c>
      <c r="IG23" s="789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7">
        <f t="shared" si="230"/>
        <v>3.1030000000000002</v>
      </c>
      <c r="IJ23" s="967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8"/>
        <v>1313</v>
      </c>
      <c r="IM23" s="482" t="str">
        <f t="shared" si="231"/>
        <v/>
      </c>
      <c r="IN23" s="670" t="str">
        <f t="shared" si="80"/>
        <v/>
      </c>
      <c r="IO23" s="702"/>
      <c r="IP23" s="5" t="str">
        <f t="shared" si="81"/>
        <v/>
      </c>
      <c r="IQ23" s="714"/>
      <c r="IR23" s="9" t="str">
        <f t="shared" si="131"/>
        <v/>
      </c>
      <c r="IS23" s="5" t="str">
        <f t="shared" si="82"/>
        <v/>
      </c>
      <c r="IT23" s="5" t="str">
        <f t="shared" si="83"/>
        <v/>
      </c>
      <c r="IU23" s="5" t="str">
        <f t="shared" si="84"/>
        <v/>
      </c>
      <c r="IV23" s="670" t="str">
        <f t="shared" si="85"/>
        <v/>
      </c>
      <c r="IW23" s="9" t="str">
        <f t="shared" si="86"/>
        <v/>
      </c>
      <c r="IX23" s="5" t="str">
        <f t="shared" si="87"/>
        <v/>
      </c>
      <c r="IY23" s="5" t="str">
        <f t="shared" si="88"/>
        <v/>
      </c>
      <c r="IZ23" s="5" t="str">
        <f t="shared" si="89"/>
        <v/>
      </c>
      <c r="JA23" s="705" t="str">
        <f t="shared" si="90"/>
        <v/>
      </c>
      <c r="JC23" s="795" t="str" cm="1">
        <f t="array" ref="JC23">IFERROR(_xlfn._xlws.SORT(_xlfn.UNIQUE(_xlfn._xlws.FILTER($IM$9:$IM$150,$IM$9:$IM$150&lt;&gt;"")),,1),"")</f>
        <v/>
      </c>
      <c r="JD23" s="799" t="str" cm="1">
        <f t="array" ref="JD23">IF($JC23="","",COUNT(IF(IF($IK$9:$IK$150&lt;&gt;"",$IM$9:$IM$150,"")=$JC23,$II$9:$II$150,"")))</f>
        <v/>
      </c>
      <c r="JE23" s="191"/>
      <c r="JF23" s="191"/>
      <c r="JG23" s="811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1.0993049031097015</v>
      </c>
      <c r="C24" s="572">
        <f t="shared" si="274"/>
        <v>-0.769742550118521</v>
      </c>
      <c r="D24" s="576">
        <f t="shared" si="274"/>
        <v>-0.30930093285161347</v>
      </c>
      <c r="E24" s="580">
        <f t="shared" ref="E24:K24" si="275">R179</f>
        <v>0.55403276739546137</v>
      </c>
      <c r="F24" s="572">
        <f t="shared" si="275"/>
        <v>0.79123979515941911</v>
      </c>
      <c r="G24" s="579">
        <f t="shared" si="275"/>
        <v>0.25881900859134593</v>
      </c>
      <c r="H24" s="580">
        <f t="shared" si="275"/>
        <v>0.26450000000000001</v>
      </c>
      <c r="I24" s="572">
        <f t="shared" si="275"/>
        <v>0.52</v>
      </c>
      <c r="J24" s="483">
        <f t="shared" si="92"/>
        <v>3.1059999999999999</v>
      </c>
      <c r="K24" s="805">
        <f t="shared" si="275"/>
        <v>1313</v>
      </c>
      <c r="L24" s="82"/>
      <c r="M24" s="164">
        <f t="shared" si="4"/>
        <v>3.1059999999999999</v>
      </c>
      <c r="N24" s="575">
        <f t="shared" si="5"/>
        <v>1.0993049031097015</v>
      </c>
      <c r="O24" s="572">
        <f t="shared" si="6"/>
        <v>-0.769742550118521</v>
      </c>
      <c r="P24" s="576">
        <f t="shared" si="7"/>
        <v>-0.30930093285161347</v>
      </c>
      <c r="Q24" s="528">
        <f t="shared" si="134"/>
        <v>324.9999660702029</v>
      </c>
      <c r="R24" s="572">
        <f t="shared" si="93"/>
        <v>1.3420040474842072</v>
      </c>
      <c r="S24" s="577">
        <f t="shared" si="94"/>
        <v>-0.30930093285161347</v>
      </c>
      <c r="T24" s="578">
        <f t="shared" si="95"/>
        <v>-0.76320563000513986</v>
      </c>
      <c r="U24" s="572">
        <f t="shared" si="96"/>
        <v>-1.1038532646110406</v>
      </c>
      <c r="V24" s="579">
        <f t="shared" si="135"/>
        <v>-0.30930093285161347</v>
      </c>
      <c r="W24" s="528">
        <f t="shared" si="256"/>
        <v>235.33996602111299</v>
      </c>
      <c r="X24" s="572">
        <f t="shared" si="97"/>
        <v>1.3420040474842072</v>
      </c>
      <c r="Y24" s="573">
        <f t="shared" si="259"/>
        <v>-0.30930093285161347</v>
      </c>
      <c r="Z24" s="575">
        <f t="shared" si="10"/>
        <v>-0.55403276739546137</v>
      </c>
      <c r="AA24" s="572">
        <f t="shared" si="11"/>
        <v>-0.79123979515941911</v>
      </c>
      <c r="AB24" s="572">
        <f t="shared" si="12"/>
        <v>-0.25881900859134593</v>
      </c>
      <c r="AC24" s="579">
        <f t="shared" si="98"/>
        <v>1</v>
      </c>
      <c r="AD24" s="580">
        <f t="shared" si="136"/>
        <v>-0.55403276739546137</v>
      </c>
      <c r="AE24" s="572">
        <f t="shared" si="99"/>
        <v>-0.79123979515941911</v>
      </c>
      <c r="AF24" s="576">
        <f t="shared" si="100"/>
        <v>-0.25881900859134593</v>
      </c>
      <c r="AG24" s="545">
        <f t="shared" si="101"/>
        <v>-71.886786804836689</v>
      </c>
      <c r="AH24" s="546">
        <f t="shared" si="102"/>
        <v>123.64412001543977</v>
      </c>
      <c r="AI24" s="528">
        <f t="shared" si="103"/>
        <v>-75.000002165731729</v>
      </c>
      <c r="AJ24" s="529">
        <f t="shared" si="104"/>
        <v>-35.000033929797119</v>
      </c>
      <c r="AK24" s="578">
        <f>IF(M24="","",(COS(RADIANS((90-$Q$8)-W24))*AD24)+(-SIN(RADIANS((90-$Q$8)-W24))*AE24))</f>
        <v>0.96592583607220739</v>
      </c>
      <c r="AL24" s="572">
        <f t="shared" si="105"/>
        <v>1.1102230246251565E-16</v>
      </c>
      <c r="AM24" s="577">
        <f t="shared" si="106"/>
        <v>-0.25881900859134593</v>
      </c>
      <c r="AN24" s="524">
        <f t="shared" si="107"/>
        <v>2.4577442737100912E-14</v>
      </c>
      <c r="AO24" s="525">
        <f t="shared" si="108"/>
        <v>14.999997834268255</v>
      </c>
      <c r="AP24" s="528">
        <f t="shared" si="109"/>
        <v>6.58550493772227E-15</v>
      </c>
      <c r="AQ24" s="529">
        <f t="shared" si="13"/>
        <v>1.2908300078722101</v>
      </c>
      <c r="AS24" s="899">
        <f t="shared" si="137"/>
        <v>-124.66003397888701</v>
      </c>
      <c r="AT24" s="895">
        <f t="shared" si="14"/>
        <v>-0.24332879495103141</v>
      </c>
      <c r="AU24" s="418"/>
      <c r="AV24" s="164">
        <f t="shared" si="15"/>
        <v>3.1059999999999999</v>
      </c>
      <c r="AW24" s="828">
        <f>IFERROR(INDEX(MassProp!C$9:C$150,MATCH($M24,MassProp!$B$9:$B$150,0)),"")</f>
        <v>1.2650999999999999</v>
      </c>
      <c r="AX24" s="829">
        <f>IFERROR(INDEX(MassProp!D$9:D$150,MATCH($M24,MassProp!$B$9:$B$150,0)),"")</f>
        <v>0.1076</v>
      </c>
      <c r="AY24" s="830">
        <f>IFERROR(INDEX(MassProp!E$9:E$150,MATCH($M24,MassProp!$B$9:$B$150,0)),"")</f>
        <v>4.0099999999999997E-2</v>
      </c>
      <c r="AZ24" s="297">
        <f t="shared" si="138"/>
        <v>0.31884023979251569</v>
      </c>
      <c r="BA24" s="296">
        <f t="shared" si="16"/>
        <v>2.1914331036094033E-2</v>
      </c>
      <c r="BB24" s="190">
        <f t="shared" si="139"/>
        <v>0.16092879495103141</v>
      </c>
      <c r="BC24" s="9"/>
      <c r="BD24" s="5">
        <f t="shared" si="235"/>
        <v>1.2650999999999999</v>
      </c>
      <c r="BE24" s="6">
        <f t="shared" si="17"/>
        <v>-0.14837213790058207</v>
      </c>
      <c r="BF24" s="4">
        <f t="shared" si="18"/>
        <v>1.0993049031097015</v>
      </c>
      <c r="BG24" s="5">
        <f t="shared" si="19"/>
        <v>-0.769742550118521</v>
      </c>
      <c r="BH24" s="10">
        <f t="shared" si="20"/>
        <v>-0.30930093285161347</v>
      </c>
      <c r="BI24" s="9">
        <f t="shared" si="140"/>
        <v>1.0993049031097015</v>
      </c>
      <c r="BJ24" s="5">
        <f t="shared" si="21"/>
        <v>-0.45884692674393579</v>
      </c>
      <c r="BK24" s="8">
        <f t="shared" si="22"/>
        <v>-1.2597449929448565</v>
      </c>
      <c r="BL24" s="173">
        <f t="shared" si="23"/>
        <v>1.9317997635455644</v>
      </c>
      <c r="BM24" s="5">
        <f t="shared" si="24"/>
        <v>-1.2963197029865585</v>
      </c>
      <c r="BN24" s="6">
        <f t="shared" si="25"/>
        <v>-0.48154729544097197</v>
      </c>
      <c r="BO24" s="4">
        <f t="shared" si="141"/>
        <v>-0.55403276739546137</v>
      </c>
      <c r="BP24" s="5">
        <f t="shared" si="142"/>
        <v>-0.79123979515941911</v>
      </c>
      <c r="BQ24" s="5">
        <f t="shared" si="143"/>
        <v>-0.25881900859134588</v>
      </c>
      <c r="BR24" s="6">
        <f t="shared" si="144"/>
        <v>-8.0052960797033224E-2</v>
      </c>
      <c r="BS24" s="4">
        <f t="shared" si="110"/>
        <v>0</v>
      </c>
      <c r="BT24" s="5">
        <f t="shared" si="110"/>
        <v>0</v>
      </c>
      <c r="BU24" s="10">
        <f t="shared" si="111"/>
        <v>-0.14837213790058207</v>
      </c>
      <c r="BV24" s="9">
        <f t="shared" si="112"/>
        <v>0</v>
      </c>
      <c r="BW24" s="5">
        <f t="shared" si="113"/>
        <v>1</v>
      </c>
      <c r="BX24" s="8">
        <f t="shared" si="114"/>
        <v>-0.14837213790058207</v>
      </c>
      <c r="BY24" s="173">
        <f t="shared" si="115"/>
        <v>1</v>
      </c>
      <c r="BZ24" s="5">
        <f t="shared" si="116"/>
        <v>0</v>
      </c>
      <c r="CA24" s="6">
        <f t="shared" si="117"/>
        <v>-0.14837213790058207</v>
      </c>
      <c r="CB24" s="4">
        <f t="shared" si="145"/>
        <v>0</v>
      </c>
      <c r="CC24" s="5">
        <f t="shared" si="146"/>
        <v>0</v>
      </c>
      <c r="CD24" s="5">
        <f t="shared" si="147"/>
        <v>-1</v>
      </c>
      <c r="CE24" s="6">
        <f t="shared" si="148"/>
        <v>-0.14837213790058207</v>
      </c>
      <c r="CF24" s="4">
        <f t="shared" si="149"/>
        <v>0.79123979515941911</v>
      </c>
      <c r="CG24" s="5">
        <f t="shared" si="150"/>
        <v>-0.55403276739546137</v>
      </c>
      <c r="CH24" s="5">
        <f t="shared" si="151"/>
        <v>0</v>
      </c>
      <c r="CI24" s="4">
        <f t="shared" si="118"/>
        <v>0</v>
      </c>
      <c r="CJ24" s="5">
        <f t="shared" si="119"/>
        <v>-5.2640718297838118E-2</v>
      </c>
      <c r="CK24" s="8">
        <f t="shared" si="120"/>
        <v>-0.14837213790058207</v>
      </c>
      <c r="CL24" s="173">
        <f t="shared" si="121"/>
        <v>0.79123979515941911</v>
      </c>
      <c r="CM24" s="5">
        <f t="shared" si="122"/>
        <v>-0.60667348569329949</v>
      </c>
      <c r="CN24" s="6">
        <f t="shared" si="123"/>
        <v>-0.14837213790058207</v>
      </c>
      <c r="CO24" s="167">
        <f t="shared" si="26"/>
        <v>0.26450000000000001</v>
      </c>
      <c r="CP24" s="4">
        <f t="shared" si="236"/>
        <v>0.93301272079179287</v>
      </c>
      <c r="CQ24" s="5">
        <f t="shared" si="237"/>
        <v>-2.5342233974844657</v>
      </c>
      <c r="CR24" s="5">
        <f t="shared" si="152"/>
        <v>1.6786441342460003</v>
      </c>
      <c r="CS24" s="8">
        <f t="shared" si="153"/>
        <v>0.1575029046215306</v>
      </c>
      <c r="CT24" s="9">
        <f t="shared" si="154"/>
        <v>1.5707662330257368</v>
      </c>
      <c r="CU24" s="6">
        <f t="shared" si="155"/>
        <v>1.1454061631381867</v>
      </c>
      <c r="CV24" s="4">
        <f t="shared" si="238"/>
        <v>1.2428527524626163</v>
      </c>
      <c r="CW24" s="5">
        <f t="shared" si="156"/>
        <v>-0.92289668131243119</v>
      </c>
      <c r="CX24" s="8">
        <f t="shared" si="157"/>
        <v>-0.14837213790058207</v>
      </c>
      <c r="CY24" s="9">
        <f t="shared" si="158"/>
        <v>0.90629093789579496</v>
      </c>
      <c r="CZ24" s="5">
        <f t="shared" si="159"/>
        <v>-0.68723326465310497</v>
      </c>
      <c r="DA24" s="6">
        <f t="shared" si="160"/>
        <v>-0.14837213790058207</v>
      </c>
      <c r="DB24" s="4">
        <f t="shared" si="161"/>
        <v>0</v>
      </c>
      <c r="DC24" s="5">
        <f t="shared" si="161"/>
        <v>0</v>
      </c>
      <c r="DD24" s="10">
        <f t="shared" si="162"/>
        <v>-10</v>
      </c>
      <c r="DE24" s="9">
        <f t="shared" si="163"/>
        <v>0</v>
      </c>
      <c r="DF24" s="5">
        <f t="shared" si="163"/>
        <v>0</v>
      </c>
      <c r="DG24" s="10">
        <f t="shared" si="164"/>
        <v>10</v>
      </c>
      <c r="DH24" s="70">
        <f t="shared" si="165"/>
        <v>1.2650999999999999</v>
      </c>
      <c r="DI24" s="4">
        <f t="shared" si="166"/>
        <v>0</v>
      </c>
      <c r="DJ24" s="5">
        <f t="shared" si="167"/>
        <v>0</v>
      </c>
      <c r="DK24" s="10">
        <f t="shared" si="168"/>
        <v>20</v>
      </c>
      <c r="DL24" s="9">
        <f t="shared" si="169"/>
        <v>1.2428527524626163</v>
      </c>
      <c r="DM24" s="173">
        <f t="shared" si="170"/>
        <v>-0.92289668131243119</v>
      </c>
      <c r="DN24" s="178">
        <f t="shared" si="171"/>
        <v>9.8516278620994182</v>
      </c>
      <c r="DO24" s="9">
        <f t="shared" si="172"/>
        <v>-0.33656181456682133</v>
      </c>
      <c r="DP24" s="173">
        <f t="shared" si="173"/>
        <v>0.23566341665932622</v>
      </c>
      <c r="DQ24" s="11">
        <f t="shared" si="174"/>
        <v>0</v>
      </c>
      <c r="DR24" s="173">
        <f t="shared" si="175"/>
        <v>197.03255724198837</v>
      </c>
      <c r="DS24" s="5">
        <f t="shared" si="176"/>
        <v>0</v>
      </c>
      <c r="DT24" s="5">
        <f t="shared" si="177"/>
        <v>400</v>
      </c>
      <c r="DU24" s="5">
        <f t="shared" si="178"/>
        <v>0.16881110097605861</v>
      </c>
      <c r="DV24" s="5">
        <f t="shared" si="179"/>
        <v>-0.63578976274982746</v>
      </c>
      <c r="DW24" s="5">
        <f t="shared" si="180"/>
        <v>99.450992781974961</v>
      </c>
      <c r="DX24" s="167">
        <f t="shared" si="181"/>
        <v>97.850514771974957</v>
      </c>
      <c r="DY24" s="9">
        <f t="shared" si="182"/>
        <v>67.52444039042345</v>
      </c>
      <c r="DZ24" s="5">
        <f t="shared" si="183"/>
        <v>-254.31590509993097</v>
      </c>
      <c r="EA24" s="10">
        <f t="shared" si="184"/>
        <v>318.37729547255731</v>
      </c>
      <c r="EB24" s="6">
        <f t="shared" si="185"/>
        <v>43178.330876996166</v>
      </c>
      <c r="EC24" s="173">
        <f t="shared" si="186"/>
        <v>6.843594185890292</v>
      </c>
      <c r="ED24" s="5">
        <f t="shared" si="187"/>
        <v>0.68896450336317494</v>
      </c>
      <c r="EE24" s="4">
        <f t="shared" si="188"/>
        <v>-1.0604397248995689</v>
      </c>
      <c r="EF24" s="5">
        <f t="shared" si="189"/>
        <v>0.68988810676437506</v>
      </c>
      <c r="EG24" s="10">
        <f t="shared" si="190"/>
        <v>-0.14837213790058207</v>
      </c>
      <c r="EH24" s="9">
        <f t="shared" si="191"/>
        <v>1.0109736090385772</v>
      </c>
      <c r="EI24" s="5">
        <f t="shared" si="192"/>
        <v>-0.76053295249286956</v>
      </c>
      <c r="EJ24" s="6">
        <f t="shared" si="193"/>
        <v>-0.14837213790058207</v>
      </c>
      <c r="EK24" s="236" t="b">
        <f t="shared" si="194"/>
        <v>0</v>
      </c>
      <c r="EL24" s="238" t="b">
        <f t="shared" si="195"/>
        <v>1</v>
      </c>
      <c r="EM24" s="4">
        <f t="shared" si="196"/>
        <v>1.0109736090385772</v>
      </c>
      <c r="EN24" s="5">
        <f t="shared" si="197"/>
        <v>-0.76053295249286956</v>
      </c>
      <c r="EO24" s="10">
        <f t="shared" si="198"/>
        <v>-0.14837213790058207</v>
      </c>
      <c r="EP24" s="9">
        <f t="shared" si="199"/>
        <v>323.04667011491631</v>
      </c>
      <c r="EQ24" s="5">
        <f t="shared" si="200"/>
        <v>1.265100000000003</v>
      </c>
      <c r="ER24" s="7">
        <f t="shared" si="201"/>
        <v>-0.14837213790058207</v>
      </c>
      <c r="ES24" s="21">
        <f t="shared" si="124"/>
        <v>-0.55403276739546137</v>
      </c>
      <c r="ET24" s="5">
        <f t="shared" si="35"/>
        <v>-0.79123979515941911</v>
      </c>
      <c r="EU24" s="10">
        <f t="shared" si="36"/>
        <v>-0.25881900859134593</v>
      </c>
      <c r="EV24" s="174">
        <f t="shared" si="252"/>
        <v>126.95332988508369</v>
      </c>
      <c r="EW24" s="9">
        <f t="shared" si="125"/>
        <v>0.96536457805100406</v>
      </c>
      <c r="EX24" s="5">
        <f t="shared" si="37"/>
        <v>3.2923429897261325E-2</v>
      </c>
      <c r="EY24" s="6">
        <f t="shared" si="202"/>
        <v>-0.25881900859134593</v>
      </c>
      <c r="EZ24" s="51">
        <f t="shared" si="203"/>
        <v>1.3692691364820306</v>
      </c>
      <c r="FA24" s="266">
        <f t="shared" si="126"/>
        <v>-0.60099263499843436</v>
      </c>
      <c r="FB24" s="267">
        <f t="shared" si="127"/>
        <v>-0.79889726174050091</v>
      </c>
      <c r="FC24" s="269">
        <f t="shared" si="38"/>
        <v>-2.3895980021085235E-2</v>
      </c>
      <c r="FD24" s="4">
        <f t="shared" si="128"/>
        <v>0.99971445030010031</v>
      </c>
      <c r="FE24" s="5">
        <f t="shared" si="39"/>
        <v>-2.7755575615628914E-16</v>
      </c>
      <c r="FF24" s="7">
        <f t="shared" si="204"/>
        <v>-2.3895980021085235E-2</v>
      </c>
      <c r="FG24" s="173">
        <f t="shared" si="205"/>
        <v>-3.4349872249096247E-2</v>
      </c>
      <c r="FH24" s="5">
        <f t="shared" si="40"/>
        <v>3.2923429897261602E-2</v>
      </c>
      <c r="FI24" s="10">
        <f t="shared" si="41"/>
        <v>-0.23492302857026071</v>
      </c>
      <c r="FJ24" s="279">
        <f t="shared" si="206"/>
        <v>13.766482801418132</v>
      </c>
      <c r="FK24" s="4">
        <f t="shared" si="42"/>
        <v>0.96592583607220739</v>
      </c>
      <c r="FL24" s="5">
        <f t="shared" si="207"/>
        <v>0.99971445030010031</v>
      </c>
      <c r="FM24" s="8">
        <f t="shared" si="208"/>
        <v>4.7580100459426643E-2</v>
      </c>
      <c r="FN24" s="9">
        <f t="shared" si="209"/>
        <v>1.9532959552864626</v>
      </c>
      <c r="FO24" s="10">
        <f t="shared" si="43"/>
        <v>-1</v>
      </c>
      <c r="FP24" s="277">
        <f t="shared" si="44"/>
        <v>-1.9532959552864626</v>
      </c>
      <c r="FQ24" s="173">
        <f t="shared" si="239"/>
        <v>3.4084842404814103E-2</v>
      </c>
      <c r="FR24" s="10">
        <f t="shared" si="210"/>
        <v>0.99941894294546918</v>
      </c>
      <c r="FS24" s="9">
        <f t="shared" si="211"/>
        <v>3.2979891208876219E-2</v>
      </c>
      <c r="FT24" s="6">
        <f t="shared" si="212"/>
        <v>0.96702010879112377</v>
      </c>
      <c r="FU24" s="4">
        <f t="shared" si="213"/>
        <v>0.99945787693319044</v>
      </c>
      <c r="FV24" s="5">
        <f t="shared" si="214"/>
        <v>0.99999999999999989</v>
      </c>
      <c r="FW24" s="8">
        <f t="shared" si="240"/>
        <v>0.23742102492440043</v>
      </c>
      <c r="FX24" s="9">
        <f t="shared" si="241"/>
        <v>13.639056240498938</v>
      </c>
      <c r="FY24" s="10">
        <f t="shared" si="45"/>
        <v>1</v>
      </c>
      <c r="FZ24" s="277">
        <f t="shared" si="242"/>
        <v>13.639056240498938</v>
      </c>
      <c r="GA24" s="177">
        <f t="shared" si="215"/>
        <v>13.630970880566711</v>
      </c>
      <c r="GB24" s="4">
        <f t="shared" si="216"/>
        <v>3.3123666475741304E-2</v>
      </c>
      <c r="GC24" s="5">
        <f t="shared" si="217"/>
        <v>0.9712358162755641</v>
      </c>
      <c r="GD24" s="10">
        <f t="shared" si="218"/>
        <v>-0.23580460534676248</v>
      </c>
      <c r="GE24" s="311">
        <f t="shared" si="219"/>
        <v>1.2401640880980678</v>
      </c>
      <c r="GF24" s="341">
        <f t="shared" si="243"/>
        <v>0.80634490999784825</v>
      </c>
      <c r="GG24" s="285">
        <f t="shared" si="46"/>
        <v>2.6709099863180364E-2</v>
      </c>
      <c r="GH24" s="286">
        <f t="shared" si="47"/>
        <v>0.7831510568614064</v>
      </c>
      <c r="GI24" s="281">
        <f t="shared" si="48"/>
        <v>0.19013984327541331</v>
      </c>
      <c r="GJ24" s="167">
        <f t="shared" si="220"/>
        <v>1.2650999999999999</v>
      </c>
      <c r="GK24" s="174">
        <f t="shared" si="49"/>
        <v>0.66259401453141253</v>
      </c>
      <c r="GL24" s="174">
        <f t="shared" si="221"/>
        <v>4.0099999999999997E-2</v>
      </c>
      <c r="GM24" s="177">
        <f t="shared" si="244"/>
        <v>0.31884023979251569</v>
      </c>
      <c r="GN24" s="280">
        <f t="shared" si="222"/>
        <v>2.1914331036094033E-2</v>
      </c>
      <c r="GO24" s="4">
        <f t="shared" si="223"/>
        <v>-1.9532959552864626</v>
      </c>
      <c r="GP24" s="8">
        <f t="shared" si="245"/>
        <v>13.639056240498938</v>
      </c>
      <c r="GQ24" s="177">
        <f t="shared" si="224"/>
        <v>13.766482801418132</v>
      </c>
      <c r="GR24" s="371">
        <f t="shared" si="246"/>
        <v>1017.8120714997025</v>
      </c>
      <c r="GS24" s="342">
        <f t="shared" si="51"/>
        <v>27.184844259636023</v>
      </c>
      <c r="GT24" s="343">
        <f t="shared" si="52"/>
        <v>41.027904966604908</v>
      </c>
      <c r="GU24" s="344">
        <f t="shared" si="53"/>
        <v>797.10059948128924</v>
      </c>
      <c r="GV24" s="343">
        <f t="shared" si="253"/>
        <v>1203</v>
      </c>
      <c r="GW24" s="345">
        <f t="shared" si="129"/>
        <v>30000</v>
      </c>
      <c r="GX24" s="346">
        <f t="shared" si="54"/>
        <v>126.826275</v>
      </c>
      <c r="GY24" s="344">
        <f t="shared" si="55"/>
        <v>193.52662775877718</v>
      </c>
      <c r="GZ24" s="345">
        <f t="shared" si="56"/>
        <v>292.07421666137373</v>
      </c>
      <c r="HA24" s="342">
        <f t="shared" si="57"/>
        <v>-27.184844259636023</v>
      </c>
      <c r="HB24" s="5">
        <f t="shared" si="225"/>
        <v>126.95332988508369</v>
      </c>
      <c r="HC24" s="343">
        <f t="shared" si="226"/>
        <v>16.342557796094976</v>
      </c>
      <c r="HD24" s="363">
        <f t="shared" si="227"/>
        <v>-21.724100950372168</v>
      </c>
      <c r="HE24" s="344">
        <f t="shared" si="58"/>
        <v>1203</v>
      </c>
      <c r="HF24" s="5">
        <f t="shared" si="59"/>
        <v>216.95332988508369</v>
      </c>
      <c r="HG24" s="343">
        <f t="shared" si="228"/>
        <v>-961.34791848344491</v>
      </c>
      <c r="HH24" s="349">
        <f t="shared" si="229"/>
        <v>-723.20064963158563</v>
      </c>
      <c r="HI24" s="317">
        <f t="shared" si="60"/>
        <v>3.1059999999999999</v>
      </c>
      <c r="HJ24" s="336"/>
      <c r="HK24" s="310">
        <f t="shared" si="130"/>
        <v>16</v>
      </c>
      <c r="HL24" s="348">
        <f t="shared" si="61"/>
        <v>2.1139999999999999</v>
      </c>
      <c r="HM24" s="934">
        <f t="shared" si="62"/>
        <v>4.5904262229410051</v>
      </c>
      <c r="HN24" s="935">
        <f t="shared" si="63"/>
        <v>18.476523534948878</v>
      </c>
      <c r="HO24" s="936"/>
      <c r="HP24" s="937"/>
      <c r="HQ24" s="935">
        <f t="shared" si="64"/>
        <v>17.533344333636872</v>
      </c>
      <c r="HR24" s="938">
        <f t="shared" si="65"/>
        <v>16.994673853661133</v>
      </c>
      <c r="HS24" s="939">
        <f t="shared" si="249"/>
        <v>3.1553</v>
      </c>
      <c r="HT24" s="940">
        <f t="shared" si="66"/>
        <v>2.81E-2</v>
      </c>
      <c r="HU24" s="941">
        <f t="shared" si="67"/>
        <v>0.55711748534455685</v>
      </c>
      <c r="HV24" s="942">
        <f t="shared" si="68"/>
        <v>3.8291455958575873E-2</v>
      </c>
      <c r="HW24" s="943">
        <f t="shared" si="69"/>
        <v>30000</v>
      </c>
      <c r="HX24" s="950">
        <f t="shared" si="70"/>
        <v>221.65982500000001</v>
      </c>
      <c r="HY24" s="955">
        <f t="shared" si="71"/>
        <v>111.82729061220559</v>
      </c>
      <c r="HZ24" s="956">
        <f t="shared" si="72"/>
        <v>1392.7937133613921</v>
      </c>
      <c r="IA24" s="957">
        <f t="shared" si="73"/>
        <v>427.04805764868439</v>
      </c>
      <c r="IB24" s="958">
        <f t="shared" si="74"/>
        <v>1931.669061622282</v>
      </c>
      <c r="IC24" s="841">
        <f t="shared" si="75"/>
        <v>67.684399406553538</v>
      </c>
      <c r="ID24" s="351">
        <f t="shared" si="76"/>
        <v>843</v>
      </c>
      <c r="IE24" s="843">
        <f t="shared" si="77"/>
        <v>258.47439512704801</v>
      </c>
      <c r="IF24" s="1074"/>
      <c r="IG24" s="789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7">
        <f t="shared" si="230"/>
        <v>3.1059999999999999</v>
      </c>
      <c r="IJ24" s="967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8"/>
        <v>1313</v>
      </c>
      <c r="IM24" s="482" t="str">
        <f t="shared" si="231"/>
        <v/>
      </c>
      <c r="IN24" s="670" t="str">
        <f t="shared" si="80"/>
        <v/>
      </c>
      <c r="IO24" s="702"/>
      <c r="IP24" s="5" t="str">
        <f t="shared" si="81"/>
        <v/>
      </c>
      <c r="IQ24" s="714"/>
      <c r="IR24" s="9" t="str">
        <f t="shared" si="131"/>
        <v/>
      </c>
      <c r="IS24" s="5" t="str">
        <f t="shared" si="82"/>
        <v/>
      </c>
      <c r="IT24" s="5" t="str">
        <f t="shared" si="83"/>
        <v/>
      </c>
      <c r="IU24" s="5" t="str">
        <f t="shared" si="84"/>
        <v/>
      </c>
      <c r="IV24" s="670" t="str">
        <f t="shared" si="85"/>
        <v/>
      </c>
      <c r="IW24" s="9" t="str">
        <f t="shared" si="86"/>
        <v/>
      </c>
      <c r="IX24" s="5" t="str">
        <f t="shared" si="87"/>
        <v/>
      </c>
      <c r="IY24" s="5" t="str">
        <f t="shared" si="88"/>
        <v/>
      </c>
      <c r="IZ24" s="5" t="str">
        <f t="shared" si="89"/>
        <v/>
      </c>
      <c r="JA24" s="705" t="str">
        <f t="shared" si="90"/>
        <v/>
      </c>
      <c r="JC24" s="739"/>
      <c r="JD24" s="796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1.6128326555385184</v>
      </c>
      <c r="C25" s="572">
        <f t="shared" si="276"/>
        <v>-1.1293190066530225</v>
      </c>
      <c r="D25" s="576">
        <f t="shared" si="276"/>
        <v>-0.1703005136263491</v>
      </c>
      <c r="E25" s="580">
        <f t="shared" ref="E25:K25" si="277">R180</f>
        <v>0.55403276739546159</v>
      </c>
      <c r="F25" s="572">
        <f t="shared" si="277"/>
        <v>0.791239795159419</v>
      </c>
      <c r="G25" s="579">
        <f t="shared" si="277"/>
        <v>0.25881900859134599</v>
      </c>
      <c r="H25" s="580">
        <f t="shared" si="277"/>
        <v>0.26450000000000001</v>
      </c>
      <c r="I25" s="572">
        <f t="shared" si="277"/>
        <v>0.52</v>
      </c>
      <c r="J25" s="483">
        <f t="shared" si="92"/>
        <v>3.109</v>
      </c>
      <c r="K25" s="805">
        <f t="shared" si="277"/>
        <v>1313</v>
      </c>
      <c r="L25" s="82"/>
      <c r="M25" s="164">
        <f t="shared" si="4"/>
        <v>3.109</v>
      </c>
      <c r="N25" s="575">
        <f t="shared" si="5"/>
        <v>1.6128326555385184</v>
      </c>
      <c r="O25" s="572">
        <f t="shared" si="6"/>
        <v>-1.1293190066530225</v>
      </c>
      <c r="P25" s="576">
        <f t="shared" si="7"/>
        <v>-0.1703005136263491</v>
      </c>
      <c r="Q25" s="528">
        <f t="shared" si="134"/>
        <v>324.9999660702029</v>
      </c>
      <c r="R25" s="572">
        <f>IF(M25="","",SQRT(N25^2+O25^2))</f>
        <v>1.96890593822031</v>
      </c>
      <c r="S25" s="577">
        <f>IF(M25="","",P25)</f>
        <v>-0.1703005136263491</v>
      </c>
      <c r="T25" s="578">
        <f>IF(M25="","",X25*COS(RADIANS(W25)))</f>
        <v>-1.1197284388354101</v>
      </c>
      <c r="U25" s="572">
        <f>IF(M25="","",X25*SIN(RADIANS(W25)))</f>
        <v>-1.6195057322598196</v>
      </c>
      <c r="V25" s="579">
        <f>IF(M25="","",Y25)</f>
        <v>-0.1703005136263491</v>
      </c>
      <c r="W25" s="528">
        <f t="shared" si="256"/>
        <v>235.33996602111299</v>
      </c>
      <c r="X25" s="572">
        <f>IF(M25="","",R25)</f>
        <v>1.96890593822031</v>
      </c>
      <c r="Y25" s="573">
        <f t="shared" si="259"/>
        <v>-0.1703005136263491</v>
      </c>
      <c r="Z25" s="575">
        <f t="shared" si="10"/>
        <v>-0.55403276739546159</v>
      </c>
      <c r="AA25" s="572">
        <f t="shared" si="11"/>
        <v>-0.791239795159419</v>
      </c>
      <c r="AB25" s="572">
        <f t="shared" si="12"/>
        <v>-0.25881900859134599</v>
      </c>
      <c r="AC25" s="579">
        <f>IF(M25="","",SQRT(Z25^2+AA25^2+AB25^2))</f>
        <v>1</v>
      </c>
      <c r="AD25" s="580">
        <f>IF(M25="","",Z25*(1/SQRT(Z25^2+AA25^2+AB25^2)))</f>
        <v>-0.55403276739546159</v>
      </c>
      <c r="AE25" s="572">
        <f>IF(M25="","",AA25*(1/SQRT(Z25^2+AA25^2+AB25^2)))</f>
        <v>-0.791239795159419</v>
      </c>
      <c r="AF25" s="576">
        <f>IF(M25="","",AB25*(1/SQRT(Z25^2+AA25^2+AB25^2)))</f>
        <v>-0.25881900859134599</v>
      </c>
      <c r="AG25" s="545">
        <f>IF(M25="","",DEGREES(ATAN2(-AF25,AE25)))</f>
        <v>-71.886786804836674</v>
      </c>
      <c r="AH25" s="546">
        <f>IF(M25="","",DEGREES(ACOS(AD25)))</f>
        <v>123.64412001543978</v>
      </c>
      <c r="AI25" s="528">
        <f>IF(M25="","",DEGREES(-ACOS(-AF25)))</f>
        <v>-75.000002165731729</v>
      </c>
      <c r="AJ25" s="529">
        <f>IF(M25="","",DEGREES(ATAN2(-AE25,AD25)))</f>
        <v>-35.000033929797127</v>
      </c>
      <c r="AK25" s="578">
        <f>IF(M25="","",(COS(RADIANS((90-$Q$8)-W25))*AD25)+(-SIN(RADIANS((90-$Q$8)-W25))*AE25))</f>
        <v>0.9659258360722075</v>
      </c>
      <c r="AL25" s="572">
        <f>IF(M25="","",(SIN(RADIANS((90-$Q$8)-W25))*AD25)+(COS(RADIANS((90-$Q$8)-W25))*AE25))</f>
        <v>-1.6653345369377348E-16</v>
      </c>
      <c r="AM25" s="577">
        <f>IF(M25="","",AF25)</f>
        <v>-0.25881900859134599</v>
      </c>
      <c r="AN25" s="524">
        <f>IF(M25="","",DEGREES(ATAN2(-AM25,AL25)))</f>
        <v>-3.686616410565136E-14</v>
      </c>
      <c r="AO25" s="525">
        <f>IF(ROUND(IF(M25="",0,DEGREES(ACOS(AK25))),4)=90,0,IF(M25="","",DEGREES(ACOS(AK25))))</f>
        <v>14.99999783426823</v>
      </c>
      <c r="AP25" s="528">
        <f>IF(M25="","",DEGREES(ATAN2(AK25,AL25)))</f>
        <v>-9.8782574065834049E-15</v>
      </c>
      <c r="AQ25" s="529">
        <f t="shared" si="13"/>
        <v>0.87990797120790121</v>
      </c>
      <c r="AS25" s="899">
        <f t="shared" si="137"/>
        <v>-124.66003397888701</v>
      </c>
      <c r="AT25" s="895">
        <f t="shared" si="14"/>
        <v>-0.10432837572576703</v>
      </c>
      <c r="AU25" s="418"/>
      <c r="AV25" s="164">
        <f t="shared" si="15"/>
        <v>3.109</v>
      </c>
      <c r="AW25" s="828">
        <f>IFERROR(INDEX(MassProp!C$9:C$150,MATCH($M25,MassProp!$B$9:$B$150,0)),"")</f>
        <v>1.8919999999999999</v>
      </c>
      <c r="AX25" s="829">
        <f>IFERROR(INDEX(MassProp!D$9:D$150,MATCH($M25,MassProp!$B$9:$B$150,0)),"")</f>
        <v>0.2467</v>
      </c>
      <c r="AY25" s="830">
        <f>IFERROR(INDEX(MassProp!E$9:E$150,MATCH($M25,MassProp!$B$9:$B$150,0)),"")</f>
        <v>4.0099999999999997E-2</v>
      </c>
      <c r="AZ25" s="297">
        <f t="shared" si="138"/>
        <v>0.47676112525913883</v>
      </c>
      <c r="BA25" s="296">
        <f t="shared" si="16"/>
        <v>3.2768452096474394E-2</v>
      </c>
      <c r="BB25" s="190">
        <f t="shared" si="139"/>
        <v>0.16102837572576703</v>
      </c>
      <c r="BC25" s="9"/>
      <c r="BD25" s="5">
        <f t="shared" si="235"/>
        <v>1.8919999999999999</v>
      </c>
      <c r="BE25" s="6">
        <f t="shared" si="17"/>
        <v>-9.272137900582067E-3</v>
      </c>
      <c r="BF25" s="4">
        <f t="shared" si="18"/>
        <v>1.6128326555385184</v>
      </c>
      <c r="BG25" s="5">
        <f t="shared" si="19"/>
        <v>-1.1293190066530225</v>
      </c>
      <c r="BH25" s="10">
        <f t="shared" si="20"/>
        <v>-0.1703005136263491</v>
      </c>
      <c r="BI25" s="9">
        <f t="shared" si="140"/>
        <v>1.6128326555385184</v>
      </c>
      <c r="BJ25" s="5">
        <f t="shared" si="21"/>
        <v>-0.81842338327843711</v>
      </c>
      <c r="BK25" s="8">
        <f t="shared" si="22"/>
        <v>-1.120744573719592</v>
      </c>
      <c r="BL25" s="173">
        <f t="shared" si="23"/>
        <v>2.4453275159743808</v>
      </c>
      <c r="BM25" s="5">
        <f t="shared" si="24"/>
        <v>-1.6558961595210604</v>
      </c>
      <c r="BN25" s="6">
        <f t="shared" si="25"/>
        <v>-0.34254687621570784</v>
      </c>
      <c r="BO25" s="4">
        <f t="shared" si="141"/>
        <v>-0.55403276739546181</v>
      </c>
      <c r="BP25" s="5">
        <f t="shared" si="142"/>
        <v>-0.79123979515941856</v>
      </c>
      <c r="BQ25" s="5">
        <f t="shared" si="143"/>
        <v>-0.25881900859134599</v>
      </c>
      <c r="BR25" s="6">
        <f t="shared" si="144"/>
        <v>-4.4077010099367667E-2</v>
      </c>
      <c r="BS25" s="4">
        <f t="shared" si="110"/>
        <v>0</v>
      </c>
      <c r="BT25" s="5">
        <f t="shared" si="110"/>
        <v>0</v>
      </c>
      <c r="BU25" s="10">
        <f t="shared" si="111"/>
        <v>-9.272137900582067E-3</v>
      </c>
      <c r="BV25" s="9">
        <f t="shared" si="112"/>
        <v>0</v>
      </c>
      <c r="BW25" s="5">
        <f t="shared" si="113"/>
        <v>1</v>
      </c>
      <c r="BX25" s="8">
        <f t="shared" si="114"/>
        <v>-9.272137900582067E-3</v>
      </c>
      <c r="BY25" s="173">
        <f t="shared" si="115"/>
        <v>1</v>
      </c>
      <c r="BZ25" s="5">
        <f t="shared" si="116"/>
        <v>0</v>
      </c>
      <c r="CA25" s="6">
        <f t="shared" si="117"/>
        <v>-9.272137900582067E-3</v>
      </c>
      <c r="CB25" s="4">
        <f t="shared" si="145"/>
        <v>0</v>
      </c>
      <c r="CC25" s="5">
        <f t="shared" si="146"/>
        <v>0</v>
      </c>
      <c r="CD25" s="5">
        <f t="shared" si="147"/>
        <v>-1</v>
      </c>
      <c r="CE25" s="6">
        <f t="shared" si="148"/>
        <v>-9.272137900582067E-3</v>
      </c>
      <c r="CF25" s="4">
        <f t="shared" si="149"/>
        <v>0.79123979515941856</v>
      </c>
      <c r="CG25" s="5">
        <f t="shared" si="150"/>
        <v>-0.55403276739546181</v>
      </c>
      <c r="CH25" s="5">
        <f t="shared" si="151"/>
        <v>0</v>
      </c>
      <c r="CI25" s="4">
        <f t="shared" si="118"/>
        <v>0</v>
      </c>
      <c r="CJ25" s="5">
        <f t="shared" si="119"/>
        <v>-5.2673291732021225E-2</v>
      </c>
      <c r="CK25" s="8">
        <f t="shared" si="120"/>
        <v>-9.272137900582067E-3</v>
      </c>
      <c r="CL25" s="173">
        <f t="shared" si="121"/>
        <v>0.79123979515941856</v>
      </c>
      <c r="CM25" s="5">
        <f t="shared" si="122"/>
        <v>-0.60670605912748299</v>
      </c>
      <c r="CN25" s="6">
        <f t="shared" si="123"/>
        <v>-9.272137900582067E-3</v>
      </c>
      <c r="CO25" s="167">
        <f t="shared" si="26"/>
        <v>0.26450000000000001</v>
      </c>
      <c r="CP25" s="4">
        <f t="shared" si="236"/>
        <v>0.93301272079179243</v>
      </c>
      <c r="CQ25" s="5">
        <f t="shared" si="237"/>
        <v>-3.7452687698737326</v>
      </c>
      <c r="CR25" s="5">
        <f t="shared" si="152"/>
        <v>3.7163650580180625</v>
      </c>
      <c r="CS25" s="8">
        <f t="shared" si="153"/>
        <v>0.1573746616435816</v>
      </c>
      <c r="CT25" s="9">
        <f t="shared" si="154"/>
        <v>2.2196768764863721</v>
      </c>
      <c r="CU25" s="6">
        <f t="shared" si="155"/>
        <v>1.7944900115013347</v>
      </c>
      <c r="CV25" s="4">
        <f t="shared" si="238"/>
        <v>1.756296677071175</v>
      </c>
      <c r="CW25" s="5">
        <f t="shared" si="156"/>
        <v>-1.2824470143354807</v>
      </c>
      <c r="CX25" s="8">
        <f t="shared" si="157"/>
        <v>-9.272137900582067E-3</v>
      </c>
      <c r="CY25" s="9">
        <f t="shared" si="158"/>
        <v>1.4198719091159386</v>
      </c>
      <c r="CZ25" s="5">
        <f t="shared" si="159"/>
        <v>-1.0468795588676199</v>
      </c>
      <c r="DA25" s="6">
        <f t="shared" si="160"/>
        <v>-9.272137900582067E-3</v>
      </c>
      <c r="DB25" s="4">
        <f t="shared" si="161"/>
        <v>0</v>
      </c>
      <c r="DC25" s="5">
        <f t="shared" si="161"/>
        <v>0</v>
      </c>
      <c r="DD25" s="10">
        <f t="shared" si="162"/>
        <v>-10</v>
      </c>
      <c r="DE25" s="9">
        <f t="shared" si="163"/>
        <v>0</v>
      </c>
      <c r="DF25" s="5">
        <f t="shared" si="163"/>
        <v>0</v>
      </c>
      <c r="DG25" s="10">
        <f t="shared" si="164"/>
        <v>10</v>
      </c>
      <c r="DH25" s="70">
        <f t="shared" si="165"/>
        <v>1.8919999999999999</v>
      </c>
      <c r="DI25" s="4">
        <f t="shared" si="166"/>
        <v>0</v>
      </c>
      <c r="DJ25" s="5">
        <f t="shared" si="167"/>
        <v>0</v>
      </c>
      <c r="DK25" s="10">
        <f t="shared" si="168"/>
        <v>20</v>
      </c>
      <c r="DL25" s="9">
        <f t="shared" si="169"/>
        <v>1.756296677071175</v>
      </c>
      <c r="DM25" s="173">
        <f t="shared" si="170"/>
        <v>-1.2824470143354807</v>
      </c>
      <c r="DN25" s="178">
        <f t="shared" si="171"/>
        <v>9.9907278620994173</v>
      </c>
      <c r="DO25" s="9">
        <f t="shared" si="172"/>
        <v>-0.33642476795523635</v>
      </c>
      <c r="DP25" s="173">
        <f t="shared" si="173"/>
        <v>0.23556745546786084</v>
      </c>
      <c r="DQ25" s="11">
        <f t="shared" si="174"/>
        <v>0</v>
      </c>
      <c r="DR25" s="173">
        <f t="shared" si="175"/>
        <v>199.81455724198835</v>
      </c>
      <c r="DS25" s="5">
        <f t="shared" si="176"/>
        <v>0</v>
      </c>
      <c r="DT25" s="5">
        <f t="shared" si="177"/>
        <v>400</v>
      </c>
      <c r="DU25" s="5">
        <f t="shared" si="178"/>
        <v>0.16867365056933722</v>
      </c>
      <c r="DV25" s="5">
        <f t="shared" si="179"/>
        <v>-0.89296448198358713</v>
      </c>
      <c r="DW25" s="5">
        <f t="shared" si="180"/>
        <v>104.54389157699883</v>
      </c>
      <c r="DX25" s="167">
        <f t="shared" si="181"/>
        <v>100.96422757699884</v>
      </c>
      <c r="DY25" s="9">
        <f t="shared" si="182"/>
        <v>67.469460227734885</v>
      </c>
      <c r="DZ25" s="5">
        <f t="shared" si="183"/>
        <v>-357.18579279343487</v>
      </c>
      <c r="EA25" s="10">
        <f t="shared" si="184"/>
        <v>459.83374498769263</v>
      </c>
      <c r="EB25" s="6">
        <f t="shared" si="185"/>
        <v>96556.956004657084</v>
      </c>
      <c r="EC25" s="173">
        <f t="shared" si="186"/>
        <v>9.8996189133477799</v>
      </c>
      <c r="ED25" s="5">
        <f t="shared" si="187"/>
        <v>0.68845431527441581</v>
      </c>
      <c r="EE25" s="4">
        <f t="shared" si="188"/>
        <v>-1.5741803186971208</v>
      </c>
      <c r="EF25" s="5">
        <f t="shared" si="189"/>
        <v>1.0495810231833653</v>
      </c>
      <c r="EG25" s="10">
        <f t="shared" si="190"/>
        <v>-9.272137900582067E-3</v>
      </c>
      <c r="EH25" s="9">
        <f t="shared" si="191"/>
        <v>1.5246835938071985</v>
      </c>
      <c r="EI25" s="5">
        <f t="shared" si="192"/>
        <v>-1.1202695830804181</v>
      </c>
      <c r="EJ25" s="6">
        <f t="shared" si="193"/>
        <v>-9.272137900582067E-3</v>
      </c>
      <c r="EK25" s="236" t="b">
        <f t="shared" si="194"/>
        <v>0</v>
      </c>
      <c r="EL25" s="238" t="b">
        <f t="shared" si="195"/>
        <v>1</v>
      </c>
      <c r="EM25" s="4">
        <f t="shared" si="196"/>
        <v>1.5246835938071985</v>
      </c>
      <c r="EN25" s="5">
        <f t="shared" si="197"/>
        <v>-1.1202695830804181</v>
      </c>
      <c r="EO25" s="10">
        <f t="shared" si="198"/>
        <v>-9.272137900582067E-3</v>
      </c>
      <c r="EP25" s="9">
        <f t="shared" si="199"/>
        <v>323.69321173065299</v>
      </c>
      <c r="EQ25" s="5">
        <f t="shared" si="200"/>
        <v>1.8920000000000021</v>
      </c>
      <c r="ER25" s="7">
        <f t="shared" si="201"/>
        <v>-9.272137900582067E-3</v>
      </c>
      <c r="ES25" s="21">
        <f t="shared" si="124"/>
        <v>-0.55403276739546159</v>
      </c>
      <c r="ET25" s="5">
        <f t="shared" si="35"/>
        <v>-0.791239795159419</v>
      </c>
      <c r="EU25" s="10">
        <f t="shared" si="36"/>
        <v>-0.25881900859134599</v>
      </c>
      <c r="EV25" s="174">
        <f t="shared" si="252"/>
        <v>126.30678826934701</v>
      </c>
      <c r="EW25" s="9">
        <f t="shared" si="125"/>
        <v>0.96567462568178464</v>
      </c>
      <c r="EX25" s="5">
        <f t="shared" si="37"/>
        <v>2.2028120803602891E-2</v>
      </c>
      <c r="EY25" s="6">
        <f t="shared" si="202"/>
        <v>-0.25881900859134599</v>
      </c>
      <c r="EZ25" s="51">
        <f t="shared" si="203"/>
        <v>0.91566846347901087</v>
      </c>
      <c r="FA25" s="266">
        <f t="shared" si="126"/>
        <v>-0.59203304666393075</v>
      </c>
      <c r="FB25" s="267">
        <f t="shared" si="127"/>
        <v>-0.80575522791409282</v>
      </c>
      <c r="FC25" s="269">
        <f t="shared" si="38"/>
        <v>-1.5980749260667504E-2</v>
      </c>
      <c r="FD25" s="4">
        <f t="shared" si="128"/>
        <v>0.99987229967284708</v>
      </c>
      <c r="FE25" s="5">
        <f t="shared" si="39"/>
        <v>1.6653345369377348E-16</v>
      </c>
      <c r="FF25" s="7">
        <f t="shared" si="204"/>
        <v>-1.5980749260667504E-2</v>
      </c>
      <c r="FG25" s="173">
        <f t="shared" si="205"/>
        <v>-3.4197673991062438E-2</v>
      </c>
      <c r="FH25" s="5">
        <f t="shared" si="40"/>
        <v>2.2028120803602724E-2</v>
      </c>
      <c r="FI25" s="10">
        <f t="shared" si="41"/>
        <v>-0.24283825933067849</v>
      </c>
      <c r="FJ25" s="279">
        <f t="shared" si="206"/>
        <v>14.14334721742903</v>
      </c>
      <c r="FK25" s="4">
        <f t="shared" si="42"/>
        <v>0.9659258360722075</v>
      </c>
      <c r="FL25" s="5">
        <f t="shared" si="207"/>
        <v>0.99987229967284708</v>
      </c>
      <c r="FM25" s="8">
        <f t="shared" si="208"/>
        <v>4.0678237579043458E-2</v>
      </c>
      <c r="FN25" s="9">
        <f t="shared" si="209"/>
        <v>1.3067543395496917</v>
      </c>
      <c r="FO25" s="10">
        <f t="shared" si="43"/>
        <v>-1</v>
      </c>
      <c r="FP25" s="277">
        <f t="shared" si="44"/>
        <v>-1.3067543395496917</v>
      </c>
      <c r="FQ25" s="173">
        <f t="shared" si="239"/>
        <v>2.280518853618603E-2</v>
      </c>
      <c r="FR25" s="10">
        <f t="shared" si="210"/>
        <v>0.99973992786915788</v>
      </c>
      <c r="FS25" s="9">
        <f t="shared" si="211"/>
        <v>2.2302378809802948E-2</v>
      </c>
      <c r="FT25" s="6">
        <f t="shared" si="212"/>
        <v>0.9776976211901971</v>
      </c>
      <c r="FU25" s="4">
        <f t="shared" si="213"/>
        <v>0.99975735150778566</v>
      </c>
      <c r="FV25" s="5">
        <f t="shared" si="214"/>
        <v>1</v>
      </c>
      <c r="FW25" s="8">
        <f t="shared" si="240"/>
        <v>0.24523437993306085</v>
      </c>
      <c r="FX25" s="9">
        <f t="shared" si="241"/>
        <v>14.088055533318343</v>
      </c>
      <c r="FY25" s="10">
        <f t="shared" si="45"/>
        <v>1</v>
      </c>
      <c r="FZ25" s="277">
        <f t="shared" si="242"/>
        <v>14.088055533318343</v>
      </c>
      <c r="GA25" s="177">
        <f t="shared" si="215"/>
        <v>14.083922374777083</v>
      </c>
      <c r="GB25" s="4">
        <f t="shared" si="216"/>
        <v>2.2119271879329098E-2</v>
      </c>
      <c r="GC25" s="5">
        <f t="shared" si="217"/>
        <v>0.96967053081232712</v>
      </c>
      <c r="GD25" s="10">
        <f t="shared" si="218"/>
        <v>-0.24341281701189893</v>
      </c>
      <c r="GE25" s="311">
        <f t="shared" si="219"/>
        <v>1.235202619703555</v>
      </c>
      <c r="GF25" s="341">
        <f t="shared" si="243"/>
        <v>0.809583775202806</v>
      </c>
      <c r="GG25" s="285">
        <f t="shared" si="46"/>
        <v>1.7907403632804516E-2</v>
      </c>
      <c r="GH25" s="286">
        <f t="shared" si="47"/>
        <v>0.78502952903795264</v>
      </c>
      <c r="GI25" s="281">
        <f t="shared" si="48"/>
        <v>0.19706306732924295</v>
      </c>
      <c r="GJ25" s="167">
        <f t="shared" si="220"/>
        <v>1.8919999999999999</v>
      </c>
      <c r="GK25" s="174">
        <f t="shared" si="49"/>
        <v>0.99077540577543399</v>
      </c>
      <c r="GL25" s="174">
        <f t="shared" si="221"/>
        <v>4.0099999999999997E-2</v>
      </c>
      <c r="GM25" s="177">
        <f t="shared" si="244"/>
        <v>0.47676112525913883</v>
      </c>
      <c r="GN25" s="280">
        <f t="shared" si="222"/>
        <v>3.2768452096474394E-2</v>
      </c>
      <c r="GO25" s="4">
        <f t="shared" si="223"/>
        <v>-1.3067543395496917</v>
      </c>
      <c r="GP25" s="8">
        <f t="shared" si="245"/>
        <v>14.088055533318343</v>
      </c>
      <c r="GQ25" s="177">
        <f t="shared" si="224"/>
        <v>14.14334721742903</v>
      </c>
      <c r="GR25" s="371">
        <f t="shared" si="246"/>
        <v>1518.2904197355667</v>
      </c>
      <c r="GS25" s="342">
        <f t="shared" si="51"/>
        <v>27.188639378024977</v>
      </c>
      <c r="GT25" s="343">
        <f t="shared" si="52"/>
        <v>27.441778650879701</v>
      </c>
      <c r="GU25" s="344">
        <f t="shared" si="53"/>
        <v>1191.9028131478472</v>
      </c>
      <c r="GV25" s="343">
        <f t="shared" si="253"/>
        <v>1203</v>
      </c>
      <c r="GW25" s="345">
        <f t="shared" si="129"/>
        <v>30000</v>
      </c>
      <c r="GX25" s="346">
        <f t="shared" si="54"/>
        <v>189.67299999999997</v>
      </c>
      <c r="GY25" s="344">
        <f t="shared" si="55"/>
        <v>299.1989672096945</v>
      </c>
      <c r="GZ25" s="345">
        <f t="shared" si="56"/>
        <v>301.98465309655654</v>
      </c>
      <c r="HA25" s="342">
        <f t="shared" si="57"/>
        <v>-27.188639378024977</v>
      </c>
      <c r="HB25" s="5">
        <f t="shared" si="225"/>
        <v>126.30678826934701</v>
      </c>
      <c r="HC25" s="343">
        <f t="shared" si="226"/>
        <v>16.098628805784262</v>
      </c>
      <c r="HD25" s="363">
        <f t="shared" si="227"/>
        <v>-21.910186256667551</v>
      </c>
      <c r="HE25" s="344">
        <f t="shared" si="58"/>
        <v>1203</v>
      </c>
      <c r="HF25" s="5">
        <f t="shared" si="59"/>
        <v>216.30678826934701</v>
      </c>
      <c r="HG25" s="343">
        <f t="shared" si="228"/>
        <v>-969.44733792286399</v>
      </c>
      <c r="HH25" s="349">
        <f t="shared" si="229"/>
        <v>-712.30671693749491</v>
      </c>
      <c r="HI25" s="317">
        <f t="shared" si="60"/>
        <v>3.109</v>
      </c>
      <c r="HJ25" s="336"/>
      <c r="HK25" s="310">
        <f t="shared" si="130"/>
        <v>17</v>
      </c>
      <c r="HL25" s="348">
        <f t="shared" si="61"/>
        <v>5.1139999999999999</v>
      </c>
      <c r="HM25" s="934">
        <f t="shared" si="62"/>
        <v>4.586193407966217</v>
      </c>
      <c r="HN25" s="935">
        <f t="shared" si="63"/>
        <v>18.476523534948878</v>
      </c>
      <c r="HO25" s="936"/>
      <c r="HP25" s="937"/>
      <c r="HQ25" s="935">
        <f t="shared" si="64"/>
        <v>17.532827302745179</v>
      </c>
      <c r="HR25" s="938">
        <f t="shared" si="65"/>
        <v>16.995149855330506</v>
      </c>
      <c r="HS25" s="939">
        <f t="shared" si="249"/>
        <v>3.1585999999999999</v>
      </c>
      <c r="HT25" s="940">
        <f t="shared" si="66"/>
        <v>2.7400000000000001E-2</v>
      </c>
      <c r="HU25" s="941">
        <f t="shared" si="67"/>
        <v>0.54380721337765769</v>
      </c>
      <c r="HV25" s="942">
        <f t="shared" si="68"/>
        <v>3.7376622541523859E-2</v>
      </c>
      <c r="HW25" s="943">
        <f t="shared" si="69"/>
        <v>30000</v>
      </c>
      <c r="HX25" s="950">
        <f t="shared" si="70"/>
        <v>216.36409999999998</v>
      </c>
      <c r="HY25" s="955">
        <f t="shared" si="71"/>
        <v>109.05450568377915</v>
      </c>
      <c r="HZ25" s="956">
        <f t="shared" si="72"/>
        <v>1359.5180334441441</v>
      </c>
      <c r="IA25" s="957">
        <f t="shared" si="73"/>
        <v>416.85523389894047</v>
      </c>
      <c r="IB25" s="958">
        <f t="shared" si="74"/>
        <v>1885.4277730268636</v>
      </c>
      <c r="IC25" s="841">
        <f t="shared" si="75"/>
        <v>65.93719352509747</v>
      </c>
      <c r="ID25" s="351">
        <f t="shared" si="76"/>
        <v>822</v>
      </c>
      <c r="IE25" s="843">
        <f t="shared" si="77"/>
        <v>252.04152783237581</v>
      </c>
      <c r="IF25" s="844"/>
      <c r="IG25" s="789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7">
        <f t="shared" si="230"/>
        <v>3.109</v>
      </c>
      <c r="IJ25" s="967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8"/>
        <v>1313</v>
      </c>
      <c r="IM25" s="482" t="str">
        <f t="shared" si="231"/>
        <v/>
      </c>
      <c r="IN25" s="670" t="str">
        <f t="shared" si="80"/>
        <v/>
      </c>
      <c r="IO25" s="702"/>
      <c r="IP25" s="5" t="str">
        <f t="shared" si="81"/>
        <v/>
      </c>
      <c r="IQ25" s="714"/>
      <c r="IR25" s="9" t="str">
        <f t="shared" si="131"/>
        <v/>
      </c>
      <c r="IS25" s="5" t="str">
        <f t="shared" si="82"/>
        <v/>
      </c>
      <c r="IT25" s="5" t="str">
        <f t="shared" si="83"/>
        <v/>
      </c>
      <c r="IU25" s="5" t="str">
        <f t="shared" si="84"/>
        <v/>
      </c>
      <c r="IV25" s="670" t="str">
        <f t="shared" si="85"/>
        <v/>
      </c>
      <c r="IW25" s="9" t="str">
        <f t="shared" si="86"/>
        <v/>
      </c>
      <c r="IX25" s="5" t="str">
        <f t="shared" si="87"/>
        <v/>
      </c>
      <c r="IY25" s="5" t="str">
        <f t="shared" si="88"/>
        <v/>
      </c>
      <c r="IZ25" s="5" t="str">
        <f t="shared" si="89"/>
        <v/>
      </c>
      <c r="JA25" s="705" t="str">
        <f t="shared" si="90"/>
        <v/>
      </c>
      <c r="JC25" s="739"/>
      <c r="JD25" s="796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2.1262784925498157</v>
      </c>
      <c r="C26" s="572">
        <f t="shared" si="278"/>
        <v>-1.4888381053223882</v>
      </c>
      <c r="D26" s="576">
        <f t="shared" si="278"/>
        <v>-3.1300094401084555E-2</v>
      </c>
      <c r="E26" s="580">
        <f t="shared" ref="E26:K26" si="279">R181</f>
        <v>0.55403276739546159</v>
      </c>
      <c r="F26" s="572">
        <f t="shared" si="279"/>
        <v>0.791239795159419</v>
      </c>
      <c r="G26" s="579">
        <f t="shared" si="279"/>
        <v>0.25881900859134599</v>
      </c>
      <c r="H26" s="580">
        <f t="shared" si="279"/>
        <v>0.26450000000000001</v>
      </c>
      <c r="I26" s="572">
        <f t="shared" si="279"/>
        <v>0.52</v>
      </c>
      <c r="J26" s="483">
        <f t="shared" si="92"/>
        <v>3.1120000000000001</v>
      </c>
      <c r="K26" s="805">
        <f t="shared" si="279"/>
        <v>1313</v>
      </c>
      <c r="L26" s="309"/>
      <c r="M26" s="164">
        <f t="shared" si="4"/>
        <v>3.1120000000000001</v>
      </c>
      <c r="N26" s="575">
        <f t="shared" si="5"/>
        <v>2.1262784925498157</v>
      </c>
      <c r="O26" s="572">
        <f t="shared" si="6"/>
        <v>-1.4888381053223882</v>
      </c>
      <c r="P26" s="576">
        <f t="shared" si="7"/>
        <v>-3.1300094401084555E-2</v>
      </c>
      <c r="Q26" s="528">
        <f t="shared" si="134"/>
        <v>324.9999660702029</v>
      </c>
      <c r="R26" s="572">
        <f>IF(M26="","",SQRT(N26^2+O26^2))</f>
        <v>2.5957078286548114</v>
      </c>
      <c r="S26" s="577">
        <f>IF(M26="","",P26)</f>
        <v>-3.1300094401084555E-2</v>
      </c>
      <c r="T26" s="578">
        <f>IF(M26="","",X26*COS(RADIANS(W26)))</f>
        <v>-1.4761943769033843</v>
      </c>
      <c r="U26" s="572">
        <f>IF(M26="","",X26*SIN(RADIANS(W26)))</f>
        <v>-2.1350759455669732</v>
      </c>
      <c r="V26" s="579">
        <f>IF(M26="","",Y26)</f>
        <v>-3.1300094401084555E-2</v>
      </c>
      <c r="W26" s="528">
        <f t="shared" si="256"/>
        <v>235.33996602111299</v>
      </c>
      <c r="X26" s="572">
        <f>IF(M26="","",R26)</f>
        <v>2.5957078286548114</v>
      </c>
      <c r="Y26" s="573">
        <f t="shared" si="259"/>
        <v>-3.1300094401084555E-2</v>
      </c>
      <c r="Z26" s="575">
        <f t="shared" si="10"/>
        <v>-0.55403276739546159</v>
      </c>
      <c r="AA26" s="572">
        <f t="shared" si="11"/>
        <v>-0.791239795159419</v>
      </c>
      <c r="AB26" s="572">
        <f t="shared" si="12"/>
        <v>-0.25881900859134599</v>
      </c>
      <c r="AC26" s="579">
        <f>IF(M26="","",SQRT(Z26^2+AA26^2+AB26^2))</f>
        <v>1</v>
      </c>
      <c r="AD26" s="580">
        <f>IF(M26="","",Z26*(1/SQRT(Z26^2+AA26^2+AB26^2)))</f>
        <v>-0.55403276739546159</v>
      </c>
      <c r="AE26" s="572">
        <f>IF(M26="","",AA26*(1/SQRT(Z26^2+AA26^2+AB26^2)))</f>
        <v>-0.791239795159419</v>
      </c>
      <c r="AF26" s="576">
        <f>IF(M26="","",AB26*(1/SQRT(Z26^2+AA26^2+AB26^2)))</f>
        <v>-0.25881900859134599</v>
      </c>
      <c r="AG26" s="545">
        <f>IF(M26="","",DEGREES(ATAN2(-AF26,AE26)))</f>
        <v>-71.886786804836674</v>
      </c>
      <c r="AH26" s="546">
        <f>IF(M26="","",DEGREES(ACOS(AD26)))</f>
        <v>123.64412001543978</v>
      </c>
      <c r="AI26" s="528">
        <f>IF(M26="","",DEGREES(-ACOS(-AF26)))</f>
        <v>-75.000002165731729</v>
      </c>
      <c r="AJ26" s="529">
        <f>IF(M26="","",DEGREES(ATAN2(-AE26,AD26)))</f>
        <v>-35.000033929797127</v>
      </c>
      <c r="AK26" s="578">
        <f>IF(M26="","",(COS(RADIANS((90-$Q$8)-W26))*AD26)+(-SIN(RADIANS((90-$Q$8)-W26))*AE26))</f>
        <v>0.9659258360722075</v>
      </c>
      <c r="AL26" s="572">
        <f>IF(M26="","",(SIN(RADIANS((90-$Q$8)-W26))*AD26)+(COS(RADIANS((90-$Q$8)-W26))*AE26))</f>
        <v>-1.6653345369377348E-16</v>
      </c>
      <c r="AM26" s="577">
        <f>IF(M26="","",AF26)</f>
        <v>-0.25881900859134599</v>
      </c>
      <c r="AN26" s="524">
        <f>IF(M26="","",DEGREES(ATAN2(-AM26,AL26)))</f>
        <v>-3.686616410565136E-14</v>
      </c>
      <c r="AO26" s="525">
        <f t="shared" si="108"/>
        <v>14.99999783426823</v>
      </c>
      <c r="AP26" s="528">
        <f>IF(M26="","",DEGREES(ATAN2(AK26,AL26)))</f>
        <v>-9.8782574065834049E-15</v>
      </c>
      <c r="AQ26" s="529">
        <f t="shared" si="13"/>
        <v>0.66745334221018671</v>
      </c>
      <c r="AS26" s="899">
        <f t="shared" si="137"/>
        <v>-124.66003397888701</v>
      </c>
      <c r="AT26" s="895">
        <f t="shared" si="14"/>
        <v>3.4672043499497512E-2</v>
      </c>
      <c r="AU26" s="418"/>
      <c r="AV26" s="164">
        <f t="shared" si="15"/>
        <v>3.1120000000000001</v>
      </c>
      <c r="AW26" s="828">
        <f>IFERROR(INDEX(MassProp!C$9:C$150,MATCH($M26,MassProp!$B$9:$B$150,0)),"")</f>
        <v>2.5447000000000002</v>
      </c>
      <c r="AX26" s="829">
        <f>IFERROR(INDEX(MassProp!D$9:D$150,MATCH($M26,MassProp!$B$9:$B$150,0)),"")</f>
        <v>0.40839999999999999</v>
      </c>
      <c r="AY26" s="830">
        <f>IFERROR(INDEX(MassProp!E$9:E$150,MATCH($M26,MassProp!$B$9:$B$150,0)),"")</f>
        <v>3.3099999999999997E-2</v>
      </c>
      <c r="AZ26" s="297">
        <f t="shared" si="138"/>
        <v>0.52926736237883631</v>
      </c>
      <c r="BA26" s="296">
        <f t="shared" si="16"/>
        <v>3.6377278455560921E-2</v>
      </c>
      <c r="BB26" s="190">
        <f t="shared" si="139"/>
        <v>0.18372795650050247</v>
      </c>
      <c r="BC26" s="9"/>
      <c r="BD26" s="5">
        <f t="shared" si="235"/>
        <v>2.5447000000000002</v>
      </c>
      <c r="BE26" s="6">
        <f t="shared" si="17"/>
        <v>0.15242786209941792</v>
      </c>
      <c r="BF26" s="4">
        <f t="shared" si="18"/>
        <v>2.1262784925498157</v>
      </c>
      <c r="BG26" s="5">
        <f t="shared" si="19"/>
        <v>-1.4888381053223882</v>
      </c>
      <c r="BH26" s="10">
        <f t="shared" si="20"/>
        <v>-3.1300094401084555E-2</v>
      </c>
      <c r="BI26" s="9">
        <f t="shared" si="140"/>
        <v>2.1262784925498157</v>
      </c>
      <c r="BJ26" s="5">
        <f t="shared" si="21"/>
        <v>-1.1779424819478028</v>
      </c>
      <c r="BK26" s="8">
        <f t="shared" si="22"/>
        <v>-0.9817441544943275</v>
      </c>
      <c r="BL26" s="173">
        <f t="shared" si="23"/>
        <v>2.9587733529856783</v>
      </c>
      <c r="BM26" s="5">
        <f t="shared" si="24"/>
        <v>-2.0154152581904263</v>
      </c>
      <c r="BN26" s="6">
        <f t="shared" si="25"/>
        <v>-0.2035464569904433</v>
      </c>
      <c r="BO26" s="4">
        <f t="shared" si="141"/>
        <v>-0.55403276739546203</v>
      </c>
      <c r="BP26" s="5">
        <f t="shared" si="142"/>
        <v>-0.79123979515941867</v>
      </c>
      <c r="BQ26" s="5">
        <f t="shared" si="143"/>
        <v>-0.25881900859134621</v>
      </c>
      <c r="BR26" s="6">
        <f t="shared" si="144"/>
        <v>-8.1010594017023665E-3</v>
      </c>
      <c r="BS26" s="4">
        <f t="shared" si="110"/>
        <v>0</v>
      </c>
      <c r="BT26" s="5">
        <f t="shared" si="110"/>
        <v>0</v>
      </c>
      <c r="BU26" s="10">
        <f t="shared" si="111"/>
        <v>0.15242786209941792</v>
      </c>
      <c r="BV26" s="9">
        <f t="shared" si="112"/>
        <v>0</v>
      </c>
      <c r="BW26" s="5">
        <f t="shared" si="113"/>
        <v>1</v>
      </c>
      <c r="BX26" s="8">
        <f t="shared" si="114"/>
        <v>0.15242786209941792</v>
      </c>
      <c r="BY26" s="173">
        <f t="shared" si="115"/>
        <v>1</v>
      </c>
      <c r="BZ26" s="5">
        <f t="shared" si="116"/>
        <v>0</v>
      </c>
      <c r="CA26" s="6">
        <f t="shared" si="117"/>
        <v>0.15242786209941792</v>
      </c>
      <c r="CB26" s="4">
        <f t="shared" si="145"/>
        <v>0</v>
      </c>
      <c r="CC26" s="5">
        <f t="shared" si="146"/>
        <v>0</v>
      </c>
      <c r="CD26" s="5">
        <f t="shared" si="147"/>
        <v>-1</v>
      </c>
      <c r="CE26" s="6">
        <f t="shared" si="148"/>
        <v>0.15242786209941792</v>
      </c>
      <c r="CF26" s="4">
        <f t="shared" si="149"/>
        <v>0.79123979515941867</v>
      </c>
      <c r="CG26" s="5">
        <f t="shared" si="150"/>
        <v>-0.55403276739546203</v>
      </c>
      <c r="CH26" s="5">
        <f t="shared" si="151"/>
        <v>0</v>
      </c>
      <c r="CI26" s="4">
        <f t="shared" si="118"/>
        <v>0</v>
      </c>
      <c r="CJ26" s="5">
        <f t="shared" si="119"/>
        <v>-6.0098452887334022E-2</v>
      </c>
      <c r="CK26" s="8">
        <f t="shared" si="120"/>
        <v>0.15242786209941792</v>
      </c>
      <c r="CL26" s="173">
        <f t="shared" si="121"/>
        <v>0.79123979515941867</v>
      </c>
      <c r="CM26" s="5">
        <f t="shared" si="122"/>
        <v>-0.6141312202827961</v>
      </c>
      <c r="CN26" s="6">
        <f t="shared" si="123"/>
        <v>0.15242786209941792</v>
      </c>
      <c r="CO26" s="167">
        <f t="shared" si="26"/>
        <v>0.26450000000000001</v>
      </c>
      <c r="CP26" s="4">
        <f t="shared" si="236"/>
        <v>0.93301272079179298</v>
      </c>
      <c r="CQ26" s="5">
        <f t="shared" si="237"/>
        <v>-4.9479294848464352</v>
      </c>
      <c r="CR26" s="5">
        <f t="shared" si="152"/>
        <v>6.5261529343200069</v>
      </c>
      <c r="CS26" s="8">
        <f t="shared" si="153"/>
        <v>0.12607136479969938</v>
      </c>
      <c r="CT26" s="9">
        <f t="shared" si="154"/>
        <v>2.8418662807060988</v>
      </c>
      <c r="CU26" s="6">
        <f t="shared" si="155"/>
        <v>2.4613084505531053</v>
      </c>
      <c r="CV26" s="4">
        <f t="shared" si="238"/>
        <v>2.2485976938163525</v>
      </c>
      <c r="CW26" s="5">
        <f t="shared" si="156"/>
        <v>-1.6345854929547829</v>
      </c>
      <c r="CX26" s="8">
        <f t="shared" si="157"/>
        <v>0.15242786209941792</v>
      </c>
      <c r="CY26" s="9">
        <f t="shared" si="158"/>
        <v>1.9474851942397853</v>
      </c>
      <c r="CZ26" s="5">
        <f t="shared" si="159"/>
        <v>-1.4237439851611078</v>
      </c>
      <c r="DA26" s="6">
        <f t="shared" si="160"/>
        <v>0.15242786209941792</v>
      </c>
      <c r="DB26" s="4">
        <f t="shared" si="161"/>
        <v>0</v>
      </c>
      <c r="DC26" s="5">
        <f t="shared" si="161"/>
        <v>0</v>
      </c>
      <c r="DD26" s="10">
        <f t="shared" si="162"/>
        <v>-10</v>
      </c>
      <c r="DE26" s="9">
        <f t="shared" si="163"/>
        <v>0</v>
      </c>
      <c r="DF26" s="5">
        <f t="shared" si="163"/>
        <v>0</v>
      </c>
      <c r="DG26" s="10">
        <f t="shared" si="164"/>
        <v>10</v>
      </c>
      <c r="DH26" s="70">
        <f t="shared" si="165"/>
        <v>2.5447000000000002</v>
      </c>
      <c r="DI26" s="4">
        <f t="shared" si="166"/>
        <v>0</v>
      </c>
      <c r="DJ26" s="5">
        <f t="shared" si="167"/>
        <v>0</v>
      </c>
      <c r="DK26" s="10">
        <f t="shared" si="168"/>
        <v>20</v>
      </c>
      <c r="DL26" s="9">
        <f t="shared" si="169"/>
        <v>2.2485976938163525</v>
      </c>
      <c r="DM26" s="173">
        <f t="shared" si="170"/>
        <v>-1.6345854929547829</v>
      </c>
      <c r="DN26" s="178">
        <f t="shared" si="171"/>
        <v>10.152427862099417</v>
      </c>
      <c r="DO26" s="9">
        <f t="shared" si="172"/>
        <v>-0.30111249957656727</v>
      </c>
      <c r="DP26" s="173">
        <f t="shared" si="173"/>
        <v>0.21084150779367516</v>
      </c>
      <c r="DQ26" s="11">
        <f t="shared" si="174"/>
        <v>0</v>
      </c>
      <c r="DR26" s="173">
        <f t="shared" si="175"/>
        <v>203.04855724198833</v>
      </c>
      <c r="DS26" s="5">
        <f t="shared" si="176"/>
        <v>0</v>
      </c>
      <c r="DT26" s="5">
        <f t="shared" si="177"/>
        <v>400</v>
      </c>
      <c r="DU26" s="5">
        <f t="shared" si="178"/>
        <v>0.1351228788099586</v>
      </c>
      <c r="DV26" s="5">
        <f t="shared" si="179"/>
        <v>-1.0217193420794008</v>
      </c>
      <c r="DW26" s="5">
        <f t="shared" si="180"/>
        <v>110.79985281754699</v>
      </c>
      <c r="DX26" s="167">
        <f t="shared" si="181"/>
        <v>104.32435472754699</v>
      </c>
      <c r="DY26" s="9">
        <f t="shared" si="182"/>
        <v>54.04915152398344</v>
      </c>
      <c r="DZ26" s="5">
        <f t="shared" si="183"/>
        <v>-408.68773683176033</v>
      </c>
      <c r="EA26" s="10">
        <f t="shared" si="184"/>
        <v>501.02529296578723</v>
      </c>
      <c r="EB26" s="6">
        <f t="shared" si="185"/>
        <v>139945.67425981018</v>
      </c>
      <c r="EC26" s="173">
        <f t="shared" si="186"/>
        <v>14.482759683913772</v>
      </c>
      <c r="ED26" s="5">
        <f t="shared" si="187"/>
        <v>0.6400581701430762</v>
      </c>
      <c r="EE26" s="4">
        <f t="shared" si="188"/>
        <v>-2.1123422753736585</v>
      </c>
      <c r="EF26" s="5">
        <f t="shared" si="189"/>
        <v>1.4189813958150468</v>
      </c>
      <c r="EG26" s="10">
        <f t="shared" si="190"/>
        <v>0.15242786209941792</v>
      </c>
      <c r="EH26" s="9">
        <f t="shared" si="191"/>
        <v>2.0558681783301669</v>
      </c>
      <c r="EI26" s="5">
        <f t="shared" si="192"/>
        <v>-1.4996346632861561</v>
      </c>
      <c r="EJ26" s="6">
        <f t="shared" si="193"/>
        <v>0.15242786209941792</v>
      </c>
      <c r="EK26" s="236" t="b">
        <f t="shared" si="194"/>
        <v>0</v>
      </c>
      <c r="EL26" s="238" t="b">
        <f t="shared" si="195"/>
        <v>1</v>
      </c>
      <c r="EM26" s="4">
        <f t="shared" si="196"/>
        <v>2.0558681783301669</v>
      </c>
      <c r="EN26" s="5">
        <f t="shared" si="197"/>
        <v>-1.4996346632861561</v>
      </c>
      <c r="EO26" s="10">
        <f t="shared" si="198"/>
        <v>0.15242786209941792</v>
      </c>
      <c r="EP26" s="9">
        <f t="shared" si="199"/>
        <v>323.89145312755994</v>
      </c>
      <c r="EQ26" s="5">
        <f t="shared" si="200"/>
        <v>2.5446999999999962</v>
      </c>
      <c r="ER26" s="7">
        <f t="shared" si="201"/>
        <v>0.15242786209941792</v>
      </c>
      <c r="ES26" s="21">
        <f t="shared" si="124"/>
        <v>-0.55403276739546159</v>
      </c>
      <c r="ET26" s="5">
        <f t="shared" si="35"/>
        <v>-0.791239795159419</v>
      </c>
      <c r="EU26" s="10">
        <f t="shared" si="36"/>
        <v>-0.25881900859134599</v>
      </c>
      <c r="EV26" s="174">
        <f t="shared" si="252"/>
        <v>126.10854687244006</v>
      </c>
      <c r="EW26" s="9">
        <f t="shared" si="125"/>
        <v>0.96574506184592401</v>
      </c>
      <c r="EX26" s="5">
        <f t="shared" si="37"/>
        <v>1.8686795123972644E-2</v>
      </c>
      <c r="EY26" s="6">
        <f t="shared" si="202"/>
        <v>-0.25881900859134599</v>
      </c>
      <c r="EZ26" s="51">
        <f t="shared" si="203"/>
        <v>0.68083101835888804</v>
      </c>
      <c r="FA26" s="266">
        <f t="shared" si="126"/>
        <v>-0.58927527435066895</v>
      </c>
      <c r="FB26" s="267">
        <f t="shared" si="127"/>
        <v>-0.80784494682165831</v>
      </c>
      <c r="FC26" s="269">
        <f t="shared" si="38"/>
        <v>-1.1882463282325919E-2</v>
      </c>
      <c r="FD26" s="4">
        <f t="shared" si="128"/>
        <v>0.99992940104106554</v>
      </c>
      <c r="FE26" s="5">
        <f t="shared" si="39"/>
        <v>2.2204460492503131E-16</v>
      </c>
      <c r="FF26" s="7">
        <f t="shared" si="204"/>
        <v>-1.1882463282325919E-2</v>
      </c>
      <c r="FG26" s="173">
        <f t="shared" si="205"/>
        <v>-3.4184339195141522E-2</v>
      </c>
      <c r="FH26" s="5">
        <f t="shared" si="40"/>
        <v>1.8686795123972422E-2</v>
      </c>
      <c r="FI26" s="10">
        <f t="shared" si="41"/>
        <v>-0.24693654530902007</v>
      </c>
      <c r="FJ26" s="279">
        <f t="shared" si="206"/>
        <v>14.360982894761085</v>
      </c>
      <c r="FK26" s="4">
        <f t="shared" si="42"/>
        <v>0.9659258360722075</v>
      </c>
      <c r="FL26" s="5">
        <f t="shared" si="207"/>
        <v>0.99992940104106554</v>
      </c>
      <c r="FM26" s="8">
        <f t="shared" si="208"/>
        <v>3.8958508162066585E-2</v>
      </c>
      <c r="FN26" s="9">
        <f t="shared" si="209"/>
        <v>1.10851294264304</v>
      </c>
      <c r="FO26" s="10">
        <f t="shared" si="43"/>
        <v>-1</v>
      </c>
      <c r="FP26" s="277">
        <f t="shared" si="44"/>
        <v>-1.10851294264304</v>
      </c>
      <c r="FQ26" s="173">
        <f t="shared" si="239"/>
        <v>1.9345993684113029E-2</v>
      </c>
      <c r="FR26" s="10">
        <f t="shared" si="210"/>
        <v>0.9998128487513922</v>
      </c>
      <c r="FS26" s="9">
        <f>IF(ISNUMBER($AV26),FQ26/(FQ26+FR26),"")</f>
        <v>1.8982314511329267E-2</v>
      </c>
      <c r="FT26" s="6">
        <f t="shared" si="212"/>
        <v>0.98101768548867085</v>
      </c>
      <c r="FU26" s="4">
        <f t="shared" si="213"/>
        <v>0.99982538659907749</v>
      </c>
      <c r="FV26" s="5">
        <f t="shared" si="214"/>
        <v>1</v>
      </c>
      <c r="FW26" s="8">
        <f t="shared" si="240"/>
        <v>0.2492914488211784</v>
      </c>
      <c r="FX26" s="9">
        <f t="shared" si="241"/>
        <v>14.321848027903851</v>
      </c>
      <c r="FY26" s="10">
        <f t="shared" si="45"/>
        <v>1</v>
      </c>
      <c r="FZ26" s="277">
        <f t="shared" si="242"/>
        <v>14.321848027903851</v>
      </c>
      <c r="GA26" s="177">
        <f t="shared" si="215"/>
        <v>14.31862051913664</v>
      </c>
      <c r="GB26" s="4">
        <f t="shared" si="216"/>
        <v>1.8744748741368521E-2</v>
      </c>
      <c r="GC26" s="5">
        <f t="shared" si="217"/>
        <v>0.96874014042644008</v>
      </c>
      <c r="GD26" s="10">
        <f t="shared" si="218"/>
        <v>-0.24736849985635634</v>
      </c>
      <c r="GE26" s="311">
        <f t="shared" si="219"/>
        <v>1.2348533890241651</v>
      </c>
      <c r="GF26" s="341">
        <f>IF(ISNUMBER($AV26),1/GE26,"")</f>
        <v>0.80981273476541493</v>
      </c>
      <c r="GG26" s="285">
        <f t="shared" si="46"/>
        <v>1.5179736240738212E-2</v>
      </c>
      <c r="GH26" s="286">
        <f t="shared" si="47"/>
        <v>0.78449810239576756</v>
      </c>
      <c r="GI26" s="281">
        <f t="shared" si="48"/>
        <v>0.20032216136349409</v>
      </c>
      <c r="GJ26" s="167">
        <f t="shared" si="220"/>
        <v>2.5447000000000002</v>
      </c>
      <c r="GK26" s="174">
        <f t="shared" si="49"/>
        <v>1.3324958770866979</v>
      </c>
      <c r="GL26" s="174">
        <f t="shared" si="221"/>
        <v>3.3099999999999997E-2</v>
      </c>
      <c r="GM26" s="177">
        <f t="shared" si="244"/>
        <v>0.52926736237883631</v>
      </c>
      <c r="GN26" s="280">
        <f t="shared" si="222"/>
        <v>3.6377278455560921E-2</v>
      </c>
      <c r="GO26" s="4">
        <f t="shared" si="223"/>
        <v>-1.10851294264304</v>
      </c>
      <c r="GP26" s="8">
        <f t="shared" si="245"/>
        <v>14.321848027903851</v>
      </c>
      <c r="GQ26" s="177">
        <f t="shared" si="224"/>
        <v>14.360982894761085</v>
      </c>
      <c r="GR26" s="371">
        <f t="shared" si="246"/>
        <v>1686.643220558833</v>
      </c>
      <c r="GS26" s="342">
        <f t="shared" si="51"/>
        <v>25.602799220312335</v>
      </c>
      <c r="GT26" s="343">
        <f t="shared" si="52"/>
        <v>19.214167683797275</v>
      </c>
      <c r="GU26" s="344">
        <f t="shared" si="53"/>
        <v>1323.1684059470908</v>
      </c>
      <c r="GV26" s="343">
        <f t="shared" si="253"/>
        <v>992.99999999999989</v>
      </c>
      <c r="GW26" s="345">
        <f t="shared" si="129"/>
        <v>30000</v>
      </c>
      <c r="GX26" s="346">
        <f t="shared" si="54"/>
        <v>210.573925</v>
      </c>
      <c r="GY26" s="344">
        <f t="shared" si="55"/>
        <v>337.87201539142995</v>
      </c>
      <c r="GZ26" s="345">
        <f t="shared" si="56"/>
        <v>253.56327265352323</v>
      </c>
      <c r="HA26" s="342">
        <f t="shared" si="57"/>
        <v>-25.602799220312335</v>
      </c>
      <c r="HB26" s="5">
        <f t="shared" si="225"/>
        <v>126.10854687244006</v>
      </c>
      <c r="HC26" s="343">
        <f t="shared" si="226"/>
        <v>15.088161743205953</v>
      </c>
      <c r="HD26" s="363">
        <f t="shared" si="227"/>
        <v>-20.684552282475977</v>
      </c>
      <c r="HE26" s="344">
        <f t="shared" si="58"/>
        <v>992.99999999999989</v>
      </c>
      <c r="HF26" s="5">
        <f t="shared" si="59"/>
        <v>216.10854687244006</v>
      </c>
      <c r="HG26" s="343">
        <f t="shared" si="228"/>
        <v>-802.24666997361521</v>
      </c>
      <c r="HH26" s="349">
        <f t="shared" si="229"/>
        <v>-585.19166135228295</v>
      </c>
      <c r="HI26" s="317">
        <f t="shared" si="60"/>
        <v>3.1120000000000001</v>
      </c>
      <c r="HJ26" s="336"/>
      <c r="HK26" s="310">
        <f t="shared" si="130"/>
        <v>18</v>
      </c>
      <c r="HL26" s="348">
        <f t="shared" si="61"/>
        <v>6.1150000000000002</v>
      </c>
      <c r="HM26" s="934">
        <f t="shared" si="62"/>
        <v>7.9180071305606488</v>
      </c>
      <c r="HN26" s="935">
        <f t="shared" si="63"/>
        <v>19.704227360214578</v>
      </c>
      <c r="HO26" s="936"/>
      <c r="HP26" s="937"/>
      <c r="HQ26" s="935">
        <f t="shared" si="64"/>
        <v>18.644380501852257</v>
      </c>
      <c r="HR26" s="938">
        <f t="shared" si="65"/>
        <v>17.096413532760891</v>
      </c>
      <c r="HS26" s="939">
        <f t="shared" si="249"/>
        <v>3.4542999999999999</v>
      </c>
      <c r="HT26" s="940">
        <f t="shared" si="66"/>
        <v>2.86E-2</v>
      </c>
      <c r="HU26" s="941">
        <f t="shared" si="67"/>
        <v>0.62075838494172131</v>
      </c>
      <c r="HV26" s="942">
        <f t="shared" si="68"/>
        <v>4.2665583082914529E-2</v>
      </c>
      <c r="HW26" s="943">
        <f t="shared" si="69"/>
        <v>30000</v>
      </c>
      <c r="HX26" s="950">
        <f t="shared" si="70"/>
        <v>246.98245</v>
      </c>
      <c r="HY26" s="955">
        <f t="shared" si="71"/>
        <v>215.84050867219713</v>
      </c>
      <c r="HZ26" s="956">
        <f t="shared" si="72"/>
        <v>1551.8959623543033</v>
      </c>
      <c r="IA26" s="957">
        <f t="shared" si="73"/>
        <v>481.91366342721341</v>
      </c>
      <c r="IB26" s="958">
        <f t="shared" si="74"/>
        <v>2249.6501344537137</v>
      </c>
      <c r="IC26" s="841">
        <f t="shared" si="75"/>
        <v>119.33219811964776</v>
      </c>
      <c r="ID26" s="351">
        <f t="shared" si="76"/>
        <v>858</v>
      </c>
      <c r="IE26" s="843">
        <f t="shared" si="77"/>
        <v>266.43662542511964</v>
      </c>
      <c r="IF26" s="844"/>
      <c r="IG26" s="789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7">
        <f t="shared" si="230"/>
        <v>3.1120000000000001</v>
      </c>
      <c r="IJ26" s="967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8"/>
        <v>1313</v>
      </c>
      <c r="IM26" s="482" t="str">
        <f t="shared" si="231"/>
        <v/>
      </c>
      <c r="IN26" s="670" t="str">
        <f t="shared" si="80"/>
        <v/>
      </c>
      <c r="IO26" s="702">
        <v>0.34334860774221798</v>
      </c>
      <c r="IP26" s="5" t="str">
        <f t="shared" si="81"/>
        <v/>
      </c>
      <c r="IQ26" s="714">
        <v>180</v>
      </c>
      <c r="IR26" s="9" t="str">
        <f t="shared" si="131"/>
        <v/>
      </c>
      <c r="IS26" s="5" t="str">
        <f t="shared" si="82"/>
        <v/>
      </c>
      <c r="IT26" s="5" t="str">
        <f t="shared" si="83"/>
        <v/>
      </c>
      <c r="IU26" s="5" t="str">
        <f t="shared" si="84"/>
        <v/>
      </c>
      <c r="IV26" s="670" t="str">
        <f t="shared" si="85"/>
        <v/>
      </c>
      <c r="IW26" s="9" t="str">
        <f t="shared" si="86"/>
        <v/>
      </c>
      <c r="IX26" s="5" t="str">
        <f t="shared" si="87"/>
        <v/>
      </c>
      <c r="IY26" s="5" t="str">
        <f t="shared" si="88"/>
        <v/>
      </c>
      <c r="IZ26" s="5" t="str">
        <f t="shared" si="89"/>
        <v/>
      </c>
      <c r="JA26" s="705" t="str">
        <f t="shared" si="90"/>
        <v/>
      </c>
      <c r="JC26" s="739"/>
      <c r="JD26" s="796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2.7464140205842975</v>
      </c>
      <c r="C27" s="572">
        <f t="shared" si="280"/>
        <v>-1.9756824922990879</v>
      </c>
      <c r="D27" s="576">
        <f t="shared" si="280"/>
        <v>-0.12130036584190335</v>
      </c>
      <c r="E27" s="580">
        <f t="shared" ref="E27:K27" si="281">R182</f>
        <v>0.67514377256032487</v>
      </c>
      <c r="F27" s="572">
        <f t="shared" si="281"/>
        <v>0.67405673543226008</v>
      </c>
      <c r="G27" s="579">
        <f t="shared" si="281"/>
        <v>0.29971386986827409</v>
      </c>
      <c r="H27" s="580">
        <f t="shared" si="281"/>
        <v>0.3125</v>
      </c>
      <c r="I27" s="572">
        <f t="shared" si="281"/>
        <v>0.52</v>
      </c>
      <c r="J27" s="483">
        <f t="shared" si="92"/>
        <v>3.1150000000000002</v>
      </c>
      <c r="K27" s="805">
        <f t="shared" si="281"/>
        <v>1613</v>
      </c>
      <c r="L27" s="309"/>
      <c r="M27" s="164">
        <f t="shared" si="4"/>
        <v>3.1150000000000002</v>
      </c>
      <c r="N27" s="575">
        <f t="shared" si="5"/>
        <v>2.7464140205842975</v>
      </c>
      <c r="O27" s="572">
        <f t="shared" si="6"/>
        <v>-1.9756824922990879</v>
      </c>
      <c r="P27" s="576">
        <f t="shared" si="7"/>
        <v>-0.12130036584190335</v>
      </c>
      <c r="Q27" s="528">
        <f t="shared" si="134"/>
        <v>324.26996617560184</v>
      </c>
      <c r="R27" s="572">
        <f t="shared" si="93"/>
        <v>3.3832102037619745</v>
      </c>
      <c r="S27" s="577">
        <f t="shared" si="94"/>
        <v>-0.12130036584190335</v>
      </c>
      <c r="T27" s="578">
        <f t="shared" si="95"/>
        <v>-1.9593502559197298</v>
      </c>
      <c r="U27" s="572">
        <f t="shared" si="96"/>
        <v>-2.7580895303572781</v>
      </c>
      <c r="V27" s="579">
        <f t="shared" si="135"/>
        <v>-0.12130036584190335</v>
      </c>
      <c r="W27" s="528">
        <f t="shared" si="256"/>
        <v>234.60996612651192</v>
      </c>
      <c r="X27" s="572">
        <f t="shared" si="97"/>
        <v>3.3832102037619745</v>
      </c>
      <c r="Y27" s="573">
        <f t="shared" si="259"/>
        <v>-0.12130036584190335</v>
      </c>
      <c r="Z27" s="575">
        <f t="shared" si="10"/>
        <v>-0.67514377256032487</v>
      </c>
      <c r="AA27" s="572">
        <f t="shared" si="11"/>
        <v>-0.67405673543226008</v>
      </c>
      <c r="AB27" s="572">
        <f t="shared" si="12"/>
        <v>-0.29971386986827409</v>
      </c>
      <c r="AC27" s="579">
        <f t="shared" si="98"/>
        <v>1</v>
      </c>
      <c r="AD27" s="580">
        <f t="shared" si="136"/>
        <v>-0.67514377256032487</v>
      </c>
      <c r="AE27" s="572">
        <f t="shared" si="99"/>
        <v>-0.67405673543226008</v>
      </c>
      <c r="AF27" s="576">
        <f t="shared" si="100"/>
        <v>-0.29971386986827409</v>
      </c>
      <c r="AG27" s="545">
        <f t="shared" si="101"/>
        <v>-66.028064306181932</v>
      </c>
      <c r="AH27" s="546">
        <f t="shared" si="102"/>
        <v>132.46531596397216</v>
      </c>
      <c r="AI27" s="528">
        <f t="shared" si="103"/>
        <v>-72.559581698979187</v>
      </c>
      <c r="AJ27" s="529">
        <f t="shared" si="104"/>
        <v>-45.04616261687314</v>
      </c>
      <c r="AK27" s="578">
        <f t="shared" si="234"/>
        <v>0.94144567090479203</v>
      </c>
      <c r="AL27" s="572">
        <f t="shared" si="105"/>
        <v>-0.15443977772325812</v>
      </c>
      <c r="AM27" s="577">
        <f t="shared" si="106"/>
        <v>-0.29971386986827409</v>
      </c>
      <c r="AN27" s="524">
        <f t="shared" si="107"/>
        <v>-27.26163142967058</v>
      </c>
      <c r="AO27" s="525">
        <f t="shared" si="108"/>
        <v>19.704227360214578</v>
      </c>
      <c r="AP27" s="528">
        <f t="shared" si="109"/>
        <v>-9.3161287924749665</v>
      </c>
      <c r="AQ27" s="529">
        <f t="shared" si="13"/>
        <v>0.51210122916624568</v>
      </c>
      <c r="AS27" s="899">
        <f t="shared" si="137"/>
        <v>-125.39003387348808</v>
      </c>
      <c r="AT27" s="895">
        <f t="shared" si="14"/>
        <v>-5.4942950219170714E-2</v>
      </c>
      <c r="AU27" s="418"/>
      <c r="AV27" s="164">
        <f t="shared" si="15"/>
        <v>3.1150000000000002</v>
      </c>
      <c r="AW27" s="828">
        <f>IFERROR(INDEX(MassProp!C$9:C$150,MATCH($M27,MassProp!$B$9:$B$150,0)),"")</f>
        <v>3.4567000000000001</v>
      </c>
      <c r="AX27" s="829">
        <f>IFERROR(INDEX(MassProp!D$9:D$150,MATCH($M27,MassProp!$B$9:$B$150,0)),"")</f>
        <v>0.3624</v>
      </c>
      <c r="AY27" s="830">
        <f>IFERROR(INDEX(MassProp!E$9:E$150,MATCH($M27,MassProp!$B$9:$B$150,0)),"")</f>
        <v>2.9000000000000001E-2</v>
      </c>
      <c r="AZ27" s="297">
        <f t="shared" si="138"/>
        <v>0.62987761334880532</v>
      </c>
      <c r="BA27" s="296">
        <f t="shared" si="16"/>
        <v>4.3292360274641138E-2</v>
      </c>
      <c r="BB27" s="190">
        <f t="shared" si="139"/>
        <v>0.22734295021917073</v>
      </c>
      <c r="BC27" s="9"/>
      <c r="BD27" s="5">
        <f t="shared" si="235"/>
        <v>3.4567000000000001</v>
      </c>
      <c r="BE27" s="6">
        <f t="shared" si="17"/>
        <v>0.10604258437726738</v>
      </c>
      <c r="BF27" s="4">
        <f t="shared" si="18"/>
        <v>2.7464140205842975</v>
      </c>
      <c r="BG27" s="5">
        <f t="shared" si="19"/>
        <v>-1.9756824922990879</v>
      </c>
      <c r="BH27" s="10">
        <f t="shared" si="20"/>
        <v>-0.12130036584190335</v>
      </c>
      <c r="BI27" s="9">
        <f>IF(ISNUMBER($AV27),BF27+0,"")</f>
        <v>2.7464140205842975</v>
      </c>
      <c r="BJ27" s="5">
        <f t="shared" si="21"/>
        <v>-1.5693933658499941</v>
      </c>
      <c r="BK27" s="8">
        <f t="shared" si="22"/>
        <v>-1.0350449394122379</v>
      </c>
      <c r="BL27" s="173">
        <f t="shared" si="23"/>
        <v>3.484100191237518</v>
      </c>
      <c r="BM27" s="5">
        <f t="shared" si="24"/>
        <v>-2.5925914508558887</v>
      </c>
      <c r="BN27" s="6">
        <f t="shared" si="25"/>
        <v>-0.39560393942298328</v>
      </c>
      <c r="BO27" s="4">
        <f t="shared" si="141"/>
        <v>-0.67514377256032521</v>
      </c>
      <c r="BP27" s="5">
        <f t="shared" si="142"/>
        <v>-0.67405673543225997</v>
      </c>
      <c r="BQ27" s="5">
        <f t="shared" si="143"/>
        <v>-0.29971386986827397</v>
      </c>
      <c r="BR27" s="6">
        <f t="shared" si="144"/>
        <v>0.48614682979714374</v>
      </c>
      <c r="BS27" s="4">
        <f t="shared" si="110"/>
        <v>0</v>
      </c>
      <c r="BT27" s="5">
        <f t="shared" si="110"/>
        <v>0</v>
      </c>
      <c r="BU27" s="10">
        <f t="shared" si="111"/>
        <v>0.10604258437726738</v>
      </c>
      <c r="BV27" s="9">
        <f t="shared" si="112"/>
        <v>0</v>
      </c>
      <c r="BW27" s="5">
        <f t="shared" si="113"/>
        <v>1</v>
      </c>
      <c r="BX27" s="8">
        <f t="shared" si="114"/>
        <v>0.10604258437726738</v>
      </c>
      <c r="BY27" s="173">
        <f t="shared" si="115"/>
        <v>1</v>
      </c>
      <c r="BZ27" s="5">
        <f t="shared" si="116"/>
        <v>0</v>
      </c>
      <c r="CA27" s="6">
        <f t="shared" si="117"/>
        <v>0.10604258437726738</v>
      </c>
      <c r="CB27" s="4">
        <f t="shared" si="145"/>
        <v>0</v>
      </c>
      <c r="CC27" s="5">
        <f t="shared" si="146"/>
        <v>0</v>
      </c>
      <c r="CD27" s="5">
        <f t="shared" si="147"/>
        <v>-1</v>
      </c>
      <c r="CE27" s="6">
        <f t="shared" si="148"/>
        <v>0.10604258437726738</v>
      </c>
      <c r="CF27" s="4">
        <f t="shared" si="149"/>
        <v>0.67405673543225997</v>
      </c>
      <c r="CG27" s="5">
        <f t="shared" si="150"/>
        <v>-0.67514377256032521</v>
      </c>
      <c r="CH27" s="5">
        <f t="shared" si="151"/>
        <v>0</v>
      </c>
      <c r="CI27" s="4">
        <f t="shared" si="118"/>
        <v>0</v>
      </c>
      <c r="CJ27" s="5">
        <f t="shared" si="119"/>
        <v>0.67407441032574889</v>
      </c>
      <c r="CK27" s="8">
        <f t="shared" si="120"/>
        <v>0.10604258437726738</v>
      </c>
      <c r="CL27" s="173">
        <f t="shared" si="121"/>
        <v>0.67405673543225997</v>
      </c>
      <c r="CM27" s="5">
        <f t="shared" si="122"/>
        <v>-1.069362234576321E-3</v>
      </c>
      <c r="CN27" s="6">
        <f t="shared" si="123"/>
        <v>0.10604258437726738</v>
      </c>
      <c r="CO27" s="167">
        <f t="shared" si="26"/>
        <v>0.3125</v>
      </c>
      <c r="CP27" s="4">
        <f t="shared" si="236"/>
        <v>0.9101715962085839</v>
      </c>
      <c r="CQ27" s="5">
        <f t="shared" si="237"/>
        <v>-7.280411480932667</v>
      </c>
      <c r="CR27" s="5">
        <f t="shared" si="152"/>
        <v>14.518030182484331</v>
      </c>
      <c r="CS27" s="8">
        <f>IF(ISNUMBER($AV27),CQ27^2-(4*CP27*CR27),"")</f>
        <v>0.14879651171153796</v>
      </c>
      <c r="CT27" s="9">
        <f t="shared" si="154"/>
        <v>4.2113778444618397</v>
      </c>
      <c r="CU27" s="6">
        <f t="shared" si="155"/>
        <v>3.787565993447398</v>
      </c>
      <c r="CV27" s="4">
        <f t="shared" si="238"/>
        <v>2.8387076015096957</v>
      </c>
      <c r="CW27" s="5">
        <f t="shared" si="156"/>
        <v>-2.1692111152611879</v>
      </c>
      <c r="CX27" s="8">
        <f t="shared" si="157"/>
        <v>0.10604258437726738</v>
      </c>
      <c r="CY27" s="9">
        <f t="shared" si="158"/>
        <v>2.5530343687773978</v>
      </c>
      <c r="CZ27" s="5">
        <f t="shared" si="159"/>
        <v>-1.8830771833115234</v>
      </c>
      <c r="DA27" s="6">
        <f t="shared" si="160"/>
        <v>0.10604258437726738</v>
      </c>
      <c r="DB27" s="4">
        <f t="shared" si="161"/>
        <v>0</v>
      </c>
      <c r="DC27" s="5">
        <f t="shared" si="161"/>
        <v>0</v>
      </c>
      <c r="DD27" s="10">
        <f t="shared" si="162"/>
        <v>-10</v>
      </c>
      <c r="DE27" s="9">
        <f t="shared" si="163"/>
        <v>0</v>
      </c>
      <c r="DF27" s="5">
        <f t="shared" si="163"/>
        <v>0</v>
      </c>
      <c r="DG27" s="10">
        <f t="shared" si="164"/>
        <v>10</v>
      </c>
      <c r="DH27" s="70">
        <f t="shared" si="165"/>
        <v>3.4567000000000001</v>
      </c>
      <c r="DI27" s="4">
        <f t="shared" si="166"/>
        <v>0</v>
      </c>
      <c r="DJ27" s="5">
        <f t="shared" si="167"/>
        <v>0</v>
      </c>
      <c r="DK27" s="10">
        <f t="shared" si="168"/>
        <v>20</v>
      </c>
      <c r="DL27" s="9">
        <f t="shared" si="169"/>
        <v>2.8387076015096957</v>
      </c>
      <c r="DM27" s="173">
        <f t="shared" si="170"/>
        <v>-2.1692111152611879</v>
      </c>
      <c r="DN27" s="178">
        <f t="shared" si="171"/>
        <v>10.106042584377267</v>
      </c>
      <c r="DO27" s="9">
        <f t="shared" si="172"/>
        <v>-0.28567323273229794</v>
      </c>
      <c r="DP27" s="173">
        <f t="shared" si="173"/>
        <v>0.28613393194966452</v>
      </c>
      <c r="DQ27" s="11">
        <f t="shared" si="174"/>
        <v>0</v>
      </c>
      <c r="DR27" s="173">
        <f t="shared" si="175"/>
        <v>202.12085168754533</v>
      </c>
      <c r="DS27" s="5">
        <f t="shared" si="176"/>
        <v>0</v>
      </c>
      <c r="DT27" s="5">
        <f t="shared" si="177"/>
        <v>400</v>
      </c>
      <c r="DU27" s="5">
        <f t="shared" si="178"/>
        <v>0.16348182291269692</v>
      </c>
      <c r="DV27" s="5">
        <f t="shared" si="179"/>
        <v>-1.4316276829436232</v>
      </c>
      <c r="DW27" s="5">
        <f t="shared" si="180"/>
        <v>114.89583442668837</v>
      </c>
      <c r="DX27" s="167">
        <f t="shared" si="181"/>
        <v>102.94705953668837</v>
      </c>
      <c r="DY27" s="9">
        <f t="shared" si="182"/>
        <v>65.392729165078762</v>
      </c>
      <c r="DZ27" s="5">
        <f t="shared" si="183"/>
        <v>-572.65107317744923</v>
      </c>
      <c r="EA27" s="10">
        <f t="shared" si="184"/>
        <v>325.98512777665746</v>
      </c>
      <c r="EB27" s="6">
        <f t="shared" si="185"/>
        <v>306612.19443874178</v>
      </c>
      <c r="EC27" s="173">
        <f t="shared" si="186"/>
        <v>17.224802006689362</v>
      </c>
      <c r="ED27" s="5">
        <f t="shared" si="187"/>
        <v>0.28941036795666097</v>
      </c>
      <c r="EE27" s="4">
        <f t="shared" si="188"/>
        <v>-2.0819572709150274</v>
      </c>
      <c r="EF27" s="5">
        <f t="shared" si="189"/>
        <v>2.7593892099673107</v>
      </c>
      <c r="EG27" s="10">
        <f t="shared" si="190"/>
        <v>0.10604258437726738</v>
      </c>
      <c r="EH27" s="9">
        <f t="shared" si="191"/>
        <v>2.7560308061092726</v>
      </c>
      <c r="EI27" s="5">
        <f t="shared" si="192"/>
        <v>-2.0864009887307495</v>
      </c>
      <c r="EJ27" s="6">
        <f t="shared" si="193"/>
        <v>0.10604258437726738</v>
      </c>
      <c r="EK27" s="236" t="b">
        <f t="shared" si="194"/>
        <v>0</v>
      </c>
      <c r="EL27" s="238" t="b">
        <f t="shared" si="195"/>
        <v>1</v>
      </c>
      <c r="EM27" s="4">
        <f t="shared" si="196"/>
        <v>2.7560308061092726</v>
      </c>
      <c r="EN27" s="5">
        <f t="shared" si="197"/>
        <v>-2.0864009887307495</v>
      </c>
      <c r="EO27" s="10">
        <f t="shared" si="198"/>
        <v>0.10604258437726738</v>
      </c>
      <c r="EP27" s="9">
        <f t="shared" si="199"/>
        <v>322.87314636737051</v>
      </c>
      <c r="EQ27" s="5">
        <f t="shared" si="200"/>
        <v>3.4566999999999966</v>
      </c>
      <c r="ER27" s="7">
        <f t="shared" si="201"/>
        <v>0.10604258437726738</v>
      </c>
      <c r="ES27" s="21">
        <f t="shared" si="124"/>
        <v>-0.67514377256032487</v>
      </c>
      <c r="ET27" s="5">
        <f t="shared" si="35"/>
        <v>-0.67405673543226008</v>
      </c>
      <c r="EU27" s="10">
        <f t="shared" si="36"/>
        <v>-0.29971386986827409</v>
      </c>
      <c r="EV27" s="174">
        <f t="shared" si="252"/>
        <v>127.12685363262949</v>
      </c>
      <c r="EW27" s="9">
        <f t="shared" si="125"/>
        <v>0.94493064556427497</v>
      </c>
      <c r="EX27" s="5">
        <f t="shared" si="37"/>
        <v>-0.13144455592403198</v>
      </c>
      <c r="EY27" s="6">
        <f t="shared" si="202"/>
        <v>-0.29971386986827409</v>
      </c>
      <c r="EZ27" s="51">
        <f t="shared" si="203"/>
        <v>0.50121446601136632</v>
      </c>
      <c r="FA27" s="266">
        <f t="shared" si="126"/>
        <v>-0.60355864222553046</v>
      </c>
      <c r="FB27" s="267">
        <f t="shared" si="127"/>
        <v>-0.79727062067727583</v>
      </c>
      <c r="FC27" s="269">
        <f t="shared" si="38"/>
        <v>-8.7477311198687607E-3</v>
      </c>
      <c r="FD27" s="4">
        <f t="shared" si="128"/>
        <v>0.99996173786813181</v>
      </c>
      <c r="FE27" s="5">
        <f t="shared" si="39"/>
        <v>-6.6613381477509392E-16</v>
      </c>
      <c r="FF27" s="7">
        <f t="shared" si="204"/>
        <v>-8.7477311198687607E-3</v>
      </c>
      <c r="FG27" s="173">
        <f t="shared" si="205"/>
        <v>-5.5031092303856832E-2</v>
      </c>
      <c r="FH27" s="5">
        <f t="shared" si="40"/>
        <v>-0.13144455592403131</v>
      </c>
      <c r="FI27" s="10">
        <f t="shared" si="41"/>
        <v>-0.29096613874840532</v>
      </c>
      <c r="FJ27" s="279">
        <f t="shared" si="206"/>
        <v>18.645233124427016</v>
      </c>
      <c r="FK27" s="4">
        <f t="shared" si="42"/>
        <v>0.95402913802911893</v>
      </c>
      <c r="FL27" s="5">
        <f t="shared" si="207"/>
        <v>0.99996173786813192</v>
      </c>
      <c r="FM27" s="8">
        <f t="shared" si="208"/>
        <v>0.14249944702426534</v>
      </c>
      <c r="FN27" s="9">
        <f t="shared" si="209"/>
        <v>7.9193089842435898</v>
      </c>
      <c r="FO27" s="10">
        <f t="shared" si="43"/>
        <v>1</v>
      </c>
      <c r="FP27" s="277">
        <f t="shared" si="44"/>
        <v>7.9193089842435898</v>
      </c>
      <c r="FQ27" s="173">
        <f t="shared" si="239"/>
        <v>0.13777834521446128</v>
      </c>
      <c r="FR27" s="10">
        <f t="shared" si="210"/>
        <v>0.99046308744443612</v>
      </c>
      <c r="FS27" s="9">
        <f t="shared" si="211"/>
        <v>0.12211778545462793</v>
      </c>
      <c r="FT27" s="6">
        <f t="shared" si="212"/>
        <v>0.87788221454537207</v>
      </c>
      <c r="FU27" s="4">
        <f t="shared" si="213"/>
        <v>0.99132352373881161</v>
      </c>
      <c r="FV27" s="5">
        <f t="shared" si="214"/>
        <v>1</v>
      </c>
      <c r="FW27" s="8">
        <f t="shared" si="240"/>
        <v>0.29612449243234146</v>
      </c>
      <c r="FX27" s="9">
        <f t="shared" si="241"/>
        <v>17.096813936682004</v>
      </c>
      <c r="FY27" s="10">
        <f t="shared" si="45"/>
        <v>1</v>
      </c>
      <c r="FZ27" s="277">
        <f t="shared" si="242"/>
        <v>17.096813936682004</v>
      </c>
      <c r="GA27" s="177">
        <f t="shared" si="215"/>
        <v>16.947628249208091</v>
      </c>
      <c r="GB27" s="4">
        <f t="shared" si="216"/>
        <v>-0.1316898325272472</v>
      </c>
      <c r="GC27" s="5">
        <f t="shared" si="217"/>
        <v>0.94669389378242896</v>
      </c>
      <c r="GD27" s="10">
        <f t="shared" si="218"/>
        <v>-0.29398717571351429</v>
      </c>
      <c r="GE27" s="311">
        <f t="shared" si="219"/>
        <v>1.3723709020231905</v>
      </c>
      <c r="GF27" s="341">
        <f t="shared" si="243"/>
        <v>0.72866598856458553</v>
      </c>
      <c r="GG27" s="285">
        <f t="shared" si="46"/>
        <v>9.5957902002371281E-2</v>
      </c>
      <c r="GH27" s="286">
        <f t="shared" si="47"/>
        <v>0.6898236419810303</v>
      </c>
      <c r="GI27" s="281">
        <f t="shared" si="48"/>
        <v>0.21421845601659839</v>
      </c>
      <c r="GJ27" s="167">
        <f t="shared" si="220"/>
        <v>3.4567000000000001</v>
      </c>
      <c r="GK27" s="174">
        <f t="shared" si="49"/>
        <v>1.8099931418069117</v>
      </c>
      <c r="GL27" s="174">
        <f t="shared" si="221"/>
        <v>2.9000000000000001E-2</v>
      </c>
      <c r="GM27" s="177">
        <f t="shared" si="244"/>
        <v>0.62987761334880532</v>
      </c>
      <c r="GN27" s="280">
        <f t="shared" si="222"/>
        <v>4.3292360274641138E-2</v>
      </c>
      <c r="GO27" s="4">
        <f t="shared" si="223"/>
        <v>7.9193089842435898</v>
      </c>
      <c r="GP27" s="8">
        <f t="shared" si="245"/>
        <v>17.096813936682004</v>
      </c>
      <c r="GQ27" s="177">
        <f t="shared" si="224"/>
        <v>18.645233124427016</v>
      </c>
      <c r="GR27" s="371">
        <f t="shared" si="246"/>
        <v>2282.7487165412576</v>
      </c>
      <c r="GS27" s="342">
        <f t="shared" si="51"/>
        <v>219.04777763790486</v>
      </c>
      <c r="GT27" s="343">
        <f t="shared" si="52"/>
        <v>121.02133017986466</v>
      </c>
      <c r="GU27" s="344">
        <f t="shared" si="53"/>
        <v>1574.6940333720131</v>
      </c>
      <c r="GV27" s="343">
        <f t="shared" si="253"/>
        <v>870</v>
      </c>
      <c r="GW27" s="345">
        <f t="shared" si="129"/>
        <v>30000</v>
      </c>
      <c r="GX27" s="346">
        <f t="shared" si="54"/>
        <v>250.61075000000002</v>
      </c>
      <c r="GY27" s="344">
        <f t="shared" si="55"/>
        <v>489.0069055313399</v>
      </c>
      <c r="GZ27" s="345">
        <f t="shared" si="56"/>
        <v>270.17058475877178</v>
      </c>
      <c r="HA27" s="342">
        <f t="shared" si="57"/>
        <v>219.04777763790486</v>
      </c>
      <c r="HB27" s="5">
        <f t="shared" si="225"/>
        <v>127.12685363262949</v>
      </c>
      <c r="HC27" s="343">
        <f t="shared" si="226"/>
        <v>-132.21323801400126</v>
      </c>
      <c r="HD27" s="363">
        <f t="shared" si="227"/>
        <v>174.64704000342539</v>
      </c>
      <c r="HE27" s="344">
        <f t="shared" si="58"/>
        <v>870</v>
      </c>
      <c r="HF27" s="5">
        <f t="shared" si="59"/>
        <v>217.12685363262949</v>
      </c>
      <c r="HG27" s="343">
        <f t="shared" si="228"/>
        <v>-693.65198059278214</v>
      </c>
      <c r="HH27" s="349">
        <f t="shared" si="229"/>
        <v>-525.1161107980887</v>
      </c>
      <c r="HI27" s="317">
        <f t="shared" si="60"/>
        <v>3.1150000000000002</v>
      </c>
      <c r="HJ27" s="336"/>
      <c r="HK27" s="310">
        <f t="shared" si="130"/>
        <v>19</v>
      </c>
      <c r="HL27" s="348">
        <f t="shared" si="61"/>
        <v>3.1150000000000002</v>
      </c>
      <c r="HM27" s="934">
        <f t="shared" si="62"/>
        <v>7.9193089842435898</v>
      </c>
      <c r="HN27" s="935">
        <f t="shared" si="63"/>
        <v>19.704227360214578</v>
      </c>
      <c r="HO27" s="936"/>
      <c r="HP27" s="937"/>
      <c r="HQ27" s="935">
        <f t="shared" si="64"/>
        <v>18.645233124427016</v>
      </c>
      <c r="HR27" s="938">
        <f t="shared" si="65"/>
        <v>17.096813936682004</v>
      </c>
      <c r="HS27" s="939">
        <f t="shared" si="249"/>
        <v>3.4567000000000001</v>
      </c>
      <c r="HT27" s="940">
        <f t="shared" si="66"/>
        <v>2.9000000000000001E-2</v>
      </c>
      <c r="HU27" s="941">
        <f t="shared" si="67"/>
        <v>0.62987761334880532</v>
      </c>
      <c r="HV27" s="942">
        <f t="shared" si="68"/>
        <v>4.3292360274641138E-2</v>
      </c>
      <c r="HW27" s="943">
        <f t="shared" si="69"/>
        <v>30000</v>
      </c>
      <c r="HX27" s="950">
        <f t="shared" si="70"/>
        <v>250.61075000000002</v>
      </c>
      <c r="HY27" s="955">
        <f t="shared" si="71"/>
        <v>219.04777763790486</v>
      </c>
      <c r="HZ27" s="956">
        <f t="shared" si="72"/>
        <v>1574.6940333720131</v>
      </c>
      <c r="IA27" s="957">
        <f t="shared" si="73"/>
        <v>489.0069055313399</v>
      </c>
      <c r="IB27" s="958">
        <f t="shared" si="74"/>
        <v>2282.7487165412576</v>
      </c>
      <c r="IC27" s="841">
        <f t="shared" si="75"/>
        <v>121.02133017986466</v>
      </c>
      <c r="ID27" s="351">
        <f t="shared" si="76"/>
        <v>870</v>
      </c>
      <c r="IE27" s="843">
        <f t="shared" si="77"/>
        <v>270.17058475877178</v>
      </c>
      <c r="IF27" s="844"/>
      <c r="IG27" s="789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7">
        <f t="shared" si="230"/>
        <v>3.1150000000000002</v>
      </c>
      <c r="IJ27" s="967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8"/>
        <v>1613</v>
      </c>
      <c r="IM27" s="482" t="str">
        <f t="shared" si="231"/>
        <v/>
      </c>
      <c r="IN27" s="670" t="str">
        <f t="shared" si="80"/>
        <v/>
      </c>
      <c r="IO27" s="702">
        <v>0.32747028527542599</v>
      </c>
      <c r="IP27" s="5" t="str">
        <f t="shared" si="81"/>
        <v/>
      </c>
      <c r="IQ27" s="714">
        <v>940</v>
      </c>
      <c r="IR27" s="9" t="str">
        <f t="shared" si="131"/>
        <v/>
      </c>
      <c r="IS27" s="5" t="str">
        <f t="shared" si="82"/>
        <v/>
      </c>
      <c r="IT27" s="5" t="str">
        <f t="shared" si="83"/>
        <v/>
      </c>
      <c r="IU27" s="5" t="str">
        <f t="shared" si="84"/>
        <v/>
      </c>
      <c r="IV27" s="670" t="str">
        <f t="shared" si="85"/>
        <v/>
      </c>
      <c r="IW27" s="9" t="str">
        <f t="shared" si="86"/>
        <v/>
      </c>
      <c r="IX27" s="5" t="str">
        <f t="shared" si="87"/>
        <v/>
      </c>
      <c r="IY27" s="5" t="str">
        <f t="shared" si="88"/>
        <v/>
      </c>
      <c r="IZ27" s="5" t="str">
        <f t="shared" si="89"/>
        <v/>
      </c>
      <c r="JA27" s="705" t="str">
        <f t="shared" si="90"/>
        <v/>
      </c>
      <c r="JC27" s="739"/>
      <c r="JD27" s="796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3.2742292576311947</v>
      </c>
      <c r="C28" s="572">
        <f t="shared" si="282"/>
        <v>-2.410446457045702</v>
      </c>
      <c r="D28" s="576">
        <f t="shared" si="282"/>
        <v>-0.4973014998613236</v>
      </c>
      <c r="E28" s="580">
        <f t="shared" ref="E28:K28" si="283">R183</f>
        <v>0.7851107767399782</v>
      </c>
      <c r="F28" s="572">
        <f t="shared" si="283"/>
        <v>0.56231506926807462</v>
      </c>
      <c r="G28" s="579">
        <f t="shared" si="283"/>
        <v>0.25962055219259622</v>
      </c>
      <c r="H28" s="580">
        <f>U183</f>
        <v>0.3125</v>
      </c>
      <c r="I28" s="572">
        <f t="shared" si="283"/>
        <v>0.52</v>
      </c>
      <c r="J28" s="483">
        <f t="shared" si="92"/>
        <v>3.1179999999999999</v>
      </c>
      <c r="K28" s="1430">
        <f>X183</f>
        <v>1613</v>
      </c>
      <c r="L28" s="309"/>
      <c r="M28" s="164">
        <f t="shared" si="4"/>
        <v>3.1179999999999999</v>
      </c>
      <c r="N28" s="575">
        <f t="shared" si="5"/>
        <v>3.2742292576311947</v>
      </c>
      <c r="O28" s="572">
        <f t="shared" si="6"/>
        <v>-2.410446457045702</v>
      </c>
      <c r="P28" s="576">
        <f t="shared" si="7"/>
        <v>-0.4973014998613236</v>
      </c>
      <c r="Q28" s="528">
        <f t="shared" si="134"/>
        <v>323.63996626656257</v>
      </c>
      <c r="R28" s="572">
        <f t="shared" si="93"/>
        <v>4.0658122624897848</v>
      </c>
      <c r="S28" s="577">
        <f t="shared" si="94"/>
        <v>-0.4973014998613236</v>
      </c>
      <c r="T28" s="578">
        <f t="shared" si="95"/>
        <v>-2.3909744660177998</v>
      </c>
      <c r="U28" s="572">
        <f t="shared" si="96"/>
        <v>-3.2884754000392342</v>
      </c>
      <c r="V28" s="579">
        <f t="shared" si="135"/>
        <v>-0.4973014998613236</v>
      </c>
      <c r="W28" s="528">
        <f t="shared" si="256"/>
        <v>233.97996621747265</v>
      </c>
      <c r="X28" s="572">
        <f t="shared" si="97"/>
        <v>4.0658122624897848</v>
      </c>
      <c r="Y28" s="573">
        <f t="shared" si="259"/>
        <v>-0.4973014998613236</v>
      </c>
      <c r="Z28" s="575">
        <f t="shared" si="10"/>
        <v>-0.7851107767399782</v>
      </c>
      <c r="AA28" s="572">
        <f t="shared" si="11"/>
        <v>-0.56231506926807462</v>
      </c>
      <c r="AB28" s="572">
        <f t="shared" si="12"/>
        <v>-0.25962055219259622</v>
      </c>
      <c r="AC28" s="579">
        <f t="shared" si="98"/>
        <v>1</v>
      </c>
      <c r="AD28" s="580">
        <f t="shared" si="136"/>
        <v>-0.7851107767399782</v>
      </c>
      <c r="AE28" s="572">
        <f t="shared" si="99"/>
        <v>-0.56231506926807462</v>
      </c>
      <c r="AF28" s="576">
        <f t="shared" si="100"/>
        <v>-0.25962055219259622</v>
      </c>
      <c r="AG28" s="545">
        <f t="shared" si="101"/>
        <v>-65.217256260042419</v>
      </c>
      <c r="AH28" s="546">
        <f t="shared" si="102"/>
        <v>141.73092491642768</v>
      </c>
      <c r="AI28" s="528">
        <f t="shared" si="103"/>
        <v>-74.952451747424305</v>
      </c>
      <c r="AJ28" s="529">
        <f t="shared" si="104"/>
        <v>-54.388858179126487</v>
      </c>
      <c r="AK28" s="578">
        <f t="shared" si="234"/>
        <v>0.91829521407841974</v>
      </c>
      <c r="AL28" s="572">
        <f t="shared" si="105"/>
        <v>-0.29888303511554587</v>
      </c>
      <c r="AM28" s="577">
        <f t="shared" si="106"/>
        <v>-0.25962055219259622</v>
      </c>
      <c r="AN28" s="524">
        <f t="shared" si="107"/>
        <v>-49.021244910827463</v>
      </c>
      <c r="AO28" s="525">
        <f t="shared" si="108"/>
        <v>23.321887259085432</v>
      </c>
      <c r="AP28" s="528">
        <f t="shared" si="109"/>
        <v>-18.028824445689061</v>
      </c>
      <c r="AQ28" s="529">
        <f t="shared" si="13"/>
        <v>0.42612894611158336</v>
      </c>
      <c r="AS28" s="899">
        <f t="shared" si="137"/>
        <v>-126.02003378252735</v>
      </c>
      <c r="AT28" s="895">
        <f t="shared" si="14"/>
        <v>-0.43061158428659801</v>
      </c>
      <c r="AU28" s="418"/>
      <c r="AV28" s="164">
        <f t="shared" si="15"/>
        <v>3.1179999999999999</v>
      </c>
      <c r="AW28" s="828">
        <f>IFERROR(INDEX(MassProp!C$9:C$150,MATCH($M28,MassProp!$B$9:$B$150,0)),"")</f>
        <v>4.2309999999999999</v>
      </c>
      <c r="AX28" s="829">
        <f>IFERROR(INDEX(MassProp!D$9:D$150,MATCH($M28,MassProp!$B$9:$B$150,0)),"")</f>
        <v>-6.4799999999999996E-2</v>
      </c>
      <c r="AY28" s="830">
        <f>IFERROR(INDEX(MassProp!E$9:E$150,MATCH($M28,MassProp!$B$9:$B$150,0)),"")</f>
        <v>2.1999999999999999E-2</v>
      </c>
      <c r="AZ28" s="297">
        <f t="shared" si="138"/>
        <v>0.58486639204032664</v>
      </c>
      <c r="BA28" s="296">
        <f t="shared" si="16"/>
        <v>4.0198676727248306E-2</v>
      </c>
      <c r="BB28" s="190">
        <f t="shared" si="139"/>
        <v>0.17581158428659802</v>
      </c>
      <c r="BC28" s="9"/>
      <c r="BD28" s="5">
        <f t="shared" si="235"/>
        <v>4.2309999999999999</v>
      </c>
      <c r="BE28" s="6">
        <f t="shared" si="17"/>
        <v>-0.32148991557472562</v>
      </c>
      <c r="BF28" s="4">
        <f t="shared" si="18"/>
        <v>3.2742292576311947</v>
      </c>
      <c r="BG28" s="5">
        <f t="shared" si="19"/>
        <v>-2.410446457045702</v>
      </c>
      <c r="BH28" s="10">
        <f t="shared" si="20"/>
        <v>-0.4973014998613236</v>
      </c>
      <c r="BI28" s="9">
        <f t="shared" si="140"/>
        <v>3.2742292576311947</v>
      </c>
      <c r="BJ28" s="5">
        <f t="shared" si="21"/>
        <v>-1.9912677967279599</v>
      </c>
      <c r="BK28" s="8">
        <f t="shared" si="22"/>
        <v>-1.4052052671925441</v>
      </c>
      <c r="BL28" s="173">
        <f t="shared" si="23"/>
        <v>3.8935846227058408</v>
      </c>
      <c r="BM28" s="5">
        <f t="shared" si="24"/>
        <v>-3.1232514890202689</v>
      </c>
      <c r="BN28" s="6">
        <f t="shared" si="25"/>
        <v>-0.82640318345620956</v>
      </c>
      <c r="BO28" s="4">
        <f t="shared" si="141"/>
        <v>-0.78511077673997809</v>
      </c>
      <c r="BP28" s="5">
        <f t="shared" si="142"/>
        <v>-0.56231506926807517</v>
      </c>
      <c r="BQ28" s="5">
        <f t="shared" si="143"/>
        <v>-0.25962055219259739</v>
      </c>
      <c r="BR28" s="6">
        <f t="shared" si="144"/>
        <v>1.0860926192227442</v>
      </c>
      <c r="BS28" s="4">
        <f t="shared" si="110"/>
        <v>0</v>
      </c>
      <c r="BT28" s="5">
        <f t="shared" si="110"/>
        <v>0</v>
      </c>
      <c r="BU28" s="10">
        <f t="shared" si="111"/>
        <v>-0.32148991557472562</v>
      </c>
      <c r="BV28" s="9">
        <f t="shared" si="112"/>
        <v>0</v>
      </c>
      <c r="BW28" s="5">
        <f t="shared" si="113"/>
        <v>1</v>
      </c>
      <c r="BX28" s="8">
        <f t="shared" si="114"/>
        <v>-0.32148991557472562</v>
      </c>
      <c r="BY28" s="173">
        <f t="shared" si="115"/>
        <v>1</v>
      </c>
      <c r="BZ28" s="5">
        <f t="shared" si="116"/>
        <v>0</v>
      </c>
      <c r="CA28" s="6">
        <f t="shared" si="117"/>
        <v>-0.32148991557472562</v>
      </c>
      <c r="CB28" s="4">
        <f t="shared" si="145"/>
        <v>0</v>
      </c>
      <c r="CC28" s="5">
        <f t="shared" si="146"/>
        <v>0</v>
      </c>
      <c r="CD28" s="5">
        <f t="shared" si="147"/>
        <v>-1</v>
      </c>
      <c r="CE28" s="6">
        <f t="shared" si="148"/>
        <v>-0.32148991557472562</v>
      </c>
      <c r="CF28" s="4">
        <f t="shared" si="149"/>
        <v>0.56231506926807517</v>
      </c>
      <c r="CG28" s="5">
        <f t="shared" si="150"/>
        <v>-0.78511077673997809</v>
      </c>
      <c r="CH28" s="5">
        <f t="shared" si="151"/>
        <v>0</v>
      </c>
      <c r="CI28" s="4">
        <f t="shared" si="118"/>
        <v>0</v>
      </c>
      <c r="CJ28" s="5">
        <f t="shared" si="119"/>
        <v>2.0798980367908952</v>
      </c>
      <c r="CK28" s="8">
        <f t="shared" si="120"/>
        <v>-0.32148991557472562</v>
      </c>
      <c r="CL28" s="173">
        <f t="shared" si="121"/>
        <v>0.56231506926807517</v>
      </c>
      <c r="CM28" s="5">
        <f t="shared" si="122"/>
        <v>1.2947872600509172</v>
      </c>
      <c r="CN28" s="6">
        <f t="shared" si="123"/>
        <v>-0.32148991557472562</v>
      </c>
      <c r="CO28" s="167">
        <f t="shared" si="26"/>
        <v>0.3125</v>
      </c>
      <c r="CP28" s="4">
        <f t="shared" si="236"/>
        <v>0.93259716887921185</v>
      </c>
      <c r="CQ28" s="5">
        <f t="shared" si="237"/>
        <v>-10.733132610381155</v>
      </c>
      <c r="CR28" s="5">
        <f t="shared" si="152"/>
        <v>30.817024368026132</v>
      </c>
      <c r="CS28" s="8">
        <f t="shared" si="153"/>
        <v>0.24065691641597198</v>
      </c>
      <c r="CT28" s="9">
        <f t="shared" si="154"/>
        <v>6.017442974212142</v>
      </c>
      <c r="CU28" s="6">
        <f t="shared" si="155"/>
        <v>5.4914195535179724</v>
      </c>
      <c r="CV28" s="4">
        <f t="shared" si="238"/>
        <v>3.3836988628607929</v>
      </c>
      <c r="CW28" s="5">
        <f t="shared" si="156"/>
        <v>-2.6444612906813236</v>
      </c>
      <c r="CX28" s="8">
        <f t="shared" si="157"/>
        <v>-0.32148991557472562</v>
      </c>
      <c r="CY28" s="9">
        <f t="shared" si="158"/>
        <v>3.087907966616521</v>
      </c>
      <c r="CZ28" s="5">
        <f t="shared" si="159"/>
        <v>-2.231474634276704</v>
      </c>
      <c r="DA28" s="6">
        <f t="shared" si="160"/>
        <v>-0.32148991557472562</v>
      </c>
      <c r="DB28" s="4">
        <f t="shared" si="161"/>
        <v>0</v>
      </c>
      <c r="DC28" s="5">
        <f t="shared" si="161"/>
        <v>0</v>
      </c>
      <c r="DD28" s="10">
        <f t="shared" si="162"/>
        <v>-10</v>
      </c>
      <c r="DE28" s="9">
        <f t="shared" si="163"/>
        <v>0</v>
      </c>
      <c r="DF28" s="5">
        <f t="shared" si="163"/>
        <v>0</v>
      </c>
      <c r="DG28" s="10">
        <f t="shared" si="164"/>
        <v>10</v>
      </c>
      <c r="DH28" s="70">
        <f t="shared" si="165"/>
        <v>4.2309999999999999</v>
      </c>
      <c r="DI28" s="4">
        <f t="shared" si="166"/>
        <v>0</v>
      </c>
      <c r="DJ28" s="5">
        <f t="shared" si="167"/>
        <v>0</v>
      </c>
      <c r="DK28" s="10">
        <f t="shared" si="168"/>
        <v>20</v>
      </c>
      <c r="DL28" s="9">
        <f t="shared" si="169"/>
        <v>3.3836988628607929</v>
      </c>
      <c r="DM28" s="173">
        <f t="shared" si="170"/>
        <v>-2.6444612906813236</v>
      </c>
      <c r="DN28" s="178">
        <f t="shared" si="171"/>
        <v>9.6785100844252749</v>
      </c>
      <c r="DO28" s="9">
        <f t="shared" si="172"/>
        <v>-0.29579089624427191</v>
      </c>
      <c r="DP28" s="173">
        <f t="shared" si="173"/>
        <v>0.41298665640461962</v>
      </c>
      <c r="DQ28" s="11">
        <f t="shared" si="174"/>
        <v>0</v>
      </c>
      <c r="DR28" s="173">
        <f t="shared" si="175"/>
        <v>193.57020168850551</v>
      </c>
      <c r="DS28" s="5">
        <f t="shared" si="176"/>
        <v>0</v>
      </c>
      <c r="DT28" s="5">
        <f t="shared" si="177"/>
        <v>400</v>
      </c>
      <c r="DU28" s="5">
        <f t="shared" si="178"/>
        <v>0.25805023266925697</v>
      </c>
      <c r="DV28" s="5">
        <f t="shared" si="179"/>
        <v>-2.092994545696242</v>
      </c>
      <c r="DW28" s="5">
        <f t="shared" si="180"/>
        <v>112.11615096675909</v>
      </c>
      <c r="DX28" s="167">
        <f t="shared" si="181"/>
        <v>94.214789966759099</v>
      </c>
      <c r="DY28" s="9">
        <f t="shared" si="182"/>
        <v>103.22009306770279</v>
      </c>
      <c r="DZ28" s="5">
        <f t="shared" si="183"/>
        <v>-837.19781827849681</v>
      </c>
      <c r="EA28" s="10">
        <f t="shared" si="184"/>
        <v>216.49300497493823</v>
      </c>
      <c r="EB28" s="6">
        <f t="shared" si="185"/>
        <v>678553.7588082552</v>
      </c>
      <c r="EC28" s="173">
        <f t="shared" si="186"/>
        <v>16.091262028098562</v>
      </c>
      <c r="ED28" s="5">
        <f t="shared" si="187"/>
        <v>0.13034354106853613</v>
      </c>
      <c r="EE28" s="4">
        <f t="shared" si="188"/>
        <v>-1.3759499541319014</v>
      </c>
      <c r="EF28" s="5">
        <f t="shared" si="189"/>
        <v>4.0010152116337192</v>
      </c>
      <c r="EG28" s="10">
        <f t="shared" si="190"/>
        <v>-0.32148991557472562</v>
      </c>
      <c r="EH28" s="9">
        <f t="shared" si="191"/>
        <v>3.3451444300284785</v>
      </c>
      <c r="EI28" s="5">
        <f t="shared" si="192"/>
        <v>-2.5906311474714907</v>
      </c>
      <c r="EJ28" s="6">
        <f t="shared" si="193"/>
        <v>-0.32148991557472562</v>
      </c>
      <c r="EK28" s="236" t="b">
        <f t="shared" si="194"/>
        <v>0</v>
      </c>
      <c r="EL28" s="238" t="b">
        <f t="shared" si="195"/>
        <v>1</v>
      </c>
      <c r="EM28" s="4">
        <f t="shared" si="196"/>
        <v>3.3451444300284785</v>
      </c>
      <c r="EN28" s="5">
        <f t="shared" si="197"/>
        <v>-2.5906311474714907</v>
      </c>
      <c r="EO28" s="10">
        <f t="shared" si="198"/>
        <v>-0.32148991557472562</v>
      </c>
      <c r="EP28" s="9">
        <f t="shared" si="199"/>
        <v>322.24417950920525</v>
      </c>
      <c r="EQ28" s="5">
        <f t="shared" si="200"/>
        <v>4.2310000000000008</v>
      </c>
      <c r="ER28" s="7">
        <f t="shared" si="201"/>
        <v>-0.32148991557472562</v>
      </c>
      <c r="ES28" s="21">
        <f t="shared" si="124"/>
        <v>-0.7851107767399782</v>
      </c>
      <c r="ET28" s="5">
        <f t="shared" si="35"/>
        <v>-0.56231506926807462</v>
      </c>
      <c r="EU28" s="10">
        <f t="shared" si="36"/>
        <v>-0.25962055219259622</v>
      </c>
      <c r="EV28" s="174">
        <f t="shared" si="252"/>
        <v>127.75582049079475</v>
      </c>
      <c r="EW28" s="9">
        <f t="shared" si="125"/>
        <v>0.92530313266870723</v>
      </c>
      <c r="EX28" s="5">
        <f t="shared" si="37"/>
        <v>-0.27642590608097528</v>
      </c>
      <c r="EY28" s="6">
        <f t="shared" si="202"/>
        <v>-0.25962055219259622</v>
      </c>
      <c r="EZ28" s="51">
        <f t="shared" si="203"/>
        <v>0.40949249354823058</v>
      </c>
      <c r="FA28" s="266">
        <f t="shared" si="126"/>
        <v>-0.6122819625816891</v>
      </c>
      <c r="FB28" s="267">
        <f t="shared" si="127"/>
        <v>-0.79060718417444253</v>
      </c>
      <c r="FC28" s="269">
        <f t="shared" si="38"/>
        <v>-7.1469314306433721E-3</v>
      </c>
      <c r="FD28" s="4">
        <f t="shared" si="128"/>
        <v>0.99997446035942628</v>
      </c>
      <c r="FE28" s="5">
        <f t="shared" si="39"/>
        <v>-3.3306690738754696E-16</v>
      </c>
      <c r="FF28" s="7">
        <f t="shared" si="204"/>
        <v>-7.1469314306433721E-3</v>
      </c>
      <c r="FG28" s="173">
        <f t="shared" si="205"/>
        <v>-7.4671327690719047E-2</v>
      </c>
      <c r="FH28" s="5">
        <f t="shared" si="40"/>
        <v>-0.27642590608097495</v>
      </c>
      <c r="FI28" s="10">
        <f t="shared" si="41"/>
        <v>-0.25247362076195284</v>
      </c>
      <c r="FJ28" s="279">
        <f t="shared" si="206"/>
        <v>22.007472430829996</v>
      </c>
      <c r="FK28" s="4">
        <f t="shared" si="42"/>
        <v>0.965710706619333</v>
      </c>
      <c r="FL28" s="5">
        <f t="shared" si="207"/>
        <v>0.99997446035942628</v>
      </c>
      <c r="FM28" s="8">
        <f t="shared" si="208"/>
        <v>0.28633387632584223</v>
      </c>
      <c r="FN28" s="9">
        <f t="shared" si="209"/>
        <v>16.633037688331683</v>
      </c>
      <c r="FO28" s="10">
        <f t="shared" si="43"/>
        <v>1</v>
      </c>
      <c r="FP28" s="277">
        <f t="shared" si="44"/>
        <v>16.633037688331683</v>
      </c>
      <c r="FQ28" s="173">
        <f t="shared" si="239"/>
        <v>0.28624090443054073</v>
      </c>
      <c r="FR28" s="10">
        <f t="shared" si="210"/>
        <v>0.95815768255062594</v>
      </c>
      <c r="FS28" s="9">
        <f t="shared" si="211"/>
        <v>0.23002348879625725</v>
      </c>
      <c r="FT28" s="6">
        <f t="shared" si="212"/>
        <v>0.76997651120374278</v>
      </c>
      <c r="FU28" s="4">
        <f t="shared" si="213"/>
        <v>0.96103523267740387</v>
      </c>
      <c r="FV28" s="5">
        <f t="shared" si="214"/>
        <v>1</v>
      </c>
      <c r="FW28" s="8">
        <f t="shared" si="240"/>
        <v>0.26328451598934777</v>
      </c>
      <c r="FX28" s="9">
        <f t="shared" si="241"/>
        <v>15.263507482767761</v>
      </c>
      <c r="FY28" s="10">
        <f t="shared" si="45"/>
        <v>1</v>
      </c>
      <c r="FZ28" s="277">
        <f t="shared" si="242"/>
        <v>15.263507482767761</v>
      </c>
      <c r="GA28" s="177">
        <f t="shared" si="215"/>
        <v>14.668080653333275</v>
      </c>
      <c r="GB28" s="4">
        <f t="shared" si="216"/>
        <v>-0.27614383879165927</v>
      </c>
      <c r="GC28" s="5">
        <f t="shared" si="217"/>
        <v>0.92435894567072696</v>
      </c>
      <c r="GD28" s="10">
        <f t="shared" si="218"/>
        <v>-0.26325865580434021</v>
      </c>
      <c r="GE28" s="311">
        <f t="shared" si="219"/>
        <v>1.4637614402667265</v>
      </c>
      <c r="GF28" s="341">
        <f t="shared" si="243"/>
        <v>0.68317143251005441</v>
      </c>
      <c r="GG28" s="285">
        <f t="shared" si="46"/>
        <v>0.18865358192612339</v>
      </c>
      <c r="GH28" s="286">
        <f t="shared" si="47"/>
        <v>0.63149562506735413</v>
      </c>
      <c r="GI28" s="281">
        <f t="shared" si="48"/>
        <v>0.17985079300652246</v>
      </c>
      <c r="GJ28" s="167">
        <f t="shared" si="220"/>
        <v>4.2309999999999999</v>
      </c>
      <c r="GK28" s="174">
        <f t="shared" si="49"/>
        <v>2.2154030001527523</v>
      </c>
      <c r="GL28" s="174">
        <f t="shared" si="221"/>
        <v>2.1999999999999999E-2</v>
      </c>
      <c r="GM28" s="177">
        <f t="shared" si="244"/>
        <v>0.58486639204032664</v>
      </c>
      <c r="GN28" s="280">
        <f t="shared" si="222"/>
        <v>4.0198676727248306E-2</v>
      </c>
      <c r="GO28" s="4">
        <f t="shared" si="223"/>
        <v>16.633037688331683</v>
      </c>
      <c r="GP28" s="8">
        <f t="shared" si="245"/>
        <v>15.263507482767761</v>
      </c>
      <c r="GQ28" s="177">
        <f t="shared" si="224"/>
        <v>22.007472430829996</v>
      </c>
      <c r="GR28" s="371">
        <f t="shared" si="246"/>
        <v>2315.4015990924163</v>
      </c>
      <c r="GS28" s="342">
        <f t="shared" si="51"/>
        <v>436.80880526625828</v>
      </c>
      <c r="GT28" s="343">
        <f t="shared" si="52"/>
        <v>197.16900502352857</v>
      </c>
      <c r="GU28" s="344">
        <f t="shared" si="53"/>
        <v>1462.1659801008166</v>
      </c>
      <c r="GV28" s="343">
        <f t="shared" si="253"/>
        <v>660</v>
      </c>
      <c r="GW28" s="345">
        <f t="shared" si="129"/>
        <v>30000</v>
      </c>
      <c r="GX28" s="346">
        <f t="shared" si="54"/>
        <v>232.70499999999998</v>
      </c>
      <c r="GY28" s="344">
        <f t="shared" si="55"/>
        <v>416.42681372534128</v>
      </c>
      <c r="GZ28" s="345">
        <f t="shared" si="56"/>
        <v>187.96887685745148</v>
      </c>
      <c r="HA28" s="342">
        <f t="shared" si="57"/>
        <v>436.80880526625828</v>
      </c>
      <c r="HB28" s="5">
        <f t="shared" si="225"/>
        <v>127.75582049079475</v>
      </c>
      <c r="HC28" s="343">
        <f t="shared" si="226"/>
        <v>-267.45698331661021</v>
      </c>
      <c r="HD28" s="363">
        <f t="shared" si="227"/>
        <v>345.3529997456435</v>
      </c>
      <c r="HE28" s="344">
        <f t="shared" si="58"/>
        <v>660</v>
      </c>
      <c r="HF28" s="5">
        <f t="shared" si="59"/>
        <v>217.75582049079475</v>
      </c>
      <c r="HG28" s="343">
        <f t="shared" si="228"/>
        <v>-521.81406849888799</v>
      </c>
      <c r="HH28" s="349">
        <f t="shared" si="229"/>
        <v>-404.11641629193662</v>
      </c>
      <c r="HI28" s="317">
        <f t="shared" si="60"/>
        <v>3.1179999999999999</v>
      </c>
      <c r="HJ28" s="336"/>
      <c r="HK28" s="310">
        <f t="shared" si="130"/>
        <v>20</v>
      </c>
      <c r="HL28" s="348">
        <f t="shared" si="61"/>
        <v>4.1159999999999997</v>
      </c>
      <c r="HM28" s="934">
        <f t="shared" si="62"/>
        <v>10.911424862291772</v>
      </c>
      <c r="HN28" s="935">
        <f t="shared" si="63"/>
        <v>20.918449404978816</v>
      </c>
      <c r="HO28" s="936"/>
      <c r="HP28" s="937"/>
      <c r="HQ28" s="935">
        <f t="shared" si="64"/>
        <v>19.76391027545748</v>
      </c>
      <c r="HR28" s="938">
        <f t="shared" si="65"/>
        <v>16.884242790353817</v>
      </c>
      <c r="HS28" s="939">
        <f t="shared" si="249"/>
        <v>3.7391000000000001</v>
      </c>
      <c r="HT28" s="940">
        <f t="shared" si="66"/>
        <v>2.6499999999999999E-2</v>
      </c>
      <c r="HU28" s="941">
        <f t="shared" si="67"/>
        <v>0.62259700141510887</v>
      </c>
      <c r="HV28" s="942">
        <f t="shared" si="68"/>
        <v>4.2791953738238499E-2</v>
      </c>
      <c r="HW28" s="943">
        <f t="shared" si="69"/>
        <v>30000</v>
      </c>
      <c r="HX28" s="950">
        <f t="shared" si="70"/>
        <v>247.71537499999999</v>
      </c>
      <c r="HY28" s="955">
        <f t="shared" si="71"/>
        <v>300.05510107164667</v>
      </c>
      <c r="HZ28" s="956">
        <f t="shared" si="72"/>
        <v>1556.4925035377721</v>
      </c>
      <c r="IA28" s="957">
        <f t="shared" si="73"/>
        <v>481.12939070502631</v>
      </c>
      <c r="IB28" s="958">
        <f t="shared" si="74"/>
        <v>2337.6769953144453</v>
      </c>
      <c r="IC28" s="841">
        <f t="shared" si="75"/>
        <v>153.25727866325715</v>
      </c>
      <c r="ID28" s="351">
        <f t="shared" si="76"/>
        <v>795</v>
      </c>
      <c r="IE28" s="843">
        <f t="shared" si="77"/>
        <v>245.7434679197693</v>
      </c>
      <c r="IF28" s="844"/>
      <c r="IG28" s="789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7">
        <f t="shared" si="230"/>
        <v>3.1179999999999999</v>
      </c>
      <c r="IJ28" s="967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8"/>
        <v>1613</v>
      </c>
      <c r="IM28" s="482" t="str">
        <f t="shared" si="231"/>
        <v/>
      </c>
      <c r="IN28" s="670" t="str">
        <f t="shared" si="80"/>
        <v/>
      </c>
      <c r="IO28" s="702">
        <v>7.2712423816288499E-3</v>
      </c>
      <c r="IP28" s="5" t="str">
        <f t="shared" si="81"/>
        <v/>
      </c>
      <c r="IQ28" s="714">
        <v>80</v>
      </c>
      <c r="IR28" s="9" t="str">
        <f t="shared" si="131"/>
        <v/>
      </c>
      <c r="IS28" s="5" t="str">
        <f t="shared" si="82"/>
        <v/>
      </c>
      <c r="IT28" s="5" t="str">
        <f t="shared" si="83"/>
        <v/>
      </c>
      <c r="IU28" s="5" t="str">
        <f t="shared" si="84"/>
        <v/>
      </c>
      <c r="IV28" s="670" t="str">
        <f t="shared" si="85"/>
        <v/>
      </c>
      <c r="IW28" s="9" t="str">
        <f t="shared" si="86"/>
        <v/>
      </c>
      <c r="IX28" s="5" t="str">
        <f t="shared" si="87"/>
        <v/>
      </c>
      <c r="IY28" s="5" t="str">
        <f t="shared" si="88"/>
        <v/>
      </c>
      <c r="IZ28" s="5" t="str">
        <f t="shared" si="89"/>
        <v/>
      </c>
      <c r="JA28" s="705" t="str">
        <f t="shared" si="90"/>
        <v/>
      </c>
      <c r="JC28" s="740"/>
      <c r="JD28" s="797" t="str" cm="1">
        <f t="array" ref="JD28">IF($JC28="","",COUNT(IF(IF($IK$9:$IK$150&lt;&gt;"",$IM$9:$IM$150,"")=$JC28,$II$9:$II$150,"")))</f>
        <v/>
      </c>
      <c r="JE28" s="175"/>
      <c r="JF28" s="175"/>
      <c r="JG28" s="794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3.6154078315891423</v>
      </c>
      <c r="C29" s="572">
        <f t="shared" si="284"/>
        <v>-2.7066427426495614</v>
      </c>
      <c r="D29" s="576">
        <f t="shared" si="284"/>
        <v>-1.1356034249799296</v>
      </c>
      <c r="E29" s="580">
        <f t="shared" ref="E29:K29" si="285">R184</f>
        <v>0.8643766825170327</v>
      </c>
      <c r="F29" s="572">
        <f t="shared" si="285"/>
        <v>0.47789848255823875</v>
      </c>
      <c r="G29" s="579">
        <f t="shared" si="285"/>
        <v>0.15641608321838796</v>
      </c>
      <c r="H29" s="580">
        <f t="shared" si="285"/>
        <v>0.3125</v>
      </c>
      <c r="I29" s="572">
        <f t="shared" si="285"/>
        <v>0.52</v>
      </c>
      <c r="J29" s="483">
        <f t="shared" si="92"/>
        <v>3.121</v>
      </c>
      <c r="K29" s="805">
        <f t="shared" si="285"/>
        <v>1613</v>
      </c>
      <c r="L29" s="82"/>
      <c r="M29" s="164">
        <f t="shared" si="4"/>
        <v>3.121</v>
      </c>
      <c r="N29" s="575">
        <f t="shared" si="5"/>
        <v>3.6154078315891423</v>
      </c>
      <c r="O29" s="572">
        <f t="shared" si="6"/>
        <v>-2.7066427426495614</v>
      </c>
      <c r="P29" s="576">
        <f t="shared" si="7"/>
        <v>-1.1356034249799296</v>
      </c>
      <c r="Q29" s="528">
        <f t="shared" si="134"/>
        <v>323.17996633297832</v>
      </c>
      <c r="R29" s="572">
        <f>IF(M29="","",SQRT(N29^2+O29^2))</f>
        <v>4.5163136212018804</v>
      </c>
      <c r="S29" s="577">
        <f>IF(M29="","",P29)</f>
        <v>-1.1356034249799296</v>
      </c>
      <c r="T29" s="578">
        <f>IF(M29="","",X29*COS(RADIANS(W29)))</f>
        <v>-2.6851409543045759</v>
      </c>
      <c r="U29" s="572">
        <f>IF(M29="","",X29*SIN(RADIANS(W29)))</f>
        <v>-3.6314056204960017</v>
      </c>
      <c r="V29" s="579">
        <f>IF(M29="","",Y29)</f>
        <v>-1.1356034249799296</v>
      </c>
      <c r="W29" s="528">
        <f t="shared" si="256"/>
        <v>233.51996628388841</v>
      </c>
      <c r="X29" s="572">
        <f>IF(M29="","",R29)</f>
        <v>4.5163136212018804</v>
      </c>
      <c r="Y29" s="573">
        <f t="shared" si="259"/>
        <v>-1.1356034249799296</v>
      </c>
      <c r="Z29" s="575">
        <f t="shared" si="10"/>
        <v>-0.8643766825170327</v>
      </c>
      <c r="AA29" s="572">
        <f t="shared" si="11"/>
        <v>-0.47789848255823875</v>
      </c>
      <c r="AB29" s="572">
        <f t="shared" si="12"/>
        <v>-0.15641608321838796</v>
      </c>
      <c r="AC29" s="579">
        <f>IF(M29="","",SQRT(Z29^2+AA29^2+AB29^2))</f>
        <v>1</v>
      </c>
      <c r="AD29" s="580">
        <f>IF(M29="","",Z29*(1/SQRT(Z29^2+AA29^2+AB29^2)))</f>
        <v>-0.8643766825170327</v>
      </c>
      <c r="AE29" s="572">
        <f>IF(M29="","",AA29*(1/SQRT(Z29^2+AA29^2+AB29^2)))</f>
        <v>-0.47789848255823875</v>
      </c>
      <c r="AF29" s="576">
        <f>IF(M29="","",AB29*(1/SQRT(Z29^2+AA29^2+AB29^2)))</f>
        <v>-0.15641608321838796</v>
      </c>
      <c r="AG29" s="545">
        <f>IF(M29="","",DEGREES(ATAN2(-AF29,AE29)))</f>
        <v>-71.8767380861416</v>
      </c>
      <c r="AH29" s="546">
        <f>IF(M29="","",DEGREES(ACOS(AD29)))</f>
        <v>149.81160658221492</v>
      </c>
      <c r="AI29" s="528">
        <f>IF(M29="","",DEGREES(-ACOS(-AF29)))</f>
        <v>-81.001066327520419</v>
      </c>
      <c r="AJ29" s="529">
        <f>IF(M29="","",DEGREES(ATAN2(-AE29,AD29)))</f>
        <v>-61.062575211849349</v>
      </c>
      <c r="AK29" s="578">
        <f>IF(M29="","",(COS(RADIANS((90-$Q$8)-W29))*AD29)+(-SIN(RADIANS((90-$Q$8)-W29))*AE29))</f>
        <v>0.90059219362039133</v>
      </c>
      <c r="AL29" s="572">
        <f>IF(M29="","",(SIN(RADIANS((90-$Q$8)-W29))*AD29)+(COS(RADIANS((90-$Q$8)-W29))*AE29))</f>
        <v>-0.40554618688952093</v>
      </c>
      <c r="AM29" s="577">
        <f>IF(M29="","",AF29)</f>
        <v>-0.15641608321838796</v>
      </c>
      <c r="AN29" s="524">
        <f>IF(M29="","",DEGREES(ATAN2(-AM29,AL29)))</f>
        <v>-68.908751930065463</v>
      </c>
      <c r="AO29" s="525">
        <f t="shared" si="108"/>
        <v>25.763982048374896</v>
      </c>
      <c r="AP29" s="528">
        <f>IF(M29="","",DEGREES(ATAN2(AK29,AL29)))</f>
        <v>-24.242541544827688</v>
      </c>
      <c r="AQ29" s="529">
        <f t="shared" si="13"/>
        <v>0.38362401174157512</v>
      </c>
      <c r="AS29" s="899">
        <f t="shared" si="137"/>
        <v>-126.48003371611159</v>
      </c>
      <c r="AT29" s="895">
        <f t="shared" si="14"/>
        <v>-1.0686707316624791</v>
      </c>
      <c r="AU29" s="418"/>
      <c r="AV29" s="164">
        <f t="shared" si="15"/>
        <v>3.121</v>
      </c>
      <c r="AW29" s="828">
        <f>IFERROR(INDEX(MassProp!C$9:C$150,MATCH($M29,MassProp!$B$9:$B$150,0)),"")</f>
        <v>4.7435999999999998</v>
      </c>
      <c r="AX29" s="829">
        <f>IFERROR(INDEX(MassProp!D$9:D$150,MATCH($M29,MassProp!$B$9:$B$150,0)),"")</f>
        <v>-0.76849999999999996</v>
      </c>
      <c r="AY29" s="830">
        <f>IFERROR(INDEX(MassProp!E$9:E$150,MATCH($M29,MassProp!$B$9:$B$150,0)),"")</f>
        <v>1.09E-2</v>
      </c>
      <c r="AZ29" s="297">
        <f t="shared" si="138"/>
        <v>0.32488020529697753</v>
      </c>
      <c r="BA29" s="296">
        <f t="shared" si="16"/>
        <v>2.2329466226048412E-2</v>
      </c>
      <c r="BB29" s="190">
        <f t="shared" si="139"/>
        <v>0.11017073166247915</v>
      </c>
      <c r="BC29" s="9"/>
      <c r="BD29" s="5">
        <f t="shared" si="235"/>
        <v>4.7435999999999998</v>
      </c>
      <c r="BE29" s="6">
        <f t="shared" si="17"/>
        <v>-1.0254326933174505</v>
      </c>
      <c r="BF29" s="4">
        <f t="shared" si="18"/>
        <v>3.6154078315891423</v>
      </c>
      <c r="BG29" s="5">
        <f t="shared" si="19"/>
        <v>-2.7066427426495614</v>
      </c>
      <c r="BH29" s="10">
        <f t="shared" si="20"/>
        <v>-1.1356034249799296</v>
      </c>
      <c r="BI29" s="9">
        <f t="shared" si="140"/>
        <v>3.6154078315891423</v>
      </c>
      <c r="BJ29" s="5">
        <f t="shared" si="21"/>
        <v>-2.3955804321111067</v>
      </c>
      <c r="BK29" s="8">
        <f t="shared" si="22"/>
        <v>-2.0859929445783298</v>
      </c>
      <c r="BL29" s="173">
        <f t="shared" si="23"/>
        <v>4.1182526890957583</v>
      </c>
      <c r="BM29" s="5">
        <f t="shared" si="24"/>
        <v>-3.528137282698983</v>
      </c>
      <c r="BN29" s="6">
        <f t="shared" si="25"/>
        <v>-1.4044784330192421</v>
      </c>
      <c r="BO29" s="4">
        <f t="shared" si="141"/>
        <v>-0.86437668251703204</v>
      </c>
      <c r="BP29" s="5">
        <f t="shared" si="142"/>
        <v>-0.47789848255823919</v>
      </c>
      <c r="BQ29" s="5">
        <f t="shared" si="143"/>
        <v>-0.15641608321838874</v>
      </c>
      <c r="BR29" s="6">
        <f t="shared" si="144"/>
        <v>1.6539471280508753</v>
      </c>
      <c r="BS29" s="4">
        <f t="shared" si="110"/>
        <v>0</v>
      </c>
      <c r="BT29" s="5">
        <f t="shared" si="110"/>
        <v>0</v>
      </c>
      <c r="BU29" s="10">
        <f t="shared" si="111"/>
        <v>-1.0254326933174505</v>
      </c>
      <c r="BV29" s="9">
        <f t="shared" si="112"/>
        <v>0</v>
      </c>
      <c r="BW29" s="5">
        <f t="shared" si="113"/>
        <v>1</v>
      </c>
      <c r="BX29" s="8">
        <f t="shared" si="114"/>
        <v>-1.0254326933174505</v>
      </c>
      <c r="BY29" s="173">
        <f t="shared" si="115"/>
        <v>1</v>
      </c>
      <c r="BZ29" s="5">
        <f t="shared" si="116"/>
        <v>0</v>
      </c>
      <c r="CA29" s="6">
        <f t="shared" si="117"/>
        <v>-1.0254326933174505</v>
      </c>
      <c r="CB29" s="4">
        <f t="shared" si="145"/>
        <v>0</v>
      </c>
      <c r="CC29" s="5">
        <f t="shared" si="146"/>
        <v>0</v>
      </c>
      <c r="CD29" s="5">
        <f t="shared" si="147"/>
        <v>-1</v>
      </c>
      <c r="CE29" s="6">
        <f t="shared" si="148"/>
        <v>-1.0254326933174505</v>
      </c>
      <c r="CF29" s="4">
        <f t="shared" si="149"/>
        <v>0.47789848255823919</v>
      </c>
      <c r="CG29" s="5">
        <f t="shared" si="150"/>
        <v>-0.86437668251703204</v>
      </c>
      <c r="CH29" s="5">
        <f t="shared" si="151"/>
        <v>0</v>
      </c>
      <c r="CI29" s="4">
        <f t="shared" si="118"/>
        <v>0</v>
      </c>
      <c r="CJ29" s="5">
        <f t="shared" si="119"/>
        <v>3.7964993816915267</v>
      </c>
      <c r="CK29" s="8">
        <f t="shared" si="120"/>
        <v>-1.0254326933174505</v>
      </c>
      <c r="CL29" s="173">
        <f t="shared" si="121"/>
        <v>0.47789848255823919</v>
      </c>
      <c r="CM29" s="5">
        <f t="shared" si="122"/>
        <v>2.9321226991744949</v>
      </c>
      <c r="CN29" s="6">
        <f t="shared" si="123"/>
        <v>-1.0254326933174505</v>
      </c>
      <c r="CO29" s="167">
        <f t="shared" si="26"/>
        <v>0.3125</v>
      </c>
      <c r="CP29" s="4">
        <f t="shared" si="236"/>
        <v>0.97553400891061726</v>
      </c>
      <c r="CQ29" s="5">
        <f t="shared" si="237"/>
        <v>-14.697924663840675</v>
      </c>
      <c r="CR29" s="5">
        <f t="shared" si="152"/>
        <v>55.276512618210674</v>
      </c>
      <c r="CS29" s="8">
        <f t="shared" si="153"/>
        <v>0.33251761177049843</v>
      </c>
      <c r="CT29" s="9">
        <f t="shared" si="154"/>
        <v>7.8288239698434241</v>
      </c>
      <c r="CU29" s="6">
        <f t="shared" si="155"/>
        <v>7.2377185900145422</v>
      </c>
      <c r="CV29" s="4">
        <f t="shared" si="238"/>
        <v>3.7413830954037426</v>
      </c>
      <c r="CW29" s="5">
        <f t="shared" si="156"/>
        <v>-2.9705535093715514</v>
      </c>
      <c r="CX29" s="8">
        <f t="shared" si="157"/>
        <v>-1.0254326933174505</v>
      </c>
      <c r="CY29" s="9">
        <f t="shared" si="158"/>
        <v>3.4588947313515082</v>
      </c>
      <c r="CZ29" s="5">
        <f t="shared" si="159"/>
        <v>-2.4596158021370926</v>
      </c>
      <c r="DA29" s="6">
        <f t="shared" si="160"/>
        <v>-1.0254326933174505</v>
      </c>
      <c r="DB29" s="4">
        <f t="shared" si="161"/>
        <v>0</v>
      </c>
      <c r="DC29" s="5">
        <f t="shared" si="161"/>
        <v>0</v>
      </c>
      <c r="DD29" s="10">
        <f t="shared" si="162"/>
        <v>-10</v>
      </c>
      <c r="DE29" s="9">
        <f t="shared" si="163"/>
        <v>0</v>
      </c>
      <c r="DF29" s="5">
        <f t="shared" si="163"/>
        <v>0</v>
      </c>
      <c r="DG29" s="10">
        <f t="shared" si="164"/>
        <v>10</v>
      </c>
      <c r="DH29" s="70">
        <f t="shared" si="165"/>
        <v>4.7435999999999998</v>
      </c>
      <c r="DI29" s="4">
        <f t="shared" si="166"/>
        <v>0</v>
      </c>
      <c r="DJ29" s="5">
        <f t="shared" si="167"/>
        <v>0</v>
      </c>
      <c r="DK29" s="10">
        <f t="shared" si="168"/>
        <v>20</v>
      </c>
      <c r="DL29" s="9">
        <f t="shared" si="169"/>
        <v>3.7413830954037426</v>
      </c>
      <c r="DM29" s="173">
        <f t="shared" si="170"/>
        <v>-2.9705535093715514</v>
      </c>
      <c r="DN29" s="178">
        <f t="shared" si="171"/>
        <v>8.97456730668255</v>
      </c>
      <c r="DO29" s="9">
        <f t="shared" si="172"/>
        <v>-0.28248836405223443</v>
      </c>
      <c r="DP29" s="173">
        <f t="shared" si="173"/>
        <v>0.51093770723445875</v>
      </c>
      <c r="DQ29" s="11">
        <f t="shared" si="174"/>
        <v>0</v>
      </c>
      <c r="DR29" s="173">
        <f t="shared" si="175"/>
        <v>179.49134613365101</v>
      </c>
      <c r="DS29" s="5">
        <f t="shared" si="176"/>
        <v>0</v>
      </c>
      <c r="DT29" s="5">
        <f t="shared" si="177"/>
        <v>400</v>
      </c>
      <c r="DU29" s="5">
        <f t="shared" si="178"/>
        <v>0.3408570164989132</v>
      </c>
      <c r="DV29" s="5">
        <f t="shared" si="179"/>
        <v>-2.574664989208864</v>
      </c>
      <c r="DW29" s="5">
        <f t="shared" si="180"/>
        <v>103.36499396078781</v>
      </c>
      <c r="DX29" s="167">
        <f t="shared" si="181"/>
        <v>80.863253000787807</v>
      </c>
      <c r="DY29" s="9">
        <f t="shared" si="182"/>
        <v>136.34280659956528</v>
      </c>
      <c r="DZ29" s="5">
        <f t="shared" si="183"/>
        <v>-1029.8659956835456</v>
      </c>
      <c r="EA29" s="10">
        <f t="shared" si="184"/>
        <v>128.15786344500884</v>
      </c>
      <c r="EB29" s="6">
        <f t="shared" si="185"/>
        <v>1043150.5662753645</v>
      </c>
      <c r="EC29" s="173">
        <f t="shared" si="186"/>
        <v>15.044529841091107</v>
      </c>
      <c r="ED29" s="5">
        <f t="shared" si="187"/>
        <v>6.2479048761528773E-2</v>
      </c>
      <c r="EE29" s="4">
        <f t="shared" si="188"/>
        <v>-0.50852152734110678</v>
      </c>
      <c r="EF29" s="5">
        <f t="shared" si="189"/>
        <v>4.7162640740559354</v>
      </c>
      <c r="EG29" s="10">
        <f t="shared" si="190"/>
        <v>-1.0254326933174505</v>
      </c>
      <c r="EH29" s="9">
        <f t="shared" si="191"/>
        <v>3.7237334911315587</v>
      </c>
      <c r="EI29" s="5">
        <f t="shared" si="192"/>
        <v>-2.9386306074471458</v>
      </c>
      <c r="EJ29" s="6">
        <f t="shared" si="193"/>
        <v>-1.0254326933174505</v>
      </c>
      <c r="EK29" s="236" t="b">
        <f t="shared" si="194"/>
        <v>0</v>
      </c>
      <c r="EL29" s="238" t="b">
        <f t="shared" si="195"/>
        <v>1</v>
      </c>
      <c r="EM29" s="4">
        <f t="shared" si="196"/>
        <v>3.7237334911315587</v>
      </c>
      <c r="EN29" s="5">
        <f t="shared" si="197"/>
        <v>-2.9386306074471458</v>
      </c>
      <c r="EO29" s="10">
        <f t="shared" si="198"/>
        <v>-1.0254326933174505</v>
      </c>
      <c r="EP29" s="9">
        <f t="shared" si="199"/>
        <v>321.72082431973865</v>
      </c>
      <c r="EQ29" s="5">
        <f t="shared" si="200"/>
        <v>4.7436000000000007</v>
      </c>
      <c r="ER29" s="7">
        <f t="shared" si="201"/>
        <v>-1.0254326933174505</v>
      </c>
      <c r="ES29" s="21">
        <f t="shared" si="124"/>
        <v>-0.8643766825170327</v>
      </c>
      <c r="ET29" s="5">
        <f t="shared" si="35"/>
        <v>-0.47789848255823875</v>
      </c>
      <c r="EU29" s="10">
        <f t="shared" si="36"/>
        <v>-0.15641608321838796</v>
      </c>
      <c r="EV29" s="174">
        <f t="shared" si="252"/>
        <v>128.27917568026135</v>
      </c>
      <c r="EW29" s="9">
        <f t="shared" si="125"/>
        <v>0.91062702598685363</v>
      </c>
      <c r="EX29" s="5">
        <f t="shared" si="37"/>
        <v>-0.38248193219151722</v>
      </c>
      <c r="EY29" s="6">
        <f t="shared" si="202"/>
        <v>-0.15641608321838796</v>
      </c>
      <c r="EZ29" s="51">
        <f t="shared" si="203"/>
        <v>0.36524343772973528</v>
      </c>
      <c r="FA29" s="266">
        <f t="shared" si="126"/>
        <v>-0.61948117450176843</v>
      </c>
      <c r="FB29" s="267">
        <f t="shared" si="127"/>
        <v>-0.78498562928319326</v>
      </c>
      <c r="FC29" s="269">
        <f t="shared" si="38"/>
        <v>-6.3746573851948601E-3</v>
      </c>
      <c r="FD29" s="4">
        <f t="shared" si="128"/>
        <v>0.99997968166519335</v>
      </c>
      <c r="FE29" s="5">
        <f t="shared" si="39"/>
        <v>-2.7755575615628914E-16</v>
      </c>
      <c r="FF29" s="7">
        <f t="shared" si="204"/>
        <v>-6.3746573851948601E-3</v>
      </c>
      <c r="FG29" s="173">
        <f t="shared" si="205"/>
        <v>-8.9352655678339721E-2</v>
      </c>
      <c r="FH29" s="5">
        <f t="shared" si="40"/>
        <v>-0.38248193219151694</v>
      </c>
      <c r="FI29" s="10">
        <f t="shared" si="41"/>
        <v>-0.1500414258331931</v>
      </c>
      <c r="FJ29" s="279">
        <f t="shared" si="206"/>
        <v>24.271811714294305</v>
      </c>
      <c r="FK29" s="4">
        <f t="shared" si="42"/>
        <v>0.98769125181436046</v>
      </c>
      <c r="FL29" s="5">
        <f t="shared" si="207"/>
        <v>0.99997968166519335</v>
      </c>
      <c r="FM29" s="8">
        <f t="shared" si="208"/>
        <v>0.39278025094157687</v>
      </c>
      <c r="FN29" s="9">
        <f t="shared" si="209"/>
        <v>22.783399531587985</v>
      </c>
      <c r="FO29" s="10">
        <f t="shared" si="43"/>
        <v>1</v>
      </c>
      <c r="FP29" s="277">
        <f t="shared" si="44"/>
        <v>22.783399531587985</v>
      </c>
      <c r="FQ29" s="173">
        <f t="shared" si="239"/>
        <v>0.38724847616996549</v>
      </c>
      <c r="FR29" s="10">
        <f t="shared" si="210"/>
        <v>0.92197538888195907</v>
      </c>
      <c r="FS29" s="9">
        <f t="shared" si="211"/>
        <v>0.2957847672251277</v>
      </c>
      <c r="FT29" s="6">
        <f t="shared" si="212"/>
        <v>0.7042152327748723</v>
      </c>
      <c r="FU29" s="4">
        <f t="shared" si="213"/>
        <v>0.92396297087439794</v>
      </c>
      <c r="FV29" s="5">
        <f t="shared" si="214"/>
        <v>1</v>
      </c>
      <c r="FW29" s="8">
        <f t="shared" si="240"/>
        <v>0.17463197457175339</v>
      </c>
      <c r="FX29" s="9">
        <f t="shared" si="241"/>
        <v>9.3811961136449948</v>
      </c>
      <c r="FY29" s="10">
        <f t="shared" si="45"/>
        <v>1</v>
      </c>
      <c r="FZ29" s="277">
        <f t="shared" si="242"/>
        <v>9.3811961136449948</v>
      </c>
      <c r="GA29" s="177">
        <f t="shared" si="215"/>
        <v>8.6675021500678273</v>
      </c>
      <c r="GB29" s="4">
        <f t="shared" si="216"/>
        <v>-0.38206930289406843</v>
      </c>
      <c r="GC29" s="5">
        <f t="shared" si="217"/>
        <v>0.90964462300688198</v>
      </c>
      <c r="GD29" s="10">
        <f t="shared" si="218"/>
        <v>-0.16300217060121611</v>
      </c>
      <c r="GE29" s="311">
        <f t="shared" si="219"/>
        <v>1.4547160965021666</v>
      </c>
      <c r="GF29" s="341">
        <f t="shared" si="243"/>
        <v>0.68741935447368618</v>
      </c>
      <c r="GG29" s="285">
        <f t="shared" si="46"/>
        <v>0.26264183355965182</v>
      </c>
      <c r="GH29" s="286">
        <f t="shared" si="47"/>
        <v>0.62530731954785046</v>
      </c>
      <c r="GI29" s="281">
        <f t="shared" si="48"/>
        <v>0.11205084689249765</v>
      </c>
      <c r="GJ29" s="167">
        <f t="shared" si="220"/>
        <v>4.7435999999999998</v>
      </c>
      <c r="GK29" s="174">
        <f t="shared" si="49"/>
        <v>2.4837936184784213</v>
      </c>
      <c r="GL29" s="174">
        <f t="shared" si="221"/>
        <v>1.09E-2</v>
      </c>
      <c r="GM29" s="177">
        <f t="shared" si="244"/>
        <v>0.32488020529697753</v>
      </c>
      <c r="GN29" s="280">
        <f t="shared" si="222"/>
        <v>2.2329466226048412E-2</v>
      </c>
      <c r="GO29" s="4">
        <f t="shared" si="223"/>
        <v>22.783399531587985</v>
      </c>
      <c r="GP29" s="8">
        <f t="shared" si="245"/>
        <v>9.3811961136449948</v>
      </c>
      <c r="GQ29" s="177">
        <f t="shared" si="224"/>
        <v>24.271811714294305</v>
      </c>
      <c r="GR29" s="371">
        <f t="shared" si="246"/>
        <v>1298.8821461897051</v>
      </c>
      <c r="GS29" s="342">
        <f t="shared" si="51"/>
        <v>341.14078845315987</v>
      </c>
      <c r="GT29" s="343">
        <f t="shared" si="52"/>
        <v>137.34667241078736</v>
      </c>
      <c r="GU29" s="344">
        <f t="shared" si="53"/>
        <v>812.20051324244378</v>
      </c>
      <c r="GV29" s="343">
        <f t="shared" si="253"/>
        <v>327</v>
      </c>
      <c r="GW29" s="345">
        <f t="shared" si="129"/>
        <v>30000</v>
      </c>
      <c r="GX29" s="346">
        <f t="shared" si="54"/>
        <v>129.26310000000001</v>
      </c>
      <c r="GY29" s="344">
        <f t="shared" si="55"/>
        <v>145.54084449410141</v>
      </c>
      <c r="GZ29" s="345">
        <f t="shared" si="56"/>
        <v>58.596190686430752</v>
      </c>
      <c r="HA29" s="342">
        <f t="shared" si="57"/>
        <v>341.14078845315987</v>
      </c>
      <c r="HB29" s="5">
        <f t="shared" si="225"/>
        <v>128.27917568026135</v>
      </c>
      <c r="HC29" s="343">
        <f t="shared" si="226"/>
        <v>-211.33459026838403</v>
      </c>
      <c r="HD29" s="363">
        <f t="shared" si="227"/>
        <v>267.79605766802808</v>
      </c>
      <c r="HE29" s="344">
        <f t="shared" si="58"/>
        <v>327</v>
      </c>
      <c r="HF29" s="5">
        <f t="shared" si="59"/>
        <v>218.27917568026135</v>
      </c>
      <c r="HG29" s="343">
        <f t="shared" si="228"/>
        <v>-256.69551640104987</v>
      </c>
      <c r="HH29" s="349">
        <f t="shared" si="229"/>
        <v>-202.57446003778051</v>
      </c>
      <c r="HI29" s="317">
        <f t="shared" si="60"/>
        <v>3.121</v>
      </c>
      <c r="HJ29" s="336"/>
      <c r="HK29" s="310">
        <f t="shared" si="130"/>
        <v>21</v>
      </c>
      <c r="HL29" s="348">
        <f t="shared" si="61"/>
        <v>1.1160000000000001</v>
      </c>
      <c r="HM29" s="934">
        <f t="shared" si="62"/>
        <v>10.889953754829913</v>
      </c>
      <c r="HN29" s="935">
        <f t="shared" si="63"/>
        <v>20.918449404978791</v>
      </c>
      <c r="HO29" s="936"/>
      <c r="HP29" s="937"/>
      <c r="HQ29" s="935">
        <f t="shared" si="64"/>
        <v>19.752480011077289</v>
      </c>
      <c r="HR29" s="938">
        <f t="shared" si="65"/>
        <v>16.883127946436758</v>
      </c>
      <c r="HS29" s="939">
        <f t="shared" si="249"/>
        <v>3.7395999999999998</v>
      </c>
      <c r="HT29" s="940">
        <f t="shared" si="66"/>
        <v>2.3800000000000002E-2</v>
      </c>
      <c r="HU29" s="941">
        <f t="shared" si="67"/>
        <v>0.55923735741059943</v>
      </c>
      <c r="HV29" s="942">
        <f t="shared" si="68"/>
        <v>3.8437157700111559E-2</v>
      </c>
      <c r="HW29" s="943">
        <f t="shared" si="69"/>
        <v>30000</v>
      </c>
      <c r="HX29" s="950">
        <f t="shared" si="70"/>
        <v>222.50619999999998</v>
      </c>
      <c r="HY29" s="955">
        <f t="shared" si="71"/>
        <v>268.97612791480509</v>
      </c>
      <c r="HZ29" s="956">
        <f t="shared" si="72"/>
        <v>1398.0933935264986</v>
      </c>
      <c r="IA29" s="957">
        <f t="shared" si="73"/>
        <v>432.10499680958407</v>
      </c>
      <c r="IB29" s="958">
        <f t="shared" si="74"/>
        <v>2099.174518250888</v>
      </c>
      <c r="IC29" s="841">
        <f t="shared" si="75"/>
        <v>137.36489723819787</v>
      </c>
      <c r="ID29" s="351">
        <f t="shared" si="76"/>
        <v>714</v>
      </c>
      <c r="IE29" s="843">
        <f t="shared" si="77"/>
        <v>220.67407595985858</v>
      </c>
      <c r="IF29" s="844"/>
      <c r="IG29" s="789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7">
        <f t="shared" si="230"/>
        <v>3.121</v>
      </c>
      <c r="IJ29" s="967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8"/>
        <v>1613</v>
      </c>
      <c r="IM29" s="482" t="str">
        <f t="shared" si="231"/>
        <v/>
      </c>
      <c r="IN29" s="670" t="str">
        <f t="shared" si="80"/>
        <v/>
      </c>
      <c r="IO29" s="702"/>
      <c r="IP29" s="5" t="str">
        <f t="shared" si="81"/>
        <v/>
      </c>
      <c r="IQ29" s="714"/>
      <c r="IR29" s="9" t="str">
        <f t="shared" si="131"/>
        <v/>
      </c>
      <c r="IS29" s="5" t="str">
        <f t="shared" si="82"/>
        <v/>
      </c>
      <c r="IT29" s="5" t="str">
        <f t="shared" si="83"/>
        <v/>
      </c>
      <c r="IU29" s="5" t="str">
        <f t="shared" si="84"/>
        <v/>
      </c>
      <c r="IV29" s="670" t="str">
        <f t="shared" si="85"/>
        <v/>
      </c>
      <c r="IW29" s="9" t="str">
        <f t="shared" si="86"/>
        <v/>
      </c>
      <c r="IX29" s="5" t="str">
        <f t="shared" si="87"/>
        <v/>
      </c>
      <c r="IY29" s="5" t="str">
        <f t="shared" si="88"/>
        <v/>
      </c>
      <c r="IZ29" s="5" t="str">
        <f t="shared" si="89"/>
        <v/>
      </c>
      <c r="JA29" s="705" t="str">
        <f t="shared" si="9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3.7205623123947196</v>
      </c>
      <c r="C30" s="572">
        <f t="shared" si="286"/>
        <v>-2.8005951383308587</v>
      </c>
      <c r="D30" s="576">
        <f t="shared" si="286"/>
        <v>-1.8942057129244303</v>
      </c>
      <c r="E30" s="580">
        <f t="shared" ref="E30:K30" si="287">R185</f>
        <v>0.92297365950583921</v>
      </c>
      <c r="F30" s="572">
        <f t="shared" si="287"/>
        <v>0.38265603216958621</v>
      </c>
      <c r="G30" s="579">
        <f t="shared" si="287"/>
        <v>4.1158047847630275E-2</v>
      </c>
      <c r="H30" s="580">
        <f t="shared" si="287"/>
        <v>0.3125</v>
      </c>
      <c r="I30" s="572">
        <f t="shared" si="287"/>
        <v>0.52</v>
      </c>
      <c r="J30" s="483">
        <f t="shared" si="92"/>
        <v>3.1240000000000001</v>
      </c>
      <c r="K30" s="805">
        <f t="shared" si="287"/>
        <v>1613</v>
      </c>
      <c r="L30" s="82"/>
      <c r="M30" s="164">
        <f t="shared" si="4"/>
        <v>3.1240000000000001</v>
      </c>
      <c r="N30" s="575">
        <f t="shared" si="5"/>
        <v>3.7205623123947196</v>
      </c>
      <c r="O30" s="572">
        <f t="shared" si="6"/>
        <v>-2.8005951383308587</v>
      </c>
      <c r="P30" s="576">
        <f t="shared" si="7"/>
        <v>-1.8942057129244303</v>
      </c>
      <c r="Q30" s="528">
        <f t="shared" si="134"/>
        <v>323.02996635463563</v>
      </c>
      <c r="R30" s="572">
        <f>IF(M30="","",SQRT(N30^2+O30^2))</f>
        <v>4.6568140449511599</v>
      </c>
      <c r="S30" s="577">
        <f>IF(M30="","",P30)</f>
        <v>-1.8942057129244303</v>
      </c>
      <c r="T30" s="578">
        <f>IF(M30="","",X30*COS(RADIANS(W30)))</f>
        <v>-2.778467700283803</v>
      </c>
      <c r="U30" s="572">
        <f>IF(M30="","",X30*SIN(RADIANS(W30)))</f>
        <v>-3.7371157712511422</v>
      </c>
      <c r="V30" s="579">
        <f>IF(M30="","",Y30)</f>
        <v>-1.8942057129244303</v>
      </c>
      <c r="W30" s="528">
        <f t="shared" si="256"/>
        <v>233.36996630554572</v>
      </c>
      <c r="X30" s="572">
        <f>IF(M30="","",R30)</f>
        <v>4.6568140449511599</v>
      </c>
      <c r="Y30" s="573">
        <f t="shared" si="259"/>
        <v>-1.8942057129244303</v>
      </c>
      <c r="Z30" s="575">
        <f t="shared" si="10"/>
        <v>-0.92297365950583921</v>
      </c>
      <c r="AA30" s="572">
        <f t="shared" si="11"/>
        <v>-0.38265603216958621</v>
      </c>
      <c r="AB30" s="572">
        <f t="shared" si="12"/>
        <v>-4.1158047847630275E-2</v>
      </c>
      <c r="AC30" s="579">
        <f>IF(M30="","",SQRT(Z30^2+AA30^2+AB30^2))</f>
        <v>1</v>
      </c>
      <c r="AD30" s="580">
        <f>IF(M30="","",Z30*(1/SQRT(Z30^2+AA30^2+AB30^2)))</f>
        <v>-0.92297365950583921</v>
      </c>
      <c r="AE30" s="572">
        <f>IF(M30="","",AA30*(1/SQRT(Z30^2+AA30^2+AB30^2)))</f>
        <v>-0.38265603216958621</v>
      </c>
      <c r="AF30" s="576">
        <f>IF(M30="","",AB30*(1/SQRT(Z30^2+AA30^2+AB30^2)))</f>
        <v>-4.1158047847630275E-2</v>
      </c>
      <c r="AG30" s="545">
        <f>IF(M30="","",DEGREES(ATAN2(-AF30,AE30)))</f>
        <v>-83.860932592680243</v>
      </c>
      <c r="AH30" s="546">
        <f>IF(M30="","",DEGREES(ACOS(AD30)))</f>
        <v>157.36475693105726</v>
      </c>
      <c r="AI30" s="528">
        <f>IF(M30="","",DEGREES(-ACOS(-AF30)))</f>
        <v>-87.641151269721945</v>
      </c>
      <c r="AJ30" s="529">
        <f>IF(M30="","",DEGREES(ATAN2(-AE30,AD30)))</f>
        <v>-67.481572494582878</v>
      </c>
      <c r="AK30" s="578">
        <f>IF(M30="","",(COS(RADIANS((90-$Q$8)-W30))*AD30)+(-SIN(RADIANS((90-$Q$8)-W30))*AE30))</f>
        <v>0.86079691326008279</v>
      </c>
      <c r="AL30" s="572">
        <f>IF(M30="","",(SIN(RADIANS((90-$Q$8)-W30))*AD30)+(COS(RADIANS((90-$Q$8)-W30))*AE30))</f>
        <v>-0.50728166655151818</v>
      </c>
      <c r="AM30" s="577">
        <f>IF(M30="","",AF30)</f>
        <v>-4.1158047847630275E-2</v>
      </c>
      <c r="AN30" s="524">
        <f>IF(M30="","",DEGREES(ATAN2(-AM30,AL30)))</f>
        <v>-85.361495507825509</v>
      </c>
      <c r="AO30" s="525">
        <f>IF(ROUND(IF(M30="",0,DEGREES(ACOS(AK30))),4)=90,0,IF(M30="","",DEGREES(ACOS(AK30))))</f>
        <v>30.593821646993739</v>
      </c>
      <c r="AP30" s="528">
        <f>IF(M30="","",DEGREES(ATAN2(AK30,AL30)))</f>
        <v>-30.511538849218503</v>
      </c>
      <c r="AQ30" s="529">
        <f t="shared" si="13"/>
        <v>0.37205004786683704</v>
      </c>
      <c r="AS30" s="899">
        <f t="shared" si="137"/>
        <v>-126.63003369445428</v>
      </c>
      <c r="AT30" s="895">
        <f t="shared" si="14"/>
        <v>-1.8271938529517433</v>
      </c>
      <c r="AU30" s="418"/>
      <c r="AV30" s="164">
        <f t="shared" si="15"/>
        <v>3.1240000000000001</v>
      </c>
      <c r="AW30" s="796">
        <f>IFERROR(INDEX(MassProp!C$9:C$150,MATCH($M30,MassProp!$B$9:$B$150,0)),"")</f>
        <v>4.9214000000000002</v>
      </c>
      <c r="AX30" s="744">
        <f>IFERROR(INDEX(MassProp!D$9:D$150,MATCH($M30,MassProp!$B$9:$B$150,0)),"")</f>
        <v>-1.6316999999999999</v>
      </c>
      <c r="AY30" s="731">
        <f>IFERROR(INDEX(MassProp!E$9:E$150,MATCH($M30,MassProp!$B$9:$B$150,0)),"")</f>
        <v>6.9999999999999999E-4</v>
      </c>
      <c r="AZ30" s="297">
        <f t="shared" si="138"/>
        <v>2.1645856323527595E-2</v>
      </c>
      <c r="BA30" s="296">
        <f t="shared" si="16"/>
        <v>1.487749668430176E-3</v>
      </c>
      <c r="BB30" s="177">
        <f t="shared" si="139"/>
        <v>5.4938529517434276E-3</v>
      </c>
      <c r="BC30" s="9"/>
      <c r="BD30" s="5">
        <f t="shared" si="235"/>
        <v>4.9214000000000002</v>
      </c>
      <c r="BE30" s="6">
        <f t="shared" si="17"/>
        <v>-1.8887118599726869</v>
      </c>
      <c r="BF30" s="4">
        <f t="shared" si="18"/>
        <v>3.7205623123947196</v>
      </c>
      <c r="BG30" s="5">
        <f t="shared" si="19"/>
        <v>-2.8005951383308587</v>
      </c>
      <c r="BH30" s="10">
        <f t="shared" si="20"/>
        <v>-1.8942057129244303</v>
      </c>
      <c r="BI30" s="9">
        <f t="shared" si="140"/>
        <v>3.7205623123947196</v>
      </c>
      <c r="BJ30" s="5">
        <f t="shared" si="21"/>
        <v>-2.6936530975621511</v>
      </c>
      <c r="BK30" s="8">
        <f t="shared" si="22"/>
        <v>-2.8884709692399793</v>
      </c>
      <c r="BL30" s="173">
        <f t="shared" si="23"/>
        <v>4.1054254359313864</v>
      </c>
      <c r="BM30" s="5">
        <f t="shared" si="24"/>
        <v>-3.7182757804719317</v>
      </c>
      <c r="BN30" s="6">
        <f t="shared" si="25"/>
        <v>-1.9929103996477469</v>
      </c>
      <c r="BO30" s="4">
        <f t="shared" si="141"/>
        <v>-0.92297365950583865</v>
      </c>
      <c r="BP30" s="5">
        <f t="shared" si="142"/>
        <v>-0.38265603216958599</v>
      </c>
      <c r="BQ30" s="5">
        <f t="shared" si="143"/>
        <v>-4.1158047847629664E-2</v>
      </c>
      <c r="BR30" s="6">
        <f t="shared" si="144"/>
        <v>2.2843545801775411</v>
      </c>
      <c r="BS30" s="4">
        <f t="shared" si="110"/>
        <v>0</v>
      </c>
      <c r="BT30" s="5">
        <f t="shared" si="110"/>
        <v>0</v>
      </c>
      <c r="BU30" s="10">
        <f t="shared" si="111"/>
        <v>-1.8887118599726869</v>
      </c>
      <c r="BV30" s="9">
        <f t="shared" si="112"/>
        <v>0</v>
      </c>
      <c r="BW30" s="5">
        <f t="shared" si="113"/>
        <v>1</v>
      </c>
      <c r="BX30" s="8">
        <f t="shared" si="114"/>
        <v>-1.8887118599726869</v>
      </c>
      <c r="BY30" s="173">
        <f t="shared" si="115"/>
        <v>1</v>
      </c>
      <c r="BZ30" s="5">
        <f t="shared" si="116"/>
        <v>0</v>
      </c>
      <c r="CA30" s="6">
        <f t="shared" si="117"/>
        <v>-1.8887118599726869</v>
      </c>
      <c r="CB30" s="4">
        <f t="shared" si="145"/>
        <v>0</v>
      </c>
      <c r="CC30" s="5">
        <f t="shared" si="146"/>
        <v>0</v>
      </c>
      <c r="CD30" s="5">
        <f t="shared" si="147"/>
        <v>-1</v>
      </c>
      <c r="CE30" s="6">
        <f t="shared" si="148"/>
        <v>-1.8887118599726869</v>
      </c>
      <c r="CF30" s="4">
        <f t="shared" si="149"/>
        <v>0.38265603216958599</v>
      </c>
      <c r="CG30" s="5">
        <f t="shared" si="150"/>
        <v>-0.92297365950583865</v>
      </c>
      <c r="CH30" s="5">
        <f t="shared" si="151"/>
        <v>0</v>
      </c>
      <c r="CI30" s="4">
        <f t="shared" si="118"/>
        <v>0</v>
      </c>
      <c r="CJ30" s="5">
        <f t="shared" si="119"/>
        <v>6.1728813208250921</v>
      </c>
      <c r="CK30" s="8">
        <f t="shared" si="120"/>
        <v>-1.8887118599726869</v>
      </c>
      <c r="CL30" s="173">
        <f t="shared" si="121"/>
        <v>0.38265603216958599</v>
      </c>
      <c r="CM30" s="5">
        <f t="shared" si="122"/>
        <v>5.2499076613192539</v>
      </c>
      <c r="CN30" s="6">
        <f t="shared" si="123"/>
        <v>-1.8887118599726869</v>
      </c>
      <c r="CO30" s="167">
        <f t="shared" si="26"/>
        <v>0.3125</v>
      </c>
      <c r="CP30" s="4">
        <f t="shared" si="236"/>
        <v>0.99830601509737016</v>
      </c>
      <c r="CQ30" s="5">
        <f t="shared" si="237"/>
        <v>-19.411956035794645</v>
      </c>
      <c r="CR30" s="5">
        <f t="shared" si="152"/>
        <v>94.268237615858226</v>
      </c>
      <c r="CS30" s="8">
        <f t="shared" si="153"/>
        <v>0.38984255746640883</v>
      </c>
      <c r="CT30" s="9">
        <f t="shared" si="154"/>
        <v>10.035164300820345</v>
      </c>
      <c r="CU30" s="6">
        <f t="shared" si="155"/>
        <v>9.409731094206693</v>
      </c>
      <c r="CV30" s="4">
        <f t="shared" si="238"/>
        <v>3.8400161535217907</v>
      </c>
      <c r="CW30" s="5">
        <f t="shared" si="156"/>
        <v>-3.0893109976454083</v>
      </c>
      <c r="CX30" s="8">
        <f t="shared" si="157"/>
        <v>-1.8887118599726869</v>
      </c>
      <c r="CY30" s="9">
        <f t="shared" si="158"/>
        <v>3.6006903642919097</v>
      </c>
      <c r="CZ30" s="5">
        <f t="shared" si="159"/>
        <v>-2.5120526221607351</v>
      </c>
      <c r="DA30" s="6">
        <f t="shared" si="160"/>
        <v>-1.8887118599726869</v>
      </c>
      <c r="DB30" s="4">
        <f t="shared" si="161"/>
        <v>0</v>
      </c>
      <c r="DC30" s="5">
        <f t="shared" si="161"/>
        <v>0</v>
      </c>
      <c r="DD30" s="10">
        <f t="shared" si="162"/>
        <v>-10</v>
      </c>
      <c r="DE30" s="9">
        <f t="shared" si="163"/>
        <v>0</v>
      </c>
      <c r="DF30" s="5">
        <f t="shared" si="163"/>
        <v>0</v>
      </c>
      <c r="DG30" s="10">
        <f t="shared" si="164"/>
        <v>10</v>
      </c>
      <c r="DH30" s="70">
        <f t="shared" si="165"/>
        <v>4.9214000000000002</v>
      </c>
      <c r="DI30" s="4">
        <f t="shared" si="166"/>
        <v>0</v>
      </c>
      <c r="DJ30" s="5">
        <f t="shared" si="167"/>
        <v>0</v>
      </c>
      <c r="DK30" s="10">
        <f t="shared" si="168"/>
        <v>20</v>
      </c>
      <c r="DL30" s="9">
        <f t="shared" si="169"/>
        <v>3.8400161535217907</v>
      </c>
      <c r="DM30" s="173">
        <f t="shared" si="170"/>
        <v>-3.0893109976454083</v>
      </c>
      <c r="DN30" s="178">
        <f t="shared" si="171"/>
        <v>8.1112881400273125</v>
      </c>
      <c r="DO30" s="9">
        <f t="shared" si="172"/>
        <v>-0.23932578922988101</v>
      </c>
      <c r="DP30" s="173">
        <f t="shared" si="173"/>
        <v>0.57725837548467318</v>
      </c>
      <c r="DQ30" s="11">
        <f t="shared" si="174"/>
        <v>0</v>
      </c>
      <c r="DR30" s="173">
        <f t="shared" si="175"/>
        <v>162.22576280054625</v>
      </c>
      <c r="DS30" s="5">
        <f t="shared" si="176"/>
        <v>0</v>
      </c>
      <c r="DT30" s="5">
        <f t="shared" si="177"/>
        <v>400</v>
      </c>
      <c r="DU30" s="5">
        <f t="shared" si="178"/>
        <v>0.39050406545770938</v>
      </c>
      <c r="DV30" s="5">
        <f t="shared" si="179"/>
        <v>-2.7023455444648179</v>
      </c>
      <c r="DW30" s="5">
        <f t="shared" si="180"/>
        <v>90.08256179002889</v>
      </c>
      <c r="DX30" s="167">
        <f t="shared" si="181"/>
        <v>65.86238383002889</v>
      </c>
      <c r="DY30" s="9">
        <f t="shared" si="182"/>
        <v>156.20162618308376</v>
      </c>
      <c r="DZ30" s="5">
        <f t="shared" si="183"/>
        <v>-1080.9382177859272</v>
      </c>
      <c r="EA30" s="10">
        <f t="shared" si="184"/>
        <v>27.755415792460553</v>
      </c>
      <c r="EB30" s="6">
        <f t="shared" si="185"/>
        <v>1164091.9895880467</v>
      </c>
      <c r="EC30" s="173">
        <f t="shared" si="186"/>
        <v>13.827443529989548</v>
      </c>
      <c r="ED30" s="5">
        <f t="shared" si="187"/>
        <v>1.2850507909401046E-2</v>
      </c>
      <c r="EE30" s="4">
        <f t="shared" si="188"/>
        <v>0.53075231767543007</v>
      </c>
      <c r="EF30" s="5">
        <f t="shared" si="189"/>
        <v>4.8926965915824132</v>
      </c>
      <c r="EG30" s="10">
        <f t="shared" si="190"/>
        <v>-1.8887118599726869</v>
      </c>
      <c r="EH30" s="9">
        <f t="shared" si="191"/>
        <v>3.8369406955743686</v>
      </c>
      <c r="EI30" s="5">
        <f t="shared" si="192"/>
        <v>-3.0818929343254746</v>
      </c>
      <c r="EJ30" s="6">
        <f t="shared" si="193"/>
        <v>-1.8887118599726869</v>
      </c>
      <c r="EK30" s="236" t="b">
        <f t="shared" si="194"/>
        <v>0</v>
      </c>
      <c r="EL30" s="238" t="b">
        <f t="shared" si="195"/>
        <v>1</v>
      </c>
      <c r="EM30" s="4">
        <f t="shared" si="196"/>
        <v>3.8369406955743686</v>
      </c>
      <c r="EN30" s="5">
        <f t="shared" si="197"/>
        <v>-3.0818929343254746</v>
      </c>
      <c r="EO30" s="10">
        <f t="shared" si="198"/>
        <v>-1.8887118599726869</v>
      </c>
      <c r="EP30" s="9">
        <f t="shared" si="199"/>
        <v>321.22800519941171</v>
      </c>
      <c r="EQ30" s="5">
        <f t="shared" si="200"/>
        <v>4.9214000000000002</v>
      </c>
      <c r="ER30" s="7">
        <f t="shared" si="201"/>
        <v>-1.8887118599726869</v>
      </c>
      <c r="ES30" s="21">
        <f t="shared" si="124"/>
        <v>-0.92297365950583921</v>
      </c>
      <c r="ET30" s="5">
        <f t="shared" si="35"/>
        <v>-0.38265603216958621</v>
      </c>
      <c r="EU30" s="10">
        <f t="shared" si="36"/>
        <v>-4.1158047847630275E-2</v>
      </c>
      <c r="EV30" s="174">
        <f t="shared" si="252"/>
        <v>128.77199480058829</v>
      </c>
      <c r="EW30" s="9">
        <f t="shared" si="125"/>
        <v>0.87632269314383571</v>
      </c>
      <c r="EX30" s="5">
        <f t="shared" si="37"/>
        <v>-0.47996307418228229</v>
      </c>
      <c r="EY30" s="6">
        <f t="shared" si="202"/>
        <v>-4.1158047847630275E-2</v>
      </c>
      <c r="EZ30" s="51">
        <f t="shared" si="203"/>
        <v>0.35204828632551921</v>
      </c>
      <c r="FA30" s="266">
        <f t="shared" si="126"/>
        <v>-0.62621098836107736</v>
      </c>
      <c r="FB30" s="267">
        <f t="shared" si="127"/>
        <v>-0.77962942790689183</v>
      </c>
      <c r="FC30" s="269">
        <f t="shared" si="38"/>
        <v>-6.1443630601686061E-3</v>
      </c>
      <c r="FD30" s="4">
        <f t="shared" si="128"/>
        <v>0.99998112322312593</v>
      </c>
      <c r="FE30" s="5">
        <f t="shared" si="39"/>
        <v>-2.7755575615628914E-16</v>
      </c>
      <c r="FF30" s="7">
        <f t="shared" si="204"/>
        <v>-6.1443630601686061E-3</v>
      </c>
      <c r="FG30" s="173">
        <f t="shared" si="205"/>
        <v>-0.12365843007929023</v>
      </c>
      <c r="FH30" s="5">
        <f t="shared" si="40"/>
        <v>-0.47996307418228201</v>
      </c>
      <c r="FI30" s="10">
        <f t="shared" si="41"/>
        <v>-3.5013684787461669E-2</v>
      </c>
      <c r="FJ30" s="279">
        <f t="shared" si="206"/>
        <v>28.769971971928687</v>
      </c>
      <c r="FK30" s="4">
        <f t="shared" si="42"/>
        <v>0.99915264854644326</v>
      </c>
      <c r="FL30" s="5">
        <f t="shared" si="207"/>
        <v>0.99998112322312604</v>
      </c>
      <c r="FM30" s="8">
        <f t="shared" si="208"/>
        <v>0.49563692347138694</v>
      </c>
      <c r="FN30" s="9">
        <f t="shared" si="209"/>
        <v>28.709577693994579</v>
      </c>
      <c r="FO30" s="10">
        <f t="shared" si="43"/>
        <v>1</v>
      </c>
      <c r="FP30" s="277">
        <f t="shared" si="44"/>
        <v>28.709577693994579</v>
      </c>
      <c r="FQ30" s="173">
        <f t="shared" si="239"/>
        <v>0.48037011649874256</v>
      </c>
      <c r="FR30" s="10">
        <f t="shared" si="210"/>
        <v>0.87706587618888954</v>
      </c>
      <c r="FS30" s="9">
        <f t="shared" si="211"/>
        <v>0.35388049166697133</v>
      </c>
      <c r="FT30" s="6">
        <f t="shared" si="212"/>
        <v>0.64611950833302867</v>
      </c>
      <c r="FU30" s="4">
        <f t="shared" si="213"/>
        <v>0.87728869103704565</v>
      </c>
      <c r="FV30" s="5">
        <f t="shared" si="214"/>
        <v>0.99999999999999989</v>
      </c>
      <c r="FW30" s="8">
        <f t="shared" si="240"/>
        <v>0.12851990294141385</v>
      </c>
      <c r="FX30" s="9">
        <f t="shared" si="241"/>
        <v>2.3369734524219545</v>
      </c>
      <c r="FY30" s="10">
        <f t="shared" si="45"/>
        <v>1</v>
      </c>
      <c r="FZ30" s="277">
        <f t="shared" si="242"/>
        <v>2.3369734524219545</v>
      </c>
      <c r="GA30" s="177">
        <f t="shared" si="215"/>
        <v>2.0501202723485132</v>
      </c>
      <c r="GB30" s="4">
        <f t="shared" si="216"/>
        <v>-0.47997058771850826</v>
      </c>
      <c r="GC30" s="5">
        <f t="shared" si="217"/>
        <v>0.87633641145396246</v>
      </c>
      <c r="GD30" s="10">
        <f t="shared" si="218"/>
        <v>-4.0776572748835713E-2</v>
      </c>
      <c r="GE30" s="311">
        <f t="shared" si="219"/>
        <v>1.3970835719213064</v>
      </c>
      <c r="GF30" s="341">
        <f t="shared" si="243"/>
        <v>0.71577679395712412</v>
      </c>
      <c r="GG30" s="285">
        <f t="shared" si="46"/>
        <v>0.34355180847087047</v>
      </c>
      <c r="GH30" s="286">
        <f t="shared" si="47"/>
        <v>0.62726126701840845</v>
      </c>
      <c r="GI30" s="281">
        <f t="shared" si="48"/>
        <v>2.9186924510721066E-2</v>
      </c>
      <c r="GJ30" s="167">
        <f t="shared" si="220"/>
        <v>4.9214000000000002</v>
      </c>
      <c r="GK30" s="174">
        <f t="shared" si="49"/>
        <v>2.5768876575628092</v>
      </c>
      <c r="GL30" s="174">
        <f t="shared" si="221"/>
        <v>6.9999999999999999E-4</v>
      </c>
      <c r="GM30" s="177">
        <f t="shared" si="244"/>
        <v>2.1645856323527595E-2</v>
      </c>
      <c r="GN30" s="280">
        <f t="shared" si="222"/>
        <v>1.487749668430176E-3</v>
      </c>
      <c r="GO30" s="4">
        <f t="shared" si="223"/>
        <v>28.709577693994579</v>
      </c>
      <c r="GP30" s="8">
        <f t="shared" si="245"/>
        <v>2.3369734524219545</v>
      </c>
      <c r="GQ30" s="177">
        <f t="shared" si="224"/>
        <v>28.769971971928687</v>
      </c>
      <c r="GR30" s="371">
        <f t="shared" si="246"/>
        <v>86.271293405449299</v>
      </c>
      <c r="GS30" s="342">
        <f t="shared" si="51"/>
        <v>29.638658868563187</v>
      </c>
      <c r="GT30" s="343">
        <f t="shared" si="52"/>
        <v>11.501727202417156</v>
      </c>
      <c r="GU30" s="344">
        <f t="shared" si="53"/>
        <v>54.114640808818997</v>
      </c>
      <c r="GV30" s="343">
        <f t="shared" si="253"/>
        <v>21</v>
      </c>
      <c r="GW30" s="345">
        <f t="shared" si="129"/>
        <v>30000</v>
      </c>
      <c r="GX30" s="346">
        <f t="shared" si="54"/>
        <v>8.6124500000000008</v>
      </c>
      <c r="GY30" s="344">
        <f t="shared" si="55"/>
        <v>2.517993728067117</v>
      </c>
      <c r="GZ30" s="345">
        <f t="shared" si="56"/>
        <v>0.97714532516664176</v>
      </c>
      <c r="HA30" s="342">
        <f t="shared" si="57"/>
        <v>29.638658868563187</v>
      </c>
      <c r="HB30" s="5">
        <f t="shared" si="225"/>
        <v>128.77199480058829</v>
      </c>
      <c r="HC30" s="343">
        <f t="shared" si="226"/>
        <v>-18.560404224388989</v>
      </c>
      <c r="HD30" s="363">
        <f t="shared" si="227"/>
        <v>23.107606854764136</v>
      </c>
      <c r="HE30" s="344">
        <f t="shared" si="58"/>
        <v>21</v>
      </c>
      <c r="HF30" s="5">
        <f t="shared" si="59"/>
        <v>218.77199480058829</v>
      </c>
      <c r="HG30" s="343">
        <f t="shared" si="228"/>
        <v>-16.372527046584654</v>
      </c>
      <c r="HH30" s="349">
        <f t="shared" si="229"/>
        <v>-13.150678998015806</v>
      </c>
      <c r="HI30" s="317">
        <f t="shared" si="60"/>
        <v>3.1240000000000001</v>
      </c>
      <c r="HJ30" s="336"/>
      <c r="HK30" s="310">
        <f t="shared" si="130"/>
        <v>22</v>
      </c>
      <c r="HL30" s="348">
        <f t="shared" si="61"/>
        <v>2.117</v>
      </c>
      <c r="HM30" s="934">
        <f t="shared" si="62"/>
        <v>13.677310049915461</v>
      </c>
      <c r="HN30" s="935">
        <f t="shared" si="63"/>
        <v>22.113216770145126</v>
      </c>
      <c r="HO30" s="936"/>
      <c r="HP30" s="937"/>
      <c r="HQ30" s="935">
        <f t="shared" si="64"/>
        <v>20.871071087038473</v>
      </c>
      <c r="HR30" s="938">
        <f t="shared" si="65"/>
        <v>16.382207637737686</v>
      </c>
      <c r="HS30" s="939">
        <f t="shared" si="249"/>
        <v>3.9918</v>
      </c>
      <c r="HT30" s="940">
        <f t="shared" si="66"/>
        <v>2.3300000000000001E-2</v>
      </c>
      <c r="HU30" s="941">
        <f t="shared" si="67"/>
        <v>0.58440917312810381</v>
      </c>
      <c r="HV30" s="942">
        <f t="shared" si="68"/>
        <v>4.0167251438505157E-2</v>
      </c>
      <c r="HW30" s="943">
        <f t="shared" si="69"/>
        <v>30000</v>
      </c>
      <c r="HX30" s="950">
        <f t="shared" si="70"/>
        <v>232.52234999999999</v>
      </c>
      <c r="HY30" s="955">
        <f t="shared" si="71"/>
        <v>355.546090003838</v>
      </c>
      <c r="HZ30" s="956">
        <f t="shared" si="72"/>
        <v>1461.0229328202593</v>
      </c>
      <c r="IA30" s="957">
        <f t="shared" si="73"/>
        <v>442.04461074252151</v>
      </c>
      <c r="IB30" s="958">
        <f t="shared" si="74"/>
        <v>2258.6136335666188</v>
      </c>
      <c r="IC30" s="841">
        <f t="shared" si="75"/>
        <v>170.10459680666591</v>
      </c>
      <c r="ID30" s="351">
        <f t="shared" si="76"/>
        <v>699</v>
      </c>
      <c r="IE30" s="843">
        <f t="shared" si="77"/>
        <v>211.48824975154281</v>
      </c>
      <c r="IF30" s="844"/>
      <c r="IG30" s="789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7">
        <f t="shared" si="230"/>
        <v>3.1240000000000001</v>
      </c>
      <c r="IJ30" s="967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8"/>
        <v>1613</v>
      </c>
      <c r="IM30" s="482" t="str">
        <f t="shared" si="231"/>
        <v/>
      </c>
      <c r="IN30" s="670" t="str">
        <f t="shared" si="80"/>
        <v/>
      </c>
      <c r="IO30" s="702"/>
      <c r="IP30" s="5" t="str">
        <f t="shared" si="81"/>
        <v/>
      </c>
      <c r="IQ30" s="714"/>
      <c r="IR30" s="9" t="str">
        <f t="shared" si="131"/>
        <v/>
      </c>
      <c r="IS30" s="5" t="str">
        <f t="shared" si="82"/>
        <v/>
      </c>
      <c r="IT30" s="5" t="str">
        <f t="shared" si="83"/>
        <v/>
      </c>
      <c r="IU30" s="5" t="str">
        <f t="shared" si="84"/>
        <v/>
      </c>
      <c r="IV30" s="670" t="str">
        <f t="shared" si="85"/>
        <v/>
      </c>
      <c r="IW30" s="9" t="str">
        <f t="shared" si="86"/>
        <v/>
      </c>
      <c r="IX30" s="5" t="str">
        <f t="shared" si="87"/>
        <v/>
      </c>
      <c r="IY30" s="5" t="str">
        <f t="shared" si="88"/>
        <v/>
      </c>
      <c r="IZ30" s="5" t="str">
        <f t="shared" si="89"/>
        <v/>
      </c>
      <c r="JA30" s="705" t="str">
        <f t="shared" si="90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3.7905004072861632</v>
      </c>
      <c r="C31" s="572">
        <f t="shared" si="288"/>
        <v>-2.8636177740112432</v>
      </c>
      <c r="D31" s="576">
        <f t="shared" si="288"/>
        <v>-2.5459075999429421</v>
      </c>
      <c r="E31" s="580">
        <f t="shared" ref="E31:K31" si="289">R186</f>
        <v>0.9304363776367629</v>
      </c>
      <c r="F31" s="572">
        <f t="shared" si="289"/>
        <v>0.36408049760906552</v>
      </c>
      <c r="G31" s="579">
        <f t="shared" si="289"/>
        <v>4.1635783058740911E-2</v>
      </c>
      <c r="H31" s="580">
        <f t="shared" si="289"/>
        <v>0.26450000000000001</v>
      </c>
      <c r="I31" s="572">
        <f t="shared" si="289"/>
        <v>0.52</v>
      </c>
      <c r="J31" s="483">
        <f t="shared" si="92"/>
        <v>3.1269999999999998</v>
      </c>
      <c r="K31" s="805">
        <f t="shared" si="289"/>
        <v>1313</v>
      </c>
      <c r="L31" s="309"/>
      <c r="M31" s="164">
        <f t="shared" si="4"/>
        <v>3.1269999999999998</v>
      </c>
      <c r="N31" s="575">
        <f t="shared" si="5"/>
        <v>3.7905004072861632</v>
      </c>
      <c r="O31" s="572">
        <f t="shared" si="6"/>
        <v>-2.8636177740112432</v>
      </c>
      <c r="P31" s="576">
        <f t="shared" si="7"/>
        <v>-2.5459075999429421</v>
      </c>
      <c r="Q31" s="528">
        <f t="shared" si="134"/>
        <v>322.92996623186184</v>
      </c>
      <c r="R31" s="572">
        <f>IF(M31="","",SQRT(N31^2+O31^2))</f>
        <v>4.7505999719266701</v>
      </c>
      <c r="S31" s="577">
        <f>IF(M31="","",P31)</f>
        <v>-2.5459075999429421</v>
      </c>
      <c r="T31" s="578">
        <f>IF(M31="","",X31*COS(RADIANS(W31)))</f>
        <v>-2.8410742078213413</v>
      </c>
      <c r="U31" s="572">
        <f>IF(M31="","",X31*SIN(RADIANS(W31)))</f>
        <v>-3.8074266163541504</v>
      </c>
      <c r="V31" s="579">
        <f>IF(M31="","",Y31)</f>
        <v>-2.5459075999429421</v>
      </c>
      <c r="W31" s="528">
        <f t="shared" si="256"/>
        <v>233.26996618277192</v>
      </c>
      <c r="X31" s="572">
        <f>IF(M31="","",R31)</f>
        <v>4.7505999719266701</v>
      </c>
      <c r="Y31" s="573">
        <f t="shared" si="259"/>
        <v>-2.5459075999429421</v>
      </c>
      <c r="Z31" s="575">
        <f t="shared" si="10"/>
        <v>-0.9304363776367629</v>
      </c>
      <c r="AA31" s="572">
        <f t="shared" si="11"/>
        <v>-0.36408049760906552</v>
      </c>
      <c r="AB31" s="572">
        <f t="shared" si="12"/>
        <v>-4.1635783058740911E-2</v>
      </c>
      <c r="AC31" s="579">
        <f>IF(M31="","",SQRT(Z31^2+AA31^2+AB31^2))</f>
        <v>1</v>
      </c>
      <c r="AD31" s="580">
        <f>IF(M31="","",Z31*(1/SQRT(Z31^2+AA31^2+AB31^2)))</f>
        <v>-0.9304363776367629</v>
      </c>
      <c r="AE31" s="572">
        <f>IF(M31="","",AA31*(1/SQRT(Z31^2+AA31^2+AB31^2)))</f>
        <v>-0.36408049760906552</v>
      </c>
      <c r="AF31" s="576">
        <f>IF(M31="","",AB31*(1/SQRT(Z31^2+AA31^2+AB31^2)))</f>
        <v>-4.1635783058740911E-2</v>
      </c>
      <c r="AG31" s="545">
        <f>IF(M31="","",DEGREES(ATAN2(-AF31,AE31)))</f>
        <v>-83.476068768404559</v>
      </c>
      <c r="AH31" s="546">
        <f>IF(M31="","",DEGREES(ACOS(AD31)))</f>
        <v>158.5029407378988</v>
      </c>
      <c r="AI31" s="528">
        <f>IF(M31="","",DEGREES(-ACOS(-AF31)))</f>
        <v>-87.613755574007882</v>
      </c>
      <c r="AJ31" s="529">
        <f>IF(M31="","",DEGREES(ATAN2(-AE31,AD31)))</f>
        <v>-68.629554083935133</v>
      </c>
      <c r="AK31" s="578">
        <f>IF(M31="","",(COS(RADIANS((90-$Q$8)-W31))*AD31)+(-SIN(RADIANS((90-$Q$8)-W31))*AE31))</f>
        <v>0.8513580278196099</v>
      </c>
      <c r="AL31" s="572">
        <f>IF(M31="","",(SIN(RADIANS((90-$Q$8)-W31))*AD31)+(COS(RADIANS((90-$Q$8)-W31))*AE31))</f>
        <v>-0.52293017701810807</v>
      </c>
      <c r="AM31" s="577">
        <f>IF(M31="","",AF31)</f>
        <v>-4.1635783058740911E-2</v>
      </c>
      <c r="AN31" s="524">
        <f>IF(M31="","",DEGREES(ATAN2(-AM31,AL31)))</f>
        <v>-85.44770436401393</v>
      </c>
      <c r="AO31" s="525">
        <f t="shared" si="108"/>
        <v>31.640315390631734</v>
      </c>
      <c r="AP31" s="528">
        <f>IF(M31="","",DEGREES(ATAN2(AK31,AL31)))</f>
        <v>-31.559520315796981</v>
      </c>
      <c r="AQ31" s="529">
        <f t="shared" si="13"/>
        <v>0.36470526892678989</v>
      </c>
      <c r="AS31" s="899">
        <f t="shared" si="137"/>
        <v>-126.73003381722808</v>
      </c>
      <c r="AT31" s="895">
        <f t="shared" si="14"/>
        <v>-2.47884296212768</v>
      </c>
      <c r="AU31" s="418"/>
      <c r="AV31" s="164" t="str">
        <f t="shared" si="15"/>
        <v/>
      </c>
      <c r="AW31" s="828" t="str">
        <f>IFERROR(INDEX(MassProp!C$9:C$150,MATCH($M31,MassProp!$B$9:$B$150,0)),"")</f>
        <v/>
      </c>
      <c r="AX31" s="829" t="str">
        <f>IFERROR(INDEX(MassProp!D$9:D$150,MATCH($M31,MassProp!$B$9:$B$150,0)),"")</f>
        <v/>
      </c>
      <c r="AY31" s="830" t="str">
        <f>IFERROR(INDEX(MassProp!E$9:E$150,MATCH($M31,MassProp!$B$9:$B$150,0)),"")</f>
        <v/>
      </c>
      <c r="AZ31" s="297" t="str">
        <f t="shared" si="138"/>
        <v/>
      </c>
      <c r="BA31" s="296" t="str">
        <f t="shared" si="16"/>
        <v/>
      </c>
      <c r="BB31" s="190" t="str">
        <f t="shared" si="139"/>
        <v/>
      </c>
      <c r="BC31" s="9"/>
      <c r="BD31" s="5" t="str">
        <f t="shared" si="235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40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41"/>
        <v/>
      </c>
      <c r="BP31" s="5" t="str">
        <f t="shared" si="142"/>
        <v/>
      </c>
      <c r="BQ31" s="5" t="str">
        <f t="shared" si="143"/>
        <v/>
      </c>
      <c r="BR31" s="6" t="str">
        <f t="shared" si="144"/>
        <v/>
      </c>
      <c r="BS31" s="4" t="str">
        <f t="shared" si="110"/>
        <v/>
      </c>
      <c r="BT31" s="5" t="str">
        <f t="shared" si="110"/>
        <v/>
      </c>
      <c r="BU31" s="10" t="str">
        <f t="shared" si="111"/>
        <v/>
      </c>
      <c r="BV31" s="9" t="str">
        <f t="shared" si="112"/>
        <v/>
      </c>
      <c r="BW31" s="5" t="str">
        <f t="shared" si="113"/>
        <v/>
      </c>
      <c r="BX31" s="8" t="str">
        <f t="shared" si="114"/>
        <v/>
      </c>
      <c r="BY31" s="173" t="str">
        <f t="shared" si="115"/>
        <v/>
      </c>
      <c r="BZ31" s="5" t="str">
        <f t="shared" si="116"/>
        <v/>
      </c>
      <c r="CA31" s="6" t="str">
        <f t="shared" si="117"/>
        <v/>
      </c>
      <c r="CB31" s="4" t="str">
        <f t="shared" si="145"/>
        <v/>
      </c>
      <c r="CC31" s="5" t="str">
        <f t="shared" si="146"/>
        <v/>
      </c>
      <c r="CD31" s="5" t="str">
        <f t="shared" si="147"/>
        <v/>
      </c>
      <c r="CE31" s="6" t="str">
        <f t="shared" si="148"/>
        <v/>
      </c>
      <c r="CF31" s="4" t="str">
        <f t="shared" si="149"/>
        <v/>
      </c>
      <c r="CG31" s="5" t="str">
        <f t="shared" si="150"/>
        <v/>
      </c>
      <c r="CH31" s="5" t="str">
        <f t="shared" si="151"/>
        <v/>
      </c>
      <c r="CI31" s="4" t="str">
        <f t="shared" si="118"/>
        <v/>
      </c>
      <c r="CJ31" s="5" t="str">
        <f t="shared" si="119"/>
        <v/>
      </c>
      <c r="CK31" s="8" t="str">
        <f t="shared" si="120"/>
        <v/>
      </c>
      <c r="CL31" s="173" t="str">
        <f t="shared" si="121"/>
        <v/>
      </c>
      <c r="CM31" s="5" t="str">
        <f t="shared" si="122"/>
        <v/>
      </c>
      <c r="CN31" s="6" t="str">
        <f t="shared" si="123"/>
        <v/>
      </c>
      <c r="CO31" s="167" t="str">
        <f t="shared" si="26"/>
        <v/>
      </c>
      <c r="CP31" s="4" t="str">
        <f t="shared" si="236"/>
        <v/>
      </c>
      <c r="CQ31" s="5" t="str">
        <f t="shared" si="237"/>
        <v/>
      </c>
      <c r="CR31" s="5" t="str">
        <f t="shared" si="152"/>
        <v/>
      </c>
      <c r="CS31" s="8" t="str">
        <f t="shared" si="153"/>
        <v/>
      </c>
      <c r="CT31" s="9" t="str">
        <f t="shared" si="154"/>
        <v/>
      </c>
      <c r="CU31" s="6" t="str">
        <f t="shared" si="155"/>
        <v/>
      </c>
      <c r="CV31" s="4" t="str">
        <f t="shared" si="238"/>
        <v/>
      </c>
      <c r="CW31" s="5" t="str">
        <f t="shared" si="156"/>
        <v/>
      </c>
      <c r="CX31" s="8" t="str">
        <f t="shared" si="157"/>
        <v/>
      </c>
      <c r="CY31" s="9" t="str">
        <f t="shared" si="158"/>
        <v/>
      </c>
      <c r="CZ31" s="5" t="str">
        <f t="shared" si="159"/>
        <v/>
      </c>
      <c r="DA31" s="6" t="str">
        <f t="shared" si="160"/>
        <v/>
      </c>
      <c r="DB31" s="4" t="str">
        <f t="shared" si="161"/>
        <v/>
      </c>
      <c r="DC31" s="5" t="str">
        <f t="shared" si="161"/>
        <v/>
      </c>
      <c r="DD31" s="10" t="str">
        <f t="shared" si="162"/>
        <v/>
      </c>
      <c r="DE31" s="9" t="str">
        <f t="shared" si="163"/>
        <v/>
      </c>
      <c r="DF31" s="5" t="str">
        <f t="shared" si="163"/>
        <v/>
      </c>
      <c r="DG31" s="10" t="str">
        <f t="shared" si="164"/>
        <v/>
      </c>
      <c r="DH31" s="70" t="str">
        <f t="shared" si="165"/>
        <v/>
      </c>
      <c r="DI31" s="4" t="str">
        <f t="shared" si="166"/>
        <v/>
      </c>
      <c r="DJ31" s="5" t="str">
        <f t="shared" si="167"/>
        <v/>
      </c>
      <c r="DK31" s="10" t="str">
        <f t="shared" si="168"/>
        <v/>
      </c>
      <c r="DL31" s="9" t="str">
        <f t="shared" si="169"/>
        <v/>
      </c>
      <c r="DM31" s="173" t="str">
        <f t="shared" si="170"/>
        <v/>
      </c>
      <c r="DN31" s="178" t="str">
        <f t="shared" si="171"/>
        <v/>
      </c>
      <c r="DO31" s="9" t="str">
        <f t="shared" si="172"/>
        <v/>
      </c>
      <c r="DP31" s="173" t="str">
        <f t="shared" si="173"/>
        <v/>
      </c>
      <c r="DQ31" s="11" t="str">
        <f t="shared" si="174"/>
        <v/>
      </c>
      <c r="DR31" s="173" t="str">
        <f t="shared" si="175"/>
        <v/>
      </c>
      <c r="DS31" s="5" t="str">
        <f t="shared" si="176"/>
        <v/>
      </c>
      <c r="DT31" s="5" t="str">
        <f t="shared" si="177"/>
        <v/>
      </c>
      <c r="DU31" s="5" t="str">
        <f t="shared" si="178"/>
        <v/>
      </c>
      <c r="DV31" s="5" t="str">
        <f t="shared" si="179"/>
        <v/>
      </c>
      <c r="DW31" s="5" t="str">
        <f t="shared" si="180"/>
        <v/>
      </c>
      <c r="DX31" s="167" t="str">
        <f t="shared" si="181"/>
        <v/>
      </c>
      <c r="DY31" s="9" t="str">
        <f t="shared" si="182"/>
        <v/>
      </c>
      <c r="DZ31" s="5" t="str">
        <f t="shared" si="183"/>
        <v/>
      </c>
      <c r="EA31" s="10" t="str">
        <f t="shared" si="184"/>
        <v/>
      </c>
      <c r="EB31" s="6" t="str">
        <f t="shared" si="185"/>
        <v/>
      </c>
      <c r="EC31" s="173" t="str">
        <f t="shared" si="186"/>
        <v/>
      </c>
      <c r="ED31" s="5" t="str">
        <f t="shared" si="187"/>
        <v/>
      </c>
      <c r="EE31" s="4" t="str">
        <f t="shared" si="188"/>
        <v/>
      </c>
      <c r="EF31" s="5" t="str">
        <f t="shared" si="189"/>
        <v/>
      </c>
      <c r="EG31" s="10" t="str">
        <f t="shared" si="190"/>
        <v/>
      </c>
      <c r="EH31" s="9" t="str">
        <f t="shared" si="191"/>
        <v/>
      </c>
      <c r="EI31" s="5" t="str">
        <f t="shared" si="192"/>
        <v/>
      </c>
      <c r="EJ31" s="6" t="str">
        <f t="shared" si="193"/>
        <v/>
      </c>
      <c r="EK31" s="236" t="str">
        <f t="shared" si="194"/>
        <v/>
      </c>
      <c r="EL31" s="238" t="str">
        <f t="shared" si="195"/>
        <v/>
      </c>
      <c r="EM31" s="4" t="str">
        <f t="shared" si="196"/>
        <v/>
      </c>
      <c r="EN31" s="5" t="str">
        <f t="shared" si="197"/>
        <v/>
      </c>
      <c r="EO31" s="10" t="str">
        <f t="shared" si="198"/>
        <v/>
      </c>
      <c r="EP31" s="9" t="str">
        <f t="shared" si="199"/>
        <v/>
      </c>
      <c r="EQ31" s="5" t="str">
        <f t="shared" si="200"/>
        <v/>
      </c>
      <c r="ER31" s="7" t="str">
        <f t="shared" si="201"/>
        <v/>
      </c>
      <c r="ES31" s="21" t="str">
        <f t="shared" si="124"/>
        <v/>
      </c>
      <c r="ET31" s="5" t="str">
        <f t="shared" si="35"/>
        <v/>
      </c>
      <c r="EU31" s="10" t="str">
        <f t="shared" si="36"/>
        <v/>
      </c>
      <c r="EV31" s="174" t="str">
        <f t="shared" si="252"/>
        <v/>
      </c>
      <c r="EW31" s="9" t="str">
        <f t="shared" si="125"/>
        <v/>
      </c>
      <c r="EX31" s="5" t="str">
        <f t="shared" si="37"/>
        <v/>
      </c>
      <c r="EY31" s="6" t="str">
        <f t="shared" si="202"/>
        <v/>
      </c>
      <c r="EZ31" s="51" t="str">
        <f t="shared" si="203"/>
        <v/>
      </c>
      <c r="FA31" s="266" t="str">
        <f t="shared" si="126"/>
        <v/>
      </c>
      <c r="FB31" s="267" t="str">
        <f t="shared" si="127"/>
        <v/>
      </c>
      <c r="FC31" s="269" t="str">
        <f t="shared" si="38"/>
        <v/>
      </c>
      <c r="FD31" s="4" t="str">
        <f t="shared" si="128"/>
        <v/>
      </c>
      <c r="FE31" s="5" t="str">
        <f t="shared" si="39"/>
        <v/>
      </c>
      <c r="FF31" s="7" t="str">
        <f t="shared" si="204"/>
        <v/>
      </c>
      <c r="FG31" s="173" t="str">
        <f t="shared" si="205"/>
        <v/>
      </c>
      <c r="FH31" s="5" t="str">
        <f t="shared" si="40"/>
        <v/>
      </c>
      <c r="FI31" s="10" t="str">
        <f t="shared" si="41"/>
        <v/>
      </c>
      <c r="FJ31" s="279" t="str">
        <f t="shared" si="206"/>
        <v/>
      </c>
      <c r="FK31" s="4" t="str">
        <f t="shared" si="42"/>
        <v/>
      </c>
      <c r="FL31" s="5" t="str">
        <f t="shared" si="207"/>
        <v/>
      </c>
      <c r="FM31" s="8" t="str">
        <f t="shared" si="208"/>
        <v/>
      </c>
      <c r="FN31" s="9" t="str">
        <f t="shared" si="209"/>
        <v/>
      </c>
      <c r="FO31" s="10" t="str">
        <f t="shared" si="43"/>
        <v/>
      </c>
      <c r="FP31" s="277" t="str">
        <f t="shared" si="44"/>
        <v/>
      </c>
      <c r="FQ31" s="173" t="str">
        <f t="shared" si="239"/>
        <v/>
      </c>
      <c r="FR31" s="10" t="str">
        <f t="shared" si="210"/>
        <v/>
      </c>
      <c r="FS31" s="9" t="str">
        <f t="shared" si="211"/>
        <v/>
      </c>
      <c r="FT31" s="6" t="str">
        <f t="shared" si="212"/>
        <v/>
      </c>
      <c r="FU31" s="4" t="str">
        <f t="shared" si="213"/>
        <v/>
      </c>
      <c r="FV31" s="5" t="str">
        <f t="shared" si="214"/>
        <v/>
      </c>
      <c r="FW31" s="8" t="str">
        <f t="shared" si="240"/>
        <v/>
      </c>
      <c r="FX31" s="9" t="str">
        <f t="shared" si="241"/>
        <v/>
      </c>
      <c r="FY31" s="10" t="str">
        <f t="shared" si="45"/>
        <v/>
      </c>
      <c r="FZ31" s="277" t="str">
        <f t="shared" si="242"/>
        <v/>
      </c>
      <c r="GA31" s="177" t="str">
        <f t="shared" si="215"/>
        <v/>
      </c>
      <c r="GB31" s="4" t="str">
        <f t="shared" si="216"/>
        <v/>
      </c>
      <c r="GC31" s="5" t="str">
        <f t="shared" si="217"/>
        <v/>
      </c>
      <c r="GD31" s="10" t="str">
        <f t="shared" si="218"/>
        <v/>
      </c>
      <c r="GE31" s="311" t="str">
        <f t="shared" si="219"/>
        <v/>
      </c>
      <c r="GF31" s="341" t="str">
        <f t="shared" si="243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20"/>
        <v/>
      </c>
      <c r="GK31" s="174" t="str">
        <f t="shared" si="49"/>
        <v/>
      </c>
      <c r="GL31" s="174" t="str">
        <f t="shared" si="221"/>
        <v/>
      </c>
      <c r="GM31" s="177" t="str">
        <f t="shared" si="244"/>
        <v/>
      </c>
      <c r="GN31" s="280" t="str">
        <f t="shared" si="222"/>
        <v/>
      </c>
      <c r="GO31" s="4" t="str">
        <f t="shared" si="223"/>
        <v/>
      </c>
      <c r="GP31" s="8" t="str">
        <f t="shared" si="245"/>
        <v/>
      </c>
      <c r="GQ31" s="177" t="str">
        <f t="shared" si="224"/>
        <v/>
      </c>
      <c r="GR31" s="371" t="str">
        <f t="shared" si="246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53"/>
        <v/>
      </c>
      <c r="GW31" s="345" t="str">
        <f t="shared" si="129"/>
        <v/>
      </c>
      <c r="GX31" s="346" t="str">
        <f t="shared" si="54"/>
        <v/>
      </c>
      <c r="GY31" s="344" t="str">
        <f t="shared" si="55"/>
        <v/>
      </c>
      <c r="GZ31" s="345" t="str">
        <f t="shared" si="56"/>
        <v/>
      </c>
      <c r="HA31" s="342" t="str">
        <f t="shared" si="57"/>
        <v/>
      </c>
      <c r="HB31" s="5" t="str">
        <f t="shared" si="225"/>
        <v/>
      </c>
      <c r="HC31" s="343" t="str">
        <f t="shared" si="226"/>
        <v/>
      </c>
      <c r="HD31" s="363" t="str">
        <f t="shared" si="227"/>
        <v/>
      </c>
      <c r="HE31" s="344" t="str">
        <f t="shared" si="58"/>
        <v/>
      </c>
      <c r="HF31" s="5" t="str">
        <f t="shared" si="59"/>
        <v/>
      </c>
      <c r="HG31" s="343" t="str">
        <f t="shared" si="228"/>
        <v/>
      </c>
      <c r="HH31" s="349" t="str">
        <f t="shared" si="229"/>
        <v/>
      </c>
      <c r="HI31" s="317" t="str">
        <f t="shared" si="60"/>
        <v/>
      </c>
      <c r="HJ31" s="336"/>
      <c r="HK31" s="310">
        <f t="shared" si="130"/>
        <v>23</v>
      </c>
      <c r="HL31" s="348">
        <f t="shared" si="61"/>
        <v>5.117</v>
      </c>
      <c r="HM31" s="934">
        <f t="shared" si="62"/>
        <v>13.674049873844837</v>
      </c>
      <c r="HN31" s="935">
        <f t="shared" si="63"/>
        <v>22.113216770145165</v>
      </c>
      <c r="HO31" s="936"/>
      <c r="HP31" s="937"/>
      <c r="HQ31" s="935">
        <f t="shared" si="64"/>
        <v>20.8691878990935</v>
      </c>
      <c r="HR31" s="938">
        <f t="shared" si="65"/>
        <v>16.382237880832523</v>
      </c>
      <c r="HS31" s="939">
        <f t="shared" si="249"/>
        <v>3.9941</v>
      </c>
      <c r="HT31" s="940">
        <f t="shared" si="66"/>
        <v>2.29E-2</v>
      </c>
      <c r="HU31" s="941">
        <f t="shared" si="67"/>
        <v>0.57470732350414877</v>
      </c>
      <c r="HV31" s="942">
        <f t="shared" si="68"/>
        <v>3.9500429884048574E-2</v>
      </c>
      <c r="HW31" s="943">
        <f t="shared" si="69"/>
        <v>30000</v>
      </c>
      <c r="HX31" s="950">
        <f t="shared" si="70"/>
        <v>228.66222499999998</v>
      </c>
      <c r="HY31" s="955">
        <f t="shared" si="71"/>
        <v>349.55703137762345</v>
      </c>
      <c r="HZ31" s="956">
        <f t="shared" si="72"/>
        <v>1436.7683087603718</v>
      </c>
      <c r="IA31" s="957">
        <f t="shared" si="73"/>
        <v>434.70100233878367</v>
      </c>
      <c r="IB31" s="958">
        <f t="shared" si="74"/>
        <v>2221.0263424767791</v>
      </c>
      <c r="IC31" s="841">
        <f t="shared" si="75"/>
        <v>167.14294092665671</v>
      </c>
      <c r="ID31" s="351">
        <f t="shared" si="76"/>
        <v>687</v>
      </c>
      <c r="IE31" s="843">
        <f t="shared" si="77"/>
        <v>207.85507780611294</v>
      </c>
      <c r="IF31" s="844"/>
      <c r="IG31" s="789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7">
        <f t="shared" si="230"/>
        <v>3.1269999999999998</v>
      </c>
      <c r="IJ31" s="967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8"/>
        <v>1313</v>
      </c>
      <c r="IM31" s="482" t="str">
        <f t="shared" si="231"/>
        <v/>
      </c>
      <c r="IN31" s="670" t="str">
        <f t="shared" si="80"/>
        <v/>
      </c>
      <c r="IO31" s="702"/>
      <c r="IP31" s="5" t="str">
        <f t="shared" si="81"/>
        <v/>
      </c>
      <c r="IQ31" s="714"/>
      <c r="IR31" s="9" t="str">
        <f t="shared" si="131"/>
        <v/>
      </c>
      <c r="IS31" s="5" t="str">
        <f t="shared" si="82"/>
        <v/>
      </c>
      <c r="IT31" s="5" t="str">
        <f t="shared" si="83"/>
        <v/>
      </c>
      <c r="IU31" s="5" t="str">
        <f t="shared" si="84"/>
        <v/>
      </c>
      <c r="IV31" s="670" t="str">
        <f t="shared" si="85"/>
        <v/>
      </c>
      <c r="IW31" s="9" t="str">
        <f t="shared" si="86"/>
        <v/>
      </c>
      <c r="IX31" s="5" t="str">
        <f t="shared" si="87"/>
        <v/>
      </c>
      <c r="IY31" s="5" t="str">
        <f t="shared" si="88"/>
        <v/>
      </c>
      <c r="IZ31" s="5" t="str">
        <f t="shared" si="89"/>
        <v/>
      </c>
      <c r="JA31" s="705" t="str">
        <f t="shared" si="90"/>
        <v/>
      </c>
    </row>
    <row r="32" spans="1:271" ht="15" customHeight="1" x14ac:dyDescent="0.25">
      <c r="A32" s="75">
        <f t="shared" si="1"/>
        <v>0</v>
      </c>
      <c r="B32" s="578">
        <f t="shared" ref="B32:D32" si="290">IFERROR(O187+($A32*-E32),"")</f>
        <v>-0.51423889227236308</v>
      </c>
      <c r="C32" s="572">
        <f t="shared" si="290"/>
        <v>-2.8184805966888766</v>
      </c>
      <c r="D32" s="576">
        <f t="shared" si="290"/>
        <v>-5.2500158340477568E-2</v>
      </c>
      <c r="E32" s="580">
        <f t="shared" ref="E32:K32" si="291">R187</f>
        <v>0.9262591509134096</v>
      </c>
      <c r="F32" s="572">
        <f t="shared" si="291"/>
        <v>-0.22786685119980674</v>
      </c>
      <c r="G32" s="579">
        <f t="shared" si="291"/>
        <v>0.30020107173935101</v>
      </c>
      <c r="H32" s="580">
        <f t="shared" si="291"/>
        <v>0.3125</v>
      </c>
      <c r="I32" s="572">
        <f t="shared" si="291"/>
        <v>0.52</v>
      </c>
      <c r="J32" s="483">
        <f t="shared" si="92"/>
        <v>4.1130000000000004</v>
      </c>
      <c r="K32" s="805">
        <f t="shared" si="291"/>
        <v>1613</v>
      </c>
      <c r="L32" s="309"/>
      <c r="M32" s="164">
        <f t="shared" si="4"/>
        <v>4.1130000000000004</v>
      </c>
      <c r="N32" s="575">
        <f t="shared" si="5"/>
        <v>-0.51423889227236308</v>
      </c>
      <c r="O32" s="572">
        <f t="shared" si="6"/>
        <v>-2.8184805966888766</v>
      </c>
      <c r="P32" s="576">
        <f t="shared" si="7"/>
        <v>-5.2500158340477568E-2</v>
      </c>
      <c r="Q32" s="528">
        <f t="shared" si="134"/>
        <v>259.65997550413027</v>
      </c>
      <c r="R32" s="572">
        <f t="shared" si="93"/>
        <v>2.8650086408660607</v>
      </c>
      <c r="S32" s="577">
        <f t="shared" si="94"/>
        <v>-5.2500158340477568E-2</v>
      </c>
      <c r="T32" s="578">
        <f t="shared" si="95"/>
        <v>-2.8214825088458904</v>
      </c>
      <c r="U32" s="572">
        <f t="shared" si="96"/>
        <v>0.49750473818235497</v>
      </c>
      <c r="V32" s="579">
        <f t="shared" si="135"/>
        <v>-5.2500158340477568E-2</v>
      </c>
      <c r="W32" s="528">
        <f t="shared" si="256"/>
        <v>169.99997545504036</v>
      </c>
      <c r="X32" s="572">
        <f t="shared" si="97"/>
        <v>2.8650086408660607</v>
      </c>
      <c r="Y32" s="573">
        <f t="shared" si="259"/>
        <v>-5.2500158340477568E-2</v>
      </c>
      <c r="Z32" s="575">
        <f t="shared" si="10"/>
        <v>-0.9262591509134096</v>
      </c>
      <c r="AA32" s="572">
        <f t="shared" si="11"/>
        <v>0.22786685119980674</v>
      </c>
      <c r="AB32" s="572">
        <f t="shared" si="12"/>
        <v>-0.30020107173935101</v>
      </c>
      <c r="AC32" s="579">
        <f t="shared" si="98"/>
        <v>1</v>
      </c>
      <c r="AD32" s="580">
        <f t="shared" si="136"/>
        <v>-0.9262591509134096</v>
      </c>
      <c r="AE32" s="572">
        <f t="shared" si="99"/>
        <v>0.22786685119980674</v>
      </c>
      <c r="AF32" s="576">
        <f t="shared" si="100"/>
        <v>-0.30020107173935101</v>
      </c>
      <c r="AG32" s="545">
        <f t="shared" si="101"/>
        <v>37.200222266548813</v>
      </c>
      <c r="AH32" s="546">
        <f t="shared" si="102"/>
        <v>157.85899660613339</v>
      </c>
      <c r="AI32" s="528">
        <f t="shared" si="103"/>
        <v>-72.530319645389753</v>
      </c>
      <c r="AJ32" s="529">
        <f t="shared" si="104"/>
        <v>-103.82075365546</v>
      </c>
      <c r="AK32" s="578">
        <f t="shared" si="234"/>
        <v>0.95211630519793078</v>
      </c>
      <c r="AL32" s="572">
        <f t="shared" si="105"/>
        <v>-5.7912502128523669E-2</v>
      </c>
      <c r="AM32" s="577">
        <f t="shared" si="106"/>
        <v>-0.30020107173935101</v>
      </c>
      <c r="AN32" s="524">
        <f t="shared" si="107"/>
        <v>-10.918933561205927</v>
      </c>
      <c r="AO32" s="525">
        <f t="shared" si="108"/>
        <v>17.802452805283341</v>
      </c>
      <c r="AP32" s="528">
        <f t="shared" si="109"/>
        <v>-3.480729159590259</v>
      </c>
      <c r="AQ32" s="529">
        <f t="shared" si="13"/>
        <v>0.60471995839922199</v>
      </c>
      <c r="AS32" s="899">
        <f t="shared" si="137"/>
        <v>-190.00002454495964</v>
      </c>
      <c r="AT32" s="895">
        <f t="shared" si="14"/>
        <v>4.7956974581087275E-2</v>
      </c>
      <c r="AU32" s="418"/>
      <c r="AV32" s="164">
        <f t="shared" si="15"/>
        <v>4.1130000000000004</v>
      </c>
      <c r="AW32" s="828">
        <f>IFERROR(INDEX(MassProp!C$9:C$150,MATCH($M32,MassProp!$B$9:$B$150,0)),"")</f>
        <v>2.8645</v>
      </c>
      <c r="AX32" s="829">
        <f>IFERROR(INDEX(MassProp!D$9:D$150,MATCH($M32,MassProp!$B$9:$B$150,0)),"")</f>
        <v>0.4788</v>
      </c>
      <c r="AY32" s="830">
        <f>IFERROR(INDEX(MassProp!E$9:E$150,MATCH($M32,MassProp!$B$9:$B$150,0)),"")</f>
        <v>2.9700000000000001E-2</v>
      </c>
      <c r="AZ32" s="297">
        <f t="shared" si="138"/>
        <v>0.53457585875346803</v>
      </c>
      <c r="BA32" s="296">
        <f t="shared" si="16"/>
        <v>3.6742138759684663E-2</v>
      </c>
      <c r="BB32" s="190">
        <f t="shared" si="139"/>
        <v>0.24084302541891273</v>
      </c>
      <c r="BC32" s="9"/>
      <c r="BD32" s="5">
        <f t="shared" si="235"/>
        <v>2.8645</v>
      </c>
      <c r="BE32" s="6">
        <f t="shared" si="17"/>
        <v>0.18834286707843517</v>
      </c>
      <c r="BF32" s="4">
        <f t="shared" si="18"/>
        <v>-0.51423889227236308</v>
      </c>
      <c r="BG32" s="5">
        <f t="shared" si="19"/>
        <v>-2.8184805966888766</v>
      </c>
      <c r="BH32" s="10">
        <f t="shared" si="20"/>
        <v>-5.2500158340477568E-2</v>
      </c>
      <c r="BI32" s="9">
        <f t="shared" si="140"/>
        <v>-0.51423889227236308</v>
      </c>
      <c r="BJ32" s="5">
        <f t="shared" si="21"/>
        <v>-2.0219530240817987</v>
      </c>
      <c r="BK32" s="8">
        <f t="shared" si="22"/>
        <v>0.55210204648239269</v>
      </c>
      <c r="BL32" s="173">
        <f t="shared" si="23"/>
        <v>-0.13735166066432714</v>
      </c>
      <c r="BM32" s="5">
        <f t="shared" si="24"/>
        <v>-2.2584622718092695</v>
      </c>
      <c r="BN32" s="6">
        <f t="shared" si="25"/>
        <v>-0.79029111142262898</v>
      </c>
      <c r="BO32" s="4">
        <f t="shared" si="141"/>
        <v>-0.92625915091340916</v>
      </c>
      <c r="BP32" s="5">
        <f t="shared" si="142"/>
        <v>0.22786685119980632</v>
      </c>
      <c r="BQ32" s="5">
        <f t="shared" si="143"/>
        <v>-0.3002010717393504</v>
      </c>
      <c r="BR32" s="6">
        <f t="shared" si="144"/>
        <v>0.15015921521209746</v>
      </c>
      <c r="BS32" s="4">
        <f t="shared" si="110"/>
        <v>0</v>
      </c>
      <c r="BT32" s="5">
        <f t="shared" si="110"/>
        <v>0</v>
      </c>
      <c r="BU32" s="10">
        <f t="shared" si="111"/>
        <v>0.18834286707843517</v>
      </c>
      <c r="BV32" s="9">
        <f t="shared" si="112"/>
        <v>0</v>
      </c>
      <c r="BW32" s="5">
        <f t="shared" si="113"/>
        <v>1</v>
      </c>
      <c r="BX32" s="8">
        <f t="shared" si="114"/>
        <v>0.18834286707843517</v>
      </c>
      <c r="BY32" s="173">
        <f t="shared" si="115"/>
        <v>1</v>
      </c>
      <c r="BZ32" s="5">
        <f t="shared" si="116"/>
        <v>0</v>
      </c>
      <c r="CA32" s="6">
        <f t="shared" si="117"/>
        <v>0.18834286707843517</v>
      </c>
      <c r="CB32" s="4">
        <f t="shared" si="145"/>
        <v>0</v>
      </c>
      <c r="CC32" s="5">
        <f t="shared" si="146"/>
        <v>0</v>
      </c>
      <c r="CD32" s="5">
        <f t="shared" si="147"/>
        <v>-1</v>
      </c>
      <c r="CE32" s="6">
        <f t="shared" si="148"/>
        <v>0.18834286707843517</v>
      </c>
      <c r="CF32" s="4">
        <f t="shared" si="149"/>
        <v>-0.22786685119980632</v>
      </c>
      <c r="CG32" s="5">
        <f t="shared" si="150"/>
        <v>-0.92625915091340916</v>
      </c>
      <c r="CH32" s="5">
        <f t="shared" si="151"/>
        <v>0</v>
      </c>
      <c r="CI32" s="4">
        <f t="shared" si="118"/>
        <v>0</v>
      </c>
      <c r="CJ32" s="5">
        <f t="shared" si="119"/>
        <v>-0.41084731793041412</v>
      </c>
      <c r="CK32" s="8">
        <f t="shared" si="120"/>
        <v>0.18834286707843517</v>
      </c>
      <c r="CL32" s="173">
        <f t="shared" si="121"/>
        <v>-0.22786685119980632</v>
      </c>
      <c r="CM32" s="5">
        <f t="shared" si="122"/>
        <v>-1.3371064688438232</v>
      </c>
      <c r="CN32" s="6">
        <f t="shared" si="123"/>
        <v>0.18834286707843517</v>
      </c>
      <c r="CO32" s="167">
        <f t="shared" si="26"/>
        <v>0.3125</v>
      </c>
      <c r="CP32" s="4">
        <f t="shared" si="236"/>
        <v>0.90987931652654419</v>
      </c>
      <c r="CQ32" s="5">
        <f t="shared" si="237"/>
        <v>-4.6945407072805212</v>
      </c>
      <c r="CR32" s="5">
        <f t="shared" si="152"/>
        <v>6.0214887562036665</v>
      </c>
      <c r="CS32" s="8">
        <f t="shared" si="153"/>
        <v>0.12340015644644353</v>
      </c>
      <c r="CT32" s="9">
        <f t="shared" si="154"/>
        <v>2.7727986556647193</v>
      </c>
      <c r="CU32" s="6">
        <f t="shared" si="155"/>
        <v>2.3867215378504896</v>
      </c>
      <c r="CV32" s="4">
        <f t="shared" si="238"/>
        <v>-0.63182889867737557</v>
      </c>
      <c r="CW32" s="5">
        <f t="shared" si="156"/>
        <v>-2.9791774463802589</v>
      </c>
      <c r="CX32" s="8">
        <f t="shared" si="157"/>
        <v>0.18834286707843517</v>
      </c>
      <c r="CY32" s="9">
        <f t="shared" si="158"/>
        <v>-0.54385472152075043</v>
      </c>
      <c r="CZ32" s="5">
        <f t="shared" si="159"/>
        <v>-2.6215699830465544</v>
      </c>
      <c r="DA32" s="6">
        <f t="shared" si="160"/>
        <v>0.18834286707843517</v>
      </c>
      <c r="DB32" s="4">
        <f t="shared" si="161"/>
        <v>0</v>
      </c>
      <c r="DC32" s="5">
        <f t="shared" si="161"/>
        <v>0</v>
      </c>
      <c r="DD32" s="10">
        <f t="shared" si="162"/>
        <v>-10</v>
      </c>
      <c r="DE32" s="9">
        <f t="shared" si="163"/>
        <v>0</v>
      </c>
      <c r="DF32" s="5">
        <f t="shared" si="163"/>
        <v>0</v>
      </c>
      <c r="DG32" s="10">
        <f t="shared" si="164"/>
        <v>10</v>
      </c>
      <c r="DH32" s="70">
        <f t="shared" si="165"/>
        <v>2.8645</v>
      </c>
      <c r="DI32" s="4">
        <f t="shared" si="166"/>
        <v>0</v>
      </c>
      <c r="DJ32" s="5">
        <f t="shared" si="167"/>
        <v>0</v>
      </c>
      <c r="DK32" s="10">
        <f t="shared" si="168"/>
        <v>20</v>
      </c>
      <c r="DL32" s="9">
        <f t="shared" si="169"/>
        <v>-0.63182889867737557</v>
      </c>
      <c r="DM32" s="173">
        <f t="shared" si="170"/>
        <v>-2.9791774463802589</v>
      </c>
      <c r="DN32" s="178">
        <f t="shared" si="171"/>
        <v>10.188342867078434</v>
      </c>
      <c r="DO32" s="9">
        <f t="shared" si="172"/>
        <v>8.7974177156625144E-2</v>
      </c>
      <c r="DP32" s="173">
        <f t="shared" si="173"/>
        <v>0.35760746333370452</v>
      </c>
      <c r="DQ32" s="11">
        <f t="shared" si="174"/>
        <v>0</v>
      </c>
      <c r="DR32" s="173">
        <f t="shared" si="175"/>
        <v>203.76685734156868</v>
      </c>
      <c r="DS32" s="5">
        <f t="shared" si="176"/>
        <v>0</v>
      </c>
      <c r="DT32" s="5">
        <f t="shared" si="177"/>
        <v>400</v>
      </c>
      <c r="DU32" s="5">
        <f t="shared" si="178"/>
        <v>0.1356225536783521</v>
      </c>
      <c r="DV32" s="5">
        <f t="shared" si="179"/>
        <v>-1.1209607168859468</v>
      </c>
      <c r="DW32" s="5">
        <f t="shared" si="180"/>
        <v>113.07703639137267</v>
      </c>
      <c r="DX32" s="167">
        <f t="shared" si="181"/>
        <v>104.87167614137267</v>
      </c>
      <c r="DY32" s="9">
        <f t="shared" si="182"/>
        <v>54.249021471340839</v>
      </c>
      <c r="DZ32" s="5">
        <f t="shared" si="183"/>
        <v>-448.38428675437871</v>
      </c>
      <c r="EA32" s="10">
        <f t="shared" si="184"/>
        <v>427.73830568986887</v>
      </c>
      <c r="EB32" s="6">
        <f t="shared" si="185"/>
        <v>177844.08407874827</v>
      </c>
      <c r="EC32" s="173">
        <f t="shared" si="186"/>
        <v>16.038997695836287</v>
      </c>
      <c r="ED32" s="5">
        <f t="shared" si="187"/>
        <v>0.49159675889522209</v>
      </c>
      <c r="EE32" s="4">
        <f t="shared" si="188"/>
        <v>0.77918872603082845</v>
      </c>
      <c r="EF32" s="5">
        <f t="shared" si="189"/>
        <v>2.7564878340428871</v>
      </c>
      <c r="EG32" s="10">
        <f t="shared" si="190"/>
        <v>0.18834286707843517</v>
      </c>
      <c r="EH32" s="9">
        <f t="shared" si="191"/>
        <v>-0.58858107832070461</v>
      </c>
      <c r="EI32" s="5">
        <f t="shared" si="192"/>
        <v>-2.803378776448668</v>
      </c>
      <c r="EJ32" s="6">
        <f t="shared" si="193"/>
        <v>0.18834286707843517</v>
      </c>
      <c r="EK32" s="236" t="b">
        <f t="shared" si="194"/>
        <v>0</v>
      </c>
      <c r="EL32" s="238" t="b">
        <f t="shared" si="195"/>
        <v>1</v>
      </c>
      <c r="EM32" s="4">
        <f t="shared" si="196"/>
        <v>-0.58858107832070461</v>
      </c>
      <c r="EN32" s="5">
        <f t="shared" si="197"/>
        <v>-2.803378776448668</v>
      </c>
      <c r="EO32" s="10">
        <f t="shared" si="198"/>
        <v>0.18834286707843517</v>
      </c>
      <c r="EP32" s="9">
        <f t="shared" si="199"/>
        <v>258.1427355819277</v>
      </c>
      <c r="EQ32" s="5">
        <f t="shared" si="200"/>
        <v>2.8644999999999992</v>
      </c>
      <c r="ER32" s="7">
        <f t="shared" si="201"/>
        <v>0.18834286707843517</v>
      </c>
      <c r="ES32" s="21">
        <f t="shared" si="124"/>
        <v>-0.9262591509134096</v>
      </c>
      <c r="ET32" s="5">
        <f t="shared" si="35"/>
        <v>0.22786685119980674</v>
      </c>
      <c r="EU32" s="10">
        <f t="shared" si="36"/>
        <v>-0.30020107173935101</v>
      </c>
      <c r="EV32" s="174">
        <f t="shared" si="252"/>
        <v>191.8572644180723</v>
      </c>
      <c r="EW32" s="9">
        <f t="shared" si="125"/>
        <v>0.95331588834168024</v>
      </c>
      <c r="EX32" s="5">
        <f t="shared" si="37"/>
        <v>-3.2682312676101166E-2</v>
      </c>
      <c r="EY32" s="6">
        <f t="shared" si="202"/>
        <v>-0.30020107173935101</v>
      </c>
      <c r="EZ32" s="51">
        <f t="shared" si="203"/>
        <v>0.60482732877297152</v>
      </c>
      <c r="FA32" s="266">
        <f t="shared" si="126"/>
        <v>-0.97860798816750683</v>
      </c>
      <c r="FB32" s="267">
        <f t="shared" si="127"/>
        <v>0.20546283283864777</v>
      </c>
      <c r="FC32" s="269">
        <f t="shared" si="38"/>
        <v>-1.0556032240510139E-2</v>
      </c>
      <c r="FD32" s="4">
        <f t="shared" si="128"/>
        <v>0.99994428353950671</v>
      </c>
      <c r="FE32" s="5">
        <f t="shared" si="39"/>
        <v>-3.3306690738754696E-16</v>
      </c>
      <c r="FF32" s="7">
        <f t="shared" si="204"/>
        <v>-1.0556032240510139E-2</v>
      </c>
      <c r="FG32" s="173">
        <f t="shared" si="205"/>
        <v>-4.6628395197826467E-2</v>
      </c>
      <c r="FH32" s="5">
        <f t="shared" si="40"/>
        <v>-3.2682312676100833E-2</v>
      </c>
      <c r="FI32" s="10">
        <f t="shared" si="41"/>
        <v>-0.28964503949884085</v>
      </c>
      <c r="FJ32" s="279">
        <f t="shared" si="206"/>
        <v>16.975104208164915</v>
      </c>
      <c r="FK32" s="4">
        <f t="shared" si="42"/>
        <v>0.95387594399195608</v>
      </c>
      <c r="FL32" s="5">
        <f t="shared" si="207"/>
        <v>0.9999442835395066</v>
      </c>
      <c r="FM32" s="8">
        <f t="shared" si="208"/>
        <v>5.6941556007744532E-2</v>
      </c>
      <c r="FN32" s="9">
        <f t="shared" si="209"/>
        <v>1.9634892373876549</v>
      </c>
      <c r="FO32" s="10">
        <f t="shared" si="43"/>
        <v>1</v>
      </c>
      <c r="FP32" s="277">
        <f t="shared" si="44"/>
        <v>1.9634892373876549</v>
      </c>
      <c r="FQ32" s="173">
        <f t="shared" si="239"/>
        <v>3.4262644824992083E-2</v>
      </c>
      <c r="FR32" s="10">
        <f t="shared" si="210"/>
        <v>0.999412863219999</v>
      </c>
      <c r="FS32" s="9">
        <f t="shared" si="211"/>
        <v>3.3146422216962103E-2</v>
      </c>
      <c r="FT32" s="6">
        <f t="shared" si="212"/>
        <v>0.96685357778303793</v>
      </c>
      <c r="FU32" s="4">
        <f t="shared" si="213"/>
        <v>0.9994657905291916</v>
      </c>
      <c r="FV32" s="5">
        <f t="shared" si="214"/>
        <v>1</v>
      </c>
      <c r="FW32" s="8">
        <f t="shared" si="240"/>
        <v>0.29337425951335566</v>
      </c>
      <c r="FX32" s="9">
        <f t="shared" si="241"/>
        <v>16.87449127439821</v>
      </c>
      <c r="FY32" s="10">
        <f t="shared" si="45"/>
        <v>1</v>
      </c>
      <c r="FZ32" s="277">
        <f t="shared" si="242"/>
        <v>16.87449127439821</v>
      </c>
      <c r="GA32" s="177">
        <f t="shared" si="215"/>
        <v>16.864621435948042</v>
      </c>
      <c r="GB32" s="4">
        <f t="shared" si="216"/>
        <v>-3.2787395149810453E-2</v>
      </c>
      <c r="GC32" s="5">
        <f t="shared" si="217"/>
        <v>0.95638105673312401</v>
      </c>
      <c r="GD32" s="10">
        <f t="shared" si="218"/>
        <v>-0.2902761806303148</v>
      </c>
      <c r="GE32" s="311">
        <f t="shared" si="219"/>
        <v>1.2794446325132491</v>
      </c>
      <c r="GF32" s="341">
        <f t="shared" si="243"/>
        <v>0.78158911654947649</v>
      </c>
      <c r="GG32" s="285">
        <f t="shared" si="46"/>
        <v>2.5626271209098942E-2</v>
      </c>
      <c r="GH32" s="286">
        <f t="shared" si="47"/>
        <v>0.74749702521669714</v>
      </c>
      <c r="GI32" s="281">
        <f t="shared" si="48"/>
        <v>0.226876703574204</v>
      </c>
      <c r="GJ32" s="167">
        <f t="shared" si="220"/>
        <v>2.8645</v>
      </c>
      <c r="GK32" s="174">
        <f t="shared" si="49"/>
        <v>1.4999322636180359</v>
      </c>
      <c r="GL32" s="174">
        <f t="shared" si="221"/>
        <v>2.9700000000000001E-2</v>
      </c>
      <c r="GM32" s="177">
        <f t="shared" si="244"/>
        <v>0.53457585875346803</v>
      </c>
      <c r="GN32" s="280">
        <f t="shared" si="222"/>
        <v>3.6742138759684663E-2</v>
      </c>
      <c r="GO32" s="4">
        <f t="shared" si="223"/>
        <v>1.9634892373876549</v>
      </c>
      <c r="GP32" s="8">
        <f t="shared" si="245"/>
        <v>16.87449127439821</v>
      </c>
      <c r="GQ32" s="177">
        <f t="shared" si="224"/>
        <v>16.975104208164915</v>
      </c>
      <c r="GR32" s="371">
        <f t="shared" si="246"/>
        <v>1787.8862414151283</v>
      </c>
      <c r="GS32" s="342">
        <f t="shared" si="51"/>
        <v>45.816857713520619</v>
      </c>
      <c r="GT32" s="343">
        <f t="shared" si="52"/>
        <v>30.545951190491945</v>
      </c>
      <c r="GU32" s="344">
        <f t="shared" si="53"/>
        <v>1336.4396468836699</v>
      </c>
      <c r="GV32" s="343">
        <f t="shared" si="253"/>
        <v>891</v>
      </c>
      <c r="GW32" s="345">
        <f t="shared" si="129"/>
        <v>30000</v>
      </c>
      <c r="GX32" s="346">
        <f t="shared" si="54"/>
        <v>212.68912499999999</v>
      </c>
      <c r="GY32" s="344">
        <f t="shared" si="55"/>
        <v>405.62973681793773</v>
      </c>
      <c r="GZ32" s="345">
        <f t="shared" si="56"/>
        <v>270.43203660377628</v>
      </c>
      <c r="HA32" s="342">
        <f t="shared" si="57"/>
        <v>45.816857713520619</v>
      </c>
      <c r="HB32" s="5">
        <f t="shared" si="225"/>
        <v>191.8572644180723</v>
      </c>
      <c r="HC32" s="343">
        <f t="shared" si="226"/>
        <v>-44.839241234998156</v>
      </c>
      <c r="HD32" s="363">
        <f t="shared" si="227"/>
        <v>-9.4141859027021066</v>
      </c>
      <c r="HE32" s="344">
        <f t="shared" si="58"/>
        <v>891</v>
      </c>
      <c r="HF32" s="5">
        <f t="shared" si="59"/>
        <v>281.8572644180723</v>
      </c>
      <c r="HG32" s="343">
        <f t="shared" si="228"/>
        <v>183.07758449423852</v>
      </c>
      <c r="HH32" s="349">
        <f t="shared" si="229"/>
        <v>-871.98830155900316</v>
      </c>
      <c r="HI32" s="317">
        <f t="shared" si="60"/>
        <v>4.1130000000000004</v>
      </c>
      <c r="HJ32" s="336"/>
      <c r="HK32" s="310">
        <f t="shared" si="130"/>
        <v>24</v>
      </c>
      <c r="HL32" s="348">
        <f t="shared" si="61"/>
        <v>6.1180000000000003</v>
      </c>
      <c r="HM32" s="934">
        <f t="shared" si="62"/>
        <v>16.631763458570703</v>
      </c>
      <c r="HN32" s="935">
        <f t="shared" si="63"/>
        <v>23.321887259085422</v>
      </c>
      <c r="HO32" s="936"/>
      <c r="HP32" s="937"/>
      <c r="HQ32" s="935">
        <f t="shared" si="64"/>
        <v>22.006467147135162</v>
      </c>
      <c r="HR32" s="938">
        <f t="shared" si="65"/>
        <v>15.263311671829118</v>
      </c>
      <c r="HS32" s="939">
        <f t="shared" si="249"/>
        <v>4.2300000000000004</v>
      </c>
      <c r="HT32" s="940">
        <f t="shared" si="66"/>
        <v>2.18E-2</v>
      </c>
      <c r="HU32" s="941">
        <f t="shared" si="67"/>
        <v>0.57941245489934301</v>
      </c>
      <c r="HV32" s="942">
        <f t="shared" si="68"/>
        <v>3.9823820077926564E-2</v>
      </c>
      <c r="HW32" s="943">
        <f t="shared" si="69"/>
        <v>30000</v>
      </c>
      <c r="HX32" s="950">
        <f t="shared" si="70"/>
        <v>230.53500000000003</v>
      </c>
      <c r="HY32" s="955">
        <f t="shared" si="71"/>
        <v>432.7004304015299</v>
      </c>
      <c r="HZ32" s="956">
        <f t="shared" si="72"/>
        <v>1448.5311372483575</v>
      </c>
      <c r="IA32" s="957">
        <f t="shared" si="73"/>
        <v>412.5353003104405</v>
      </c>
      <c r="IB32" s="958">
        <f t="shared" si="74"/>
        <v>2293.766867960328</v>
      </c>
      <c r="IC32" s="841">
        <f t="shared" si="75"/>
        <v>195.36071693989498</v>
      </c>
      <c r="ID32" s="351">
        <f t="shared" si="76"/>
        <v>654</v>
      </c>
      <c r="IE32" s="843">
        <f t="shared" si="77"/>
        <v>186.25632509049055</v>
      </c>
      <c r="IF32" s="844"/>
      <c r="IG32" s="789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7">
        <f t="shared" si="230"/>
        <v>4.1130000000000004</v>
      </c>
      <c r="IJ32" s="967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8"/>
        <v>1613</v>
      </c>
      <c r="IM32" s="482" t="str">
        <f t="shared" si="231"/>
        <v/>
      </c>
      <c r="IN32" s="670" t="str">
        <f t="shared" si="80"/>
        <v/>
      </c>
      <c r="IO32" s="702"/>
      <c r="IP32" s="5" t="str">
        <f t="shared" si="81"/>
        <v/>
      </c>
      <c r="IQ32" s="714"/>
      <c r="IR32" s="9" t="str">
        <f t="shared" si="131"/>
        <v/>
      </c>
      <c r="IS32" s="5" t="str">
        <f t="shared" si="82"/>
        <v/>
      </c>
      <c r="IT32" s="5" t="str">
        <f t="shared" si="83"/>
        <v/>
      </c>
      <c r="IU32" s="5" t="str">
        <f t="shared" si="84"/>
        <v/>
      </c>
      <c r="IV32" s="670" t="str">
        <f t="shared" si="85"/>
        <v/>
      </c>
      <c r="IW32" s="9" t="str">
        <f t="shared" si="86"/>
        <v/>
      </c>
      <c r="IX32" s="5" t="str">
        <f t="shared" si="87"/>
        <v/>
      </c>
      <c r="IY32" s="5" t="str">
        <f t="shared" si="88"/>
        <v/>
      </c>
      <c r="IZ32" s="5" t="str">
        <f t="shared" si="89"/>
        <v/>
      </c>
      <c r="JA32" s="705" t="str">
        <f t="shared" si="90"/>
        <v/>
      </c>
    </row>
    <row r="33" spans="1:269" ht="15" customHeight="1" x14ac:dyDescent="0.25">
      <c r="A33" s="75">
        <f t="shared" si="1"/>
        <v>0</v>
      </c>
      <c r="B33" s="578">
        <f t="shared" ref="B33:D33" si="292">IFERROR(O188+($A33*-E33),"")</f>
        <v>-0.68924548609988856</v>
      </c>
      <c r="C33" s="572">
        <f t="shared" si="292"/>
        <v>-3.5624475192816676</v>
      </c>
      <c r="D33" s="576">
        <f t="shared" si="292"/>
        <v>-0.2121006396955292</v>
      </c>
      <c r="E33" s="580">
        <f t="shared" ref="E33:K33" si="293">R188</f>
        <v>0.87839390027511222</v>
      </c>
      <c r="F33" s="572">
        <f t="shared" si="293"/>
        <v>-0.37740109687893753</v>
      </c>
      <c r="G33" s="579">
        <f t="shared" si="293"/>
        <v>0.29324489430176104</v>
      </c>
      <c r="H33" s="580">
        <f t="shared" si="293"/>
        <v>0.3125</v>
      </c>
      <c r="I33" s="572">
        <f t="shared" si="293"/>
        <v>0.52</v>
      </c>
      <c r="J33" s="483">
        <f t="shared" si="92"/>
        <v>4.1159999999999997</v>
      </c>
      <c r="K33" s="805">
        <f t="shared" si="293"/>
        <v>1613</v>
      </c>
      <c r="L33" s="309"/>
      <c r="M33" s="164">
        <f t="shared" si="4"/>
        <v>4.1159999999999997</v>
      </c>
      <c r="N33" s="575">
        <f t="shared" si="5"/>
        <v>-0.68924548609988856</v>
      </c>
      <c r="O33" s="572">
        <f t="shared" si="6"/>
        <v>-3.5624475192816676</v>
      </c>
      <c r="P33" s="576">
        <f t="shared" si="7"/>
        <v>-0.2121006396955292</v>
      </c>
      <c r="Q33" s="528">
        <f t="shared" si="134"/>
        <v>259.0499755922034</v>
      </c>
      <c r="R33" s="572">
        <f t="shared" si="93"/>
        <v>3.6285109435890059</v>
      </c>
      <c r="S33" s="577">
        <f t="shared" si="94"/>
        <v>-0.2121006396955292</v>
      </c>
      <c r="T33" s="578">
        <f t="shared" si="95"/>
        <v>-3.5664748363280578</v>
      </c>
      <c r="U33" s="572">
        <f t="shared" si="96"/>
        <v>0.66809348865554152</v>
      </c>
      <c r="V33" s="579">
        <f t="shared" si="135"/>
        <v>-0.2121006396955292</v>
      </c>
      <c r="W33" s="528">
        <f t="shared" si="256"/>
        <v>169.38997554311348</v>
      </c>
      <c r="X33" s="572">
        <f t="shared" si="97"/>
        <v>3.6285109435890059</v>
      </c>
      <c r="Y33" s="573">
        <f t="shared" si="259"/>
        <v>-0.2121006396955292</v>
      </c>
      <c r="Z33" s="575">
        <f t="shared" si="10"/>
        <v>-0.87839390027511222</v>
      </c>
      <c r="AA33" s="572">
        <f t="shared" si="11"/>
        <v>0.37740109687893753</v>
      </c>
      <c r="AB33" s="572">
        <f t="shared" si="12"/>
        <v>-0.29324489430176104</v>
      </c>
      <c r="AC33" s="579">
        <f t="shared" si="98"/>
        <v>1</v>
      </c>
      <c r="AD33" s="580">
        <f t="shared" si="136"/>
        <v>-0.87839390027511222</v>
      </c>
      <c r="AE33" s="572">
        <f t="shared" si="99"/>
        <v>0.37740109687893753</v>
      </c>
      <c r="AF33" s="576">
        <f t="shared" si="100"/>
        <v>-0.29324489430176104</v>
      </c>
      <c r="AG33" s="545">
        <f t="shared" si="101"/>
        <v>52.152391664293951</v>
      </c>
      <c r="AH33" s="546">
        <f t="shared" si="102"/>
        <v>151.44922337019258</v>
      </c>
      <c r="AI33" s="528">
        <f t="shared" si="103"/>
        <v>-72.947676648731104</v>
      </c>
      <c r="AJ33" s="529">
        <f t="shared" si="104"/>
        <v>-113.25073204447644</v>
      </c>
      <c r="AK33" s="578">
        <f t="shared" si="234"/>
        <v>0.9340895552343913</v>
      </c>
      <c r="AL33" s="572">
        <f t="shared" si="105"/>
        <v>-0.20367654447178252</v>
      </c>
      <c r="AM33" s="577">
        <f t="shared" si="106"/>
        <v>-0.29324489430176104</v>
      </c>
      <c r="AN33" s="524">
        <f t="shared" si="107"/>
        <v>-34.782346726074167</v>
      </c>
      <c r="AO33" s="525">
        <f t="shared" si="108"/>
        <v>20.918449404978816</v>
      </c>
      <c r="AP33" s="528">
        <f t="shared" si="109"/>
        <v>-12.300707636679842</v>
      </c>
      <c r="AQ33" s="529">
        <f t="shared" si="13"/>
        <v>0.47748295586989531</v>
      </c>
      <c r="AS33" s="899">
        <f t="shared" si="137"/>
        <v>-190.61002445688652</v>
      </c>
      <c r="AT33" s="895">
        <f t="shared" si="14"/>
        <v>-0.11132156237600295</v>
      </c>
      <c r="AU33" s="418"/>
      <c r="AV33" s="164">
        <f t="shared" si="15"/>
        <v>4.1159999999999997</v>
      </c>
      <c r="AW33" s="828">
        <f>IFERROR(INDEX(MassProp!C$9:C$150,MATCH($M33,MassProp!$B$9:$B$150,0)),"")</f>
        <v>3.7391000000000001</v>
      </c>
      <c r="AX33" s="829">
        <f>IFERROR(INDEX(MassProp!D$9:D$150,MATCH($M33,MassProp!$B$9:$B$150,0)),"")</f>
        <v>0.29139999999999999</v>
      </c>
      <c r="AY33" s="830">
        <f>IFERROR(INDEX(MassProp!E$9:E$150,MATCH($M33,MassProp!$B$9:$B$150,0)),"")</f>
        <v>2.6499999999999999E-2</v>
      </c>
      <c r="AZ33" s="297">
        <f t="shared" si="138"/>
        <v>0.62259700141510887</v>
      </c>
      <c r="BA33" s="296">
        <f t="shared" si="16"/>
        <v>4.2791953738238499E-2</v>
      </c>
      <c r="BB33" s="190">
        <f t="shared" si="139"/>
        <v>0.21272156237600293</v>
      </c>
      <c r="BC33" s="9"/>
      <c r="BD33" s="5">
        <f t="shared" si="235"/>
        <v>3.7391000000000001</v>
      </c>
      <c r="BE33" s="6">
        <f t="shared" si="17"/>
        <v>6.2092268047372889E-4</v>
      </c>
      <c r="BF33" s="4">
        <f t="shared" si="18"/>
        <v>-0.68924548609988856</v>
      </c>
      <c r="BG33" s="5">
        <f t="shared" si="19"/>
        <v>-3.5624475192816676</v>
      </c>
      <c r="BH33" s="10">
        <f t="shared" si="20"/>
        <v>-0.2121006396955292</v>
      </c>
      <c r="BI33" s="9">
        <f t="shared" si="140"/>
        <v>-0.68924548609988856</v>
      </c>
      <c r="BJ33" s="5">
        <f t="shared" si="21"/>
        <v>-2.9488841199407618</v>
      </c>
      <c r="BK33" s="8">
        <f t="shared" si="22"/>
        <v>0.5775448218815209</v>
      </c>
      <c r="BL33" s="173">
        <f t="shared" si="23"/>
        <v>-0.21130808856808181</v>
      </c>
      <c r="BM33" s="5">
        <f t="shared" si="24"/>
        <v>-2.8688277624524612</v>
      </c>
      <c r="BN33" s="6">
        <f t="shared" si="25"/>
        <v>-0.75105098710864338</v>
      </c>
      <c r="BO33" s="4">
        <f t="shared" si="141"/>
        <v>-0.87839390027511277</v>
      </c>
      <c r="BP33" s="5">
        <f t="shared" si="142"/>
        <v>0.37740109687893753</v>
      </c>
      <c r="BQ33" s="5">
        <f t="shared" si="143"/>
        <v>-0.29324489430176115</v>
      </c>
      <c r="BR33" s="6">
        <f t="shared" si="144"/>
        <v>0.6768451408994034</v>
      </c>
      <c r="BS33" s="4">
        <f t="shared" si="110"/>
        <v>0</v>
      </c>
      <c r="BT33" s="5">
        <f t="shared" si="110"/>
        <v>0</v>
      </c>
      <c r="BU33" s="10">
        <f t="shared" si="111"/>
        <v>6.2092268047372889E-4</v>
      </c>
      <c r="BV33" s="9">
        <f t="shared" si="112"/>
        <v>0</v>
      </c>
      <c r="BW33" s="5">
        <f t="shared" si="113"/>
        <v>1</v>
      </c>
      <c r="BX33" s="8">
        <f t="shared" si="114"/>
        <v>6.2092268047372889E-4</v>
      </c>
      <c r="BY33" s="173">
        <f t="shared" si="115"/>
        <v>1</v>
      </c>
      <c r="BZ33" s="5">
        <f t="shared" si="116"/>
        <v>0</v>
      </c>
      <c r="CA33" s="6">
        <f t="shared" si="117"/>
        <v>6.2092268047372889E-4</v>
      </c>
      <c r="CB33" s="4">
        <f t="shared" si="145"/>
        <v>0</v>
      </c>
      <c r="CC33" s="5">
        <f t="shared" si="146"/>
        <v>0</v>
      </c>
      <c r="CD33" s="5">
        <f t="shared" si="147"/>
        <v>-1</v>
      </c>
      <c r="CE33" s="6">
        <f t="shared" si="148"/>
        <v>6.2092268047372889E-4</v>
      </c>
      <c r="CF33" s="4">
        <f t="shared" si="149"/>
        <v>-0.37740109687893753</v>
      </c>
      <c r="CG33" s="5">
        <f t="shared" si="150"/>
        <v>-0.87839390027511277</v>
      </c>
      <c r="CH33" s="5">
        <f t="shared" si="151"/>
        <v>0</v>
      </c>
      <c r="CI33" s="4">
        <f t="shared" si="118"/>
        <v>0</v>
      </c>
      <c r="CJ33" s="5">
        <f t="shared" si="119"/>
        <v>-1.7929546683608548</v>
      </c>
      <c r="CK33" s="8">
        <f t="shared" si="120"/>
        <v>6.2092268047372889E-4</v>
      </c>
      <c r="CL33" s="173">
        <f t="shared" si="121"/>
        <v>-0.37740109687893753</v>
      </c>
      <c r="CM33" s="5">
        <f t="shared" si="122"/>
        <v>-2.6713485686359677</v>
      </c>
      <c r="CN33" s="6">
        <f t="shared" si="123"/>
        <v>6.2092268047372889E-4</v>
      </c>
      <c r="CO33" s="167">
        <f t="shared" si="26"/>
        <v>0.3125</v>
      </c>
      <c r="CP33" s="4">
        <f t="shared" si="236"/>
        <v>0.91400743196595013</v>
      </c>
      <c r="CQ33" s="5">
        <f t="shared" si="237"/>
        <v>-3.6288674586044323</v>
      </c>
      <c r="CR33" s="5">
        <f t="shared" si="152"/>
        <v>3.5537585026686251</v>
      </c>
      <c r="CS33" s="8">
        <f t="shared" si="153"/>
        <v>0.17603230071295073</v>
      </c>
      <c r="CT33" s="9">
        <f t="shared" si="154"/>
        <v>2.2146589575865319</v>
      </c>
      <c r="CU33" s="6">
        <f t="shared" si="155"/>
        <v>1.7556232651729218</v>
      </c>
      <c r="CV33" s="4">
        <f t="shared" si="238"/>
        <v>-0.83581471980592148</v>
      </c>
      <c r="CW33" s="5">
        <f t="shared" si="156"/>
        <v>-3.7382975878945044</v>
      </c>
      <c r="CX33" s="8">
        <f t="shared" si="157"/>
        <v>6.2092268047372889E-4</v>
      </c>
      <c r="CY33" s="9">
        <f t="shared" si="158"/>
        <v>-0.66257414598244246</v>
      </c>
      <c r="CZ33" s="5">
        <f t="shared" si="159"/>
        <v>-3.3350834356698265</v>
      </c>
      <c r="DA33" s="6">
        <f t="shared" si="160"/>
        <v>6.2092268047372889E-4</v>
      </c>
      <c r="DB33" s="4">
        <f t="shared" si="161"/>
        <v>0</v>
      </c>
      <c r="DC33" s="5">
        <f t="shared" si="161"/>
        <v>0</v>
      </c>
      <c r="DD33" s="10">
        <f t="shared" si="162"/>
        <v>-10</v>
      </c>
      <c r="DE33" s="9">
        <f t="shared" si="163"/>
        <v>0</v>
      </c>
      <c r="DF33" s="5">
        <f t="shared" si="163"/>
        <v>0</v>
      </c>
      <c r="DG33" s="10">
        <f t="shared" si="164"/>
        <v>10</v>
      </c>
      <c r="DH33" s="70">
        <f t="shared" si="165"/>
        <v>3.7391000000000001</v>
      </c>
      <c r="DI33" s="4">
        <f t="shared" si="166"/>
        <v>0</v>
      </c>
      <c r="DJ33" s="5">
        <f t="shared" si="167"/>
        <v>0</v>
      </c>
      <c r="DK33" s="10">
        <f t="shared" si="168"/>
        <v>20</v>
      </c>
      <c r="DL33" s="9">
        <f t="shared" si="169"/>
        <v>-0.83581471980592148</v>
      </c>
      <c r="DM33" s="173">
        <f t="shared" si="170"/>
        <v>-3.7382975878945044</v>
      </c>
      <c r="DN33" s="178">
        <f t="shared" si="171"/>
        <v>10.000620922680474</v>
      </c>
      <c r="DO33" s="9">
        <f t="shared" si="172"/>
        <v>0.17324057382347902</v>
      </c>
      <c r="DP33" s="173">
        <f t="shared" si="173"/>
        <v>0.40321415222467794</v>
      </c>
      <c r="DQ33" s="11">
        <f t="shared" si="174"/>
        <v>0</v>
      </c>
      <c r="DR33" s="173">
        <f t="shared" si="175"/>
        <v>200.01241845360948</v>
      </c>
      <c r="DS33" s="5">
        <f t="shared" si="176"/>
        <v>0</v>
      </c>
      <c r="DT33" s="5">
        <f t="shared" si="177"/>
        <v>400</v>
      </c>
      <c r="DU33" s="5">
        <f t="shared" si="178"/>
        <v>0.19259394897295401</v>
      </c>
      <c r="DV33" s="5">
        <f t="shared" si="179"/>
        <v>-1.6521315143357291</v>
      </c>
      <c r="DW33" s="5">
        <f t="shared" si="180"/>
        <v>114.68587394065656</v>
      </c>
      <c r="DX33" s="167">
        <f t="shared" si="181"/>
        <v>100.70500513065656</v>
      </c>
      <c r="DY33" s="9">
        <f t="shared" si="182"/>
        <v>77.037579589181604</v>
      </c>
      <c r="DZ33" s="5">
        <f t="shared" si="183"/>
        <v>-660.85260573429161</v>
      </c>
      <c r="EA33" s="10">
        <f t="shared" si="184"/>
        <v>277.03451660084102</v>
      </c>
      <c r="EB33" s="6">
        <f t="shared" si="185"/>
        <v>415384.0978842153</v>
      </c>
      <c r="EC33" s="173">
        <f t="shared" si="186"/>
        <v>16.944400354457084</v>
      </c>
      <c r="ED33" s="5">
        <f t="shared" si="187"/>
        <v>0.21222915696892866</v>
      </c>
      <c r="EE33" s="4">
        <f t="shared" si="188"/>
        <v>2.0996429206949849</v>
      </c>
      <c r="EF33" s="5">
        <f t="shared" si="189"/>
        <v>3.0939244359834412</v>
      </c>
      <c r="EG33" s="10">
        <f t="shared" si="190"/>
        <v>6.2092268047372889E-4</v>
      </c>
      <c r="EH33" s="9">
        <f t="shared" si="191"/>
        <v>-0.7990480188705511</v>
      </c>
      <c r="EI33" s="5">
        <f t="shared" si="192"/>
        <v>-3.6527237882899195</v>
      </c>
      <c r="EJ33" s="6">
        <f t="shared" si="193"/>
        <v>6.2092268047372889E-4</v>
      </c>
      <c r="EK33" s="236" t="b">
        <f t="shared" si="194"/>
        <v>0</v>
      </c>
      <c r="EL33" s="238" t="b">
        <f t="shared" si="195"/>
        <v>1</v>
      </c>
      <c r="EM33" s="272">
        <f t="shared" si="196"/>
        <v>-0.7990480188705511</v>
      </c>
      <c r="EN33" s="267">
        <f t="shared" si="197"/>
        <v>-3.6527237882899195</v>
      </c>
      <c r="EO33" s="273">
        <f t="shared" si="198"/>
        <v>6.2092268047372889E-4</v>
      </c>
      <c r="EP33" s="9">
        <f t="shared" si="199"/>
        <v>257.66069281781529</v>
      </c>
      <c r="EQ33" s="5">
        <f t="shared" si="200"/>
        <v>3.7391000000000019</v>
      </c>
      <c r="ER33" s="7">
        <f t="shared" si="201"/>
        <v>6.2092268047372889E-4</v>
      </c>
      <c r="ES33" s="274">
        <f t="shared" si="124"/>
        <v>-0.87839390027511222</v>
      </c>
      <c r="ET33" s="267">
        <f t="shared" si="35"/>
        <v>0.37740109687893753</v>
      </c>
      <c r="EU33" s="273">
        <f t="shared" si="36"/>
        <v>-0.29324489430176104</v>
      </c>
      <c r="EV33" s="174">
        <f t="shared" si="252"/>
        <v>192.33930718218471</v>
      </c>
      <c r="EW33" s="9">
        <f t="shared" si="125"/>
        <v>0.93875314749655037</v>
      </c>
      <c r="EX33" s="5">
        <f t="shared" si="37"/>
        <v>-0.18096950027910449</v>
      </c>
      <c r="EY33" s="6">
        <f t="shared" si="202"/>
        <v>-0.29324489430176104</v>
      </c>
      <c r="EZ33" s="51">
        <f t="shared" si="203"/>
        <v>0.46336136186862337</v>
      </c>
      <c r="FA33" s="266">
        <f t="shared" si="126"/>
        <v>-0.97686725155838139</v>
      </c>
      <c r="FB33" s="267">
        <f t="shared" si="127"/>
        <v>0.21369363995153778</v>
      </c>
      <c r="FC33" s="269">
        <f t="shared" si="38"/>
        <v>-8.0870932377699878E-3</v>
      </c>
      <c r="FD33" s="4">
        <f t="shared" si="128"/>
        <v>0.9999672989268017</v>
      </c>
      <c r="FE33" s="5">
        <f t="shared" si="39"/>
        <v>1.3877787807814457E-16</v>
      </c>
      <c r="FF33" s="7">
        <f t="shared" si="204"/>
        <v>-8.0870932377699878E-3</v>
      </c>
      <c r="FG33" s="173">
        <f t="shared" si="205"/>
        <v>-6.1214151430251329E-2</v>
      </c>
      <c r="FH33" s="5">
        <f t="shared" si="40"/>
        <v>-0.18096950027910463</v>
      </c>
      <c r="FI33" s="10">
        <f t="shared" si="41"/>
        <v>-0.28515780106399102</v>
      </c>
      <c r="FJ33" s="279">
        <f t="shared" si="206"/>
        <v>19.76391027545748</v>
      </c>
      <c r="FK33" s="4">
        <f t="shared" si="42"/>
        <v>0.95603735908485765</v>
      </c>
      <c r="FL33" s="5">
        <f t="shared" si="207"/>
        <v>0.99996729892680158</v>
      </c>
      <c r="FM33" s="8">
        <f t="shared" si="208"/>
        <v>0.19104222665838722</v>
      </c>
      <c r="FN33" s="9">
        <f t="shared" si="209"/>
        <v>10.911424862291772</v>
      </c>
      <c r="FO33" s="10">
        <f t="shared" si="43"/>
        <v>1</v>
      </c>
      <c r="FP33" s="277">
        <f t="shared" si="44"/>
        <v>10.911424862291772</v>
      </c>
      <c r="FQ33" s="173">
        <f t="shared" si="239"/>
        <v>0.18929124323377233</v>
      </c>
      <c r="FR33" s="10">
        <f t="shared" si="210"/>
        <v>0.98192098726680288</v>
      </c>
      <c r="FS33" s="9">
        <f t="shared" si="211"/>
        <v>0.16161993386362555</v>
      </c>
      <c r="FT33" s="6">
        <f t="shared" si="212"/>
        <v>0.8383800661363745</v>
      </c>
      <c r="FU33" s="4">
        <f t="shared" si="213"/>
        <v>0.98348870861272786</v>
      </c>
      <c r="FV33" s="5">
        <f t="shared" si="214"/>
        <v>1</v>
      </c>
      <c r="FW33" s="8">
        <f t="shared" si="240"/>
        <v>0.29165415108133885</v>
      </c>
      <c r="FX33" s="9">
        <f t="shared" si="241"/>
        <v>16.884242790353817</v>
      </c>
      <c r="FY33" s="10">
        <f t="shared" si="45"/>
        <v>1</v>
      </c>
      <c r="FZ33" s="277">
        <f t="shared" si="242"/>
        <v>16.884242790353817</v>
      </c>
      <c r="GA33" s="177">
        <f t="shared" si="215"/>
        <v>16.60464670755503</v>
      </c>
      <c r="GB33" s="4">
        <f t="shared" si="216"/>
        <v>-0.18113155938503855</v>
      </c>
      <c r="GC33" s="5">
        <f t="shared" si="217"/>
        <v>0.93959380570437478</v>
      </c>
      <c r="GD33" s="10">
        <f t="shared" si="218"/>
        <v>-0.2904390443392792</v>
      </c>
      <c r="GE33" s="311">
        <f t="shared" si="219"/>
        <v>1.4111644094286926</v>
      </c>
      <c r="GF33" s="341">
        <f t="shared" si="243"/>
        <v>0.70863465186515595</v>
      </c>
      <c r="GG33" s="285">
        <f t="shared" si="46"/>
        <v>0.12835609952660962</v>
      </c>
      <c r="GH33" s="286">
        <f t="shared" si="47"/>
        <v>0.66582872939997662</v>
      </c>
      <c r="GI33" s="281">
        <f t="shared" si="48"/>
        <v>0.20581517107341371</v>
      </c>
      <c r="GJ33" s="167">
        <f t="shared" si="220"/>
        <v>3.7391000000000001</v>
      </c>
      <c r="GK33" s="174">
        <f t="shared" si="49"/>
        <v>1.9578522057078895</v>
      </c>
      <c r="GL33" s="174">
        <f t="shared" si="221"/>
        <v>2.6499999999999999E-2</v>
      </c>
      <c r="GM33" s="177">
        <f t="shared" si="244"/>
        <v>0.62259700141510887</v>
      </c>
      <c r="GN33" s="280">
        <f t="shared" si="222"/>
        <v>4.2791953738238499E-2</v>
      </c>
      <c r="GO33" s="4">
        <f t="shared" si="223"/>
        <v>10.911424862291772</v>
      </c>
      <c r="GP33" s="8">
        <f t="shared" si="245"/>
        <v>16.884242790353817</v>
      </c>
      <c r="GQ33" s="177">
        <f t="shared" si="224"/>
        <v>19.76391027545748</v>
      </c>
      <c r="GR33" s="371">
        <f t="shared" si="246"/>
        <v>2337.6769953144453</v>
      </c>
      <c r="GS33" s="342">
        <f t="shared" si="51"/>
        <v>300.05510107164667</v>
      </c>
      <c r="GT33" s="343">
        <f t="shared" si="52"/>
        <v>153.25727866325715</v>
      </c>
      <c r="GU33" s="344">
        <f t="shared" si="53"/>
        <v>1556.4925035377721</v>
      </c>
      <c r="GV33" s="343">
        <f t="shared" si="253"/>
        <v>795</v>
      </c>
      <c r="GW33" s="345">
        <f t="shared" si="129"/>
        <v>30000</v>
      </c>
      <c r="GX33" s="346">
        <f t="shared" si="54"/>
        <v>247.71537499999999</v>
      </c>
      <c r="GY33" s="344">
        <f t="shared" si="55"/>
        <v>481.12939070502631</v>
      </c>
      <c r="GZ33" s="345">
        <f t="shared" si="56"/>
        <v>245.7434679197693</v>
      </c>
      <c r="HA33" s="342">
        <f t="shared" si="57"/>
        <v>300.05510107164667</v>
      </c>
      <c r="HB33" s="5">
        <f t="shared" si="225"/>
        <v>192.33930718218471</v>
      </c>
      <c r="HC33" s="343">
        <f t="shared" si="226"/>
        <v>-293.12358735581807</v>
      </c>
      <c r="HD33" s="363">
        <f t="shared" si="227"/>
        <v>-64.121963591051795</v>
      </c>
      <c r="HE33" s="344">
        <f t="shared" si="58"/>
        <v>795</v>
      </c>
      <c r="HF33" s="5">
        <f t="shared" si="59"/>
        <v>282.33930718218471</v>
      </c>
      <c r="HG33" s="343">
        <f t="shared" si="228"/>
        <v>169.89199941218084</v>
      </c>
      <c r="HH33" s="349">
        <f t="shared" si="229"/>
        <v>-776.63486178237679</v>
      </c>
      <c r="HI33" s="317">
        <f t="shared" si="60"/>
        <v>4.1159999999999997</v>
      </c>
      <c r="HJ33" s="336"/>
      <c r="HK33" s="310">
        <f t="shared" si="130"/>
        <v>25</v>
      </c>
      <c r="HL33" s="348">
        <f t="shared" si="61"/>
        <v>3.1179999999999999</v>
      </c>
      <c r="HM33" s="934">
        <f t="shared" si="62"/>
        <v>16.633037688331683</v>
      </c>
      <c r="HN33" s="935">
        <f t="shared" si="63"/>
        <v>23.321887259085432</v>
      </c>
      <c r="HO33" s="936"/>
      <c r="HP33" s="937"/>
      <c r="HQ33" s="935">
        <f t="shared" si="64"/>
        <v>22.007472430829996</v>
      </c>
      <c r="HR33" s="938">
        <f t="shared" si="65"/>
        <v>15.263507482767761</v>
      </c>
      <c r="HS33" s="939">
        <f t="shared" si="249"/>
        <v>4.2309999999999999</v>
      </c>
      <c r="HT33" s="940">
        <f t="shared" si="66"/>
        <v>2.1999999999999999E-2</v>
      </c>
      <c r="HU33" s="941">
        <f t="shared" si="67"/>
        <v>0.58486639204032664</v>
      </c>
      <c r="HV33" s="942">
        <f t="shared" si="68"/>
        <v>4.0198676727248306E-2</v>
      </c>
      <c r="HW33" s="943">
        <f t="shared" si="69"/>
        <v>30000</v>
      </c>
      <c r="HX33" s="950">
        <f t="shared" si="70"/>
        <v>232.70499999999998</v>
      </c>
      <c r="HY33" s="955">
        <f t="shared" si="71"/>
        <v>436.80880526625828</v>
      </c>
      <c r="HZ33" s="956">
        <f t="shared" si="72"/>
        <v>1462.1659801008166</v>
      </c>
      <c r="IA33" s="957">
        <f t="shared" si="73"/>
        <v>416.42681372534128</v>
      </c>
      <c r="IB33" s="958">
        <f t="shared" si="74"/>
        <v>2315.4015990924163</v>
      </c>
      <c r="IC33" s="841">
        <f t="shared" si="75"/>
        <v>197.16900502352857</v>
      </c>
      <c r="ID33" s="351">
        <f t="shared" si="76"/>
        <v>660</v>
      </c>
      <c r="IE33" s="843">
        <f t="shared" si="77"/>
        <v>187.96887685745148</v>
      </c>
      <c r="IF33" s="844"/>
      <c r="IG33" s="789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7">
        <f t="shared" si="230"/>
        <v>4.1159999999999997</v>
      </c>
      <c r="IJ33" s="967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8"/>
        <v>1613</v>
      </c>
      <c r="IM33" s="482" t="str">
        <f t="shared" si="231"/>
        <v/>
      </c>
      <c r="IN33" s="670" t="str">
        <f t="shared" si="80"/>
        <v/>
      </c>
      <c r="IO33" s="702"/>
      <c r="IP33" s="5" t="str">
        <f t="shared" si="81"/>
        <v/>
      </c>
      <c r="IQ33" s="714"/>
      <c r="IR33" s="9" t="str">
        <f t="shared" si="131"/>
        <v/>
      </c>
      <c r="IS33" s="5" t="str">
        <f t="shared" si="82"/>
        <v/>
      </c>
      <c r="IT33" s="5" t="str">
        <f t="shared" si="83"/>
        <v/>
      </c>
      <c r="IU33" s="5" t="str">
        <f t="shared" si="84"/>
        <v/>
      </c>
      <c r="IV33" s="670" t="str">
        <f t="shared" si="85"/>
        <v/>
      </c>
      <c r="IW33" s="9" t="str">
        <f t="shared" si="86"/>
        <v/>
      </c>
      <c r="IX33" s="5" t="str">
        <f t="shared" si="87"/>
        <v/>
      </c>
      <c r="IY33" s="5" t="str">
        <f t="shared" si="88"/>
        <v/>
      </c>
      <c r="IZ33" s="5" t="str">
        <f t="shared" si="89"/>
        <v/>
      </c>
      <c r="JA33" s="705" t="str">
        <f t="shared" si="90"/>
        <v/>
      </c>
    </row>
    <row r="34" spans="1:269" ht="15" customHeight="1" x14ac:dyDescent="0.25">
      <c r="A34" s="75">
        <f t="shared" si="1"/>
        <v>0</v>
      </c>
      <c r="B34" s="578">
        <f t="shared" ref="B34:D34" si="294">IFERROR(O189+($A34*-E34),"")</f>
        <v>-0.84936511366175149</v>
      </c>
      <c r="C34" s="572">
        <f t="shared" si="294"/>
        <v>-4.1598865521583877</v>
      </c>
      <c r="D34" s="576">
        <f t="shared" si="294"/>
        <v>-0.68420206355342361</v>
      </c>
      <c r="E34" s="580">
        <f t="shared" ref="E34:K34" si="295">R189</f>
        <v>0.82750328904808856</v>
      </c>
      <c r="F34" s="572">
        <f t="shared" si="295"/>
        <v>-0.51308489342289043</v>
      </c>
      <c r="G34" s="579">
        <f t="shared" si="295"/>
        <v>0.22799604986888905</v>
      </c>
      <c r="H34" s="580">
        <f t="shared" si="295"/>
        <v>0.3125</v>
      </c>
      <c r="I34" s="572">
        <f t="shared" si="295"/>
        <v>0.52</v>
      </c>
      <c r="J34" s="483">
        <f t="shared" si="92"/>
        <v>4.1189999999999998</v>
      </c>
      <c r="K34" s="805">
        <f t="shared" si="295"/>
        <v>1613</v>
      </c>
      <c r="L34" s="309"/>
      <c r="M34" s="164">
        <f t="shared" si="4"/>
        <v>4.1189999999999998</v>
      </c>
      <c r="N34" s="575">
        <f t="shared" si="5"/>
        <v>-0.84936511366175149</v>
      </c>
      <c r="O34" s="572">
        <f t="shared" si="6"/>
        <v>-4.1598865521583877</v>
      </c>
      <c r="P34" s="576">
        <f t="shared" si="7"/>
        <v>-0.68420206355342361</v>
      </c>
      <c r="Q34" s="528">
        <f t="shared" si="134"/>
        <v>258.4599756773888</v>
      </c>
      <c r="R34" s="572">
        <f>IF(M34="","",SQRT(N34^2+O34^2))</f>
        <v>4.2457128050698199</v>
      </c>
      <c r="S34" s="577">
        <f>IF(M34="","",P34)</f>
        <v>-0.68420206355342361</v>
      </c>
      <c r="T34" s="578">
        <f>IF(M34="","",X34*COS(RADIANS(W34)))</f>
        <v>-4.1648535134808693</v>
      </c>
      <c r="U34" s="572">
        <f>IF(M34="","",X34*SIN(RADIANS(W34)))</f>
        <v>0.82466504374800342</v>
      </c>
      <c r="V34" s="579">
        <f>IF(M34="","",Y34)</f>
        <v>-0.68420206355342361</v>
      </c>
      <c r="W34" s="528">
        <f t="shared" si="256"/>
        <v>168.79997562829888</v>
      </c>
      <c r="X34" s="572">
        <f>IF(M34="","",R34)</f>
        <v>4.2457128050698199</v>
      </c>
      <c r="Y34" s="573">
        <f t="shared" si="259"/>
        <v>-0.68420206355342361</v>
      </c>
      <c r="Z34" s="575">
        <f t="shared" si="10"/>
        <v>-0.82750328904808856</v>
      </c>
      <c r="AA34" s="572">
        <f t="shared" si="11"/>
        <v>0.51308489342289043</v>
      </c>
      <c r="AB34" s="572">
        <f t="shared" si="12"/>
        <v>-0.22799604986888905</v>
      </c>
      <c r="AC34" s="579">
        <f>IF(M34="","",SQRT(Z34^2+AA34^2+AB34^2))</f>
        <v>1</v>
      </c>
      <c r="AD34" s="580">
        <f>IF(M34="","",Z34*(1/SQRT(Z34^2+AA34^2+AB34^2)))</f>
        <v>-0.82750328904808856</v>
      </c>
      <c r="AE34" s="572">
        <f>IF(M34="","",AA34*(1/SQRT(Z34^2+AA34^2+AB34^2)))</f>
        <v>0.51308489342289043</v>
      </c>
      <c r="AF34" s="576">
        <f>IF(M34="","",AB34*(1/SQRT(Z34^2+AA34^2+AB34^2)))</f>
        <v>-0.22799604986888905</v>
      </c>
      <c r="AG34" s="545">
        <f>IF(M34="","",DEGREES(ATAN2(-AF34,AE34)))</f>
        <v>66.041397833819573</v>
      </c>
      <c r="AH34" s="546">
        <f>IF(M34="","",DEGREES(ACOS(AD34)))</f>
        <v>145.84311315980909</v>
      </c>
      <c r="AI34" s="528">
        <f>IF(M34="","",DEGREES(-ACOS(-AF34)))</f>
        <v>-76.820880520215994</v>
      </c>
      <c r="AJ34" s="529">
        <f>IF(M34="","",DEGREES(ATAN2(-AE34,AD34)))</f>
        <v>-121.80055596464381</v>
      </c>
      <c r="AK34" s="578">
        <f>IF(M34="","",(COS(RADIANS((90-$Q$8)-W34))*AD34)+(-SIN(RADIANS((90-$Q$8)-W34))*AE34))</f>
        <v>0.91341934578508688</v>
      </c>
      <c r="AL34" s="572">
        <f>IF(M34="","",(SIN(RADIANS((90-$Q$8)-W34))*AD34)+(COS(RADIANS((90-$Q$8)-W34))*AE34))</f>
        <v>-0.33716894873301623</v>
      </c>
      <c r="AM34" s="577">
        <f>IF(M34="","",AF34)</f>
        <v>-0.22799604986888905</v>
      </c>
      <c r="AN34" s="524">
        <f>IF(M34="","",DEGREES(ATAN2(-AM34,AL34)))</f>
        <v>-55.93316167594233</v>
      </c>
      <c r="AO34" s="525">
        <f t="shared" si="108"/>
        <v>24.017758820569263</v>
      </c>
      <c r="AP34" s="528">
        <f>IF(M34="","",DEGREES(ATAN2(AK34,AL34)))</f>
        <v>-20.260531642032593</v>
      </c>
      <c r="AQ34" s="529">
        <f t="shared" si="13"/>
        <v>0.40807351411720577</v>
      </c>
      <c r="AS34" s="899">
        <f t="shared" si="137"/>
        <v>-191.20002437170112</v>
      </c>
      <c r="AT34" s="895">
        <f t="shared" si="14"/>
        <v>-0.58311159738996743</v>
      </c>
      <c r="AU34" s="418"/>
      <c r="AV34" s="164">
        <f t="shared" si="15"/>
        <v>4.1189999999999998</v>
      </c>
      <c r="AW34" s="828">
        <f>IFERROR(INDEX(MassProp!C$9:C$150,MATCH($M34,MassProp!$B$9:$B$150,0)),"")</f>
        <v>4.4397000000000002</v>
      </c>
      <c r="AX34" s="829">
        <f>IFERROR(INDEX(MassProp!D$9:D$150,MATCH($M34,MassProp!$B$9:$B$150,0)),"")</f>
        <v>-0.24490000000000001</v>
      </c>
      <c r="AY34" s="830">
        <f>IFERROR(INDEX(MassProp!E$9:E$150,MATCH($M34,MassProp!$B$9:$B$150,0)),"")</f>
        <v>1.89E-2</v>
      </c>
      <c r="AZ34" s="297">
        <f t="shared" si="138"/>
        <v>0.52723638184509236</v>
      </c>
      <c r="BA34" s="296">
        <f t="shared" si="16"/>
        <v>3.6237686352088377E-2</v>
      </c>
      <c r="BB34" s="190">
        <f t="shared" si="139"/>
        <v>0.14821159738996742</v>
      </c>
      <c r="BC34" s="9"/>
      <c r="BD34" s="5">
        <f t="shared" si="235"/>
        <v>4.4397000000000002</v>
      </c>
      <c r="BE34" s="6">
        <f t="shared" si="17"/>
        <v>-0.53599046616345625</v>
      </c>
      <c r="BF34" s="4">
        <f t="shared" si="18"/>
        <v>-0.84936511366175149</v>
      </c>
      <c r="BG34" s="5">
        <f t="shared" si="19"/>
        <v>-4.1598865521583877</v>
      </c>
      <c r="BH34" s="10">
        <f t="shared" si="20"/>
        <v>-0.68420206355342361</v>
      </c>
      <c r="BI34" s="9">
        <f t="shared" si="140"/>
        <v>-0.84936511366175149</v>
      </c>
      <c r="BJ34" s="5">
        <f t="shared" si="21"/>
        <v>-3.7538100778253116</v>
      </c>
      <c r="BK34" s="8">
        <f t="shared" si="22"/>
        <v>0.22963703442456207</v>
      </c>
      <c r="BL34" s="173">
        <f t="shared" si="23"/>
        <v>-0.28790424537741988</v>
      </c>
      <c r="BM34" s="5">
        <f t="shared" si="24"/>
        <v>-3.4036816929208662</v>
      </c>
      <c r="BN34" s="6">
        <f t="shared" si="25"/>
        <v>-1.0202316816690957</v>
      </c>
      <c r="BO34" s="4">
        <f t="shared" si="141"/>
        <v>-0.82750328904808879</v>
      </c>
      <c r="BP34" s="5">
        <f t="shared" si="142"/>
        <v>0.51308489342289043</v>
      </c>
      <c r="BQ34" s="5">
        <f t="shared" si="143"/>
        <v>-0.22799604986888933</v>
      </c>
      <c r="BR34" s="6">
        <f t="shared" si="144"/>
        <v>1.2755271553053744</v>
      </c>
      <c r="BS34" s="4">
        <f t="shared" si="110"/>
        <v>0</v>
      </c>
      <c r="BT34" s="5">
        <f t="shared" si="110"/>
        <v>0</v>
      </c>
      <c r="BU34" s="10">
        <f t="shared" si="111"/>
        <v>-0.53599046616345625</v>
      </c>
      <c r="BV34" s="9">
        <f t="shared" si="112"/>
        <v>0</v>
      </c>
      <c r="BW34" s="5">
        <f t="shared" si="113"/>
        <v>1</v>
      </c>
      <c r="BX34" s="8">
        <f t="shared" si="114"/>
        <v>-0.53599046616345625</v>
      </c>
      <c r="BY34" s="173">
        <f t="shared" si="115"/>
        <v>1</v>
      </c>
      <c r="BZ34" s="5">
        <f t="shared" si="116"/>
        <v>0</v>
      </c>
      <c r="CA34" s="6">
        <f t="shared" si="117"/>
        <v>-0.53599046616345625</v>
      </c>
      <c r="CB34" s="4">
        <f t="shared" si="145"/>
        <v>0</v>
      </c>
      <c r="CC34" s="5">
        <f t="shared" si="146"/>
        <v>0</v>
      </c>
      <c r="CD34" s="5">
        <f t="shared" si="147"/>
        <v>-1</v>
      </c>
      <c r="CE34" s="6">
        <f t="shared" si="148"/>
        <v>-0.53599046616345625</v>
      </c>
      <c r="CF34" s="4">
        <f t="shared" si="149"/>
        <v>-0.51308489342289043</v>
      </c>
      <c r="CG34" s="5">
        <f t="shared" si="150"/>
        <v>-0.82750328904808879</v>
      </c>
      <c r="CH34" s="5">
        <f t="shared" si="151"/>
        <v>0</v>
      </c>
      <c r="CI34" s="4">
        <f t="shared" si="118"/>
        <v>0</v>
      </c>
      <c r="CJ34" s="5">
        <f t="shared" si="119"/>
        <v>-2.7241707605801624</v>
      </c>
      <c r="CK34" s="8">
        <f t="shared" si="120"/>
        <v>-0.53599046616345625</v>
      </c>
      <c r="CL34" s="173">
        <f t="shared" si="121"/>
        <v>-0.51308489342289043</v>
      </c>
      <c r="CM34" s="5">
        <f t="shared" si="122"/>
        <v>-3.5516740496282511</v>
      </c>
      <c r="CN34" s="6">
        <f t="shared" si="123"/>
        <v>-0.53599046616345625</v>
      </c>
      <c r="CO34" s="167">
        <f t="shared" si="26"/>
        <v>0.3125</v>
      </c>
      <c r="CP34" s="4">
        <f t="shared" si="236"/>
        <v>0.94801780124418344</v>
      </c>
      <c r="CQ34" s="5">
        <f t="shared" si="237"/>
        <v>-3.2477118969790451</v>
      </c>
      <c r="CR34" s="5">
        <f t="shared" si="152"/>
        <v>2.7070113580936237</v>
      </c>
      <c r="CS34" s="8">
        <f t="shared" si="153"/>
        <v>0.28245274320743619</v>
      </c>
      <c r="CT34" s="9">
        <f t="shared" si="154"/>
        <v>1.9931981896045312</v>
      </c>
      <c r="CU34" s="6">
        <f t="shared" si="155"/>
        <v>1.4325939133673025</v>
      </c>
      <c r="CV34" s="4">
        <f t="shared" si="238"/>
        <v>-1.022679880683939</v>
      </c>
      <c r="CW34" s="5">
        <f t="shared" si="156"/>
        <v>-4.3735488182026074</v>
      </c>
      <c r="CX34" s="8">
        <f t="shared" si="157"/>
        <v>-0.53599046616345625</v>
      </c>
      <c r="CY34" s="9">
        <f t="shared" si="158"/>
        <v>-0.73504229535834387</v>
      </c>
      <c r="CZ34" s="5">
        <f t="shared" si="159"/>
        <v>-3.9096469357618777</v>
      </c>
      <c r="DA34" s="6">
        <f t="shared" si="160"/>
        <v>-0.53599046616345625</v>
      </c>
      <c r="DB34" s="4">
        <f t="shared" si="161"/>
        <v>0</v>
      </c>
      <c r="DC34" s="5">
        <f t="shared" si="161"/>
        <v>0</v>
      </c>
      <c r="DD34" s="10">
        <f t="shared" si="162"/>
        <v>-10</v>
      </c>
      <c r="DE34" s="9">
        <f t="shared" si="163"/>
        <v>0</v>
      </c>
      <c r="DF34" s="5">
        <f t="shared" si="163"/>
        <v>0</v>
      </c>
      <c r="DG34" s="10">
        <f t="shared" si="164"/>
        <v>10</v>
      </c>
      <c r="DH34" s="70">
        <f t="shared" si="165"/>
        <v>4.4397000000000002</v>
      </c>
      <c r="DI34" s="4">
        <f t="shared" si="166"/>
        <v>0</v>
      </c>
      <c r="DJ34" s="5">
        <f t="shared" si="167"/>
        <v>0</v>
      </c>
      <c r="DK34" s="10">
        <f t="shared" si="168"/>
        <v>20</v>
      </c>
      <c r="DL34" s="9">
        <f t="shared" si="169"/>
        <v>-1.022679880683939</v>
      </c>
      <c r="DM34" s="173">
        <f t="shared" si="170"/>
        <v>-4.3735488182026074</v>
      </c>
      <c r="DN34" s="178">
        <f t="shared" si="171"/>
        <v>9.4640095338365438</v>
      </c>
      <c r="DO34" s="9">
        <f t="shared" si="172"/>
        <v>0.28763758532559514</v>
      </c>
      <c r="DP34" s="173">
        <f t="shared" si="173"/>
        <v>0.46390188244072972</v>
      </c>
      <c r="DQ34" s="11">
        <f t="shared" si="174"/>
        <v>0</v>
      </c>
      <c r="DR34" s="173">
        <f t="shared" si="175"/>
        <v>189.28019067673088</v>
      </c>
      <c r="DS34" s="5">
        <f t="shared" si="176"/>
        <v>0</v>
      </c>
      <c r="DT34" s="5">
        <f t="shared" si="177"/>
        <v>400</v>
      </c>
      <c r="DU34" s="5">
        <f t="shared" si="178"/>
        <v>0.29794033702399164</v>
      </c>
      <c r="DV34" s="5">
        <f t="shared" si="179"/>
        <v>-2.3230587011516142</v>
      </c>
      <c r="DW34" s="5">
        <f t="shared" si="180"/>
        <v>109.74127986010612</v>
      </c>
      <c r="DX34" s="167">
        <f t="shared" si="181"/>
        <v>90.030343770106114</v>
      </c>
      <c r="DY34" s="9">
        <f t="shared" si="182"/>
        <v>119.17613480959666</v>
      </c>
      <c r="DZ34" s="5">
        <f t="shared" si="183"/>
        <v>-929.22348046064565</v>
      </c>
      <c r="EA34" s="10">
        <f t="shared" si="184"/>
        <v>185.14692542285047</v>
      </c>
      <c r="EB34" s="6">
        <f t="shared" si="185"/>
        <v>841391.18169561995</v>
      </c>
      <c r="EC34" s="173">
        <f t="shared" si="186"/>
        <v>15.493850847404623</v>
      </c>
      <c r="ED34" s="5">
        <f t="shared" si="187"/>
        <v>0.10026926641232449</v>
      </c>
      <c r="EE34" s="4">
        <f t="shared" si="188"/>
        <v>3.4339339644584523</v>
      </c>
      <c r="EF34" s="5">
        <f t="shared" si="189"/>
        <v>2.8140777561642922</v>
      </c>
      <c r="EG34" s="10">
        <f t="shared" si="190"/>
        <v>-0.53599046616345625</v>
      </c>
      <c r="EH34" s="9">
        <f t="shared" si="191"/>
        <v>-0.9938386710107292</v>
      </c>
      <c r="EI34" s="5">
        <f t="shared" si="192"/>
        <v>-4.3270337167629789</v>
      </c>
      <c r="EJ34" s="6">
        <f t="shared" si="193"/>
        <v>-0.53599046616345625</v>
      </c>
      <c r="EK34" s="236" t="b">
        <f t="shared" si="194"/>
        <v>0</v>
      </c>
      <c r="EL34" s="238" t="b">
        <f t="shared" si="195"/>
        <v>1</v>
      </c>
      <c r="EM34" s="4">
        <f t="shared" si="196"/>
        <v>-0.9938386710107292</v>
      </c>
      <c r="EN34" s="5">
        <f t="shared" si="197"/>
        <v>-4.3270337167629789</v>
      </c>
      <c r="EO34" s="10">
        <f t="shared" si="198"/>
        <v>-0.53599046616345625</v>
      </c>
      <c r="EP34" s="9">
        <f t="shared" si="199"/>
        <v>257.06458015985555</v>
      </c>
      <c r="EQ34" s="5">
        <f t="shared" si="200"/>
        <v>4.4397000000000011</v>
      </c>
      <c r="ER34" s="7">
        <f t="shared" si="201"/>
        <v>-0.53599046616345625</v>
      </c>
      <c r="ES34" s="21">
        <f t="shared" si="124"/>
        <v>-0.82750328904808856</v>
      </c>
      <c r="ET34" s="5">
        <f t="shared" si="35"/>
        <v>0.51308489342289043</v>
      </c>
      <c r="EU34" s="10">
        <f t="shared" si="36"/>
        <v>-0.22799604986888905</v>
      </c>
      <c r="EV34" s="174">
        <f t="shared" si="252"/>
        <v>192.93541984014445</v>
      </c>
      <c r="EW34" s="9">
        <f t="shared" si="125"/>
        <v>0.92135915513174893</v>
      </c>
      <c r="EX34" s="5">
        <f t="shared" si="37"/>
        <v>-0.31482552072392878</v>
      </c>
      <c r="EY34" s="6">
        <f t="shared" si="202"/>
        <v>-0.22799604986888905</v>
      </c>
      <c r="EZ34" s="51">
        <f t="shared" si="203"/>
        <v>0.3902438111586406</v>
      </c>
      <c r="FA34" s="266">
        <f t="shared" si="126"/>
        <v>-0.97460038990171605</v>
      </c>
      <c r="FB34" s="267">
        <f t="shared" si="127"/>
        <v>0.22384747142461794</v>
      </c>
      <c r="FC34" s="269">
        <f t="shared" si="38"/>
        <v>-6.810986729392802E-3</v>
      </c>
      <c r="FD34" s="4">
        <f t="shared" si="128"/>
        <v>0.99997680496088115</v>
      </c>
      <c r="FE34" s="5">
        <f t="shared" si="39"/>
        <v>8.3266726846886741E-17</v>
      </c>
      <c r="FF34" s="7">
        <f t="shared" si="204"/>
        <v>-6.810986729392802E-3</v>
      </c>
      <c r="FG34" s="173">
        <f t="shared" si="205"/>
        <v>-7.8617649829132219E-2</v>
      </c>
      <c r="FH34" s="5">
        <f t="shared" si="40"/>
        <v>-0.31482552072392889</v>
      </c>
      <c r="FI34" s="10">
        <f t="shared" si="41"/>
        <v>-0.22118506313949624</v>
      </c>
      <c r="FJ34" s="279">
        <f t="shared" si="206"/>
        <v>22.647595938638986</v>
      </c>
      <c r="FK34" s="4">
        <f t="shared" si="42"/>
        <v>0.97366205700139263</v>
      </c>
      <c r="FL34" s="5">
        <f t="shared" si="207"/>
        <v>0.99997680496088115</v>
      </c>
      <c r="FM34" s="8">
        <f t="shared" si="208"/>
        <v>0.32449321004259707</v>
      </c>
      <c r="FN34" s="9">
        <f t="shared" si="209"/>
        <v>18.865136124499365</v>
      </c>
      <c r="FO34" s="10">
        <f t="shared" si="43"/>
        <v>1</v>
      </c>
      <c r="FP34" s="277">
        <f t="shared" si="44"/>
        <v>18.865136124499365</v>
      </c>
      <c r="FQ34" s="173">
        <f t="shared" si="239"/>
        <v>0.32334167533805663</v>
      </c>
      <c r="FR34" s="10">
        <f t="shared" si="210"/>
        <v>0.94628228398801739</v>
      </c>
      <c r="FS34" s="9">
        <f t="shared" si="211"/>
        <v>0.25467515240472371</v>
      </c>
      <c r="FT34" s="6">
        <f t="shared" si="212"/>
        <v>0.74532484759527629</v>
      </c>
      <c r="FU34" s="4">
        <f t="shared" si="213"/>
        <v>0.9491495622402758</v>
      </c>
      <c r="FV34" s="5">
        <f t="shared" si="214"/>
        <v>1</v>
      </c>
      <c r="FW34" s="8">
        <f t="shared" si="240"/>
        <v>0.23474148977264114</v>
      </c>
      <c r="FX34" s="9">
        <f t="shared" si="241"/>
        <v>13.508743081801834</v>
      </c>
      <c r="FY34" s="10">
        <f t="shared" si="45"/>
        <v>1</v>
      </c>
      <c r="FZ34" s="277">
        <f t="shared" si="242"/>
        <v>13.508743081801834</v>
      </c>
      <c r="GA34" s="177">
        <f t="shared" si="215"/>
        <v>12.821231152179497</v>
      </c>
      <c r="GB34" s="4">
        <f t="shared" si="216"/>
        <v>-0.31439619713697498</v>
      </c>
      <c r="GC34" s="5">
        <f t="shared" si="217"/>
        <v>0.92010270928693816</v>
      </c>
      <c r="GD34" s="10">
        <f t="shared" si="218"/>
        <v>-0.23359374047402154</v>
      </c>
      <c r="GE34" s="311">
        <f t="shared" si="219"/>
        <v>1.4680926468979347</v>
      </c>
      <c r="GF34" s="341">
        <f t="shared" si="243"/>
        <v>0.68115592167360151</v>
      </c>
      <c r="GG34" s="285">
        <f t="shared" si="46"/>
        <v>0.21415283143151151</v>
      </c>
      <c r="GH34" s="286">
        <f t="shared" si="47"/>
        <v>0.62673340897872221</v>
      </c>
      <c r="GI34" s="281">
        <f t="shared" si="48"/>
        <v>0.15911375958976623</v>
      </c>
      <c r="GJ34" s="167">
        <f t="shared" si="220"/>
        <v>4.4397000000000002</v>
      </c>
      <c r="GK34" s="174">
        <f t="shared" si="49"/>
        <v>2.3246754049607246</v>
      </c>
      <c r="GL34" s="174">
        <f t="shared" si="221"/>
        <v>1.89E-2</v>
      </c>
      <c r="GM34" s="177">
        <f t="shared" si="244"/>
        <v>0.52723638184509236</v>
      </c>
      <c r="GN34" s="280">
        <f t="shared" si="222"/>
        <v>3.6237686352088377E-2</v>
      </c>
      <c r="GO34" s="4">
        <f t="shared" si="223"/>
        <v>18.865136124499365</v>
      </c>
      <c r="GP34" s="8">
        <f t="shared" si="245"/>
        <v>13.508743081801834</v>
      </c>
      <c r="GQ34" s="177">
        <f t="shared" si="224"/>
        <v>22.647595938638986</v>
      </c>
      <c r="GR34" s="371">
        <f t="shared" si="246"/>
        <v>2103.112640445629</v>
      </c>
      <c r="GS34" s="342">
        <f t="shared" si="51"/>
        <v>450.38752677083386</v>
      </c>
      <c r="GT34" s="343">
        <f t="shared" si="52"/>
        <v>193.74211376338073</v>
      </c>
      <c r="GU34" s="344">
        <f t="shared" si="53"/>
        <v>1318.0909546127309</v>
      </c>
      <c r="GV34" s="343">
        <f t="shared" si="253"/>
        <v>567</v>
      </c>
      <c r="GW34" s="345">
        <f t="shared" si="129"/>
        <v>30000</v>
      </c>
      <c r="GX34" s="346">
        <f t="shared" si="54"/>
        <v>209.775825</v>
      </c>
      <c r="GY34" s="344">
        <f t="shared" si="55"/>
        <v>334.63415906206427</v>
      </c>
      <c r="GZ34" s="345">
        <f t="shared" si="56"/>
        <v>143.94876736252041</v>
      </c>
      <c r="HA34" s="342">
        <f t="shared" si="57"/>
        <v>450.38752677083386</v>
      </c>
      <c r="HB34" s="5">
        <f t="shared" si="225"/>
        <v>192.93541984014445</v>
      </c>
      <c r="HC34" s="343">
        <f t="shared" si="226"/>
        <v>-438.95804084665326</v>
      </c>
      <c r="HD34" s="363">
        <f t="shared" si="227"/>
        <v>-100.82044756306384</v>
      </c>
      <c r="HE34" s="344">
        <f t="shared" si="58"/>
        <v>567</v>
      </c>
      <c r="HF34" s="5">
        <f t="shared" si="59"/>
        <v>282.93541984014445</v>
      </c>
      <c r="HG34" s="343">
        <f t="shared" si="228"/>
        <v>126.92446031558082</v>
      </c>
      <c r="HH34" s="349">
        <f t="shared" si="229"/>
        <v>-552.61123891357704</v>
      </c>
      <c r="HI34" s="317">
        <f t="shared" si="60"/>
        <v>4.1189999999999998</v>
      </c>
      <c r="HJ34" s="336"/>
      <c r="HK34" s="310">
        <f t="shared" si="130"/>
        <v>26</v>
      </c>
      <c r="HL34" s="348">
        <f t="shared" si="61"/>
        <v>4.1189999999999998</v>
      </c>
      <c r="HM34" s="934">
        <f t="shared" si="62"/>
        <v>18.865136124499365</v>
      </c>
      <c r="HN34" s="935">
        <f t="shared" si="63"/>
        <v>24.017758820569263</v>
      </c>
      <c r="HO34" s="936"/>
      <c r="HP34" s="937"/>
      <c r="HQ34" s="935">
        <f t="shared" si="64"/>
        <v>22.647595938638986</v>
      </c>
      <c r="HR34" s="938">
        <f t="shared" si="65"/>
        <v>13.508743081801834</v>
      </c>
      <c r="HS34" s="939">
        <f t="shared" si="249"/>
        <v>4.4397000000000002</v>
      </c>
      <c r="HT34" s="940">
        <f t="shared" si="66"/>
        <v>1.89E-2</v>
      </c>
      <c r="HU34" s="941">
        <f t="shared" si="67"/>
        <v>0.52723638184509236</v>
      </c>
      <c r="HV34" s="942">
        <f t="shared" si="68"/>
        <v>3.6237686352088377E-2</v>
      </c>
      <c r="HW34" s="943">
        <f t="shared" si="69"/>
        <v>30000</v>
      </c>
      <c r="HX34" s="950">
        <f t="shared" si="70"/>
        <v>209.775825</v>
      </c>
      <c r="HY34" s="955">
        <f t="shared" si="71"/>
        <v>450.38752677083386</v>
      </c>
      <c r="HZ34" s="956">
        <f t="shared" si="72"/>
        <v>1318.0909546127309</v>
      </c>
      <c r="IA34" s="957">
        <f t="shared" si="73"/>
        <v>334.63415906206427</v>
      </c>
      <c r="IB34" s="958">
        <f t="shared" si="74"/>
        <v>2103.112640445629</v>
      </c>
      <c r="IC34" s="841">
        <f t="shared" si="75"/>
        <v>193.74211376338073</v>
      </c>
      <c r="ID34" s="351">
        <f t="shared" si="76"/>
        <v>567</v>
      </c>
      <c r="IE34" s="843">
        <f t="shared" si="77"/>
        <v>143.94876736252041</v>
      </c>
      <c r="IF34" s="844"/>
      <c r="IG34" s="789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7">
        <f t="shared" si="230"/>
        <v>4.1189999999999998</v>
      </c>
      <c r="IJ34" s="967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8"/>
        <v>1613</v>
      </c>
      <c r="IM34" s="482" t="str">
        <f t="shared" si="231"/>
        <v/>
      </c>
      <c r="IN34" s="670" t="str">
        <f t="shared" si="80"/>
        <v/>
      </c>
      <c r="IO34" s="702"/>
      <c r="IP34" s="5" t="str">
        <f t="shared" si="81"/>
        <v/>
      </c>
      <c r="IQ34" s="714"/>
      <c r="IR34" s="9" t="str">
        <f t="shared" si="131"/>
        <v/>
      </c>
      <c r="IS34" s="5" t="str">
        <f t="shared" si="82"/>
        <v/>
      </c>
      <c r="IT34" s="5" t="str">
        <f t="shared" si="83"/>
        <v/>
      </c>
      <c r="IU34" s="5" t="str">
        <f t="shared" si="84"/>
        <v/>
      </c>
      <c r="IV34" s="670" t="str">
        <f t="shared" si="85"/>
        <v/>
      </c>
      <c r="IW34" s="9" t="str">
        <f t="shared" si="86"/>
        <v/>
      </c>
      <c r="IX34" s="5" t="str">
        <f t="shared" si="87"/>
        <v/>
      </c>
      <c r="IY34" s="5" t="str">
        <f t="shared" si="88"/>
        <v/>
      </c>
      <c r="IZ34" s="5" t="str">
        <f t="shared" si="89"/>
        <v/>
      </c>
      <c r="JA34" s="705" t="str">
        <f t="shared" si="90"/>
        <v/>
      </c>
      <c r="JI34" s="419"/>
    </row>
    <row r="35" spans="1:269" ht="15" customHeight="1" x14ac:dyDescent="0.25">
      <c r="A35" s="75">
        <f t="shared" si="1"/>
        <v>0</v>
      </c>
      <c r="B35" s="578">
        <f t="shared" ref="B35:D35" si="296">IFERROR(O190+($A35*-E35),"")</f>
        <v>-0.94895812862362616</v>
      </c>
      <c r="C35" s="572">
        <f t="shared" si="296"/>
        <v>-4.499227627931905</v>
      </c>
      <c r="D35" s="576">
        <f t="shared" si="296"/>
        <v>-1.3814041663149663</v>
      </c>
      <c r="E35" s="580">
        <f t="shared" ref="E35:K35" si="297">R190</f>
        <v>0.78362758031237012</v>
      </c>
      <c r="F35" s="572">
        <f t="shared" si="297"/>
        <v>-0.60974085933301947</v>
      </c>
      <c r="G35" s="579">
        <f t="shared" si="297"/>
        <v>0.1189281288577729</v>
      </c>
      <c r="H35" s="580">
        <f t="shared" si="297"/>
        <v>0.3125</v>
      </c>
      <c r="I35" s="572">
        <f t="shared" si="297"/>
        <v>0.52</v>
      </c>
      <c r="J35" s="483">
        <f t="shared" si="92"/>
        <v>4.1219999999999999</v>
      </c>
      <c r="K35" s="805">
        <f t="shared" si="297"/>
        <v>1613</v>
      </c>
      <c r="L35" s="309"/>
      <c r="M35" s="164">
        <f t="shared" si="4"/>
        <v>4.1219999999999999</v>
      </c>
      <c r="N35" s="575">
        <f t="shared" si="5"/>
        <v>-0.94895812862362616</v>
      </c>
      <c r="O35" s="572">
        <f t="shared" si="6"/>
        <v>-4.499227627931905</v>
      </c>
      <c r="P35" s="576">
        <f t="shared" si="7"/>
        <v>-1.3814041663149663</v>
      </c>
      <c r="Q35" s="528">
        <f t="shared" si="134"/>
        <v>258.08997573081024</v>
      </c>
      <c r="R35" s="572">
        <f>IF(M35="","",SQRT(N35^2+O35^2))</f>
        <v>4.5982138682130271</v>
      </c>
      <c r="S35" s="577">
        <f>IF(M35="","",P35)</f>
        <v>-1.3814041663149663</v>
      </c>
      <c r="T35" s="578">
        <f>IF(M35="","",X35*COS(RADIANS(W35)))</f>
        <v>-4.5047796078277003</v>
      </c>
      <c r="U35" s="572">
        <f>IF(M35="","",X35*SIN(RADIANS(W35)))</f>
        <v>0.92224262682133606</v>
      </c>
      <c r="V35" s="579">
        <f>IF(M35="","",Y35)</f>
        <v>-1.3814041663149663</v>
      </c>
      <c r="W35" s="528">
        <f t="shared" si="256"/>
        <v>168.42997568172032</v>
      </c>
      <c r="X35" s="572">
        <f>IF(M35="","",R35)</f>
        <v>4.5982138682130271</v>
      </c>
      <c r="Y35" s="573">
        <f t="shared" si="259"/>
        <v>-1.3814041663149663</v>
      </c>
      <c r="Z35" s="575">
        <f t="shared" si="10"/>
        <v>-0.78362758031237012</v>
      </c>
      <c r="AA35" s="572">
        <f t="shared" si="11"/>
        <v>0.60974085933301947</v>
      </c>
      <c r="AB35" s="572">
        <f t="shared" si="12"/>
        <v>-0.1189281288577729</v>
      </c>
      <c r="AC35" s="579">
        <f>IF(M35="","",SQRT(Z35^2+AA35^2+AB35^2))</f>
        <v>1</v>
      </c>
      <c r="AD35" s="580">
        <f>IF(M35="","",Z35*(1/SQRT(Z35^2+AA35^2+AB35^2)))</f>
        <v>-0.78362758031237012</v>
      </c>
      <c r="AE35" s="572">
        <f>IF(M35="","",AA35*(1/SQRT(Z35^2+AA35^2+AB35^2)))</f>
        <v>0.60974085933301947</v>
      </c>
      <c r="AF35" s="576">
        <f>IF(M35="","",AB35*(1/SQRT(Z35^2+AA35^2+AB35^2)))</f>
        <v>-0.1189281288577729</v>
      </c>
      <c r="AG35" s="545">
        <f>IF(M35="","",DEGREES(ATAN2(-AF35,AE35)))</f>
        <v>78.963196450683611</v>
      </c>
      <c r="AH35" s="546">
        <f>IF(M35="","",DEGREES(ACOS(AD35)))</f>
        <v>141.59392379323052</v>
      </c>
      <c r="AI35" s="528">
        <f>IF(M35="","",DEGREES(-ACOS(-AF35)))</f>
        <v>-83.169754101452028</v>
      </c>
      <c r="AJ35" s="529">
        <f>IF(M35="","",DEGREES(ATAN2(-AE35,AD35)))</f>
        <v>-127.88649597342608</v>
      </c>
      <c r="AK35" s="578">
        <f>IF(M35="","",(COS(RADIANS((90-$Q$8)-W35))*AD35)+(-SIN(RADIANS((90-$Q$8)-W35))*AE35))</f>
        <v>0.89259384661112051</v>
      </c>
      <c r="AL35" s="572">
        <f>IF(M35="","",(SIN(RADIANS((90-$Q$8)-W35))*AD35)+(COS(RADIANS((90-$Q$8)-W35))*AE35))</f>
        <v>-0.43489346414766072</v>
      </c>
      <c r="AM35" s="577">
        <f>IF(M35="","",AF35)</f>
        <v>-0.1189281288577729</v>
      </c>
      <c r="AN35" s="524">
        <f>IF(M35="","",DEGREES(ATAN2(-AM35,AL35)))</f>
        <v>-74.705547811601633</v>
      </c>
      <c r="AO35" s="525">
        <f t="shared" si="108"/>
        <v>26.798979794526396</v>
      </c>
      <c r="AP35" s="528">
        <f>IF(M35="","",DEGREES(ATAN2(AK35,AL35)))</f>
        <v>-25.976471704236332</v>
      </c>
      <c r="AQ35" s="529">
        <f t="shared" si="13"/>
        <v>0.37679136146340503</v>
      </c>
      <c r="AS35" s="899">
        <f t="shared" si="137"/>
        <v>-191.57002431827968</v>
      </c>
      <c r="AT35" s="895">
        <f t="shared" si="14"/>
        <v>-1.2801184224019271</v>
      </c>
      <c r="AU35" s="418"/>
      <c r="AV35" s="164">
        <f t="shared" si="15"/>
        <v>4.1219999999999999</v>
      </c>
      <c r="AW35" s="828">
        <f>IFERROR(INDEX(MassProp!C$9:C$150,MATCH($M35,MassProp!$B$9:$B$150,0)),"")</f>
        <v>4.8395999999999999</v>
      </c>
      <c r="AX35" s="829">
        <f>IFERROR(INDEX(MassProp!D$9:D$150,MATCH($M35,MassProp!$B$9:$B$150,0)),"")</f>
        <v>-1.0056</v>
      </c>
      <c r="AY35" s="830">
        <f>IFERROR(INDEX(MassProp!E$9:E$150,MATCH($M35,MassProp!$B$9:$B$150,0)),"")</f>
        <v>7.7999999999999996E-3</v>
      </c>
      <c r="AZ35" s="297">
        <f t="shared" si="138"/>
        <v>0.23718783814908956</v>
      </c>
      <c r="BA35" s="296">
        <f t="shared" si="16"/>
        <v>1.6302248443662889E-2</v>
      </c>
      <c r="BB35" s="190">
        <f t="shared" si="139"/>
        <v>8.4518422401927085E-2</v>
      </c>
      <c r="BC35" s="9"/>
      <c r="BD35" s="5">
        <f t="shared" si="235"/>
        <v>4.8395999999999999</v>
      </c>
      <c r="BE35" s="6">
        <f t="shared" si="17"/>
        <v>-1.2968857439130392</v>
      </c>
      <c r="BF35" s="4">
        <f t="shared" si="18"/>
        <v>-0.94895812862362616</v>
      </c>
      <c r="BG35" s="5">
        <f t="shared" si="19"/>
        <v>-4.499227627931905</v>
      </c>
      <c r="BH35" s="10">
        <f t="shared" si="20"/>
        <v>-1.3814041663149663</v>
      </c>
      <c r="BI35" s="9">
        <f t="shared" si="140"/>
        <v>-0.94895812862362616</v>
      </c>
      <c r="BJ35" s="5">
        <f t="shared" si="21"/>
        <v>-4.30778813050323</v>
      </c>
      <c r="BK35" s="8">
        <f t="shared" si="22"/>
        <v>-0.39989975021473478</v>
      </c>
      <c r="BL35" s="173">
        <f t="shared" si="23"/>
        <v>-0.32772724129285313</v>
      </c>
      <c r="BM35" s="5">
        <f t="shared" si="24"/>
        <v>-3.7300936972773746</v>
      </c>
      <c r="BN35" s="6">
        <f t="shared" si="25"/>
        <v>-1.5314214364612149</v>
      </c>
      <c r="BO35" s="4">
        <f t="shared" si="141"/>
        <v>-0.78362758031237012</v>
      </c>
      <c r="BP35" s="5">
        <f t="shared" si="142"/>
        <v>0.60974085933301914</v>
      </c>
      <c r="BQ35" s="5">
        <f t="shared" si="143"/>
        <v>-0.11892812885777282</v>
      </c>
      <c r="BR35" s="6">
        <f t="shared" si="144"/>
        <v>1.8354453453428028</v>
      </c>
      <c r="BS35" s="4">
        <f t="shared" si="110"/>
        <v>0</v>
      </c>
      <c r="BT35" s="5">
        <f t="shared" si="110"/>
        <v>0</v>
      </c>
      <c r="BU35" s="10">
        <f t="shared" si="111"/>
        <v>-1.2968857439130392</v>
      </c>
      <c r="BV35" s="9">
        <f t="shared" si="112"/>
        <v>0</v>
      </c>
      <c r="BW35" s="5">
        <f t="shared" si="113"/>
        <v>1</v>
      </c>
      <c r="BX35" s="8">
        <f t="shared" si="114"/>
        <v>-1.2968857439130392</v>
      </c>
      <c r="BY35" s="173">
        <f t="shared" si="115"/>
        <v>1</v>
      </c>
      <c r="BZ35" s="5">
        <f t="shared" si="116"/>
        <v>0</v>
      </c>
      <c r="CA35" s="6">
        <f t="shared" si="117"/>
        <v>-1.2968857439130392</v>
      </c>
      <c r="CB35" s="4">
        <f t="shared" si="145"/>
        <v>0</v>
      </c>
      <c r="CC35" s="5">
        <f t="shared" si="146"/>
        <v>0</v>
      </c>
      <c r="CD35" s="5">
        <f t="shared" si="147"/>
        <v>-1</v>
      </c>
      <c r="CE35" s="6">
        <f t="shared" si="148"/>
        <v>-1.2968857439130392</v>
      </c>
      <c r="CF35" s="4">
        <f t="shared" si="149"/>
        <v>-0.60974085933301914</v>
      </c>
      <c r="CG35" s="5">
        <f t="shared" si="150"/>
        <v>-0.78362758031237012</v>
      </c>
      <c r="CH35" s="5">
        <f t="shared" si="151"/>
        <v>0</v>
      </c>
      <c r="CI35" s="4">
        <f t="shared" si="118"/>
        <v>0</v>
      </c>
      <c r="CJ35" s="5">
        <f t="shared" si="119"/>
        <v>-3.26315927455668</v>
      </c>
      <c r="CK35" s="8">
        <f t="shared" si="120"/>
        <v>-1.2968857439130392</v>
      </c>
      <c r="CL35" s="173">
        <f t="shared" si="121"/>
        <v>-0.60974085933301914</v>
      </c>
      <c r="CM35" s="5">
        <f t="shared" si="122"/>
        <v>-4.0467868548690502</v>
      </c>
      <c r="CN35" s="6">
        <f t="shared" si="123"/>
        <v>-1.2968857439130392</v>
      </c>
      <c r="CO35" s="167">
        <f t="shared" si="26"/>
        <v>0.3125</v>
      </c>
      <c r="CP35" s="4">
        <f t="shared" si="236"/>
        <v>0.98585610016638892</v>
      </c>
      <c r="CQ35" s="5">
        <f t="shared" si="237"/>
        <v>-3.0944715953482937</v>
      </c>
      <c r="CR35" s="5">
        <f t="shared" si="152"/>
        <v>2.3378736178218986</v>
      </c>
      <c r="CS35" s="8">
        <f t="shared" si="153"/>
        <v>0.35652658422627859</v>
      </c>
      <c r="CT35" s="9">
        <f t="shared" si="154"/>
        <v>1.8722661785303452</v>
      </c>
      <c r="CU35" s="6">
        <f t="shared" si="155"/>
        <v>1.2666012432222016</v>
      </c>
      <c r="CV35" s="4">
        <f t="shared" si="238"/>
        <v>-1.1415971885972405</v>
      </c>
      <c r="CW35" s="5">
        <f t="shared" si="156"/>
        <v>-4.7303186897391027</v>
      </c>
      <c r="CX35" s="8">
        <f t="shared" si="157"/>
        <v>-1.2968857439130392</v>
      </c>
      <c r="CY35" s="9">
        <f t="shared" si="158"/>
        <v>-0.77229853047457553</v>
      </c>
      <c r="CZ35" s="5">
        <f t="shared" si="159"/>
        <v>-4.2557029420035342</v>
      </c>
      <c r="DA35" s="6">
        <f t="shared" si="160"/>
        <v>-1.2968857439130392</v>
      </c>
      <c r="DB35" s="4">
        <f t="shared" si="161"/>
        <v>0</v>
      </c>
      <c r="DC35" s="5">
        <f t="shared" si="161"/>
        <v>0</v>
      </c>
      <c r="DD35" s="10">
        <f t="shared" si="162"/>
        <v>-10</v>
      </c>
      <c r="DE35" s="9">
        <f t="shared" si="163"/>
        <v>0</v>
      </c>
      <c r="DF35" s="5">
        <f t="shared" si="163"/>
        <v>0</v>
      </c>
      <c r="DG35" s="10">
        <f t="shared" si="164"/>
        <v>10</v>
      </c>
      <c r="DH35" s="70">
        <f t="shared" si="165"/>
        <v>4.8395999999999999</v>
      </c>
      <c r="DI35" s="4">
        <f t="shared" si="166"/>
        <v>0</v>
      </c>
      <c r="DJ35" s="5">
        <f t="shared" si="167"/>
        <v>0</v>
      </c>
      <c r="DK35" s="10">
        <f t="shared" si="168"/>
        <v>20</v>
      </c>
      <c r="DL35" s="9">
        <f t="shared" si="169"/>
        <v>-1.1415971885972405</v>
      </c>
      <c r="DM35" s="173">
        <f t="shared" si="170"/>
        <v>-4.7303186897391027</v>
      </c>
      <c r="DN35" s="178">
        <f t="shared" si="171"/>
        <v>8.7031142560869608</v>
      </c>
      <c r="DO35" s="9">
        <f t="shared" si="172"/>
        <v>0.36929865812266494</v>
      </c>
      <c r="DP35" s="173">
        <f t="shared" si="173"/>
        <v>0.47461574773556858</v>
      </c>
      <c r="DQ35" s="11">
        <f t="shared" si="174"/>
        <v>0</v>
      </c>
      <c r="DR35" s="173">
        <f t="shared" si="175"/>
        <v>174.06228512173922</v>
      </c>
      <c r="DS35" s="5">
        <f t="shared" si="176"/>
        <v>0</v>
      </c>
      <c r="DT35" s="5">
        <f t="shared" si="177"/>
        <v>400</v>
      </c>
      <c r="DU35" s="5">
        <f t="shared" si="178"/>
        <v>0.36164160688979385</v>
      </c>
      <c r="DV35" s="5">
        <f t="shared" si="179"/>
        <v>-2.6666740518236267</v>
      </c>
      <c r="DW35" s="5">
        <f t="shared" si="180"/>
        <v>99.423356802012279</v>
      </c>
      <c r="DX35" s="167">
        <f t="shared" si="181"/>
        <v>76.001628642012278</v>
      </c>
      <c r="DY35" s="9">
        <f t="shared" si="182"/>
        <v>144.65664275591755</v>
      </c>
      <c r="DZ35" s="5">
        <f t="shared" si="183"/>
        <v>-1066.6696207294508</v>
      </c>
      <c r="EA35" s="10">
        <f t="shared" si="184"/>
        <v>102.9723550032686</v>
      </c>
      <c r="EB35" s="6">
        <f t="shared" si="185"/>
        <v>1122888.444615667</v>
      </c>
      <c r="EC35" s="173">
        <f t="shared" si="186"/>
        <v>14.699179296104854</v>
      </c>
      <c r="ED35" s="5">
        <f t="shared" si="187"/>
        <v>4.8427179586234798E-2</v>
      </c>
      <c r="EE35" s="4">
        <f t="shared" si="188"/>
        <v>4.2867900009587405</v>
      </c>
      <c r="EF35" s="5">
        <f t="shared" si="189"/>
        <v>2.2461432829808912</v>
      </c>
      <c r="EG35" s="10">
        <f t="shared" si="190"/>
        <v>-1.2968857439130392</v>
      </c>
      <c r="EH35" s="9">
        <f t="shared" si="191"/>
        <v>-1.1237130961593786</v>
      </c>
      <c r="EI35" s="5">
        <f t="shared" si="192"/>
        <v>-4.7073343876890572</v>
      </c>
      <c r="EJ35" s="6">
        <f t="shared" si="193"/>
        <v>-1.2968857439130392</v>
      </c>
      <c r="EK35" s="236" t="b">
        <f t="shared" si="194"/>
        <v>0</v>
      </c>
      <c r="EL35" s="238" t="b">
        <f t="shared" si="195"/>
        <v>1</v>
      </c>
      <c r="EM35" s="4">
        <f t="shared" si="196"/>
        <v>-1.1237130961593786</v>
      </c>
      <c r="EN35" s="5">
        <f t="shared" si="197"/>
        <v>-4.7073343876890572</v>
      </c>
      <c r="EO35" s="10">
        <f t="shared" si="198"/>
        <v>-1.2968857439130392</v>
      </c>
      <c r="EP35" s="9">
        <f t="shared" si="199"/>
        <v>256.57388187287034</v>
      </c>
      <c r="EQ35" s="5">
        <f t="shared" si="200"/>
        <v>4.8396000000000008</v>
      </c>
      <c r="ER35" s="7">
        <f t="shared" si="201"/>
        <v>-1.2968857439130392</v>
      </c>
      <c r="ES35" s="21">
        <f t="shared" si="124"/>
        <v>-0.78362758031237012</v>
      </c>
      <c r="ET35" s="5">
        <f t="shared" si="35"/>
        <v>0.60974085933301947</v>
      </c>
      <c r="EU35" s="10">
        <f t="shared" si="36"/>
        <v>-0.1189281288577729</v>
      </c>
      <c r="EV35" s="174">
        <f t="shared" si="252"/>
        <v>193.42611812712966</v>
      </c>
      <c r="EW35" s="9">
        <f t="shared" si="125"/>
        <v>0.90378767766798385</v>
      </c>
      <c r="EX35" s="5">
        <f t="shared" si="37"/>
        <v>-0.41112520460548463</v>
      </c>
      <c r="EY35" s="6">
        <f t="shared" si="202"/>
        <v>-0.1189281288577729</v>
      </c>
      <c r="EZ35" s="51">
        <f t="shared" si="203"/>
        <v>0.35799853149844985</v>
      </c>
      <c r="FA35" s="266">
        <f t="shared" si="126"/>
        <v>-0.97265114870062919</v>
      </c>
      <c r="FB35" s="267">
        <f t="shared" si="127"/>
        <v>0.2321867842335143</v>
      </c>
      <c r="FC35" s="269">
        <f t="shared" si="38"/>
        <v>-6.2482124360375363E-3</v>
      </c>
      <c r="FD35" s="4">
        <f t="shared" si="128"/>
        <v>0.99998047973015647</v>
      </c>
      <c r="FE35" s="5">
        <f t="shared" si="39"/>
        <v>-3.3306690738754696E-16</v>
      </c>
      <c r="FF35" s="7">
        <f t="shared" si="204"/>
        <v>-6.2482124360375363E-3</v>
      </c>
      <c r="FG35" s="173">
        <f t="shared" si="205"/>
        <v>-9.6192802062172622E-2</v>
      </c>
      <c r="FH35" s="5">
        <f t="shared" si="40"/>
        <v>-0.4111252046054843</v>
      </c>
      <c r="FI35" s="10">
        <f t="shared" si="41"/>
        <v>-0.11267991642173536</v>
      </c>
      <c r="FJ35" s="279">
        <f t="shared" si="206"/>
        <v>25.242211366150375</v>
      </c>
      <c r="FK35" s="4">
        <f t="shared" si="42"/>
        <v>0.99290286542359674</v>
      </c>
      <c r="FL35" s="5">
        <f t="shared" si="207"/>
        <v>0.99998047973015647</v>
      </c>
      <c r="FM35" s="8">
        <f t="shared" si="208"/>
        <v>0.42222859807274266</v>
      </c>
      <c r="FN35" s="9">
        <f t="shared" si="209"/>
        <v>24.460377846296399</v>
      </c>
      <c r="FO35" s="10">
        <f t="shared" si="43"/>
        <v>1</v>
      </c>
      <c r="FP35" s="277">
        <f t="shared" si="44"/>
        <v>24.460377846296399</v>
      </c>
      <c r="FQ35" s="173">
        <f t="shared" si="239"/>
        <v>0.41406387162563796</v>
      </c>
      <c r="FR35" s="10">
        <f t="shared" si="210"/>
        <v>0.91024782900833512</v>
      </c>
      <c r="FS35" s="9">
        <f t="shared" si="211"/>
        <v>0.31266345485539221</v>
      </c>
      <c r="FT35" s="6">
        <f t="shared" si="212"/>
        <v>0.68733654514460774</v>
      </c>
      <c r="FU35" s="4">
        <f t="shared" si="213"/>
        <v>0.91157888640429718</v>
      </c>
      <c r="FV35" s="5">
        <f t="shared" si="214"/>
        <v>0.99999999999999989</v>
      </c>
      <c r="FW35" s="8">
        <f t="shared" si="240"/>
        <v>0.14815471215382112</v>
      </c>
      <c r="FX35" s="9">
        <f t="shared" si="241"/>
        <v>7.1384011088580221</v>
      </c>
      <c r="FY35" s="10">
        <f t="shared" si="45"/>
        <v>1</v>
      </c>
      <c r="FZ35" s="277">
        <f t="shared" si="242"/>
        <v>7.1384011088580221</v>
      </c>
      <c r="GA35" s="177">
        <f t="shared" si="215"/>
        <v>6.5069412086410923</v>
      </c>
      <c r="GB35" s="4">
        <f t="shared" si="216"/>
        <v>-0.41085441043255011</v>
      </c>
      <c r="GC35" s="5">
        <f t="shared" si="217"/>
        <v>0.90319238349983166</v>
      </c>
      <c r="GD35" s="10">
        <f t="shared" si="218"/>
        <v>-0.12426653538267957</v>
      </c>
      <c r="GE35" s="311">
        <f t="shared" si="219"/>
        <v>1.4383133293150614</v>
      </c>
      <c r="GF35" s="341">
        <f t="shared" si="243"/>
        <v>0.69525880044246657</v>
      </c>
      <c r="GG35" s="285">
        <f t="shared" si="46"/>
        <v>0.28565014455383164</v>
      </c>
      <c r="GH35" s="286">
        <f t="shared" si="47"/>
        <v>0.62795245312086523</v>
      </c>
      <c r="GI35" s="281">
        <f t="shared" si="48"/>
        <v>8.639740232530313E-2</v>
      </c>
      <c r="GJ35" s="167">
        <f t="shared" si="220"/>
        <v>4.8395999999999999</v>
      </c>
      <c r="GK35" s="174">
        <f t="shared" si="49"/>
        <v>2.5340580998834357</v>
      </c>
      <c r="GL35" s="174">
        <f t="shared" si="221"/>
        <v>7.7999999999999996E-3</v>
      </c>
      <c r="GM35" s="177">
        <f t="shared" si="244"/>
        <v>0.23718783814908956</v>
      </c>
      <c r="GN35" s="280">
        <f t="shared" si="222"/>
        <v>1.6302248443662889E-2</v>
      </c>
      <c r="GO35" s="4">
        <f t="shared" si="223"/>
        <v>24.460377846296399</v>
      </c>
      <c r="GP35" s="8">
        <f t="shared" si="245"/>
        <v>7.1384011088580221</v>
      </c>
      <c r="GQ35" s="177">
        <f t="shared" si="224"/>
        <v>25.242211366150375</v>
      </c>
      <c r="GR35" s="371">
        <f t="shared" si="246"/>
        <v>944.29059465524858</v>
      </c>
      <c r="GS35" s="342">
        <f t="shared" si="51"/>
        <v>269.73674486409539</v>
      </c>
      <c r="GT35" s="343">
        <f t="shared" si="52"/>
        <v>106.44457791891315</v>
      </c>
      <c r="GU35" s="344">
        <f t="shared" si="53"/>
        <v>592.96959537272392</v>
      </c>
      <c r="GV35" s="343">
        <f t="shared" si="253"/>
        <v>234</v>
      </c>
      <c r="GW35" s="345">
        <f t="shared" si="129"/>
        <v>30000</v>
      </c>
      <c r="GX35" s="346">
        <f t="shared" si="54"/>
        <v>94.372199999999992</v>
      </c>
      <c r="GY35" s="344">
        <f t="shared" si="55"/>
        <v>81.584254418429254</v>
      </c>
      <c r="GZ35" s="345">
        <f t="shared" si="56"/>
        <v>32.19510019213137</v>
      </c>
      <c r="HA35" s="342">
        <f t="shared" si="57"/>
        <v>269.73674486409539</v>
      </c>
      <c r="HB35" s="5">
        <f t="shared" si="225"/>
        <v>193.42611812712966</v>
      </c>
      <c r="HC35" s="343">
        <f t="shared" si="226"/>
        <v>-262.36487617201129</v>
      </c>
      <c r="HD35" s="363">
        <f t="shared" si="227"/>
        <v>-62.630529944455077</v>
      </c>
      <c r="HE35" s="344">
        <f t="shared" si="58"/>
        <v>234</v>
      </c>
      <c r="HF35" s="5">
        <f t="shared" si="59"/>
        <v>283.42611812712966</v>
      </c>
      <c r="HG35" s="343">
        <f t="shared" si="228"/>
        <v>54.332768100936931</v>
      </c>
      <c r="HH35" s="349">
        <f t="shared" si="229"/>
        <v>-227.60481170328936</v>
      </c>
      <c r="HI35" s="317">
        <f t="shared" si="60"/>
        <v>4.1219999999999999</v>
      </c>
      <c r="HJ35" s="336"/>
      <c r="HK35" s="310">
        <f t="shared" si="130"/>
        <v>27</v>
      </c>
      <c r="HL35" s="348">
        <f t="shared" si="61"/>
        <v>1.119</v>
      </c>
      <c r="HM35" s="934">
        <f t="shared" si="62"/>
        <v>18.849713200413412</v>
      </c>
      <c r="HN35" s="935">
        <f t="shared" si="63"/>
        <v>24.017758820569377</v>
      </c>
      <c r="HO35" s="936"/>
      <c r="HP35" s="937"/>
      <c r="HQ35" s="935">
        <f t="shared" si="64"/>
        <v>22.635008393577074</v>
      </c>
      <c r="HR35" s="938">
        <f t="shared" si="65"/>
        <v>13.507549989367984</v>
      </c>
      <c r="HS35" s="939">
        <f t="shared" si="249"/>
        <v>4.4401000000000002</v>
      </c>
      <c r="HT35" s="940">
        <f t="shared" si="66"/>
        <v>1.6899999999999998E-2</v>
      </c>
      <c r="HU35" s="941">
        <f t="shared" si="67"/>
        <v>0.4714866454736063</v>
      </c>
      <c r="HV35" s="942">
        <f t="shared" si="68"/>
        <v>3.2405929799606964E-2</v>
      </c>
      <c r="HW35" s="943">
        <f t="shared" si="69"/>
        <v>30000</v>
      </c>
      <c r="HX35" s="950">
        <f t="shared" si="70"/>
        <v>187.59422499999997</v>
      </c>
      <c r="HY35" s="955">
        <f t="shared" si="71"/>
        <v>402.40945274384291</v>
      </c>
      <c r="HZ35" s="956">
        <f t="shared" si="72"/>
        <v>1178.7166136840158</v>
      </c>
      <c r="IA35" s="957">
        <f t="shared" si="73"/>
        <v>299.19515083319021</v>
      </c>
      <c r="IB35" s="958">
        <f t="shared" si="74"/>
        <v>1880.3212172610488</v>
      </c>
      <c r="IC35" s="841">
        <f t="shared" si="75"/>
        <v>173.08790779105908</v>
      </c>
      <c r="ID35" s="351">
        <f t="shared" si="76"/>
        <v>506.99999999999994</v>
      </c>
      <c r="IE35" s="843">
        <f t="shared" si="77"/>
        <v>128.69246069105819</v>
      </c>
      <c r="IF35" s="844"/>
      <c r="IG35" s="789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7">
        <f t="shared" si="230"/>
        <v>4.1219999999999999</v>
      </c>
      <c r="IJ35" s="967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8"/>
        <v>1613</v>
      </c>
      <c r="IM35" s="482" t="str">
        <f t="shared" si="231"/>
        <v/>
      </c>
      <c r="IN35" s="670" t="str">
        <f t="shared" si="80"/>
        <v/>
      </c>
      <c r="IO35" s="702"/>
      <c r="IP35" s="5" t="str">
        <f t="shared" si="81"/>
        <v/>
      </c>
      <c r="IQ35" s="714"/>
      <c r="IR35" s="9" t="str">
        <f t="shared" si="131"/>
        <v/>
      </c>
      <c r="IS35" s="5" t="str">
        <f t="shared" si="82"/>
        <v/>
      </c>
      <c r="IT35" s="5" t="str">
        <f t="shared" si="83"/>
        <v/>
      </c>
      <c r="IU35" s="5" t="str">
        <f t="shared" si="84"/>
        <v/>
      </c>
      <c r="IV35" s="670" t="str">
        <f t="shared" si="85"/>
        <v/>
      </c>
      <c r="IW35" s="9" t="str">
        <f t="shared" si="86"/>
        <v/>
      </c>
      <c r="IX35" s="5" t="str">
        <f t="shared" si="87"/>
        <v/>
      </c>
      <c r="IY35" s="5" t="str">
        <f t="shared" si="88"/>
        <v/>
      </c>
      <c r="IZ35" s="5" t="str">
        <f t="shared" si="89"/>
        <v/>
      </c>
      <c r="JA35" s="705" t="str">
        <f t="shared" si="90"/>
        <v/>
      </c>
    </row>
    <row r="36" spans="1:269" ht="15" customHeight="1" x14ac:dyDescent="0.25">
      <c r="A36" s="75">
        <f t="shared" si="1"/>
        <v>0</v>
      </c>
      <c r="B36" s="578">
        <f t="shared" ref="B36:D36" si="298">IFERROR(O191+($A36*-E36),"")</f>
        <v>-0.99257283114060346</v>
      </c>
      <c r="C36" s="572">
        <f t="shared" si="298"/>
        <v>-4.6457506965916204</v>
      </c>
      <c r="D36" s="576">
        <f t="shared" si="298"/>
        <v>-2.0673062349956046</v>
      </c>
      <c r="E36" s="580">
        <f t="shared" ref="E36:K36" si="299">R191</f>
        <v>0.72330881862056706</v>
      </c>
      <c r="F36" s="572">
        <f t="shared" si="299"/>
        <v>-0.68926831820039813</v>
      </c>
      <c r="G36" s="579">
        <f t="shared" si="299"/>
        <v>4.1635783058740938E-2</v>
      </c>
      <c r="H36" s="580">
        <f t="shared" si="299"/>
        <v>0.26450000000000001</v>
      </c>
      <c r="I36" s="572">
        <f t="shared" si="299"/>
        <v>0.52</v>
      </c>
      <c r="J36" s="483">
        <f t="shared" si="92"/>
        <v>4.125</v>
      </c>
      <c r="K36" s="805">
        <f t="shared" si="299"/>
        <v>1313</v>
      </c>
      <c r="L36" s="309"/>
      <c r="M36" s="164">
        <f t="shared" si="4"/>
        <v>4.125</v>
      </c>
      <c r="N36" s="575">
        <f t="shared" si="5"/>
        <v>-0.99257283114060346</v>
      </c>
      <c r="O36" s="572">
        <f t="shared" si="6"/>
        <v>-4.6457506965916204</v>
      </c>
      <c r="P36" s="576">
        <f t="shared" si="7"/>
        <v>-2.0673062349956046</v>
      </c>
      <c r="Q36" s="528">
        <f t="shared" si="134"/>
        <v>257.93997545504038</v>
      </c>
      <c r="R36" s="572">
        <f>IF(M36="","",SQRT(N36^2+O36^2))</f>
        <v>4.7505999999999995</v>
      </c>
      <c r="S36" s="577">
        <f>IF(M36="","",P36)</f>
        <v>-2.0673062349956046</v>
      </c>
      <c r="T36" s="578">
        <f>IF(M36="","",X36*COS(RADIANS(W36)))</f>
        <v>-4.6515589099791059</v>
      </c>
      <c r="U36" s="572">
        <f>IF(M36="","",X36*SIN(RADIANS(W36)))</f>
        <v>0.96498708125755961</v>
      </c>
      <c r="V36" s="579">
        <f>IF(M36="","",Y36)</f>
        <v>-2.0673062349956046</v>
      </c>
      <c r="W36" s="528">
        <f t="shared" si="256"/>
        <v>168.27997540595047</v>
      </c>
      <c r="X36" s="572">
        <f>IF(M36="","",R36)</f>
        <v>4.7505999999999995</v>
      </c>
      <c r="Y36" s="573">
        <f t="shared" si="259"/>
        <v>-2.0673062349956046</v>
      </c>
      <c r="Z36" s="575">
        <f t="shared" si="10"/>
        <v>-0.72330881862056706</v>
      </c>
      <c r="AA36" s="572">
        <f t="shared" si="11"/>
        <v>0.68926831820039813</v>
      </c>
      <c r="AB36" s="572">
        <f t="shared" si="12"/>
        <v>-4.1635783058740938E-2</v>
      </c>
      <c r="AC36" s="579">
        <f>IF(M36="","",SQRT(Z36^2+AA36^2+AB36^2))</f>
        <v>1</v>
      </c>
      <c r="AD36" s="580">
        <f>IF(M36="","",Z36*(1/SQRT(Z36^2+AA36^2+AB36^2)))</f>
        <v>-0.72330881862056706</v>
      </c>
      <c r="AE36" s="572">
        <f>IF(M36="","",AA36*(1/SQRT(Z36^2+AA36^2+AB36^2)))</f>
        <v>0.68926831820039813</v>
      </c>
      <c r="AF36" s="576">
        <f>IF(M36="","",AB36*(1/SQRT(Z36^2+AA36^2+AB36^2)))</f>
        <v>-4.1635783058740938E-2</v>
      </c>
      <c r="AG36" s="545">
        <f>IF(M36="","",DEGREES(ATAN2(-AF36,AE36)))</f>
        <v>86.543204724499006</v>
      </c>
      <c r="AH36" s="546">
        <f>IF(M36="","",DEGREES(ACOS(AD36)))</f>
        <v>136.32834270049011</v>
      </c>
      <c r="AI36" s="528">
        <f>IF(M36="","",DEGREES(-ACOS(-AF36)))</f>
        <v>-87.613755574007882</v>
      </c>
      <c r="AJ36" s="529">
        <f>IF(M36="","",DEGREES(ATAN2(-AE36,AD36)))</f>
        <v>-133.61954469909767</v>
      </c>
      <c r="AK36" s="578">
        <f>IF(M36="","",(COS(RADIANS((90-$Q$8)-W36))*AD36)+(-SIN(RADIANS((90-$Q$8)-W36))*AE36))</f>
        <v>0.85135802929504734</v>
      </c>
      <c r="AL36" s="572">
        <f>IF(M36="","",(SIN(RADIANS((90-$Q$8)-W36))*AD36)+(COS(RADIANS((90-$Q$8)-W36))*AE36))</f>
        <v>-0.52293017461601798</v>
      </c>
      <c r="AM36" s="577">
        <f>IF(M36="","",AF36)</f>
        <v>-4.1635783058740938E-2</v>
      </c>
      <c r="AN36" s="524">
        <f>IF(M36="","",DEGREES(ATAN2(-AM36,AL36)))</f>
        <v>-85.44770434319075</v>
      </c>
      <c r="AO36" s="525">
        <f t="shared" si="108"/>
        <v>31.640315229482773</v>
      </c>
      <c r="AP36" s="528">
        <f>IF(M36="","",DEGREES(ATAN2(AK36,AL36)))</f>
        <v>-31.559520154138053</v>
      </c>
      <c r="AQ36" s="529">
        <f t="shared" si="13"/>
        <v>0.3647052667716485</v>
      </c>
      <c r="AS36" s="899">
        <f t="shared" si="137"/>
        <v>-191.72002459404953</v>
      </c>
      <c r="AT36" s="895">
        <f t="shared" si="14"/>
        <v>-1.9659413242703534</v>
      </c>
      <c r="AU36" s="418"/>
      <c r="AV36" s="164">
        <f t="shared" si="15"/>
        <v>4.125</v>
      </c>
      <c r="AW36" s="828">
        <f>IFERROR(INDEX(MassProp!C$9:C$150,MATCH($M36,MassProp!$B$9:$B$150,0)),"")</f>
        <v>4.9313000000000002</v>
      </c>
      <c r="AX36" s="829">
        <f>IFERROR(INDEX(MassProp!D$9:D$150,MATCH($M36,MassProp!$B$9:$B$150,0)),"")</f>
        <v>-1.6751</v>
      </c>
      <c r="AY36" s="830">
        <f>IFERROR(INDEX(MassProp!E$9:E$150,MATCH($M36,MassProp!$B$9:$B$150,0)),"")</f>
        <v>1.1999999999999999E-3</v>
      </c>
      <c r="AZ36" s="297">
        <f t="shared" si="138"/>
        <v>3.7181825104139747E-2</v>
      </c>
      <c r="BA36" s="296">
        <f t="shared" si="16"/>
        <v>2.5555583084133551E-3</v>
      </c>
      <c r="BB36" s="190">
        <f t="shared" si="139"/>
        <v>0.10084132427035342</v>
      </c>
      <c r="BC36" s="9"/>
      <c r="BD36" s="5">
        <f t="shared" si="235"/>
        <v>4.9313000000000002</v>
      </c>
      <c r="BE36" s="6">
        <f t="shared" si="17"/>
        <v>-1.9664649107252512</v>
      </c>
      <c r="BF36" s="4">
        <f t="shared" si="18"/>
        <v>-0.99257283114060346</v>
      </c>
      <c r="BG36" s="5">
        <f t="shared" si="19"/>
        <v>-4.6457506965916204</v>
      </c>
      <c r="BH36" s="10">
        <f t="shared" si="20"/>
        <v>-2.0673062349956046</v>
      </c>
      <c r="BI36" s="9">
        <f t="shared" si="140"/>
        <v>-0.99257283114060346</v>
      </c>
      <c r="BJ36" s="5">
        <f t="shared" si="21"/>
        <v>-4.5854548325542135</v>
      </c>
      <c r="BK36" s="8">
        <f t="shared" si="22"/>
        <v>-1.0691256858062395</v>
      </c>
      <c r="BL36" s="173">
        <f t="shared" si="23"/>
        <v>-0.30204813722609969</v>
      </c>
      <c r="BM36" s="5">
        <f t="shared" si="24"/>
        <v>-3.9237579027874316</v>
      </c>
      <c r="BN36" s="6">
        <f t="shared" si="25"/>
        <v>-2.1109187651802079</v>
      </c>
      <c r="BO36" s="4">
        <f t="shared" si="141"/>
        <v>-0.7233088186205674</v>
      </c>
      <c r="BP36" s="5">
        <f t="shared" si="142"/>
        <v>0.68926831820039758</v>
      </c>
      <c r="BQ36" s="5">
        <f t="shared" si="143"/>
        <v>-4.1635783058740827E-2</v>
      </c>
      <c r="BR36" s="6">
        <f t="shared" si="144"/>
        <v>2.3981581736145907</v>
      </c>
      <c r="BS36" s="4">
        <f t="shared" si="110"/>
        <v>0</v>
      </c>
      <c r="BT36" s="5">
        <f t="shared" si="110"/>
        <v>0</v>
      </c>
      <c r="BU36" s="10">
        <f t="shared" si="111"/>
        <v>-1.9664649107252512</v>
      </c>
      <c r="BV36" s="9">
        <f t="shared" si="112"/>
        <v>0</v>
      </c>
      <c r="BW36" s="5">
        <f t="shared" si="113"/>
        <v>1</v>
      </c>
      <c r="BX36" s="8">
        <f t="shared" si="114"/>
        <v>-1.9664649107252512</v>
      </c>
      <c r="BY36" s="173">
        <f t="shared" si="115"/>
        <v>1</v>
      </c>
      <c r="BZ36" s="5">
        <f t="shared" si="116"/>
        <v>0</v>
      </c>
      <c r="CA36" s="6">
        <f t="shared" si="117"/>
        <v>-1.9664649107252512</v>
      </c>
      <c r="CB36" s="4">
        <f t="shared" si="145"/>
        <v>0</v>
      </c>
      <c r="CC36" s="5">
        <f t="shared" si="146"/>
        <v>0</v>
      </c>
      <c r="CD36" s="5">
        <f t="shared" si="147"/>
        <v>-1</v>
      </c>
      <c r="CE36" s="6">
        <f t="shared" si="148"/>
        <v>-1.9664649107252512</v>
      </c>
      <c r="CF36" s="4">
        <f t="shared" si="149"/>
        <v>-0.68926831820039758</v>
      </c>
      <c r="CG36" s="5">
        <f t="shared" si="150"/>
        <v>-0.7233088186205674</v>
      </c>
      <c r="CH36" s="5">
        <f t="shared" si="151"/>
        <v>0</v>
      </c>
      <c r="CI36" s="4">
        <f t="shared" si="118"/>
        <v>0</v>
      </c>
      <c r="CJ36" s="5">
        <f t="shared" si="119"/>
        <v>-3.5980668406539609</v>
      </c>
      <c r="CK36" s="8">
        <f t="shared" si="120"/>
        <v>-1.9664649107252512</v>
      </c>
      <c r="CL36" s="173">
        <f t="shared" si="121"/>
        <v>-0.68926831820039758</v>
      </c>
      <c r="CM36" s="5">
        <f t="shared" si="122"/>
        <v>-4.321375659274528</v>
      </c>
      <c r="CN36" s="6">
        <f t="shared" si="123"/>
        <v>-1.9664649107252512</v>
      </c>
      <c r="CO36" s="167">
        <f t="shared" si="26"/>
        <v>0.26450000000000001</v>
      </c>
      <c r="CP36" s="4">
        <f t="shared" si="236"/>
        <v>0.99826646156908505</v>
      </c>
      <c r="CQ36" s="5">
        <f t="shared" si="237"/>
        <v>-2.8838959562755999</v>
      </c>
      <c r="CR36" s="5">
        <f t="shared" si="152"/>
        <v>2.0230510097914745</v>
      </c>
      <c r="CS36" s="8">
        <f t="shared" si="153"/>
        <v>0.23867999414955854</v>
      </c>
      <c r="CT36" s="9">
        <f t="shared" si="154"/>
        <v>1.6891506184866325</v>
      </c>
      <c r="CU36" s="6">
        <f t="shared" si="155"/>
        <v>1.1997533638655982</v>
      </c>
      <c r="CV36" s="4">
        <f t="shared" si="238"/>
        <v>-1.1642780059914426</v>
      </c>
      <c r="CW36" s="5">
        <f t="shared" si="156"/>
        <v>-4.8198443789837278</v>
      </c>
      <c r="CX36" s="8">
        <f t="shared" si="157"/>
        <v>-1.9664649107252512</v>
      </c>
      <c r="CY36" s="9">
        <f t="shared" si="158"/>
        <v>-0.82695198336691045</v>
      </c>
      <c r="CZ36" s="5">
        <f t="shared" si="159"/>
        <v>-4.4658590289076381</v>
      </c>
      <c r="DA36" s="6">
        <f t="shared" si="160"/>
        <v>-1.9664649107252512</v>
      </c>
      <c r="DB36" s="4">
        <f t="shared" si="161"/>
        <v>0</v>
      </c>
      <c r="DC36" s="5">
        <f t="shared" si="161"/>
        <v>0</v>
      </c>
      <c r="DD36" s="10">
        <f t="shared" si="162"/>
        <v>-10</v>
      </c>
      <c r="DE36" s="9">
        <f t="shared" si="163"/>
        <v>0</v>
      </c>
      <c r="DF36" s="5">
        <f t="shared" si="163"/>
        <v>0</v>
      </c>
      <c r="DG36" s="10">
        <f t="shared" si="164"/>
        <v>10</v>
      </c>
      <c r="DH36" s="70">
        <f t="shared" si="165"/>
        <v>4.9313000000000002</v>
      </c>
      <c r="DI36" s="4">
        <f t="shared" si="166"/>
        <v>0</v>
      </c>
      <c r="DJ36" s="5">
        <f t="shared" si="167"/>
        <v>0</v>
      </c>
      <c r="DK36" s="10">
        <f t="shared" si="168"/>
        <v>20</v>
      </c>
      <c r="DL36" s="9">
        <f t="shared" si="169"/>
        <v>-1.1642780059914426</v>
      </c>
      <c r="DM36" s="173">
        <f t="shared" si="170"/>
        <v>-4.8198443789837278</v>
      </c>
      <c r="DN36" s="178">
        <f t="shared" si="171"/>
        <v>8.0335350892747481</v>
      </c>
      <c r="DO36" s="9">
        <f t="shared" si="172"/>
        <v>0.33732602262453215</v>
      </c>
      <c r="DP36" s="173">
        <f t="shared" si="173"/>
        <v>0.35398535007608967</v>
      </c>
      <c r="DQ36" s="11">
        <f t="shared" si="174"/>
        <v>0</v>
      </c>
      <c r="DR36" s="173">
        <f t="shared" si="175"/>
        <v>160.67070178549497</v>
      </c>
      <c r="DS36" s="5">
        <f t="shared" si="176"/>
        <v>0</v>
      </c>
      <c r="DT36" s="5">
        <f t="shared" si="177"/>
        <v>400</v>
      </c>
      <c r="DU36" s="5">
        <f t="shared" si="178"/>
        <v>0.23909447360817812</v>
      </c>
      <c r="DV36" s="5">
        <f t="shared" si="179"/>
        <v>-2.0988955687971425</v>
      </c>
      <c r="DW36" s="5">
        <f t="shared" si="180"/>
        <v>89.124129143465083</v>
      </c>
      <c r="DX36" s="167">
        <f t="shared" si="181"/>
        <v>64.806409453465079</v>
      </c>
      <c r="DY36" s="9">
        <f t="shared" si="182"/>
        <v>95.637789443271245</v>
      </c>
      <c r="DZ36" s="5">
        <f t="shared" si="183"/>
        <v>-839.55822751885694</v>
      </c>
      <c r="EA36" s="10">
        <f t="shared" si="184"/>
        <v>107.48936914257501</v>
      </c>
      <c r="EB36" s="6">
        <f t="shared" si="185"/>
        <v>694577.97174115712</v>
      </c>
      <c r="EC36" s="173">
        <f t="shared" si="186"/>
        <v>17.492789023231779</v>
      </c>
      <c r="ED36" s="5">
        <f t="shared" si="187"/>
        <v>6.4250561353167507E-2</v>
      </c>
      <c r="EE36" s="4">
        <f t="shared" si="188"/>
        <v>4.7364949398254081</v>
      </c>
      <c r="EF36" s="5">
        <f t="shared" si="189"/>
        <v>1.3723466672121525</v>
      </c>
      <c r="EG36" s="10">
        <f t="shared" si="190"/>
        <v>-1.9664649107252512</v>
      </c>
      <c r="EH36" s="9">
        <f t="shared" si="191"/>
        <v>-1.1426046196787851</v>
      </c>
      <c r="EI36" s="5">
        <f t="shared" si="192"/>
        <v>-4.7971006215305412</v>
      </c>
      <c r="EJ36" s="6">
        <f t="shared" si="193"/>
        <v>-1.9664649107252512</v>
      </c>
      <c r="EK36" s="236" t="b">
        <f t="shared" si="194"/>
        <v>0</v>
      </c>
      <c r="EL36" s="238" t="b">
        <f t="shared" si="195"/>
        <v>1</v>
      </c>
      <c r="EM36" s="4">
        <f t="shared" si="196"/>
        <v>-1.1426046196787851</v>
      </c>
      <c r="EN36" s="5">
        <f t="shared" si="197"/>
        <v>-4.7971006215305412</v>
      </c>
      <c r="EO36" s="10">
        <f t="shared" si="198"/>
        <v>-1.9664649107252512</v>
      </c>
      <c r="EP36" s="9">
        <f t="shared" si="199"/>
        <v>256.60255380645276</v>
      </c>
      <c r="EQ36" s="5">
        <f t="shared" si="200"/>
        <v>4.9313000000000002</v>
      </c>
      <c r="ER36" s="7">
        <f t="shared" si="201"/>
        <v>-1.9664649107252512</v>
      </c>
      <c r="ES36" s="21">
        <f t="shared" si="124"/>
        <v>-0.72330881862056706</v>
      </c>
      <c r="ET36" s="5">
        <f t="shared" si="35"/>
        <v>0.68926831820039813</v>
      </c>
      <c r="EU36" s="10">
        <f t="shared" si="36"/>
        <v>-4.1635783058740938E-2</v>
      </c>
      <c r="EV36" s="174">
        <f t="shared" si="252"/>
        <v>193.39744619354724</v>
      </c>
      <c r="EW36" s="9">
        <f t="shared" si="125"/>
        <v>0.86333144362282632</v>
      </c>
      <c r="EX36" s="5">
        <f t="shared" si="37"/>
        <v>-0.50291677245963085</v>
      </c>
      <c r="EY36" s="6">
        <f t="shared" si="202"/>
        <v>-4.1635783058740938E-2</v>
      </c>
      <c r="EZ36" s="51">
        <f t="shared" si="203"/>
        <v>0.35134153748081365</v>
      </c>
      <c r="FA36" s="266">
        <f t="shared" si="126"/>
        <v>-0.97276791737391877</v>
      </c>
      <c r="FB36" s="267">
        <f t="shared" si="127"/>
        <v>0.2317001880840521</v>
      </c>
      <c r="FC36" s="269">
        <f t="shared" si="38"/>
        <v>-6.1320281982235178E-3</v>
      </c>
      <c r="FD36" s="4">
        <f t="shared" si="128"/>
        <v>0.99998119893834814</v>
      </c>
      <c r="FE36" s="5">
        <f t="shared" si="39"/>
        <v>-3.0531133177191805E-16</v>
      </c>
      <c r="FF36" s="7">
        <f t="shared" si="204"/>
        <v>-6.1320281982235178E-3</v>
      </c>
      <c r="FG36" s="173">
        <f t="shared" si="205"/>
        <v>-0.13664975531552181</v>
      </c>
      <c r="FH36" s="5">
        <f t="shared" si="40"/>
        <v>-0.50291677245963051</v>
      </c>
      <c r="FI36" s="10">
        <f t="shared" si="41"/>
        <v>-3.550375486051742E-2</v>
      </c>
      <c r="FJ36" s="279">
        <f t="shared" si="206"/>
        <v>30.280123573058543</v>
      </c>
      <c r="FK36" s="4">
        <f t="shared" si="42"/>
        <v>0.99913285481415615</v>
      </c>
      <c r="FL36" s="5">
        <f t="shared" si="207"/>
        <v>0.99998119893834814</v>
      </c>
      <c r="FM36" s="8">
        <f t="shared" si="208"/>
        <v>0.52115106797262134</v>
      </c>
      <c r="FN36" s="9">
        <f t="shared" si="209"/>
        <v>30.222098505550406</v>
      </c>
      <c r="FO36" s="10">
        <f t="shared" si="43"/>
        <v>1</v>
      </c>
      <c r="FP36" s="277">
        <f t="shared" si="44"/>
        <v>30.222098505550406</v>
      </c>
      <c r="FQ36" s="173">
        <f t="shared" si="239"/>
        <v>0.50335325280958332</v>
      </c>
      <c r="FR36" s="10">
        <f t="shared" si="210"/>
        <v>0.86408072706548178</v>
      </c>
      <c r="FS36" s="9">
        <f t="shared" si="211"/>
        <v>0.36810058856045969</v>
      </c>
      <c r="FT36" s="6">
        <f t="shared" si="212"/>
        <v>0.6318994114395402</v>
      </c>
      <c r="FU36" s="4">
        <f t="shared" si="213"/>
        <v>0.86433484251115777</v>
      </c>
      <c r="FV36" s="5">
        <f t="shared" si="214"/>
        <v>1</v>
      </c>
      <c r="FW36" s="8">
        <f t="shared" si="240"/>
        <v>0.14118665743259062</v>
      </c>
      <c r="FX36" s="9">
        <f t="shared" si="241"/>
        <v>2.4097159610460159</v>
      </c>
      <c r="FY36" s="10">
        <f t="shared" si="45"/>
        <v>1</v>
      </c>
      <c r="FZ36" s="277">
        <f t="shared" si="242"/>
        <v>2.4097159610460159</v>
      </c>
      <c r="GA36" s="177">
        <f t="shared" si="215"/>
        <v>2.0827224687128556</v>
      </c>
      <c r="GB36" s="4">
        <f t="shared" si="216"/>
        <v>-0.50290814490135782</v>
      </c>
      <c r="GC36" s="5">
        <f t="shared" si="217"/>
        <v>0.86331663313579043</v>
      </c>
      <c r="GD36" s="10">
        <f t="shared" si="218"/>
        <v>-4.2045079890017475E-2</v>
      </c>
      <c r="GE36" s="311">
        <f t="shared" si="219"/>
        <v>1.4082698579271657</v>
      </c>
      <c r="GF36" s="341">
        <f t="shared" si="243"/>
        <v>0.71009117632603547</v>
      </c>
      <c r="GG36" s="285">
        <f t="shared" si="46"/>
        <v>0.35711063619694949</v>
      </c>
      <c r="GH36" s="286">
        <f t="shared" si="47"/>
        <v>0.61303352356522589</v>
      </c>
      <c r="GI36" s="281">
        <f t="shared" si="48"/>
        <v>2.9855840237824647E-2</v>
      </c>
      <c r="GJ36" s="167">
        <f t="shared" si="220"/>
        <v>4.9313000000000002</v>
      </c>
      <c r="GK36" s="174">
        <f t="shared" si="49"/>
        <v>2.5820711877874825</v>
      </c>
      <c r="GL36" s="174">
        <f t="shared" si="221"/>
        <v>1.1999999999999999E-3</v>
      </c>
      <c r="GM36" s="177">
        <f t="shared" si="244"/>
        <v>3.7181825104139747E-2</v>
      </c>
      <c r="GN36" s="280">
        <f t="shared" si="222"/>
        <v>2.5555583084133551E-3</v>
      </c>
      <c r="GO36" s="4">
        <f t="shared" si="223"/>
        <v>30.222098505550406</v>
      </c>
      <c r="GP36" s="8">
        <f t="shared" si="245"/>
        <v>2.4097159610460159</v>
      </c>
      <c r="GQ36" s="177">
        <f t="shared" si="224"/>
        <v>30.280123573058543</v>
      </c>
      <c r="GR36" s="371">
        <f t="shared" si="246"/>
        <v>151.63047237572343</v>
      </c>
      <c r="GS36" s="342">
        <f t="shared" si="51"/>
        <v>54.148854456938572</v>
      </c>
      <c r="GT36" s="343">
        <f t="shared" si="52"/>
        <v>20.971092785144116</v>
      </c>
      <c r="GU36" s="344">
        <f t="shared" si="53"/>
        <v>92.954562760349376</v>
      </c>
      <c r="GV36" s="343">
        <f t="shared" si="253"/>
        <v>36</v>
      </c>
      <c r="GW36" s="345">
        <f t="shared" si="129"/>
        <v>30000</v>
      </c>
      <c r="GX36" s="346">
        <f t="shared" si="54"/>
        <v>14.793900000000001</v>
      </c>
      <c r="GY36" s="344">
        <f t="shared" si="55"/>
        <v>4.5270551584354823</v>
      </c>
      <c r="GZ36" s="345">
        <f t="shared" si="56"/>
        <v>1.7532650454593439</v>
      </c>
      <c r="HA36" s="342">
        <f t="shared" si="57"/>
        <v>54.148854456938572</v>
      </c>
      <c r="HB36" s="5">
        <f t="shared" si="225"/>
        <v>193.39744619354724</v>
      </c>
      <c r="HC36" s="343">
        <f t="shared" si="226"/>
        <v>-52.675258729046462</v>
      </c>
      <c r="HD36" s="363">
        <f t="shared" si="227"/>
        <v>-12.546535650398894</v>
      </c>
      <c r="HE36" s="344">
        <f t="shared" si="58"/>
        <v>36</v>
      </c>
      <c r="HF36" s="5">
        <f t="shared" si="59"/>
        <v>283.39744619354724</v>
      </c>
      <c r="HG36" s="343">
        <f t="shared" si="228"/>
        <v>8.3413635975171196</v>
      </c>
      <c r="HH36" s="349">
        <f t="shared" si="229"/>
        <v>-35.020303444345195</v>
      </c>
      <c r="HI36" s="317">
        <f t="shared" si="60"/>
        <v>4.125</v>
      </c>
      <c r="HJ36" s="336"/>
      <c r="HK36" s="310">
        <f t="shared" si="130"/>
        <v>28</v>
      </c>
      <c r="HL36" s="348">
        <f t="shared" si="61"/>
        <v>2.12</v>
      </c>
      <c r="HM36" s="934">
        <f t="shared" si="62"/>
        <v>20.827167758350566</v>
      </c>
      <c r="HN36" s="935">
        <f t="shared" si="63"/>
        <v>24.682186713902937</v>
      </c>
      <c r="HO36" s="936"/>
      <c r="HP36" s="937"/>
      <c r="HQ36" s="935">
        <f t="shared" si="64"/>
        <v>23.256401140406233</v>
      </c>
      <c r="HR36" s="938">
        <f t="shared" si="65"/>
        <v>11.361717910023538</v>
      </c>
      <c r="HS36" s="939">
        <f t="shared" si="249"/>
        <v>4.6100000000000003</v>
      </c>
      <c r="HT36" s="940">
        <f t="shared" si="66"/>
        <v>1.4500000000000001E-2</v>
      </c>
      <c r="HU36" s="941">
        <f t="shared" si="67"/>
        <v>0.42000855751555949</v>
      </c>
      <c r="HV36" s="942">
        <f t="shared" si="68"/>
        <v>2.8867769555617949E-2</v>
      </c>
      <c r="HW36" s="943">
        <f t="shared" si="69"/>
        <v>30000</v>
      </c>
      <c r="HX36" s="950">
        <f t="shared" si="70"/>
        <v>167.11250000000001</v>
      </c>
      <c r="HY36" s="955">
        <f t="shared" si="71"/>
        <v>399.4355418286554</v>
      </c>
      <c r="HZ36" s="956">
        <f t="shared" si="72"/>
        <v>1050.0213937888986</v>
      </c>
      <c r="IA36" s="957">
        <f t="shared" si="73"/>
        <v>225.74207733112965</v>
      </c>
      <c r="IB36" s="958">
        <f t="shared" si="74"/>
        <v>1675.1990129486837</v>
      </c>
      <c r="IC36" s="841">
        <f t="shared" si="75"/>
        <v>165.4770671562122</v>
      </c>
      <c r="ID36" s="351">
        <f t="shared" si="76"/>
        <v>435</v>
      </c>
      <c r="IE36" s="843">
        <f t="shared" si="77"/>
        <v>93.519812281828195</v>
      </c>
      <c r="IF36" s="845"/>
      <c r="IG36" s="789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7">
        <f t="shared" si="230"/>
        <v>4.125</v>
      </c>
      <c r="IJ36" s="967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8"/>
        <v>1313</v>
      </c>
      <c r="IM36" s="482" t="str">
        <f t="shared" si="231"/>
        <v/>
      </c>
      <c r="IN36" s="670" t="str">
        <f t="shared" si="80"/>
        <v/>
      </c>
      <c r="IO36" s="702"/>
      <c r="IP36" s="5" t="str">
        <f t="shared" si="81"/>
        <v/>
      </c>
      <c r="IQ36" s="714"/>
      <c r="IR36" s="9" t="str">
        <f t="shared" si="131"/>
        <v/>
      </c>
      <c r="IS36" s="5" t="str">
        <f t="shared" si="82"/>
        <v/>
      </c>
      <c r="IT36" s="5" t="str">
        <f t="shared" si="83"/>
        <v/>
      </c>
      <c r="IU36" s="5" t="str">
        <f t="shared" si="84"/>
        <v/>
      </c>
      <c r="IV36" s="670" t="str">
        <f t="shared" si="85"/>
        <v/>
      </c>
      <c r="IW36" s="9" t="str">
        <f t="shared" si="86"/>
        <v/>
      </c>
      <c r="IX36" s="5" t="str">
        <f t="shared" si="87"/>
        <v/>
      </c>
      <c r="IY36" s="5" t="str">
        <f t="shared" si="88"/>
        <v/>
      </c>
      <c r="IZ36" s="5" t="str">
        <f t="shared" si="89"/>
        <v/>
      </c>
      <c r="JA36" s="705" t="str">
        <f t="shared" si="90"/>
        <v/>
      </c>
    </row>
    <row r="37" spans="1:269" ht="15" customHeight="1" x14ac:dyDescent="0.25">
      <c r="A37" s="75">
        <f t="shared" si="1"/>
        <v>0</v>
      </c>
      <c r="B37" s="578">
        <f t="shared" ref="B37:D37" si="300">IFERROR(O192+($A37*-E37),"")</f>
        <v>-0.45877444745700119</v>
      </c>
      <c r="C37" s="572">
        <f t="shared" si="300"/>
        <v>-0.21392987635621602</v>
      </c>
      <c r="D37" s="576">
        <f t="shared" si="300"/>
        <v>-0.49460149171809903</v>
      </c>
      <c r="E37" s="580">
        <f t="shared" ref="E37:K37" si="301">R192</f>
        <v>0.40821764411847367</v>
      </c>
      <c r="F37" s="572">
        <f t="shared" si="301"/>
        <v>-0.87542622523097635</v>
      </c>
      <c r="G37" s="579">
        <f t="shared" si="301"/>
        <v>0.25881900859134599</v>
      </c>
      <c r="H37" s="580">
        <f t="shared" si="301"/>
        <v>0.26450000000000001</v>
      </c>
      <c r="I37" s="572">
        <f t="shared" si="301"/>
        <v>0.52</v>
      </c>
      <c r="J37" s="483">
        <f t="shared" si="92"/>
        <v>5.1020000000000003</v>
      </c>
      <c r="K37" s="805">
        <f t="shared" si="301"/>
        <v>1313</v>
      </c>
      <c r="L37" s="309"/>
      <c r="M37" s="164">
        <f t="shared" si="4"/>
        <v>5.1020000000000003</v>
      </c>
      <c r="N37" s="575">
        <f t="shared" si="5"/>
        <v>-0.45877444745700119</v>
      </c>
      <c r="O37" s="572">
        <f t="shared" si="6"/>
        <v>-0.21392987635621602</v>
      </c>
      <c r="P37" s="576">
        <f t="shared" si="7"/>
        <v>-0.49460149171809903</v>
      </c>
      <c r="Q37" s="528">
        <f t="shared" si="134"/>
        <v>204.99998339605673</v>
      </c>
      <c r="R37" s="572">
        <f t="shared" si="93"/>
        <v>0.50620152670380458</v>
      </c>
      <c r="S37" s="577">
        <f t="shared" si="94"/>
        <v>-0.49460149171809903</v>
      </c>
      <c r="T37" s="578">
        <f t="shared" si="95"/>
        <v>-0.21664851573332716</v>
      </c>
      <c r="U37" s="572">
        <f t="shared" si="96"/>
        <v>0.45749689208540956</v>
      </c>
      <c r="V37" s="579">
        <f t="shared" si="135"/>
        <v>-0.49460149171809903</v>
      </c>
      <c r="W37" s="528">
        <f t="shared" si="256"/>
        <v>115.33998334696682</v>
      </c>
      <c r="X37" s="572">
        <f t="shared" si="97"/>
        <v>0.50620152670380458</v>
      </c>
      <c r="Y37" s="573">
        <f t="shared" si="259"/>
        <v>-0.49460149171809903</v>
      </c>
      <c r="Z37" s="575">
        <f t="shared" si="10"/>
        <v>-0.40821764411847367</v>
      </c>
      <c r="AA37" s="572">
        <f t="shared" si="11"/>
        <v>0.87542622523097635</v>
      </c>
      <c r="AB37" s="572">
        <f t="shared" si="12"/>
        <v>-0.25881900859134599</v>
      </c>
      <c r="AC37" s="579">
        <f t="shared" si="98"/>
        <v>1</v>
      </c>
      <c r="AD37" s="580">
        <f t="shared" si="136"/>
        <v>-0.40821764411847367</v>
      </c>
      <c r="AE37" s="572">
        <f t="shared" si="99"/>
        <v>0.87542622523097635</v>
      </c>
      <c r="AF37" s="576">
        <f t="shared" si="100"/>
        <v>-0.25881900859134599</v>
      </c>
      <c r="AG37" s="545">
        <f t="shared" si="101"/>
        <v>73.529731540060425</v>
      </c>
      <c r="AH37" s="546">
        <f t="shared" si="102"/>
        <v>114.09291906762731</v>
      </c>
      <c r="AI37" s="528">
        <f t="shared" si="103"/>
        <v>-75.000002165731729</v>
      </c>
      <c r="AJ37" s="529">
        <f t="shared" si="104"/>
        <v>-155.00001660394327</v>
      </c>
      <c r="AK37" s="578">
        <f t="shared" si="234"/>
        <v>0.96592583607220739</v>
      </c>
      <c r="AL37" s="572">
        <f t="shared" si="105"/>
        <v>-4.4408920985006262E-16</v>
      </c>
      <c r="AM37" s="577">
        <f t="shared" si="106"/>
        <v>-0.25881900859134599</v>
      </c>
      <c r="AN37" s="524">
        <f t="shared" si="107"/>
        <v>-9.8309770948403621E-14</v>
      </c>
      <c r="AO37" s="525">
        <f t="shared" si="108"/>
        <v>14.999997834268255</v>
      </c>
      <c r="AP37" s="528">
        <f t="shared" si="109"/>
        <v>-2.634201975088908E-14</v>
      </c>
      <c r="AQ37" s="529">
        <f t="shared" si="13"/>
        <v>3.418669367254116</v>
      </c>
      <c r="AS37" s="899">
        <f t="shared" si="137"/>
        <v>-244.66001665303318</v>
      </c>
      <c r="AT37" s="895">
        <f t="shared" si="14"/>
        <v>-0.36529602962838426</v>
      </c>
      <c r="AU37" s="418"/>
      <c r="AV37" s="164">
        <f t="shared" si="15"/>
        <v>5.1020000000000003</v>
      </c>
      <c r="AW37" s="796">
        <f>IFERROR(INDEX(MassProp!C$9:C$150,MATCH($M37,MassProp!$B$9:$B$150,0)),"")</f>
        <v>0.42709999999999998</v>
      </c>
      <c r="AX37" s="744">
        <f>IFERROR(INDEX(MassProp!D$9:D$150,MATCH($M37,MassProp!$B$9:$B$150,0)),"")</f>
        <v>-1.5299999999999999E-2</v>
      </c>
      <c r="AY37" s="731">
        <f>IFERROR(INDEX(MassProp!E$9:E$150,MATCH($M37,MassProp!$B$9:$B$150,0)),"")</f>
        <v>4.0099999999999997E-2</v>
      </c>
      <c r="AZ37" s="297">
        <f t="shared" si="138"/>
        <v>0.10787967482994544</v>
      </c>
      <c r="BA37" s="296">
        <f t="shared" si="16"/>
        <v>7.4147193836889705E-3</v>
      </c>
      <c r="BB37" s="177">
        <f t="shared" si="139"/>
        <v>0.15999602962838425</v>
      </c>
      <c r="BC37" s="9"/>
      <c r="BD37" s="5">
        <f t="shared" si="235"/>
        <v>0.42709999999999998</v>
      </c>
      <c r="BE37" s="6">
        <f t="shared" si="17"/>
        <v>-0.33460546208971476</v>
      </c>
      <c r="BF37" s="4">
        <f t="shared" si="18"/>
        <v>-0.45877444745700119</v>
      </c>
      <c r="BG37" s="5">
        <f t="shared" si="19"/>
        <v>-0.21392987635621602</v>
      </c>
      <c r="BH37" s="10">
        <f t="shared" si="20"/>
        <v>-0.49460149171809903</v>
      </c>
      <c r="BI37" s="9">
        <f t="shared" si="140"/>
        <v>-0.45877444745700119</v>
      </c>
      <c r="BJ37" s="5">
        <f t="shared" si="21"/>
        <v>6.9587885851612574E-2</v>
      </c>
      <c r="BK37" s="8">
        <f t="shared" si="22"/>
        <v>0.46436549338236061</v>
      </c>
      <c r="BL37" s="173">
        <f t="shared" si="23"/>
        <v>0.45411018656329111</v>
      </c>
      <c r="BM37" s="5">
        <f t="shared" si="24"/>
        <v>0.17753736708888918</v>
      </c>
      <c r="BN37" s="6">
        <f t="shared" si="25"/>
        <v>-0.61033844467232046</v>
      </c>
      <c r="BO37" s="4">
        <f t="shared" si="141"/>
        <v>-0.40821764411847383</v>
      </c>
      <c r="BP37" s="5">
        <f t="shared" si="142"/>
        <v>0.87542622523097613</v>
      </c>
      <c r="BQ37" s="5">
        <f t="shared" si="143"/>
        <v>-0.25881900859134588</v>
      </c>
      <c r="BR37" s="6">
        <f t="shared" si="144"/>
        <v>-0.12801226773427907</v>
      </c>
      <c r="BS37" s="4">
        <f t="shared" si="110"/>
        <v>0</v>
      </c>
      <c r="BT37" s="5">
        <f t="shared" si="110"/>
        <v>0</v>
      </c>
      <c r="BU37" s="10">
        <f t="shared" si="111"/>
        <v>-0.33460546208971476</v>
      </c>
      <c r="BV37" s="9">
        <f t="shared" si="112"/>
        <v>0</v>
      </c>
      <c r="BW37" s="5">
        <f t="shared" si="113"/>
        <v>1</v>
      </c>
      <c r="BX37" s="8">
        <f t="shared" si="114"/>
        <v>-0.33460546208971476</v>
      </c>
      <c r="BY37" s="173">
        <f t="shared" si="115"/>
        <v>1</v>
      </c>
      <c r="BZ37" s="5">
        <f t="shared" si="116"/>
        <v>0</v>
      </c>
      <c r="CA37" s="6">
        <f t="shared" si="117"/>
        <v>-0.33460546208971476</v>
      </c>
      <c r="CB37" s="4">
        <f t="shared" si="145"/>
        <v>0</v>
      </c>
      <c r="CC37" s="5">
        <f t="shared" si="146"/>
        <v>0</v>
      </c>
      <c r="CD37" s="5">
        <f t="shared" si="147"/>
        <v>-1</v>
      </c>
      <c r="CE37" s="6">
        <f t="shared" si="148"/>
        <v>-0.33460546208971476</v>
      </c>
      <c r="CF37" s="4">
        <f t="shared" si="149"/>
        <v>-0.87542622523097613</v>
      </c>
      <c r="CG37" s="5">
        <f t="shared" si="150"/>
        <v>-0.40821764411847383</v>
      </c>
      <c r="CH37" s="5">
        <f t="shared" si="151"/>
        <v>0</v>
      </c>
      <c r="CI37" s="4">
        <f t="shared" si="118"/>
        <v>0</v>
      </c>
      <c r="CJ37" s="5">
        <f t="shared" si="119"/>
        <v>4.7302688191736698E-2</v>
      </c>
      <c r="CK37" s="8">
        <f t="shared" si="120"/>
        <v>-0.33460546208971476</v>
      </c>
      <c r="CL37" s="173">
        <f t="shared" si="121"/>
        <v>-0.87542622523097613</v>
      </c>
      <c r="CM37" s="5">
        <f t="shared" si="122"/>
        <v>-0.36091495592673711</v>
      </c>
      <c r="CN37" s="6">
        <f t="shared" si="123"/>
        <v>-0.33460546208971476</v>
      </c>
      <c r="CO37" s="167">
        <f t="shared" si="26"/>
        <v>0.26450000000000001</v>
      </c>
      <c r="CP37" s="4">
        <f t="shared" si="236"/>
        <v>0.93301272079179276</v>
      </c>
      <c r="CQ37" s="5">
        <f t="shared" si="237"/>
        <v>-1.0165258496730034</v>
      </c>
      <c r="CR37" s="5">
        <f t="shared" si="152"/>
        <v>0.23435492591662388</v>
      </c>
      <c r="CS37" s="8">
        <f t="shared" si="153"/>
        <v>0.15870029481170833</v>
      </c>
      <c r="CT37" s="9">
        <f t="shared" si="154"/>
        <v>0.75824148690804782</v>
      </c>
      <c r="CU37" s="6">
        <f t="shared" si="155"/>
        <v>0.33126761304327751</v>
      </c>
      <c r="CV37" s="4">
        <f t="shared" si="238"/>
        <v>-0.66378448269743495</v>
      </c>
      <c r="CW37" s="5">
        <f t="shared" si="156"/>
        <v>-0.2622248652667552</v>
      </c>
      <c r="CX37" s="8">
        <f t="shared" si="157"/>
        <v>-0.33460546208971476</v>
      </c>
      <c r="CY37" s="9">
        <f t="shared" si="158"/>
        <v>-0.29000035602775209</v>
      </c>
      <c r="CZ37" s="5">
        <f t="shared" si="159"/>
        <v>-8.7926596377540273E-2</v>
      </c>
      <c r="DA37" s="6">
        <f t="shared" si="160"/>
        <v>-0.33460546208971476</v>
      </c>
      <c r="DB37" s="4">
        <f t="shared" si="161"/>
        <v>0</v>
      </c>
      <c r="DC37" s="5">
        <f t="shared" si="161"/>
        <v>0</v>
      </c>
      <c r="DD37" s="10">
        <f t="shared" si="162"/>
        <v>-10</v>
      </c>
      <c r="DE37" s="9">
        <f t="shared" si="163"/>
        <v>0</v>
      </c>
      <c r="DF37" s="5">
        <f t="shared" si="163"/>
        <v>0</v>
      </c>
      <c r="DG37" s="10">
        <f t="shared" si="164"/>
        <v>10</v>
      </c>
      <c r="DH37" s="70">
        <f t="shared" si="165"/>
        <v>0.42709999999999998</v>
      </c>
      <c r="DI37" s="4">
        <f t="shared" si="166"/>
        <v>0</v>
      </c>
      <c r="DJ37" s="5">
        <f t="shared" si="167"/>
        <v>0</v>
      </c>
      <c r="DK37" s="10">
        <f t="shared" si="168"/>
        <v>20</v>
      </c>
      <c r="DL37" s="9">
        <f t="shared" si="169"/>
        <v>-0.66378448269743495</v>
      </c>
      <c r="DM37" s="173">
        <f t="shared" si="170"/>
        <v>-0.2622248652667552</v>
      </c>
      <c r="DN37" s="178">
        <f t="shared" si="171"/>
        <v>9.6653945379102844</v>
      </c>
      <c r="DO37" s="9">
        <f t="shared" si="172"/>
        <v>0.37378412666968286</v>
      </c>
      <c r="DP37" s="173">
        <f t="shared" si="173"/>
        <v>0.17429826888921493</v>
      </c>
      <c r="DQ37" s="11">
        <f t="shared" si="174"/>
        <v>0</v>
      </c>
      <c r="DR37" s="173">
        <f t="shared" si="175"/>
        <v>193.3078907582057</v>
      </c>
      <c r="DS37" s="5">
        <f t="shared" si="176"/>
        <v>0</v>
      </c>
      <c r="DT37" s="5">
        <f t="shared" si="177"/>
        <v>400</v>
      </c>
      <c r="DU37" s="5">
        <f t="shared" si="178"/>
        <v>0.1700944598879946</v>
      </c>
      <c r="DV37" s="5">
        <f t="shared" si="179"/>
        <v>-0.29381744323765097</v>
      </c>
      <c r="DW37" s="5">
        <f t="shared" si="180"/>
        <v>93.929223292900033</v>
      </c>
      <c r="DX37" s="167">
        <f t="shared" si="181"/>
        <v>93.746808882900027</v>
      </c>
      <c r="DY37" s="9">
        <f t="shared" si="182"/>
        <v>68.037783955197838</v>
      </c>
      <c r="DZ37" s="5">
        <f t="shared" si="183"/>
        <v>-117.52697729506039</v>
      </c>
      <c r="EA37" s="10">
        <f t="shared" si="184"/>
        <v>130.78292377362231</v>
      </c>
      <c r="EB37" s="6">
        <f t="shared" si="185"/>
        <v>4914.4100793748185</v>
      </c>
      <c r="EC37" s="173">
        <f t="shared" si="186"/>
        <v>2.7577298959903427</v>
      </c>
      <c r="ED37" s="5">
        <f t="shared" si="187"/>
        <v>0.69702628397138777</v>
      </c>
      <c r="EE37" s="4">
        <f t="shared" si="188"/>
        <v>0.36701117806619055</v>
      </c>
      <c r="EF37" s="5">
        <f t="shared" si="189"/>
        <v>0.21844268166839625</v>
      </c>
      <c r="EG37" s="10">
        <f t="shared" si="190"/>
        <v>-0.33460546208971476</v>
      </c>
      <c r="EH37" s="9">
        <f t="shared" si="191"/>
        <v>-0.40324712187737544</v>
      </c>
      <c r="EI37" s="5">
        <f t="shared" si="192"/>
        <v>-0.14073439060025997</v>
      </c>
      <c r="EJ37" s="6">
        <f t="shared" si="193"/>
        <v>-0.33460546208971476</v>
      </c>
      <c r="EK37" s="236" t="b">
        <f t="shared" si="194"/>
        <v>0</v>
      </c>
      <c r="EL37" s="238" t="b">
        <f t="shared" si="195"/>
        <v>1</v>
      </c>
      <c r="EM37" s="4">
        <f t="shared" si="196"/>
        <v>-0.40324712187737544</v>
      </c>
      <c r="EN37" s="5">
        <f t="shared" si="197"/>
        <v>-0.14073439060025997</v>
      </c>
      <c r="EO37" s="10">
        <f t="shared" si="198"/>
        <v>-0.33460546208971476</v>
      </c>
      <c r="EP37" s="9">
        <f t="shared" si="199"/>
        <v>199.23913233411588</v>
      </c>
      <c r="EQ37" s="5">
        <f t="shared" si="200"/>
        <v>0.42710000000001574</v>
      </c>
      <c r="ER37" s="7">
        <f t="shared" si="201"/>
        <v>-0.33460546208971476</v>
      </c>
      <c r="ES37" s="21">
        <f t="shared" si="124"/>
        <v>-0.40821764411847367</v>
      </c>
      <c r="ET37" s="5">
        <f t="shared" si="35"/>
        <v>0.87542622523097635</v>
      </c>
      <c r="EU37" s="10">
        <f t="shared" si="36"/>
        <v>-0.25881900859134599</v>
      </c>
      <c r="EV37" s="174">
        <f t="shared" si="252"/>
        <v>250.76086766588412</v>
      </c>
      <c r="EW37" s="9">
        <f t="shared" si="125"/>
        <v>0.96104745286265125</v>
      </c>
      <c r="EX37" s="5">
        <f t="shared" si="37"/>
        <v>9.6956248576370863E-2</v>
      </c>
      <c r="EY37" s="6">
        <f t="shared" si="202"/>
        <v>-0.25881900859134599</v>
      </c>
      <c r="EZ37" s="51">
        <f t="shared" si="203"/>
        <v>4.0498848462379575</v>
      </c>
      <c r="FA37" s="266">
        <f t="shared" si="126"/>
        <v>-0.32868875708787787</v>
      </c>
      <c r="FB37" s="267">
        <f t="shared" si="127"/>
        <v>0.94179393340758666</v>
      </c>
      <c r="FC37" s="269">
        <f t="shared" si="38"/>
        <v>-7.0624981137640805E-2</v>
      </c>
      <c r="FD37" s="4">
        <f t="shared" si="128"/>
        <v>0.99750293836123993</v>
      </c>
      <c r="FE37" s="5">
        <f t="shared" si="39"/>
        <v>-7.7715611723760958E-16</v>
      </c>
      <c r="FF37" s="7">
        <f t="shared" si="204"/>
        <v>-7.0624981137640805E-2</v>
      </c>
      <c r="FG37" s="173">
        <f t="shared" si="205"/>
        <v>-3.645548549858868E-2</v>
      </c>
      <c r="FH37" s="5">
        <f t="shared" si="40"/>
        <v>9.695624857637164E-2</v>
      </c>
      <c r="FI37" s="10">
        <f t="shared" si="41"/>
        <v>-0.18819402745370517</v>
      </c>
      <c r="FJ37" s="279">
        <f t="shared" si="206"/>
        <v>12.331918904714438</v>
      </c>
      <c r="FK37" s="4">
        <f t="shared" si="42"/>
        <v>0.9659258360722075</v>
      </c>
      <c r="FL37" s="5">
        <f t="shared" si="207"/>
        <v>0.99750293836123993</v>
      </c>
      <c r="FM37" s="8">
        <f t="shared" si="208"/>
        <v>0.10358337975245342</v>
      </c>
      <c r="FN37" s="9">
        <f t="shared" si="209"/>
        <v>5.7608510619408229</v>
      </c>
      <c r="FO37" s="10">
        <f t="shared" si="43"/>
        <v>-1</v>
      </c>
      <c r="FP37" s="277">
        <f t="shared" si="44"/>
        <v>-5.7608510619408229</v>
      </c>
      <c r="FQ37" s="173">
        <f t="shared" si="239"/>
        <v>0.10037649367639778</v>
      </c>
      <c r="FR37" s="10">
        <f t="shared" si="210"/>
        <v>0.99494952611538645</v>
      </c>
      <c r="FS37" s="9">
        <f t="shared" si="211"/>
        <v>9.164074609994094E-2</v>
      </c>
      <c r="FT37" s="6">
        <f t="shared" si="212"/>
        <v>0.90835925390005912</v>
      </c>
      <c r="FU37" s="4">
        <f t="shared" si="213"/>
        <v>0.99528864449565435</v>
      </c>
      <c r="FV37" s="5">
        <f t="shared" si="214"/>
        <v>0.99999999999999989</v>
      </c>
      <c r="FW37" s="8">
        <f t="shared" si="240"/>
        <v>0.19169244740516969</v>
      </c>
      <c r="FX37" s="9">
        <f t="shared" si="241"/>
        <v>11.022798153146784</v>
      </c>
      <c r="FY37" s="10">
        <f t="shared" si="45"/>
        <v>1</v>
      </c>
      <c r="FZ37" s="277">
        <f t="shared" si="242"/>
        <v>11.022798153146784</v>
      </c>
      <c r="GA37" s="177">
        <f t="shared" si="215"/>
        <v>10.970314090534883</v>
      </c>
      <c r="GB37" s="4">
        <f t="shared" si="216"/>
        <v>9.8524666043240436E-2</v>
      </c>
      <c r="GC37" s="5">
        <f t="shared" si="217"/>
        <v>0.97659388368781486</v>
      </c>
      <c r="GD37" s="10">
        <f t="shared" si="218"/>
        <v>-0.19119957250113981</v>
      </c>
      <c r="GE37" s="311">
        <f t="shared" si="219"/>
        <v>1.2663181222321951</v>
      </c>
      <c r="GF37" s="341">
        <f t="shared" si="243"/>
        <v>0.78969098083920308</v>
      </c>
      <c r="GG37" s="285">
        <f t="shared" si="46"/>
        <v>7.7804040164541469E-2</v>
      </c>
      <c r="GH37" s="286">
        <f t="shared" si="47"/>
        <v>0.77120738189099713</v>
      </c>
      <c r="GI37" s="281">
        <f t="shared" si="48"/>
        <v>0.15098857794446141</v>
      </c>
      <c r="GJ37" s="167">
        <f t="shared" si="220"/>
        <v>0.42709999999999998</v>
      </c>
      <c r="GK37" s="174">
        <f t="shared" si="49"/>
        <v>0.22418885043629563</v>
      </c>
      <c r="GL37" s="174">
        <f t="shared" si="221"/>
        <v>4.0099999999999997E-2</v>
      </c>
      <c r="GM37" s="177">
        <f t="shared" si="244"/>
        <v>0.10787967482994544</v>
      </c>
      <c r="GN37" s="280">
        <f t="shared" si="222"/>
        <v>7.4147193836889705E-3</v>
      </c>
      <c r="GO37" s="4">
        <f t="shared" si="223"/>
        <v>-5.7608510619408229</v>
      </c>
      <c r="GP37" s="8">
        <f t="shared" si="245"/>
        <v>11.022798153146784</v>
      </c>
      <c r="GQ37" s="177">
        <f t="shared" si="224"/>
        <v>12.331918904714438</v>
      </c>
      <c r="GR37" s="371">
        <f t="shared" si="246"/>
        <v>349.7103287750727</v>
      </c>
      <c r="GS37" s="342">
        <f t="shared" si="51"/>
        <v>27.208876465970754</v>
      </c>
      <c r="GT37" s="343">
        <f t="shared" si="52"/>
        <v>121.36587708540969</v>
      </c>
      <c r="GU37" s="344">
        <f t="shared" si="53"/>
        <v>269.69918707486363</v>
      </c>
      <c r="GV37" s="343">
        <f t="shared" si="253"/>
        <v>1203</v>
      </c>
      <c r="GW37" s="345">
        <f t="shared" si="129"/>
        <v>30000</v>
      </c>
      <c r="GX37" s="346">
        <f t="shared" si="54"/>
        <v>42.816775</v>
      </c>
      <c r="GY37" s="344">
        <f t="shared" si="55"/>
        <v>52.802265234238284</v>
      </c>
      <c r="GZ37" s="345">
        <f t="shared" si="56"/>
        <v>235.5258307069214</v>
      </c>
      <c r="HA37" s="342">
        <f t="shared" si="57"/>
        <v>-27.208876465970754</v>
      </c>
      <c r="HB37" s="5">
        <f t="shared" si="225"/>
        <v>250.76086766588412</v>
      </c>
      <c r="HC37" s="343">
        <f t="shared" si="226"/>
        <v>8.9656395419246468</v>
      </c>
      <c r="HD37" s="363">
        <f t="shared" si="227"/>
        <v>25.689302562442879</v>
      </c>
      <c r="HE37" s="344">
        <f t="shared" si="58"/>
        <v>1203</v>
      </c>
      <c r="HF37" s="5">
        <f t="shared" si="59"/>
        <v>340.76086766588412</v>
      </c>
      <c r="HG37" s="343">
        <f t="shared" si="228"/>
        <v>1135.8143002071288</v>
      </c>
      <c r="HH37" s="349">
        <f t="shared" si="229"/>
        <v>-396.40241604333158</v>
      </c>
      <c r="HI37" s="317">
        <f t="shared" si="60"/>
        <v>5.1020000000000003</v>
      </c>
      <c r="HJ37" s="336"/>
      <c r="HK37" s="310">
        <f t="shared" si="130"/>
        <v>29</v>
      </c>
      <c r="HL37" s="348">
        <f t="shared" si="61"/>
        <v>5.12</v>
      </c>
      <c r="HM37" s="934">
        <f t="shared" si="62"/>
        <v>20.826353251426724</v>
      </c>
      <c r="HN37" s="935">
        <f t="shared" si="63"/>
        <v>24.682186713902937</v>
      </c>
      <c r="HO37" s="936"/>
      <c r="HP37" s="937"/>
      <c r="HQ37" s="935">
        <f t="shared" si="64"/>
        <v>23.255700221470214</v>
      </c>
      <c r="HR37" s="938">
        <f t="shared" si="65"/>
        <v>11.361696954900649</v>
      </c>
      <c r="HS37" s="939">
        <f t="shared" si="249"/>
        <v>4.6105</v>
      </c>
      <c r="HT37" s="940">
        <f t="shared" si="66"/>
        <v>1.44E-2</v>
      </c>
      <c r="HU37" s="941">
        <f t="shared" si="67"/>
        <v>0.41715718473516339</v>
      </c>
      <c r="HV37" s="942">
        <f t="shared" si="68"/>
        <v>2.8671790757403611E-2</v>
      </c>
      <c r="HW37" s="943">
        <f t="shared" si="69"/>
        <v>30000</v>
      </c>
      <c r="HX37" s="950">
        <f t="shared" si="70"/>
        <v>165.97799999999998</v>
      </c>
      <c r="HY37" s="955">
        <f t="shared" si="71"/>
        <v>396.70686515403958</v>
      </c>
      <c r="HZ37" s="956">
        <f t="shared" si="72"/>
        <v>1042.8929618379084</v>
      </c>
      <c r="IA37" s="957">
        <f t="shared" si="73"/>
        <v>224.20791245828161</v>
      </c>
      <c r="IB37" s="958">
        <f t="shared" si="74"/>
        <v>1663.8077394502297</v>
      </c>
      <c r="IC37" s="841">
        <f t="shared" si="75"/>
        <v>164.32881610834133</v>
      </c>
      <c r="ID37" s="351">
        <f t="shared" si="76"/>
        <v>432</v>
      </c>
      <c r="IE37" s="843">
        <f t="shared" si="77"/>
        <v>92.874169954396308</v>
      </c>
      <c r="IF37" s="845"/>
      <c r="IG37" s="789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7">
        <f t="shared" si="230"/>
        <v>5.1020000000000003</v>
      </c>
      <c r="IJ37" s="967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8"/>
        <v>1313</v>
      </c>
      <c r="IM37" s="482" t="str">
        <f t="shared" si="231"/>
        <v/>
      </c>
      <c r="IN37" s="670" t="str">
        <f t="shared" si="80"/>
        <v/>
      </c>
      <c r="IO37" s="702"/>
      <c r="IP37" s="5" t="str">
        <f t="shared" si="81"/>
        <v/>
      </c>
      <c r="IQ37" s="714"/>
      <c r="IR37" s="9" t="str">
        <f t="shared" si="131"/>
        <v/>
      </c>
      <c r="IS37" s="5" t="str">
        <f t="shared" si="82"/>
        <v/>
      </c>
      <c r="IT37" s="5" t="str">
        <f t="shared" si="83"/>
        <v/>
      </c>
      <c r="IU37" s="5" t="str">
        <f t="shared" si="84"/>
        <v/>
      </c>
      <c r="IV37" s="670" t="str">
        <f t="shared" si="85"/>
        <v/>
      </c>
      <c r="IW37" s="9" t="str">
        <f t="shared" si="86"/>
        <v/>
      </c>
      <c r="IX37" s="5" t="str">
        <f t="shared" si="87"/>
        <v/>
      </c>
      <c r="IY37" s="5" t="str">
        <f t="shared" si="88"/>
        <v/>
      </c>
      <c r="IZ37" s="5" t="str">
        <f t="shared" si="89"/>
        <v/>
      </c>
      <c r="JA37" s="705" t="str">
        <f t="shared" si="90"/>
        <v/>
      </c>
    </row>
    <row r="38" spans="1:269" ht="15" customHeight="1" x14ac:dyDescent="0.25">
      <c r="A38" s="75">
        <f t="shared" si="1"/>
        <v>0</v>
      </c>
      <c r="B38" s="578">
        <f t="shared" ref="B38:D38" si="302">IFERROR(O193+($A38*-E38),"")</f>
        <v>-1.0269405895170447</v>
      </c>
      <c r="C38" s="572">
        <f t="shared" si="302"/>
        <v>-0.47886989905023347</v>
      </c>
      <c r="D38" s="576">
        <f t="shared" si="302"/>
        <v>-0.35560107249283468</v>
      </c>
      <c r="E38" s="580">
        <f t="shared" ref="E38:K38" si="303">R193</f>
        <v>0.40821764411847383</v>
      </c>
      <c r="F38" s="572">
        <f t="shared" si="303"/>
        <v>-0.87542622523097635</v>
      </c>
      <c r="G38" s="579">
        <f t="shared" si="303"/>
        <v>0.25881900859134593</v>
      </c>
      <c r="H38" s="580">
        <f t="shared" si="303"/>
        <v>0.26450000000000001</v>
      </c>
      <c r="I38" s="572">
        <f t="shared" si="303"/>
        <v>0.52</v>
      </c>
      <c r="J38" s="483">
        <f t="shared" si="92"/>
        <v>5.1050000000000004</v>
      </c>
      <c r="K38" s="805">
        <f t="shared" si="303"/>
        <v>1313</v>
      </c>
      <c r="L38" s="309"/>
      <c r="M38" s="164">
        <f t="shared" si="4"/>
        <v>5.1050000000000004</v>
      </c>
      <c r="N38" s="575">
        <f t="shared" si="5"/>
        <v>-1.0269405895170447</v>
      </c>
      <c r="O38" s="572">
        <f t="shared" si="6"/>
        <v>-0.47886989905023347</v>
      </c>
      <c r="P38" s="576">
        <f t="shared" si="7"/>
        <v>-0.35560107249283468</v>
      </c>
      <c r="Q38" s="528">
        <f t="shared" si="134"/>
        <v>204.99998339605673</v>
      </c>
      <c r="R38" s="572">
        <f t="shared" si="93"/>
        <v>1.1331034174399071</v>
      </c>
      <c r="S38" s="577">
        <f t="shared" si="94"/>
        <v>-0.35560107249283468</v>
      </c>
      <c r="T38" s="578">
        <f t="shared" si="95"/>
        <v>-0.48495541915731533</v>
      </c>
      <c r="U38" s="572">
        <f t="shared" si="96"/>
        <v>1.0240808542512396</v>
      </c>
      <c r="V38" s="579">
        <f t="shared" si="135"/>
        <v>-0.35560107249283468</v>
      </c>
      <c r="W38" s="528">
        <f t="shared" si="256"/>
        <v>115.33998334696682</v>
      </c>
      <c r="X38" s="572">
        <f t="shared" si="97"/>
        <v>1.1331034174399071</v>
      </c>
      <c r="Y38" s="573">
        <f t="shared" si="259"/>
        <v>-0.35560107249283468</v>
      </c>
      <c r="Z38" s="575">
        <f t="shared" si="10"/>
        <v>-0.40821764411847383</v>
      </c>
      <c r="AA38" s="572">
        <f t="shared" si="11"/>
        <v>0.87542622523097635</v>
      </c>
      <c r="AB38" s="572">
        <f t="shared" si="12"/>
        <v>-0.25881900859134593</v>
      </c>
      <c r="AC38" s="579">
        <f t="shared" si="98"/>
        <v>1</v>
      </c>
      <c r="AD38" s="580">
        <f t="shared" si="136"/>
        <v>-0.40821764411847383</v>
      </c>
      <c r="AE38" s="572">
        <f t="shared" si="99"/>
        <v>0.87542622523097635</v>
      </c>
      <c r="AF38" s="576">
        <f t="shared" si="100"/>
        <v>-0.25881900859134593</v>
      </c>
      <c r="AG38" s="545">
        <f t="shared" si="101"/>
        <v>73.529731540060425</v>
      </c>
      <c r="AH38" s="546">
        <f t="shared" si="102"/>
        <v>114.09291906762731</v>
      </c>
      <c r="AI38" s="528">
        <f t="shared" si="103"/>
        <v>-75.000002165731729</v>
      </c>
      <c r="AJ38" s="529">
        <f t="shared" si="104"/>
        <v>-155.00001660394327</v>
      </c>
      <c r="AK38" s="578">
        <f t="shared" si="234"/>
        <v>0.9659258360722075</v>
      </c>
      <c r="AL38" s="572">
        <f t="shared" si="105"/>
        <v>-3.3306690738754696E-16</v>
      </c>
      <c r="AM38" s="577">
        <f t="shared" si="106"/>
        <v>-0.25881900859134593</v>
      </c>
      <c r="AN38" s="524">
        <f t="shared" si="107"/>
        <v>-7.3732328211302732E-14</v>
      </c>
      <c r="AO38" s="525">
        <f t="shared" si="108"/>
        <v>14.99999783426823</v>
      </c>
      <c r="AP38" s="528">
        <f t="shared" si="109"/>
        <v>-1.975651481316681E-14</v>
      </c>
      <c r="AQ38" s="529">
        <f t="shared" si="13"/>
        <v>1.5287052054092607</v>
      </c>
      <c r="AS38" s="899">
        <f t="shared" si="137"/>
        <v>-244.66001665303318</v>
      </c>
      <c r="AT38" s="895">
        <f t="shared" si="14"/>
        <v>-0.22629561040311991</v>
      </c>
      <c r="AU38" s="418"/>
      <c r="AV38" s="164">
        <f t="shared" si="15"/>
        <v>5.1050000000000004</v>
      </c>
      <c r="AW38" s="828">
        <f>IFERROR(INDEX(MassProp!C$9:C$150,MATCH($M38,MassProp!$B$9:$B$150,0)),"")</f>
        <v>1.0539000000000001</v>
      </c>
      <c r="AX38" s="829">
        <f>IFERROR(INDEX(MassProp!D$9:D$150,MATCH($M38,MassProp!$B$9:$B$150,0)),"")</f>
        <v>0.1236</v>
      </c>
      <c r="AY38" s="830">
        <f>IFERROR(INDEX(MassProp!E$9:E$150,MATCH($M38,MassProp!$B$9:$B$150,0)),"")</f>
        <v>4.0099999999999997E-2</v>
      </c>
      <c r="AZ38" s="297">
        <f t="shared" si="138"/>
        <v>0.26564542779410244</v>
      </c>
      <c r="BA38" s="296">
        <f t="shared" si="16"/>
        <v>1.8258177972432402E-2</v>
      </c>
      <c r="BB38" s="190">
        <f t="shared" si="139"/>
        <v>0.15989561040311989</v>
      </c>
      <c r="BC38" s="9"/>
      <c r="BD38" s="5">
        <f t="shared" si="235"/>
        <v>1.0539000000000001</v>
      </c>
      <c r="BE38" s="6">
        <f t="shared" si="17"/>
        <v>-0.19570546208971479</v>
      </c>
      <c r="BF38" s="4">
        <f t="shared" si="18"/>
        <v>-1.0269405895170447</v>
      </c>
      <c r="BG38" s="5">
        <f t="shared" si="19"/>
        <v>-0.47886989905023347</v>
      </c>
      <c r="BH38" s="10">
        <f t="shared" si="20"/>
        <v>-0.35560107249283468</v>
      </c>
      <c r="BI38" s="9">
        <f t="shared" si="140"/>
        <v>-1.0269405895170447</v>
      </c>
      <c r="BJ38" s="5">
        <f t="shared" si="21"/>
        <v>-0.19535213684240488</v>
      </c>
      <c r="BK38" s="8">
        <f t="shared" si="22"/>
        <v>0.60336591260762495</v>
      </c>
      <c r="BL38" s="173">
        <f t="shared" si="23"/>
        <v>-0.1140559554967524</v>
      </c>
      <c r="BM38" s="5">
        <f t="shared" si="24"/>
        <v>-8.7402655605128277E-2</v>
      </c>
      <c r="BN38" s="6">
        <f t="shared" si="25"/>
        <v>-0.47133802544705611</v>
      </c>
      <c r="BO38" s="4">
        <f t="shared" si="141"/>
        <v>-0.40821764411847372</v>
      </c>
      <c r="BP38" s="5">
        <f t="shared" si="142"/>
        <v>0.87542622523097613</v>
      </c>
      <c r="BQ38" s="5">
        <f t="shared" si="143"/>
        <v>-0.25881900859134588</v>
      </c>
      <c r="BR38" s="6">
        <f t="shared" si="144"/>
        <v>-9.2036317036614898E-2</v>
      </c>
      <c r="BS38" s="4">
        <f t="shared" si="110"/>
        <v>0</v>
      </c>
      <c r="BT38" s="5">
        <f t="shared" si="110"/>
        <v>0</v>
      </c>
      <c r="BU38" s="10">
        <f t="shared" si="111"/>
        <v>-0.19570546208971479</v>
      </c>
      <c r="BV38" s="9">
        <f t="shared" si="112"/>
        <v>0</v>
      </c>
      <c r="BW38" s="5">
        <f t="shared" si="113"/>
        <v>1</v>
      </c>
      <c r="BX38" s="8">
        <f t="shared" si="114"/>
        <v>-0.19570546208971479</v>
      </c>
      <c r="BY38" s="173">
        <f t="shared" si="115"/>
        <v>1</v>
      </c>
      <c r="BZ38" s="5">
        <f t="shared" si="116"/>
        <v>0</v>
      </c>
      <c r="CA38" s="6">
        <f t="shared" si="117"/>
        <v>-0.19570546208971479</v>
      </c>
      <c r="CB38" s="4">
        <f t="shared" si="145"/>
        <v>0</v>
      </c>
      <c r="CC38" s="5">
        <f t="shared" si="146"/>
        <v>0</v>
      </c>
      <c r="CD38" s="5">
        <f t="shared" si="147"/>
        <v>-1</v>
      </c>
      <c r="CE38" s="6">
        <f t="shared" si="148"/>
        <v>-0.19570546208971479</v>
      </c>
      <c r="CF38" s="4">
        <f t="shared" si="149"/>
        <v>-0.87542622523097613</v>
      </c>
      <c r="CG38" s="5">
        <f t="shared" si="150"/>
        <v>-0.40821764411847372</v>
      </c>
      <c r="CH38" s="5">
        <f t="shared" si="151"/>
        <v>0</v>
      </c>
      <c r="CI38" s="4">
        <f t="shared" si="118"/>
        <v>0</v>
      </c>
      <c r="CJ38" s="5">
        <f t="shared" si="119"/>
        <v>4.7272999334381095E-2</v>
      </c>
      <c r="CK38" s="8">
        <f t="shared" si="120"/>
        <v>-0.19570546208971479</v>
      </c>
      <c r="CL38" s="173">
        <f t="shared" si="121"/>
        <v>-0.87542622523097613</v>
      </c>
      <c r="CM38" s="5">
        <f t="shared" si="122"/>
        <v>-0.36094464478409261</v>
      </c>
      <c r="CN38" s="6">
        <f t="shared" si="123"/>
        <v>-0.19570546208971479</v>
      </c>
      <c r="CO38" s="167">
        <f t="shared" si="26"/>
        <v>0.26450000000000001</v>
      </c>
      <c r="CP38" s="4">
        <f t="shared" si="236"/>
        <v>0.93301272079179265</v>
      </c>
      <c r="CQ38" s="5">
        <f t="shared" si="237"/>
        <v>-2.2275830765312254</v>
      </c>
      <c r="CR38" s="5">
        <f t="shared" si="152"/>
        <v>1.2870396801443644</v>
      </c>
      <c r="CS38" s="8">
        <f t="shared" si="153"/>
        <v>0.15882878789435129</v>
      </c>
      <c r="CT38" s="9">
        <f t="shared" si="154"/>
        <v>1.4073314939072721</v>
      </c>
      <c r="CU38" s="6">
        <f t="shared" si="155"/>
        <v>0.98018480344911074</v>
      </c>
      <c r="CV38" s="4">
        <f t="shared" si="238"/>
        <v>-1.2320148973599137</v>
      </c>
      <c r="CW38" s="5">
        <f t="shared" si="156"/>
        <v>-0.52722454760217763</v>
      </c>
      <c r="CX38" s="8">
        <f t="shared" si="157"/>
        <v>-0.19570546208971479</v>
      </c>
      <c r="CY38" s="9">
        <f t="shared" si="158"/>
        <v>-0.85807948251222133</v>
      </c>
      <c r="CZ38" s="5">
        <f t="shared" si="159"/>
        <v>-0.35285573193034409</v>
      </c>
      <c r="DA38" s="6">
        <f t="shared" si="160"/>
        <v>-0.19570546208971479</v>
      </c>
      <c r="DB38" s="4">
        <f t="shared" si="161"/>
        <v>0</v>
      </c>
      <c r="DC38" s="5">
        <f t="shared" si="161"/>
        <v>0</v>
      </c>
      <c r="DD38" s="10">
        <f t="shared" si="162"/>
        <v>-10</v>
      </c>
      <c r="DE38" s="9">
        <f t="shared" si="163"/>
        <v>0</v>
      </c>
      <c r="DF38" s="5">
        <f t="shared" si="163"/>
        <v>0</v>
      </c>
      <c r="DG38" s="10">
        <f t="shared" si="164"/>
        <v>10</v>
      </c>
      <c r="DH38" s="70">
        <f t="shared" si="165"/>
        <v>1.0539000000000001</v>
      </c>
      <c r="DI38" s="4">
        <f t="shared" si="166"/>
        <v>0</v>
      </c>
      <c r="DJ38" s="5">
        <f t="shared" si="167"/>
        <v>0</v>
      </c>
      <c r="DK38" s="10">
        <f t="shared" si="168"/>
        <v>20</v>
      </c>
      <c r="DL38" s="9">
        <f t="shared" si="169"/>
        <v>-1.2320148973599137</v>
      </c>
      <c r="DM38" s="173">
        <f t="shared" si="170"/>
        <v>-0.52722454760217763</v>
      </c>
      <c r="DN38" s="178">
        <f t="shared" si="171"/>
        <v>9.8042945379102857</v>
      </c>
      <c r="DO38" s="9">
        <f t="shared" si="172"/>
        <v>0.37393541484769233</v>
      </c>
      <c r="DP38" s="173">
        <f t="shared" si="173"/>
        <v>0.17436881567183354</v>
      </c>
      <c r="DQ38" s="11">
        <f t="shared" si="174"/>
        <v>0</v>
      </c>
      <c r="DR38" s="173">
        <f t="shared" si="175"/>
        <v>196.08589075820572</v>
      </c>
      <c r="DS38" s="5">
        <f t="shared" si="176"/>
        <v>0</v>
      </c>
      <c r="DT38" s="5">
        <f t="shared" si="177"/>
        <v>400</v>
      </c>
      <c r="DU38" s="5">
        <f t="shared" si="178"/>
        <v>0.17023217835611365</v>
      </c>
      <c r="DV38" s="5">
        <f t="shared" si="179"/>
        <v>-0.55262552170132628</v>
      </c>
      <c r="DW38" s="5">
        <f t="shared" si="180"/>
        <v>97.920017817008542</v>
      </c>
      <c r="DX38" s="167">
        <f t="shared" si="181"/>
        <v>96.809312607008536</v>
      </c>
      <c r="DY38" s="9">
        <f t="shared" si="182"/>
        <v>68.092871342445463</v>
      </c>
      <c r="DZ38" s="5">
        <f t="shared" si="183"/>
        <v>-221.05020868053052</v>
      </c>
      <c r="EA38" s="10">
        <f t="shared" si="184"/>
        <v>274.04848836443125</v>
      </c>
      <c r="EB38" s="6">
        <f t="shared" si="185"/>
        <v>30202.446297915205</v>
      </c>
      <c r="EC38" s="173">
        <f t="shared" si="186"/>
        <v>5.7985323743139432</v>
      </c>
      <c r="ED38" s="5">
        <f t="shared" si="187"/>
        <v>0.69407703758317585</v>
      </c>
      <c r="EE38" s="4">
        <f t="shared" si="188"/>
        <v>0.93626171153694515</v>
      </c>
      <c r="EF38" s="5">
        <f t="shared" si="189"/>
        <v>0.48385867514172964</v>
      </c>
      <c r="EG38" s="10">
        <f t="shared" si="190"/>
        <v>-0.19570546208971479</v>
      </c>
      <c r="EH38" s="9">
        <f t="shared" si="191"/>
        <v>-0.9724749123749914</v>
      </c>
      <c r="EI38" s="5">
        <f t="shared" si="192"/>
        <v>-0.40619915657378458</v>
      </c>
      <c r="EJ38" s="6">
        <f t="shared" si="193"/>
        <v>-0.19570546208971479</v>
      </c>
      <c r="EK38" s="236" t="b">
        <f t="shared" si="194"/>
        <v>0</v>
      </c>
      <c r="EL38" s="238" t="b">
        <f t="shared" si="195"/>
        <v>1</v>
      </c>
      <c r="EM38" s="4">
        <f t="shared" si="196"/>
        <v>-0.9724749123749914</v>
      </c>
      <c r="EN38" s="5">
        <f t="shared" si="197"/>
        <v>-0.40619915657378458</v>
      </c>
      <c r="EO38" s="10">
        <f t="shared" si="198"/>
        <v>-0.19570546208971479</v>
      </c>
      <c r="EP38" s="9">
        <f t="shared" si="199"/>
        <v>202.67011252973015</v>
      </c>
      <c r="EQ38" s="5">
        <f t="shared" si="200"/>
        <v>1.0539000000000005</v>
      </c>
      <c r="ER38" s="7">
        <f t="shared" si="201"/>
        <v>-0.19570546208971479</v>
      </c>
      <c r="ES38" s="21">
        <f t="shared" si="124"/>
        <v>-0.40821764411847383</v>
      </c>
      <c r="ET38" s="5">
        <f t="shared" si="35"/>
        <v>0.87542622523097635</v>
      </c>
      <c r="EU38" s="10">
        <f t="shared" si="36"/>
        <v>-0.25881900859134593</v>
      </c>
      <c r="EV38" s="174">
        <f t="shared" si="252"/>
        <v>247.32988747026985</v>
      </c>
      <c r="EW38" s="9">
        <f t="shared" si="125"/>
        <v>0.96512734074553952</v>
      </c>
      <c r="EX38" s="5">
        <f t="shared" si="37"/>
        <v>3.9267504851165869E-2</v>
      </c>
      <c r="EY38" s="6">
        <f t="shared" si="202"/>
        <v>-0.25881900859134593</v>
      </c>
      <c r="EZ38" s="51">
        <f t="shared" si="203"/>
        <v>1.6435306995979215</v>
      </c>
      <c r="FA38" s="266">
        <f t="shared" si="126"/>
        <v>-0.38526620315666943</v>
      </c>
      <c r="FB38" s="267">
        <f t="shared" si="127"/>
        <v>0.92235966296934357</v>
      </c>
      <c r="FC38" s="269">
        <f t="shared" si="38"/>
        <v>-2.868108840896506E-2</v>
      </c>
      <c r="FD38" s="4">
        <f t="shared" si="128"/>
        <v>0.99958861296419188</v>
      </c>
      <c r="FE38" s="5">
        <f t="shared" si="39"/>
        <v>2.2204460492503131E-16</v>
      </c>
      <c r="FF38" s="7">
        <f t="shared" si="204"/>
        <v>-2.868108840896506E-2</v>
      </c>
      <c r="FG38" s="173">
        <f t="shared" si="205"/>
        <v>-3.4461272218652361E-2</v>
      </c>
      <c r="FH38" s="5">
        <f t="shared" si="40"/>
        <v>3.9267504851165647E-2</v>
      </c>
      <c r="FI38" s="10">
        <f t="shared" si="41"/>
        <v>-0.23013792018238088</v>
      </c>
      <c r="FJ38" s="279">
        <f t="shared" si="206"/>
        <v>13.553012468106658</v>
      </c>
      <c r="FK38" s="4">
        <f t="shared" si="42"/>
        <v>0.9659258360722075</v>
      </c>
      <c r="FL38" s="5">
        <f t="shared" si="207"/>
        <v>0.99958861296419199</v>
      </c>
      <c r="FM38" s="8">
        <f t="shared" si="208"/>
        <v>5.2244772180232331E-2</v>
      </c>
      <c r="FN38" s="9">
        <f t="shared" si="209"/>
        <v>2.3298708663265351</v>
      </c>
      <c r="FO38" s="10">
        <f t="shared" si="43"/>
        <v>-1</v>
      </c>
      <c r="FP38" s="277">
        <f t="shared" si="44"/>
        <v>-2.3298708663265351</v>
      </c>
      <c r="FQ38" s="173">
        <f t="shared" si="239"/>
        <v>4.0652712024807761E-2</v>
      </c>
      <c r="FR38" s="10">
        <f t="shared" si="210"/>
        <v>0.99917333681650455</v>
      </c>
      <c r="FS38" s="9">
        <f t="shared" si="211"/>
        <v>3.9095685350552099E-2</v>
      </c>
      <c r="FT38" s="6">
        <f t="shared" si="212"/>
        <v>0.96090431464944792</v>
      </c>
      <c r="FU38" s="4">
        <f t="shared" si="213"/>
        <v>0.99922873410584223</v>
      </c>
      <c r="FV38" s="5">
        <f t="shared" si="214"/>
        <v>1</v>
      </c>
      <c r="FW38" s="8">
        <f t="shared" si="240"/>
        <v>0.23270376358967634</v>
      </c>
      <c r="FX38" s="9">
        <f t="shared" si="241"/>
        <v>13.368317350745077</v>
      </c>
      <c r="FY38" s="10">
        <f t="shared" si="45"/>
        <v>1</v>
      </c>
      <c r="FZ38" s="277">
        <f t="shared" si="242"/>
        <v>13.368317350745077</v>
      </c>
      <c r="GA38" s="177">
        <f t="shared" si="215"/>
        <v>13.357329699256725</v>
      </c>
      <c r="GB38" s="4">
        <f t="shared" si="216"/>
        <v>3.955118119302406E-2</v>
      </c>
      <c r="GC38" s="5">
        <f t="shared" si="217"/>
        <v>0.97209961449933713</v>
      </c>
      <c r="GD38" s="10">
        <f t="shared" si="218"/>
        <v>-0.23120995557388246</v>
      </c>
      <c r="GE38" s="311">
        <f t="shared" si="219"/>
        <v>1.2428607512662437</v>
      </c>
      <c r="GF38" s="341">
        <f t="shared" si="243"/>
        <v>0.80459536515348651</v>
      </c>
      <c r="GG38" s="285">
        <f t="shared" si="46"/>
        <v>3.1822697074252906E-2</v>
      </c>
      <c r="GH38" s="286">
        <f t="shared" si="47"/>
        <v>0.78214684429365766</v>
      </c>
      <c r="GI38" s="281">
        <f t="shared" si="48"/>
        <v>0.18603045863208936</v>
      </c>
      <c r="GJ38" s="167">
        <f t="shared" si="220"/>
        <v>1.0539000000000001</v>
      </c>
      <c r="GK38" s="174">
        <f t="shared" si="49"/>
        <v>0.55204785493371256</v>
      </c>
      <c r="GL38" s="174">
        <f t="shared" si="221"/>
        <v>4.0099999999999997E-2</v>
      </c>
      <c r="GM38" s="177">
        <f t="shared" si="244"/>
        <v>0.26564542779410244</v>
      </c>
      <c r="GN38" s="280">
        <f t="shared" si="222"/>
        <v>1.8258177972432402E-2</v>
      </c>
      <c r="GO38" s="4">
        <f t="shared" si="223"/>
        <v>-2.3298708663265351</v>
      </c>
      <c r="GP38" s="8">
        <f t="shared" si="245"/>
        <v>13.368317350745077</v>
      </c>
      <c r="GQ38" s="177">
        <f t="shared" si="224"/>
        <v>13.553012468106658</v>
      </c>
      <c r="GR38" s="371">
        <f t="shared" si="246"/>
        <v>849.09064625198971</v>
      </c>
      <c r="GS38" s="342">
        <f t="shared" si="51"/>
        <v>27.020354424258706</v>
      </c>
      <c r="GT38" s="343">
        <f t="shared" si="52"/>
        <v>48.945674152656906</v>
      </c>
      <c r="GU38" s="344">
        <f t="shared" si="53"/>
        <v>664.11356948525622</v>
      </c>
      <c r="GV38" s="343">
        <f t="shared" si="253"/>
        <v>1203</v>
      </c>
      <c r="GW38" s="345">
        <f t="shared" si="129"/>
        <v>30000</v>
      </c>
      <c r="GX38" s="346">
        <f t="shared" si="54"/>
        <v>105.653475</v>
      </c>
      <c r="GY38" s="344">
        <f t="shared" si="55"/>
        <v>157.95672234247482</v>
      </c>
      <c r="GZ38" s="345">
        <f t="shared" si="56"/>
        <v>286.12867694493906</v>
      </c>
      <c r="HA38" s="342">
        <f t="shared" si="57"/>
        <v>-27.020354424258706</v>
      </c>
      <c r="HB38" s="5">
        <f t="shared" si="225"/>
        <v>247.32988747026985</v>
      </c>
      <c r="HC38" s="343">
        <f t="shared" si="226"/>
        <v>10.414313670612589</v>
      </c>
      <c r="HD38" s="363">
        <f t="shared" si="227"/>
        <v>24.932742006900259</v>
      </c>
      <c r="HE38" s="344">
        <f t="shared" si="58"/>
        <v>1203</v>
      </c>
      <c r="HF38" s="5">
        <f t="shared" si="59"/>
        <v>337.32988747026985</v>
      </c>
      <c r="HG38" s="343">
        <f t="shared" si="228"/>
        <v>1110.0553369267616</v>
      </c>
      <c r="HH38" s="349">
        <f t="shared" si="229"/>
        <v>-463.6659885741177</v>
      </c>
      <c r="HI38" s="317">
        <f t="shared" si="60"/>
        <v>5.1050000000000004</v>
      </c>
      <c r="HJ38" s="336"/>
      <c r="HK38" s="310">
        <f t="shared" si="130"/>
        <v>30</v>
      </c>
      <c r="HL38" s="348">
        <f t="shared" si="61"/>
        <v>3.121</v>
      </c>
      <c r="HM38" s="934">
        <f t="shared" si="62"/>
        <v>22.783399531587985</v>
      </c>
      <c r="HN38" s="935">
        <f t="shared" si="63"/>
        <v>25.763982048374896</v>
      </c>
      <c r="HO38" s="936"/>
      <c r="HP38" s="937"/>
      <c r="HQ38" s="935">
        <f t="shared" si="64"/>
        <v>24.271811714294305</v>
      </c>
      <c r="HR38" s="938">
        <f t="shared" si="65"/>
        <v>9.3811961136449948</v>
      </c>
      <c r="HS38" s="939">
        <f t="shared" si="249"/>
        <v>4.7435999999999998</v>
      </c>
      <c r="HT38" s="940">
        <f t="shared" si="66"/>
        <v>1.09E-2</v>
      </c>
      <c r="HU38" s="941">
        <f t="shared" si="67"/>
        <v>0.32488020529697753</v>
      </c>
      <c r="HV38" s="942">
        <f t="shared" si="68"/>
        <v>2.2329466226048412E-2</v>
      </c>
      <c r="HW38" s="943">
        <f t="shared" si="69"/>
        <v>30000</v>
      </c>
      <c r="HX38" s="950">
        <f t="shared" si="70"/>
        <v>129.26310000000001</v>
      </c>
      <c r="HY38" s="955">
        <f t="shared" si="71"/>
        <v>341.14078845315987</v>
      </c>
      <c r="HZ38" s="956">
        <f t="shared" si="72"/>
        <v>812.20051324244378</v>
      </c>
      <c r="IA38" s="957">
        <f t="shared" si="73"/>
        <v>145.54084449410141</v>
      </c>
      <c r="IB38" s="958">
        <f t="shared" si="74"/>
        <v>1298.8821461897051</v>
      </c>
      <c r="IC38" s="841">
        <f t="shared" si="75"/>
        <v>137.34667241078736</v>
      </c>
      <c r="ID38" s="351">
        <f t="shared" si="76"/>
        <v>327</v>
      </c>
      <c r="IE38" s="843">
        <f t="shared" si="77"/>
        <v>58.596190686430752</v>
      </c>
      <c r="IF38" s="845"/>
      <c r="IG38" s="789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7">
        <f t="shared" si="230"/>
        <v>5.1050000000000004</v>
      </c>
      <c r="IJ38" s="967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8"/>
        <v>1313</v>
      </c>
      <c r="IM38" s="482" t="str">
        <f t="shared" si="231"/>
        <v/>
      </c>
      <c r="IN38" s="670" t="str">
        <f t="shared" si="80"/>
        <v/>
      </c>
      <c r="IO38" s="702">
        <v>4.6812793704495502E-2</v>
      </c>
      <c r="IP38" s="5" t="str">
        <f t="shared" si="81"/>
        <v/>
      </c>
      <c r="IQ38" s="714">
        <v>220</v>
      </c>
      <c r="IR38" s="9" t="str">
        <f t="shared" si="131"/>
        <v/>
      </c>
      <c r="IS38" s="5" t="str">
        <f t="shared" si="82"/>
        <v/>
      </c>
      <c r="IT38" s="5" t="str">
        <f t="shared" si="83"/>
        <v/>
      </c>
      <c r="IU38" s="5" t="str">
        <f t="shared" si="84"/>
        <v/>
      </c>
      <c r="IV38" s="670" t="str">
        <f t="shared" si="85"/>
        <v/>
      </c>
      <c r="IW38" s="9" t="str">
        <f t="shared" si="86"/>
        <v/>
      </c>
      <c r="IX38" s="5" t="str">
        <f t="shared" si="87"/>
        <v/>
      </c>
      <c r="IY38" s="5" t="str">
        <f t="shared" si="88"/>
        <v/>
      </c>
      <c r="IZ38" s="5" t="str">
        <f t="shared" si="89"/>
        <v/>
      </c>
      <c r="JA38" s="705" t="str">
        <f t="shared" si="90"/>
        <v/>
      </c>
    </row>
    <row r="39" spans="1:269" ht="15" customHeight="1" x14ac:dyDescent="0.25">
      <c r="A39" s="75">
        <f t="shared" si="1"/>
        <v>0</v>
      </c>
      <c r="B39" s="578">
        <f t="shared" ref="B39:D39" si="304">IFERROR(O194+($A39*-E39),"")</f>
        <v>-1.5950161005127943</v>
      </c>
      <c r="C39" s="572">
        <f t="shared" si="304"/>
        <v>-0.74376765981687964</v>
      </c>
      <c r="D39" s="576">
        <f t="shared" si="304"/>
        <v>-0.21660065326757019</v>
      </c>
      <c r="E39" s="580">
        <f t="shared" ref="E39:K39" si="305">R194</f>
        <v>0.40821764411847355</v>
      </c>
      <c r="F39" s="572">
        <f t="shared" si="305"/>
        <v>-0.87542622523097646</v>
      </c>
      <c r="G39" s="579">
        <f t="shared" si="305"/>
        <v>0.25881900859134593</v>
      </c>
      <c r="H39" s="580">
        <f t="shared" si="305"/>
        <v>0.26450000000000001</v>
      </c>
      <c r="I39" s="572">
        <f t="shared" si="305"/>
        <v>0.52</v>
      </c>
      <c r="J39" s="483">
        <f t="shared" si="92"/>
        <v>5.1079999999999997</v>
      </c>
      <c r="K39" s="805">
        <f t="shared" si="305"/>
        <v>1313</v>
      </c>
      <c r="L39" s="309"/>
      <c r="M39" s="164">
        <f t="shared" si="4"/>
        <v>5.1079999999999997</v>
      </c>
      <c r="N39" s="575">
        <f t="shared" si="5"/>
        <v>-1.5950161005127943</v>
      </c>
      <c r="O39" s="572">
        <f t="shared" si="6"/>
        <v>-0.74376765981687964</v>
      </c>
      <c r="P39" s="576">
        <f t="shared" si="7"/>
        <v>-0.21660065326757019</v>
      </c>
      <c r="Q39" s="528">
        <f t="shared" si="134"/>
        <v>204.99998339605673</v>
      </c>
      <c r="R39" s="572">
        <f t="shared" si="93"/>
        <v>1.7599053078744089</v>
      </c>
      <c r="S39" s="577">
        <f t="shared" si="94"/>
        <v>-0.21660065326757019</v>
      </c>
      <c r="T39" s="578">
        <f t="shared" si="95"/>
        <v>-0.75321952358570232</v>
      </c>
      <c r="U39" s="572">
        <f t="shared" si="96"/>
        <v>1.5905744377343192</v>
      </c>
      <c r="V39" s="579">
        <f t="shared" si="135"/>
        <v>-0.21660065326757019</v>
      </c>
      <c r="W39" s="528">
        <f t="shared" si="256"/>
        <v>115.33998334696682</v>
      </c>
      <c r="X39" s="572">
        <f t="shared" si="97"/>
        <v>1.7599053078744089</v>
      </c>
      <c r="Y39" s="573">
        <f t="shared" si="259"/>
        <v>-0.21660065326757019</v>
      </c>
      <c r="Z39" s="575">
        <f t="shared" si="10"/>
        <v>-0.40821764411847355</v>
      </c>
      <c r="AA39" s="572">
        <f t="shared" si="11"/>
        <v>0.87542622523097646</v>
      </c>
      <c r="AB39" s="572">
        <f t="shared" si="12"/>
        <v>-0.25881900859134593</v>
      </c>
      <c r="AC39" s="579">
        <f t="shared" si="98"/>
        <v>1</v>
      </c>
      <c r="AD39" s="580">
        <f t="shared" si="136"/>
        <v>-0.40821764411847355</v>
      </c>
      <c r="AE39" s="572">
        <f t="shared" si="99"/>
        <v>0.87542622523097646</v>
      </c>
      <c r="AF39" s="576">
        <f t="shared" si="100"/>
        <v>-0.25881900859134593</v>
      </c>
      <c r="AG39" s="545">
        <f t="shared" si="101"/>
        <v>73.529731540060425</v>
      </c>
      <c r="AH39" s="546">
        <f t="shared" si="102"/>
        <v>114.09291906762729</v>
      </c>
      <c r="AI39" s="528">
        <f t="shared" si="103"/>
        <v>-75.000002165731729</v>
      </c>
      <c r="AJ39" s="529">
        <f t="shared" si="104"/>
        <v>-155.00001660394329</v>
      </c>
      <c r="AK39" s="578">
        <f t="shared" si="234"/>
        <v>0.9659258360722075</v>
      </c>
      <c r="AL39" s="572">
        <f t="shared" si="105"/>
        <v>-6.106226635438361E-16</v>
      </c>
      <c r="AM39" s="577">
        <f t="shared" si="106"/>
        <v>-0.25881900859134593</v>
      </c>
      <c r="AN39" s="524">
        <f t="shared" si="107"/>
        <v>-1.3517593505405501E-13</v>
      </c>
      <c r="AO39" s="525">
        <f t="shared" si="108"/>
        <v>14.99999783426823</v>
      </c>
      <c r="AP39" s="528">
        <f t="shared" si="109"/>
        <v>-3.622027715747248E-14</v>
      </c>
      <c r="AQ39" s="529">
        <f t="shared" si="13"/>
        <v>0.98438350918038486</v>
      </c>
      <c r="AS39" s="899">
        <f t="shared" si="137"/>
        <v>-244.66001665303318</v>
      </c>
      <c r="AT39" s="895">
        <f t="shared" si="14"/>
        <v>-8.7295191177855419E-2</v>
      </c>
      <c r="AU39" s="418"/>
      <c r="AV39" s="164">
        <f t="shared" si="15"/>
        <v>5.1079999999999997</v>
      </c>
      <c r="AW39" s="828">
        <f>IFERROR(INDEX(MassProp!C$9:C$150,MATCH($M39,MassProp!$B$9:$B$150,0)),"")</f>
        <v>1.6807000000000001</v>
      </c>
      <c r="AX39" s="829">
        <f>IFERROR(INDEX(MassProp!D$9:D$150,MATCH($M39,MassProp!$B$9:$B$150,0)),"")</f>
        <v>0.2626</v>
      </c>
      <c r="AY39" s="830">
        <f>IFERROR(INDEX(MassProp!E$9:E$150,MATCH($M39,MassProp!$B$9:$B$150,0)),"")</f>
        <v>4.0099999999999997E-2</v>
      </c>
      <c r="AZ39" s="297">
        <f t="shared" si="138"/>
        <v>0.42353053240904276</v>
      </c>
      <c r="BA39" s="296">
        <f t="shared" si="16"/>
        <v>2.9109839765346902E-2</v>
      </c>
      <c r="BB39" s="190">
        <f t="shared" si="139"/>
        <v>0.15989519117785542</v>
      </c>
      <c r="BC39" s="9"/>
      <c r="BD39" s="5">
        <f t="shared" si="235"/>
        <v>1.6807000000000001</v>
      </c>
      <c r="BE39" s="6">
        <f t="shared" si="17"/>
        <v>-5.6705462089714775E-2</v>
      </c>
      <c r="BF39" s="4">
        <f t="shared" si="18"/>
        <v>-1.5950161005127943</v>
      </c>
      <c r="BG39" s="5">
        <f t="shared" si="19"/>
        <v>-0.74376765981687964</v>
      </c>
      <c r="BH39" s="10">
        <f t="shared" si="20"/>
        <v>-0.21660065326757019</v>
      </c>
      <c r="BI39" s="9">
        <f t="shared" si="140"/>
        <v>-1.5950161005127943</v>
      </c>
      <c r="BJ39" s="5">
        <f t="shared" si="21"/>
        <v>-0.46024989760905105</v>
      </c>
      <c r="BK39" s="8">
        <f t="shared" si="22"/>
        <v>0.74236633183288947</v>
      </c>
      <c r="BL39" s="173">
        <f t="shared" si="23"/>
        <v>-0.68213146649250189</v>
      </c>
      <c r="BM39" s="5">
        <f t="shared" si="24"/>
        <v>-0.35230041637177462</v>
      </c>
      <c r="BN39" s="6">
        <f t="shared" si="25"/>
        <v>-0.33233760622179159</v>
      </c>
      <c r="BO39" s="4">
        <f t="shared" si="141"/>
        <v>-0.40821764411847355</v>
      </c>
      <c r="BP39" s="5">
        <f t="shared" si="142"/>
        <v>0.87542622523097635</v>
      </c>
      <c r="BQ39" s="5">
        <f t="shared" si="143"/>
        <v>-0.25881900859134582</v>
      </c>
      <c r="BR39" s="6">
        <f t="shared" si="144"/>
        <v>-5.6060366338949841E-2</v>
      </c>
      <c r="BS39" s="4">
        <f t="shared" si="110"/>
        <v>0</v>
      </c>
      <c r="BT39" s="5">
        <f t="shared" si="110"/>
        <v>0</v>
      </c>
      <c r="BU39" s="10">
        <f t="shared" si="111"/>
        <v>-5.6705462089714775E-2</v>
      </c>
      <c r="BV39" s="9">
        <f t="shared" si="112"/>
        <v>0</v>
      </c>
      <c r="BW39" s="5">
        <f t="shared" si="113"/>
        <v>1</v>
      </c>
      <c r="BX39" s="8">
        <f t="shared" si="114"/>
        <v>-5.6705462089714775E-2</v>
      </c>
      <c r="BY39" s="173">
        <f t="shared" si="115"/>
        <v>1</v>
      </c>
      <c r="BZ39" s="5">
        <f t="shared" si="116"/>
        <v>0</v>
      </c>
      <c r="CA39" s="6">
        <f t="shared" si="117"/>
        <v>-5.6705462089714775E-2</v>
      </c>
      <c r="CB39" s="4">
        <f t="shared" si="145"/>
        <v>0</v>
      </c>
      <c r="CC39" s="5">
        <f t="shared" si="146"/>
        <v>0</v>
      </c>
      <c r="CD39" s="5">
        <f t="shared" si="147"/>
        <v>-1</v>
      </c>
      <c r="CE39" s="6">
        <f t="shared" si="148"/>
        <v>-5.6705462089714775E-2</v>
      </c>
      <c r="CF39" s="4">
        <f t="shared" si="149"/>
        <v>-0.87542622523097635</v>
      </c>
      <c r="CG39" s="5">
        <f t="shared" si="150"/>
        <v>-0.40821764411847355</v>
      </c>
      <c r="CH39" s="5">
        <f t="shared" si="151"/>
        <v>0</v>
      </c>
      <c r="CI39" s="4">
        <f t="shared" si="118"/>
        <v>0</v>
      </c>
      <c r="CJ39" s="5">
        <f t="shared" si="119"/>
        <v>4.7272875390792411E-2</v>
      </c>
      <c r="CK39" s="8">
        <f t="shared" si="120"/>
        <v>-5.6705462089714775E-2</v>
      </c>
      <c r="CL39" s="173">
        <f t="shared" si="121"/>
        <v>-0.87542622523097635</v>
      </c>
      <c r="CM39" s="5">
        <f t="shared" si="122"/>
        <v>-0.36094476872768116</v>
      </c>
      <c r="CN39" s="6">
        <f t="shared" si="123"/>
        <v>-5.6705462089714775E-2</v>
      </c>
      <c r="CO39" s="167">
        <f t="shared" si="26"/>
        <v>0.26450000000000001</v>
      </c>
      <c r="CP39" s="4">
        <f t="shared" si="236"/>
        <v>0.93301272079179287</v>
      </c>
      <c r="CQ39" s="5">
        <f t="shared" si="237"/>
        <v>-3.4384712554784786</v>
      </c>
      <c r="CR39" s="5">
        <f t="shared" si="152"/>
        <v>3.1254277113984839</v>
      </c>
      <c r="CS39" s="8">
        <f t="shared" si="153"/>
        <v>0.15882932415188122</v>
      </c>
      <c r="CT39" s="9">
        <f t="shared" si="154"/>
        <v>2.056244860655339</v>
      </c>
      <c r="CU39" s="6">
        <f t="shared" si="155"/>
        <v>1.6290974491048655</v>
      </c>
      <c r="CV39" s="4">
        <f t="shared" si="238"/>
        <v>-1.8000906765140983</v>
      </c>
      <c r="CW39" s="5">
        <f t="shared" si="156"/>
        <v>-0.79212255735664905</v>
      </c>
      <c r="CX39" s="8">
        <f t="shared" si="157"/>
        <v>-5.6705462089714775E-2</v>
      </c>
      <c r="CY39" s="9">
        <f t="shared" si="158"/>
        <v>-1.4261546304032851</v>
      </c>
      <c r="CZ39" s="5">
        <f t="shared" si="159"/>
        <v>-0.61775344732221071</v>
      </c>
      <c r="DA39" s="6">
        <f t="shared" si="160"/>
        <v>-5.6705462089714775E-2</v>
      </c>
      <c r="DB39" s="4">
        <f t="shared" si="161"/>
        <v>0</v>
      </c>
      <c r="DC39" s="5">
        <f t="shared" si="161"/>
        <v>0</v>
      </c>
      <c r="DD39" s="10">
        <f t="shared" si="162"/>
        <v>-10</v>
      </c>
      <c r="DE39" s="9">
        <f t="shared" si="163"/>
        <v>0</v>
      </c>
      <c r="DF39" s="5">
        <f t="shared" si="163"/>
        <v>0</v>
      </c>
      <c r="DG39" s="10">
        <f t="shared" si="164"/>
        <v>10</v>
      </c>
      <c r="DH39" s="70">
        <f t="shared" si="165"/>
        <v>1.6807000000000001</v>
      </c>
      <c r="DI39" s="4">
        <f t="shared" si="166"/>
        <v>0</v>
      </c>
      <c r="DJ39" s="5">
        <f t="shared" si="167"/>
        <v>0</v>
      </c>
      <c r="DK39" s="10">
        <f t="shared" si="168"/>
        <v>20</v>
      </c>
      <c r="DL39" s="9">
        <f t="shared" si="169"/>
        <v>-1.8000906765140983</v>
      </c>
      <c r="DM39" s="173">
        <f t="shared" si="170"/>
        <v>-0.79212255735664905</v>
      </c>
      <c r="DN39" s="178">
        <f t="shared" si="171"/>
        <v>9.9432945379102851</v>
      </c>
      <c r="DO39" s="9">
        <f t="shared" si="172"/>
        <v>0.37393604611081321</v>
      </c>
      <c r="DP39" s="173">
        <f t="shared" si="173"/>
        <v>0.17436911003443833</v>
      </c>
      <c r="DQ39" s="11">
        <f t="shared" si="174"/>
        <v>0</v>
      </c>
      <c r="DR39" s="173">
        <f t="shared" si="175"/>
        <v>198.86589075820569</v>
      </c>
      <c r="DS39" s="5">
        <f t="shared" si="176"/>
        <v>0</v>
      </c>
      <c r="DT39" s="5">
        <f t="shared" si="177"/>
        <v>400</v>
      </c>
      <c r="DU39" s="5">
        <f t="shared" si="178"/>
        <v>0.17023275311519029</v>
      </c>
      <c r="DV39" s="5">
        <f t="shared" si="179"/>
        <v>-0.811240495581103</v>
      </c>
      <c r="DW39" s="5">
        <f t="shared" si="180"/>
        <v>102.73689085718273</v>
      </c>
      <c r="DX39" s="167">
        <f t="shared" si="181"/>
        <v>99.912138367182735</v>
      </c>
      <c r="DY39" s="9">
        <f t="shared" si="182"/>
        <v>68.093101246076117</v>
      </c>
      <c r="DZ39" s="5">
        <f t="shared" si="183"/>
        <v>-324.4961982324412</v>
      </c>
      <c r="EA39" s="10">
        <f t="shared" si="184"/>
        <v>417.2128398184941</v>
      </c>
      <c r="EB39" s="6">
        <f t="shared" si="185"/>
        <v>76888.46652438413</v>
      </c>
      <c r="EC39" s="173">
        <f t="shared" si="186"/>
        <v>8.837663192439436</v>
      </c>
      <c r="ED39" s="5">
        <f t="shared" si="187"/>
        <v>0.69329346232565769</v>
      </c>
      <c r="EE39" s="4">
        <f t="shared" si="188"/>
        <v>1.5046301545257712</v>
      </c>
      <c r="EF39" s="5">
        <f t="shared" si="189"/>
        <v>0.7488929082931286</v>
      </c>
      <c r="EG39" s="10">
        <f t="shared" si="190"/>
        <v>-5.6705462089714775E-2</v>
      </c>
      <c r="EH39" s="9">
        <f t="shared" si="191"/>
        <v>-1.5408432604175659</v>
      </c>
      <c r="EI39" s="5">
        <f t="shared" si="192"/>
        <v>-0.67123359333822974</v>
      </c>
      <c r="EJ39" s="6">
        <f t="shared" si="193"/>
        <v>-5.6705462089714775E-2</v>
      </c>
      <c r="EK39" s="236" t="b">
        <f t="shared" si="194"/>
        <v>0</v>
      </c>
      <c r="EL39" s="238" t="b">
        <f t="shared" si="195"/>
        <v>1</v>
      </c>
      <c r="EM39" s="4">
        <f t="shared" si="196"/>
        <v>-1.5408432604175659</v>
      </c>
      <c r="EN39" s="5">
        <f t="shared" si="197"/>
        <v>-0.67123359333822974</v>
      </c>
      <c r="EO39" s="10">
        <f t="shared" si="198"/>
        <v>-5.6705462089714775E-2</v>
      </c>
      <c r="EP39" s="9">
        <f t="shared" si="199"/>
        <v>203.53926241019238</v>
      </c>
      <c r="EQ39" s="5">
        <f t="shared" si="200"/>
        <v>1.6806999999999961</v>
      </c>
      <c r="ER39" s="7">
        <f t="shared" si="201"/>
        <v>-5.6705462089714775E-2</v>
      </c>
      <c r="ES39" s="21">
        <f t="shared" si="124"/>
        <v>-0.40821764411847355</v>
      </c>
      <c r="ET39" s="5">
        <f t="shared" si="35"/>
        <v>0.87542622523097646</v>
      </c>
      <c r="EU39" s="10">
        <f t="shared" si="36"/>
        <v>-0.25881900859134593</v>
      </c>
      <c r="EV39" s="174">
        <f t="shared" si="252"/>
        <v>246.46073758980762</v>
      </c>
      <c r="EW39" s="9">
        <f t="shared" si="125"/>
        <v>0.96561194458597832</v>
      </c>
      <c r="EX39" s="5">
        <f t="shared" si="37"/>
        <v>2.4623023061329463E-2</v>
      </c>
      <c r="EY39" s="6">
        <f t="shared" si="202"/>
        <v>-0.25881900859134593</v>
      </c>
      <c r="EZ39" s="51">
        <f t="shared" si="203"/>
        <v>1.030764157432603</v>
      </c>
      <c r="FA39" s="266">
        <f t="shared" si="126"/>
        <v>-0.39931277114095748</v>
      </c>
      <c r="FB39" s="267">
        <f t="shared" si="127"/>
        <v>0.91663825874872817</v>
      </c>
      <c r="FC39" s="269">
        <f t="shared" si="38"/>
        <v>-1.7989257956594364E-2</v>
      </c>
      <c r="FD39" s="4">
        <f t="shared" si="128"/>
        <v>0.99983818020626269</v>
      </c>
      <c r="FE39" s="5">
        <f t="shared" si="39"/>
        <v>5.5511151231257827E-17</v>
      </c>
      <c r="FF39" s="7">
        <f t="shared" si="204"/>
        <v>-1.7989257956594364E-2</v>
      </c>
      <c r="FG39" s="173">
        <f t="shared" si="205"/>
        <v>-3.4226235620284373E-2</v>
      </c>
      <c r="FH39" s="5">
        <f t="shared" si="40"/>
        <v>2.4623023061329408E-2</v>
      </c>
      <c r="FI39" s="10">
        <f t="shared" si="41"/>
        <v>-0.24082975063475157</v>
      </c>
      <c r="FJ39" s="279">
        <f t="shared" si="206"/>
        <v>14.043529223333412</v>
      </c>
      <c r="FK39" s="4">
        <f t="shared" si="42"/>
        <v>0.9659258360722075</v>
      </c>
      <c r="FL39" s="5">
        <f t="shared" si="207"/>
        <v>0.99983818020626269</v>
      </c>
      <c r="FM39" s="8">
        <f t="shared" si="208"/>
        <v>4.2163117406259026E-2</v>
      </c>
      <c r="FN39" s="9">
        <f t="shared" si="209"/>
        <v>1.460720985864304</v>
      </c>
      <c r="FO39" s="10">
        <f t="shared" si="43"/>
        <v>-1</v>
      </c>
      <c r="FP39" s="277">
        <f t="shared" si="44"/>
        <v>-1.460720985864304</v>
      </c>
      <c r="FQ39" s="173">
        <f t="shared" si="239"/>
        <v>2.5491629006896534E-2</v>
      </c>
      <c r="FR39" s="10">
        <f t="shared" si="210"/>
        <v>0.99967503562436466</v>
      </c>
      <c r="FS39" s="9">
        <f t="shared" si="211"/>
        <v>2.4865838781507332E-2</v>
      </c>
      <c r="FT39" s="6">
        <f t="shared" si="212"/>
        <v>0.97513416121849272</v>
      </c>
      <c r="FU39" s="4">
        <f t="shared" si="213"/>
        <v>0.99969680740478595</v>
      </c>
      <c r="FV39" s="5">
        <f t="shared" si="214"/>
        <v>1</v>
      </c>
      <c r="FW39" s="8">
        <f t="shared" si="240"/>
        <v>0.24324967419409185</v>
      </c>
      <c r="FX39" s="9">
        <f t="shared" si="241"/>
        <v>13.973889859755474</v>
      </c>
      <c r="FY39" s="10">
        <f t="shared" si="45"/>
        <v>1</v>
      </c>
      <c r="FZ39" s="277">
        <f t="shared" si="242"/>
        <v>13.973889859755474</v>
      </c>
      <c r="GA39" s="177">
        <f t="shared" si="215"/>
        <v>13.968944287336672</v>
      </c>
      <c r="GB39" s="4">
        <f t="shared" si="216"/>
        <v>2.4737226455876504E-2</v>
      </c>
      <c r="GC39" s="5">
        <f t="shared" si="217"/>
        <v>0.97009052390634665</v>
      </c>
      <c r="GD39" s="10">
        <f t="shared" si="218"/>
        <v>-0.2414796990522817</v>
      </c>
      <c r="GE39" s="311">
        <f t="shared" si="219"/>
        <v>1.2363074494145048</v>
      </c>
      <c r="GF39" s="341">
        <f t="shared" si="243"/>
        <v>0.80886028833166368</v>
      </c>
      <c r="GG39" s="285">
        <f t="shared" si="46"/>
        <v>2.0008960123625928E-2</v>
      </c>
      <c r="GH39" s="286">
        <f t="shared" si="47"/>
        <v>0.78466770087470217</v>
      </c>
      <c r="GI39" s="281">
        <f t="shared" si="48"/>
        <v>0.19532333900167195</v>
      </c>
      <c r="GJ39" s="167">
        <f t="shared" si="220"/>
        <v>1.6807000000000001</v>
      </c>
      <c r="GK39" s="174">
        <f t="shared" si="49"/>
        <v>0.88015488863059599</v>
      </c>
      <c r="GL39" s="174">
        <f t="shared" si="221"/>
        <v>4.0099999999999997E-2</v>
      </c>
      <c r="GM39" s="177">
        <f t="shared" si="244"/>
        <v>0.42353053240904276</v>
      </c>
      <c r="GN39" s="280">
        <f t="shared" si="222"/>
        <v>2.9109839765346902E-2</v>
      </c>
      <c r="GO39" s="4">
        <f t="shared" si="223"/>
        <v>-1.460720985864304</v>
      </c>
      <c r="GP39" s="8">
        <f t="shared" si="245"/>
        <v>13.973889859755474</v>
      </c>
      <c r="GQ39" s="177">
        <f t="shared" si="224"/>
        <v>14.043529223333412</v>
      </c>
      <c r="GR39" s="371">
        <f t="shared" si="246"/>
        <v>1349.3945651672534</v>
      </c>
      <c r="GS39" s="342">
        <f t="shared" si="51"/>
        <v>26.999982045469118</v>
      </c>
      <c r="GT39" s="343">
        <f t="shared" si="52"/>
        <v>30.676398431959516</v>
      </c>
      <c r="GU39" s="344">
        <f t="shared" si="53"/>
        <v>1058.8263310226071</v>
      </c>
      <c r="GV39" s="343">
        <f t="shared" si="253"/>
        <v>1203</v>
      </c>
      <c r="GW39" s="345">
        <f t="shared" si="129"/>
        <v>30000</v>
      </c>
      <c r="GX39" s="346">
        <f t="shared" si="54"/>
        <v>168.49017500000002</v>
      </c>
      <c r="GY39" s="344">
        <f t="shared" si="55"/>
        <v>263.56825209917713</v>
      </c>
      <c r="GZ39" s="345">
        <f t="shared" si="56"/>
        <v>299.45667007457553</v>
      </c>
      <c r="HA39" s="342">
        <f t="shared" si="57"/>
        <v>-26.999982045469118</v>
      </c>
      <c r="HB39" s="5">
        <f t="shared" si="225"/>
        <v>246.46073758980762</v>
      </c>
      <c r="HC39" s="343">
        <f t="shared" si="226"/>
        <v>10.783182583713897</v>
      </c>
      <c r="HD39" s="363">
        <f t="shared" si="227"/>
        <v>24.753222089698625</v>
      </c>
      <c r="HE39" s="344">
        <f t="shared" si="58"/>
        <v>1203</v>
      </c>
      <c r="HF39" s="5">
        <f t="shared" si="59"/>
        <v>336.46073758980765</v>
      </c>
      <c r="HG39" s="343">
        <f t="shared" si="228"/>
        <v>1102.8942954021161</v>
      </c>
      <c r="HH39" s="349">
        <f t="shared" si="229"/>
        <v>-480.45101016593776</v>
      </c>
      <c r="HI39" s="317">
        <f t="shared" si="60"/>
        <v>5.1079999999999997</v>
      </c>
      <c r="HJ39" s="336"/>
      <c r="HK39" s="310">
        <f t="shared" si="130"/>
        <v>31</v>
      </c>
      <c r="HL39" s="348">
        <f t="shared" si="61"/>
        <v>3.121</v>
      </c>
      <c r="HM39" s="934">
        <f t="shared" si="62"/>
        <v>22.783399531587985</v>
      </c>
      <c r="HN39" s="935">
        <f t="shared" si="63"/>
        <v>25.763982048374896</v>
      </c>
      <c r="HO39" s="936"/>
      <c r="HP39" s="937"/>
      <c r="HQ39" s="935">
        <f t="shared" si="64"/>
        <v>24.271811714294305</v>
      </c>
      <c r="HR39" s="938">
        <f t="shared" si="65"/>
        <v>9.3811961136449948</v>
      </c>
      <c r="HS39" s="939">
        <f t="shared" si="249"/>
        <v>4.7435999999999998</v>
      </c>
      <c r="HT39" s="940">
        <f t="shared" si="66"/>
        <v>1.09E-2</v>
      </c>
      <c r="HU39" s="941">
        <f t="shared" si="67"/>
        <v>0.32488020529697753</v>
      </c>
      <c r="HV39" s="942">
        <f t="shared" si="68"/>
        <v>2.2329466226048412E-2</v>
      </c>
      <c r="HW39" s="943">
        <f t="shared" si="69"/>
        <v>30000</v>
      </c>
      <c r="HX39" s="950">
        <f t="shared" si="70"/>
        <v>129.26310000000001</v>
      </c>
      <c r="HY39" s="955">
        <f t="shared" si="71"/>
        <v>341.14078845315987</v>
      </c>
      <c r="HZ39" s="956">
        <f t="shared" si="72"/>
        <v>812.20051324244378</v>
      </c>
      <c r="IA39" s="957">
        <f t="shared" si="73"/>
        <v>145.54084449410141</v>
      </c>
      <c r="IB39" s="958">
        <f t="shared" si="74"/>
        <v>1298.8821461897051</v>
      </c>
      <c r="IC39" s="841">
        <f t="shared" si="75"/>
        <v>137.34667241078736</v>
      </c>
      <c r="ID39" s="351">
        <f t="shared" si="76"/>
        <v>327</v>
      </c>
      <c r="IE39" s="843">
        <f t="shared" si="77"/>
        <v>58.596190686430752</v>
      </c>
      <c r="IF39" s="844"/>
      <c r="IG39" s="789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7">
        <f t="shared" si="230"/>
        <v>5.1079999999999997</v>
      </c>
      <c r="IJ39" s="967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8"/>
        <v>1313</v>
      </c>
      <c r="IM39" s="482" t="str">
        <f t="shared" si="231"/>
        <v/>
      </c>
      <c r="IN39" s="670" t="str">
        <f t="shared" si="80"/>
        <v/>
      </c>
      <c r="IO39" s="702">
        <v>4.6240311729790998E-2</v>
      </c>
      <c r="IP39" s="5" t="str">
        <f t="shared" si="81"/>
        <v/>
      </c>
      <c r="IQ39" s="714">
        <v>230</v>
      </c>
      <c r="IR39" s="9" t="str">
        <f t="shared" si="131"/>
        <v/>
      </c>
      <c r="IS39" s="5" t="str">
        <f t="shared" si="82"/>
        <v/>
      </c>
      <c r="IT39" s="5" t="str">
        <f t="shared" si="83"/>
        <v/>
      </c>
      <c r="IU39" s="5" t="str">
        <f t="shared" si="84"/>
        <v/>
      </c>
      <c r="IV39" s="670" t="str">
        <f t="shared" si="85"/>
        <v/>
      </c>
      <c r="IW39" s="9" t="str">
        <f t="shared" si="86"/>
        <v/>
      </c>
      <c r="IX39" s="5" t="str">
        <f t="shared" si="87"/>
        <v/>
      </c>
      <c r="IY39" s="5" t="str">
        <f t="shared" si="88"/>
        <v/>
      </c>
      <c r="IZ39" s="5" t="str">
        <f t="shared" si="89"/>
        <v/>
      </c>
      <c r="JA39" s="705" t="str">
        <f t="shared" si="90"/>
        <v/>
      </c>
    </row>
    <row r="40" spans="1:269" ht="15" customHeight="1" x14ac:dyDescent="0.25">
      <c r="A40" s="75">
        <f t="shared" si="1"/>
        <v>0</v>
      </c>
      <c r="B40" s="578">
        <f t="shared" ref="B40:D40" si="306">IFERROR(O195+($A40*-E40),"")</f>
        <v>-2.1631822425728378</v>
      </c>
      <c r="C40" s="572">
        <f t="shared" si="306"/>
        <v>-1.0087076825108976</v>
      </c>
      <c r="D40" s="576">
        <f t="shared" si="306"/>
        <v>-7.7600234042305788E-2</v>
      </c>
      <c r="E40" s="580">
        <f t="shared" ref="E40:K40" si="307">R195</f>
        <v>0.40821764411847389</v>
      </c>
      <c r="F40" s="572">
        <f t="shared" si="307"/>
        <v>-0.87542622523097635</v>
      </c>
      <c r="G40" s="579">
        <f t="shared" si="307"/>
        <v>0.25881900859134593</v>
      </c>
      <c r="H40" s="580">
        <f t="shared" si="307"/>
        <v>0.26450000000000001</v>
      </c>
      <c r="I40" s="572">
        <f t="shared" si="307"/>
        <v>0.52</v>
      </c>
      <c r="J40" s="483">
        <f t="shared" si="92"/>
        <v>5.1109999999999998</v>
      </c>
      <c r="K40" s="805">
        <f t="shared" si="307"/>
        <v>1313</v>
      </c>
      <c r="L40" s="309"/>
      <c r="M40" s="164">
        <f t="shared" si="4"/>
        <v>5.1109999999999998</v>
      </c>
      <c r="N40" s="575">
        <f t="shared" si="5"/>
        <v>-2.1631822425728378</v>
      </c>
      <c r="O40" s="572">
        <f t="shared" si="6"/>
        <v>-1.0087076825108976</v>
      </c>
      <c r="P40" s="576">
        <f t="shared" si="7"/>
        <v>-7.7600234042305788E-2</v>
      </c>
      <c r="Q40" s="528">
        <f t="shared" si="134"/>
        <v>204.99998339605673</v>
      </c>
      <c r="R40" s="572">
        <f t="shared" si="93"/>
        <v>2.3868071986105113</v>
      </c>
      <c r="S40" s="577">
        <f t="shared" si="94"/>
        <v>-7.7600234042305788E-2</v>
      </c>
      <c r="T40" s="578">
        <f t="shared" si="95"/>
        <v>-1.0215264270096904</v>
      </c>
      <c r="U40" s="572">
        <f t="shared" si="96"/>
        <v>2.1571583999001493</v>
      </c>
      <c r="V40" s="579">
        <f t="shared" si="135"/>
        <v>-7.7600234042305788E-2</v>
      </c>
      <c r="W40" s="528">
        <f t="shared" si="256"/>
        <v>115.33998334696682</v>
      </c>
      <c r="X40" s="572">
        <f t="shared" si="97"/>
        <v>2.3868071986105113</v>
      </c>
      <c r="Y40" s="573">
        <f t="shared" si="259"/>
        <v>-7.7600234042305788E-2</v>
      </c>
      <c r="Z40" s="575">
        <f t="shared" si="10"/>
        <v>-0.40821764411847389</v>
      </c>
      <c r="AA40" s="572">
        <f t="shared" si="11"/>
        <v>0.87542622523097635</v>
      </c>
      <c r="AB40" s="572">
        <f t="shared" si="12"/>
        <v>-0.25881900859134593</v>
      </c>
      <c r="AC40" s="579">
        <f t="shared" si="98"/>
        <v>1</v>
      </c>
      <c r="AD40" s="580">
        <f t="shared" si="136"/>
        <v>-0.40821764411847389</v>
      </c>
      <c r="AE40" s="572">
        <f t="shared" si="99"/>
        <v>0.87542622523097635</v>
      </c>
      <c r="AF40" s="576">
        <f t="shared" si="100"/>
        <v>-0.25881900859134593</v>
      </c>
      <c r="AG40" s="545">
        <f t="shared" si="101"/>
        <v>73.529731540060425</v>
      </c>
      <c r="AH40" s="546">
        <f t="shared" si="102"/>
        <v>114.09291906762731</v>
      </c>
      <c r="AI40" s="528">
        <f t="shared" si="103"/>
        <v>-75.000002165731729</v>
      </c>
      <c r="AJ40" s="529">
        <f t="shared" si="104"/>
        <v>-155.00001660394327</v>
      </c>
      <c r="AK40" s="578">
        <f t="shared" si="234"/>
        <v>0.9659258360722075</v>
      </c>
      <c r="AL40" s="572">
        <f t="shared" si="105"/>
        <v>-2.7755575615628914E-16</v>
      </c>
      <c r="AM40" s="577">
        <f t="shared" si="106"/>
        <v>-0.25881900859134593</v>
      </c>
      <c r="AN40" s="524">
        <f t="shared" si="107"/>
        <v>-6.1443606842752281E-14</v>
      </c>
      <c r="AO40" s="525">
        <f t="shared" si="108"/>
        <v>14.99999783426823</v>
      </c>
      <c r="AP40" s="528">
        <f t="shared" si="109"/>
        <v>-1.646376234430567E-14</v>
      </c>
      <c r="AQ40" s="529">
        <f t="shared" si="13"/>
        <v>0.7258648911721961</v>
      </c>
      <c r="AS40" s="899">
        <f t="shared" si="137"/>
        <v>-244.66001665303318</v>
      </c>
      <c r="AT40" s="895">
        <f t="shared" si="14"/>
        <v>5.1705228047408985E-2</v>
      </c>
      <c r="AU40" s="418"/>
      <c r="AV40" s="164">
        <f t="shared" si="15"/>
        <v>5.1109999999999998</v>
      </c>
      <c r="AW40" s="828">
        <f>IFERROR(INDEX(MassProp!C$9:C$150,MATCH($M40,MassProp!$B$9:$B$150,0)),"")</f>
        <v>2.3075999999999999</v>
      </c>
      <c r="AX40" s="829">
        <f>IFERROR(INDEX(MassProp!D$9:D$150,MATCH($M40,MassProp!$B$9:$B$150,0)),"")</f>
        <v>0.40160000000000001</v>
      </c>
      <c r="AY40" s="830">
        <f>IFERROR(INDEX(MassProp!E$9:E$150,MATCH($M40,MassProp!$B$9:$B$150,0)),"")</f>
        <v>4.0099999999999997E-2</v>
      </c>
      <c r="AZ40" s="297">
        <f t="shared" si="138"/>
        <v>0.58146296305149814</v>
      </c>
      <c r="BA40" s="296">
        <f t="shared" si="16"/>
        <v>3.9964754341643649E-2</v>
      </c>
      <c r="BB40" s="190">
        <f t="shared" si="139"/>
        <v>0.15989477195259102</v>
      </c>
      <c r="BC40" s="9"/>
      <c r="BD40" s="5">
        <f t="shared" si="235"/>
        <v>2.3075999999999999</v>
      </c>
      <c r="BE40" s="6">
        <f t="shared" si="17"/>
        <v>8.2294537910285237E-2</v>
      </c>
      <c r="BF40" s="4">
        <f t="shared" si="18"/>
        <v>-2.1631822425728378</v>
      </c>
      <c r="BG40" s="5">
        <f t="shared" si="19"/>
        <v>-1.0087076825108976</v>
      </c>
      <c r="BH40" s="10">
        <f t="shared" si="20"/>
        <v>-7.7600234042305788E-2</v>
      </c>
      <c r="BI40" s="9">
        <f t="shared" si="140"/>
        <v>-2.1631822425728378</v>
      </c>
      <c r="BJ40" s="5">
        <f t="shared" si="21"/>
        <v>-0.72518992030306895</v>
      </c>
      <c r="BK40" s="8">
        <f t="shared" si="22"/>
        <v>0.88136675105815387</v>
      </c>
      <c r="BL40" s="173">
        <f t="shared" si="23"/>
        <v>-1.2502976085525455</v>
      </c>
      <c r="BM40" s="5">
        <f t="shared" si="24"/>
        <v>-0.6172404390657924</v>
      </c>
      <c r="BN40" s="6">
        <f t="shared" si="25"/>
        <v>-0.19333718699652724</v>
      </c>
      <c r="BO40" s="4">
        <f t="shared" si="141"/>
        <v>-0.40821764411847355</v>
      </c>
      <c r="BP40" s="5">
        <f t="shared" si="142"/>
        <v>0.87542622523097591</v>
      </c>
      <c r="BQ40" s="5">
        <f t="shared" si="143"/>
        <v>-0.25881900859134588</v>
      </c>
      <c r="BR40" s="6">
        <f t="shared" si="144"/>
        <v>-2.0084415641285519E-2</v>
      </c>
      <c r="BS40" s="4">
        <f t="shared" si="110"/>
        <v>0</v>
      </c>
      <c r="BT40" s="5">
        <f t="shared" si="110"/>
        <v>0</v>
      </c>
      <c r="BU40" s="10">
        <f t="shared" si="111"/>
        <v>8.2294537910285237E-2</v>
      </c>
      <c r="BV40" s="9">
        <f t="shared" si="112"/>
        <v>0</v>
      </c>
      <c r="BW40" s="5">
        <f t="shared" si="113"/>
        <v>1</v>
      </c>
      <c r="BX40" s="8">
        <f t="shared" si="114"/>
        <v>8.2294537910285237E-2</v>
      </c>
      <c r="BY40" s="173">
        <f t="shared" si="115"/>
        <v>1</v>
      </c>
      <c r="BZ40" s="5">
        <f t="shared" si="116"/>
        <v>0</v>
      </c>
      <c r="CA40" s="6">
        <f t="shared" si="117"/>
        <v>8.2294537910285237E-2</v>
      </c>
      <c r="CB40" s="4">
        <f t="shared" si="145"/>
        <v>0</v>
      </c>
      <c r="CC40" s="5">
        <f t="shared" si="146"/>
        <v>0</v>
      </c>
      <c r="CD40" s="5">
        <f t="shared" si="147"/>
        <v>-1</v>
      </c>
      <c r="CE40" s="6">
        <f t="shared" si="148"/>
        <v>8.2294537910285237E-2</v>
      </c>
      <c r="CF40" s="4">
        <f t="shared" si="149"/>
        <v>-0.87542622523097591</v>
      </c>
      <c r="CG40" s="5">
        <f t="shared" si="150"/>
        <v>-0.40821764411847355</v>
      </c>
      <c r="CH40" s="5">
        <f t="shared" si="151"/>
        <v>0</v>
      </c>
      <c r="CI40" s="4">
        <f t="shared" si="118"/>
        <v>0</v>
      </c>
      <c r="CJ40" s="5">
        <f t="shared" si="119"/>
        <v>4.7272751447204595E-2</v>
      </c>
      <c r="CK40" s="8">
        <f t="shared" si="120"/>
        <v>8.2294537910285237E-2</v>
      </c>
      <c r="CL40" s="173">
        <f t="shared" si="121"/>
        <v>-0.87542622523097591</v>
      </c>
      <c r="CM40" s="5">
        <f t="shared" si="122"/>
        <v>-0.36094489267126895</v>
      </c>
      <c r="CN40" s="6">
        <f t="shared" si="123"/>
        <v>8.2294537910285237E-2</v>
      </c>
      <c r="CO40" s="167">
        <f t="shared" si="26"/>
        <v>0.26450000000000001</v>
      </c>
      <c r="CP40" s="4">
        <f t="shared" si="236"/>
        <v>0.93301272079179209</v>
      </c>
      <c r="CQ40" s="5">
        <f t="shared" si="237"/>
        <v>-4.6495526201755926</v>
      </c>
      <c r="CR40" s="5">
        <f t="shared" si="152"/>
        <v>5.750058179582564</v>
      </c>
      <c r="CS40" s="8">
        <f t="shared" si="153"/>
        <v>0.15882986040800873</v>
      </c>
      <c r="CT40" s="9">
        <f t="shared" si="154"/>
        <v>2.705261755331088</v>
      </c>
      <c r="CU40" s="6">
        <f t="shared" si="155"/>
        <v>2.2781136226914058</v>
      </c>
      <c r="CV40" s="4">
        <f t="shared" si="238"/>
        <v>-2.3682570867312185</v>
      </c>
      <c r="CW40" s="5">
        <f t="shared" si="156"/>
        <v>-1.0570628290378585</v>
      </c>
      <c r="CX40" s="8">
        <f t="shared" si="157"/>
        <v>8.2294537910285237E-2</v>
      </c>
      <c r="CY40" s="9">
        <f t="shared" si="158"/>
        <v>-1.9943204093600011</v>
      </c>
      <c r="CZ40" s="5">
        <f t="shared" si="159"/>
        <v>-0.88269342464208234</v>
      </c>
      <c r="DA40" s="6">
        <f t="shared" si="160"/>
        <v>8.2294537910285237E-2</v>
      </c>
      <c r="DB40" s="4">
        <f t="shared" si="161"/>
        <v>0</v>
      </c>
      <c r="DC40" s="5">
        <f t="shared" si="161"/>
        <v>0</v>
      </c>
      <c r="DD40" s="10">
        <f t="shared" si="162"/>
        <v>-10</v>
      </c>
      <c r="DE40" s="9">
        <f t="shared" si="163"/>
        <v>0</v>
      </c>
      <c r="DF40" s="5">
        <f t="shared" si="163"/>
        <v>0</v>
      </c>
      <c r="DG40" s="10">
        <f t="shared" si="164"/>
        <v>10</v>
      </c>
      <c r="DH40" s="70">
        <f t="shared" si="165"/>
        <v>2.3075999999999999</v>
      </c>
      <c r="DI40" s="4">
        <f t="shared" si="166"/>
        <v>0</v>
      </c>
      <c r="DJ40" s="5">
        <f t="shared" si="167"/>
        <v>0</v>
      </c>
      <c r="DK40" s="10">
        <f t="shared" si="168"/>
        <v>20</v>
      </c>
      <c r="DL40" s="9">
        <f t="shared" si="169"/>
        <v>-2.3682570867312185</v>
      </c>
      <c r="DM40" s="173">
        <f t="shared" si="170"/>
        <v>-1.0570628290378585</v>
      </c>
      <c r="DN40" s="178">
        <f t="shared" si="171"/>
        <v>10.082294537910284</v>
      </c>
      <c r="DO40" s="9">
        <f t="shared" si="172"/>
        <v>0.37393667737121739</v>
      </c>
      <c r="DP40" s="173">
        <f t="shared" si="173"/>
        <v>0.1743694043957762</v>
      </c>
      <c r="DQ40" s="11">
        <f t="shared" si="174"/>
        <v>0</v>
      </c>
      <c r="DR40" s="173">
        <f t="shared" si="175"/>
        <v>201.6458907582057</v>
      </c>
      <c r="DS40" s="5">
        <f t="shared" si="176"/>
        <v>0</v>
      </c>
      <c r="DT40" s="5">
        <f t="shared" si="177"/>
        <v>400</v>
      </c>
      <c r="DU40" s="5">
        <f t="shared" si="178"/>
        <v>0.17023332787276366</v>
      </c>
      <c r="DV40" s="5">
        <f t="shared" si="179"/>
        <v>-1.0698976020813564</v>
      </c>
      <c r="DW40" s="5">
        <f t="shared" si="180"/>
        <v>108.37868660256171</v>
      </c>
      <c r="DX40" s="167">
        <f t="shared" si="181"/>
        <v>103.05366884256172</v>
      </c>
      <c r="DY40" s="9">
        <f t="shared" si="182"/>
        <v>68.093331149105467</v>
      </c>
      <c r="DZ40" s="5">
        <f t="shared" si="183"/>
        <v>-427.95904083254254</v>
      </c>
      <c r="EA40" s="10">
        <f t="shared" si="184"/>
        <v>560.40227735446388</v>
      </c>
      <c r="EB40" s="6">
        <f t="shared" si="185"/>
        <v>144989.28278169944</v>
      </c>
      <c r="EC40" s="173">
        <f t="shared" si="186"/>
        <v>11.87684035750498</v>
      </c>
      <c r="ED40" s="5">
        <f t="shared" si="187"/>
        <v>0.69293802197923604</v>
      </c>
      <c r="EE40" s="4">
        <f t="shared" si="188"/>
        <v>2.0729291342225755</v>
      </c>
      <c r="EF40" s="5">
        <f t="shared" si="189"/>
        <v>1.0138947502040025</v>
      </c>
      <c r="EG40" s="10">
        <f t="shared" si="190"/>
        <v>8.2294537910285237E-2</v>
      </c>
      <c r="EH40" s="9">
        <f t="shared" si="191"/>
        <v>-2.1091421451681196</v>
      </c>
      <c r="EI40" s="5">
        <f t="shared" si="192"/>
        <v>-0.93623563886215189</v>
      </c>
      <c r="EJ40" s="6">
        <f t="shared" si="193"/>
        <v>8.2294537910285237E-2</v>
      </c>
      <c r="EK40" s="236" t="b">
        <f t="shared" si="194"/>
        <v>0</v>
      </c>
      <c r="EL40" s="238" t="b">
        <f t="shared" si="195"/>
        <v>1</v>
      </c>
      <c r="EM40" s="4">
        <f t="shared" si="196"/>
        <v>-2.1091421451681196</v>
      </c>
      <c r="EN40" s="5">
        <f t="shared" si="197"/>
        <v>-0.93623563886215189</v>
      </c>
      <c r="EO40" s="10">
        <f t="shared" si="198"/>
        <v>8.2294537910285237E-2</v>
      </c>
      <c r="EP40" s="9">
        <f t="shared" si="199"/>
        <v>203.9361497863635</v>
      </c>
      <c r="EQ40" s="5">
        <f t="shared" si="200"/>
        <v>2.3075999999999999</v>
      </c>
      <c r="ER40" s="7">
        <f t="shared" si="201"/>
        <v>8.2294537910285237E-2</v>
      </c>
      <c r="ES40" s="21">
        <f t="shared" si="124"/>
        <v>-0.40821764411847389</v>
      </c>
      <c r="ET40" s="5">
        <f t="shared" si="35"/>
        <v>0.87542622523097635</v>
      </c>
      <c r="EU40" s="10">
        <f t="shared" si="36"/>
        <v>-0.25881900859134593</v>
      </c>
      <c r="EV40" s="174">
        <f t="shared" si="252"/>
        <v>246.0638502136365</v>
      </c>
      <c r="EW40" s="9">
        <f t="shared" si="125"/>
        <v>0.96575934020460785</v>
      </c>
      <c r="EX40" s="5">
        <f t="shared" si="37"/>
        <v>1.7933700102144401E-2</v>
      </c>
      <c r="EY40" s="6">
        <f t="shared" si="202"/>
        <v>-0.25881900859134593</v>
      </c>
      <c r="EZ40" s="51">
        <f t="shared" si="203"/>
        <v>0.75077703053370259</v>
      </c>
      <c r="FA40" s="266">
        <f t="shared" si="126"/>
        <v>-0.40568350797329505</v>
      </c>
      <c r="FB40" s="267">
        <f t="shared" si="127"/>
        <v>0.91391968939147161</v>
      </c>
      <c r="FC40" s="269">
        <f t="shared" si="38"/>
        <v>-1.310315614947467E-2</v>
      </c>
      <c r="FD40" s="4">
        <f t="shared" si="128"/>
        <v>0.99991414996434702</v>
      </c>
      <c r="FE40" s="5">
        <f t="shared" si="39"/>
        <v>-3.3306690738754696E-16</v>
      </c>
      <c r="FF40" s="7">
        <f t="shared" si="204"/>
        <v>-1.310315614947467E-2</v>
      </c>
      <c r="FG40" s="173">
        <f t="shared" si="205"/>
        <v>-3.4154809759739169E-2</v>
      </c>
      <c r="FH40" s="5">
        <f t="shared" si="40"/>
        <v>1.7933700102144734E-2</v>
      </c>
      <c r="FI40" s="10">
        <f t="shared" si="41"/>
        <v>-0.24571585244187127</v>
      </c>
      <c r="FJ40" s="279">
        <f t="shared" si="206"/>
        <v>14.28792243358267</v>
      </c>
      <c r="FK40" s="4">
        <f t="shared" si="42"/>
        <v>0.9659258360722075</v>
      </c>
      <c r="FL40" s="5">
        <f t="shared" si="207"/>
        <v>0.99991414996434702</v>
      </c>
      <c r="FM40" s="8">
        <f t="shared" si="208"/>
        <v>3.8576788734647677E-2</v>
      </c>
      <c r="FN40" s="9">
        <f t="shared" si="209"/>
        <v>1.0638336096933139</v>
      </c>
      <c r="FO40" s="10">
        <f t="shared" si="43"/>
        <v>-1</v>
      </c>
      <c r="FP40" s="277">
        <f t="shared" si="44"/>
        <v>-1.0638336096933139</v>
      </c>
      <c r="FQ40" s="173">
        <f t="shared" si="239"/>
        <v>1.8566332354325137E-2</v>
      </c>
      <c r="FR40" s="10">
        <f t="shared" si="210"/>
        <v>0.9998276307958831</v>
      </c>
      <c r="FS40" s="9">
        <f t="shared" si="211"/>
        <v>1.8230992156408426E-2</v>
      </c>
      <c r="FT40" s="6">
        <f t="shared" si="212"/>
        <v>0.98176900784359167</v>
      </c>
      <c r="FU40" s="4">
        <f t="shared" si="213"/>
        <v>0.99983917826850877</v>
      </c>
      <c r="FV40" s="5">
        <f t="shared" si="214"/>
        <v>1</v>
      </c>
      <c r="FW40" s="8">
        <f t="shared" si="240"/>
        <v>0.24807827629794479</v>
      </c>
      <c r="FX40" s="9">
        <f t="shared" si="241"/>
        <v>14.251690207524279</v>
      </c>
      <c r="FY40" s="10">
        <f t="shared" si="45"/>
        <v>1</v>
      </c>
      <c r="FZ40" s="277">
        <f t="shared" si="242"/>
        <v>14.251690207524279</v>
      </c>
      <c r="GA40" s="177">
        <f t="shared" si="215"/>
        <v>14.248675033889324</v>
      </c>
      <c r="GB40" s="4">
        <f t="shared" si="216"/>
        <v>1.7994928371470587E-2</v>
      </c>
      <c r="GC40" s="5">
        <f t="shared" si="217"/>
        <v>0.96905658353130231</v>
      </c>
      <c r="GD40" s="10">
        <f t="shared" si="218"/>
        <v>-0.24618188492971174</v>
      </c>
      <c r="GE40" s="311">
        <f t="shared" si="219"/>
        <v>1.2332333968324847</v>
      </c>
      <c r="GF40" s="341">
        <f t="shared" si="243"/>
        <v>0.81087651580671083</v>
      </c>
      <c r="GG40" s="285">
        <f t="shared" si="46"/>
        <v>1.4591664820049399E-2</v>
      </c>
      <c r="GH40" s="286">
        <f t="shared" si="47"/>
        <v>0.78578522607341728</v>
      </c>
      <c r="GI40" s="281">
        <f t="shared" si="48"/>
        <v>0.19962310910653328</v>
      </c>
      <c r="GJ40" s="167">
        <f t="shared" si="220"/>
        <v>2.3075999999999999</v>
      </c>
      <c r="GK40" s="174">
        <f t="shared" si="49"/>
        <v>1.2083602723430968</v>
      </c>
      <c r="GL40" s="174">
        <f t="shared" si="221"/>
        <v>4.0099999999999997E-2</v>
      </c>
      <c r="GM40" s="177">
        <f t="shared" si="244"/>
        <v>0.58146296305149814</v>
      </c>
      <c r="GN40" s="280">
        <f t="shared" si="222"/>
        <v>3.9964754341643649E-2</v>
      </c>
      <c r="GO40" s="4">
        <f t="shared" si="223"/>
        <v>-1.0638336096933139</v>
      </c>
      <c r="GP40" s="8">
        <f t="shared" si="245"/>
        <v>14.251690207524279</v>
      </c>
      <c r="GQ40" s="177">
        <f t="shared" si="224"/>
        <v>14.28792243358267</v>
      </c>
      <c r="GR40" s="371">
        <f t="shared" si="246"/>
        <v>1849.9424007914952</v>
      </c>
      <c r="GS40" s="342">
        <f t="shared" si="51"/>
        <v>26.993739448746986</v>
      </c>
      <c r="GT40" s="343">
        <f t="shared" si="52"/>
        <v>22.339148403484167</v>
      </c>
      <c r="GU40" s="344">
        <f t="shared" si="53"/>
        <v>1453.6574076287454</v>
      </c>
      <c r="GV40" s="343">
        <f t="shared" si="253"/>
        <v>1203</v>
      </c>
      <c r="GW40" s="345">
        <f t="shared" si="129"/>
        <v>30000</v>
      </c>
      <c r="GX40" s="346">
        <f t="shared" si="54"/>
        <v>231.33689999999999</v>
      </c>
      <c r="GY40" s="344">
        <f t="shared" si="55"/>
        <v>369.29125371400278</v>
      </c>
      <c r="GZ40" s="345">
        <f t="shared" si="56"/>
        <v>305.61353444525338</v>
      </c>
      <c r="HA40" s="342">
        <f t="shared" si="57"/>
        <v>-26.993739448746986</v>
      </c>
      <c r="HB40" s="5">
        <f t="shared" si="225"/>
        <v>246.0638502136365</v>
      </c>
      <c r="HC40" s="343">
        <f t="shared" si="226"/>
        <v>10.951855130038187</v>
      </c>
      <c r="HD40" s="363">
        <f t="shared" si="227"/>
        <v>24.672228084173824</v>
      </c>
      <c r="HE40" s="344">
        <f t="shared" si="58"/>
        <v>1203</v>
      </c>
      <c r="HF40" s="5">
        <f t="shared" si="59"/>
        <v>336.0638502136365</v>
      </c>
      <c r="HG40" s="343">
        <f t="shared" si="228"/>
        <v>1099.5397818674153</v>
      </c>
      <c r="HH40" s="349">
        <f t="shared" si="229"/>
        <v>-488.07916170530831</v>
      </c>
      <c r="HI40" s="317">
        <f t="shared" si="60"/>
        <v>5.1109999999999998</v>
      </c>
      <c r="HJ40" s="336"/>
      <c r="HK40" s="310">
        <f t="shared" si="130"/>
        <v>32</v>
      </c>
      <c r="HL40" s="348">
        <f t="shared" si="61"/>
        <v>4.1219999999999999</v>
      </c>
      <c r="HM40" s="934">
        <f t="shared" si="62"/>
        <v>24.460377846296399</v>
      </c>
      <c r="HN40" s="935">
        <f t="shared" si="63"/>
        <v>26.798979794526396</v>
      </c>
      <c r="HO40" s="936"/>
      <c r="HP40" s="937"/>
      <c r="HQ40" s="935">
        <f t="shared" si="64"/>
        <v>25.242211366150375</v>
      </c>
      <c r="HR40" s="938">
        <f t="shared" si="65"/>
        <v>7.1384011088580221</v>
      </c>
      <c r="HS40" s="939">
        <f t="shared" si="249"/>
        <v>4.8395999999999999</v>
      </c>
      <c r="HT40" s="940">
        <f t="shared" si="66"/>
        <v>7.7999999999999996E-3</v>
      </c>
      <c r="HU40" s="941">
        <f t="shared" si="67"/>
        <v>0.23718783814908956</v>
      </c>
      <c r="HV40" s="942">
        <f t="shared" si="68"/>
        <v>1.6302248443662889E-2</v>
      </c>
      <c r="HW40" s="943">
        <f t="shared" si="69"/>
        <v>30000</v>
      </c>
      <c r="HX40" s="950">
        <f t="shared" si="70"/>
        <v>94.372199999999992</v>
      </c>
      <c r="HY40" s="955">
        <f t="shared" si="71"/>
        <v>269.73674486409539</v>
      </c>
      <c r="HZ40" s="956">
        <f t="shared" si="72"/>
        <v>592.96959537272392</v>
      </c>
      <c r="IA40" s="957">
        <f t="shared" si="73"/>
        <v>81.584254418429254</v>
      </c>
      <c r="IB40" s="958">
        <f t="shared" si="74"/>
        <v>944.29059465524858</v>
      </c>
      <c r="IC40" s="841">
        <f t="shared" si="75"/>
        <v>106.44457791891315</v>
      </c>
      <c r="ID40" s="351">
        <f t="shared" si="76"/>
        <v>234</v>
      </c>
      <c r="IE40" s="843">
        <f t="shared" si="77"/>
        <v>32.19510019213137</v>
      </c>
      <c r="IF40" s="844"/>
      <c r="IG40" s="789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7">
        <f t="shared" si="230"/>
        <v>5.1109999999999998</v>
      </c>
      <c r="IJ40" s="967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8"/>
        <v>1313</v>
      </c>
      <c r="IM40" s="482" t="str">
        <f t="shared" si="231"/>
        <v/>
      </c>
      <c r="IN40" s="670" t="str">
        <f t="shared" si="80"/>
        <v/>
      </c>
      <c r="IO40" s="702">
        <v>4.3911636020353501E-2</v>
      </c>
      <c r="IP40" s="5" t="str">
        <f t="shared" si="81"/>
        <v/>
      </c>
      <c r="IQ40" s="714">
        <v>240</v>
      </c>
      <c r="IR40" s="9" t="str">
        <f t="shared" si="131"/>
        <v/>
      </c>
      <c r="IS40" s="5" t="str">
        <f t="shared" si="82"/>
        <v/>
      </c>
      <c r="IT40" s="5" t="str">
        <f t="shared" si="83"/>
        <v/>
      </c>
      <c r="IU40" s="5" t="str">
        <f t="shared" si="84"/>
        <v/>
      </c>
      <c r="IV40" s="670" t="str">
        <f t="shared" si="85"/>
        <v/>
      </c>
      <c r="IW40" s="9" t="str">
        <f t="shared" si="86"/>
        <v/>
      </c>
      <c r="IX40" s="5" t="str">
        <f t="shared" si="87"/>
        <v/>
      </c>
      <c r="IY40" s="5" t="str">
        <f t="shared" si="88"/>
        <v/>
      </c>
      <c r="IZ40" s="5" t="str">
        <f t="shared" si="89"/>
        <v/>
      </c>
      <c r="JA40" s="705" t="str">
        <f t="shared" si="90"/>
        <v/>
      </c>
    </row>
    <row r="41" spans="1:269" ht="15" customHeight="1" x14ac:dyDescent="0.25">
      <c r="A41" s="75">
        <f t="shared" ref="A41:A72" si="308">IF($K41="","",IF(AND($A$8="Y",ISNUMBER($K41)),$A$5,0))</f>
        <v>0</v>
      </c>
      <c r="B41" s="578">
        <f t="shared" ref="B41:D41" si="309">IFERROR(O196+($A41*-E41),"")</f>
        <v>-2.822933219612743</v>
      </c>
      <c r="C41" s="572">
        <f t="shared" si="309"/>
        <v>-1.2858888288691019</v>
      </c>
      <c r="D41" s="576">
        <f t="shared" si="309"/>
        <v>-6.4700195135788743E-2</v>
      </c>
      <c r="E41" s="580">
        <f t="shared" ref="E41:K41" si="310">R196</f>
        <v>0.30169712290827616</v>
      </c>
      <c r="F41" s="572">
        <f t="shared" si="310"/>
        <v>-0.90479042408671984</v>
      </c>
      <c r="G41" s="579">
        <f t="shared" si="310"/>
        <v>0.30055471134194911</v>
      </c>
      <c r="H41" s="580">
        <f t="shared" si="310"/>
        <v>0.3125</v>
      </c>
      <c r="I41" s="572">
        <f t="shared" si="310"/>
        <v>0.52</v>
      </c>
      <c r="J41" s="483">
        <f t="shared" si="92"/>
        <v>5.1139999999999999</v>
      </c>
      <c r="K41" s="805">
        <f t="shared" si="310"/>
        <v>1613</v>
      </c>
      <c r="L41" s="309"/>
      <c r="M41" s="164">
        <f t="shared" ref="M41:M72" si="311">IF(J41="","",VALUE(J41))</f>
        <v>5.1139999999999999</v>
      </c>
      <c r="N41" s="575">
        <f t="shared" ref="N41:N72" si="312">IF(M41="","",B41)</f>
        <v>-2.822933219612743</v>
      </c>
      <c r="O41" s="572">
        <f t="shared" ref="O41:O72" si="313">IF(M41="","",C41)</f>
        <v>-1.2858888288691019</v>
      </c>
      <c r="P41" s="576">
        <f t="shared" ref="P41:P72" si="314">IF(M41="","",D41)</f>
        <v>-6.4700195135788743E-2</v>
      </c>
      <c r="Q41" s="528">
        <f t="shared" si="134"/>
        <v>204.48998346969159</v>
      </c>
      <c r="R41" s="572">
        <f t="shared" si="93"/>
        <v>3.1020093556602175</v>
      </c>
      <c r="S41" s="577">
        <f t="shared" si="94"/>
        <v>-6.4700195135788743E-2</v>
      </c>
      <c r="T41" s="578">
        <f t="shared" si="95"/>
        <v>-1.3026177106535828</v>
      </c>
      <c r="U41" s="572">
        <f t="shared" si="96"/>
        <v>2.8152529446739125</v>
      </c>
      <c r="V41" s="579">
        <f t="shared" si="135"/>
        <v>-6.4700195135788743E-2</v>
      </c>
      <c r="W41" s="528">
        <f t="shared" si="256"/>
        <v>114.82998342060168</v>
      </c>
      <c r="X41" s="572">
        <f t="shared" si="97"/>
        <v>3.1020093556602175</v>
      </c>
      <c r="Y41" s="573">
        <f t="shared" si="259"/>
        <v>-6.4700195135788743E-2</v>
      </c>
      <c r="Z41" s="575">
        <f t="shared" ref="Z41:Z72" si="315">IF(M41="","",-E41)</f>
        <v>-0.30169712290827616</v>
      </c>
      <c r="AA41" s="572">
        <f t="shared" ref="AA41:AA72" si="316">IF(M41="","",-F41)</f>
        <v>0.90479042408671984</v>
      </c>
      <c r="AB41" s="572">
        <f t="shared" ref="AB41:AB72" si="317">IF(M41="","",-G41)</f>
        <v>-0.30055471134194911</v>
      </c>
      <c r="AC41" s="579">
        <f t="shared" si="98"/>
        <v>1</v>
      </c>
      <c r="AD41" s="580">
        <f t="shared" si="136"/>
        <v>-0.30169712290827616</v>
      </c>
      <c r="AE41" s="572">
        <f t="shared" si="99"/>
        <v>0.90479042408671984</v>
      </c>
      <c r="AF41" s="576">
        <f t="shared" si="100"/>
        <v>-0.30055471134194911</v>
      </c>
      <c r="AG41" s="545">
        <f t="shared" si="101"/>
        <v>71.624463302880031</v>
      </c>
      <c r="AH41" s="546">
        <f t="shared" si="102"/>
        <v>107.5595648088005</v>
      </c>
      <c r="AI41" s="528">
        <f t="shared" si="103"/>
        <v>-72.509076590151253</v>
      </c>
      <c r="AJ41" s="529">
        <f t="shared" si="104"/>
        <v>-161.55933417888221</v>
      </c>
      <c r="AK41" s="578">
        <f t="shared" si="234"/>
        <v>0.94845358851776196</v>
      </c>
      <c r="AL41" s="572">
        <f t="shared" si="105"/>
        <v>-0.10051196902825865</v>
      </c>
      <c r="AM41" s="577">
        <f t="shared" si="106"/>
        <v>-0.30055471134194911</v>
      </c>
      <c r="AN41" s="524">
        <f t="shared" si="107"/>
        <v>-18.491045108600556</v>
      </c>
      <c r="AO41" s="525">
        <f t="shared" si="108"/>
        <v>18.476523534948878</v>
      </c>
      <c r="AP41" s="528">
        <f t="shared" si="109"/>
        <v>-6.04931764857381</v>
      </c>
      <c r="AQ41" s="529">
        <f t="shared" ref="AQ41:AQ72" si="318">IF(M41="","",DEGREES(ATAN(($AS$5*SIN(RADIANS(90)))/(($X41*2*PI())-($AS$5*COS(RADIANS(90)))))))</f>
        <v>0.55852099782934939</v>
      </c>
      <c r="AS41" s="899">
        <f t="shared" si="137"/>
        <v>-245.17001657939832</v>
      </c>
      <c r="AT41" s="895">
        <f t="shared" ref="AT41:AT72" si="319">IF(M41="","",Y41+(((AS41-$AS$9)*$AS$6)*-1))</f>
        <v>6.4874433581729854E-2</v>
      </c>
      <c r="AU41" s="418"/>
      <c r="AV41" s="164">
        <f t="shared" ref="AV41:AV72" si="320">IF(AND(ISNUMBER(VALUE(K41)),ISNUMBER(AW41),ISNUMBER(AX41),ISNUMBER(AY41),AY41&gt;=0.0001),$M41,"")</f>
        <v>5.1139999999999999</v>
      </c>
      <c r="AW41" s="828">
        <f>IFERROR(INDEX(MassProp!C$9:C$150,MATCH($M41,MassProp!$B$9:$B$150,0)),"")</f>
        <v>3.1585999999999999</v>
      </c>
      <c r="AX41" s="829">
        <f>IFERROR(INDEX(MassProp!D$9:D$150,MATCH($M41,MassProp!$B$9:$B$150,0)),"")</f>
        <v>0.49080000000000001</v>
      </c>
      <c r="AY41" s="830">
        <f>IFERROR(INDEX(MassProp!E$9:E$150,MATCH($M41,MassProp!$B$9:$B$150,0)),"")</f>
        <v>2.7400000000000001E-2</v>
      </c>
      <c r="AZ41" s="297">
        <f t="shared" ref="AZ41:AZ53" si="321">IF(ISNUMBER(AV41),$AY41*SQRT((2*PI()*$AW41)^2+$AS$5^2),"")</f>
        <v>0.54380721337765769</v>
      </c>
      <c r="BA41" s="296">
        <f t="shared" ref="BA41:BA72" si="322">IF(ISNUMBER(AV41),AZ41/$AZ$151,"")</f>
        <v>3.7376622541523859E-2</v>
      </c>
      <c r="BB41" s="190">
        <f t="shared" si="139"/>
        <v>0.23592556641827017</v>
      </c>
      <c r="BC41" s="9"/>
      <c r="BD41" s="5">
        <f t="shared" ref="BD41:BD53" si="323">IF(ISNUMBER(AV41),AW41,"")</f>
        <v>3.1585999999999999</v>
      </c>
      <c r="BE41" s="6">
        <f t="shared" ref="BE41:BE72" si="324">IF(ISNUMBER(AV41),Y41+BB41,"")</f>
        <v>0.17122537128248144</v>
      </c>
      <c r="BF41" s="4">
        <f t="shared" ref="BF41:BF72" si="325">IF(ISNUMBER($AV41),N41,"")</f>
        <v>-2.822933219612743</v>
      </c>
      <c r="BG41" s="5">
        <f t="shared" ref="BG41:BG72" si="326">IF(ISNUMBER($AV41),O41,"")</f>
        <v>-1.2858888288691019</v>
      </c>
      <c r="BH41" s="10">
        <f t="shared" ref="BH41:BH72" si="327">IF(ISNUMBER($AV41),P41,"")</f>
        <v>-6.4700195135788743E-2</v>
      </c>
      <c r="BI41" s="9">
        <f t="shared" ref="BI41:BI53" si="328">IF(ISNUMBER($AV41),BF41+0,"")</f>
        <v>-2.822933219612743</v>
      </c>
      <c r="BJ41" s="5">
        <f t="shared" ref="BJ41:BJ72" si="329">IF(ISNUMBER($AV41),BG41+COS(RADIANS($AG41)),"")</f>
        <v>-0.97064495769920245</v>
      </c>
      <c r="BK41" s="8">
        <f t="shared" ref="BK41:BK72" si="330">IF(ISNUMBER($AV41),BH41+SIN(RADIANS($AG41)),"")</f>
        <v>0.88431050116316012</v>
      </c>
      <c r="BL41" s="173">
        <f t="shared" ref="BL41:BL72" si="331">IF(ISNUMBER($AV41),BF41+SIN(RADIANS($AH41)),"")</f>
        <v>-1.8695293985437962</v>
      </c>
      <c r="BM41" s="5">
        <f t="shared" ref="BM41:BM72" si="332">IF(ISNUMBER($AV41),BG41-SIN(RADIANS($AG41))*COS(RADIANS($AH41)),"")</f>
        <v>-0.99957503218652921</v>
      </c>
      <c r="BN41" s="6">
        <f t="shared" ref="BN41:BN72" si="333">IF(ISNUMBER($AV41),BH41+COS(RADIANS($AG41))*COS(RADIANS($AH41)),"")</f>
        <v>-0.15980836408221469</v>
      </c>
      <c r="BO41" s="4">
        <f t="shared" ref="BO41:BO53" si="334">IF(ISNUMBER($AV41),BJ41*BN41-BM41*BK41-BG41*(BN41-BK41)+BH41*(BM41-BJ41),"")</f>
        <v>-0.30169712290827611</v>
      </c>
      <c r="BP41" s="5">
        <f t="shared" ref="BP41:BP53" si="335">IF(ISNUMBER($AV41),BF41*(BN41-BK41)-(BI41*BN41-BL41*BK41)+BH41*(BI41-BL41),"")</f>
        <v>0.90479042408671961</v>
      </c>
      <c r="BQ41" s="5">
        <f t="shared" ref="BQ41:BQ53" si="336">IF(ISNUMBER($AV41),BF41*(BJ41-BM41)-BG41*(BI41-BL41)+(BI41*BM41-BL41*BJ41),"")</f>
        <v>-0.30055471134194911</v>
      </c>
      <c r="BR41" s="6">
        <f t="shared" ref="BR41:BR53" si="337">IF(ISNUMBER($AV41),-(BF41*(BJ41*BN41-BM41*BK41)-BG41*(BI41*BN41-BL41*BK41)+BH41*(BI41*BM41-BL41*BJ41)),"")</f>
        <v>0.29234311980868377</v>
      </c>
      <c r="BS41" s="4">
        <f t="shared" si="110"/>
        <v>0</v>
      </c>
      <c r="BT41" s="5">
        <f t="shared" si="110"/>
        <v>0</v>
      </c>
      <c r="BU41" s="10">
        <f t="shared" si="111"/>
        <v>0.17122537128248144</v>
      </c>
      <c r="BV41" s="9">
        <f t="shared" si="112"/>
        <v>0</v>
      </c>
      <c r="BW41" s="5">
        <f t="shared" si="113"/>
        <v>1</v>
      </c>
      <c r="BX41" s="8">
        <f t="shared" si="114"/>
        <v>0.17122537128248144</v>
      </c>
      <c r="BY41" s="173">
        <f t="shared" si="115"/>
        <v>1</v>
      </c>
      <c r="BZ41" s="5">
        <f t="shared" si="116"/>
        <v>0</v>
      </c>
      <c r="CA41" s="6">
        <f t="shared" si="117"/>
        <v>0.17122537128248144</v>
      </c>
      <c r="CB41" s="4">
        <f t="shared" ref="CB41:CB53" si="338">IF(ISNUMBER($AV41),BW41*CA41-BZ41*BX41-BT41*(CA41-BX41)+BU41*(BZ41-BW41),"")</f>
        <v>0</v>
      </c>
      <c r="CC41" s="5">
        <f t="shared" ref="CC41:CC53" si="339">IF(ISNUMBER($AV41),BS41*(CA41-BX41)-(BV41*CA41-BY41*BX41)+BU41*(BV41-BY41),"")</f>
        <v>0</v>
      </c>
      <c r="CD41" s="5">
        <f t="shared" ref="CD41:CD53" si="340">IF(ISNUMBER($AV41),BS41*(BW41-BZ41)-BT41*(BV41-BY41)+(BV41*BZ41-BY41*BW41),"")</f>
        <v>-1</v>
      </c>
      <c r="CE41" s="6">
        <f t="shared" ref="CE41:CE53" si="341">IF(ISNUMBER($AV41),-(BS41*(BW41*CA41-BZ41*BX41)-BT41*(BV41*CA41-BY41*BX41)+BU41*(BV41*BZ41-BY41*BW41)),"")</f>
        <v>0.17122537128248144</v>
      </c>
      <c r="CF41" s="4">
        <f t="shared" ref="CF41:CF53" si="342">IF(ISNUMBER($AV41),(BP41*CD41)-(BQ41*CC41),"")</f>
        <v>-0.90479042408671961</v>
      </c>
      <c r="CG41" s="5">
        <f t="shared" ref="CG41:CG53" si="343">IF(ISNUMBER($AV41),(BQ41*CB41)-(BO41*CD41),"")</f>
        <v>-0.30169712290827611</v>
      </c>
      <c r="CH41" s="5">
        <f t="shared" ref="CH41:CH53" si="344">IF(ISNUMBER($AV41),(BO41*CC41)-(BP41*CB41),"")</f>
        <v>0</v>
      </c>
      <c r="CI41" s="4">
        <f t="shared" si="118"/>
        <v>0</v>
      </c>
      <c r="CJ41" s="5">
        <f t="shared" ref="CJ41:CJ53" si="345">IF(ISNUMBER($AV41),(CD41*BR41-BQ41*CE41)/(BQ41*CC41-CD41*BP41),"")</f>
        <v>-0.26622798092895411</v>
      </c>
      <c r="CK41" s="8">
        <f t="shared" ref="CK41:CK53" si="346">IF(ISNUMBER($AV41),(CC41*BR41-BP41*CE41)/(-CC41*BQ41+BP41*CD41),"")</f>
        <v>0.17122537128248144</v>
      </c>
      <c r="CL41" s="173">
        <f t="shared" ref="CL41:CL53" si="347">IF(ISNUMBER($AV41),CI41+CF41,"")</f>
        <v>-0.90479042408671961</v>
      </c>
      <c r="CM41" s="5">
        <f t="shared" ref="CM41:CM53" si="348">IF(ISNUMBER($AV41),CJ41+CG41,"")</f>
        <v>-0.56792510383723016</v>
      </c>
      <c r="CN41" s="6">
        <f t="shared" ref="CN41:CN53" si="349">IF(ISNUMBER($AV41),CK41+CH41,"")</f>
        <v>0.17122537128248144</v>
      </c>
      <c r="CO41" s="167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>0.3125</v>
      </c>
      <c r="CP41" s="4">
        <f t="shared" ref="CP41:CP53" si="351">IF(ISNUMBER($AV41),(CL41-CI41)^2+(CM41-CJ41)^2+(CN41-CK41)^2,"")</f>
        <v>0.90966686549015729</v>
      </c>
      <c r="CQ41" s="5">
        <f t="shared" ref="CQ41:CQ53" si="352">IF(ISNUMBER($AV41),2*((CL41-CI41)*(CI41-BF41)+(CM41-CJ41)*(CJ41-BG41)+(CN41-CK41)*(CK41-BH41)),"")</f>
        <v>-5.7235833782153174</v>
      </c>
      <c r="CR41" s="5">
        <f t="shared" ref="CR41:CR53" si="353">IF(ISNUMBER($AV41),BF41^2+BG41^2+BH41^2+CI41^2+CJ41^2+CK41^2-2*(BF41*CI41+BG41*CJ41+BH41*CK41)-CO41^2,"")</f>
        <v>8.9666648301049712</v>
      </c>
      <c r="CS41" s="8">
        <f t="shared" ref="CS41:CS53" si="354">IF(ISNUMBER($AV41),CQ41^2-(4*CP41*CR41),"")</f>
        <v>0.13269512777297621</v>
      </c>
      <c r="CT41" s="9">
        <f t="shared" si="154"/>
        <v>3.3462012488506279</v>
      </c>
      <c r="CU41" s="6">
        <f t="shared" ref="CU41:CU53" si="355">IF(ISNUMBER($AV41),(-CQ41-SQRT(CS41))/(CP41*2),"")</f>
        <v>2.9457541859900922</v>
      </c>
      <c r="CV41" s="4">
        <f t="shared" ref="CV41:CV53" si="356">IF(ISNUMBER($AV41),CI41+($CT41*(CL41-CI41)),"")</f>
        <v>-3.0276108470270704</v>
      </c>
      <c r="CW41" s="5">
        <f t="shared" ref="CW41:CW53" si="357">IF(ISNUMBER($AV41),CJ41+($CT41*(CM41-CJ41)),"")</f>
        <v>-1.2757672703792688</v>
      </c>
      <c r="CX41" s="8">
        <f t="shared" ref="CX41:CX53" si="358">IF(ISNUMBER($AV41),CK41+($CT41*(CN41-CK41)),"")</f>
        <v>0.17122537128248144</v>
      </c>
      <c r="CY41" s="9">
        <f t="shared" ref="CY41:CY53" si="359">IF(ISNUMBER($AV41),CI41+($CU41*(CL41-CI41)),"")</f>
        <v>-2.6652901791972052</v>
      </c>
      <c r="CZ41" s="5">
        <f t="shared" ref="CZ41:CZ53" si="360">IF(ISNUMBER($AV41),CJ41+($CU41*(CM41-CJ41)),"")</f>
        <v>-1.1549535436371756</v>
      </c>
      <c r="DA41" s="6">
        <f t="shared" ref="DA41:DA53" si="361">IF(ISNUMBER($AV41),CK41+($CU41*(CN41-CK41)),"")</f>
        <v>0.17122537128248144</v>
      </c>
      <c r="DB41" s="4">
        <f t="shared" si="161"/>
        <v>0</v>
      </c>
      <c r="DC41" s="5">
        <f t="shared" si="161"/>
        <v>0</v>
      </c>
      <c r="DD41" s="10">
        <f t="shared" si="162"/>
        <v>-10</v>
      </c>
      <c r="DE41" s="9">
        <f t="shared" si="163"/>
        <v>0</v>
      </c>
      <c r="DF41" s="5">
        <f t="shared" si="163"/>
        <v>0</v>
      </c>
      <c r="DG41" s="10">
        <f t="shared" si="164"/>
        <v>10</v>
      </c>
      <c r="DH41" s="70">
        <f t="shared" ref="DH41:DH53" si="362">IF(ISNUMBER($AV41),BD41,"")</f>
        <v>3.1585999999999999</v>
      </c>
      <c r="DI41" s="4">
        <f t="shared" ref="DI41:DI53" si="363">IF(ISNUMBER($AV41),DE41-DB41,"")</f>
        <v>0</v>
      </c>
      <c r="DJ41" s="5">
        <f t="shared" ref="DJ41:DJ53" si="364">IF(ISNUMBER($AV41),DF41-DC41,"")</f>
        <v>0</v>
      </c>
      <c r="DK41" s="10">
        <f t="shared" ref="DK41:DK53" si="365">IF(ISNUMBER($AV41),DG41-DD41,"")</f>
        <v>20</v>
      </c>
      <c r="DL41" s="9">
        <f t="shared" ref="DL41:DL53" si="366">IF(ISNUMBER($AV41),CV41-DB41,"")</f>
        <v>-3.0276108470270704</v>
      </c>
      <c r="DM41" s="173">
        <f t="shared" ref="DM41:DM53" si="367">IF(ISNUMBER($AV41),CW41-DC41,"")</f>
        <v>-1.2757672703792688</v>
      </c>
      <c r="DN41" s="178">
        <f t="shared" ref="DN41:DN53" si="368">IF(ISNUMBER($AV41),CX41-DD41,"")</f>
        <v>10.171225371282482</v>
      </c>
      <c r="DO41" s="9">
        <f t="shared" ref="DO41:DO53" si="369">IF(ISNUMBER($AV41),CY41-CV41,"")</f>
        <v>0.36232066782986516</v>
      </c>
      <c r="DP41" s="173">
        <f t="shared" ref="DP41:DP53" si="370">IF(ISNUMBER($AV41),CZ41-CW41,"")</f>
        <v>0.12081372674209323</v>
      </c>
      <c r="DQ41" s="11">
        <f t="shared" ref="DQ41:DQ53" si="371">IF(ISNUMBER($AV41),DA41-CX41,"")</f>
        <v>0</v>
      </c>
      <c r="DR41" s="173">
        <f t="shared" ref="DR41:DR53" si="372">IF(ISNUMBER($AV41),SUMPRODUCT(DI41:DK41,DL41:DN41),"")</f>
        <v>203.42450742564964</v>
      </c>
      <c r="DS41" s="5">
        <f t="shared" ref="DS41:DS53" si="373">IF(ISNUMBER($AV41),SUMPRODUCT(DO41:DQ41,DI41:DK41),"")</f>
        <v>0</v>
      </c>
      <c r="DT41" s="5">
        <f t="shared" ref="DT41:DT53" si="374">IF(ISNUMBER($AV41),SUMPRODUCT(DI41:DK41,DI41:DK41),"")</f>
        <v>400</v>
      </c>
      <c r="DU41" s="5">
        <f t="shared" ref="DU41:DU53" si="375">IF(ISNUMBER($AV41),SUMPRODUCT(DO41:DQ41,DO41:DQ41),"")</f>
        <v>0.14587222290599267</v>
      </c>
      <c r="DV41" s="5">
        <f t="shared" ref="DV41:DV53" si="376">IF(ISNUMBER($AV41),SUMPRODUCT(DL41:DN41,DO41:DQ41),"")</f>
        <v>-1.2510961824138991</v>
      </c>
      <c r="DW41" s="5">
        <f t="shared" ref="DW41:DW53" si="377">IF(ISNUMBER($AV41),SUMPRODUCT(DL41:DN41,DL41:DN41),"")</f>
        <v>114.24783512262741</v>
      </c>
      <c r="DX41" s="167">
        <f t="shared" ref="DX41:DX53" si="378">IF(ISNUMBER($AV41),DW41-DH41*DH41,"")</f>
        <v>104.27108116262741</v>
      </c>
      <c r="DY41" s="9">
        <f t="shared" ref="DY41:DY53" si="379">IF(ISNUMBER($AV41),DT41*DU41-DS41*DS41,"")</f>
        <v>58.348889162397064</v>
      </c>
      <c r="DZ41" s="5">
        <f t="shared" ref="DZ41:DZ53" si="380">IF(ISNUMBER($AV41),DT41*DV41-DS41*DR41,"")</f>
        <v>-500.43847296555964</v>
      </c>
      <c r="EA41" s="10">
        <f t="shared" ref="EA41:EA53" si="381">IF(ISNUMBER($AV41),DT41*DX41-DR41*DR41,"")</f>
        <v>326.90224368277995</v>
      </c>
      <c r="EB41" s="6">
        <f t="shared" ref="EB41:EB53" si="382">IF(ISNUMBER($AV41),DZ41*DZ41-DY41*EA41,"")</f>
        <v>231364.28244051573</v>
      </c>
      <c r="EC41" s="173">
        <f t="shared" ref="EC41:EC53" si="383">IF(ISNUMBER($AV41),(-DZ41+SQRT(DZ41^2-DY41*EA41))/DY41,"")</f>
        <v>16.820232555280175</v>
      </c>
      <c r="ED41" s="5">
        <f t="shared" ref="ED41:ED53" si="384">IF(ISNUMBER($AV41),(-DZ41-SQRT(DZ41^2-DY41*EA41))/DY41,"")</f>
        <v>0.33308364831491266</v>
      </c>
      <c r="EE41" s="4">
        <f t="shared" ref="EE41:EE53" si="385">IF(ISNUMBER($AV41),CV41+DO41*$EC41,"")</f>
        <v>3.0667070454556815</v>
      </c>
      <c r="EF41" s="5">
        <f t="shared" ref="EF41:EF53" si="386">IF(ISNUMBER($AV41),CW41+DP41*$EC41,"")</f>
        <v>0.75634770929281059</v>
      </c>
      <c r="EG41" s="10">
        <f t="shared" ref="EG41:EG53" si="387">IF(ISNUMBER($AV41),CX41+DQ41*$EC41,"")</f>
        <v>0.17122537128248144</v>
      </c>
      <c r="EH41" s="9">
        <f t="shared" ref="EH41:EH53" si="388">IF(ISNUMBER($AV41),CV41+DO41*$ED41,"")</f>
        <v>-2.9069277571264034</v>
      </c>
      <c r="EI41" s="5">
        <f t="shared" ref="EI41:EI53" si="389">IF(ISNUMBER($AV41),CW41+DP41*$ED41,"")</f>
        <v>-1.2355261935094914</v>
      </c>
      <c r="EJ41" s="6">
        <f t="shared" ref="EJ41:EJ53" si="390">IF(ISNUMBER($AV41),CX41+DQ41*$ED41,"")</f>
        <v>0.17122537128248144</v>
      </c>
      <c r="EK41" s="236" t="b">
        <f t="shared" si="194"/>
        <v>0</v>
      </c>
      <c r="EL41" s="238" t="b">
        <f t="shared" si="195"/>
        <v>1</v>
      </c>
      <c r="EM41" s="4">
        <f t="shared" ref="EM41:EM53" si="391">IF(ISNUMBER($AV41),IF($EK41=TRUE,EE41,IF($EL41=TRUE,EH41,"")),"")</f>
        <v>-2.9069277571264034</v>
      </c>
      <c r="EN41" s="5">
        <f t="shared" ref="EN41:EN53" si="392">IF(ISNUMBER($AV41),IF($EK41=TRUE,EF41,IF($EL41=TRUE,EI41,"")),"")</f>
        <v>-1.2355261935094914</v>
      </c>
      <c r="EO41" s="10">
        <f t="shared" ref="EO41:EO53" si="393">IF(ISNUMBER($AV41),IF($EK41=TRUE,EG41,IF($EL41=TRUE,EJ41,"")),"")</f>
        <v>0.17122537128248144</v>
      </c>
      <c r="EP41" s="9">
        <f t="shared" ref="EP41:EP53" si="394">IF(ISNUMBER($AV41),IF(DEGREES(ATAN2(EM41,EN41))&lt;0,DEGREES(ATAN2(EM41,EN41))+360,IF(DEGREES(ATAN2(EM41,EN41))&gt;360,DEGREES(ATAN2(EM41,EN41))-360,DEGREES(ATAN2(EM41,EN41)))),"")</f>
        <v>203.02685922908398</v>
      </c>
      <c r="EQ41" s="5">
        <f t="shared" ref="EQ41:EQ53" si="395">IF(ISNUMBER($AV41),SQRT(EM41^2+EN41^2),"")</f>
        <v>3.158599999999999</v>
      </c>
      <c r="ER41" s="7">
        <f t="shared" ref="ER41:ER53" si="396">IF(ISNUMBER($AV41),EO41,"")</f>
        <v>0.17122537128248144</v>
      </c>
      <c r="ES41" s="21">
        <f t="shared" ref="ES41:ES72" si="397">IF(ISNUMBER($AV41),AD41,"")</f>
        <v>-0.30169712290827616</v>
      </c>
      <c r="ET41" s="5">
        <f t="shared" ref="ET41:ET72" si="398">IF(ISNUMBER($AV41),AE41,"")</f>
        <v>0.90479042408671984</v>
      </c>
      <c r="EU41" s="10">
        <f t="shared" ref="EU41:EU72" si="399">IF(ISNUMBER($AV41),AF41,"")</f>
        <v>-0.30055471134194911</v>
      </c>
      <c r="EV41" s="174">
        <f t="shared" ref="EV41:EV53" si="400">IF(ISNUMBER($AV41),IF(($EV$1-EP41)&lt;0,(360+($EV$1-EP41)),($EV$1-EP41)),"")</f>
        <v>246.97314077091602</v>
      </c>
      <c r="EW41" s="9">
        <f t="shared" ref="EW41:EW53" si="401">IF(ISNUMBER($AV41),(COS(RADIANS($EV41))*ES41)+(-SIN(RADIANS($EV41))*ET41),"")</f>
        <v>0.95071078833010969</v>
      </c>
      <c r="EX41" s="5">
        <f t="shared" ref="EX41:EX53" si="402">IF(ISNUMBER($AV41),(SIN(RADIANS($EV41))*ES41)+(COS(RADIANS($EV41))*ET41),"")</f>
        <v>-7.6261801990900546E-2</v>
      </c>
      <c r="EY41" s="6">
        <f t="shared" ref="EY41:EY53" si="403">IF(ISNUMBER($AV41),EU41,"")</f>
        <v>-0.30055471134194911</v>
      </c>
      <c r="EZ41" s="51">
        <f t="shared" si="203"/>
        <v>0.54851494629436603</v>
      </c>
      <c r="FA41" s="266">
        <f t="shared" si="126"/>
        <v>-0.39114467677409526</v>
      </c>
      <c r="FB41" s="267">
        <f t="shared" si="127"/>
        <v>0.92027941126617541</v>
      </c>
      <c r="FC41" s="269">
        <f t="shared" si="38"/>
        <v>-9.5732455766168578E-3</v>
      </c>
      <c r="FD41" s="4">
        <f t="shared" ref="FD41:FD53" si="404">IF(ISNUMBER($AV41),(COS(RADIANS($EV41))*FA41)+(-SIN(RADIANS($EV41))*FB41),"")</f>
        <v>0.99995417543461951</v>
      </c>
      <c r="FE41" s="5">
        <f t="shared" ref="FE41:FE53" si="405">IF(ISNUMBER($AV41),(SIN(RADIANS($EV41))*FA41)+(COS(RADIANS($EV41))*FB41),"")</f>
        <v>1.1102230246251565E-16</v>
      </c>
      <c r="FF41" s="7">
        <f t="shared" ref="FF41:FF53" si="406">IF(ISNUMBER($AV41),FC41,"")</f>
        <v>-9.5732455766168578E-3</v>
      </c>
      <c r="FG41" s="173">
        <f t="shared" ref="FG41:FG53" si="407">IF(ISNUMBER($AV41),EW41-FD41,"")</f>
        <v>-4.9243387104509817E-2</v>
      </c>
      <c r="FH41" s="5">
        <f t="shared" ref="FH41:FH53" si="408">IF(ISNUMBER($AV41),EX41-FE41,"")</f>
        <v>-7.6261801990900657E-2</v>
      </c>
      <c r="FI41" s="10">
        <f t="shared" ref="FI41:FI53" si="409">IF(ISNUMBER($AV41),EY41-FF41,"")</f>
        <v>-0.29098146576533224</v>
      </c>
      <c r="FJ41" s="279">
        <f t="shared" ref="FJ41:FJ53" si="410">IF(ISNUMBER($AV41),DEGREES(ACOS((2-SQRT((FG41)^2+(FH41)^2+(FI41)^2)^2)/2)),"")</f>
        <v>17.532827302745179</v>
      </c>
      <c r="FK41" s="4">
        <f t="shared" ref="FK41:FK53" si="411">IF(ISNUMBER($AV41),SQRT(ES41^2+ET41^2),"")</f>
        <v>0.95376457550600913</v>
      </c>
      <c r="FL41" s="5">
        <f t="shared" ref="FL41:FL53" si="412">IF(ISNUMBER($AV41),SQRT(FA41^2+FB41^2),"")</f>
        <v>0.99995417543461951</v>
      </c>
      <c r="FM41" s="8">
        <f t="shared" ref="FM41:FM53" si="413">IF(ISNUMBER($AV41),SQRT(FG41^2+FH41^2),"")</f>
        <v>9.0778706844854007E-2</v>
      </c>
      <c r="FN41" s="9">
        <f t="shared" ref="FN41:FN53" si="414">IF(ISNUMBER($AV41),DEGREES(ACOS((FK41^2+FL41^2-FM41^2)/(2*FK41*FL41))),"")</f>
        <v>4.586193407966217</v>
      </c>
      <c r="FO41" s="10">
        <f t="shared" ref="FO41:FO53" si="415">IF(ISNUMBER($AV41),IF(SQRT((EM41+(ES41/SQRT(ES41^2+(ET41/SQRT(ES41^2+ET41^2))^2)))^2+(EN41+ET41)^2)&gt;SQRT((EM41+(FA41/SQRT(FA41^2+FB41^2)))^2+(EN41+(FB41/SQRT(FA41^2+FB41^2)))^2),-1,1),"")</f>
        <v>1</v>
      </c>
      <c r="FP41" s="277">
        <f t="shared" ref="FP41:FP53" si="416">IF(ISNUMBER($AV41),FN41*FO41,"")</f>
        <v>4.586193407966217</v>
      </c>
      <c r="FQ41" s="173">
        <f t="shared" ref="FQ41:FQ53" si="417">IF(ISNUMBER($AV41),SIN(RADIANS(FN41)),"")</f>
        <v>7.9958727708502861E-2</v>
      </c>
      <c r="FR41" s="10">
        <f t="shared" ref="FR41:FR53" si="418">IF(ISNUMBER($AV41),COS(RADIANS(FN41)),"")</f>
        <v>0.99679817509024238</v>
      </c>
      <c r="FS41" s="9">
        <f t="shared" ref="FS41:FS53" si="419">IF(ISNUMBER($AV41),FQ41/(FQ41+FR41),"")</f>
        <v>7.4258848492794682E-2</v>
      </c>
      <c r="FT41" s="6">
        <f t="shared" ref="FT41:FT53" si="420">IF(ISNUMBER($AV41),FR41/(FQ41+FR41),"")</f>
        <v>0.92574115150720537</v>
      </c>
      <c r="FU41" s="4">
        <f t="shared" ref="FU41:FU53" si="421">IF(ISNUMBER($AV41),SQRT(EW41^2+EY41^2),"")</f>
        <v>0.9970878284068565</v>
      </c>
      <c r="FV41" s="5">
        <f t="shared" ref="FV41:FV53" si="422">IF(ISNUMBER($AV41),SQRT(FD41^2+FF41^2),"")</f>
        <v>1</v>
      </c>
      <c r="FW41" s="8">
        <f t="shared" ref="FW41:FW53" si="423">IF(ISNUMBER($AV41),SQRT(FG41^2+FI41^2),"")</f>
        <v>0.29511883130777306</v>
      </c>
      <c r="FX41" s="9">
        <f t="shared" ref="FX41:FX53" si="424">IF(ISNUMBER($AV41),DEGREES(ACOS((FU41^2+FV41^2-FW41^2)/(2*FU41*FV41))),"")</f>
        <v>16.995149855330506</v>
      </c>
      <c r="FY41" s="10">
        <f t="shared" ref="FY41:FY53" si="425">IF(ISNUMBER($AV41),IF(EU41&lt;FC41,1,-1),"")</f>
        <v>1</v>
      </c>
      <c r="FZ41" s="277">
        <f t="shared" ref="FZ41:FZ53" si="426">IF(ISNUMBER($AV41),FX41*FY41,"")</f>
        <v>16.995149855330506</v>
      </c>
      <c r="GA41" s="177">
        <f t="shared" ref="GA41:GA53" si="427">IF(ISNUMBER($AV41),DEGREES(FZ41*SIN(RADIANS(FU41))),"")</f>
        <v>16.944801755454591</v>
      </c>
      <c r="GB41" s="4">
        <f t="shared" ref="GB41:GB53" si="428">IF(ISNUMBER($AV41),COS(RADIANS(FP41+90))*COS(RADIANS(FZ41)),"")</f>
        <v>-7.6466890257381889E-2</v>
      </c>
      <c r="GC41" s="5">
        <f t="shared" ref="GC41:GC53" si="429">IF(ISNUMBER($AV41),SIN(RADIANS(FP41+90))*COS(RADIANS(FZ41)),"")</f>
        <v>0.95326750247026071</v>
      </c>
      <c r="GD41" s="10">
        <f t="shared" ref="GD41:GD53" si="430">IF(ISNUMBER($AV41),-SIN(RADIANS(FZ41)),"")</f>
        <v>-0.29229075152744233</v>
      </c>
      <c r="GE41" s="311">
        <f t="shared" ref="GE41:GE53" si="431">IF(ISNUMBER($AV41),SUM(ABS(GB41),ABS(GC41),ABS(GD41)),"")</f>
        <v>1.3220251442550848</v>
      </c>
      <c r="GF41" s="341">
        <f t="shared" ref="GF41:GF53" si="432">IF(ISNUMBER($AV41),1/GE41,"")</f>
        <v>0.75641526512982116</v>
      </c>
      <c r="GG41" s="285">
        <f t="shared" ref="GG41:GG53" si="433">IF(ISNUMBER($AV41),ABS(GB41)/(ABS($GB41)+ABS($GC41)+ABS($GD41)),"")</f>
        <v>5.7840723067690461E-2</v>
      </c>
      <c r="GH41" s="286">
        <f t="shared" ref="GH41:GH53" si="434">IF(ISNUMBER($AV41),ABS(GC41)/(ABS($GB41)+ABS($GC41)+ABS($GD41)),"")</f>
        <v>0.72106609062068472</v>
      </c>
      <c r="GI41" s="281">
        <f t="shared" ref="GI41:GI53" si="435">IF(ISNUMBER($AV41),ABS(GD41)/(ABS($GB41)+ABS($GC41)+ABS($GD41)),"")</f>
        <v>0.22109318631162497</v>
      </c>
      <c r="GJ41" s="167">
        <f t="shared" ref="GJ41:GJ53" si="436">IF(ISNUMBER($AV41),AW41,"")</f>
        <v>3.1585999999999999</v>
      </c>
      <c r="GK41" s="174">
        <f t="shared" si="49"/>
        <v>1.653914882535455</v>
      </c>
      <c r="GL41" s="174">
        <f t="shared" ref="GL41:GL53" si="437">IF(ISNUMBER($AV41),AY41,"")</f>
        <v>2.7400000000000001E-2</v>
      </c>
      <c r="GM41" s="177">
        <f t="shared" ref="GM41:GM53" si="438">IF(ISNUMBER($AV41),AZ41,"")</f>
        <v>0.54380721337765769</v>
      </c>
      <c r="GN41" s="280">
        <f t="shared" ref="GN41:GN53" si="439">IF(ISNUMBER($AV41),BA41,"")</f>
        <v>3.7376622541523859E-2</v>
      </c>
      <c r="GO41" s="4">
        <f t="shared" ref="GO41:GO53" si="440">IF(ISNUMBER($AV41),FP41,"")</f>
        <v>4.586193407966217</v>
      </c>
      <c r="GP41" s="8">
        <f t="shared" ref="GP41:GP53" si="441">IF(ISNUMBER($AV41),FZ41,"")</f>
        <v>16.995149855330506</v>
      </c>
      <c r="GQ41" s="177">
        <f t="shared" ref="GQ41:GQ53" si="442">IF(ISNUMBER($AV41),FJ41,"")</f>
        <v>17.532827302745179</v>
      </c>
      <c r="GR41" s="371">
        <f t="shared" ref="GR41:GR53" si="443">IF(ISNUMBER($AV41),GS41+GU41+GY41,"")</f>
        <v>1885.4277730268636</v>
      </c>
      <c r="GS41" s="342">
        <f t="shared" ref="GS41:GS53" si="444">IF(ISNUMBER($AV41),GU41/GH41*GG41,"")</f>
        <v>109.05450568377915</v>
      </c>
      <c r="GT41" s="343">
        <f t="shared" ref="GT41:GT53" si="445">IF(ISNUMBER($AV41),GS41/$GK41,"")</f>
        <v>65.93719352509747</v>
      </c>
      <c r="GU41" s="344">
        <f t="shared" si="53"/>
        <v>1359.5180334441441</v>
      </c>
      <c r="GV41" s="343">
        <f t="shared" ref="GV41:GV53" si="446">IF(ISNUMBER($AV41),GW41*$GL41,"")</f>
        <v>822</v>
      </c>
      <c r="GW41" s="345">
        <f t="shared" si="129"/>
        <v>30000</v>
      </c>
      <c r="GX41" s="346">
        <f t="shared" si="54"/>
        <v>216.36409999999998</v>
      </c>
      <c r="GY41" s="344">
        <f t="shared" ref="GY41:GY53" si="447">IF(ISNUMBER($AV41),GU41/GH41*GI41,"")</f>
        <v>416.85523389894047</v>
      </c>
      <c r="GZ41" s="345">
        <f t="shared" ref="GZ41:GZ53" si="448">IF(ISNUMBER($AV41),GY41/$GK41,"")</f>
        <v>252.04152783237581</v>
      </c>
      <c r="HA41" s="342">
        <f t="shared" si="57"/>
        <v>109.05450568377915</v>
      </c>
      <c r="HB41" s="5">
        <f t="shared" si="225"/>
        <v>246.97314077091602</v>
      </c>
      <c r="HC41" s="343">
        <f t="shared" ref="HC41:HC53" si="449">IF(ISNUMBER($AV41),HA41*COS(RADIANS(HB41)),"")</f>
        <v>-42.65804416277426</v>
      </c>
      <c r="HD41" s="345">
        <f t="shared" ref="HD41:HD53" si="450">IF(ISNUMBER($AV41),HA41*SIN(RADIANS(HB41)),"")</f>
        <v>-100.3652154789707</v>
      </c>
      <c r="HE41" s="344">
        <f t="shared" si="58"/>
        <v>822</v>
      </c>
      <c r="HF41" s="5">
        <f t="shared" si="59"/>
        <v>336.97314077091602</v>
      </c>
      <c r="HG41" s="343">
        <f t="shared" ref="HG41:HG53" si="451">IF(ISNUMBER($AV41),HE41*COS(RADIANS(HF41)),"")</f>
        <v>756.50434254350171</v>
      </c>
      <c r="HH41" s="349">
        <f t="shared" ref="HH41:HH53" si="452">IF(ISNUMBER($AV41),HE41*SIN(RADIANS(HF41)),"")</f>
        <v>-321.53565854011322</v>
      </c>
      <c r="HI41" s="317">
        <f t="shared" ref="HI41:HI72" si="453">IF(ISNUMBER($AV41),$M41,"")</f>
        <v>5.1139999999999999</v>
      </c>
      <c r="HJ41" s="336"/>
      <c r="HK41" s="310">
        <f t="shared" si="130"/>
        <v>33</v>
      </c>
      <c r="HL41" s="348">
        <f t="shared" ref="HL41:HL72" si="454">IF(ISNUMBER($HS41),INDEX(HI$9:HI$150,MATCH($HS41,$GJ$9:$GJ$150,0)),"")</f>
        <v>1.1220000000000001</v>
      </c>
      <c r="HM41" s="934">
        <f t="shared" ref="HM41:HM72" si="455">IF(ISNUMBER($HL41),INDEX(GO$9:GO$150,MATCH($HL41,$AV$9:$AV$150,0)),"")</f>
        <v>24.452240767718301</v>
      </c>
      <c r="HN41" s="935">
        <f t="shared" ref="HN41:HN72" si="456">IF(ISNUMBER($HL41),INDEX(AO$9:AO$150,MATCH($HL41,$AV$9:$AV$150,0)),"")</f>
        <v>26.798979794526385</v>
      </c>
      <c r="HO41" s="936"/>
      <c r="HP41" s="937"/>
      <c r="HQ41" s="935">
        <f t="shared" ref="HQ41:HQ72" si="457">IF(ISNUMBER($HL41),INDEX(GQ$9:GQ$150,MATCH($HL41,$AV$9:$AV$150,0)),"")</f>
        <v>25.234368826109783</v>
      </c>
      <c r="HR41" s="938">
        <f t="shared" ref="HR41:HR72" si="458">IF(ISNUMBER($HL41),INDEX(GP$9:GP$150,MATCH($HL41,$AV$9:$AV$150,0)),"")</f>
        <v>7.1379298279638705</v>
      </c>
      <c r="HS41" s="939">
        <f t="shared" si="249"/>
        <v>4.8396999999999997</v>
      </c>
      <c r="HT41" s="940">
        <f t="shared" ref="HT41:HT72" si="459">IF(ISNUMBER($HL41),INDEX(GL$9:GL$150,MATCH($HL41,$AV$9:$AV$150,0)),"")</f>
        <v>7.0000000000000001E-3</v>
      </c>
      <c r="HU41" s="941">
        <f t="shared" ref="HU41:HU72" si="460">IF(ISNUMBER($HL41),INDEX(GM$9:GM$150,MATCH($HL41,$AV$9:$AV$150,0)),"")</f>
        <v>0.21286527853407075</v>
      </c>
      <c r="HV41" s="942">
        <f t="shared" ref="HV41:HV72" si="461">IF(ISNUMBER($HL41),INDEX(GN$9:GN$150,MATCH($HL41,$AV$9:$AV$150,0)),"")</f>
        <v>1.4630525252777353E-2</v>
      </c>
      <c r="HW41" s="943">
        <f t="shared" ref="HW41:HW72" si="462">IF(ISNUMBER($HL41),INDEX(GW$9:GW$150,MATCH($HL41,$AV$9:$AV$150,0)),"")</f>
        <v>30000</v>
      </c>
      <c r="HX41" s="950">
        <f t="shared" ref="HX41:HX72" si="463">IF(ISNUMBER($HL41),INDEX(GX$9:GX$150,MATCH($HL41,$AV$9:$AV$150,0)),"")</f>
        <v>84.694749999999999</v>
      </c>
      <c r="HY41" s="955">
        <f t="shared" ref="HY41:HY72" si="464">IF(ISNUMBER($HL41),INDEX(GS$9:GS$150,MATCH($HL41,$AV$9:$AV$150,0)),"")</f>
        <v>241.98522920335222</v>
      </c>
      <c r="HZ41" s="956">
        <f t="shared" ref="HZ41:HZ72" si="465">IF(ISNUMBER($HL41),INDEX(GU$9:GU$150,MATCH($HL41,$AV$9:$AV$150,0)),"")</f>
        <v>532.16319633517685</v>
      </c>
      <c r="IA41" s="957">
        <f t="shared" ref="IA41:IA72" si="466">IF(ISNUMBER($HL41),INDEX(GY$9:GY$150,MATCH($HL41,$AV$9:$AV$150,0)),"")</f>
        <v>73.20853834285559</v>
      </c>
      <c r="IB41" s="958">
        <f t="shared" ref="IB41:IB72" si="467">IF(ISNUMBER($HL41),INDEX(GR$9:GR$150,MATCH($HL41,$AV$9:$AV$150,0)),"")</f>
        <v>847.35696388138467</v>
      </c>
      <c r="IC41" s="841">
        <f t="shared" ref="IC41:IC72" si="468">IF(ISNUMBER($HL41),INDEX(GT$9:GT$150,MATCH($HL41,$AV$9:$AV$150,0)),"")</f>
        <v>95.491192330965944</v>
      </c>
      <c r="ID41" s="351">
        <f t="shared" ref="ID41:ID72" si="469">IF(ISNUMBER($HL41),INDEX(GV$9:GV$150,MATCH($HL41,$AV$9:$AV$150,0)),"")</f>
        <v>210</v>
      </c>
      <c r="IE41" s="843">
        <f t="shared" ref="IE41:IE72" si="470">IF(ISNUMBER($HL41),INDEX(GZ$9:GZ$150,MATCH($HL41,$AV$9:$AV$150,0)),"")</f>
        <v>28.889245174926877</v>
      </c>
      <c r="IF41" s="844"/>
      <c r="IG41" s="789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7">
        <f t="shared" si="230"/>
        <v>5.1139999999999999</v>
      </c>
      <c r="IJ41" s="967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1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>
        <v>6.3532389488028104E-3</v>
      </c>
      <c r="IP41" s="5" t="str">
        <f t="shared" ref="IP41:IP72" si="473">IF(ISNUMBER($IK41),(($IQ41*12)/60)/$AS$3,"")</f>
        <v/>
      </c>
      <c r="IQ41" s="714">
        <v>90</v>
      </c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</v>
      </c>
      <c r="B42" s="578">
        <f t="shared" ref="B42:D42" si="484">IFERROR(O197+($A42*-E42),"")</f>
        <v>-3.5160353547319176</v>
      </c>
      <c r="C42" s="572">
        <f t="shared" si="484"/>
        <v>-1.5544217636954232</v>
      </c>
      <c r="D42" s="576">
        <f t="shared" si="484"/>
        <v>-0.32950099377499747</v>
      </c>
      <c r="E42" s="580">
        <f t="shared" ref="E42:K42" si="485">R197</f>
        <v>0.14628326953715556</v>
      </c>
      <c r="F42" s="572">
        <f t="shared" si="485"/>
        <v>-0.9482683753061949</v>
      </c>
      <c r="G42" s="579">
        <f t="shared" si="485"/>
        <v>0.28175928280656409</v>
      </c>
      <c r="H42" s="580">
        <f t="shared" si="485"/>
        <v>0.3125</v>
      </c>
      <c r="I42" s="572">
        <f t="shared" si="485"/>
        <v>0.52</v>
      </c>
      <c r="J42" s="483">
        <f t="shared" si="92"/>
        <v>5.117</v>
      </c>
      <c r="K42" s="805">
        <f t="shared" si="485"/>
        <v>1613</v>
      </c>
      <c r="L42" s="309"/>
      <c r="M42" s="164">
        <f t="shared" si="311"/>
        <v>5.117</v>
      </c>
      <c r="N42" s="575">
        <f t="shared" si="312"/>
        <v>-3.5160353547319176</v>
      </c>
      <c r="O42" s="572">
        <f t="shared" si="313"/>
        <v>-1.5544217636954232</v>
      </c>
      <c r="P42" s="576">
        <f t="shared" si="314"/>
        <v>-0.32950099377499747</v>
      </c>
      <c r="Q42" s="528">
        <f t="shared" si="134"/>
        <v>203.84998356209616</v>
      </c>
      <c r="R42" s="572">
        <f t="shared" ref="R42:R47" si="486">IF(M42="","",SQRT(N42^2+O42^2))</f>
        <v>3.8443115944437691</v>
      </c>
      <c r="S42" s="577">
        <f t="shared" ref="S42:S47" si="487">IF(M42="","",P42)</f>
        <v>-0.32950099377499747</v>
      </c>
      <c r="T42" s="578">
        <f t="shared" ref="T42:T47" si="488">IF(M42="","",X42*COS(RADIANS(W42)))</f>
        <v>-1.575258843599151</v>
      </c>
      <c r="U42" s="572">
        <f t="shared" ref="U42:U47" si="489">IF(M42="","",X42*SIN(RADIANS(W42)))</f>
        <v>3.5067493795304876</v>
      </c>
      <c r="V42" s="579">
        <f t="shared" ref="V42:V47" si="490">IF(M42="","",Y42)</f>
        <v>-0.32950099377499747</v>
      </c>
      <c r="W42" s="528">
        <f t="shared" si="256"/>
        <v>114.18998351300624</v>
      </c>
      <c r="X42" s="572">
        <f t="shared" ref="X42:X47" si="491">IF(M42="","",R42)</f>
        <v>3.8443115944437691</v>
      </c>
      <c r="Y42" s="573">
        <f t="shared" si="259"/>
        <v>-0.32950099377499747</v>
      </c>
      <c r="Z42" s="575">
        <f t="shared" si="315"/>
        <v>-0.14628326953715556</v>
      </c>
      <c r="AA42" s="572">
        <f t="shared" si="316"/>
        <v>0.9482683753061949</v>
      </c>
      <c r="AB42" s="572">
        <f t="shared" si="317"/>
        <v>-0.28175928280656409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-0.14628326953715556</v>
      </c>
      <c r="AE42" s="572">
        <f t="shared" ref="AE42:AE47" si="494">IF(M42="","",AA42*(1/SQRT(Z42^2+AA42^2+AB42^2)))</f>
        <v>0.9482683753061949</v>
      </c>
      <c r="AF42" s="576">
        <f t="shared" ref="AF42:AF47" si="495">IF(M42="","",AB42*(1/SQRT(Z42^2+AA42^2+AB42^2)))</f>
        <v>-0.28175928280656409</v>
      </c>
      <c r="AG42" s="545">
        <f t="shared" ref="AG42:AG47" si="496">IF(M42="","",DEGREES(ATAN2(-AF42,AE42)))</f>
        <v>73.451719360759427</v>
      </c>
      <c r="AH42" s="546">
        <f t="shared" ref="AH42:AH47" si="497">IF(M42="","",DEGREES(ACOS(AD42)))</f>
        <v>98.411597548926707</v>
      </c>
      <c r="AI42" s="528">
        <f t="shared" ref="AI42:AI47" si="498">IF(M42="","",DEGREES(-ACOS(-AF42)))</f>
        <v>-73.634767698394342</v>
      </c>
      <c r="AJ42" s="529">
        <f t="shared" ref="AJ42:AJ47" si="499">IF(M42="","",DEGREES(ATAN2(-AE42,AD42)))</f>
        <v>-171.2304757216337</v>
      </c>
      <c r="AK42" s="578">
        <f t="shared" ref="AK42:AK47" si="500">IF(M42="","",(COS(RADIANS((90-$Q$8)-W42))*AD42)+(-SIN(RADIANS((90-$Q$8)-W42))*AE42))</f>
        <v>0.92644182025499167</v>
      </c>
      <c r="AL42" s="572">
        <f t="shared" ref="AL42:AL47" si="501">IF(M42="","",(SIN(RADIANS((90-$Q$8)-W42))*AD42)+(COS(RADIANS((90-$Q$8)-W42))*AE42))</f>
        <v>-0.24963425292805541</v>
      </c>
      <c r="AM42" s="577">
        <f t="shared" ref="AM42:AM47" si="502">IF(M42="","",AF42)</f>
        <v>-0.28175928280656409</v>
      </c>
      <c r="AN42" s="524">
        <f t="shared" ref="AN42:AN47" si="503">IF(M42="","",DEGREES(ATAN2(-AM42,AL42)))</f>
        <v>-41.540433633971062</v>
      </c>
      <c r="AO42" s="525">
        <f t="shared" si="108"/>
        <v>22.113216770145165</v>
      </c>
      <c r="AP42" s="528">
        <f t="shared" ref="AP42:AP47" si="504">IF(M42="","",DEGREES(ATAN2(AK42,AL42)))</f>
        <v>-15.080459283729855</v>
      </c>
      <c r="AQ42" s="529">
        <f t="shared" si="318"/>
        <v>0.45068056132693413</v>
      </c>
      <c r="AS42" s="899">
        <f t="shared" si="137"/>
        <v>-245.81001648699376</v>
      </c>
      <c r="AT42" s="895">
        <f t="shared" si="319"/>
        <v>-0.19958858732847018</v>
      </c>
      <c r="AU42" s="418"/>
      <c r="AV42" s="164">
        <f t="shared" si="320"/>
        <v>5.117</v>
      </c>
      <c r="AW42" s="828">
        <f>IFERROR(INDEX(MassProp!C$9:C$150,MATCH($M42,MassProp!$B$9:$B$150,0)),"")</f>
        <v>3.9941</v>
      </c>
      <c r="AX42" s="829">
        <f>IFERROR(INDEX(MassProp!D$9:D$150,MATCH($M42,MassProp!$B$9:$B$150,0)),"")</f>
        <v>0.18110000000000001</v>
      </c>
      <c r="AY42" s="830">
        <f>IFERROR(INDEX(MassProp!E$9:E$150,MATCH($M42,MassProp!$B$9:$B$150,0)),"")</f>
        <v>2.29E-2</v>
      </c>
      <c r="AZ42" s="297">
        <f t="shared" si="321"/>
        <v>0.57470732350414877</v>
      </c>
      <c r="BA42" s="296">
        <f t="shared" si="322"/>
        <v>3.9500429884048574E-2</v>
      </c>
      <c r="BB42" s="190">
        <f t="shared" si="139"/>
        <v>0.19068858732847019</v>
      </c>
      <c r="BC42" s="9"/>
      <c r="BD42" s="5">
        <f t="shared" si="323"/>
        <v>3.9941</v>
      </c>
      <c r="BE42" s="6">
        <f t="shared" si="324"/>
        <v>-0.13881240644652729</v>
      </c>
      <c r="BF42" s="4">
        <f t="shared" si="325"/>
        <v>-3.5160353547319176</v>
      </c>
      <c r="BG42" s="5">
        <f t="shared" si="326"/>
        <v>-1.5544217636954232</v>
      </c>
      <c r="BH42" s="10">
        <f t="shared" si="327"/>
        <v>-0.32950099377499747</v>
      </c>
      <c r="BI42" s="9">
        <f t="shared" si="328"/>
        <v>-3.5160353547319176</v>
      </c>
      <c r="BJ42" s="5">
        <f t="shared" si="329"/>
        <v>-1.2695985646051149</v>
      </c>
      <c r="BK42" s="8">
        <f t="shared" si="330"/>
        <v>0.62907907343898462</v>
      </c>
      <c r="BL42" s="173">
        <f t="shared" si="331"/>
        <v>-2.526792611491655</v>
      </c>
      <c r="BM42" s="5">
        <f t="shared" si="332"/>
        <v>-1.4141975373502156</v>
      </c>
      <c r="BN42" s="6">
        <f t="shared" si="333"/>
        <v>-0.37116586257795997</v>
      </c>
      <c r="BO42" s="4">
        <f t="shared" si="334"/>
        <v>-0.1462832695371554</v>
      </c>
      <c r="BP42" s="5">
        <f t="shared" si="335"/>
        <v>0.94826837530619468</v>
      </c>
      <c r="BQ42" s="5">
        <f t="shared" si="336"/>
        <v>-0.28175928280656448</v>
      </c>
      <c r="BR42" s="6">
        <f t="shared" si="337"/>
        <v>0.86683188921153798</v>
      </c>
      <c r="BS42" s="4">
        <f t="shared" ref="BS42:BT53" si="505">IF(ISNUMBER($AV42),0,"")</f>
        <v>0</v>
      </c>
      <c r="BT42" s="5">
        <f t="shared" si="505"/>
        <v>0</v>
      </c>
      <c r="BU42" s="10">
        <f t="shared" si="111"/>
        <v>-0.13881240644652729</v>
      </c>
      <c r="BV42" s="9">
        <f t="shared" si="112"/>
        <v>0</v>
      </c>
      <c r="BW42" s="5">
        <f t="shared" si="113"/>
        <v>1</v>
      </c>
      <c r="BX42" s="8">
        <f t="shared" si="114"/>
        <v>-0.13881240644652729</v>
      </c>
      <c r="BY42" s="173">
        <f t="shared" si="115"/>
        <v>1</v>
      </c>
      <c r="BZ42" s="5">
        <f t="shared" si="116"/>
        <v>0</v>
      </c>
      <c r="CA42" s="6">
        <f t="shared" si="117"/>
        <v>-0.13881240644652729</v>
      </c>
      <c r="CB42" s="4">
        <f t="shared" si="338"/>
        <v>0</v>
      </c>
      <c r="CC42" s="5">
        <f t="shared" si="339"/>
        <v>0</v>
      </c>
      <c r="CD42" s="5">
        <f t="shared" si="340"/>
        <v>-1</v>
      </c>
      <c r="CE42" s="6">
        <f t="shared" si="341"/>
        <v>-0.13881240644652729</v>
      </c>
      <c r="CF42" s="4">
        <f t="shared" si="342"/>
        <v>-0.94826837530619468</v>
      </c>
      <c r="CG42" s="5">
        <f t="shared" si="343"/>
        <v>-0.1462832695371554</v>
      </c>
      <c r="CH42" s="5">
        <f t="shared" si="344"/>
        <v>0</v>
      </c>
      <c r="CI42" s="4">
        <f t="shared" si="118"/>
        <v>0</v>
      </c>
      <c r="CJ42" s="5">
        <f t="shared" si="345"/>
        <v>-0.95536622003663974</v>
      </c>
      <c r="CK42" s="8">
        <f t="shared" si="346"/>
        <v>-0.13881240644652729</v>
      </c>
      <c r="CL42" s="173">
        <f t="shared" si="347"/>
        <v>-0.94826837530619468</v>
      </c>
      <c r="CM42" s="5">
        <f t="shared" si="348"/>
        <v>-1.1016494895737952</v>
      </c>
      <c r="CN42" s="6">
        <f t="shared" si="349"/>
        <v>-0.13881240644652729</v>
      </c>
      <c r="CO42" s="167">
        <f t="shared" si="350"/>
        <v>0.3125</v>
      </c>
      <c r="CP42" s="4">
        <f t="shared" si="351"/>
        <v>0.92061170655233016</v>
      </c>
      <c r="CQ42" s="5">
        <f t="shared" si="352"/>
        <v>-6.8435538738230806</v>
      </c>
      <c r="CR42" s="5">
        <f t="shared" si="353"/>
        <v>12.660078047450451</v>
      </c>
      <c r="CS42" s="8">
        <f t="shared" si="354"/>
        <v>0.21416539852268812</v>
      </c>
      <c r="CT42" s="9">
        <f t="shared" si="154"/>
        <v>3.9681952214943981</v>
      </c>
      <c r="CU42" s="6">
        <f t="shared" si="355"/>
        <v>3.4655076361979442</v>
      </c>
      <c r="CV42" s="4">
        <f t="shared" si="356"/>
        <v>-3.762914035584298</v>
      </c>
      <c r="CW42" s="5">
        <f t="shared" si="357"/>
        <v>-1.5358467911985569</v>
      </c>
      <c r="CX42" s="8">
        <f t="shared" si="358"/>
        <v>-0.13881240644652729</v>
      </c>
      <c r="CY42" s="9">
        <f t="shared" si="359"/>
        <v>-3.2862312957886357</v>
      </c>
      <c r="CZ42" s="5">
        <f t="shared" si="360"/>
        <v>-1.4623120076656539</v>
      </c>
      <c r="DA42" s="6">
        <f t="shared" si="361"/>
        <v>-0.13881240644652729</v>
      </c>
      <c r="DB42" s="4">
        <f t="shared" si="161"/>
        <v>0</v>
      </c>
      <c r="DC42" s="5">
        <f t="shared" si="161"/>
        <v>0</v>
      </c>
      <c r="DD42" s="10">
        <f t="shared" si="162"/>
        <v>-10</v>
      </c>
      <c r="DE42" s="9">
        <f t="shared" si="163"/>
        <v>0</v>
      </c>
      <c r="DF42" s="5">
        <f t="shared" si="163"/>
        <v>0</v>
      </c>
      <c r="DG42" s="10">
        <f t="shared" si="164"/>
        <v>10</v>
      </c>
      <c r="DH42" s="70">
        <f t="shared" si="362"/>
        <v>3.9941</v>
      </c>
      <c r="DI42" s="4">
        <f t="shared" si="363"/>
        <v>0</v>
      </c>
      <c r="DJ42" s="5">
        <f t="shared" si="364"/>
        <v>0</v>
      </c>
      <c r="DK42" s="10">
        <f t="shared" si="365"/>
        <v>20</v>
      </c>
      <c r="DL42" s="9">
        <f t="shared" si="366"/>
        <v>-3.762914035584298</v>
      </c>
      <c r="DM42" s="173">
        <f t="shared" si="367"/>
        <v>-1.5358467911985569</v>
      </c>
      <c r="DN42" s="178">
        <f t="shared" si="368"/>
        <v>9.8611875935534723</v>
      </c>
      <c r="DO42" s="9">
        <f t="shared" si="369"/>
        <v>0.47668273979566234</v>
      </c>
      <c r="DP42" s="173">
        <f t="shared" si="370"/>
        <v>7.3534783532902992E-2</v>
      </c>
      <c r="DQ42" s="11">
        <f t="shared" si="371"/>
        <v>0</v>
      </c>
      <c r="DR42" s="173">
        <f t="shared" si="372"/>
        <v>197.22375187106945</v>
      </c>
      <c r="DS42" s="5">
        <f t="shared" si="373"/>
        <v>0</v>
      </c>
      <c r="DT42" s="5">
        <f t="shared" si="374"/>
        <v>400</v>
      </c>
      <c r="DU42" s="5">
        <f t="shared" si="375"/>
        <v>0.23263379880833002</v>
      </c>
      <c r="DV42" s="5">
        <f t="shared" si="376"/>
        <v>-1.9066543334283652</v>
      </c>
      <c r="DW42" s="5">
        <f t="shared" si="377"/>
        <v>113.76136816048515</v>
      </c>
      <c r="DX42" s="167">
        <f t="shared" si="378"/>
        <v>97.808533350485149</v>
      </c>
      <c r="DY42" s="9">
        <f t="shared" si="379"/>
        <v>93.053519523332</v>
      </c>
      <c r="DZ42" s="5">
        <f t="shared" si="380"/>
        <v>-762.66173337134603</v>
      </c>
      <c r="EA42" s="10">
        <f t="shared" si="381"/>
        <v>226.20503809288493</v>
      </c>
      <c r="EB42" s="6">
        <f t="shared" si="382"/>
        <v>560603.74462053378</v>
      </c>
      <c r="EC42" s="173">
        <f t="shared" si="383"/>
        <v>16.242228167653213</v>
      </c>
      <c r="ED42" s="5">
        <f t="shared" si="384"/>
        <v>0.14966624489758149</v>
      </c>
      <c r="EE42" s="4">
        <f t="shared" si="385"/>
        <v>3.9794757877589162</v>
      </c>
      <c r="EF42" s="5">
        <f t="shared" si="386"/>
        <v>-0.34147805879815829</v>
      </c>
      <c r="EG42" s="10">
        <f t="shared" si="387"/>
        <v>-0.13881240644652729</v>
      </c>
      <c r="EH42" s="9">
        <f t="shared" si="388"/>
        <v>-3.6915707199115904</v>
      </c>
      <c r="EI42" s="5">
        <f t="shared" si="389"/>
        <v>-1.5248411162778308</v>
      </c>
      <c r="EJ42" s="6">
        <f t="shared" si="390"/>
        <v>-0.13881240644652729</v>
      </c>
      <c r="EK42" s="236" t="b">
        <f t="shared" si="194"/>
        <v>0</v>
      </c>
      <c r="EL42" s="238" t="b">
        <f t="shared" si="195"/>
        <v>1</v>
      </c>
      <c r="EM42" s="4">
        <f t="shared" si="391"/>
        <v>-3.6915707199115904</v>
      </c>
      <c r="EN42" s="5">
        <f t="shared" si="392"/>
        <v>-1.5248411162778308</v>
      </c>
      <c r="EO42" s="10">
        <f t="shared" si="393"/>
        <v>-0.13881240644652729</v>
      </c>
      <c r="EP42" s="9">
        <f t="shared" si="394"/>
        <v>202.44357415221111</v>
      </c>
      <c r="EQ42" s="5">
        <f t="shared" si="395"/>
        <v>3.9941</v>
      </c>
      <c r="ER42" s="7">
        <f t="shared" si="396"/>
        <v>-0.13881240644652729</v>
      </c>
      <c r="ES42" s="21">
        <f t="shared" si="397"/>
        <v>-0.14628326953715556</v>
      </c>
      <c r="ET42" s="5">
        <f t="shared" si="398"/>
        <v>0.9482683753061949</v>
      </c>
      <c r="EU42" s="10">
        <f t="shared" si="399"/>
        <v>-0.28175928280656409</v>
      </c>
      <c r="EV42" s="174">
        <f t="shared" si="400"/>
        <v>247.55642584778889</v>
      </c>
      <c r="EW42" s="9">
        <f t="shared" si="401"/>
        <v>0.93228975561760874</v>
      </c>
      <c r="EX42" s="5">
        <f t="shared" si="402"/>
        <v>-0.22682045349304408</v>
      </c>
      <c r="EY42" s="6">
        <f t="shared" si="403"/>
        <v>-0.28175928280656409</v>
      </c>
      <c r="EZ42" s="51">
        <f t="shared" si="203"/>
        <v>0.43377960919849884</v>
      </c>
      <c r="FA42" s="266">
        <f t="shared" si="126"/>
        <v>-0.38176245358565092</v>
      </c>
      <c r="FB42" s="267">
        <f t="shared" si="127"/>
        <v>0.9242294692699099</v>
      </c>
      <c r="FC42" s="269">
        <f t="shared" si="38"/>
        <v>-7.5708100837670825E-3</v>
      </c>
      <c r="FD42" s="4">
        <f t="shared" si="404"/>
        <v>0.99997134100666885</v>
      </c>
      <c r="FE42" s="5">
        <f t="shared" si="405"/>
        <v>-6.6613381477509392E-16</v>
      </c>
      <c r="FF42" s="7">
        <f t="shared" si="406"/>
        <v>-7.5708100837670825E-3</v>
      </c>
      <c r="FG42" s="173">
        <f t="shared" si="407"/>
        <v>-6.7681585389060106E-2</v>
      </c>
      <c r="FH42" s="5">
        <f t="shared" si="408"/>
        <v>-0.22682045349304342</v>
      </c>
      <c r="FI42" s="10">
        <f t="shared" si="409"/>
        <v>-0.27418847272279701</v>
      </c>
      <c r="FJ42" s="279">
        <f t="shared" si="410"/>
        <v>20.8691878990935</v>
      </c>
      <c r="FK42" s="4">
        <f t="shared" si="411"/>
        <v>0.95948512575877409</v>
      </c>
      <c r="FL42" s="5">
        <f t="shared" si="412"/>
        <v>0.99997134100666885</v>
      </c>
      <c r="FM42" s="8">
        <f t="shared" si="413"/>
        <v>0.23670301038129302</v>
      </c>
      <c r="FN42" s="9">
        <f t="shared" si="414"/>
        <v>13.674049873844837</v>
      </c>
      <c r="FO42" s="10">
        <f t="shared" si="415"/>
        <v>1</v>
      </c>
      <c r="FP42" s="277">
        <f t="shared" si="416"/>
        <v>13.674049873844837</v>
      </c>
      <c r="FQ42" s="173">
        <f t="shared" si="417"/>
        <v>0.23639809248076801</v>
      </c>
      <c r="FR42" s="10">
        <f t="shared" si="418"/>
        <v>0.97165628792873782</v>
      </c>
      <c r="FS42" s="9">
        <f t="shared" si="419"/>
        <v>0.19568497603612336</v>
      </c>
      <c r="FT42" s="6">
        <f t="shared" si="420"/>
        <v>0.80431502396387666</v>
      </c>
      <c r="FU42" s="4">
        <f t="shared" si="421"/>
        <v>0.97393659027536794</v>
      </c>
      <c r="FV42" s="5">
        <f t="shared" si="422"/>
        <v>1</v>
      </c>
      <c r="FW42" s="8">
        <f t="shared" si="423"/>
        <v>0.28241833434611968</v>
      </c>
      <c r="FX42" s="9">
        <f t="shared" si="424"/>
        <v>16.382237880832523</v>
      </c>
      <c r="FY42" s="10">
        <f t="shared" si="425"/>
        <v>1</v>
      </c>
      <c r="FZ42" s="277">
        <f t="shared" si="426"/>
        <v>16.382237880832523</v>
      </c>
      <c r="GA42" s="177">
        <f t="shared" si="427"/>
        <v>15.954492546740862</v>
      </c>
      <c r="GB42" s="4">
        <f t="shared" si="428"/>
        <v>-0.22680067421616962</v>
      </c>
      <c r="GC42" s="5">
        <f t="shared" si="429"/>
        <v>0.9322084577587979</v>
      </c>
      <c r="GD42" s="10">
        <f t="shared" si="430"/>
        <v>-0.2820440487903515</v>
      </c>
      <c r="GE42" s="311">
        <f t="shared" si="431"/>
        <v>1.4410531807653191</v>
      </c>
      <c r="GF42" s="341">
        <f t="shared" si="432"/>
        <v>0.69393691596372375</v>
      </c>
      <c r="GG42" s="285">
        <f t="shared" si="433"/>
        <v>0.15738536040406198</v>
      </c>
      <c r="GH42" s="286">
        <f t="shared" si="434"/>
        <v>0.64689386221243939</v>
      </c>
      <c r="GI42" s="281">
        <f t="shared" si="435"/>
        <v>0.19572077738349855</v>
      </c>
      <c r="GJ42" s="167">
        <f t="shared" si="436"/>
        <v>3.9941</v>
      </c>
      <c r="GK42" s="174">
        <f t="shared" si="49"/>
        <v>2.0913658060558542</v>
      </c>
      <c r="GL42" s="174">
        <f t="shared" si="437"/>
        <v>2.29E-2</v>
      </c>
      <c r="GM42" s="177">
        <f t="shared" si="438"/>
        <v>0.57470732350414877</v>
      </c>
      <c r="GN42" s="280">
        <f t="shared" si="439"/>
        <v>3.9500429884048574E-2</v>
      </c>
      <c r="GO42" s="4">
        <f t="shared" si="440"/>
        <v>13.674049873844837</v>
      </c>
      <c r="GP42" s="8">
        <f t="shared" si="441"/>
        <v>16.382237880832523</v>
      </c>
      <c r="GQ42" s="177">
        <f t="shared" si="442"/>
        <v>20.8691878990935</v>
      </c>
      <c r="GR42" s="371">
        <f t="shared" si="443"/>
        <v>2221.0263424767791</v>
      </c>
      <c r="GS42" s="342">
        <f t="shared" si="444"/>
        <v>349.55703137762345</v>
      </c>
      <c r="GT42" s="343">
        <f t="shared" si="445"/>
        <v>167.14294092665671</v>
      </c>
      <c r="GU42" s="344">
        <f t="shared" si="53"/>
        <v>1436.7683087603718</v>
      </c>
      <c r="GV42" s="343">
        <f t="shared" si="446"/>
        <v>687</v>
      </c>
      <c r="GW42" s="345">
        <f t="shared" si="129"/>
        <v>30000</v>
      </c>
      <c r="GX42" s="346">
        <f t="shared" si="54"/>
        <v>228.66222499999998</v>
      </c>
      <c r="GY42" s="344">
        <f t="shared" si="447"/>
        <v>434.70100233878367</v>
      </c>
      <c r="GZ42" s="345">
        <f t="shared" si="448"/>
        <v>207.85507780611294</v>
      </c>
      <c r="HA42" s="342">
        <f t="shared" si="57"/>
        <v>349.55703137762345</v>
      </c>
      <c r="HB42" s="5">
        <f t="shared" si="225"/>
        <v>247.55642584778889</v>
      </c>
      <c r="HC42" s="343">
        <f t="shared" si="449"/>
        <v>-133.45157455462331</v>
      </c>
      <c r="HD42" s="345">
        <f t="shared" si="450"/>
        <v>-323.0801687421075</v>
      </c>
      <c r="HE42" s="344">
        <f t="shared" si="58"/>
        <v>687</v>
      </c>
      <c r="HF42" s="5">
        <f t="shared" si="59"/>
        <v>337.55642584778889</v>
      </c>
      <c r="HG42" s="343">
        <f t="shared" si="451"/>
        <v>634.9638428129648</v>
      </c>
      <c r="HH42" s="349">
        <f t="shared" si="452"/>
        <v>-262.27832224603031</v>
      </c>
      <c r="HI42" s="317">
        <f t="shared" si="453"/>
        <v>5.117</v>
      </c>
      <c r="HJ42" s="336"/>
      <c r="HK42" s="310">
        <f t="shared" ref="HK42:HK73" si="506">IF(ISNUMBER(HS42),HK41+1,"")</f>
        <v>34</v>
      </c>
      <c r="HL42" s="348">
        <f t="shared" si="454"/>
        <v>2.1230000000000002</v>
      </c>
      <c r="HM42" s="934">
        <f t="shared" si="455"/>
        <v>26.653711270889751</v>
      </c>
      <c r="HN42" s="935">
        <f t="shared" si="456"/>
        <v>28.710028034160967</v>
      </c>
      <c r="HO42" s="936"/>
      <c r="HP42" s="937"/>
      <c r="HQ42" s="935">
        <f t="shared" si="457"/>
        <v>27.02111527559293</v>
      </c>
      <c r="HR42" s="938">
        <f t="shared" si="458"/>
        <v>5.2506745106319581</v>
      </c>
      <c r="HS42" s="939">
        <f t="shared" ref="HS42:HS73" si="507">IFERROR(SMALL($GJ$9:$GJ$150,($HK41+1)),"")</f>
        <v>4.8981000000000003</v>
      </c>
      <c r="HT42" s="940">
        <f t="shared" si="459"/>
        <v>3.7000000000000002E-3</v>
      </c>
      <c r="HU42" s="941">
        <f t="shared" si="460"/>
        <v>0.11387214886414342</v>
      </c>
      <c r="HV42" s="942">
        <f t="shared" si="461"/>
        <v>7.8265904191519627E-3</v>
      </c>
      <c r="HW42" s="943">
        <f t="shared" si="462"/>
        <v>30000</v>
      </c>
      <c r="HX42" s="950">
        <f t="shared" si="463"/>
        <v>45.307425000000002</v>
      </c>
      <c r="HY42" s="955">
        <f t="shared" si="464"/>
        <v>142.89125965339105</v>
      </c>
      <c r="HZ42" s="956">
        <f t="shared" si="465"/>
        <v>284.6803721603585</v>
      </c>
      <c r="IA42" s="957">
        <f t="shared" si="466"/>
        <v>29.27249973933014</v>
      </c>
      <c r="IB42" s="958">
        <f t="shared" si="467"/>
        <v>456.84413155307971</v>
      </c>
      <c r="IC42" s="841">
        <f t="shared" si="468"/>
        <v>55.71486963137751</v>
      </c>
      <c r="ID42" s="351">
        <f t="shared" si="469"/>
        <v>111</v>
      </c>
      <c r="IE42" s="843">
        <f t="shared" si="470"/>
        <v>11.413668762647839</v>
      </c>
      <c r="IF42" s="844"/>
      <c r="IG42" s="789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7">
        <f t="shared" si="230"/>
        <v>5.117</v>
      </c>
      <c r="IJ42" s="967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1613</v>
      </c>
      <c r="IM42" s="482" t="str">
        <f t="shared" si="231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308"/>
        <v>0</v>
      </c>
      <c r="B43" s="578">
        <f t="shared" ref="B43:D43" si="508">IFERROR(O198+($A43*-E43),"")</f>
        <v>-4.0389724847650976</v>
      </c>
      <c r="C43" s="572">
        <f t="shared" si="508"/>
        <v>-1.739454995105389</v>
      </c>
      <c r="D43" s="576">
        <f t="shared" si="508"/>
        <v>-0.90140271863059862</v>
      </c>
      <c r="E43" s="580">
        <f t="shared" ref="E43:K43" si="509">R198</f>
        <v>1.817651968900022E-2</v>
      </c>
      <c r="F43" s="572">
        <f t="shared" si="509"/>
        <v>-0.98149257301994197</v>
      </c>
      <c r="G43" s="579">
        <f t="shared" si="509"/>
        <v>0.19063562951004004</v>
      </c>
      <c r="H43" s="580">
        <f t="shared" si="509"/>
        <v>0.3125</v>
      </c>
      <c r="I43" s="572">
        <f t="shared" si="509"/>
        <v>0.52</v>
      </c>
      <c r="J43" s="483">
        <f t="shared" si="92"/>
        <v>5.12</v>
      </c>
      <c r="K43" s="805">
        <f t="shared" si="509"/>
        <v>1613</v>
      </c>
      <c r="L43" s="309"/>
      <c r="M43" s="164">
        <f t="shared" si="311"/>
        <v>5.12</v>
      </c>
      <c r="N43" s="575">
        <f t="shared" si="312"/>
        <v>-4.0389724847650976</v>
      </c>
      <c r="O43" s="572">
        <f t="shared" si="313"/>
        <v>-1.739454995105389</v>
      </c>
      <c r="P43" s="576">
        <f t="shared" si="314"/>
        <v>-0.90140271863059862</v>
      </c>
      <c r="Q43" s="528">
        <f t="shared" si="134"/>
        <v>203.29998364150632</v>
      </c>
      <c r="R43" s="572">
        <f t="shared" si="486"/>
        <v>4.3976132632016016</v>
      </c>
      <c r="S43" s="577">
        <f t="shared" si="487"/>
        <v>-0.90140271863059862</v>
      </c>
      <c r="T43" s="578">
        <f t="shared" si="488"/>
        <v>-1.7633919698980507</v>
      </c>
      <c r="U43" s="572">
        <f t="shared" si="489"/>
        <v>4.0285792996024927</v>
      </c>
      <c r="V43" s="579">
        <f t="shared" si="490"/>
        <v>-0.90140271863059862</v>
      </c>
      <c r="W43" s="528">
        <f t="shared" si="256"/>
        <v>113.6399835924164</v>
      </c>
      <c r="X43" s="572">
        <f t="shared" si="491"/>
        <v>4.3976132632016016</v>
      </c>
      <c r="Y43" s="573">
        <f t="shared" si="259"/>
        <v>-0.90140271863059862</v>
      </c>
      <c r="Z43" s="575">
        <f t="shared" si="315"/>
        <v>-1.817651968900022E-2</v>
      </c>
      <c r="AA43" s="572">
        <f t="shared" si="316"/>
        <v>0.98149257301994197</v>
      </c>
      <c r="AB43" s="572">
        <f t="shared" si="317"/>
        <v>-0.19063562951004004</v>
      </c>
      <c r="AC43" s="579">
        <f t="shared" si="492"/>
        <v>1</v>
      </c>
      <c r="AD43" s="580">
        <f t="shared" si="493"/>
        <v>-1.817651968900022E-2</v>
      </c>
      <c r="AE43" s="572">
        <f t="shared" si="494"/>
        <v>0.98149257301994197</v>
      </c>
      <c r="AF43" s="576">
        <f t="shared" si="495"/>
        <v>-0.19063562951004004</v>
      </c>
      <c r="AG43" s="545">
        <f t="shared" si="496"/>
        <v>79.008280365592682</v>
      </c>
      <c r="AH43" s="546">
        <f t="shared" si="497"/>
        <v>91.041495219002485</v>
      </c>
      <c r="AI43" s="528">
        <f t="shared" si="498"/>
        <v>-79.01011887423951</v>
      </c>
      <c r="AJ43" s="529">
        <f t="shared" si="499"/>
        <v>-178.93904563389171</v>
      </c>
      <c r="AK43" s="578">
        <f t="shared" si="500"/>
        <v>0.90863804869608078</v>
      </c>
      <c r="AL43" s="572">
        <f t="shared" si="501"/>
        <v>-0.37153055489836839</v>
      </c>
      <c r="AM43" s="577">
        <f t="shared" si="502"/>
        <v>-0.19063562951004004</v>
      </c>
      <c r="AN43" s="524">
        <f t="shared" si="503"/>
        <v>-62.837237632034586</v>
      </c>
      <c r="AO43" s="525">
        <f t="shared" si="108"/>
        <v>24.682186713902937</v>
      </c>
      <c r="AP43" s="528">
        <f t="shared" si="504"/>
        <v>-22.239029275398021</v>
      </c>
      <c r="AQ43" s="529">
        <f t="shared" si="318"/>
        <v>0.3939784672844312</v>
      </c>
      <c r="AS43" s="899">
        <f t="shared" ref="AS43:AS74" si="510">IF(G43="","",IF(AND(W43&lt;(AS42+180),W43&gt;(AS42-180)),W43,IF(W43&gt;(AS42+180),W43-360,IF(W43&lt;(AS42-180),W43+360,"Error"))))</f>
        <v>-246.3600164075836</v>
      </c>
      <c r="AT43" s="895">
        <f t="shared" si="319"/>
        <v>-0.7712000344482044</v>
      </c>
      <c r="AU43" s="418"/>
      <c r="AV43" s="164">
        <f t="shared" si="320"/>
        <v>5.12</v>
      </c>
      <c r="AW43" s="828">
        <f>IFERROR(INDEX(MassProp!C$9:C$150,MATCH($M43,MassProp!$B$9:$B$150,0)),"")</f>
        <v>4.6105</v>
      </c>
      <c r="AX43" s="829">
        <f>IFERROR(INDEX(MassProp!D$9:D$150,MATCH($M43,MassProp!$B$9:$B$150,0)),"")</f>
        <v>-0.4516</v>
      </c>
      <c r="AY43" s="830">
        <f>IFERROR(INDEX(MassProp!E$9:E$150,MATCH($M43,MassProp!$B$9:$B$150,0)),"")</f>
        <v>1.44E-2</v>
      </c>
      <c r="AZ43" s="297">
        <f t="shared" si="321"/>
        <v>0.41715718473516339</v>
      </c>
      <c r="BA43" s="296">
        <f t="shared" si="322"/>
        <v>2.8671790757403611E-2</v>
      </c>
      <c r="BB43" s="190">
        <f t="shared" si="139"/>
        <v>0.12960003444820445</v>
      </c>
      <c r="BC43" s="9"/>
      <c r="BD43" s="5">
        <f t="shared" si="323"/>
        <v>4.6105</v>
      </c>
      <c r="BE43" s="6">
        <f t="shared" si="324"/>
        <v>-0.77180268418239417</v>
      </c>
      <c r="BF43" s="4">
        <f t="shared" si="325"/>
        <v>-4.0389724847650976</v>
      </c>
      <c r="BG43" s="5">
        <f t="shared" si="326"/>
        <v>-1.739454995105389</v>
      </c>
      <c r="BH43" s="10">
        <f t="shared" si="327"/>
        <v>-0.90140271863059862</v>
      </c>
      <c r="BI43" s="9">
        <f t="shared" si="328"/>
        <v>-4.0389724847650976</v>
      </c>
      <c r="BJ43" s="5">
        <f t="shared" si="329"/>
        <v>-1.5487878661309364</v>
      </c>
      <c r="BK43" s="8">
        <f t="shared" si="330"/>
        <v>8.0252030213738945E-2</v>
      </c>
      <c r="BL43" s="173">
        <f t="shared" si="331"/>
        <v>-3.0391376913457071</v>
      </c>
      <c r="BM43" s="5">
        <f t="shared" si="332"/>
        <v>-1.7216119282352194</v>
      </c>
      <c r="BN43" s="6">
        <f t="shared" si="333"/>
        <v>-0.90486838345444787</v>
      </c>
      <c r="BO43" s="4">
        <f t="shared" si="334"/>
        <v>-1.817651968900047E-2</v>
      </c>
      <c r="BP43" s="5">
        <f t="shared" si="335"/>
        <v>0.98149257301994175</v>
      </c>
      <c r="BQ43" s="5">
        <f t="shared" si="336"/>
        <v>-0.19063562951004043</v>
      </c>
      <c r="BR43" s="6">
        <f t="shared" si="337"/>
        <v>1.4620082211975087</v>
      </c>
      <c r="BS43" s="4">
        <f t="shared" si="505"/>
        <v>0</v>
      </c>
      <c r="BT43" s="5">
        <f t="shared" si="505"/>
        <v>0</v>
      </c>
      <c r="BU43" s="10">
        <f t="shared" si="111"/>
        <v>-0.77180268418239417</v>
      </c>
      <c r="BV43" s="9">
        <f t="shared" si="112"/>
        <v>0</v>
      </c>
      <c r="BW43" s="5">
        <f t="shared" si="113"/>
        <v>1</v>
      </c>
      <c r="BX43" s="8">
        <f t="shared" si="114"/>
        <v>-0.77180268418239417</v>
      </c>
      <c r="BY43" s="173">
        <f t="shared" si="115"/>
        <v>1</v>
      </c>
      <c r="BZ43" s="5">
        <f t="shared" si="116"/>
        <v>0</v>
      </c>
      <c r="CA43" s="6">
        <f t="shared" si="117"/>
        <v>-0.77180268418239417</v>
      </c>
      <c r="CB43" s="4">
        <f t="shared" si="338"/>
        <v>0</v>
      </c>
      <c r="CC43" s="5">
        <f t="shared" si="339"/>
        <v>0</v>
      </c>
      <c r="CD43" s="5">
        <f t="shared" si="340"/>
        <v>-1</v>
      </c>
      <c r="CE43" s="6">
        <f t="shared" si="341"/>
        <v>-0.77180268418239417</v>
      </c>
      <c r="CF43" s="4">
        <f t="shared" si="342"/>
        <v>-0.98149257301994175</v>
      </c>
      <c r="CG43" s="5">
        <f t="shared" si="343"/>
        <v>-1.817651968900047E-2</v>
      </c>
      <c r="CH43" s="5">
        <f t="shared" si="344"/>
        <v>0</v>
      </c>
      <c r="CI43" s="4">
        <f t="shared" si="118"/>
        <v>0</v>
      </c>
      <c r="CJ43" s="5">
        <f t="shared" si="345"/>
        <v>-1.6394839410786497</v>
      </c>
      <c r="CK43" s="8">
        <f t="shared" si="346"/>
        <v>-0.77180268418239417</v>
      </c>
      <c r="CL43" s="173">
        <f t="shared" si="347"/>
        <v>-0.98149257301994175</v>
      </c>
      <c r="CM43" s="5">
        <f t="shared" si="348"/>
        <v>-1.6576604607676502</v>
      </c>
      <c r="CN43" s="6">
        <f t="shared" si="349"/>
        <v>-0.77180268418239417</v>
      </c>
      <c r="CO43" s="167">
        <f t="shared" si="350"/>
        <v>0.3125</v>
      </c>
      <c r="CP43" s="4">
        <f t="shared" si="351"/>
        <v>0.96365805676131033</v>
      </c>
      <c r="CQ43" s="5">
        <f t="shared" si="352"/>
        <v>-7.9320772445213805</v>
      </c>
      <c r="CR43" s="5">
        <f t="shared" si="353"/>
        <v>16.24243286326174</v>
      </c>
      <c r="CS43" s="8">
        <f t="shared" si="354"/>
        <v>0.3092442527064776</v>
      </c>
      <c r="CT43" s="9">
        <f t="shared" si="154"/>
        <v>4.4041423853622588</v>
      </c>
      <c r="CU43" s="6">
        <f t="shared" si="355"/>
        <v>3.827073229831925</v>
      </c>
      <c r="CV43" s="4">
        <f t="shared" si="356"/>
        <v>-4.3226330417553873</v>
      </c>
      <c r="CW43" s="5">
        <f t="shared" si="357"/>
        <v>-1.7195359218593482</v>
      </c>
      <c r="CX43" s="8">
        <f t="shared" si="358"/>
        <v>-0.77180268418239417</v>
      </c>
      <c r="CY43" s="9">
        <f t="shared" si="359"/>
        <v>-3.7562439514834751</v>
      </c>
      <c r="CZ43" s="5">
        <f t="shared" si="360"/>
        <v>-1.7090468129919363</v>
      </c>
      <c r="DA43" s="6">
        <f t="shared" si="361"/>
        <v>-0.77180268418239417</v>
      </c>
      <c r="DB43" s="4">
        <f t="shared" ref="DB43:DC53" si="511">IF(ISNUMBER($AV43),0,"")</f>
        <v>0</v>
      </c>
      <c r="DC43" s="5">
        <f t="shared" si="511"/>
        <v>0</v>
      </c>
      <c r="DD43" s="10">
        <f t="shared" si="162"/>
        <v>-10</v>
      </c>
      <c r="DE43" s="9">
        <f t="shared" ref="DE43:DF53" si="512">IF(ISNUMBER($AV43),0,"")</f>
        <v>0</v>
      </c>
      <c r="DF43" s="5">
        <f t="shared" si="512"/>
        <v>0</v>
      </c>
      <c r="DG43" s="10">
        <f t="shared" si="164"/>
        <v>10</v>
      </c>
      <c r="DH43" s="70">
        <f t="shared" si="362"/>
        <v>4.6105</v>
      </c>
      <c r="DI43" s="4">
        <f t="shared" si="363"/>
        <v>0</v>
      </c>
      <c r="DJ43" s="5">
        <f t="shared" si="364"/>
        <v>0</v>
      </c>
      <c r="DK43" s="10">
        <f t="shared" si="365"/>
        <v>20</v>
      </c>
      <c r="DL43" s="9">
        <f t="shared" si="366"/>
        <v>-4.3226330417553873</v>
      </c>
      <c r="DM43" s="173">
        <f t="shared" si="367"/>
        <v>-1.7195359218593482</v>
      </c>
      <c r="DN43" s="178">
        <f t="shared" si="368"/>
        <v>9.2281973158176065</v>
      </c>
      <c r="DO43" s="9">
        <f t="shared" si="369"/>
        <v>0.5663890902719122</v>
      </c>
      <c r="DP43" s="173">
        <f t="shared" si="370"/>
        <v>1.0489108867411945E-2</v>
      </c>
      <c r="DQ43" s="11">
        <f t="shared" si="371"/>
        <v>0</v>
      </c>
      <c r="DR43" s="173">
        <f t="shared" si="372"/>
        <v>184.56394631635214</v>
      </c>
      <c r="DS43" s="5">
        <f t="shared" si="373"/>
        <v>0</v>
      </c>
      <c r="DT43" s="5">
        <f t="shared" si="374"/>
        <v>400</v>
      </c>
      <c r="DU43" s="5">
        <f t="shared" si="375"/>
        <v>0.32090662298387673</v>
      </c>
      <c r="DV43" s="5">
        <f t="shared" si="376"/>
        <v>-2.466328595584951</v>
      </c>
      <c r="DW43" s="5">
        <f t="shared" si="377"/>
        <v>106.80158589990339</v>
      </c>
      <c r="DX43" s="167">
        <f t="shared" si="378"/>
        <v>85.544875649903389</v>
      </c>
      <c r="DY43" s="9">
        <f t="shared" si="379"/>
        <v>128.36264919355068</v>
      </c>
      <c r="DZ43" s="5">
        <f t="shared" si="380"/>
        <v>-986.53143823398045</v>
      </c>
      <c r="EA43" s="10">
        <f t="shared" si="381"/>
        <v>154.09998009604169</v>
      </c>
      <c r="EB43" s="6">
        <f t="shared" si="382"/>
        <v>953463.5969382046</v>
      </c>
      <c r="EC43" s="173">
        <f t="shared" si="383"/>
        <v>15.292501800474527</v>
      </c>
      <c r="ED43" s="5">
        <f t="shared" si="384"/>
        <v>7.8502840391776754E-2</v>
      </c>
      <c r="EE43" s="4">
        <f t="shared" si="385"/>
        <v>4.3388731409969603</v>
      </c>
      <c r="EF43" s="5">
        <f t="shared" si="386"/>
        <v>-1.5591312056190778</v>
      </c>
      <c r="EG43" s="10">
        <f t="shared" si="387"/>
        <v>-0.77180268418239417</v>
      </c>
      <c r="EH43" s="9">
        <f t="shared" si="388"/>
        <v>-4.2781698894021281</v>
      </c>
      <c r="EI43" s="5">
        <f t="shared" si="389"/>
        <v>-1.7187124970200778</v>
      </c>
      <c r="EJ43" s="6">
        <f t="shared" si="390"/>
        <v>-0.77180268418239417</v>
      </c>
      <c r="EK43" s="236" t="b">
        <f t="shared" si="194"/>
        <v>0</v>
      </c>
      <c r="EL43" s="238" t="b">
        <f t="shared" si="195"/>
        <v>1</v>
      </c>
      <c r="EM43" s="4">
        <f t="shared" si="391"/>
        <v>-4.2781698894021281</v>
      </c>
      <c r="EN43" s="5">
        <f t="shared" si="392"/>
        <v>-1.7187124970200778</v>
      </c>
      <c r="EO43" s="10">
        <f t="shared" si="393"/>
        <v>-0.77180268418239417</v>
      </c>
      <c r="EP43" s="9">
        <f t="shared" si="394"/>
        <v>201.88730761753501</v>
      </c>
      <c r="EQ43" s="5">
        <f t="shared" si="395"/>
        <v>4.6105000000000009</v>
      </c>
      <c r="ER43" s="7">
        <f t="shared" si="396"/>
        <v>-0.77180268418239417</v>
      </c>
      <c r="ES43" s="21">
        <f t="shared" si="397"/>
        <v>-1.817651968900022E-2</v>
      </c>
      <c r="ET43" s="5">
        <f t="shared" si="398"/>
        <v>0.98149257301994197</v>
      </c>
      <c r="EU43" s="10">
        <f t="shared" si="399"/>
        <v>-0.19063562951004004</v>
      </c>
      <c r="EV43" s="174">
        <f t="shared" si="400"/>
        <v>248.11269238246499</v>
      </c>
      <c r="EW43" s="9">
        <f t="shared" si="401"/>
        <v>0.91752134998537049</v>
      </c>
      <c r="EX43" s="5">
        <f t="shared" si="402"/>
        <v>-0.34901666017875699</v>
      </c>
      <c r="EY43" s="6">
        <f t="shared" si="403"/>
        <v>-0.19063562951004004</v>
      </c>
      <c r="EZ43" s="51">
        <f t="shared" si="203"/>
        <v>0.37578731084243683</v>
      </c>
      <c r="FA43" s="266">
        <f t="shared" si="126"/>
        <v>-0.37277421761712221</v>
      </c>
      <c r="FB43" s="267">
        <f t="shared" si="127"/>
        <v>0.92789889880947218</v>
      </c>
      <c r="FC43" s="269">
        <f t="shared" si="38"/>
        <v>-6.5586788388577741E-3</v>
      </c>
      <c r="FD43" s="4">
        <f t="shared" si="404"/>
        <v>0.99997849163463948</v>
      </c>
      <c r="FE43" s="5">
        <f t="shared" si="405"/>
        <v>1.1102230246251565E-16</v>
      </c>
      <c r="FF43" s="7">
        <f t="shared" si="406"/>
        <v>-6.5586788388577741E-3</v>
      </c>
      <c r="FG43" s="173">
        <f t="shared" si="407"/>
        <v>-8.2457141649268983E-2</v>
      </c>
      <c r="FH43" s="5">
        <f t="shared" si="408"/>
        <v>-0.3490166601787571</v>
      </c>
      <c r="FI43" s="10">
        <f t="shared" si="409"/>
        <v>-0.18407695067118227</v>
      </c>
      <c r="FJ43" s="279">
        <f t="shared" si="410"/>
        <v>23.255700221470214</v>
      </c>
      <c r="FK43" s="4">
        <f t="shared" si="411"/>
        <v>0.98166086647136486</v>
      </c>
      <c r="FL43" s="5">
        <f t="shared" si="412"/>
        <v>0.99997849163463948</v>
      </c>
      <c r="FM43" s="8">
        <f t="shared" si="413"/>
        <v>0.35862488660340014</v>
      </c>
      <c r="FN43" s="9">
        <f t="shared" si="414"/>
        <v>20.826353251426724</v>
      </c>
      <c r="FO43" s="10">
        <f t="shared" si="415"/>
        <v>1</v>
      </c>
      <c r="FP43" s="277">
        <f t="shared" si="416"/>
        <v>20.826353251426724</v>
      </c>
      <c r="FQ43" s="173">
        <f t="shared" si="417"/>
        <v>0.35553689884095829</v>
      </c>
      <c r="FR43" s="10">
        <f t="shared" si="418"/>
        <v>0.93466224571368783</v>
      </c>
      <c r="FS43" s="9">
        <f t="shared" si="419"/>
        <v>0.27556745820327089</v>
      </c>
      <c r="FT43" s="6">
        <f t="shared" si="420"/>
        <v>0.72443254179672911</v>
      </c>
      <c r="FU43" s="4">
        <f t="shared" si="421"/>
        <v>0.93711651939215435</v>
      </c>
      <c r="FV43" s="5">
        <f t="shared" si="422"/>
        <v>1</v>
      </c>
      <c r="FW43" s="8">
        <f t="shared" si="423"/>
        <v>0.20170152200062469</v>
      </c>
      <c r="FX43" s="9">
        <f t="shared" si="424"/>
        <v>11.361696954900649</v>
      </c>
      <c r="FY43" s="10">
        <f t="shared" si="425"/>
        <v>1</v>
      </c>
      <c r="FZ43" s="277">
        <f t="shared" si="426"/>
        <v>11.361696954900649</v>
      </c>
      <c r="GA43" s="177">
        <f t="shared" si="427"/>
        <v>10.646759202112731</v>
      </c>
      <c r="GB43" s="4">
        <f t="shared" si="428"/>
        <v>-0.34856947505523378</v>
      </c>
      <c r="GC43" s="5">
        <f t="shared" si="429"/>
        <v>0.91634575596639645</v>
      </c>
      <c r="GD43" s="10">
        <f t="shared" si="430"/>
        <v>-0.19700197101067796</v>
      </c>
      <c r="GE43" s="311">
        <f t="shared" si="431"/>
        <v>1.4619172020323083</v>
      </c>
      <c r="GF43" s="341">
        <f t="shared" si="432"/>
        <v>0.68403326714388024</v>
      </c>
      <c r="GG43" s="285">
        <f t="shared" si="433"/>
        <v>0.23843311684865884</v>
      </c>
      <c r="GH43" s="286">
        <f t="shared" si="434"/>
        <v>0.62681098128712298</v>
      </c>
      <c r="GI43" s="281">
        <f t="shared" si="435"/>
        <v>0.13475590186421804</v>
      </c>
      <c r="GJ43" s="167">
        <f t="shared" si="436"/>
        <v>4.6105</v>
      </c>
      <c r="GK43" s="174">
        <f t="shared" si="49"/>
        <v>2.4141040783284917</v>
      </c>
      <c r="GL43" s="174">
        <f t="shared" si="437"/>
        <v>1.44E-2</v>
      </c>
      <c r="GM43" s="177">
        <f t="shared" si="438"/>
        <v>0.41715718473516339</v>
      </c>
      <c r="GN43" s="280">
        <f t="shared" si="439"/>
        <v>2.8671790757403611E-2</v>
      </c>
      <c r="GO43" s="4">
        <f t="shared" si="440"/>
        <v>20.826353251426724</v>
      </c>
      <c r="GP43" s="8">
        <f t="shared" si="441"/>
        <v>11.361696954900649</v>
      </c>
      <c r="GQ43" s="177">
        <f t="shared" si="442"/>
        <v>23.255700221470214</v>
      </c>
      <c r="GR43" s="371">
        <f t="shared" si="443"/>
        <v>1663.8077394502297</v>
      </c>
      <c r="GS43" s="342">
        <f t="shared" si="444"/>
        <v>396.70686515403958</v>
      </c>
      <c r="GT43" s="343">
        <f t="shared" si="445"/>
        <v>164.32881610834133</v>
      </c>
      <c r="GU43" s="344">
        <f t="shared" si="53"/>
        <v>1042.8929618379084</v>
      </c>
      <c r="GV43" s="343">
        <f t="shared" si="446"/>
        <v>432</v>
      </c>
      <c r="GW43" s="345">
        <f t="shared" si="129"/>
        <v>30000</v>
      </c>
      <c r="GX43" s="346">
        <f t="shared" si="54"/>
        <v>165.97799999999998</v>
      </c>
      <c r="GY43" s="344">
        <f t="shared" si="447"/>
        <v>224.20791245828161</v>
      </c>
      <c r="GZ43" s="345">
        <f t="shared" si="448"/>
        <v>92.874169954396308</v>
      </c>
      <c r="HA43" s="342">
        <f t="shared" si="57"/>
        <v>396.70686515403958</v>
      </c>
      <c r="HB43" s="5">
        <f t="shared" si="225"/>
        <v>248.11269238246499</v>
      </c>
      <c r="HC43" s="343">
        <f t="shared" si="449"/>
        <v>-147.88527205160099</v>
      </c>
      <c r="HD43" s="345">
        <f t="shared" si="450"/>
        <v>-368.11178080926629</v>
      </c>
      <c r="HE43" s="344">
        <f t="shared" si="58"/>
        <v>432</v>
      </c>
      <c r="HF43" s="5">
        <f t="shared" si="59"/>
        <v>338.11269238246496</v>
      </c>
      <c r="HG43" s="343">
        <f t="shared" si="451"/>
        <v>400.86094614938042</v>
      </c>
      <c r="HH43" s="349">
        <f t="shared" si="452"/>
        <v>-161.04192575917472</v>
      </c>
      <c r="HI43" s="317">
        <f t="shared" si="453"/>
        <v>5.12</v>
      </c>
      <c r="HJ43" s="336"/>
      <c r="HK43" s="310">
        <f t="shared" si="506"/>
        <v>35</v>
      </c>
      <c r="HL43" s="348">
        <f t="shared" si="454"/>
        <v>2.1230000000000002</v>
      </c>
      <c r="HM43" s="934">
        <f t="shared" si="455"/>
        <v>26.653711270889751</v>
      </c>
      <c r="HN43" s="935">
        <f t="shared" si="456"/>
        <v>28.710028034160967</v>
      </c>
      <c r="HO43" s="936"/>
      <c r="HP43" s="937"/>
      <c r="HQ43" s="935">
        <f t="shared" si="457"/>
        <v>27.02111527559293</v>
      </c>
      <c r="HR43" s="938">
        <f t="shared" si="458"/>
        <v>5.2506745106319581</v>
      </c>
      <c r="HS43" s="939">
        <f t="shared" si="507"/>
        <v>4.8981000000000003</v>
      </c>
      <c r="HT43" s="940">
        <f t="shared" si="459"/>
        <v>3.7000000000000002E-3</v>
      </c>
      <c r="HU43" s="941">
        <f t="shared" si="460"/>
        <v>0.11387214886414342</v>
      </c>
      <c r="HV43" s="942">
        <f t="shared" si="461"/>
        <v>7.8265904191519627E-3</v>
      </c>
      <c r="HW43" s="943">
        <f t="shared" si="462"/>
        <v>30000</v>
      </c>
      <c r="HX43" s="950">
        <f t="shared" si="463"/>
        <v>45.307425000000002</v>
      </c>
      <c r="HY43" s="955">
        <f t="shared" si="464"/>
        <v>142.89125965339105</v>
      </c>
      <c r="HZ43" s="956">
        <f t="shared" si="465"/>
        <v>284.6803721603585</v>
      </c>
      <c r="IA43" s="957">
        <f t="shared" si="466"/>
        <v>29.27249973933014</v>
      </c>
      <c r="IB43" s="958">
        <f t="shared" si="467"/>
        <v>456.84413155307971</v>
      </c>
      <c r="IC43" s="841">
        <f t="shared" si="468"/>
        <v>55.71486963137751</v>
      </c>
      <c r="ID43" s="351">
        <f t="shared" si="469"/>
        <v>111</v>
      </c>
      <c r="IE43" s="843">
        <f t="shared" si="470"/>
        <v>11.413668762647839</v>
      </c>
      <c r="IF43" s="844"/>
      <c r="IG43" s="789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7">
        <f t="shared" si="230"/>
        <v>5.12</v>
      </c>
      <c r="IJ43" s="967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1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308"/>
        <v>0</v>
      </c>
      <c r="B44" s="578">
        <f t="shared" ref="B44:D44" si="513">IFERROR(O199+($A44*-E44),"")</f>
        <v>-4.2726087032603894</v>
      </c>
      <c r="C44" s="572">
        <f t="shared" si="513"/>
        <v>-1.818015349426068</v>
      </c>
      <c r="D44" s="576">
        <f t="shared" si="513"/>
        <v>-1.6373049381116935</v>
      </c>
      <c r="E44" s="580">
        <f t="shared" ref="E44:K44" si="514">R199</f>
        <v>-9.1254119163691944E-2</v>
      </c>
      <c r="F44" s="572">
        <f t="shared" si="514"/>
        <v>-0.99198789720688774</v>
      </c>
      <c r="G44" s="579">
        <f t="shared" si="514"/>
        <v>8.7365310797341791E-2</v>
      </c>
      <c r="H44" s="580">
        <f t="shared" si="514"/>
        <v>0.3125</v>
      </c>
      <c r="I44" s="572">
        <f t="shared" si="514"/>
        <v>0.52</v>
      </c>
      <c r="J44" s="483">
        <f t="shared" si="92"/>
        <v>5.1230000000000002</v>
      </c>
      <c r="K44" s="805">
        <f t="shared" si="514"/>
        <v>1613</v>
      </c>
      <c r="L44" s="309"/>
      <c r="M44" s="164">
        <f t="shared" si="311"/>
        <v>5.1230000000000002</v>
      </c>
      <c r="N44" s="575">
        <f t="shared" si="312"/>
        <v>-4.2726087032603894</v>
      </c>
      <c r="O44" s="572">
        <f t="shared" si="313"/>
        <v>-1.818015349426068</v>
      </c>
      <c r="P44" s="576">
        <f t="shared" si="314"/>
        <v>-1.6373049381116935</v>
      </c>
      <c r="Q44" s="528">
        <f t="shared" si="134"/>
        <v>203.04998367760183</v>
      </c>
      <c r="R44" s="572">
        <f t="shared" si="486"/>
        <v>4.6433140042350374</v>
      </c>
      <c r="S44" s="577">
        <f t="shared" si="487"/>
        <v>-1.6373049381116935</v>
      </c>
      <c r="T44" s="578">
        <f t="shared" si="488"/>
        <v>-1.8433373579128645</v>
      </c>
      <c r="U44" s="572">
        <f t="shared" si="489"/>
        <v>4.2617452207808055</v>
      </c>
      <c r="V44" s="579">
        <f t="shared" si="490"/>
        <v>-1.6373049381116935</v>
      </c>
      <c r="W44" s="528">
        <f t="shared" si="256"/>
        <v>113.38998362851191</v>
      </c>
      <c r="X44" s="572">
        <f t="shared" si="491"/>
        <v>4.6433140042350374</v>
      </c>
      <c r="Y44" s="573">
        <f t="shared" si="259"/>
        <v>-1.6373049381116935</v>
      </c>
      <c r="Z44" s="575">
        <f t="shared" si="315"/>
        <v>9.1254119163691944E-2</v>
      </c>
      <c r="AA44" s="572">
        <f t="shared" si="316"/>
        <v>0.99198789720688774</v>
      </c>
      <c r="AB44" s="572">
        <f t="shared" si="317"/>
        <v>-8.7365310797341791E-2</v>
      </c>
      <c r="AC44" s="579">
        <f t="shared" si="492"/>
        <v>1</v>
      </c>
      <c r="AD44" s="580">
        <f t="shared" si="493"/>
        <v>9.1254119163691944E-2</v>
      </c>
      <c r="AE44" s="572">
        <f t="shared" si="494"/>
        <v>0.99198789720688774</v>
      </c>
      <c r="AF44" s="576">
        <f t="shared" si="495"/>
        <v>-8.7365310797341791E-2</v>
      </c>
      <c r="AG44" s="545">
        <f t="shared" si="496"/>
        <v>84.966892872740857</v>
      </c>
      <c r="AH44" s="546">
        <f t="shared" si="497"/>
        <v>84.764240253883258</v>
      </c>
      <c r="AI44" s="528">
        <f t="shared" si="498"/>
        <v>-84.987946658039618</v>
      </c>
      <c r="AJ44" s="529">
        <f t="shared" si="499"/>
        <v>174.74408719992962</v>
      </c>
      <c r="AK44" s="578">
        <f t="shared" si="500"/>
        <v>0.87706210049175737</v>
      </c>
      <c r="AL44" s="572">
        <f t="shared" si="501"/>
        <v>-0.47236572097292456</v>
      </c>
      <c r="AM44" s="577">
        <f t="shared" si="502"/>
        <v>-8.7365310797341791E-2</v>
      </c>
      <c r="AN44" s="524">
        <f t="shared" si="503"/>
        <v>-79.521402834342865</v>
      </c>
      <c r="AO44" s="525">
        <f t="shared" si="108"/>
        <v>28.710028034160867</v>
      </c>
      <c r="AP44" s="528">
        <f t="shared" si="504"/>
        <v>-28.305896477672221</v>
      </c>
      <c r="AQ44" s="529">
        <f t="shared" si="318"/>
        <v>0.37313172121164012</v>
      </c>
      <c r="AS44" s="899">
        <f t="shared" si="510"/>
        <v>-246.61001637148809</v>
      </c>
      <c r="AT44" s="895">
        <f t="shared" si="319"/>
        <v>-1.5069703095039053</v>
      </c>
      <c r="AU44" s="418"/>
      <c r="AV44" s="164">
        <f t="shared" si="320"/>
        <v>5.1230000000000002</v>
      </c>
      <c r="AW44" s="828">
        <f>IFERROR(INDEX(MassProp!C$9:C$150,MATCH($M44,MassProp!$B$9:$B$150,0)),"")</f>
        <v>4.8981000000000003</v>
      </c>
      <c r="AX44" s="829">
        <f>IFERROR(INDEX(MassProp!D$9:D$150,MATCH($M44,MassProp!$B$9:$B$150,0)),"")</f>
        <v>-1.2657</v>
      </c>
      <c r="AY44" s="830">
        <f>IFERROR(INDEX(MassProp!E$9:E$150,MATCH($M44,MassProp!$B$9:$B$150,0)),"")</f>
        <v>3.7000000000000002E-3</v>
      </c>
      <c r="AZ44" s="297">
        <f t="shared" si="321"/>
        <v>0.11387214886414342</v>
      </c>
      <c r="BA44" s="296">
        <f t="shared" si="322"/>
        <v>7.8265904191519627E-3</v>
      </c>
      <c r="BB44" s="190">
        <f t="shared" si="139"/>
        <v>5.127030950390532E-2</v>
      </c>
      <c r="BC44" s="9"/>
      <c r="BD44" s="5">
        <f t="shared" si="323"/>
        <v>4.8981000000000003</v>
      </c>
      <c r="BE44" s="6">
        <f t="shared" si="324"/>
        <v>-1.5860346286077882</v>
      </c>
      <c r="BF44" s="4">
        <f t="shared" si="325"/>
        <v>-4.2726087032603894</v>
      </c>
      <c r="BG44" s="5">
        <f t="shared" si="326"/>
        <v>-1.818015349426068</v>
      </c>
      <c r="BH44" s="10">
        <f t="shared" si="327"/>
        <v>-1.6373049381116935</v>
      </c>
      <c r="BI44" s="9">
        <f t="shared" si="328"/>
        <v>-4.2726087032603894</v>
      </c>
      <c r="BJ44" s="5">
        <f t="shared" si="329"/>
        <v>-1.7302839916953421</v>
      </c>
      <c r="BK44" s="8">
        <f t="shared" si="330"/>
        <v>-0.64116076738602823</v>
      </c>
      <c r="BL44" s="173">
        <f t="shared" si="331"/>
        <v>-3.2767810646925204</v>
      </c>
      <c r="BM44" s="5">
        <f t="shared" si="332"/>
        <v>-1.9089176082856847</v>
      </c>
      <c r="BN44" s="6">
        <f t="shared" si="333"/>
        <v>-1.6292990903389415</v>
      </c>
      <c r="BO44" s="4">
        <f t="shared" si="334"/>
        <v>9.1254119163691694E-2</v>
      </c>
      <c r="BP44" s="5">
        <f t="shared" si="335"/>
        <v>0.99198789720688696</v>
      </c>
      <c r="BQ44" s="5">
        <f t="shared" si="336"/>
        <v>-8.7365310797340889E-2</v>
      </c>
      <c r="BR44" s="6">
        <f t="shared" si="337"/>
        <v>2.0502987125260086</v>
      </c>
      <c r="BS44" s="4">
        <f t="shared" si="505"/>
        <v>0</v>
      </c>
      <c r="BT44" s="5">
        <f t="shared" si="505"/>
        <v>0</v>
      </c>
      <c r="BU44" s="10">
        <f t="shared" si="111"/>
        <v>-1.5860346286077882</v>
      </c>
      <c r="BV44" s="9">
        <f t="shared" si="112"/>
        <v>0</v>
      </c>
      <c r="BW44" s="5">
        <f t="shared" si="113"/>
        <v>1</v>
      </c>
      <c r="BX44" s="8">
        <f t="shared" si="114"/>
        <v>-1.5860346286077882</v>
      </c>
      <c r="BY44" s="173">
        <f t="shared" si="115"/>
        <v>1</v>
      </c>
      <c r="BZ44" s="5">
        <f t="shared" si="116"/>
        <v>0</v>
      </c>
      <c r="CA44" s="6">
        <f t="shared" si="117"/>
        <v>-1.5860346286077882</v>
      </c>
      <c r="CB44" s="4">
        <f t="shared" si="338"/>
        <v>0</v>
      </c>
      <c r="CC44" s="5">
        <f t="shared" si="339"/>
        <v>0</v>
      </c>
      <c r="CD44" s="5">
        <f t="shared" si="340"/>
        <v>-1</v>
      </c>
      <c r="CE44" s="6">
        <f t="shared" si="341"/>
        <v>-1.5860346286077882</v>
      </c>
      <c r="CF44" s="4">
        <f t="shared" si="342"/>
        <v>-0.99198789720688696</v>
      </c>
      <c r="CG44" s="5">
        <f t="shared" si="343"/>
        <v>9.1254119163691694E-2</v>
      </c>
      <c r="CH44" s="5">
        <f t="shared" si="344"/>
        <v>0</v>
      </c>
      <c r="CI44" s="4">
        <f t="shared" si="118"/>
        <v>0</v>
      </c>
      <c r="CJ44" s="5">
        <f t="shared" si="345"/>
        <v>-2.2065421634203348</v>
      </c>
      <c r="CK44" s="8">
        <f t="shared" si="346"/>
        <v>-1.5860346286077882</v>
      </c>
      <c r="CL44" s="173">
        <f t="shared" si="347"/>
        <v>-0.99198789720688696</v>
      </c>
      <c r="CM44" s="5">
        <f t="shared" si="348"/>
        <v>-2.1152880442566433</v>
      </c>
      <c r="CN44" s="6">
        <f t="shared" si="349"/>
        <v>-1.5860346286077882</v>
      </c>
      <c r="CO44" s="167">
        <f t="shared" si="350"/>
        <v>0.3125</v>
      </c>
      <c r="CP44" s="4">
        <f t="shared" si="351"/>
        <v>0.99236730246928251</v>
      </c>
      <c r="CQ44" s="5">
        <f t="shared" si="352"/>
        <v>-8.5476615906352809</v>
      </c>
      <c r="CR44" s="5">
        <f t="shared" si="353"/>
        <v>18.311110611005592</v>
      </c>
      <c r="CS44" s="8">
        <f t="shared" si="354"/>
        <v>0.37712889898055835</v>
      </c>
      <c r="CT44" s="9">
        <f t="shared" si="154"/>
        <v>4.6161183375488575</v>
      </c>
      <c r="CU44" s="6">
        <f t="shared" si="355"/>
        <v>3.9972867689740497</v>
      </c>
      <c r="CV44" s="4">
        <f t="shared" si="356"/>
        <v>-4.5791335229232422</v>
      </c>
      <c r="CW44" s="5">
        <f t="shared" si="357"/>
        <v>-1.7853023505719499</v>
      </c>
      <c r="CX44" s="8">
        <f t="shared" si="358"/>
        <v>-1.5860346286077882</v>
      </c>
      <c r="CY44" s="9">
        <f t="shared" si="359"/>
        <v>-3.9652600964874787</v>
      </c>
      <c r="CZ44" s="5">
        <f t="shared" si="360"/>
        <v>-1.8417732802729294</v>
      </c>
      <c r="DA44" s="6">
        <f t="shared" si="361"/>
        <v>-1.5860346286077882</v>
      </c>
      <c r="DB44" s="4">
        <f t="shared" si="511"/>
        <v>0</v>
      </c>
      <c r="DC44" s="5">
        <f t="shared" si="511"/>
        <v>0</v>
      </c>
      <c r="DD44" s="10">
        <f t="shared" si="162"/>
        <v>-10</v>
      </c>
      <c r="DE44" s="9">
        <f t="shared" si="512"/>
        <v>0</v>
      </c>
      <c r="DF44" s="5">
        <f t="shared" si="512"/>
        <v>0</v>
      </c>
      <c r="DG44" s="10">
        <f t="shared" si="164"/>
        <v>10</v>
      </c>
      <c r="DH44" s="70">
        <f t="shared" si="362"/>
        <v>4.8981000000000003</v>
      </c>
      <c r="DI44" s="4">
        <f t="shared" si="363"/>
        <v>0</v>
      </c>
      <c r="DJ44" s="5">
        <f t="shared" si="364"/>
        <v>0</v>
      </c>
      <c r="DK44" s="10">
        <f t="shared" si="365"/>
        <v>20</v>
      </c>
      <c r="DL44" s="9">
        <f t="shared" si="366"/>
        <v>-4.5791335229232422</v>
      </c>
      <c r="DM44" s="173">
        <f t="shared" si="367"/>
        <v>-1.7853023505719499</v>
      </c>
      <c r="DN44" s="178">
        <f t="shared" si="368"/>
        <v>8.4139653713922122</v>
      </c>
      <c r="DO44" s="9">
        <f t="shared" si="369"/>
        <v>0.61387342643576348</v>
      </c>
      <c r="DP44" s="173">
        <f t="shared" si="370"/>
        <v>-5.6470929700979555E-2</v>
      </c>
      <c r="DQ44" s="11">
        <f t="shared" si="371"/>
        <v>0</v>
      </c>
      <c r="DR44" s="173">
        <f t="shared" si="372"/>
        <v>168.27930742784423</v>
      </c>
      <c r="DS44" s="5">
        <f t="shared" si="373"/>
        <v>0</v>
      </c>
      <c r="DT44" s="5">
        <f t="shared" si="374"/>
        <v>400</v>
      </c>
      <c r="DU44" s="5">
        <f t="shared" si="375"/>
        <v>0.38002954958527768</v>
      </c>
      <c r="DV44" s="5">
        <f t="shared" si="376"/>
        <v>-2.710190702289617</v>
      </c>
      <c r="DW44" s="5">
        <f t="shared" si="377"/>
        <v>94.950581574704444</v>
      </c>
      <c r="DX44" s="167">
        <f t="shared" si="378"/>
        <v>70.959197964704444</v>
      </c>
      <c r="DY44" s="9">
        <f t="shared" si="379"/>
        <v>152.01181983411107</v>
      </c>
      <c r="DZ44" s="5">
        <f t="shared" si="380"/>
        <v>-1084.0762809158468</v>
      </c>
      <c r="EA44" s="10">
        <f t="shared" si="381"/>
        <v>65.753877486866259</v>
      </c>
      <c r="EB44" s="6">
        <f t="shared" si="382"/>
        <v>1165226.0162664063</v>
      </c>
      <c r="EC44" s="173">
        <f t="shared" si="383"/>
        <v>14.232660561915798</v>
      </c>
      <c r="ED44" s="5">
        <f t="shared" si="384"/>
        <v>3.0391904647498601E-2</v>
      </c>
      <c r="EE44" s="4">
        <f t="shared" si="385"/>
        <v>4.1579185835171684</v>
      </c>
      <c r="EF44" s="5">
        <f t="shared" si="386"/>
        <v>-2.589033924621801</v>
      </c>
      <c r="EG44" s="10">
        <f t="shared" si="387"/>
        <v>-1.5860346286077882</v>
      </c>
      <c r="EH44" s="9">
        <f t="shared" si="388"/>
        <v>-4.5604767402813735</v>
      </c>
      <c r="EI44" s="5">
        <f t="shared" si="389"/>
        <v>-1.7870186096827776</v>
      </c>
      <c r="EJ44" s="6">
        <f t="shared" si="390"/>
        <v>-1.5860346286077882</v>
      </c>
      <c r="EK44" s="236" t="b">
        <f t="shared" si="194"/>
        <v>0</v>
      </c>
      <c r="EL44" s="238" t="b">
        <f t="shared" si="195"/>
        <v>1</v>
      </c>
      <c r="EM44" s="4">
        <f t="shared" si="391"/>
        <v>-4.5604767402813735</v>
      </c>
      <c r="EN44" s="5">
        <f t="shared" si="392"/>
        <v>-1.7870186096827776</v>
      </c>
      <c r="EO44" s="10">
        <f t="shared" si="393"/>
        <v>-1.5860346286077882</v>
      </c>
      <c r="EP44" s="9">
        <f t="shared" si="394"/>
        <v>201.39768366899031</v>
      </c>
      <c r="EQ44" s="5">
        <f t="shared" si="395"/>
        <v>4.8980999999999986</v>
      </c>
      <c r="ER44" s="7">
        <f t="shared" si="396"/>
        <v>-1.5860346286077882</v>
      </c>
      <c r="ES44" s="21">
        <f t="shared" si="397"/>
        <v>9.1254119163691944E-2</v>
      </c>
      <c r="ET44" s="5">
        <f t="shared" si="398"/>
        <v>0.99198789720688774</v>
      </c>
      <c r="EU44" s="10">
        <f t="shared" si="399"/>
        <v>-8.7365310797341791E-2</v>
      </c>
      <c r="EV44" s="174">
        <f t="shared" si="400"/>
        <v>248.60231633100969</v>
      </c>
      <c r="EW44" s="9">
        <f t="shared" si="401"/>
        <v>0.89031765841794064</v>
      </c>
      <c r="EX44" s="5">
        <f t="shared" si="402"/>
        <v>-0.44688003936009413</v>
      </c>
      <c r="EY44" s="6">
        <f t="shared" si="403"/>
        <v>-8.7365310797341791E-2</v>
      </c>
      <c r="EZ44" s="51">
        <f t="shared" si="203"/>
        <v>0.35372291876303336</v>
      </c>
      <c r="FA44" s="266">
        <f t="shared" si="126"/>
        <v>-0.36483219102171793</v>
      </c>
      <c r="FB44" s="267">
        <f t="shared" si="127"/>
        <v>0.93105282297859648</v>
      </c>
      <c r="FC44" s="269">
        <f t="shared" si="38"/>
        <v>-6.1735903556077018E-3</v>
      </c>
      <c r="FD44" s="4">
        <f t="shared" si="404"/>
        <v>0.99998094320947983</v>
      </c>
      <c r="FE44" s="5">
        <f t="shared" si="405"/>
        <v>-3.3306690738754696E-16</v>
      </c>
      <c r="FF44" s="7">
        <f t="shared" si="406"/>
        <v>-6.1735903556077018E-3</v>
      </c>
      <c r="FG44" s="173">
        <f t="shared" si="407"/>
        <v>-0.1096632847915392</v>
      </c>
      <c r="FH44" s="5">
        <f t="shared" si="408"/>
        <v>-0.44688003936009379</v>
      </c>
      <c r="FI44" s="10">
        <f t="shared" si="409"/>
        <v>-8.1191720441734089E-2</v>
      </c>
      <c r="FJ44" s="279">
        <f t="shared" si="410"/>
        <v>27.021002355180915</v>
      </c>
      <c r="FK44" s="4">
        <f t="shared" si="411"/>
        <v>0.99617634105076203</v>
      </c>
      <c r="FL44" s="5">
        <f t="shared" si="412"/>
        <v>0.99998094320947994</v>
      </c>
      <c r="FM44" s="8">
        <f t="shared" si="413"/>
        <v>0.46013889817070369</v>
      </c>
      <c r="FN44" s="9">
        <f t="shared" si="414"/>
        <v>26.653596469060663</v>
      </c>
      <c r="FO44" s="10">
        <f t="shared" si="415"/>
        <v>1</v>
      </c>
      <c r="FP44" s="277">
        <f t="shared" si="416"/>
        <v>26.653596469060663</v>
      </c>
      <c r="FQ44" s="173">
        <f t="shared" si="417"/>
        <v>0.44859531485030701</v>
      </c>
      <c r="FR44" s="10">
        <f t="shared" si="418"/>
        <v>0.89373499623454034</v>
      </c>
      <c r="FS44" s="9">
        <f t="shared" si="419"/>
        <v>0.33419145134833494</v>
      </c>
      <c r="FT44" s="6">
        <f t="shared" si="420"/>
        <v>0.66580854865166517</v>
      </c>
      <c r="FU44" s="4">
        <f t="shared" si="421"/>
        <v>0.89459389133926071</v>
      </c>
      <c r="FV44" s="5">
        <f t="shared" si="422"/>
        <v>0.99999999999999989</v>
      </c>
      <c r="FW44" s="8">
        <f t="shared" si="423"/>
        <v>0.1364482740805428</v>
      </c>
      <c r="FX44" s="9">
        <f t="shared" si="424"/>
        <v>5.2506689101134567</v>
      </c>
      <c r="FY44" s="10">
        <f t="shared" si="425"/>
        <v>1</v>
      </c>
      <c r="FZ44" s="277">
        <f t="shared" si="426"/>
        <v>5.2506689101134567</v>
      </c>
      <c r="GA44" s="177">
        <f t="shared" si="427"/>
        <v>4.6970254831155192</v>
      </c>
      <c r="GB44" s="4">
        <f t="shared" si="428"/>
        <v>-0.44671294577134518</v>
      </c>
      <c r="GC44" s="5">
        <f t="shared" si="429"/>
        <v>0.88998475840100599</v>
      </c>
      <c r="GD44" s="10">
        <f t="shared" si="430"/>
        <v>-9.1513244364901658E-2</v>
      </c>
      <c r="GE44" s="311">
        <f t="shared" si="431"/>
        <v>1.4282109485372527</v>
      </c>
      <c r="GF44" s="341">
        <f t="shared" si="432"/>
        <v>0.70017667979942422</v>
      </c>
      <c r="GG44" s="285">
        <f t="shared" si="433"/>
        <v>0.31277798719360073</v>
      </c>
      <c r="GH44" s="286">
        <f t="shared" si="434"/>
        <v>0.62314657320930911</v>
      </c>
      <c r="GI44" s="281">
        <f t="shared" si="435"/>
        <v>6.4075439597090209E-2</v>
      </c>
      <c r="GJ44" s="167">
        <f t="shared" si="436"/>
        <v>4.8981000000000003</v>
      </c>
      <c r="GK44" s="174">
        <f t="shared" si="49"/>
        <v>2.5646880374807073</v>
      </c>
      <c r="GL44" s="174">
        <f t="shared" si="437"/>
        <v>3.7000000000000002E-3</v>
      </c>
      <c r="GM44" s="177">
        <f t="shared" si="438"/>
        <v>0.11387214886414342</v>
      </c>
      <c r="GN44" s="280">
        <f t="shared" si="439"/>
        <v>7.8265904191519627E-3</v>
      </c>
      <c r="GO44" s="4">
        <f t="shared" si="440"/>
        <v>26.653596469060663</v>
      </c>
      <c r="GP44" s="8">
        <f t="shared" si="441"/>
        <v>5.2506689101134567</v>
      </c>
      <c r="GQ44" s="177">
        <f t="shared" si="442"/>
        <v>27.021002355180915</v>
      </c>
      <c r="GR44" s="371">
        <f t="shared" si="443"/>
        <v>456.84335660261593</v>
      </c>
      <c r="GS44" s="342">
        <f t="shared" si="444"/>
        <v>142.89054554093457</v>
      </c>
      <c r="GT44" s="343">
        <f t="shared" si="445"/>
        <v>55.714591191097043</v>
      </c>
      <c r="GU44" s="344">
        <f t="shared" si="53"/>
        <v>284.6803721603585</v>
      </c>
      <c r="GV44" s="343">
        <f t="shared" si="446"/>
        <v>111</v>
      </c>
      <c r="GW44" s="345">
        <f t="shared" si="129"/>
        <v>30000</v>
      </c>
      <c r="GX44" s="346">
        <f t="shared" si="54"/>
        <v>45.307425000000002</v>
      </c>
      <c r="GY44" s="344">
        <f t="shared" si="447"/>
        <v>29.272438901322857</v>
      </c>
      <c r="GZ44" s="345">
        <f t="shared" si="448"/>
        <v>11.413645041241418</v>
      </c>
      <c r="HA44" s="342">
        <f t="shared" si="57"/>
        <v>142.89054554093457</v>
      </c>
      <c r="HB44" s="5">
        <f t="shared" si="225"/>
        <v>248.60231633100969</v>
      </c>
      <c r="HC44" s="343">
        <f t="shared" si="449"/>
        <v>-52.132064275816049</v>
      </c>
      <c r="HD44" s="345">
        <f t="shared" si="450"/>
        <v>-133.04118114075837</v>
      </c>
      <c r="HE44" s="344">
        <f t="shared" si="58"/>
        <v>111</v>
      </c>
      <c r="HF44" s="5">
        <f t="shared" si="59"/>
        <v>338.60231633100966</v>
      </c>
      <c r="HG44" s="343">
        <f t="shared" si="451"/>
        <v>103.34883284768223</v>
      </c>
      <c r="HH44" s="349">
        <f t="shared" si="452"/>
        <v>-40.497144949018775</v>
      </c>
      <c r="HI44" s="317">
        <f t="shared" si="453"/>
        <v>5.1230000000000002</v>
      </c>
      <c r="HJ44" s="336"/>
      <c r="HK44" s="310">
        <f t="shared" si="506"/>
        <v>36</v>
      </c>
      <c r="HL44" s="348">
        <f t="shared" si="454"/>
        <v>3.1240000000000001</v>
      </c>
      <c r="HM44" s="934">
        <f t="shared" si="455"/>
        <v>28.709577693994579</v>
      </c>
      <c r="HN44" s="935">
        <f t="shared" si="456"/>
        <v>30.593821646993739</v>
      </c>
      <c r="HO44" s="936"/>
      <c r="HP44" s="937"/>
      <c r="HQ44" s="935">
        <f t="shared" si="457"/>
        <v>28.769971971928687</v>
      </c>
      <c r="HR44" s="938">
        <f t="shared" si="458"/>
        <v>2.3369734524219545</v>
      </c>
      <c r="HS44" s="939">
        <f t="shared" si="507"/>
        <v>4.9214000000000002</v>
      </c>
      <c r="HT44" s="940">
        <f t="shared" si="459"/>
        <v>6.9999999999999999E-4</v>
      </c>
      <c r="HU44" s="941">
        <f t="shared" si="460"/>
        <v>2.1645856323527595E-2</v>
      </c>
      <c r="HV44" s="942">
        <f t="shared" si="461"/>
        <v>1.487749668430176E-3</v>
      </c>
      <c r="HW44" s="943">
        <f t="shared" si="462"/>
        <v>30000</v>
      </c>
      <c r="HX44" s="950">
        <f t="shared" si="463"/>
        <v>8.6124500000000008</v>
      </c>
      <c r="HY44" s="955">
        <f t="shared" si="464"/>
        <v>29.638658868563187</v>
      </c>
      <c r="HZ44" s="956">
        <f t="shared" si="465"/>
        <v>54.114640808818997</v>
      </c>
      <c r="IA44" s="957">
        <f t="shared" si="466"/>
        <v>2.517993728067117</v>
      </c>
      <c r="IB44" s="958">
        <f t="shared" si="467"/>
        <v>86.271293405449299</v>
      </c>
      <c r="IC44" s="841">
        <f t="shared" si="468"/>
        <v>11.501727202417156</v>
      </c>
      <c r="ID44" s="351">
        <f t="shared" si="469"/>
        <v>21</v>
      </c>
      <c r="IE44" s="843">
        <f t="shared" si="470"/>
        <v>0.97714532516664176</v>
      </c>
      <c r="IF44" s="844"/>
      <c r="IG44" s="789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7">
        <f t="shared" si="230"/>
        <v>5.1230000000000002</v>
      </c>
      <c r="IJ44" s="967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1613</v>
      </c>
      <c r="IM44" s="482" t="str">
        <f t="shared" si="231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308"/>
        <v>0</v>
      </c>
      <c r="B45" s="578">
        <f t="shared" ref="B45:D45" si="515">IFERROR(O200+($A45*-E45),"")</f>
        <v>-4.375215414054761</v>
      </c>
      <c r="C45" s="572">
        <f t="shared" si="515"/>
        <v>-1.8508620803878466</v>
      </c>
      <c r="D45" s="576">
        <f t="shared" si="515"/>
        <v>-2.311606971806627</v>
      </c>
      <c r="E45" s="580">
        <f t="shared" ref="E45:K45" si="516">R200</f>
        <v>-0.14991493015585761</v>
      </c>
      <c r="F45" s="572">
        <f t="shared" si="516"/>
        <v>-0.98782183377644062</v>
      </c>
      <c r="G45" s="579">
        <f t="shared" si="516"/>
        <v>4.1635783058740841E-2</v>
      </c>
      <c r="H45" s="580">
        <f t="shared" si="516"/>
        <v>0.26450000000000001</v>
      </c>
      <c r="I45" s="572">
        <f t="shared" si="516"/>
        <v>0.52</v>
      </c>
      <c r="J45" s="483">
        <f t="shared" si="92"/>
        <v>5.1260000000000003</v>
      </c>
      <c r="K45" s="805">
        <f t="shared" si="516"/>
        <v>1313</v>
      </c>
      <c r="L45" s="309"/>
      <c r="M45" s="164">
        <f t="shared" si="311"/>
        <v>5.1260000000000003</v>
      </c>
      <c r="N45" s="575">
        <f t="shared" si="312"/>
        <v>-4.375215414054761</v>
      </c>
      <c r="O45" s="572">
        <f t="shared" si="313"/>
        <v>-1.8508620803878466</v>
      </c>
      <c r="P45" s="576">
        <f t="shared" si="314"/>
        <v>-2.311606971806627</v>
      </c>
      <c r="Q45" s="528">
        <f t="shared" si="134"/>
        <v>202.92998339605668</v>
      </c>
      <c r="R45" s="572">
        <f t="shared" si="486"/>
        <v>4.7506000000000004</v>
      </c>
      <c r="S45" s="577">
        <f t="shared" si="487"/>
        <v>-2.311606971806627</v>
      </c>
      <c r="T45" s="578">
        <f t="shared" si="488"/>
        <v>-1.8767923873653516</v>
      </c>
      <c r="U45" s="572">
        <f t="shared" si="489"/>
        <v>4.3641552097430569</v>
      </c>
      <c r="V45" s="579">
        <f t="shared" si="490"/>
        <v>-2.311606971806627</v>
      </c>
      <c r="W45" s="528">
        <f t="shared" si="256"/>
        <v>113.26998334696677</v>
      </c>
      <c r="X45" s="572">
        <f t="shared" si="491"/>
        <v>4.7506000000000004</v>
      </c>
      <c r="Y45" s="573">
        <f t="shared" si="259"/>
        <v>-2.311606971806627</v>
      </c>
      <c r="Z45" s="575">
        <f t="shared" si="315"/>
        <v>0.14991493015585761</v>
      </c>
      <c r="AA45" s="572">
        <f t="shared" si="316"/>
        <v>0.98782183377644062</v>
      </c>
      <c r="AB45" s="572">
        <f t="shared" si="317"/>
        <v>-4.1635783058740841E-2</v>
      </c>
      <c r="AC45" s="579">
        <f t="shared" si="492"/>
        <v>1</v>
      </c>
      <c r="AD45" s="580">
        <f t="shared" si="493"/>
        <v>0.14991493015585761</v>
      </c>
      <c r="AE45" s="572">
        <f t="shared" si="494"/>
        <v>0.98782183377644062</v>
      </c>
      <c r="AF45" s="576">
        <f t="shared" si="495"/>
        <v>-4.1635783058740841E-2</v>
      </c>
      <c r="AG45" s="545">
        <f t="shared" si="496"/>
        <v>87.586464090398934</v>
      </c>
      <c r="AH45" s="546">
        <f t="shared" si="497"/>
        <v>81.378003329316186</v>
      </c>
      <c r="AI45" s="528">
        <f t="shared" si="498"/>
        <v>-87.613755574007882</v>
      </c>
      <c r="AJ45" s="529">
        <f t="shared" si="499"/>
        <v>171.37046324191869</v>
      </c>
      <c r="AK45" s="578">
        <f t="shared" si="500"/>
        <v>0.85135802929504778</v>
      </c>
      <c r="AL45" s="572">
        <f t="shared" si="501"/>
        <v>-0.52293017461601699</v>
      </c>
      <c r="AM45" s="577">
        <f t="shared" si="502"/>
        <v>-4.1635783058740841E-2</v>
      </c>
      <c r="AN45" s="524">
        <f t="shared" si="503"/>
        <v>-85.447704343190765</v>
      </c>
      <c r="AO45" s="525">
        <f t="shared" si="108"/>
        <v>31.640315229482724</v>
      </c>
      <c r="AP45" s="528">
        <f t="shared" si="504"/>
        <v>-31.559520154137989</v>
      </c>
      <c r="AQ45" s="529">
        <f t="shared" si="318"/>
        <v>0.36470526677164844</v>
      </c>
      <c r="AS45" s="899">
        <f t="shared" si="510"/>
        <v>-246.73001665303323</v>
      </c>
      <c r="AT45" s="895">
        <f t="shared" si="319"/>
        <v>-2.1812090097169121</v>
      </c>
      <c r="AU45" s="418"/>
      <c r="AV45" s="164" t="str">
        <f t="shared" si="320"/>
        <v/>
      </c>
      <c r="AW45" s="828" t="str">
        <f>IFERROR(INDEX(MassProp!C$9:C$150,MATCH($M45,MassProp!$B$9:$B$150,0)),"")</f>
        <v/>
      </c>
      <c r="AX45" s="829" t="str">
        <f>IFERROR(INDEX(MassProp!D$9:D$150,MATCH($M45,MassProp!$B$9:$B$150,0)),"")</f>
        <v/>
      </c>
      <c r="AY45" s="830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39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1"/>
        <v/>
      </c>
      <c r="BV45" s="9" t="str">
        <f t="shared" si="112"/>
        <v/>
      </c>
      <c r="BW45" s="5" t="str">
        <f t="shared" si="113"/>
        <v/>
      </c>
      <c r="BX45" s="8" t="str">
        <f t="shared" si="114"/>
        <v/>
      </c>
      <c r="BY45" s="173" t="str">
        <f t="shared" si="115"/>
        <v/>
      </c>
      <c r="BZ45" s="5" t="str">
        <f t="shared" si="116"/>
        <v/>
      </c>
      <c r="CA45" s="6" t="str">
        <f t="shared" si="117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18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4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2"/>
        <v/>
      </c>
      <c r="DE45" s="9" t="str">
        <f t="shared" si="512"/>
        <v/>
      </c>
      <c r="DF45" s="5" t="str">
        <f t="shared" si="512"/>
        <v/>
      </c>
      <c r="DG45" s="10" t="str">
        <f t="shared" si="164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4"/>
        <v/>
      </c>
      <c r="EL45" s="238" t="str">
        <f t="shared" si="195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3"/>
        <v/>
      </c>
      <c r="FA45" s="266" t="str">
        <f t="shared" si="126"/>
        <v/>
      </c>
      <c r="FB45" s="267" t="str">
        <f t="shared" si="127"/>
        <v/>
      </c>
      <c r="FC45" s="269" t="str">
        <f t="shared" si="38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9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3"/>
        <v/>
      </c>
      <c r="GV45" s="343" t="str">
        <f t="shared" si="446"/>
        <v/>
      </c>
      <c r="GW45" s="345" t="str">
        <f t="shared" si="129"/>
        <v/>
      </c>
      <c r="GX45" s="346" t="str">
        <f t="shared" si="54"/>
        <v/>
      </c>
      <c r="GY45" s="344" t="str">
        <f t="shared" si="447"/>
        <v/>
      </c>
      <c r="GZ45" s="345" t="str">
        <f t="shared" si="448"/>
        <v/>
      </c>
      <c r="HA45" s="342" t="str">
        <f t="shared" si="57"/>
        <v/>
      </c>
      <c r="HB45" s="5" t="str">
        <f t="shared" si="225"/>
        <v/>
      </c>
      <c r="HC45" s="343" t="str">
        <f t="shared" si="449"/>
        <v/>
      </c>
      <c r="HD45" s="345" t="str">
        <f t="shared" si="450"/>
        <v/>
      </c>
      <c r="HE45" s="344" t="str">
        <f t="shared" si="58"/>
        <v/>
      </c>
      <c r="HF45" s="5" t="str">
        <f t="shared" si="59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>
        <f t="shared" si="506"/>
        <v>37</v>
      </c>
      <c r="HL45" s="348">
        <f t="shared" si="454"/>
        <v>3.1240000000000001</v>
      </c>
      <c r="HM45" s="934">
        <f t="shared" si="455"/>
        <v>28.709577693994579</v>
      </c>
      <c r="HN45" s="935">
        <f t="shared" si="456"/>
        <v>30.593821646993739</v>
      </c>
      <c r="HO45" s="936"/>
      <c r="HP45" s="937"/>
      <c r="HQ45" s="935">
        <f t="shared" si="457"/>
        <v>28.769971971928687</v>
      </c>
      <c r="HR45" s="938">
        <f t="shared" si="458"/>
        <v>2.3369734524219545</v>
      </c>
      <c r="HS45" s="939">
        <f t="shared" si="507"/>
        <v>4.9214000000000002</v>
      </c>
      <c r="HT45" s="940">
        <f t="shared" si="459"/>
        <v>6.9999999999999999E-4</v>
      </c>
      <c r="HU45" s="941">
        <f t="shared" si="460"/>
        <v>2.1645856323527595E-2</v>
      </c>
      <c r="HV45" s="942">
        <f t="shared" si="461"/>
        <v>1.487749668430176E-3</v>
      </c>
      <c r="HW45" s="943">
        <f t="shared" si="462"/>
        <v>30000</v>
      </c>
      <c r="HX45" s="950">
        <f t="shared" si="463"/>
        <v>8.6124500000000008</v>
      </c>
      <c r="HY45" s="955">
        <f t="shared" si="464"/>
        <v>29.638658868563187</v>
      </c>
      <c r="HZ45" s="956">
        <f t="shared" si="465"/>
        <v>54.114640808818997</v>
      </c>
      <c r="IA45" s="957">
        <f t="shared" si="466"/>
        <v>2.517993728067117</v>
      </c>
      <c r="IB45" s="958">
        <f t="shared" si="467"/>
        <v>86.271293405449299</v>
      </c>
      <c r="IC45" s="841">
        <f t="shared" si="468"/>
        <v>11.501727202417156</v>
      </c>
      <c r="ID45" s="351">
        <f t="shared" si="469"/>
        <v>21</v>
      </c>
      <c r="IE45" s="843">
        <f t="shared" si="470"/>
        <v>0.97714532516664176</v>
      </c>
      <c r="IF45" s="844"/>
      <c r="IG45" s="789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7">
        <f t="shared" si="230"/>
        <v>5.1260000000000003</v>
      </c>
      <c r="IJ45" s="967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1313</v>
      </c>
      <c r="IM45" s="482" t="str">
        <f t="shared" si="231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308"/>
        <v>0</v>
      </c>
      <c r="B46" s="578">
        <f t="shared" ref="B46:D46" si="517">IFERROR(O201+($A46*-E46),"")</f>
        <v>-2.1262791678713646</v>
      </c>
      <c r="C46" s="572">
        <f t="shared" si="517"/>
        <v>1.4888371408640142</v>
      </c>
      <c r="D46" s="576">
        <f t="shared" si="517"/>
        <v>-3.1300094401084583E-2</v>
      </c>
      <c r="E46" s="580">
        <f t="shared" ref="E46:K46" si="518">R201</f>
        <v>-0.55403240849710922</v>
      </c>
      <c r="F46" s="572">
        <f t="shared" si="518"/>
        <v>-0.7912400464629461</v>
      </c>
      <c r="G46" s="579">
        <f t="shared" si="518"/>
        <v>0.25881900859134593</v>
      </c>
      <c r="H46" s="580">
        <f t="shared" si="518"/>
        <v>0.26450000000000001</v>
      </c>
      <c r="I46" s="572">
        <f t="shared" si="518"/>
        <v>0.52</v>
      </c>
      <c r="J46" s="483">
        <f t="shared" si="92"/>
        <v>6.1120000000000001</v>
      </c>
      <c r="K46" s="805">
        <f t="shared" si="518"/>
        <v>1313</v>
      </c>
      <c r="L46" s="309"/>
      <c r="M46" s="164">
        <f t="shared" si="311"/>
        <v>6.1120000000000001</v>
      </c>
      <c r="N46" s="575">
        <f t="shared" si="312"/>
        <v>-2.1262791678713646</v>
      </c>
      <c r="O46" s="572">
        <f t="shared" si="313"/>
        <v>1.4888371408640142</v>
      </c>
      <c r="P46" s="576">
        <f t="shared" si="314"/>
        <v>-3.1300094401084583E-2</v>
      </c>
      <c r="Q46" s="528">
        <f t="shared" si="134"/>
        <v>144.99999205898365</v>
      </c>
      <c r="R46" s="572">
        <f t="shared" si="486"/>
        <v>2.5957078286548114</v>
      </c>
      <c r="S46" s="577">
        <f t="shared" si="487"/>
        <v>-3.1300094401084583E-2</v>
      </c>
      <c r="T46" s="578">
        <f t="shared" si="488"/>
        <v>1.476193408454576</v>
      </c>
      <c r="U46" s="572">
        <f t="shared" si="489"/>
        <v>2.1350766151534555</v>
      </c>
      <c r="V46" s="579">
        <f t="shared" si="490"/>
        <v>-3.1300094401084583E-2</v>
      </c>
      <c r="W46" s="528">
        <f t="shared" si="256"/>
        <v>55.339992009893734</v>
      </c>
      <c r="X46" s="572">
        <f t="shared" si="491"/>
        <v>2.5957078286548114</v>
      </c>
      <c r="Y46" s="573">
        <f t="shared" si="259"/>
        <v>-3.1300094401084583E-2</v>
      </c>
      <c r="Z46" s="575">
        <f t="shared" si="315"/>
        <v>0.55403240849710922</v>
      </c>
      <c r="AA46" s="572">
        <f t="shared" si="316"/>
        <v>0.7912400464629461</v>
      </c>
      <c r="AB46" s="572">
        <f t="shared" si="317"/>
        <v>-0.25881900859134593</v>
      </c>
      <c r="AC46" s="579">
        <f t="shared" si="492"/>
        <v>1</v>
      </c>
      <c r="AD46" s="580">
        <f t="shared" si="493"/>
        <v>0.55403240849710922</v>
      </c>
      <c r="AE46" s="572">
        <f t="shared" si="494"/>
        <v>0.7912400464629461</v>
      </c>
      <c r="AF46" s="576">
        <f t="shared" si="495"/>
        <v>-0.25881900859134593</v>
      </c>
      <c r="AG46" s="545">
        <f t="shared" si="496"/>
        <v>71.886792182011291</v>
      </c>
      <c r="AH46" s="546">
        <f t="shared" si="497"/>
        <v>56.355904685442951</v>
      </c>
      <c r="AI46" s="528">
        <f t="shared" si="498"/>
        <v>-75.000002165731729</v>
      </c>
      <c r="AJ46" s="529">
        <f t="shared" si="499"/>
        <v>144.99999205898368</v>
      </c>
      <c r="AK46" s="578">
        <f t="shared" si="500"/>
        <v>0.96592583607220728</v>
      </c>
      <c r="AL46" s="572">
        <f t="shared" si="501"/>
        <v>4.4408920985006262E-16</v>
      </c>
      <c r="AM46" s="577">
        <f t="shared" si="502"/>
        <v>-0.25881900859134593</v>
      </c>
      <c r="AN46" s="524">
        <f t="shared" si="503"/>
        <v>9.8309770948403647E-14</v>
      </c>
      <c r="AO46" s="525">
        <f t="shared" si="108"/>
        <v>14.99999783426828</v>
      </c>
      <c r="AP46" s="528">
        <f t="shared" si="504"/>
        <v>2.634201975088908E-14</v>
      </c>
      <c r="AQ46" s="529">
        <f t="shared" si="318"/>
        <v>0.66745334221018671</v>
      </c>
      <c r="AS46" s="899">
        <f t="shared" si="510"/>
        <v>-304.66000799010624</v>
      </c>
      <c r="AT46" s="895">
        <f t="shared" si="319"/>
        <v>0.12967202978319653</v>
      </c>
      <c r="AU46" s="418"/>
      <c r="AV46" s="164">
        <f t="shared" si="320"/>
        <v>6.1120000000000001</v>
      </c>
      <c r="AW46" s="828">
        <f>IFERROR(INDEX(MassProp!C$9:C$150,MATCH($M46,MassProp!$B$9:$B$150,0)),"")</f>
        <v>2.5842000000000001</v>
      </c>
      <c r="AX46" s="829">
        <f>IFERROR(INDEX(MassProp!D$9:D$150,MATCH($M46,MassProp!$B$9:$B$150,0)),"")</f>
        <v>0.52139999999999997</v>
      </c>
      <c r="AY46" s="830">
        <f>IFERROR(INDEX(MassProp!E$9:E$150,MATCH($M46,MassProp!$B$9:$B$150,0)),"")</f>
        <v>2.4400000000000002E-2</v>
      </c>
      <c r="AZ46" s="297">
        <f t="shared" si="321"/>
        <v>0.39621010581570754</v>
      </c>
      <c r="BA46" s="296">
        <f t="shared" si="322"/>
        <v>2.7232069027239118E-2</v>
      </c>
      <c r="BB46" s="190">
        <f t="shared" si="139"/>
        <v>0.20172797021680344</v>
      </c>
      <c r="BC46" s="9"/>
      <c r="BD46" s="5">
        <f t="shared" si="323"/>
        <v>2.5842000000000001</v>
      </c>
      <c r="BE46" s="6">
        <f t="shared" si="324"/>
        <v>0.17042787581571886</v>
      </c>
      <c r="BF46" s="4">
        <f t="shared" si="325"/>
        <v>-2.1262791678713646</v>
      </c>
      <c r="BG46" s="5">
        <f t="shared" si="326"/>
        <v>1.4888371408640142</v>
      </c>
      <c r="BH46" s="10">
        <f t="shared" si="327"/>
        <v>-3.1300094401084583E-2</v>
      </c>
      <c r="BI46" s="9">
        <f t="shared" si="328"/>
        <v>-2.1262791678713646</v>
      </c>
      <c r="BJ46" s="5">
        <f t="shared" si="329"/>
        <v>1.799732675039992</v>
      </c>
      <c r="BK46" s="8">
        <f t="shared" si="330"/>
        <v>0.91914399486952236</v>
      </c>
      <c r="BL46" s="173">
        <f t="shared" si="331"/>
        <v>-1.2937840685855535</v>
      </c>
      <c r="BM46" s="5">
        <f t="shared" si="332"/>
        <v>0.96226031294357839</v>
      </c>
      <c r="BN46" s="6">
        <f t="shared" si="333"/>
        <v>0.14094610718942768</v>
      </c>
      <c r="BO46" s="4">
        <f t="shared" si="334"/>
        <v>0.55403240849710922</v>
      </c>
      <c r="BP46" s="5">
        <f t="shared" si="335"/>
        <v>0.79124004646294632</v>
      </c>
      <c r="BQ46" s="5">
        <f t="shared" si="336"/>
        <v>-0.25881900859134621</v>
      </c>
      <c r="BR46" s="6">
        <f t="shared" si="337"/>
        <v>-8.1010594017054769E-3</v>
      </c>
      <c r="BS46" s="4">
        <f t="shared" si="505"/>
        <v>0</v>
      </c>
      <c r="BT46" s="5">
        <f t="shared" si="505"/>
        <v>0</v>
      </c>
      <c r="BU46" s="10">
        <f t="shared" si="111"/>
        <v>0.17042787581571886</v>
      </c>
      <c r="BV46" s="9">
        <f t="shared" si="112"/>
        <v>0</v>
      </c>
      <c r="BW46" s="5">
        <f t="shared" si="113"/>
        <v>1</v>
      </c>
      <c r="BX46" s="8">
        <f t="shared" si="114"/>
        <v>0.17042787581571886</v>
      </c>
      <c r="BY46" s="173">
        <f t="shared" si="115"/>
        <v>1</v>
      </c>
      <c r="BZ46" s="5">
        <f t="shared" si="116"/>
        <v>0</v>
      </c>
      <c r="CA46" s="6">
        <f t="shared" si="117"/>
        <v>0.17042787581571886</v>
      </c>
      <c r="CB46" s="4">
        <f t="shared" si="338"/>
        <v>0</v>
      </c>
      <c r="CC46" s="5">
        <f t="shared" si="339"/>
        <v>0</v>
      </c>
      <c r="CD46" s="5">
        <f t="shared" si="340"/>
        <v>-1</v>
      </c>
      <c r="CE46" s="6">
        <f t="shared" si="341"/>
        <v>0.17042787581571886</v>
      </c>
      <c r="CF46" s="4">
        <f t="shared" si="342"/>
        <v>-0.79124004646294632</v>
      </c>
      <c r="CG46" s="5">
        <f t="shared" si="343"/>
        <v>0.55403240849710922</v>
      </c>
      <c r="CH46" s="5">
        <f t="shared" si="344"/>
        <v>0</v>
      </c>
      <c r="CI46" s="4">
        <f t="shared" si="118"/>
        <v>0</v>
      </c>
      <c r="CJ46" s="5">
        <f t="shared" si="345"/>
        <v>6.5986338141068718E-2</v>
      </c>
      <c r="CK46" s="8">
        <f t="shared" si="346"/>
        <v>0.17042787581571886</v>
      </c>
      <c r="CL46" s="173">
        <f t="shared" si="347"/>
        <v>-0.79124004646294632</v>
      </c>
      <c r="CM46" s="5">
        <f t="shared" si="348"/>
        <v>0.62001874663817791</v>
      </c>
      <c r="CN46" s="6">
        <f t="shared" si="349"/>
        <v>0.17042787581571886</v>
      </c>
      <c r="CO46" s="167">
        <f t="shared" si="350"/>
        <v>0.26450000000000001</v>
      </c>
      <c r="CP46" s="4">
        <f t="shared" si="351"/>
        <v>0.93301272079179309</v>
      </c>
      <c r="CQ46" s="5">
        <f t="shared" si="352"/>
        <v>-4.9414053694887441</v>
      </c>
      <c r="CR46" s="5">
        <f t="shared" si="353"/>
        <v>6.5163014305008637</v>
      </c>
      <c r="CS46" s="8">
        <f t="shared" si="354"/>
        <v>9.8318516927935917E-2</v>
      </c>
      <c r="CT46" s="9">
        <f t="shared" si="154"/>
        <v>2.8161262376382394</v>
      </c>
      <c r="CU46" s="6">
        <f t="shared" si="355"/>
        <v>2.4800559679969245</v>
      </c>
      <c r="CV46" s="4">
        <f t="shared" si="356"/>
        <v>-2.2282318551144029</v>
      </c>
      <c r="CW46" s="5">
        <f t="shared" si="357"/>
        <v>1.6262115402116852</v>
      </c>
      <c r="CX46" s="8">
        <f t="shared" si="358"/>
        <v>0.17042787581571886</v>
      </c>
      <c r="CY46" s="9">
        <f t="shared" si="359"/>
        <v>-1.9623195993485938</v>
      </c>
      <c r="CZ46" s="5">
        <f t="shared" si="360"/>
        <v>1.4400177192980346</v>
      </c>
      <c r="DA46" s="6">
        <f t="shared" si="361"/>
        <v>0.17042787581571886</v>
      </c>
      <c r="DB46" s="4">
        <f t="shared" si="511"/>
        <v>0</v>
      </c>
      <c r="DC46" s="5">
        <f t="shared" si="511"/>
        <v>0</v>
      </c>
      <c r="DD46" s="10">
        <f t="shared" si="162"/>
        <v>-10</v>
      </c>
      <c r="DE46" s="9">
        <f t="shared" si="512"/>
        <v>0</v>
      </c>
      <c r="DF46" s="5">
        <f t="shared" si="512"/>
        <v>0</v>
      </c>
      <c r="DG46" s="10">
        <f t="shared" si="164"/>
        <v>10</v>
      </c>
      <c r="DH46" s="70">
        <f t="shared" si="362"/>
        <v>2.5842000000000001</v>
      </c>
      <c r="DI46" s="4">
        <f t="shared" si="363"/>
        <v>0</v>
      </c>
      <c r="DJ46" s="5">
        <f t="shared" si="364"/>
        <v>0</v>
      </c>
      <c r="DK46" s="10">
        <f t="shared" si="365"/>
        <v>20</v>
      </c>
      <c r="DL46" s="9">
        <f t="shared" si="366"/>
        <v>-2.2282318551144029</v>
      </c>
      <c r="DM46" s="173">
        <f t="shared" si="367"/>
        <v>1.6262115402116852</v>
      </c>
      <c r="DN46" s="178">
        <f t="shared" si="368"/>
        <v>10.170427875815719</v>
      </c>
      <c r="DO46" s="9">
        <f t="shared" si="369"/>
        <v>0.26591225576580912</v>
      </c>
      <c r="DP46" s="173">
        <f t="shared" si="370"/>
        <v>-0.18619382091365067</v>
      </c>
      <c r="DQ46" s="11">
        <f t="shared" si="371"/>
        <v>0</v>
      </c>
      <c r="DR46" s="173">
        <f t="shared" si="372"/>
        <v>203.40855751631437</v>
      </c>
      <c r="DS46" s="5">
        <f t="shared" si="373"/>
        <v>0</v>
      </c>
      <c r="DT46" s="5">
        <f t="shared" si="374"/>
        <v>400</v>
      </c>
      <c r="DU46" s="5">
        <f t="shared" si="375"/>
        <v>0.1053774667128857</v>
      </c>
      <c r="DV46" s="5">
        <f t="shared" si="376"/>
        <v>-0.89530469924859091</v>
      </c>
      <c r="DW46" s="5">
        <f t="shared" si="377"/>
        <v>111.04718435083367</v>
      </c>
      <c r="DX46" s="167">
        <f t="shared" si="378"/>
        <v>104.36909471083368</v>
      </c>
      <c r="DY46" s="9">
        <f t="shared" si="379"/>
        <v>42.15098668515428</v>
      </c>
      <c r="DZ46" s="5">
        <f t="shared" si="380"/>
        <v>-358.12187969943636</v>
      </c>
      <c r="EA46" s="10">
        <f t="shared" si="381"/>
        <v>372.59661346569192</v>
      </c>
      <c r="EB46" s="6">
        <f t="shared" si="382"/>
        <v>112545.96582633161</v>
      </c>
      <c r="EC46" s="173">
        <f t="shared" si="383"/>
        <v>16.455144841937663</v>
      </c>
      <c r="ED46" s="5">
        <f t="shared" si="384"/>
        <v>0.5371918914545426</v>
      </c>
      <c r="EE46" s="4">
        <f t="shared" si="385"/>
        <v>2.1473928287583601</v>
      </c>
      <c r="EF46" s="5">
        <f t="shared" si="386"/>
        <v>-1.4376347515962387</v>
      </c>
      <c r="EG46" s="10">
        <f t="shared" si="387"/>
        <v>0.17042787581571886</v>
      </c>
      <c r="EH46" s="9">
        <f t="shared" si="388"/>
        <v>-2.0853859474786236</v>
      </c>
      <c r="EI46" s="5">
        <f t="shared" si="389"/>
        <v>1.526189729377933</v>
      </c>
      <c r="EJ46" s="6">
        <f t="shared" si="390"/>
        <v>0.17042787581571886</v>
      </c>
      <c r="EK46" s="236" t="b">
        <f t="shared" si="194"/>
        <v>0</v>
      </c>
      <c r="EL46" s="238" t="b">
        <f t="shared" si="195"/>
        <v>1</v>
      </c>
      <c r="EM46" s="4">
        <f t="shared" si="391"/>
        <v>-2.0853859474786236</v>
      </c>
      <c r="EN46" s="5">
        <f t="shared" si="392"/>
        <v>1.526189729377933</v>
      </c>
      <c r="EO46" s="10">
        <f t="shared" si="393"/>
        <v>0.17042787581571886</v>
      </c>
      <c r="EP46" s="9">
        <f t="shared" si="394"/>
        <v>143.8014681870861</v>
      </c>
      <c r="EQ46" s="5">
        <f t="shared" si="395"/>
        <v>2.5842000000000009</v>
      </c>
      <c r="ER46" s="7">
        <f t="shared" si="396"/>
        <v>0.17042787581571886</v>
      </c>
      <c r="ES46" s="21">
        <f t="shared" si="397"/>
        <v>0.55403240849710922</v>
      </c>
      <c r="ET46" s="5">
        <f t="shared" si="398"/>
        <v>0.7912400464629461</v>
      </c>
      <c r="EU46" s="10">
        <f t="shared" si="399"/>
        <v>-0.25881900859134593</v>
      </c>
      <c r="EV46" s="174">
        <f t="shared" si="400"/>
        <v>306.19853181291387</v>
      </c>
      <c r="EW46" s="9">
        <f t="shared" si="401"/>
        <v>0.96571451341497094</v>
      </c>
      <c r="EX46" s="5">
        <f t="shared" si="402"/>
        <v>2.0203944453469735E-2</v>
      </c>
      <c r="EY46" s="6">
        <f t="shared" si="403"/>
        <v>-0.25881900859134593</v>
      </c>
      <c r="EZ46" s="51">
        <f t="shared" si="203"/>
        <v>0.67042534096123885</v>
      </c>
      <c r="FA46" s="266">
        <f t="shared" si="126"/>
        <v>0.59054455937721806</v>
      </c>
      <c r="FB46" s="267">
        <f t="shared" si="127"/>
        <v>0.8069202025014045</v>
      </c>
      <c r="FC46" s="269">
        <f t="shared" si="38"/>
        <v>-1.1700862577584984E-2</v>
      </c>
      <c r="FD46" s="4">
        <f t="shared" si="404"/>
        <v>0.99993154256425987</v>
      </c>
      <c r="FE46" s="5">
        <f t="shared" si="405"/>
        <v>-1.27675647831893E-15</v>
      </c>
      <c r="FF46" s="7">
        <f t="shared" si="406"/>
        <v>-1.1700862577584984E-2</v>
      </c>
      <c r="FG46" s="173">
        <f t="shared" si="407"/>
        <v>-3.4217029149288924E-2</v>
      </c>
      <c r="FH46" s="5">
        <f t="shared" si="408"/>
        <v>2.0203944453471012E-2</v>
      </c>
      <c r="FI46" s="10">
        <f t="shared" si="409"/>
        <v>-0.24711814601376095</v>
      </c>
      <c r="FJ46" s="279">
        <f t="shared" si="410"/>
        <v>14.378408640522453</v>
      </c>
      <c r="FK46" s="4">
        <f t="shared" si="411"/>
        <v>0.96592583607220739</v>
      </c>
      <c r="FL46" s="5">
        <f t="shared" si="412"/>
        <v>0.99993154256425987</v>
      </c>
      <c r="FM46" s="8">
        <f t="shared" si="413"/>
        <v>3.9736689032709181E-2</v>
      </c>
      <c r="FN46" s="9">
        <f t="shared" si="414"/>
        <v>1.198523871897593</v>
      </c>
      <c r="FO46" s="10">
        <f t="shared" si="415"/>
        <v>-1</v>
      </c>
      <c r="FP46" s="277">
        <f t="shared" si="416"/>
        <v>-1.198523871897593</v>
      </c>
      <c r="FQ46" s="173">
        <f t="shared" si="417"/>
        <v>2.0916662231157811E-2</v>
      </c>
      <c r="FR46" s="10">
        <f t="shared" si="418"/>
        <v>0.99978122268879788</v>
      </c>
      <c r="FS46" s="9">
        <f t="shared" si="419"/>
        <v>2.0492510604935874E-2</v>
      </c>
      <c r="FT46" s="6">
        <f t="shared" si="420"/>
        <v>0.97950748939506405</v>
      </c>
      <c r="FU46" s="4">
        <f t="shared" si="421"/>
        <v>0.9997958794816677</v>
      </c>
      <c r="FV46" s="5">
        <f t="shared" si="422"/>
        <v>0.99999999999999989</v>
      </c>
      <c r="FW46" s="8">
        <f t="shared" si="423"/>
        <v>0.24947581681013045</v>
      </c>
      <c r="FX46" s="9">
        <f t="shared" si="424"/>
        <v>14.332706886838578</v>
      </c>
      <c r="FY46" s="10">
        <f t="shared" si="425"/>
        <v>1</v>
      </c>
      <c r="FZ46" s="277">
        <f t="shared" si="426"/>
        <v>14.332706886838578</v>
      </c>
      <c r="GA46" s="177">
        <f t="shared" si="427"/>
        <v>14.329054078489596</v>
      </c>
      <c r="GB46" s="4">
        <f t="shared" si="428"/>
        <v>2.0265622248631352E-2</v>
      </c>
      <c r="GC46" s="5">
        <f t="shared" si="429"/>
        <v>0.96866260813374383</v>
      </c>
      <c r="GD46" s="10">
        <f t="shared" si="430"/>
        <v>-0.24755212816376435</v>
      </c>
      <c r="GE46" s="311">
        <f t="shared" si="431"/>
        <v>1.2364803585461395</v>
      </c>
      <c r="GF46" s="341">
        <f t="shared" si="432"/>
        <v>0.80874717749322411</v>
      </c>
      <c r="GG46" s="285">
        <f t="shared" si="433"/>
        <v>1.638976479372449E-2</v>
      </c>
      <c r="GH46" s="286">
        <f t="shared" si="434"/>
        <v>0.78340315027139029</v>
      </c>
      <c r="GI46" s="281">
        <f t="shared" si="435"/>
        <v>0.20020708493488529</v>
      </c>
      <c r="GJ46" s="167">
        <f t="shared" si="436"/>
        <v>2.5842000000000001</v>
      </c>
      <c r="GK46" s="174">
        <f t="shared" si="49"/>
        <v>1.3531765909006406</v>
      </c>
      <c r="GL46" s="174">
        <f t="shared" si="437"/>
        <v>2.4400000000000002E-2</v>
      </c>
      <c r="GM46" s="177">
        <f t="shared" si="438"/>
        <v>0.39621010581570754</v>
      </c>
      <c r="GN46" s="280">
        <f t="shared" si="439"/>
        <v>2.7232069027239118E-2</v>
      </c>
      <c r="GO46" s="4">
        <f t="shared" si="440"/>
        <v>-1.198523871897593</v>
      </c>
      <c r="GP46" s="8">
        <f t="shared" si="441"/>
        <v>14.332706886838578</v>
      </c>
      <c r="GQ46" s="177">
        <f t="shared" si="442"/>
        <v>14.378408640522453</v>
      </c>
      <c r="GR46" s="371">
        <f t="shared" si="443"/>
        <v>1264.3876453600249</v>
      </c>
      <c r="GS46" s="342">
        <f t="shared" si="444"/>
        <v>20.723016115541942</v>
      </c>
      <c r="GT46" s="343">
        <f t="shared" si="445"/>
        <v>15.314347184907492</v>
      </c>
      <c r="GU46" s="344">
        <f t="shared" si="53"/>
        <v>990.52526453926885</v>
      </c>
      <c r="GV46" s="343">
        <f t="shared" si="446"/>
        <v>732</v>
      </c>
      <c r="GW46" s="345">
        <f t="shared" si="129"/>
        <v>30000</v>
      </c>
      <c r="GX46" s="346">
        <f t="shared" si="54"/>
        <v>157.6362</v>
      </c>
      <c r="GY46" s="344">
        <f t="shared" si="447"/>
        <v>253.13936470521412</v>
      </c>
      <c r="GZ46" s="345">
        <f t="shared" si="448"/>
        <v>187.07045806691858</v>
      </c>
      <c r="HA46" s="342">
        <f t="shared" si="57"/>
        <v>-20.723016115541942</v>
      </c>
      <c r="HB46" s="5">
        <f t="shared" si="225"/>
        <v>306.19853181291387</v>
      </c>
      <c r="HC46" s="343">
        <f t="shared" si="449"/>
        <v>-12.23870225109258</v>
      </c>
      <c r="HD46" s="345">
        <f t="shared" si="450"/>
        <v>16.722965171706615</v>
      </c>
      <c r="HE46" s="344">
        <f t="shared" si="58"/>
        <v>732</v>
      </c>
      <c r="HF46" s="5">
        <f t="shared" si="59"/>
        <v>396.19853181291387</v>
      </c>
      <c r="HG46" s="343">
        <f t="shared" si="451"/>
        <v>590.7060264508757</v>
      </c>
      <c r="HH46" s="349">
        <f t="shared" si="452"/>
        <v>432.30821217577778</v>
      </c>
      <c r="HI46" s="317">
        <f t="shared" si="453"/>
        <v>6.1120000000000001</v>
      </c>
      <c r="HJ46" s="336"/>
      <c r="HK46" s="310">
        <f t="shared" si="506"/>
        <v>38</v>
      </c>
      <c r="HL46" s="348">
        <f t="shared" si="454"/>
        <v>1.125</v>
      </c>
      <c r="HM46" s="934">
        <f t="shared" si="455"/>
        <v>30.219256222818046</v>
      </c>
      <c r="HN46" s="935">
        <f t="shared" si="456"/>
        <v>31.640315229482812</v>
      </c>
      <c r="HO46" s="936"/>
      <c r="HP46" s="937"/>
      <c r="HQ46" s="935">
        <f t="shared" si="457"/>
        <v>30.277288735893869</v>
      </c>
      <c r="HR46" s="938">
        <f t="shared" si="458"/>
        <v>2.4096363020040497</v>
      </c>
      <c r="HS46" s="939">
        <f t="shared" si="507"/>
        <v>4.9313000000000002</v>
      </c>
      <c r="HT46" s="940">
        <f t="shared" si="459"/>
        <v>1.1000000000000001E-3</v>
      </c>
      <c r="HU46" s="941">
        <f t="shared" si="460"/>
        <v>3.4083339678794768E-2</v>
      </c>
      <c r="HV46" s="942">
        <f t="shared" si="461"/>
        <v>2.3425951160455753E-3</v>
      </c>
      <c r="HW46" s="943">
        <f t="shared" si="462"/>
        <v>30000</v>
      </c>
      <c r="HX46" s="950">
        <f t="shared" si="463"/>
        <v>13.561075000000001</v>
      </c>
      <c r="HY46" s="955">
        <f t="shared" si="464"/>
        <v>49.630788756517816</v>
      </c>
      <c r="HZ46" s="956">
        <f t="shared" si="465"/>
        <v>85.208349196986916</v>
      </c>
      <c r="IA46" s="957">
        <f t="shared" si="466"/>
        <v>4.1495433110890669</v>
      </c>
      <c r="IB46" s="958">
        <f t="shared" si="467"/>
        <v>138.98868126459382</v>
      </c>
      <c r="IC46" s="841">
        <f t="shared" si="468"/>
        <v>19.221309230844753</v>
      </c>
      <c r="ID46" s="351">
        <f t="shared" si="469"/>
        <v>33</v>
      </c>
      <c r="IE46" s="843">
        <f t="shared" si="470"/>
        <v>1.6070599953693436</v>
      </c>
      <c r="IF46" s="844"/>
      <c r="IG46" s="789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7">
        <f t="shared" si="230"/>
        <v>6.1120000000000001</v>
      </c>
      <c r="IJ46" s="967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1313</v>
      </c>
      <c r="IM46" s="482" t="str">
        <f t="shared" si="231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308"/>
        <v>0</v>
      </c>
      <c r="B47" s="578">
        <f t="shared" ref="B47:D47" si="519">IFERROR(O202+($A47*-E47),"")</f>
        <v>-2.7464149167334275</v>
      </c>
      <c r="C47" s="572">
        <f t="shared" si="519"/>
        <v>1.9756812465535174</v>
      </c>
      <c r="D47" s="576">
        <f t="shared" si="519"/>
        <v>-0.12130036584190333</v>
      </c>
      <c r="E47" s="580">
        <f t="shared" ref="E47:K47" si="520">R202</f>
        <v>-0.67514346681500004</v>
      </c>
      <c r="F47" s="572">
        <f t="shared" si="520"/>
        <v>-0.67405704167051494</v>
      </c>
      <c r="G47" s="579">
        <f t="shared" si="520"/>
        <v>0.2997138698682742</v>
      </c>
      <c r="H47" s="580">
        <f t="shared" si="520"/>
        <v>0.3125</v>
      </c>
      <c r="I47" s="572">
        <f t="shared" si="520"/>
        <v>0.52</v>
      </c>
      <c r="J47" s="483">
        <f t="shared" si="92"/>
        <v>6.1150000000000002</v>
      </c>
      <c r="K47" s="805">
        <f t="shared" si="520"/>
        <v>1613</v>
      </c>
      <c r="L47" s="309"/>
      <c r="M47" s="164">
        <f t="shared" si="311"/>
        <v>6.1150000000000002</v>
      </c>
      <c r="N47" s="575">
        <f t="shared" si="312"/>
        <v>-2.7464149167334275</v>
      </c>
      <c r="O47" s="572">
        <f t="shared" si="313"/>
        <v>1.9756812465535174</v>
      </c>
      <c r="P47" s="576">
        <f t="shared" si="314"/>
        <v>-0.12130036584190333</v>
      </c>
      <c r="Q47" s="528">
        <f t="shared" si="134"/>
        <v>144.26999216438259</v>
      </c>
      <c r="R47" s="572">
        <f t="shared" si="486"/>
        <v>3.3832102037619745</v>
      </c>
      <c r="S47" s="577">
        <f t="shared" si="487"/>
        <v>-0.12130036584190333</v>
      </c>
      <c r="T47" s="578">
        <f t="shared" si="488"/>
        <v>1.9593490048782691</v>
      </c>
      <c r="U47" s="572">
        <f t="shared" si="489"/>
        <v>2.7580904190982714</v>
      </c>
      <c r="V47" s="579">
        <f t="shared" si="490"/>
        <v>-0.12130036584190333</v>
      </c>
      <c r="W47" s="528">
        <f t="shared" si="256"/>
        <v>54.60999211529267</v>
      </c>
      <c r="X47" s="572">
        <f t="shared" si="491"/>
        <v>3.3832102037619745</v>
      </c>
      <c r="Y47" s="573">
        <f t="shared" si="259"/>
        <v>-0.12130036584190333</v>
      </c>
      <c r="Z47" s="575">
        <f t="shared" si="315"/>
        <v>0.67514346681500004</v>
      </c>
      <c r="AA47" s="572">
        <f t="shared" si="316"/>
        <v>0.67405704167051494</v>
      </c>
      <c r="AB47" s="572">
        <f t="shared" si="317"/>
        <v>-0.2997138698682742</v>
      </c>
      <c r="AC47" s="579">
        <f t="shared" si="492"/>
        <v>1</v>
      </c>
      <c r="AD47" s="580">
        <f t="shared" si="493"/>
        <v>0.67514346681500004</v>
      </c>
      <c r="AE47" s="572">
        <f t="shared" si="494"/>
        <v>0.67405704167051494</v>
      </c>
      <c r="AF47" s="576">
        <f t="shared" si="495"/>
        <v>-0.2997138698682742</v>
      </c>
      <c r="AG47" s="545">
        <f t="shared" si="496"/>
        <v>66.028073969927036</v>
      </c>
      <c r="AH47" s="546">
        <f t="shared" si="497"/>
        <v>47.534707783136142</v>
      </c>
      <c r="AI47" s="528">
        <f t="shared" si="498"/>
        <v>-72.559581698979173</v>
      </c>
      <c r="AJ47" s="529">
        <f t="shared" si="499"/>
        <v>134.95386337190763</v>
      </c>
      <c r="AK47" s="578">
        <f t="shared" si="500"/>
        <v>0.94144567090479203</v>
      </c>
      <c r="AL47" s="572">
        <f t="shared" si="501"/>
        <v>-0.15443977772325768</v>
      </c>
      <c r="AM47" s="577">
        <f t="shared" si="502"/>
        <v>-0.2997138698682742</v>
      </c>
      <c r="AN47" s="524">
        <f t="shared" si="503"/>
        <v>-27.261631429670505</v>
      </c>
      <c r="AO47" s="525">
        <f t="shared" si="108"/>
        <v>19.704227360214578</v>
      </c>
      <c r="AP47" s="528">
        <f t="shared" si="504"/>
        <v>-9.3161287924749381</v>
      </c>
      <c r="AQ47" s="529">
        <f t="shared" si="318"/>
        <v>0.51210122916624568</v>
      </c>
      <c r="AS47" s="899">
        <f t="shared" si="510"/>
        <v>-305.3900078847073</v>
      </c>
      <c r="AT47" s="895">
        <f t="shared" si="319"/>
        <v>4.0057036064528359E-2</v>
      </c>
      <c r="AU47" s="418"/>
      <c r="AV47" s="164">
        <f>IF(AND(ISNUMBER(VALUE(K47)),ISNUMBER(AW47),ISNUMBER(AX47),ISNUMBER(AY47),AY47&gt;=0.0001),$M47,"")</f>
        <v>6.1150000000000002</v>
      </c>
      <c r="AW47" s="828">
        <f>IFERROR(INDEX(MassProp!C$9:C$150,MATCH($M47,MassProp!$B$9:$B$150,0)),"")</f>
        <v>3.4542999999999999</v>
      </c>
      <c r="AX47" s="829">
        <f>IFERROR(INDEX(MassProp!D$9:D$150,MATCH($M47,MassProp!$B$9:$B$150,0)),"")</f>
        <v>0.4587</v>
      </c>
      <c r="AY47" s="830">
        <f>IFERROR(INDEX(MassProp!E$9:E$150,MATCH($M47,MassProp!$B$9:$B$150,0)),"")</f>
        <v>2.86E-2</v>
      </c>
      <c r="AZ47" s="297">
        <f t="shared" si="321"/>
        <v>0.62075838494172131</v>
      </c>
      <c r="BA47" s="296">
        <f t="shared" si="322"/>
        <v>4.2665583082914529E-2</v>
      </c>
      <c r="BB47" s="190">
        <f t="shared" si="139"/>
        <v>0.22864296393547162</v>
      </c>
      <c r="BC47" s="9"/>
      <c r="BD47" s="5">
        <f t="shared" si="323"/>
        <v>3.4542999999999999</v>
      </c>
      <c r="BE47" s="6">
        <f t="shared" si="324"/>
        <v>0.10734259809356829</v>
      </c>
      <c r="BF47" s="4">
        <f t="shared" si="325"/>
        <v>-2.7464149167334275</v>
      </c>
      <c r="BG47" s="5">
        <f t="shared" si="326"/>
        <v>1.9756812465535174</v>
      </c>
      <c r="BH47" s="10">
        <f t="shared" si="327"/>
        <v>-0.12130036584190333</v>
      </c>
      <c r="BI47" s="9">
        <f t="shared" si="328"/>
        <v>-2.7464149167334275</v>
      </c>
      <c r="BJ47" s="5">
        <f t="shared" si="329"/>
        <v>2.381970218886635</v>
      </c>
      <c r="BK47" s="8">
        <f t="shared" si="330"/>
        <v>0.79244427625483649</v>
      </c>
      <c r="BL47" s="173">
        <f t="shared" si="331"/>
        <v>-2.0087284662566529</v>
      </c>
      <c r="BM47" s="5">
        <f t="shared" si="332"/>
        <v>1.358772521104693</v>
      </c>
      <c r="BN47" s="6">
        <f t="shared" si="333"/>
        <v>0.15300297946778135</v>
      </c>
      <c r="BO47" s="4">
        <f t="shared" si="334"/>
        <v>0.67514346681500015</v>
      </c>
      <c r="BP47" s="5">
        <f t="shared" si="335"/>
        <v>0.67405704167051483</v>
      </c>
      <c r="BQ47" s="5">
        <f t="shared" si="336"/>
        <v>-0.29971386986827397</v>
      </c>
      <c r="BR47" s="6">
        <f t="shared" si="337"/>
        <v>0.48614682979714319</v>
      </c>
      <c r="BS47" s="4">
        <f t="shared" si="505"/>
        <v>0</v>
      </c>
      <c r="BT47" s="5">
        <f t="shared" si="505"/>
        <v>0</v>
      </c>
      <c r="BU47" s="10">
        <f t="shared" si="111"/>
        <v>0.10734259809356829</v>
      </c>
      <c r="BV47" s="9">
        <f t="shared" si="112"/>
        <v>0</v>
      </c>
      <c r="BW47" s="5">
        <f t="shared" si="113"/>
        <v>1</v>
      </c>
      <c r="BX47" s="8">
        <f t="shared" si="114"/>
        <v>0.10734259809356829</v>
      </c>
      <c r="BY47" s="173">
        <f t="shared" si="115"/>
        <v>1</v>
      </c>
      <c r="BZ47" s="5">
        <f t="shared" si="116"/>
        <v>0</v>
      </c>
      <c r="CA47" s="6">
        <f t="shared" si="117"/>
        <v>0.10734259809356829</v>
      </c>
      <c r="CB47" s="4">
        <f t="shared" si="338"/>
        <v>0</v>
      </c>
      <c r="CC47" s="5">
        <f t="shared" si="339"/>
        <v>0</v>
      </c>
      <c r="CD47" s="5">
        <f t="shared" si="340"/>
        <v>-1</v>
      </c>
      <c r="CE47" s="6">
        <f t="shared" si="341"/>
        <v>0.10734259809356829</v>
      </c>
      <c r="CF47" s="4">
        <f t="shared" si="342"/>
        <v>-0.67405704167051483</v>
      </c>
      <c r="CG47" s="5">
        <f t="shared" si="343"/>
        <v>0.67514346681500015</v>
      </c>
      <c r="CH47" s="5">
        <f t="shared" si="344"/>
        <v>0</v>
      </c>
      <c r="CI47" s="4">
        <f t="shared" si="118"/>
        <v>0</v>
      </c>
      <c r="CJ47" s="5">
        <f t="shared" si="345"/>
        <v>-0.67349606376890581</v>
      </c>
      <c r="CK47" s="8">
        <f t="shared" si="346"/>
        <v>0.10734259809356829</v>
      </c>
      <c r="CL47" s="173">
        <f t="shared" si="347"/>
        <v>-0.67405704167051483</v>
      </c>
      <c r="CM47" s="5">
        <f t="shared" si="348"/>
        <v>1.6474030460943423E-3</v>
      </c>
      <c r="CN47" s="6">
        <f t="shared" si="349"/>
        <v>0.10734259809356829</v>
      </c>
      <c r="CO47" s="167">
        <f t="shared" si="350"/>
        <v>0.3125</v>
      </c>
      <c r="CP47" s="4">
        <f t="shared" si="351"/>
        <v>0.91017159620858346</v>
      </c>
      <c r="CQ47" s="5">
        <f t="shared" si="352"/>
        <v>-7.2796301349436519</v>
      </c>
      <c r="CR47" s="5">
        <f t="shared" si="353"/>
        <v>14.515556671340228</v>
      </c>
      <c r="CS47" s="8">
        <f t="shared" si="354"/>
        <v>0.14642535994018147</v>
      </c>
      <c r="CT47" s="9">
        <f t="shared" si="154"/>
        <v>4.209253416857651</v>
      </c>
      <c r="CU47" s="6">
        <f t="shared" si="355"/>
        <v>3.7888319609631087</v>
      </c>
      <c r="CV47" s="4">
        <f t="shared" si="356"/>
        <v>-2.8372769058085745</v>
      </c>
      <c r="CW47" s="5">
        <f t="shared" si="357"/>
        <v>2.1683538807912535</v>
      </c>
      <c r="CX47" s="8">
        <f t="shared" si="358"/>
        <v>0.10734259809356829</v>
      </c>
      <c r="CY47" s="9">
        <f t="shared" si="359"/>
        <v>-2.5538888629934884</v>
      </c>
      <c r="CZ47" s="5">
        <f t="shared" si="360"/>
        <v>1.8845090815352026</v>
      </c>
      <c r="DA47" s="6">
        <f t="shared" si="361"/>
        <v>0.10734259809356829</v>
      </c>
      <c r="DB47" s="4">
        <f t="shared" si="511"/>
        <v>0</v>
      </c>
      <c r="DC47" s="5">
        <f t="shared" si="511"/>
        <v>0</v>
      </c>
      <c r="DD47" s="10">
        <f t="shared" si="162"/>
        <v>-10</v>
      </c>
      <c r="DE47" s="9">
        <f t="shared" si="512"/>
        <v>0</v>
      </c>
      <c r="DF47" s="5">
        <f t="shared" si="512"/>
        <v>0</v>
      </c>
      <c r="DG47" s="10">
        <f t="shared" si="164"/>
        <v>10</v>
      </c>
      <c r="DH47" s="70">
        <f t="shared" si="362"/>
        <v>3.4542999999999999</v>
      </c>
      <c r="DI47" s="4">
        <f t="shared" si="363"/>
        <v>0</v>
      </c>
      <c r="DJ47" s="5">
        <f t="shared" si="364"/>
        <v>0</v>
      </c>
      <c r="DK47" s="10">
        <f t="shared" si="365"/>
        <v>20</v>
      </c>
      <c r="DL47" s="9">
        <f t="shared" si="366"/>
        <v>-2.8372769058085745</v>
      </c>
      <c r="DM47" s="173">
        <f t="shared" si="367"/>
        <v>2.1683538807912535</v>
      </c>
      <c r="DN47" s="178">
        <f t="shared" si="368"/>
        <v>10.107342598093568</v>
      </c>
      <c r="DO47" s="9">
        <f t="shared" si="369"/>
        <v>0.28338804281508612</v>
      </c>
      <c r="DP47" s="173">
        <f t="shared" si="370"/>
        <v>-0.28384479925605088</v>
      </c>
      <c r="DQ47" s="11">
        <f t="shared" si="371"/>
        <v>0</v>
      </c>
      <c r="DR47" s="173">
        <f t="shared" si="372"/>
        <v>202.14685196187136</v>
      </c>
      <c r="DS47" s="5">
        <f t="shared" si="373"/>
        <v>0</v>
      </c>
      <c r="DT47" s="5">
        <f t="shared" si="374"/>
        <v>400</v>
      </c>
      <c r="DU47" s="5">
        <f t="shared" si="375"/>
        <v>0.16087665287527292</v>
      </c>
      <c r="DV47" s="5">
        <f t="shared" si="376"/>
        <v>-1.4195263212708076</v>
      </c>
      <c r="DW47" s="5">
        <f t="shared" si="377"/>
        <v>114.91027318781401</v>
      </c>
      <c r="DX47" s="167">
        <f t="shared" si="378"/>
        <v>102.97808469781401</v>
      </c>
      <c r="DY47" s="9">
        <f t="shared" si="379"/>
        <v>64.350661150109161</v>
      </c>
      <c r="DZ47" s="5">
        <f t="shared" si="380"/>
        <v>-567.81052850832305</v>
      </c>
      <c r="EA47" s="10">
        <f t="shared" si="381"/>
        <v>327.88412103086739</v>
      </c>
      <c r="EB47" s="6">
        <f t="shared" si="382"/>
        <v>301309.23631594243</v>
      </c>
      <c r="EC47" s="173">
        <f t="shared" si="383"/>
        <v>17.353775838580891</v>
      </c>
      <c r="ED47" s="5">
        <f t="shared" si="384"/>
        <v>0.29361172077318215</v>
      </c>
      <c r="EE47" s="4">
        <f t="shared" si="385"/>
        <v>2.080575664538594</v>
      </c>
      <c r="EF47" s="5">
        <f t="shared" si="386"/>
        <v>-2.7574251384452455</v>
      </c>
      <c r="EG47" s="10">
        <f t="shared" si="387"/>
        <v>0.10734259809356829</v>
      </c>
      <c r="EH47" s="9">
        <f t="shared" si="388"/>
        <v>-2.754070854911093</v>
      </c>
      <c r="EI47" s="5">
        <f t="shared" si="389"/>
        <v>2.0850137208491657</v>
      </c>
      <c r="EJ47" s="6">
        <f t="shared" si="390"/>
        <v>0.10734259809356829</v>
      </c>
      <c r="EK47" s="236" t="b">
        <f t="shared" si="194"/>
        <v>0</v>
      </c>
      <c r="EL47" s="238" t="b">
        <f t="shared" si="195"/>
        <v>1</v>
      </c>
      <c r="EM47" s="4">
        <f t="shared" si="391"/>
        <v>-2.754070854911093</v>
      </c>
      <c r="EN47" s="5">
        <f t="shared" si="392"/>
        <v>2.0850137208491657</v>
      </c>
      <c r="EO47" s="10">
        <f t="shared" si="393"/>
        <v>0.10734259809356829</v>
      </c>
      <c r="EP47" s="9">
        <f t="shared" si="394"/>
        <v>142.87187050246834</v>
      </c>
      <c r="EQ47" s="5">
        <f t="shared" si="395"/>
        <v>3.4543000000000004</v>
      </c>
      <c r="ER47" s="7">
        <f t="shared" si="396"/>
        <v>0.10734259809356829</v>
      </c>
      <c r="ES47" s="21">
        <f t="shared" si="397"/>
        <v>0.67514346681500004</v>
      </c>
      <c r="ET47" s="5">
        <f t="shared" si="398"/>
        <v>0.67405704167051494</v>
      </c>
      <c r="EU47" s="10">
        <f t="shared" si="399"/>
        <v>-0.2997138698682742</v>
      </c>
      <c r="EV47" s="174">
        <f t="shared" si="400"/>
        <v>307.12812949753163</v>
      </c>
      <c r="EW47" s="9">
        <f t="shared" si="401"/>
        <v>0.94493363195533275</v>
      </c>
      <c r="EX47" s="5">
        <f t="shared" si="402"/>
        <v>-0.13142308552262555</v>
      </c>
      <c r="EY47" s="6">
        <f t="shared" si="403"/>
        <v>-0.2997138698682742</v>
      </c>
      <c r="EZ47" s="51">
        <f t="shared" si="203"/>
        <v>0.50156268512577362</v>
      </c>
      <c r="FA47" s="266">
        <f t="shared" si="126"/>
        <v>0.60357636363114919</v>
      </c>
      <c r="FB47" s="267">
        <f t="shared" si="127"/>
        <v>0.79725713800711295</v>
      </c>
      <c r="FC47" s="269">
        <f t="shared" si="38"/>
        <v>-8.7538084572311645E-3</v>
      </c>
      <c r="FD47" s="4">
        <f t="shared" si="404"/>
        <v>0.99996168468471525</v>
      </c>
      <c r="FE47" s="5">
        <f t="shared" si="405"/>
        <v>-2.7755575615628914E-16</v>
      </c>
      <c r="FF47" s="7">
        <f t="shared" si="406"/>
        <v>-8.7538084572311645E-3</v>
      </c>
      <c r="FG47" s="173">
        <f t="shared" si="407"/>
        <v>-5.5028052729382493E-2</v>
      </c>
      <c r="FH47" s="5">
        <f t="shared" si="408"/>
        <v>-0.13142308552262527</v>
      </c>
      <c r="FI47" s="10">
        <f t="shared" si="409"/>
        <v>-0.29096006141104303</v>
      </c>
      <c r="FJ47" s="279">
        <f t="shared" si="410"/>
        <v>18.644380501852257</v>
      </c>
      <c r="FK47" s="4">
        <f t="shared" si="411"/>
        <v>0.95402913802911882</v>
      </c>
      <c r="FL47" s="5">
        <f t="shared" si="412"/>
        <v>0.99996168468471525</v>
      </c>
      <c r="FM47" s="8">
        <f t="shared" si="413"/>
        <v>0.14247846853288035</v>
      </c>
      <c r="FN47" s="9">
        <f t="shared" si="414"/>
        <v>7.9180071305606488</v>
      </c>
      <c r="FO47" s="10">
        <f t="shared" si="415"/>
        <v>1</v>
      </c>
      <c r="FP47" s="277">
        <f t="shared" si="416"/>
        <v>7.9180071305606488</v>
      </c>
      <c r="FQ47" s="173">
        <f t="shared" si="417"/>
        <v>0.13775584023997953</v>
      </c>
      <c r="FR47" s="10">
        <f t="shared" si="418"/>
        <v>0.99046621773777688</v>
      </c>
      <c r="FS47" s="9">
        <f t="shared" si="419"/>
        <v>0.12209993526176517</v>
      </c>
      <c r="FT47" s="6">
        <f t="shared" si="420"/>
        <v>0.87790006473823479</v>
      </c>
      <c r="FU47" s="4">
        <f t="shared" si="421"/>
        <v>0.99132637037038063</v>
      </c>
      <c r="FV47" s="5">
        <f t="shared" si="422"/>
        <v>0.99999999999999978</v>
      </c>
      <c r="FW47" s="8">
        <f t="shared" si="423"/>
        <v>0.29611795609774433</v>
      </c>
      <c r="FX47" s="9">
        <f t="shared" si="424"/>
        <v>17.096413532760891</v>
      </c>
      <c r="FY47" s="10">
        <f t="shared" si="425"/>
        <v>1</v>
      </c>
      <c r="FZ47" s="277">
        <f t="shared" si="426"/>
        <v>17.096413532760891</v>
      </c>
      <c r="GA47" s="177">
        <f t="shared" si="427"/>
        <v>16.947279999091847</v>
      </c>
      <c r="GB47" s="4">
        <f t="shared" si="428"/>
        <v>-0.1316686050767083</v>
      </c>
      <c r="GC47" s="5">
        <f t="shared" si="429"/>
        <v>0.94669892062614414</v>
      </c>
      <c r="GD47" s="10">
        <f t="shared" si="430"/>
        <v>-0.29398049615994531</v>
      </c>
      <c r="GE47" s="311">
        <f t="shared" si="431"/>
        <v>1.3723480218627977</v>
      </c>
      <c r="GF47" s="341">
        <f t="shared" si="432"/>
        <v>0.72867813708261853</v>
      </c>
      <c r="GG47" s="285">
        <f t="shared" si="433"/>
        <v>9.5944033859562808E-2</v>
      </c>
      <c r="GH47" s="286">
        <f t="shared" si="434"/>
        <v>0.68983880585998436</v>
      </c>
      <c r="GI47" s="281">
        <f t="shared" si="435"/>
        <v>0.21421716028045282</v>
      </c>
      <c r="GJ47" s="167">
        <f t="shared" si="436"/>
        <v>3.4542999999999999</v>
      </c>
      <c r="GK47" s="174">
        <f t="shared" si="49"/>
        <v>1.8087365528604933</v>
      </c>
      <c r="GL47" s="174">
        <f t="shared" si="437"/>
        <v>2.86E-2</v>
      </c>
      <c r="GM47" s="177">
        <f t="shared" si="438"/>
        <v>0.62075838494172131</v>
      </c>
      <c r="GN47" s="280">
        <f t="shared" si="439"/>
        <v>4.2665583082914529E-2</v>
      </c>
      <c r="GO47" s="4">
        <f t="shared" si="440"/>
        <v>7.9180071305606488</v>
      </c>
      <c r="GP47" s="8">
        <f t="shared" si="441"/>
        <v>17.096413532760891</v>
      </c>
      <c r="GQ47" s="177">
        <f t="shared" si="442"/>
        <v>18.644380501852257</v>
      </c>
      <c r="GR47" s="371">
        <f t="shared" si="443"/>
        <v>2249.6501344537137</v>
      </c>
      <c r="GS47" s="342">
        <f t="shared" si="444"/>
        <v>215.84050867219713</v>
      </c>
      <c r="GT47" s="343">
        <f t="shared" si="445"/>
        <v>119.33219811964776</v>
      </c>
      <c r="GU47" s="344">
        <f t="shared" si="53"/>
        <v>1551.8959623543033</v>
      </c>
      <c r="GV47" s="343">
        <f t="shared" si="446"/>
        <v>858</v>
      </c>
      <c r="GW47" s="345">
        <f t="shared" si="129"/>
        <v>30000</v>
      </c>
      <c r="GX47" s="346">
        <f t="shared" si="54"/>
        <v>246.98245</v>
      </c>
      <c r="GY47" s="344">
        <f t="shared" si="447"/>
        <v>481.91366342721341</v>
      </c>
      <c r="GZ47" s="345">
        <f t="shared" si="448"/>
        <v>266.43662542511964</v>
      </c>
      <c r="HA47" s="342">
        <f t="shared" si="57"/>
        <v>215.84050867219713</v>
      </c>
      <c r="HB47" s="5">
        <f t="shared" si="225"/>
        <v>307.12812949753163</v>
      </c>
      <c r="HC47" s="343">
        <f t="shared" si="449"/>
        <v>130.2812211147249</v>
      </c>
      <c r="HD47" s="345">
        <f t="shared" si="450"/>
        <v>-172.08697977688192</v>
      </c>
      <c r="HE47" s="344">
        <f t="shared" si="58"/>
        <v>858</v>
      </c>
      <c r="HF47" s="5">
        <f t="shared" si="59"/>
        <v>397.12812949753163</v>
      </c>
      <c r="HG47" s="343">
        <f t="shared" si="451"/>
        <v>684.07283487644906</v>
      </c>
      <c r="HH47" s="349">
        <f t="shared" si="452"/>
        <v>517.88836305143843</v>
      </c>
      <c r="HI47" s="317">
        <f t="shared" si="453"/>
        <v>6.1150000000000002</v>
      </c>
      <c r="HJ47" s="336"/>
      <c r="HK47" s="310">
        <f t="shared" si="506"/>
        <v>39</v>
      </c>
      <c r="HL47" s="348">
        <f t="shared" si="454"/>
        <v>1.125</v>
      </c>
      <c r="HM47" s="934">
        <f t="shared" si="455"/>
        <v>30.219256222818046</v>
      </c>
      <c r="HN47" s="935">
        <f t="shared" si="456"/>
        <v>31.640315229482812</v>
      </c>
      <c r="HO47" s="936"/>
      <c r="HP47" s="937"/>
      <c r="HQ47" s="935">
        <f t="shared" si="457"/>
        <v>30.277288735893869</v>
      </c>
      <c r="HR47" s="938">
        <f t="shared" si="458"/>
        <v>2.4096363020040497</v>
      </c>
      <c r="HS47" s="939">
        <f t="shared" si="507"/>
        <v>4.9313000000000002</v>
      </c>
      <c r="HT47" s="940">
        <f t="shared" si="459"/>
        <v>1.1000000000000001E-3</v>
      </c>
      <c r="HU47" s="941">
        <f t="shared" si="460"/>
        <v>3.4083339678794768E-2</v>
      </c>
      <c r="HV47" s="942">
        <f t="shared" si="461"/>
        <v>2.3425951160455753E-3</v>
      </c>
      <c r="HW47" s="943">
        <f t="shared" si="462"/>
        <v>30000</v>
      </c>
      <c r="HX47" s="950">
        <f t="shared" si="463"/>
        <v>13.561075000000001</v>
      </c>
      <c r="HY47" s="955">
        <f t="shared" si="464"/>
        <v>49.630788756517816</v>
      </c>
      <c r="HZ47" s="956">
        <f t="shared" si="465"/>
        <v>85.208349196986916</v>
      </c>
      <c r="IA47" s="957">
        <f t="shared" si="466"/>
        <v>4.1495433110890669</v>
      </c>
      <c r="IB47" s="958">
        <f t="shared" si="467"/>
        <v>138.98868126459382</v>
      </c>
      <c r="IC47" s="841">
        <f t="shared" si="468"/>
        <v>19.221309230844753</v>
      </c>
      <c r="ID47" s="351">
        <f t="shared" si="469"/>
        <v>33</v>
      </c>
      <c r="IE47" s="843">
        <f t="shared" si="470"/>
        <v>1.6070599953693436</v>
      </c>
      <c r="IF47" s="844"/>
      <c r="IG47" s="789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7">
        <f t="shared" si="230"/>
        <v>6.1150000000000002</v>
      </c>
      <c r="IJ47" s="967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1613</v>
      </c>
      <c r="IM47" s="482" t="str">
        <f t="shared" si="231"/>
        <v/>
      </c>
      <c r="IN47" s="670" t="str">
        <f t="shared" si="472"/>
        <v/>
      </c>
      <c r="IO47" s="702">
        <v>4.84857779571903E-2</v>
      </c>
      <c r="IP47" s="5" t="str">
        <f t="shared" si="473"/>
        <v/>
      </c>
      <c r="IQ47" s="714">
        <v>230</v>
      </c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308"/>
        <v>0</v>
      </c>
      <c r="B48" s="578">
        <f t="shared" ref="B48:D48" si="521">IFERROR(O203+($A48*-E48),"")</f>
        <v>-3.2742303509847663</v>
      </c>
      <c r="C48" s="572">
        <f t="shared" si="521"/>
        <v>2.4104449718884831</v>
      </c>
      <c r="D48" s="576">
        <f t="shared" si="521"/>
        <v>-0.49730149986132383</v>
      </c>
      <c r="E48" s="580">
        <f t="shared" ref="E48:K48" si="522">R203</f>
        <v>-0.78511052167952189</v>
      </c>
      <c r="F48" s="572">
        <f t="shared" si="522"/>
        <v>-0.56231542538625123</v>
      </c>
      <c r="G48" s="579">
        <f t="shared" si="522"/>
        <v>0.259620552192596</v>
      </c>
      <c r="H48" s="580">
        <f t="shared" si="522"/>
        <v>0.3125</v>
      </c>
      <c r="I48" s="572">
        <f t="shared" si="522"/>
        <v>0.52</v>
      </c>
      <c r="J48" s="483">
        <f t="shared" si="92"/>
        <v>6.1180000000000003</v>
      </c>
      <c r="K48" s="805">
        <f t="shared" si="522"/>
        <v>1613</v>
      </c>
      <c r="L48" s="309"/>
      <c r="M48" s="164">
        <f t="shared" si="311"/>
        <v>6.1180000000000003</v>
      </c>
      <c r="N48" s="575">
        <f t="shared" si="312"/>
        <v>-3.2742303509847663</v>
      </c>
      <c r="O48" s="572">
        <f t="shared" si="313"/>
        <v>2.4104449718884831</v>
      </c>
      <c r="P48" s="576">
        <f t="shared" si="314"/>
        <v>-0.49730149986132383</v>
      </c>
      <c r="Q48" s="528">
        <f t="shared" si="134"/>
        <v>143.63999225534332</v>
      </c>
      <c r="R48" s="572">
        <f t="shared" si="93"/>
        <v>4.0658122624897839</v>
      </c>
      <c r="S48" s="577">
        <f t="shared" si="94"/>
        <v>-0.49730149986132383</v>
      </c>
      <c r="T48" s="578">
        <f t="shared" si="95"/>
        <v>2.3909729743986787</v>
      </c>
      <c r="U48" s="572">
        <f t="shared" si="96"/>
        <v>3.288476484560507</v>
      </c>
      <c r="V48" s="579">
        <f t="shared" si="135"/>
        <v>-0.49730149986132383</v>
      </c>
      <c r="W48" s="528">
        <f t="shared" si="256"/>
        <v>53.979992206253399</v>
      </c>
      <c r="X48" s="572">
        <f t="shared" si="97"/>
        <v>4.0658122624897839</v>
      </c>
      <c r="Y48" s="573">
        <f t="shared" si="259"/>
        <v>-0.49730149986132383</v>
      </c>
      <c r="Z48" s="575">
        <f t="shared" si="315"/>
        <v>0.78511052167952189</v>
      </c>
      <c r="AA48" s="572">
        <f t="shared" si="316"/>
        <v>0.56231542538625123</v>
      </c>
      <c r="AB48" s="572">
        <f t="shared" si="317"/>
        <v>-0.259620552192596</v>
      </c>
      <c r="AC48" s="579">
        <f t="shared" si="98"/>
        <v>1</v>
      </c>
      <c r="AD48" s="580">
        <f t="shared" si="136"/>
        <v>0.78511052167952189</v>
      </c>
      <c r="AE48" s="572">
        <f t="shared" si="99"/>
        <v>0.56231542538625123</v>
      </c>
      <c r="AF48" s="576">
        <f t="shared" si="100"/>
        <v>-0.259620552192596</v>
      </c>
      <c r="AG48" s="545">
        <f t="shared" si="101"/>
        <v>65.217270069474196</v>
      </c>
      <c r="AH48" s="546">
        <f t="shared" si="102"/>
        <v>38.269098678885562</v>
      </c>
      <c r="AI48" s="528">
        <f t="shared" si="103"/>
        <v>-74.95245174742432</v>
      </c>
      <c r="AJ48" s="529">
        <f t="shared" si="104"/>
        <v>125.61116780965425</v>
      </c>
      <c r="AK48" s="578">
        <f t="shared" si="234"/>
        <v>0.91829521407841985</v>
      </c>
      <c r="AL48" s="572">
        <f t="shared" si="105"/>
        <v>-0.29888303511554581</v>
      </c>
      <c r="AM48" s="577">
        <f t="shared" si="106"/>
        <v>-0.259620552192596</v>
      </c>
      <c r="AN48" s="524">
        <f t="shared" si="107"/>
        <v>-49.021244910827484</v>
      </c>
      <c r="AO48" s="525">
        <f t="shared" si="108"/>
        <v>23.321887259085422</v>
      </c>
      <c r="AP48" s="528">
        <f t="shared" si="109"/>
        <v>-18.028824445689057</v>
      </c>
      <c r="AQ48" s="529">
        <f t="shared" si="318"/>
        <v>0.42612894611158342</v>
      </c>
      <c r="AS48" s="899">
        <f t="shared" si="510"/>
        <v>-306.02000779374657</v>
      </c>
      <c r="AT48" s="895">
        <f t="shared" si="319"/>
        <v>-0.33561159800289919</v>
      </c>
      <c r="AU48" s="418"/>
      <c r="AV48" s="164">
        <f t="shared" si="320"/>
        <v>6.1180000000000003</v>
      </c>
      <c r="AW48" s="828">
        <f>IFERROR(INDEX(MassProp!C$9:C$150,MATCH($M48,MassProp!$B$9:$B$150,0)),"")</f>
        <v>4.2300000000000004</v>
      </c>
      <c r="AX48" s="829">
        <f>IFERROR(INDEX(MassProp!D$9:D$150,MATCH($M48,MassProp!$B$9:$B$150,0)),"")</f>
        <v>3.1600000000000003E-2</v>
      </c>
      <c r="AY48" s="830">
        <f>IFERROR(INDEX(MassProp!E$9:E$150,MATCH($M48,MassProp!$B$9:$B$150,0)),"")</f>
        <v>2.18E-2</v>
      </c>
      <c r="AZ48" s="297">
        <f t="shared" si="321"/>
        <v>0.57941245489934301</v>
      </c>
      <c r="BA48" s="296">
        <f t="shared" si="322"/>
        <v>3.9823820077926564E-2</v>
      </c>
      <c r="BB48" s="190">
        <f t="shared" si="139"/>
        <v>0.17721159800289921</v>
      </c>
      <c r="BC48" s="9"/>
      <c r="BD48" s="5">
        <f t="shared" si="323"/>
        <v>4.2300000000000004</v>
      </c>
      <c r="BE48" s="6">
        <f t="shared" si="324"/>
        <v>-0.32008990185842462</v>
      </c>
      <c r="BF48" s="4">
        <f t="shared" si="325"/>
        <v>-3.2742303509847663</v>
      </c>
      <c r="BG48" s="5">
        <f t="shared" si="326"/>
        <v>2.4104449718884831</v>
      </c>
      <c r="BH48" s="10">
        <f t="shared" si="327"/>
        <v>-0.49730149986132383</v>
      </c>
      <c r="BI48" s="9">
        <f t="shared" si="328"/>
        <v>-3.2742303509847663</v>
      </c>
      <c r="BJ48" s="5">
        <f t="shared" si="329"/>
        <v>2.8296234133831994</v>
      </c>
      <c r="BK48" s="8">
        <f t="shared" si="330"/>
        <v>0.41060236850033299</v>
      </c>
      <c r="BL48" s="173">
        <f t="shared" si="331"/>
        <v>-2.6548746625890685</v>
      </c>
      <c r="BM48" s="5">
        <f t="shared" si="332"/>
        <v>1.6976400921642067</v>
      </c>
      <c r="BN48" s="6">
        <f t="shared" si="333"/>
        <v>-0.16820009498259803</v>
      </c>
      <c r="BO48" s="4">
        <f t="shared" si="334"/>
        <v>0.78511052167952167</v>
      </c>
      <c r="BP48" s="5">
        <f t="shared" si="335"/>
        <v>0.56231542538625079</v>
      </c>
      <c r="BQ48" s="5">
        <f t="shared" si="336"/>
        <v>-0.25962055219259561</v>
      </c>
      <c r="BR48" s="6">
        <f t="shared" si="337"/>
        <v>1.0860926192227487</v>
      </c>
      <c r="BS48" s="4">
        <f t="shared" si="505"/>
        <v>0</v>
      </c>
      <c r="BT48" s="5">
        <f t="shared" si="505"/>
        <v>0</v>
      </c>
      <c r="BU48" s="10">
        <f t="shared" si="111"/>
        <v>-0.32008990185842462</v>
      </c>
      <c r="BV48" s="9">
        <f t="shared" si="112"/>
        <v>0</v>
      </c>
      <c r="BW48" s="5">
        <f t="shared" si="113"/>
        <v>1</v>
      </c>
      <c r="BX48" s="8">
        <f t="shared" si="114"/>
        <v>-0.32008990185842462</v>
      </c>
      <c r="BY48" s="173">
        <f t="shared" si="115"/>
        <v>1</v>
      </c>
      <c r="BZ48" s="5">
        <f t="shared" si="116"/>
        <v>0</v>
      </c>
      <c r="CA48" s="6">
        <f t="shared" si="117"/>
        <v>-0.32008990185842462</v>
      </c>
      <c r="CB48" s="4">
        <f t="shared" si="338"/>
        <v>0</v>
      </c>
      <c r="CC48" s="5">
        <f t="shared" si="339"/>
        <v>0</v>
      </c>
      <c r="CD48" s="5">
        <f t="shared" si="340"/>
        <v>-1</v>
      </c>
      <c r="CE48" s="6">
        <f t="shared" si="341"/>
        <v>-0.32008990185842462</v>
      </c>
      <c r="CF48" s="4">
        <f t="shared" si="342"/>
        <v>-0.56231542538625079</v>
      </c>
      <c r="CG48" s="5">
        <f t="shared" si="343"/>
        <v>0.78511052167952167</v>
      </c>
      <c r="CH48" s="5">
        <f t="shared" si="344"/>
        <v>0</v>
      </c>
      <c r="CI48" s="4">
        <f t="shared" si="118"/>
        <v>0</v>
      </c>
      <c r="CJ48" s="5">
        <f t="shared" si="345"/>
        <v>-2.0792503344388864</v>
      </c>
      <c r="CK48" s="8">
        <f t="shared" si="346"/>
        <v>-0.32008990185842462</v>
      </c>
      <c r="CL48" s="173">
        <f t="shared" si="347"/>
        <v>-0.56231542538625079</v>
      </c>
      <c r="CM48" s="5">
        <f t="shared" si="348"/>
        <v>-1.2941398127593646</v>
      </c>
      <c r="CN48" s="6">
        <f t="shared" si="349"/>
        <v>-0.32008990185842462</v>
      </c>
      <c r="CO48" s="167">
        <f t="shared" si="350"/>
        <v>0.3125</v>
      </c>
      <c r="CP48" s="4">
        <f t="shared" si="351"/>
        <v>0.93259716887921096</v>
      </c>
      <c r="CQ48" s="5">
        <f t="shared" si="352"/>
        <v>-10.732114513518708</v>
      </c>
      <c r="CR48" s="5">
        <f t="shared" si="353"/>
        <v>30.811696035434579</v>
      </c>
      <c r="CS48" s="8">
        <f t="shared" si="354"/>
        <v>0.23867996722650275</v>
      </c>
      <c r="CT48" s="9">
        <f t="shared" si="154"/>
        <v>6.0158146121769178</v>
      </c>
      <c r="CU48" s="6">
        <f t="shared" si="355"/>
        <v>5.4919562364269776</v>
      </c>
      <c r="CV48" s="4">
        <f t="shared" si="356"/>
        <v>-3.3827853526910867</v>
      </c>
      <c r="CW48" s="5">
        <f t="shared" si="357"/>
        <v>2.6438290140546234</v>
      </c>
      <c r="CX48" s="8">
        <f t="shared" si="358"/>
        <v>-0.32008990185842462</v>
      </c>
      <c r="CY48" s="9">
        <f t="shared" si="359"/>
        <v>-3.0882117072891089</v>
      </c>
      <c r="CZ48" s="5">
        <f t="shared" si="360"/>
        <v>2.2325422913834014</v>
      </c>
      <c r="DA48" s="6">
        <f t="shared" si="361"/>
        <v>-0.32008990185842462</v>
      </c>
      <c r="DB48" s="4">
        <f t="shared" si="511"/>
        <v>0</v>
      </c>
      <c r="DC48" s="5">
        <f t="shared" si="511"/>
        <v>0</v>
      </c>
      <c r="DD48" s="10">
        <f t="shared" si="162"/>
        <v>-10</v>
      </c>
      <c r="DE48" s="9">
        <f t="shared" si="512"/>
        <v>0</v>
      </c>
      <c r="DF48" s="5">
        <f t="shared" si="512"/>
        <v>0</v>
      </c>
      <c r="DG48" s="10">
        <f t="shared" si="164"/>
        <v>10</v>
      </c>
      <c r="DH48" s="70">
        <f t="shared" si="362"/>
        <v>4.2300000000000004</v>
      </c>
      <c r="DI48" s="4">
        <f t="shared" si="363"/>
        <v>0</v>
      </c>
      <c r="DJ48" s="5">
        <f t="shared" si="364"/>
        <v>0</v>
      </c>
      <c r="DK48" s="10">
        <f t="shared" si="365"/>
        <v>20</v>
      </c>
      <c r="DL48" s="9">
        <f t="shared" si="366"/>
        <v>-3.3827853526910867</v>
      </c>
      <c r="DM48" s="173">
        <f t="shared" si="367"/>
        <v>2.6438290140546234</v>
      </c>
      <c r="DN48" s="178">
        <f t="shared" si="368"/>
        <v>9.6799100981415762</v>
      </c>
      <c r="DO48" s="9">
        <f t="shared" si="369"/>
        <v>0.29457364540197783</v>
      </c>
      <c r="DP48" s="173">
        <f t="shared" si="370"/>
        <v>-0.41128672267122202</v>
      </c>
      <c r="DQ48" s="11">
        <f t="shared" si="371"/>
        <v>0</v>
      </c>
      <c r="DR48" s="173">
        <f t="shared" si="372"/>
        <v>193.59820196283152</v>
      </c>
      <c r="DS48" s="5">
        <f t="shared" si="373"/>
        <v>0</v>
      </c>
      <c r="DT48" s="5">
        <f t="shared" si="374"/>
        <v>400</v>
      </c>
      <c r="DU48" s="5">
        <f t="shared" si="375"/>
        <v>0.2559304008110449</v>
      </c>
      <c r="DV48" s="5">
        <f t="shared" si="376"/>
        <v>-2.0838511834482429</v>
      </c>
      <c r="DW48" s="5">
        <f t="shared" si="377"/>
        <v>112.13372810604166</v>
      </c>
      <c r="DX48" s="167">
        <f t="shared" si="378"/>
        <v>94.240828106041647</v>
      </c>
      <c r="DY48" s="9">
        <f t="shared" si="379"/>
        <v>102.37216032441796</v>
      </c>
      <c r="DZ48" s="5">
        <f t="shared" si="380"/>
        <v>-833.54047337929717</v>
      </c>
      <c r="EA48" s="10">
        <f t="shared" si="381"/>
        <v>216.06743917535641</v>
      </c>
      <c r="EB48" s="6">
        <f t="shared" si="382"/>
        <v>672670.43023723678</v>
      </c>
      <c r="EC48" s="173">
        <f t="shared" si="383"/>
        <v>16.153858119711074</v>
      </c>
      <c r="ED48" s="5">
        <f t="shared" si="384"/>
        <v>0.13065655181295266</v>
      </c>
      <c r="EE48" s="4">
        <f t="shared" si="385"/>
        <v>1.3757155209385439</v>
      </c>
      <c r="EF48" s="5">
        <f t="shared" si="386"/>
        <v>-4.0000383504972534</v>
      </c>
      <c r="EG48" s="10">
        <f t="shared" si="387"/>
        <v>-0.32008990185842462</v>
      </c>
      <c r="EH48" s="9">
        <f t="shared" si="388"/>
        <v>-3.3442973759278929</v>
      </c>
      <c r="EI48" s="5">
        <f t="shared" si="389"/>
        <v>2.5900917090639513</v>
      </c>
      <c r="EJ48" s="6">
        <f t="shared" si="390"/>
        <v>-0.32008990185842462</v>
      </c>
      <c r="EK48" s="236" t="b">
        <f t="shared" si="194"/>
        <v>0</v>
      </c>
      <c r="EL48" s="238" t="b">
        <f t="shared" si="195"/>
        <v>1</v>
      </c>
      <c r="EM48" s="4">
        <f t="shared" si="391"/>
        <v>-3.3442973759278929</v>
      </c>
      <c r="EN48" s="5">
        <f t="shared" si="392"/>
        <v>2.5900917090639513</v>
      </c>
      <c r="EO48" s="10">
        <f t="shared" si="393"/>
        <v>-0.32008990185842462</v>
      </c>
      <c r="EP48" s="9">
        <f t="shared" si="394"/>
        <v>142.24293126822499</v>
      </c>
      <c r="EQ48" s="5">
        <f t="shared" si="395"/>
        <v>4.2300000000000013</v>
      </c>
      <c r="ER48" s="7">
        <f t="shared" si="396"/>
        <v>-0.32008990185842462</v>
      </c>
      <c r="ES48" s="21">
        <f t="shared" si="397"/>
        <v>0.78511052167952189</v>
      </c>
      <c r="ET48" s="5">
        <f t="shared" si="398"/>
        <v>0.56231542538625123</v>
      </c>
      <c r="EU48" s="10">
        <f t="shared" si="399"/>
        <v>-0.259620552192596</v>
      </c>
      <c r="EV48" s="174">
        <f t="shared" si="400"/>
        <v>307.75706873177501</v>
      </c>
      <c r="EW48" s="9">
        <f t="shared" si="401"/>
        <v>0.92530928001513435</v>
      </c>
      <c r="EX48" s="5">
        <f t="shared" si="402"/>
        <v>-0.27640532772919779</v>
      </c>
      <c r="EY48" s="6">
        <f t="shared" si="403"/>
        <v>-0.259620552192596</v>
      </c>
      <c r="EZ48" s="51">
        <f t="shared" si="203"/>
        <v>0.40958929698659891</v>
      </c>
      <c r="FA48" s="266">
        <f t="shared" si="126"/>
        <v>0.61229917914268295</v>
      </c>
      <c r="FB48" s="267">
        <f t="shared" si="127"/>
        <v>0.79059383531624505</v>
      </c>
      <c r="FC48" s="269">
        <f t="shared" si="38"/>
        <v>-7.1486209262097379E-3</v>
      </c>
      <c r="FD48" s="4">
        <f t="shared" si="404"/>
        <v>0.99997444828298154</v>
      </c>
      <c r="FE48" s="5">
        <f t="shared" si="405"/>
        <v>-3.3306690738754696E-16</v>
      </c>
      <c r="FF48" s="7">
        <f t="shared" si="406"/>
        <v>-7.1486209262097379E-3</v>
      </c>
      <c r="FG48" s="173">
        <f t="shared" si="407"/>
        <v>-7.4665168267847193E-2</v>
      </c>
      <c r="FH48" s="5">
        <f t="shared" si="408"/>
        <v>-0.27640532772919746</v>
      </c>
      <c r="FI48" s="10">
        <f t="shared" si="409"/>
        <v>-0.25247193126638628</v>
      </c>
      <c r="FJ48" s="279">
        <f t="shared" si="410"/>
        <v>22.006467147135162</v>
      </c>
      <c r="FK48" s="4">
        <f t="shared" si="411"/>
        <v>0.96571070661933311</v>
      </c>
      <c r="FL48" s="5">
        <f t="shared" si="412"/>
        <v>0.99997444828298154</v>
      </c>
      <c r="FM48" s="8">
        <f t="shared" si="413"/>
        <v>0.28631240376475303</v>
      </c>
      <c r="FN48" s="9">
        <f t="shared" si="414"/>
        <v>16.631763458570703</v>
      </c>
      <c r="FO48" s="10">
        <f t="shared" si="415"/>
        <v>1</v>
      </c>
      <c r="FP48" s="277">
        <f t="shared" si="416"/>
        <v>16.631763458570703</v>
      </c>
      <c r="FQ48" s="173">
        <f t="shared" si="417"/>
        <v>0.28621959540741765</v>
      </c>
      <c r="FR48" s="10">
        <f t="shared" si="418"/>
        <v>0.95816404816963052</v>
      </c>
      <c r="FS48" s="9">
        <f t="shared" si="419"/>
        <v>0.23000912691576686</v>
      </c>
      <c r="FT48" s="6">
        <f t="shared" si="420"/>
        <v>0.7699908730842332</v>
      </c>
      <c r="FU48" s="4">
        <f t="shared" si="421"/>
        <v>0.96104115146174407</v>
      </c>
      <c r="FV48" s="5">
        <f t="shared" si="422"/>
        <v>1</v>
      </c>
      <c r="FW48" s="8">
        <f t="shared" si="423"/>
        <v>0.26328114902105088</v>
      </c>
      <c r="FX48" s="9">
        <f t="shared" si="424"/>
        <v>15.263311671829118</v>
      </c>
      <c r="FY48" s="10">
        <f t="shared" si="425"/>
        <v>1</v>
      </c>
      <c r="FZ48" s="277">
        <f t="shared" si="426"/>
        <v>15.263311671829118</v>
      </c>
      <c r="GA48" s="177">
        <f t="shared" si="427"/>
        <v>14.66798280848813</v>
      </c>
      <c r="GB48" s="4">
        <f t="shared" si="428"/>
        <v>-0.27612353894791897</v>
      </c>
      <c r="GC48" s="5">
        <f t="shared" si="429"/>
        <v>0.92436594879766965</v>
      </c>
      <c r="GD48" s="10">
        <f t="shared" si="430"/>
        <v>-0.26325535881015061</v>
      </c>
      <c r="GE48" s="311">
        <f t="shared" si="431"/>
        <v>1.463744846555739</v>
      </c>
      <c r="GF48" s="341">
        <f t="shared" si="432"/>
        <v>0.68317917726784649</v>
      </c>
      <c r="GG48" s="285">
        <f t="shared" si="433"/>
        <v>0.18864185216272544</v>
      </c>
      <c r="GH48" s="286">
        <f t="shared" si="434"/>
        <v>0.63150756839400424</v>
      </c>
      <c r="GI48" s="281">
        <f t="shared" si="435"/>
        <v>0.17985057944327043</v>
      </c>
      <c r="GJ48" s="167">
        <f t="shared" si="436"/>
        <v>4.2300000000000004</v>
      </c>
      <c r="GK48" s="174">
        <f t="shared" si="49"/>
        <v>2.2148794147528403</v>
      </c>
      <c r="GL48" s="174">
        <f t="shared" si="437"/>
        <v>2.18E-2</v>
      </c>
      <c r="GM48" s="177">
        <f t="shared" si="438"/>
        <v>0.57941245489934301</v>
      </c>
      <c r="GN48" s="280">
        <f t="shared" si="439"/>
        <v>3.9823820077926564E-2</v>
      </c>
      <c r="GO48" s="4">
        <f t="shared" si="440"/>
        <v>16.631763458570703</v>
      </c>
      <c r="GP48" s="8">
        <f t="shared" si="441"/>
        <v>15.263311671829118</v>
      </c>
      <c r="GQ48" s="177">
        <f t="shared" si="442"/>
        <v>22.006467147135162</v>
      </c>
      <c r="GR48" s="371">
        <f t="shared" si="443"/>
        <v>2293.766867960328</v>
      </c>
      <c r="GS48" s="342">
        <f t="shared" si="444"/>
        <v>432.7004304015299</v>
      </c>
      <c r="GT48" s="343">
        <f t="shared" si="445"/>
        <v>195.36071693989498</v>
      </c>
      <c r="GU48" s="344">
        <f t="shared" si="53"/>
        <v>1448.5311372483575</v>
      </c>
      <c r="GV48" s="343">
        <f t="shared" si="446"/>
        <v>654</v>
      </c>
      <c r="GW48" s="345">
        <f t="shared" si="129"/>
        <v>30000</v>
      </c>
      <c r="GX48" s="346">
        <f t="shared" si="54"/>
        <v>230.53500000000003</v>
      </c>
      <c r="GY48" s="344">
        <f t="shared" si="447"/>
        <v>412.5353003104405</v>
      </c>
      <c r="GZ48" s="345">
        <f t="shared" si="448"/>
        <v>186.25632509049055</v>
      </c>
      <c r="HA48" s="342">
        <f t="shared" si="57"/>
        <v>432.7004304015299</v>
      </c>
      <c r="HB48" s="5">
        <f t="shared" si="225"/>
        <v>307.75706873177501</v>
      </c>
      <c r="HC48" s="343">
        <f t="shared" si="449"/>
        <v>264.94888824855917</v>
      </c>
      <c r="HD48" s="345">
        <f t="shared" si="450"/>
        <v>-342.09903403184541</v>
      </c>
      <c r="HE48" s="344">
        <f t="shared" si="58"/>
        <v>654</v>
      </c>
      <c r="HF48" s="5">
        <f t="shared" si="59"/>
        <v>397.75706873177501</v>
      </c>
      <c r="HG48" s="343">
        <f t="shared" si="451"/>
        <v>517.06158010800038</v>
      </c>
      <c r="HH48" s="349">
        <f t="shared" si="452"/>
        <v>400.45389544392981</v>
      </c>
      <c r="HI48" s="317">
        <f t="shared" si="453"/>
        <v>6.1180000000000003</v>
      </c>
      <c r="HJ48" s="336"/>
      <c r="HK48" s="310" t="str">
        <f t="shared" si="506"/>
        <v/>
      </c>
      <c r="HL48" s="348" t="str">
        <f t="shared" si="454"/>
        <v/>
      </c>
      <c r="HM48" s="934" t="str">
        <f t="shared" si="455"/>
        <v/>
      </c>
      <c r="HN48" s="935" t="str">
        <f t="shared" si="456"/>
        <v/>
      </c>
      <c r="HO48" s="936"/>
      <c r="HP48" s="937"/>
      <c r="HQ48" s="935" t="str">
        <f t="shared" si="457"/>
        <v/>
      </c>
      <c r="HR48" s="938" t="str">
        <f t="shared" si="458"/>
        <v/>
      </c>
      <c r="HS48" s="939" t="str">
        <f t="shared" si="507"/>
        <v/>
      </c>
      <c r="HT48" s="940" t="str">
        <f t="shared" si="459"/>
        <v/>
      </c>
      <c r="HU48" s="941" t="str">
        <f t="shared" si="460"/>
        <v/>
      </c>
      <c r="HV48" s="942" t="str">
        <f t="shared" si="461"/>
        <v/>
      </c>
      <c r="HW48" s="943" t="str">
        <f t="shared" si="462"/>
        <v/>
      </c>
      <c r="HX48" s="950" t="str">
        <f t="shared" si="463"/>
        <v/>
      </c>
      <c r="HY48" s="955" t="str">
        <f t="shared" si="464"/>
        <v/>
      </c>
      <c r="HZ48" s="956" t="str">
        <f t="shared" si="465"/>
        <v/>
      </c>
      <c r="IA48" s="957" t="str">
        <f t="shared" si="466"/>
        <v/>
      </c>
      <c r="IB48" s="958" t="str">
        <f t="shared" si="467"/>
        <v/>
      </c>
      <c r="IC48" s="841" t="str">
        <f t="shared" si="468"/>
        <v/>
      </c>
      <c r="ID48" s="351" t="str">
        <f t="shared" si="469"/>
        <v/>
      </c>
      <c r="IE48" s="843" t="str">
        <f t="shared" si="470"/>
        <v/>
      </c>
      <c r="IF48" s="1075" t="s">
        <v>406</v>
      </c>
      <c r="IG48" s="789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7">
        <f t="shared" si="230"/>
        <v>6.1180000000000003</v>
      </c>
      <c r="IJ48" s="967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1613</v>
      </c>
      <c r="IM48" s="482" t="str">
        <f t="shared" si="231"/>
        <v/>
      </c>
      <c r="IN48" s="670" t="str">
        <f t="shared" si="472"/>
        <v/>
      </c>
      <c r="IO48" s="702">
        <v>4.8271982651781703E-2</v>
      </c>
      <c r="IP48" s="5" t="str">
        <f t="shared" si="473"/>
        <v/>
      </c>
      <c r="IQ48" s="714">
        <v>230</v>
      </c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308"/>
        <v>0</v>
      </c>
      <c r="B49" s="578">
        <f t="shared" ref="B49:D49" si="523">IFERROR(O204+($A49*-E49),"")</f>
        <v>-3.6154090592942922</v>
      </c>
      <c r="C49" s="572">
        <f t="shared" si="523"/>
        <v>2.7066411027371942</v>
      </c>
      <c r="D49" s="576">
        <f t="shared" si="523"/>
        <v>-1.1356034249799298</v>
      </c>
      <c r="E49" s="580">
        <f t="shared" ref="E49:K49" si="524">R204</f>
        <v>-0.86437646574707028</v>
      </c>
      <c r="F49" s="572">
        <f t="shared" si="524"/>
        <v>-0.47789887463062986</v>
      </c>
      <c r="G49" s="579">
        <f t="shared" si="524"/>
        <v>0.15641608321838746</v>
      </c>
      <c r="H49" s="580">
        <f t="shared" si="524"/>
        <v>0.3125</v>
      </c>
      <c r="I49" s="572">
        <f t="shared" si="524"/>
        <v>0.52</v>
      </c>
      <c r="J49" s="483">
        <f t="shared" si="92"/>
        <v>6.1210000000000004</v>
      </c>
      <c r="K49" s="805">
        <f t="shared" si="524"/>
        <v>1613</v>
      </c>
      <c r="L49" s="309"/>
      <c r="M49" s="164">
        <f t="shared" si="311"/>
        <v>6.1210000000000004</v>
      </c>
      <c r="N49" s="575">
        <f t="shared" si="312"/>
        <v>-3.6154090592942922</v>
      </c>
      <c r="O49" s="572">
        <f t="shared" si="313"/>
        <v>2.7066411027371942</v>
      </c>
      <c r="P49" s="576">
        <f t="shared" si="314"/>
        <v>-1.1356034249799298</v>
      </c>
      <c r="Q49" s="528">
        <f t="shared" si="134"/>
        <v>143.17999232175907</v>
      </c>
      <c r="R49" s="572">
        <f t="shared" si="93"/>
        <v>4.5163136212018813</v>
      </c>
      <c r="S49" s="577">
        <f t="shared" si="94"/>
        <v>-1.1356034249799298</v>
      </c>
      <c r="T49" s="578">
        <f t="shared" si="95"/>
        <v>2.6851393071357781</v>
      </c>
      <c r="U49" s="572">
        <f t="shared" si="96"/>
        <v>3.6314068384481577</v>
      </c>
      <c r="V49" s="579">
        <f t="shared" si="135"/>
        <v>-1.1356034249799298</v>
      </c>
      <c r="W49" s="528">
        <f t="shared" si="256"/>
        <v>53.519992272669157</v>
      </c>
      <c r="X49" s="572">
        <f t="shared" si="97"/>
        <v>4.5163136212018813</v>
      </c>
      <c r="Y49" s="573">
        <f t="shared" si="259"/>
        <v>-1.1356034249799298</v>
      </c>
      <c r="Z49" s="575">
        <f t="shared" si="315"/>
        <v>0.86437646574707028</v>
      </c>
      <c r="AA49" s="572">
        <f t="shared" si="316"/>
        <v>0.47789887463062986</v>
      </c>
      <c r="AB49" s="572">
        <f t="shared" si="317"/>
        <v>-0.15641608321838746</v>
      </c>
      <c r="AC49" s="579">
        <f t="shared" si="98"/>
        <v>1</v>
      </c>
      <c r="AD49" s="580">
        <f t="shared" si="136"/>
        <v>0.86437646574707028</v>
      </c>
      <c r="AE49" s="572">
        <f t="shared" si="99"/>
        <v>0.47789887463062986</v>
      </c>
      <c r="AF49" s="576">
        <f t="shared" si="100"/>
        <v>-0.15641608321838746</v>
      </c>
      <c r="AG49" s="545">
        <f t="shared" si="101"/>
        <v>71.876751982530322</v>
      </c>
      <c r="AH49" s="546">
        <f t="shared" si="102"/>
        <v>30.188418117250915</v>
      </c>
      <c r="AI49" s="528">
        <f t="shared" si="103"/>
        <v>-81.001066327520448</v>
      </c>
      <c r="AJ49" s="529">
        <f t="shared" si="104"/>
        <v>118.9374507769314</v>
      </c>
      <c r="AK49" s="578">
        <f t="shared" si="234"/>
        <v>0.90059219362039145</v>
      </c>
      <c r="AL49" s="572">
        <f t="shared" si="105"/>
        <v>-0.40554618688952071</v>
      </c>
      <c r="AM49" s="577">
        <f t="shared" si="106"/>
        <v>-0.15641608321838746</v>
      </c>
      <c r="AN49" s="524">
        <f t="shared" si="107"/>
        <v>-68.90875193006552</v>
      </c>
      <c r="AO49" s="525">
        <f t="shared" si="108"/>
        <v>25.763982048374885</v>
      </c>
      <c r="AP49" s="528">
        <f t="shared" si="109"/>
        <v>-24.24254154482767</v>
      </c>
      <c r="AQ49" s="529">
        <f t="shared" si="318"/>
        <v>0.38362401174157501</v>
      </c>
      <c r="AS49" s="899">
        <f t="shared" si="510"/>
        <v>-306.48000772733087</v>
      </c>
      <c r="AT49" s="895">
        <f t="shared" si="319"/>
        <v>-0.97367074537878018</v>
      </c>
      <c r="AU49" s="418"/>
      <c r="AV49" s="164">
        <f t="shared" si="320"/>
        <v>6.1210000000000004</v>
      </c>
      <c r="AW49" s="828">
        <f>IFERROR(INDEX(MassProp!C$9:C$150,MATCH($M49,MassProp!$B$9:$B$150,0)),"")</f>
        <v>4.7435999999999998</v>
      </c>
      <c r="AX49" s="829">
        <f>IFERROR(INDEX(MassProp!D$9:D$150,MATCH($M49,MassProp!$B$9:$B$150,0)),"")</f>
        <v>-0.67349999999999999</v>
      </c>
      <c r="AY49" s="830">
        <f>IFERROR(INDEX(MassProp!E$9:E$150,MATCH($M49,MassProp!$B$9:$B$150,0)),"")</f>
        <v>1.09E-2</v>
      </c>
      <c r="AZ49" s="297">
        <f t="shared" si="321"/>
        <v>0.32488020529697753</v>
      </c>
      <c r="BA49" s="296">
        <f t="shared" si="322"/>
        <v>2.2329466226048412E-2</v>
      </c>
      <c r="BB49" s="190">
        <f t="shared" si="139"/>
        <v>0.11017074537878013</v>
      </c>
      <c r="BC49" s="9"/>
      <c r="BD49" s="5">
        <f t="shared" si="323"/>
        <v>4.7435999999999998</v>
      </c>
      <c r="BE49" s="6">
        <f t="shared" si="324"/>
        <v>-1.0254326796011497</v>
      </c>
      <c r="BF49" s="4">
        <f t="shared" si="325"/>
        <v>-3.6154090592942922</v>
      </c>
      <c r="BG49" s="5">
        <f t="shared" si="326"/>
        <v>2.7066411027371942</v>
      </c>
      <c r="BH49" s="10">
        <f t="shared" si="327"/>
        <v>-1.1356034249799298</v>
      </c>
      <c r="BI49" s="9">
        <f t="shared" si="328"/>
        <v>-3.6154090592942922</v>
      </c>
      <c r="BJ49" s="5">
        <f t="shared" si="329"/>
        <v>3.0177031827703162</v>
      </c>
      <c r="BK49" s="8">
        <f t="shared" si="330"/>
        <v>-0.18521382993720859</v>
      </c>
      <c r="BL49" s="173">
        <f t="shared" si="331"/>
        <v>-3.1125638291661701</v>
      </c>
      <c r="BM49" s="5">
        <f t="shared" si="332"/>
        <v>1.8851467034913774</v>
      </c>
      <c r="BN49" s="6">
        <f t="shared" si="333"/>
        <v>-0.86672868361296762</v>
      </c>
      <c r="BO49" s="4">
        <f t="shared" si="334"/>
        <v>0.86437646574707072</v>
      </c>
      <c r="BP49" s="5">
        <f t="shared" si="335"/>
        <v>0.47789887463062986</v>
      </c>
      <c r="BQ49" s="5">
        <f t="shared" si="336"/>
        <v>-0.15641608321838829</v>
      </c>
      <c r="BR49" s="6">
        <f t="shared" si="337"/>
        <v>1.6539471280508815</v>
      </c>
      <c r="BS49" s="4">
        <f t="shared" si="505"/>
        <v>0</v>
      </c>
      <c r="BT49" s="5">
        <f t="shared" si="505"/>
        <v>0</v>
      </c>
      <c r="BU49" s="10">
        <f t="shared" si="111"/>
        <v>-1.0254326796011497</v>
      </c>
      <c r="BV49" s="9">
        <f t="shared" si="112"/>
        <v>0</v>
      </c>
      <c r="BW49" s="5">
        <f t="shared" si="113"/>
        <v>1</v>
      </c>
      <c r="BX49" s="8">
        <f t="shared" si="114"/>
        <v>-1.0254326796011497</v>
      </c>
      <c r="BY49" s="173">
        <f t="shared" si="115"/>
        <v>1</v>
      </c>
      <c r="BZ49" s="5">
        <f t="shared" si="116"/>
        <v>0</v>
      </c>
      <c r="CA49" s="6">
        <f t="shared" si="117"/>
        <v>-1.0254326796011497</v>
      </c>
      <c r="CB49" s="4">
        <f t="shared" si="338"/>
        <v>0</v>
      </c>
      <c r="CC49" s="5">
        <f t="shared" si="339"/>
        <v>0</v>
      </c>
      <c r="CD49" s="5">
        <f t="shared" si="340"/>
        <v>-1</v>
      </c>
      <c r="CE49" s="6">
        <f t="shared" si="341"/>
        <v>-1.0254326796011497</v>
      </c>
      <c r="CF49" s="4">
        <f t="shared" si="342"/>
        <v>-0.47789887463062986</v>
      </c>
      <c r="CG49" s="5">
        <f t="shared" si="343"/>
        <v>0.86437646574707072</v>
      </c>
      <c r="CH49" s="5">
        <f t="shared" si="344"/>
        <v>0</v>
      </c>
      <c r="CI49" s="4">
        <f t="shared" si="118"/>
        <v>0</v>
      </c>
      <c r="CJ49" s="5">
        <f t="shared" si="345"/>
        <v>-3.7964962625211078</v>
      </c>
      <c r="CK49" s="8">
        <f t="shared" si="346"/>
        <v>-1.0254326796011497</v>
      </c>
      <c r="CL49" s="173">
        <f t="shared" si="347"/>
        <v>-0.47789887463062986</v>
      </c>
      <c r="CM49" s="5">
        <f t="shared" si="348"/>
        <v>-2.9321197967740371</v>
      </c>
      <c r="CN49" s="6">
        <f t="shared" si="349"/>
        <v>-1.0254326796011497</v>
      </c>
      <c r="CO49" s="167">
        <f t="shared" si="350"/>
        <v>0.3125</v>
      </c>
      <c r="CP49" s="4">
        <f t="shared" si="351"/>
        <v>0.97553400891061937</v>
      </c>
      <c r="CQ49" s="5">
        <f t="shared" si="352"/>
        <v>-14.69791762563163</v>
      </c>
      <c r="CR49" s="5">
        <f t="shared" si="353"/>
        <v>55.276459600583244</v>
      </c>
      <c r="CS49" s="8">
        <f t="shared" si="354"/>
        <v>0.33251759968149486</v>
      </c>
      <c r="CT49" s="9">
        <f t="shared" si="154"/>
        <v>7.828820357108639</v>
      </c>
      <c r="CU49" s="6">
        <f t="shared" si="355"/>
        <v>7.2377149880248659</v>
      </c>
      <c r="CV49" s="4">
        <f t="shared" si="356"/>
        <v>-3.7413844383475845</v>
      </c>
      <c r="CW49" s="5">
        <f t="shared" si="357"/>
        <v>2.9705518087251774</v>
      </c>
      <c r="CX49" s="8">
        <f t="shared" si="358"/>
        <v>-1.0254326796011497</v>
      </c>
      <c r="CY49" s="9">
        <f t="shared" si="359"/>
        <v>-3.4588958476743259</v>
      </c>
      <c r="CZ49" s="5">
        <f t="shared" si="360"/>
        <v>2.4596142389124283</v>
      </c>
      <c r="DA49" s="6">
        <f t="shared" si="361"/>
        <v>-1.0254326796011497</v>
      </c>
      <c r="DB49" s="4">
        <f t="shared" si="511"/>
        <v>0</v>
      </c>
      <c r="DC49" s="5">
        <f t="shared" si="511"/>
        <v>0</v>
      </c>
      <c r="DD49" s="10">
        <f t="shared" si="162"/>
        <v>-10</v>
      </c>
      <c r="DE49" s="9">
        <f t="shared" si="512"/>
        <v>0</v>
      </c>
      <c r="DF49" s="5">
        <f t="shared" si="512"/>
        <v>0</v>
      </c>
      <c r="DG49" s="10">
        <f t="shared" si="164"/>
        <v>10</v>
      </c>
      <c r="DH49" s="70">
        <f t="shared" si="362"/>
        <v>4.7435999999999998</v>
      </c>
      <c r="DI49" s="4">
        <f t="shared" si="363"/>
        <v>0</v>
      </c>
      <c r="DJ49" s="5">
        <f t="shared" si="364"/>
        <v>0</v>
      </c>
      <c r="DK49" s="10">
        <f t="shared" si="365"/>
        <v>20</v>
      </c>
      <c r="DL49" s="9">
        <f t="shared" si="366"/>
        <v>-3.7413844383475845</v>
      </c>
      <c r="DM49" s="173">
        <f t="shared" si="367"/>
        <v>2.9705518087251774</v>
      </c>
      <c r="DN49" s="178">
        <f t="shared" si="368"/>
        <v>8.974567320398851</v>
      </c>
      <c r="DO49" s="9">
        <f t="shared" si="369"/>
        <v>0.2824885906732586</v>
      </c>
      <c r="DP49" s="173">
        <f t="shared" si="370"/>
        <v>-0.51093756981274918</v>
      </c>
      <c r="DQ49" s="11">
        <f t="shared" si="371"/>
        <v>0</v>
      </c>
      <c r="DR49" s="173">
        <f t="shared" si="372"/>
        <v>179.49134640797701</v>
      </c>
      <c r="DS49" s="5">
        <f t="shared" si="373"/>
        <v>0</v>
      </c>
      <c r="DT49" s="5">
        <f t="shared" si="374"/>
        <v>400</v>
      </c>
      <c r="DU49" s="5">
        <f t="shared" si="375"/>
        <v>0.34085700410672176</v>
      </c>
      <c r="DV49" s="5">
        <f t="shared" si="376"/>
        <v>-2.5746649393085788</v>
      </c>
      <c r="DW49" s="5">
        <f t="shared" si="377"/>
        <v>103.36499415220092</v>
      </c>
      <c r="DX49" s="167">
        <f t="shared" si="378"/>
        <v>80.863253192200915</v>
      </c>
      <c r="DY49" s="9">
        <f t="shared" si="379"/>
        <v>136.3428016426887</v>
      </c>
      <c r="DZ49" s="5">
        <f t="shared" si="380"/>
        <v>-1029.8659757234316</v>
      </c>
      <c r="EA49" s="10">
        <f t="shared" si="381"/>
        <v>128.15784153196728</v>
      </c>
      <c r="EB49" s="6">
        <f t="shared" si="382"/>
        <v>1043150.5287858276</v>
      </c>
      <c r="EC49" s="173">
        <f t="shared" si="383"/>
        <v>15.044530107044157</v>
      </c>
      <c r="ED49" s="5">
        <f t="shared" si="384"/>
        <v>6.2479039245563327E-2</v>
      </c>
      <c r="EE49" s="4">
        <f t="shared" si="385"/>
        <v>0.50852366893272771</v>
      </c>
      <c r="EF49" s="5">
        <f t="shared" si="386"/>
        <v>-4.7162638431427037</v>
      </c>
      <c r="EG49" s="10">
        <f t="shared" si="387"/>
        <v>-1.0254326796011497</v>
      </c>
      <c r="EH49" s="9">
        <f t="shared" si="388"/>
        <v>-3.7237348226044862</v>
      </c>
      <c r="EI49" s="5">
        <f t="shared" si="389"/>
        <v>2.9386289202488141</v>
      </c>
      <c r="EJ49" s="6">
        <f t="shared" si="390"/>
        <v>-1.0254326796011497</v>
      </c>
      <c r="EK49" s="236" t="b">
        <f t="shared" si="194"/>
        <v>0</v>
      </c>
      <c r="EL49" s="238" t="b">
        <f t="shared" si="195"/>
        <v>1</v>
      </c>
      <c r="EM49" s="4">
        <f t="shared" si="391"/>
        <v>-3.7237348226044862</v>
      </c>
      <c r="EN49" s="5">
        <f t="shared" si="392"/>
        <v>2.9386289202488141</v>
      </c>
      <c r="EO49" s="10">
        <f t="shared" si="393"/>
        <v>-1.0254326796011497</v>
      </c>
      <c r="EP49" s="9">
        <f t="shared" si="394"/>
        <v>141.72085028006217</v>
      </c>
      <c r="EQ49" s="5">
        <f t="shared" si="395"/>
        <v>4.7435999999999972</v>
      </c>
      <c r="ER49" s="7">
        <f t="shared" si="396"/>
        <v>-1.0254326796011497</v>
      </c>
      <c r="ES49" s="21">
        <f t="shared" si="397"/>
        <v>0.86437646574707028</v>
      </c>
      <c r="ET49" s="5">
        <f t="shared" si="398"/>
        <v>0.47789887463062986</v>
      </c>
      <c r="EU49" s="10">
        <f t="shared" si="399"/>
        <v>-0.15641608321838746</v>
      </c>
      <c r="EV49" s="174">
        <f t="shared" si="400"/>
        <v>308.27914971993783</v>
      </c>
      <c r="EW49" s="9">
        <f t="shared" si="401"/>
        <v>0.9106270261768219</v>
      </c>
      <c r="EX49" s="5">
        <f t="shared" si="402"/>
        <v>-0.38248193173923412</v>
      </c>
      <c r="EY49" s="6">
        <f t="shared" si="403"/>
        <v>-0.15641608321838746</v>
      </c>
      <c r="EZ49" s="51">
        <f t="shared" si="203"/>
        <v>0.36524343772973555</v>
      </c>
      <c r="FA49" s="266">
        <f t="shared" si="126"/>
        <v>0.61948081883011663</v>
      </c>
      <c r="FB49" s="267">
        <f t="shared" si="127"/>
        <v>0.78498590996577111</v>
      </c>
      <c r="FC49" s="269">
        <f t="shared" si="38"/>
        <v>-6.3746573851948653E-3</v>
      </c>
      <c r="FD49" s="4">
        <f t="shared" si="404"/>
        <v>0.99997968166519335</v>
      </c>
      <c r="FE49" s="5">
        <f t="shared" si="405"/>
        <v>-3.3306690738754696E-16</v>
      </c>
      <c r="FF49" s="7">
        <f t="shared" si="406"/>
        <v>-6.3746573851948653E-3</v>
      </c>
      <c r="FG49" s="173">
        <f t="shared" si="407"/>
        <v>-8.9352655488371457E-2</v>
      </c>
      <c r="FH49" s="5">
        <f t="shared" si="408"/>
        <v>-0.38248193173923378</v>
      </c>
      <c r="FI49" s="10">
        <f t="shared" si="409"/>
        <v>-0.1500414258331926</v>
      </c>
      <c r="FJ49" s="279">
        <f t="shared" si="410"/>
        <v>24.271811687816413</v>
      </c>
      <c r="FK49" s="4">
        <f t="shared" si="411"/>
        <v>0.98769125181436057</v>
      </c>
      <c r="FL49" s="5">
        <f t="shared" si="412"/>
        <v>0.99997968166519347</v>
      </c>
      <c r="FM49" s="8">
        <f t="shared" si="413"/>
        <v>0.39278025045793674</v>
      </c>
      <c r="FN49" s="9">
        <f t="shared" si="414"/>
        <v>22.783399503130774</v>
      </c>
      <c r="FO49" s="10">
        <f t="shared" si="415"/>
        <v>1</v>
      </c>
      <c r="FP49" s="277">
        <f t="shared" si="416"/>
        <v>22.783399503130774</v>
      </c>
      <c r="FQ49" s="173">
        <f t="shared" si="417"/>
        <v>0.38724847571204607</v>
      </c>
      <c r="FR49" s="10">
        <f t="shared" si="418"/>
        <v>0.92197538907429455</v>
      </c>
      <c r="FS49" s="9">
        <f t="shared" si="419"/>
        <v>0.29578476693536537</v>
      </c>
      <c r="FT49" s="6">
        <f t="shared" si="420"/>
        <v>0.70421523306463463</v>
      </c>
      <c r="FU49" s="4">
        <f t="shared" si="421"/>
        <v>0.92396297106162417</v>
      </c>
      <c r="FV49" s="5">
        <f t="shared" si="422"/>
        <v>1</v>
      </c>
      <c r="FW49" s="8">
        <f t="shared" si="423"/>
        <v>0.17463197447455328</v>
      </c>
      <c r="FX49" s="9">
        <f t="shared" si="424"/>
        <v>9.3811961116507625</v>
      </c>
      <c r="FY49" s="10">
        <f t="shared" si="425"/>
        <v>1</v>
      </c>
      <c r="FZ49" s="277">
        <f t="shared" si="426"/>
        <v>9.3811961116507625</v>
      </c>
      <c r="GA49" s="177">
        <f t="shared" si="427"/>
        <v>8.6675021499814875</v>
      </c>
      <c r="GB49" s="4">
        <f t="shared" si="428"/>
        <v>-0.3820693024444704</v>
      </c>
      <c r="GC49" s="5">
        <f t="shared" si="429"/>
        <v>0.909644623201876</v>
      </c>
      <c r="GD49" s="10">
        <f t="shared" si="430"/>
        <v>-0.16300217056687569</v>
      </c>
      <c r="GE49" s="311">
        <f t="shared" si="431"/>
        <v>1.454716096213222</v>
      </c>
      <c r="GF49" s="341">
        <f t="shared" si="432"/>
        <v>0.68741935461022563</v>
      </c>
      <c r="GG49" s="285">
        <f t="shared" si="433"/>
        <v>0.26264183330275698</v>
      </c>
      <c r="GH49" s="286">
        <f t="shared" si="434"/>
        <v>0.62530731980609555</v>
      </c>
      <c r="GI49" s="281">
        <f t="shared" si="435"/>
        <v>0.11205084689114761</v>
      </c>
      <c r="GJ49" s="167">
        <f t="shared" si="436"/>
        <v>4.7435999999999998</v>
      </c>
      <c r="GK49" s="174">
        <f t="shared" si="49"/>
        <v>2.4837936184784213</v>
      </c>
      <c r="GL49" s="174">
        <f t="shared" si="437"/>
        <v>1.09E-2</v>
      </c>
      <c r="GM49" s="177">
        <f t="shared" si="438"/>
        <v>0.32488020529697753</v>
      </c>
      <c r="GN49" s="280">
        <f t="shared" si="439"/>
        <v>2.2329466226048412E-2</v>
      </c>
      <c r="GO49" s="4">
        <f t="shared" si="440"/>
        <v>22.783399503130774</v>
      </c>
      <c r="GP49" s="8">
        <f t="shared" si="441"/>
        <v>9.3811961116507625</v>
      </c>
      <c r="GQ49" s="177">
        <f t="shared" si="442"/>
        <v>24.271811687816413</v>
      </c>
      <c r="GR49" s="371">
        <f t="shared" si="443"/>
        <v>1298.8821456532812</v>
      </c>
      <c r="GS49" s="342">
        <f t="shared" si="444"/>
        <v>341.14078797859634</v>
      </c>
      <c r="GT49" s="343">
        <f t="shared" si="445"/>
        <v>137.34667221972336</v>
      </c>
      <c r="GU49" s="344">
        <f t="shared" si="53"/>
        <v>812.20051324244378</v>
      </c>
      <c r="GV49" s="343">
        <f t="shared" si="446"/>
        <v>327</v>
      </c>
      <c r="GW49" s="345">
        <f t="shared" si="129"/>
        <v>30000</v>
      </c>
      <c r="GX49" s="346">
        <f t="shared" si="54"/>
        <v>129.26310000000001</v>
      </c>
      <c r="GY49" s="344">
        <f t="shared" si="447"/>
        <v>145.54084443224107</v>
      </c>
      <c r="GZ49" s="345">
        <f t="shared" si="448"/>
        <v>58.596190661525171</v>
      </c>
      <c r="HA49" s="342">
        <f t="shared" si="57"/>
        <v>341.14078797859634</v>
      </c>
      <c r="HB49" s="5">
        <f t="shared" si="225"/>
        <v>308.27914971993783</v>
      </c>
      <c r="HC49" s="343">
        <f t="shared" si="449"/>
        <v>211.33446863782194</v>
      </c>
      <c r="HD49" s="345">
        <f t="shared" si="450"/>
        <v>-267.79615304971628</v>
      </c>
      <c r="HE49" s="344">
        <f t="shared" si="58"/>
        <v>327</v>
      </c>
      <c r="HF49" s="5">
        <f t="shared" si="59"/>
        <v>398.27914971993783</v>
      </c>
      <c r="HG49" s="343">
        <f t="shared" si="451"/>
        <v>256.69560818611774</v>
      </c>
      <c r="HH49" s="349">
        <f t="shared" si="452"/>
        <v>202.57434373078718</v>
      </c>
      <c r="HI49" s="317">
        <f t="shared" si="453"/>
        <v>6.1210000000000004</v>
      </c>
      <c r="HJ49" s="336"/>
      <c r="HK49" s="310" t="str">
        <f t="shared" si="506"/>
        <v/>
      </c>
      <c r="HL49" s="348" t="str">
        <f t="shared" si="454"/>
        <v/>
      </c>
      <c r="HM49" s="934" t="str">
        <f t="shared" si="455"/>
        <v/>
      </c>
      <c r="HN49" s="935" t="str">
        <f t="shared" si="456"/>
        <v/>
      </c>
      <c r="HO49" s="936"/>
      <c r="HP49" s="937"/>
      <c r="HQ49" s="935" t="str">
        <f t="shared" si="457"/>
        <v/>
      </c>
      <c r="HR49" s="938" t="str">
        <f t="shared" si="458"/>
        <v/>
      </c>
      <c r="HS49" s="939" t="str">
        <f t="shared" si="507"/>
        <v/>
      </c>
      <c r="HT49" s="940" t="str">
        <f t="shared" si="459"/>
        <v/>
      </c>
      <c r="HU49" s="941" t="str">
        <f t="shared" si="460"/>
        <v/>
      </c>
      <c r="HV49" s="942" t="str">
        <f t="shared" si="461"/>
        <v/>
      </c>
      <c r="HW49" s="943" t="str">
        <f t="shared" si="462"/>
        <v/>
      </c>
      <c r="HX49" s="950" t="str">
        <f t="shared" si="463"/>
        <v/>
      </c>
      <c r="HY49" s="955" t="str">
        <f t="shared" si="464"/>
        <v/>
      </c>
      <c r="HZ49" s="956" t="str">
        <f t="shared" si="465"/>
        <v/>
      </c>
      <c r="IA49" s="957" t="str">
        <f t="shared" si="466"/>
        <v/>
      </c>
      <c r="IB49" s="958" t="str">
        <f t="shared" si="467"/>
        <v/>
      </c>
      <c r="IC49" s="841" t="str">
        <f t="shared" si="468"/>
        <v/>
      </c>
      <c r="ID49" s="351" t="str">
        <f t="shared" si="469"/>
        <v/>
      </c>
      <c r="IE49" s="843" t="str">
        <f t="shared" si="470"/>
        <v/>
      </c>
      <c r="IF49" s="1075"/>
      <c r="IG49" s="789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7">
        <f t="shared" si="230"/>
        <v>6.1210000000000004</v>
      </c>
      <c r="IJ49" s="967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1613</v>
      </c>
      <c r="IM49" s="482" t="str">
        <f t="shared" si="231"/>
        <v/>
      </c>
      <c r="IN49" s="670" t="str">
        <f t="shared" si="472"/>
        <v/>
      </c>
      <c r="IO49" s="702">
        <v>4.70309653809525E-2</v>
      </c>
      <c r="IP49" s="5" t="str">
        <f t="shared" si="473"/>
        <v/>
      </c>
      <c r="IQ49" s="714">
        <v>240</v>
      </c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308"/>
        <v>0</v>
      </c>
      <c r="B50" s="578">
        <f t="shared" ref="B50:D50" si="525">IFERROR(O205+($A50*-E50),"")</f>
        <v>-3.7205635827157058</v>
      </c>
      <c r="C50" s="572">
        <f t="shared" si="525"/>
        <v>2.8005934507214802</v>
      </c>
      <c r="D50" s="576">
        <f t="shared" si="525"/>
        <v>-1.8942057129244305</v>
      </c>
      <c r="E50" s="580">
        <f t="shared" ref="E50:K50" si="526">R205</f>
        <v>-0.92297348593687389</v>
      </c>
      <c r="F50" s="572">
        <f t="shared" si="526"/>
        <v>-0.38265645082097782</v>
      </c>
      <c r="G50" s="579">
        <f t="shared" si="526"/>
        <v>4.1158047847629983E-2</v>
      </c>
      <c r="H50" s="580">
        <f t="shared" si="526"/>
        <v>0.3125</v>
      </c>
      <c r="I50" s="572">
        <f t="shared" si="526"/>
        <v>0.52</v>
      </c>
      <c r="J50" s="483">
        <f t="shared" si="92"/>
        <v>6.1239999999999997</v>
      </c>
      <c r="K50" s="805">
        <f t="shared" si="526"/>
        <v>1613</v>
      </c>
      <c r="L50" s="309"/>
      <c r="M50" s="164">
        <f t="shared" si="311"/>
        <v>6.1239999999999997</v>
      </c>
      <c r="N50" s="575">
        <f t="shared" si="312"/>
        <v>-3.7205635827157058</v>
      </c>
      <c r="O50" s="572">
        <f t="shared" si="313"/>
        <v>2.8005934507214802</v>
      </c>
      <c r="P50" s="576">
        <f t="shared" si="314"/>
        <v>-1.8942057129244305</v>
      </c>
      <c r="Q50" s="528">
        <f t="shared" si="134"/>
        <v>143.02999234341644</v>
      </c>
      <c r="R50" s="572">
        <f t="shared" si="93"/>
        <v>4.656814044951159</v>
      </c>
      <c r="S50" s="577">
        <f t="shared" si="94"/>
        <v>-1.8942057129244305</v>
      </c>
      <c r="T50" s="578">
        <f t="shared" si="95"/>
        <v>2.7784660051659449</v>
      </c>
      <c r="U50" s="572">
        <f t="shared" si="96"/>
        <v>3.7371170315353477</v>
      </c>
      <c r="V50" s="579">
        <f t="shared" si="135"/>
        <v>-1.8942057129244305</v>
      </c>
      <c r="W50" s="528">
        <f t="shared" si="256"/>
        <v>53.369992294326522</v>
      </c>
      <c r="X50" s="572">
        <f t="shared" si="97"/>
        <v>4.656814044951159</v>
      </c>
      <c r="Y50" s="573">
        <f t="shared" si="259"/>
        <v>-1.8942057129244305</v>
      </c>
      <c r="Z50" s="575">
        <f t="shared" si="315"/>
        <v>0.92297348593687389</v>
      </c>
      <c r="AA50" s="572">
        <f t="shared" si="316"/>
        <v>0.38265645082097782</v>
      </c>
      <c r="AB50" s="572">
        <f t="shared" si="317"/>
        <v>-4.1158047847629983E-2</v>
      </c>
      <c r="AC50" s="579">
        <f t="shared" si="98"/>
        <v>1</v>
      </c>
      <c r="AD50" s="580">
        <f t="shared" si="136"/>
        <v>0.92297348593687389</v>
      </c>
      <c r="AE50" s="572">
        <f t="shared" si="99"/>
        <v>0.38265645082097782</v>
      </c>
      <c r="AF50" s="576">
        <f t="shared" si="100"/>
        <v>-4.1158047847629983E-2</v>
      </c>
      <c r="AG50" s="545">
        <f t="shared" si="101"/>
        <v>83.860939257936806</v>
      </c>
      <c r="AH50" s="546">
        <f t="shared" si="102"/>
        <v>22.635268908684633</v>
      </c>
      <c r="AI50" s="528">
        <f t="shared" si="103"/>
        <v>-87.641151269721959</v>
      </c>
      <c r="AJ50" s="529">
        <f t="shared" si="104"/>
        <v>112.51845349419789</v>
      </c>
      <c r="AK50" s="578">
        <f t="shared" si="234"/>
        <v>0.86079691326008234</v>
      </c>
      <c r="AL50" s="572">
        <f t="shared" si="105"/>
        <v>-0.50728166655151896</v>
      </c>
      <c r="AM50" s="577">
        <f t="shared" si="106"/>
        <v>-4.1158047847629983E-2</v>
      </c>
      <c r="AN50" s="524">
        <f t="shared" si="107"/>
        <v>-85.361495507825538</v>
      </c>
      <c r="AO50" s="525">
        <f t="shared" si="108"/>
        <v>30.593821646993788</v>
      </c>
      <c r="AP50" s="528">
        <f t="shared" si="109"/>
        <v>-30.51153884921856</v>
      </c>
      <c r="AQ50" s="529">
        <f t="shared" si="318"/>
        <v>0.37205004786683715</v>
      </c>
      <c r="AS50" s="899">
        <f t="shared" si="510"/>
        <v>-306.63000770567351</v>
      </c>
      <c r="AT50" s="895">
        <f t="shared" si="319"/>
        <v>-1.7321938666680445</v>
      </c>
      <c r="AU50" s="418"/>
      <c r="AV50" s="164">
        <f t="shared" si="320"/>
        <v>6.1239999999999997</v>
      </c>
      <c r="AW50" s="828">
        <f>IFERROR(INDEX(MassProp!C$9:C$150,MATCH($M50,MassProp!$B$9:$B$150,0)),"")</f>
        <v>4.9214000000000002</v>
      </c>
      <c r="AX50" s="829">
        <f>IFERROR(INDEX(MassProp!D$9:D$150,MATCH($M50,MassProp!$B$9:$B$150,0)),"")</f>
        <v>-1.5367</v>
      </c>
      <c r="AY50" s="830">
        <f>IFERROR(INDEX(MassProp!E$9:E$150,MATCH($M50,MassProp!$B$9:$B$150,0)),"")</f>
        <v>6.9999999999999999E-4</v>
      </c>
      <c r="AZ50" s="297">
        <f t="shared" si="321"/>
        <v>2.1645856323527595E-2</v>
      </c>
      <c r="BA50" s="296">
        <f t="shared" si="322"/>
        <v>1.487749668430176E-3</v>
      </c>
      <c r="BB50" s="190">
        <f t="shared" si="139"/>
        <v>5.4938666680446335E-3</v>
      </c>
      <c r="BC50" s="9"/>
      <c r="BD50" s="5">
        <f t="shared" si="323"/>
        <v>4.9214000000000002</v>
      </c>
      <c r="BE50" s="6">
        <f t="shared" si="324"/>
        <v>-1.8887118462563859</v>
      </c>
      <c r="BF50" s="4">
        <f t="shared" si="325"/>
        <v>-3.7205635827157058</v>
      </c>
      <c r="BG50" s="5">
        <f t="shared" si="326"/>
        <v>2.8005934507214802</v>
      </c>
      <c r="BH50" s="10">
        <f t="shared" si="327"/>
        <v>-1.8942057129244305</v>
      </c>
      <c r="BI50" s="9">
        <f t="shared" si="328"/>
        <v>-3.7205635827157058</v>
      </c>
      <c r="BJ50" s="5">
        <f t="shared" si="329"/>
        <v>2.9075353758266411</v>
      </c>
      <c r="BK50" s="8">
        <f t="shared" si="330"/>
        <v>-0.89994044416824881</v>
      </c>
      <c r="BL50" s="173">
        <f t="shared" si="331"/>
        <v>-3.335700042928504</v>
      </c>
      <c r="BM50" s="5">
        <f t="shared" si="332"/>
        <v>1.8829129696716245</v>
      </c>
      <c r="BN50" s="6">
        <f t="shared" si="333"/>
        <v>-1.7955011515173203</v>
      </c>
      <c r="BO50" s="4">
        <f t="shared" si="334"/>
        <v>0.92297348593687345</v>
      </c>
      <c r="BP50" s="5">
        <f t="shared" si="335"/>
        <v>0.38265645082097799</v>
      </c>
      <c r="BQ50" s="5">
        <f t="shared" si="336"/>
        <v>-4.1158047847630108E-2</v>
      </c>
      <c r="BR50" s="6">
        <f t="shared" si="337"/>
        <v>2.2843545801775429</v>
      </c>
      <c r="BS50" s="4">
        <f t="shared" si="505"/>
        <v>0</v>
      </c>
      <c r="BT50" s="5">
        <f t="shared" si="505"/>
        <v>0</v>
      </c>
      <c r="BU50" s="10">
        <f t="shared" si="111"/>
        <v>-1.8887118462563859</v>
      </c>
      <c r="BV50" s="9">
        <f t="shared" si="112"/>
        <v>0</v>
      </c>
      <c r="BW50" s="5">
        <f t="shared" si="113"/>
        <v>1</v>
      </c>
      <c r="BX50" s="8">
        <f t="shared" si="114"/>
        <v>-1.8887118462563859</v>
      </c>
      <c r="BY50" s="173">
        <f t="shared" si="115"/>
        <v>1</v>
      </c>
      <c r="BZ50" s="5">
        <f t="shared" si="116"/>
        <v>0</v>
      </c>
      <c r="CA50" s="6">
        <f t="shared" si="117"/>
        <v>-1.8887118462563859</v>
      </c>
      <c r="CB50" s="4">
        <f t="shared" si="338"/>
        <v>0</v>
      </c>
      <c r="CC50" s="5">
        <f t="shared" si="339"/>
        <v>0</v>
      </c>
      <c r="CD50" s="5">
        <f t="shared" si="340"/>
        <v>-1</v>
      </c>
      <c r="CE50" s="6">
        <f t="shared" si="341"/>
        <v>-1.8887118462563859</v>
      </c>
      <c r="CF50" s="4">
        <f t="shared" si="342"/>
        <v>-0.38265645082097799</v>
      </c>
      <c r="CG50" s="5">
        <f t="shared" si="343"/>
        <v>0.92297348593687345</v>
      </c>
      <c r="CH50" s="5">
        <f t="shared" si="344"/>
        <v>0</v>
      </c>
      <c r="CI50" s="4">
        <f t="shared" si="118"/>
        <v>0</v>
      </c>
      <c r="CJ50" s="5">
        <f t="shared" si="345"/>
        <v>-6.1728745658105462</v>
      </c>
      <c r="CK50" s="8">
        <f t="shared" si="346"/>
        <v>-1.8887118462563859</v>
      </c>
      <c r="CL50" s="173">
        <f t="shared" si="347"/>
        <v>-0.38265645082097799</v>
      </c>
      <c r="CM50" s="5">
        <f t="shared" si="348"/>
        <v>-5.2499010798736725</v>
      </c>
      <c r="CN50" s="6">
        <f t="shared" si="349"/>
        <v>-1.8887118462563859</v>
      </c>
      <c r="CO50" s="167">
        <f t="shared" si="350"/>
        <v>0.3125</v>
      </c>
      <c r="CP50" s="4">
        <f t="shared" si="351"/>
        <v>0.99830601509737193</v>
      </c>
      <c r="CQ50" s="5">
        <f t="shared" si="352"/>
        <v>-19.411941423554762</v>
      </c>
      <c r="CR50" s="5">
        <f t="shared" si="353"/>
        <v>94.268095549324514</v>
      </c>
      <c r="CS50" s="8">
        <f t="shared" si="354"/>
        <v>0.38984255686341385</v>
      </c>
      <c r="CT50" s="9">
        <f t="shared" si="154"/>
        <v>10.035156982061077</v>
      </c>
      <c r="CU50" s="6">
        <f t="shared" si="355"/>
        <v>9.409723775931127</v>
      </c>
      <c r="CV50" s="4">
        <f t="shared" si="356"/>
        <v>-3.8400175541868484</v>
      </c>
      <c r="CW50" s="5">
        <f t="shared" si="357"/>
        <v>3.0893092558461221</v>
      </c>
      <c r="CX50" s="8">
        <f t="shared" si="358"/>
        <v>-1.8887118462563859</v>
      </c>
      <c r="CY50" s="9">
        <f t="shared" si="359"/>
        <v>-3.6006915033035765</v>
      </c>
      <c r="CZ50" s="5">
        <f t="shared" si="360"/>
        <v>2.5120509893636873</v>
      </c>
      <c r="DA50" s="6">
        <f t="shared" si="361"/>
        <v>-1.8887118462563859</v>
      </c>
      <c r="DB50" s="4">
        <f t="shared" si="511"/>
        <v>0</v>
      </c>
      <c r="DC50" s="5">
        <f t="shared" si="511"/>
        <v>0</v>
      </c>
      <c r="DD50" s="10">
        <f t="shared" si="162"/>
        <v>-10</v>
      </c>
      <c r="DE50" s="9">
        <f t="shared" si="512"/>
        <v>0</v>
      </c>
      <c r="DF50" s="5">
        <f t="shared" si="512"/>
        <v>0</v>
      </c>
      <c r="DG50" s="10">
        <f t="shared" si="164"/>
        <v>10</v>
      </c>
      <c r="DH50" s="70">
        <f t="shared" si="362"/>
        <v>4.9214000000000002</v>
      </c>
      <c r="DI50" s="4">
        <f t="shared" si="363"/>
        <v>0</v>
      </c>
      <c r="DJ50" s="5">
        <f t="shared" si="364"/>
        <v>0</v>
      </c>
      <c r="DK50" s="10">
        <f t="shared" si="365"/>
        <v>20</v>
      </c>
      <c r="DL50" s="9">
        <f t="shared" si="366"/>
        <v>-3.8400175541868484</v>
      </c>
      <c r="DM50" s="173">
        <f t="shared" si="367"/>
        <v>3.0893092558461221</v>
      </c>
      <c r="DN50" s="178">
        <f t="shared" si="368"/>
        <v>8.1112881537436134</v>
      </c>
      <c r="DO50" s="9">
        <f t="shared" si="369"/>
        <v>0.23932605088327197</v>
      </c>
      <c r="DP50" s="173">
        <f t="shared" si="370"/>
        <v>-0.57725826648243483</v>
      </c>
      <c r="DQ50" s="11">
        <f t="shared" si="371"/>
        <v>0</v>
      </c>
      <c r="DR50" s="173">
        <f t="shared" si="372"/>
        <v>162.22576307487228</v>
      </c>
      <c r="DS50" s="5">
        <f t="shared" si="373"/>
        <v>0</v>
      </c>
      <c r="DT50" s="5">
        <f t="shared" si="374"/>
        <v>400</v>
      </c>
      <c r="DU50" s="5">
        <f t="shared" si="375"/>
        <v>0.39050406485368822</v>
      </c>
      <c r="DV50" s="5">
        <f t="shared" si="376"/>
        <v>-2.7023455422238527</v>
      </c>
      <c r="DW50" s="5">
        <f t="shared" si="377"/>
        <v>90.082562007781149</v>
      </c>
      <c r="DX50" s="167">
        <f t="shared" si="378"/>
        <v>65.862384047781148</v>
      </c>
      <c r="DY50" s="9">
        <f t="shared" si="379"/>
        <v>156.2016259414753</v>
      </c>
      <c r="DZ50" s="5">
        <f t="shared" si="380"/>
        <v>-1080.9382168895411</v>
      </c>
      <c r="EA50" s="10">
        <f t="shared" si="381"/>
        <v>27.75541388786587</v>
      </c>
      <c r="EB50" s="6">
        <f t="shared" si="382"/>
        <v>1164091.9879543772</v>
      </c>
      <c r="EC50" s="173">
        <f t="shared" si="383"/>
        <v>13.82744354079202</v>
      </c>
      <c r="ED50" s="5">
        <f t="shared" si="384"/>
        <v>1.2850507037427737E-2</v>
      </c>
      <c r="EE50" s="4">
        <f t="shared" si="385"/>
        <v>-0.53075009775768711</v>
      </c>
      <c r="EF50" s="5">
        <f t="shared" si="386"/>
        <v>-4.8926968323952202</v>
      </c>
      <c r="EG50" s="10">
        <f t="shared" si="387"/>
        <v>-1.8887118462563859</v>
      </c>
      <c r="EH50" s="9">
        <f t="shared" si="388"/>
        <v>-3.836942093085733</v>
      </c>
      <c r="EI50" s="5">
        <f t="shared" si="389"/>
        <v>3.0818911944302765</v>
      </c>
      <c r="EJ50" s="6">
        <f t="shared" si="390"/>
        <v>-1.8887118462563859</v>
      </c>
      <c r="EK50" s="236" t="b">
        <f t="shared" si="194"/>
        <v>0</v>
      </c>
      <c r="EL50" s="238" t="b">
        <f t="shared" si="195"/>
        <v>1</v>
      </c>
      <c r="EM50" s="4">
        <f t="shared" si="391"/>
        <v>-3.836942093085733</v>
      </c>
      <c r="EN50" s="5">
        <f t="shared" si="392"/>
        <v>3.0818911944302765</v>
      </c>
      <c r="EO50" s="10">
        <f t="shared" si="393"/>
        <v>-1.8887118462563859</v>
      </c>
      <c r="EP50" s="9">
        <f t="shared" si="394"/>
        <v>141.22803118069248</v>
      </c>
      <c r="EQ50" s="5">
        <f t="shared" si="395"/>
        <v>4.9214000000000002</v>
      </c>
      <c r="ER50" s="7">
        <f t="shared" si="396"/>
        <v>-1.8887118462563859</v>
      </c>
      <c r="ES50" s="21">
        <f t="shared" si="397"/>
        <v>0.92297348593687389</v>
      </c>
      <c r="ET50" s="5">
        <f t="shared" si="398"/>
        <v>0.38265645082097782</v>
      </c>
      <c r="EU50" s="10">
        <f t="shared" si="399"/>
        <v>-4.1158047847629983E-2</v>
      </c>
      <c r="EV50" s="174">
        <f t="shared" si="400"/>
        <v>308.77196881930752</v>
      </c>
      <c r="EW50" s="9">
        <f t="shared" si="401"/>
        <v>0.87632269320666234</v>
      </c>
      <c r="EX50" s="5">
        <f t="shared" si="402"/>
        <v>-0.47996307406757244</v>
      </c>
      <c r="EY50" s="6">
        <f t="shared" si="403"/>
        <v>-4.1158047847629983E-2</v>
      </c>
      <c r="EZ50" s="51">
        <f t="shared" si="203"/>
        <v>0.35204828632551921</v>
      </c>
      <c r="FA50" s="266">
        <f t="shared" si="126"/>
        <v>0.62621063483111505</v>
      </c>
      <c r="FB50" s="267">
        <f t="shared" si="127"/>
        <v>0.77962971186775365</v>
      </c>
      <c r="FC50" s="269">
        <f t="shared" si="38"/>
        <v>-6.1443630601686061E-3</v>
      </c>
      <c r="FD50" s="4">
        <f t="shared" si="404"/>
        <v>0.99998112322312593</v>
      </c>
      <c r="FE50" s="5">
        <f t="shared" si="405"/>
        <v>-2.7755575615628914E-16</v>
      </c>
      <c r="FF50" s="7">
        <f t="shared" si="406"/>
        <v>-6.1443630601686061E-3</v>
      </c>
      <c r="FG50" s="173">
        <f t="shared" si="407"/>
        <v>-0.12365843001646359</v>
      </c>
      <c r="FH50" s="5">
        <f t="shared" si="408"/>
        <v>-0.47996307406757216</v>
      </c>
      <c r="FI50" s="10">
        <f t="shared" si="409"/>
        <v>-3.5013684787461377E-2</v>
      </c>
      <c r="FJ50" s="279">
        <f t="shared" si="410"/>
        <v>28.769971964449599</v>
      </c>
      <c r="FK50" s="4">
        <f t="shared" si="411"/>
        <v>0.99915264854644315</v>
      </c>
      <c r="FL50" s="5">
        <f t="shared" si="412"/>
        <v>0.99998112322312593</v>
      </c>
      <c r="FM50" s="8">
        <f t="shared" si="413"/>
        <v>0.49563692334462972</v>
      </c>
      <c r="FN50" s="9">
        <f t="shared" si="414"/>
        <v>28.709577686494601</v>
      </c>
      <c r="FO50" s="10">
        <f t="shared" si="415"/>
        <v>1</v>
      </c>
      <c r="FP50" s="277">
        <f t="shared" si="416"/>
        <v>28.709577686494601</v>
      </c>
      <c r="FQ50" s="173">
        <f t="shared" si="417"/>
        <v>0.48037011638393529</v>
      </c>
      <c r="FR50" s="10">
        <f t="shared" si="418"/>
        <v>0.87706587625176968</v>
      </c>
      <c r="FS50" s="9">
        <f t="shared" si="419"/>
        <v>0.3538804915959321</v>
      </c>
      <c r="FT50" s="6">
        <f t="shared" si="420"/>
        <v>0.64611950840406795</v>
      </c>
      <c r="FU50" s="4">
        <f t="shared" si="421"/>
        <v>0.87728869109980312</v>
      </c>
      <c r="FV50" s="5">
        <f t="shared" si="422"/>
        <v>0.99999999999999989</v>
      </c>
      <c r="FW50" s="8">
        <f t="shared" si="423"/>
        <v>0.12851990288096365</v>
      </c>
      <c r="FX50" s="9">
        <f t="shared" si="424"/>
        <v>2.3369734522292891</v>
      </c>
      <c r="FY50" s="10">
        <f t="shared" si="425"/>
        <v>1</v>
      </c>
      <c r="FZ50" s="277">
        <f t="shared" si="426"/>
        <v>2.3369734522292891</v>
      </c>
      <c r="GA50" s="177">
        <f t="shared" si="427"/>
        <v>2.0501202723261418</v>
      </c>
      <c r="GB50" s="4">
        <f t="shared" si="428"/>
        <v>-0.4799705876038623</v>
      </c>
      <c r="GC50" s="5">
        <f t="shared" si="429"/>
        <v>0.87633641151691066</v>
      </c>
      <c r="GD50" s="10">
        <f t="shared" si="430"/>
        <v>-4.0776572745475866E-2</v>
      </c>
      <c r="GE50" s="311">
        <f t="shared" si="431"/>
        <v>1.3970835718662489</v>
      </c>
      <c r="GF50" s="341">
        <f t="shared" si="432"/>
        <v>0.71577679398533212</v>
      </c>
      <c r="GG50" s="285">
        <f t="shared" si="433"/>
        <v>0.34355180840234856</v>
      </c>
      <c r="GH50" s="286">
        <f t="shared" si="434"/>
        <v>0.62726126708818497</v>
      </c>
      <c r="GI50" s="281">
        <f t="shared" si="435"/>
        <v>2.9186924509466389E-2</v>
      </c>
      <c r="GJ50" s="167">
        <f t="shared" si="436"/>
        <v>4.9214000000000002</v>
      </c>
      <c r="GK50" s="174">
        <f t="shared" si="49"/>
        <v>2.5768876575628092</v>
      </c>
      <c r="GL50" s="174">
        <f t="shared" si="437"/>
        <v>6.9999999999999999E-4</v>
      </c>
      <c r="GM50" s="177">
        <f t="shared" si="438"/>
        <v>2.1645856323527595E-2</v>
      </c>
      <c r="GN50" s="280">
        <f t="shared" si="439"/>
        <v>1.487749668430176E-3</v>
      </c>
      <c r="GO50" s="4">
        <f t="shared" si="440"/>
        <v>28.709577686494601</v>
      </c>
      <c r="GP50" s="8">
        <f t="shared" si="441"/>
        <v>2.3369734522292891</v>
      </c>
      <c r="GQ50" s="177">
        <f t="shared" si="442"/>
        <v>28.769971964449599</v>
      </c>
      <c r="GR50" s="371">
        <f t="shared" si="443"/>
        <v>86.271293395852481</v>
      </c>
      <c r="GS50" s="342">
        <f t="shared" si="444"/>
        <v>29.638658859354717</v>
      </c>
      <c r="GT50" s="343">
        <f t="shared" si="445"/>
        <v>11.501727198843669</v>
      </c>
      <c r="GU50" s="344">
        <f t="shared" si="53"/>
        <v>54.114640808818997</v>
      </c>
      <c r="GV50" s="343">
        <f t="shared" si="446"/>
        <v>21</v>
      </c>
      <c r="GW50" s="345">
        <f t="shared" si="129"/>
        <v>30000</v>
      </c>
      <c r="GX50" s="346">
        <f t="shared" si="54"/>
        <v>8.6124500000000008</v>
      </c>
      <c r="GY50" s="344">
        <f t="shared" si="447"/>
        <v>2.5179937276787729</v>
      </c>
      <c r="GZ50" s="345">
        <f t="shared" si="448"/>
        <v>0.97714532501593898</v>
      </c>
      <c r="HA50" s="342">
        <f t="shared" si="57"/>
        <v>29.638658859354717</v>
      </c>
      <c r="HB50" s="5">
        <f t="shared" si="225"/>
        <v>308.77196881930752</v>
      </c>
      <c r="HC50" s="343">
        <f t="shared" si="449"/>
        <v>18.56039374027069</v>
      </c>
      <c r="HD50" s="345">
        <f t="shared" si="450"/>
        <v>-23.107615263962792</v>
      </c>
      <c r="HE50" s="344">
        <f t="shared" si="58"/>
        <v>21</v>
      </c>
      <c r="HF50" s="5">
        <f t="shared" si="59"/>
        <v>398.77196881930752</v>
      </c>
      <c r="HG50" s="343">
        <f t="shared" si="451"/>
        <v>16.372533009875323</v>
      </c>
      <c r="HH50" s="349">
        <f t="shared" si="452"/>
        <v>13.150671573746452</v>
      </c>
      <c r="HI50" s="317">
        <f t="shared" si="453"/>
        <v>6.1239999999999997</v>
      </c>
      <c r="HJ50" s="336"/>
      <c r="HK50" s="310" t="str">
        <f t="shared" si="506"/>
        <v/>
      </c>
      <c r="HL50" s="348" t="str">
        <f t="shared" si="454"/>
        <v/>
      </c>
      <c r="HM50" s="934" t="str">
        <f t="shared" si="455"/>
        <v/>
      </c>
      <c r="HN50" s="935" t="str">
        <f t="shared" si="456"/>
        <v/>
      </c>
      <c r="HO50" s="936"/>
      <c r="HP50" s="937"/>
      <c r="HQ50" s="935" t="str">
        <f t="shared" si="457"/>
        <v/>
      </c>
      <c r="HR50" s="938" t="str">
        <f t="shared" si="458"/>
        <v/>
      </c>
      <c r="HS50" s="939" t="str">
        <f t="shared" si="507"/>
        <v/>
      </c>
      <c r="HT50" s="940" t="str">
        <f t="shared" si="459"/>
        <v/>
      </c>
      <c r="HU50" s="941" t="str">
        <f t="shared" si="460"/>
        <v/>
      </c>
      <c r="HV50" s="942" t="str">
        <f t="shared" si="461"/>
        <v/>
      </c>
      <c r="HW50" s="943" t="str">
        <f t="shared" si="462"/>
        <v/>
      </c>
      <c r="HX50" s="950" t="str">
        <f t="shared" si="463"/>
        <v/>
      </c>
      <c r="HY50" s="955" t="str">
        <f t="shared" si="464"/>
        <v/>
      </c>
      <c r="HZ50" s="956" t="str">
        <f t="shared" si="465"/>
        <v/>
      </c>
      <c r="IA50" s="957" t="str">
        <f t="shared" si="466"/>
        <v/>
      </c>
      <c r="IB50" s="958" t="str">
        <f t="shared" si="467"/>
        <v/>
      </c>
      <c r="IC50" s="841" t="str">
        <f t="shared" si="468"/>
        <v/>
      </c>
      <c r="ID50" s="351" t="str">
        <f t="shared" si="469"/>
        <v/>
      </c>
      <c r="IE50" s="843" t="str">
        <f t="shared" si="470"/>
        <v/>
      </c>
      <c r="IG50" s="789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7">
        <f t="shared" si="230"/>
        <v>6.1239999999999997</v>
      </c>
      <c r="IJ50" s="967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1613</v>
      </c>
      <c r="IM50" s="482" t="str">
        <f t="shared" si="231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308"/>
        <v>0</v>
      </c>
      <c r="B51" s="578">
        <f t="shared" ref="B51:D51" si="527">IFERROR(O206+($A51*-E51),"")</f>
        <v>-3.7905017029477457</v>
      </c>
      <c r="C51" s="572">
        <f t="shared" si="527"/>
        <v>2.863616048418876</v>
      </c>
      <c r="D51" s="576">
        <f t="shared" si="527"/>
        <v>-2.5459075821466182</v>
      </c>
      <c r="E51" s="580">
        <f t="shared" ref="E51:K51" si="528">R206</f>
        <v>-0.93043621249346975</v>
      </c>
      <c r="F51" s="572">
        <f t="shared" si="528"/>
        <v>-0.36408091964547185</v>
      </c>
      <c r="G51" s="579">
        <f t="shared" si="528"/>
        <v>4.1635783058741119E-2</v>
      </c>
      <c r="H51" s="580">
        <f t="shared" si="528"/>
        <v>0.26450000000000001</v>
      </c>
      <c r="I51" s="572">
        <f t="shared" si="528"/>
        <v>0.52</v>
      </c>
      <c r="J51" s="483">
        <f t="shared" si="92"/>
        <v>6.1269999999999998</v>
      </c>
      <c r="K51" s="805">
        <f t="shared" si="528"/>
        <v>1313</v>
      </c>
      <c r="L51" s="309"/>
      <c r="M51" s="164">
        <f t="shared" si="311"/>
        <v>6.1269999999999998</v>
      </c>
      <c r="N51" s="575">
        <f t="shared" si="312"/>
        <v>-3.7905017029477457</v>
      </c>
      <c r="O51" s="572">
        <f t="shared" si="313"/>
        <v>2.863616048418876</v>
      </c>
      <c r="P51" s="576">
        <f t="shared" si="314"/>
        <v>-2.5459075821466182</v>
      </c>
      <c r="Q51" s="528">
        <f t="shared" si="134"/>
        <v>142.92999225728468</v>
      </c>
      <c r="R51" s="572">
        <f t="shared" si="93"/>
        <v>4.750599965563497</v>
      </c>
      <c r="S51" s="577">
        <f t="shared" si="94"/>
        <v>-2.5459075821466182</v>
      </c>
      <c r="T51" s="578">
        <f t="shared" si="95"/>
        <v>2.8410724745707907</v>
      </c>
      <c r="U51" s="572">
        <f t="shared" si="96"/>
        <v>3.8074279017531119</v>
      </c>
      <c r="V51" s="579">
        <f t="shared" si="135"/>
        <v>-2.5459075821466182</v>
      </c>
      <c r="W51" s="528">
        <f t="shared" si="256"/>
        <v>53.269992208194765</v>
      </c>
      <c r="X51" s="572">
        <f t="shared" si="97"/>
        <v>4.750599965563497</v>
      </c>
      <c r="Y51" s="573">
        <f t="shared" si="259"/>
        <v>-2.5459075821466182</v>
      </c>
      <c r="Z51" s="575">
        <f t="shared" si="315"/>
        <v>0.93043621249346975</v>
      </c>
      <c r="AA51" s="572">
        <f t="shared" si="316"/>
        <v>0.36408091964547185</v>
      </c>
      <c r="AB51" s="572">
        <f t="shared" si="317"/>
        <v>-4.1635783058741119E-2</v>
      </c>
      <c r="AC51" s="579">
        <f t="shared" si="98"/>
        <v>1</v>
      </c>
      <c r="AD51" s="580">
        <f t="shared" si="136"/>
        <v>0.93043621249346975</v>
      </c>
      <c r="AE51" s="572">
        <f t="shared" si="99"/>
        <v>0.36408091964547185</v>
      </c>
      <c r="AF51" s="576">
        <f t="shared" si="100"/>
        <v>-4.1635783058741119E-2</v>
      </c>
      <c r="AG51" s="545">
        <f t="shared" si="101"/>
        <v>83.476076265639236</v>
      </c>
      <c r="AH51" s="546">
        <f t="shared" si="102"/>
        <v>21.497085082591472</v>
      </c>
      <c r="AI51" s="528">
        <f t="shared" si="103"/>
        <v>-87.613755574007868</v>
      </c>
      <c r="AJ51" s="529">
        <f t="shared" si="104"/>
        <v>111.37047190484562</v>
      </c>
      <c r="AK51" s="578">
        <f t="shared" si="234"/>
        <v>0.85135802748518308</v>
      </c>
      <c r="AL51" s="572">
        <f t="shared" si="105"/>
        <v>-0.52293017756257265</v>
      </c>
      <c r="AM51" s="577">
        <f t="shared" si="106"/>
        <v>-4.1635783058741119E-2</v>
      </c>
      <c r="AN51" s="524">
        <f t="shared" si="107"/>
        <v>-85.447704368733753</v>
      </c>
      <c r="AO51" s="525">
        <f t="shared" si="108"/>
        <v>31.640315427158203</v>
      </c>
      <c r="AP51" s="528">
        <f t="shared" si="109"/>
        <v>-31.559520352439051</v>
      </c>
      <c r="AQ51" s="529">
        <f t="shared" si="318"/>
        <v>0.36470526941527981</v>
      </c>
      <c r="AS51" s="899">
        <f t="shared" si="510"/>
        <v>-306.73000779180524</v>
      </c>
      <c r="AT51" s="895">
        <f t="shared" si="319"/>
        <v>-2.383842958066996</v>
      </c>
      <c r="AU51" s="418"/>
      <c r="AV51" s="164" t="str">
        <f t="shared" si="320"/>
        <v/>
      </c>
      <c r="AW51" s="828" t="str">
        <f>IFERROR(INDEX(MassProp!C$9:C$150,MATCH($M51,MassProp!$B$9:$B$150,0)),"")</f>
        <v/>
      </c>
      <c r="AX51" s="829" t="str">
        <f>IFERROR(INDEX(MassProp!D$9:D$150,MATCH($M51,MassProp!$B$9:$B$150,0)),"")</f>
        <v/>
      </c>
      <c r="AY51" s="830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39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1"/>
        <v/>
      </c>
      <c r="BV51" s="9" t="str">
        <f t="shared" si="112"/>
        <v/>
      </c>
      <c r="BW51" s="5" t="str">
        <f t="shared" si="113"/>
        <v/>
      </c>
      <c r="BX51" s="8" t="str">
        <f t="shared" si="114"/>
        <v/>
      </c>
      <c r="BY51" s="173" t="str">
        <f t="shared" si="115"/>
        <v/>
      </c>
      <c r="BZ51" s="5" t="str">
        <f t="shared" si="116"/>
        <v/>
      </c>
      <c r="CA51" s="6" t="str">
        <f t="shared" si="117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18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4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2"/>
        <v/>
      </c>
      <c r="DE51" s="9" t="str">
        <f t="shared" si="512"/>
        <v/>
      </c>
      <c r="DF51" s="5" t="str">
        <f t="shared" si="512"/>
        <v/>
      </c>
      <c r="DG51" s="10" t="str">
        <f t="shared" si="164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4"/>
        <v/>
      </c>
      <c r="EL51" s="238" t="str">
        <f t="shared" si="195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3"/>
        <v/>
      </c>
      <c r="FA51" s="266" t="str">
        <f t="shared" si="126"/>
        <v/>
      </c>
      <c r="FB51" s="267" t="str">
        <f t="shared" si="127"/>
        <v/>
      </c>
      <c r="FC51" s="269" t="str">
        <f t="shared" si="38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9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3"/>
        <v/>
      </c>
      <c r="GV51" s="343" t="str">
        <f t="shared" si="446"/>
        <v/>
      </c>
      <c r="GW51" s="345" t="str">
        <f t="shared" si="129"/>
        <v/>
      </c>
      <c r="GX51" s="346" t="str">
        <f t="shared" si="54"/>
        <v/>
      </c>
      <c r="GY51" s="344" t="str">
        <f t="shared" si="447"/>
        <v/>
      </c>
      <c r="GZ51" s="345" t="str">
        <f t="shared" si="448"/>
        <v/>
      </c>
      <c r="HA51" s="342" t="str">
        <f t="shared" si="57"/>
        <v/>
      </c>
      <c r="HB51" s="5" t="str">
        <f t="shared" si="225"/>
        <v/>
      </c>
      <c r="HC51" s="343" t="str">
        <f t="shared" si="449"/>
        <v/>
      </c>
      <c r="HD51" s="345" t="str">
        <f t="shared" si="450"/>
        <v/>
      </c>
      <c r="HE51" s="344" t="str">
        <f t="shared" si="58"/>
        <v/>
      </c>
      <c r="HF51" s="5" t="str">
        <f t="shared" si="59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34" t="str">
        <f t="shared" si="455"/>
        <v/>
      </c>
      <c r="HN51" s="935" t="str">
        <f t="shared" si="456"/>
        <v/>
      </c>
      <c r="HO51" s="936"/>
      <c r="HP51" s="937"/>
      <c r="HQ51" s="935" t="str">
        <f t="shared" si="457"/>
        <v/>
      </c>
      <c r="HR51" s="938" t="str">
        <f t="shared" si="458"/>
        <v/>
      </c>
      <c r="HS51" s="939" t="str">
        <f t="shared" si="507"/>
        <v/>
      </c>
      <c r="HT51" s="940" t="str">
        <f t="shared" si="459"/>
        <v/>
      </c>
      <c r="HU51" s="941" t="str">
        <f t="shared" si="460"/>
        <v/>
      </c>
      <c r="HV51" s="942" t="str">
        <f t="shared" si="461"/>
        <v/>
      </c>
      <c r="HW51" s="943" t="str">
        <f t="shared" si="462"/>
        <v/>
      </c>
      <c r="HX51" s="950" t="str">
        <f t="shared" si="463"/>
        <v/>
      </c>
      <c r="HY51" s="955" t="str">
        <f t="shared" si="464"/>
        <v/>
      </c>
      <c r="HZ51" s="956" t="str">
        <f t="shared" si="465"/>
        <v/>
      </c>
      <c r="IA51" s="957" t="str">
        <f t="shared" si="466"/>
        <v/>
      </c>
      <c r="IB51" s="958" t="str">
        <f t="shared" si="467"/>
        <v/>
      </c>
      <c r="IC51" s="841" t="str">
        <f t="shared" si="468"/>
        <v/>
      </c>
      <c r="ID51" s="351" t="str">
        <f t="shared" si="469"/>
        <v/>
      </c>
      <c r="IE51" s="843" t="str">
        <f t="shared" si="470"/>
        <v/>
      </c>
      <c r="IG51" s="789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7">
        <f t="shared" si="230"/>
        <v>6.1269999999999998</v>
      </c>
      <c r="IJ51" s="967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1313</v>
      </c>
      <c r="IM51" s="482" t="str">
        <f t="shared" si="231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 t="str">
        <f t="shared" si="308"/>
        <v/>
      </c>
      <c r="B52" s="578" t="str">
        <f t="shared" ref="B52:D52" si="529">IFERROR(O207+($A52*-E52),"")</f>
        <v/>
      </c>
      <c r="C52" s="572" t="str">
        <f t="shared" si="529"/>
        <v/>
      </c>
      <c r="D52" s="576" t="str">
        <f t="shared" si="529"/>
        <v/>
      </c>
      <c r="E52" s="580" t="str">
        <f t="shared" ref="E52:K52" si="530">R207</f>
        <v/>
      </c>
      <c r="F52" s="572" t="str">
        <f t="shared" si="530"/>
        <v/>
      </c>
      <c r="G52" s="579" t="str">
        <f t="shared" si="530"/>
        <v/>
      </c>
      <c r="H52" s="580" t="str">
        <f t="shared" si="530"/>
        <v/>
      </c>
      <c r="I52" s="572" t="str">
        <f t="shared" si="530"/>
        <v/>
      </c>
      <c r="J52" s="483" t="str">
        <f t="shared" si="92"/>
        <v/>
      </c>
      <c r="K52" s="805" t="str">
        <f t="shared" si="530"/>
        <v/>
      </c>
      <c r="L52" s="309"/>
      <c r="M52" s="164" t="str">
        <f t="shared" si="311"/>
        <v/>
      </c>
      <c r="N52" s="575" t="str">
        <f t="shared" si="312"/>
        <v/>
      </c>
      <c r="O52" s="572" t="str">
        <f t="shared" si="313"/>
        <v/>
      </c>
      <c r="P52" s="576" t="str">
        <f t="shared" si="314"/>
        <v/>
      </c>
      <c r="Q52" s="528" t="str">
        <f t="shared" si="134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135"/>
        <v/>
      </c>
      <c r="W52" s="528" t="str">
        <f t="shared" si="256"/>
        <v/>
      </c>
      <c r="X52" s="572" t="str">
        <f t="shared" si="97"/>
        <v/>
      </c>
      <c r="Y52" s="573" t="str">
        <f t="shared" si="259"/>
        <v/>
      </c>
      <c r="Z52" s="575" t="str">
        <f t="shared" si="315"/>
        <v/>
      </c>
      <c r="AA52" s="572" t="str">
        <f t="shared" si="316"/>
        <v/>
      </c>
      <c r="AB52" s="572" t="str">
        <f t="shared" si="317"/>
        <v/>
      </c>
      <c r="AC52" s="579" t="str">
        <f t="shared" si="98"/>
        <v/>
      </c>
      <c r="AD52" s="580" t="str">
        <f t="shared" si="136"/>
        <v/>
      </c>
      <c r="AE52" s="572" t="str">
        <f t="shared" si="99"/>
        <v/>
      </c>
      <c r="AF52" s="576" t="str">
        <f t="shared" si="100"/>
        <v/>
      </c>
      <c r="AG52" s="545" t="str">
        <f t="shared" si="101"/>
        <v/>
      </c>
      <c r="AH52" s="546" t="str">
        <f t="shared" si="102"/>
        <v/>
      </c>
      <c r="AI52" s="528" t="str">
        <f t="shared" si="103"/>
        <v/>
      </c>
      <c r="AJ52" s="529" t="str">
        <f t="shared" si="104"/>
        <v/>
      </c>
      <c r="AK52" s="578" t="str">
        <f t="shared" si="234"/>
        <v/>
      </c>
      <c r="AL52" s="572" t="str">
        <f t="shared" si="105"/>
        <v/>
      </c>
      <c r="AM52" s="577" t="str">
        <f t="shared" si="106"/>
        <v/>
      </c>
      <c r="AN52" s="524" t="str">
        <f t="shared" si="107"/>
        <v/>
      </c>
      <c r="AO52" s="525" t="str">
        <f t="shared" si="108"/>
        <v/>
      </c>
      <c r="AP52" s="528" t="str">
        <f t="shared" si="109"/>
        <v/>
      </c>
      <c r="AQ52" s="529" t="str">
        <f t="shared" si="318"/>
        <v/>
      </c>
      <c r="AS52" s="899" t="str">
        <f t="shared" si="510"/>
        <v/>
      </c>
      <c r="AT52" s="895" t="str">
        <f t="shared" si="319"/>
        <v/>
      </c>
      <c r="AU52" s="418"/>
      <c r="AV52" s="164" t="str">
        <f t="shared" si="320"/>
        <v/>
      </c>
      <c r="AW52" s="828" t="str">
        <f>IFERROR(INDEX(MassProp!C$9:C$150,MATCH($M52,MassProp!$B$9:$B$150,0)),"")</f>
        <v/>
      </c>
      <c r="AX52" s="829" t="str">
        <f>IFERROR(INDEX(MassProp!D$9:D$150,MATCH($M52,MassProp!$B$9:$B$150,0)),"")</f>
        <v/>
      </c>
      <c r="AY52" s="830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1"/>
        <v/>
      </c>
      <c r="BV52" s="9" t="str">
        <f t="shared" si="112"/>
        <v/>
      </c>
      <c r="BW52" s="5" t="str">
        <f t="shared" si="113"/>
        <v/>
      </c>
      <c r="BX52" s="8" t="str">
        <f t="shared" si="114"/>
        <v/>
      </c>
      <c r="BY52" s="173" t="str">
        <f t="shared" si="115"/>
        <v/>
      </c>
      <c r="BZ52" s="5" t="str">
        <f t="shared" si="116"/>
        <v/>
      </c>
      <c r="CA52" s="6" t="str">
        <f t="shared" si="117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8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4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2"/>
        <v/>
      </c>
      <c r="DE52" s="9" t="str">
        <f t="shared" si="512"/>
        <v/>
      </c>
      <c r="DF52" s="5" t="str">
        <f t="shared" si="512"/>
        <v/>
      </c>
      <c r="DG52" s="10" t="str">
        <f t="shared" si="164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4"/>
        <v/>
      </c>
      <c r="EL52" s="238" t="str">
        <f t="shared" si="195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3"/>
        <v/>
      </c>
      <c r="FA52" s="266" t="str">
        <f t="shared" si="126"/>
        <v/>
      </c>
      <c r="FB52" s="267" t="str">
        <f t="shared" si="127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129"/>
        <v/>
      </c>
      <c r="GX52" s="346" t="str">
        <f t="shared" si="54"/>
        <v/>
      </c>
      <c r="GY52" s="344" t="str">
        <f t="shared" si="447"/>
        <v/>
      </c>
      <c r="GZ52" s="345" t="str">
        <f t="shared" si="448"/>
        <v/>
      </c>
      <c r="HA52" s="342" t="str">
        <f t="shared" si="57"/>
        <v/>
      </c>
      <c r="HB52" s="5" t="str">
        <f t="shared" si="225"/>
        <v/>
      </c>
      <c r="HC52" s="343" t="str">
        <f t="shared" si="449"/>
        <v/>
      </c>
      <c r="HD52" s="345" t="str">
        <f t="shared" si="450"/>
        <v/>
      </c>
      <c r="HE52" s="344" t="str">
        <f t="shared" si="58"/>
        <v/>
      </c>
      <c r="HF52" s="5" t="str">
        <f t="shared" si="59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34" t="str">
        <f t="shared" si="455"/>
        <v/>
      </c>
      <c r="HN52" s="935" t="str">
        <f t="shared" si="456"/>
        <v/>
      </c>
      <c r="HO52" s="936"/>
      <c r="HP52" s="937"/>
      <c r="HQ52" s="935" t="str">
        <f t="shared" si="457"/>
        <v/>
      </c>
      <c r="HR52" s="938" t="str">
        <f t="shared" si="458"/>
        <v/>
      </c>
      <c r="HS52" s="939" t="str">
        <f t="shared" si="507"/>
        <v/>
      </c>
      <c r="HT52" s="940" t="str">
        <f t="shared" si="459"/>
        <v/>
      </c>
      <c r="HU52" s="941" t="str">
        <f t="shared" si="460"/>
        <v/>
      </c>
      <c r="HV52" s="942" t="str">
        <f t="shared" si="461"/>
        <v/>
      </c>
      <c r="HW52" s="943" t="str">
        <f t="shared" si="462"/>
        <v/>
      </c>
      <c r="HX52" s="950" t="str">
        <f t="shared" si="463"/>
        <v/>
      </c>
      <c r="HY52" s="955" t="str">
        <f t="shared" si="464"/>
        <v/>
      </c>
      <c r="HZ52" s="956" t="str">
        <f t="shared" si="465"/>
        <v/>
      </c>
      <c r="IA52" s="957" t="str">
        <f t="shared" si="466"/>
        <v/>
      </c>
      <c r="IB52" s="958" t="str">
        <f t="shared" si="467"/>
        <v/>
      </c>
      <c r="IC52" s="841" t="str">
        <f t="shared" si="468"/>
        <v/>
      </c>
      <c r="ID52" s="351" t="str">
        <f t="shared" si="469"/>
        <v/>
      </c>
      <c r="IE52" s="843" t="str">
        <f t="shared" si="470"/>
        <v/>
      </c>
      <c r="IF52" s="844"/>
      <c r="IG52" s="789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7" t="str">
        <f t="shared" si="230"/>
        <v/>
      </c>
      <c r="IJ52" s="967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71"/>
        <v/>
      </c>
      <c r="IM52" s="482" t="str">
        <f t="shared" si="231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 t="str">
        <f t="shared" si="308"/>
        <v/>
      </c>
      <c r="B53" s="578" t="str">
        <f t="shared" ref="B53:D53" si="531">IFERROR(O208+($A53*-E53),"")</f>
        <v/>
      </c>
      <c r="C53" s="572" t="str">
        <f t="shared" si="531"/>
        <v/>
      </c>
      <c r="D53" s="576" t="str">
        <f t="shared" si="531"/>
        <v/>
      </c>
      <c r="E53" s="580" t="str">
        <f t="shared" ref="E53:K53" si="532">R208</f>
        <v/>
      </c>
      <c r="F53" s="572" t="str">
        <f t="shared" si="532"/>
        <v/>
      </c>
      <c r="G53" s="579" t="str">
        <f t="shared" si="532"/>
        <v/>
      </c>
      <c r="H53" s="580" t="str">
        <f t="shared" si="532"/>
        <v/>
      </c>
      <c r="I53" s="572" t="str">
        <f t="shared" si="532"/>
        <v/>
      </c>
      <c r="J53" s="483" t="str">
        <f t="shared" si="92"/>
        <v/>
      </c>
      <c r="K53" s="805" t="str">
        <f t="shared" si="532"/>
        <v/>
      </c>
      <c r="L53" s="309"/>
      <c r="M53" s="164" t="str">
        <f t="shared" si="311"/>
        <v/>
      </c>
      <c r="N53" s="575" t="str">
        <f t="shared" si="312"/>
        <v/>
      </c>
      <c r="O53" s="572" t="str">
        <f t="shared" si="313"/>
        <v/>
      </c>
      <c r="P53" s="576" t="str">
        <f t="shared" si="314"/>
        <v/>
      </c>
      <c r="Q53" s="528" t="str">
        <f t="shared" si="134"/>
        <v/>
      </c>
      <c r="R53" s="572" t="str">
        <f t="shared" ref="R53:R58" si="533">IF(M53="","",SQRT(N53^2+O53^2))</f>
        <v/>
      </c>
      <c r="S53" s="577" t="str">
        <f t="shared" ref="S53:S58" si="534">IF(M53="","",P53)</f>
        <v/>
      </c>
      <c r="T53" s="578" t="str">
        <f t="shared" ref="T53:T58" si="535">IF(M53="","",X53*COS(RADIANS(W53)))</f>
        <v/>
      </c>
      <c r="U53" s="572" t="str">
        <f t="shared" ref="U53:U58" si="536">IF(M53="","",X53*SIN(RADIANS(W53)))</f>
        <v/>
      </c>
      <c r="V53" s="579" t="str">
        <f t="shared" ref="V53:V58" si="537">IF(M53="","",Y53)</f>
        <v/>
      </c>
      <c r="W53" s="528" t="str">
        <f t="shared" si="256"/>
        <v/>
      </c>
      <c r="X53" s="572" t="str">
        <f t="shared" ref="X53:X58" si="538">IF(M53="","",R53)</f>
        <v/>
      </c>
      <c r="Y53" s="573" t="str">
        <f t="shared" si="259"/>
        <v/>
      </c>
      <c r="Z53" s="575" t="str">
        <f t="shared" si="315"/>
        <v/>
      </c>
      <c r="AA53" s="572" t="str">
        <f t="shared" si="316"/>
        <v/>
      </c>
      <c r="AB53" s="572" t="str">
        <f t="shared" si="317"/>
        <v/>
      </c>
      <c r="AC53" s="579" t="str">
        <f t="shared" ref="AC53:AC58" si="539">IF(M53="","",SQRT(Z53^2+AA53^2+AB53^2))</f>
        <v/>
      </c>
      <c r="AD53" s="580" t="str">
        <f t="shared" ref="AD53:AD58" si="540">IF(M53="","",Z53*(1/SQRT(Z53^2+AA53^2+AB53^2)))</f>
        <v/>
      </c>
      <c r="AE53" s="572" t="str">
        <f t="shared" ref="AE53:AE58" si="541">IF(M53="","",AA53*(1/SQRT(Z53^2+AA53^2+AB53^2)))</f>
        <v/>
      </c>
      <c r="AF53" s="576" t="str">
        <f t="shared" ref="AF53:AF58" si="542">IF(M53="","",AB53*(1/SQRT(Z53^2+AA53^2+AB53^2)))</f>
        <v/>
      </c>
      <c r="AG53" s="545" t="str">
        <f t="shared" ref="AG53:AG58" si="543">IF(M53="","",DEGREES(ATAN2(-AF53,AE53)))</f>
        <v/>
      </c>
      <c r="AH53" s="546" t="str">
        <f t="shared" ref="AH53:AH58" si="544">IF(M53="","",DEGREES(ACOS(AD53)))</f>
        <v/>
      </c>
      <c r="AI53" s="528" t="str">
        <f t="shared" ref="AI53:AI58" si="545">IF(M53="","",DEGREES(-ACOS(-AF53)))</f>
        <v/>
      </c>
      <c r="AJ53" s="529" t="str">
        <f t="shared" ref="AJ53:AJ58" si="546">IF(M53="","",DEGREES(ATAN2(-AE53,AD53)))</f>
        <v/>
      </c>
      <c r="AK53" s="578" t="str">
        <f t="shared" ref="AK53:AK58" si="547">IF(M53="","",(COS(RADIANS((90-$Q$8)-W53))*AD53)+(-SIN(RADIANS((90-$Q$8)-W53))*AE53))</f>
        <v/>
      </c>
      <c r="AL53" s="572" t="str">
        <f t="shared" ref="AL53:AL58" si="548">IF(M53="","",(SIN(RADIANS((90-$Q$8)-W53))*AD53)+(COS(RADIANS((90-$Q$8)-W53))*AE53))</f>
        <v/>
      </c>
      <c r="AM53" s="577" t="str">
        <f t="shared" ref="AM53:AM58" si="549">IF(M53="","",AF53)</f>
        <v/>
      </c>
      <c r="AN53" s="524" t="str">
        <f t="shared" ref="AN53:AN58" si="550">IF(M53="","",DEGREES(ATAN2(-AM53,AL53)))</f>
        <v/>
      </c>
      <c r="AO53" s="525" t="str">
        <f t="shared" si="108"/>
        <v/>
      </c>
      <c r="AP53" s="528" t="str">
        <f t="shared" ref="AP53:AP58" si="551">IF(M53="","",DEGREES(ATAN2(AK53,AL53)))</f>
        <v/>
      </c>
      <c r="AQ53" s="529" t="str">
        <f t="shared" si="318"/>
        <v/>
      </c>
      <c r="AS53" s="899" t="str">
        <f t="shared" si="510"/>
        <v/>
      </c>
      <c r="AT53" s="895" t="str">
        <f t="shared" si="319"/>
        <v/>
      </c>
      <c r="AU53" s="418"/>
      <c r="AV53" s="164" t="str">
        <f t="shared" si="320"/>
        <v/>
      </c>
      <c r="AW53" s="828" t="str">
        <f>IFERROR(INDEX(MassProp!C$9:C$150,MATCH($M53,MassProp!$B$9:$B$150,0)),"")</f>
        <v/>
      </c>
      <c r="AX53" s="829" t="str">
        <f>IFERROR(INDEX(MassProp!D$9:D$150,MATCH($M53,MassProp!$B$9:$B$150,0)),"")</f>
        <v/>
      </c>
      <c r="AY53" s="830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39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1"/>
        <v/>
      </c>
      <c r="BV53" s="9" t="str">
        <f t="shared" si="112"/>
        <v/>
      </c>
      <c r="BW53" s="5" t="str">
        <f t="shared" si="113"/>
        <v/>
      </c>
      <c r="BX53" s="8" t="str">
        <f t="shared" si="114"/>
        <v/>
      </c>
      <c r="BY53" s="173" t="str">
        <f t="shared" si="115"/>
        <v/>
      </c>
      <c r="BZ53" s="5" t="str">
        <f t="shared" si="116"/>
        <v/>
      </c>
      <c r="CA53" s="6" t="str">
        <f t="shared" si="117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18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4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2"/>
        <v/>
      </c>
      <c r="DE53" s="9" t="str">
        <f t="shared" si="512"/>
        <v/>
      </c>
      <c r="DF53" s="5" t="str">
        <f t="shared" si="512"/>
        <v/>
      </c>
      <c r="DG53" s="10" t="str">
        <f t="shared" si="164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4"/>
        <v/>
      </c>
      <c r="EL53" s="238" t="str">
        <f t="shared" si="195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3"/>
        <v/>
      </c>
      <c r="FA53" s="266" t="str">
        <f t="shared" si="126"/>
        <v/>
      </c>
      <c r="FB53" s="267" t="str">
        <f t="shared" si="127"/>
        <v/>
      </c>
      <c r="FC53" s="269" t="str">
        <f t="shared" si="38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9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3"/>
        <v/>
      </c>
      <c r="GV53" s="343" t="str">
        <f t="shared" si="446"/>
        <v/>
      </c>
      <c r="GW53" s="345" t="str">
        <f t="shared" si="129"/>
        <v/>
      </c>
      <c r="GX53" s="346" t="str">
        <f t="shared" si="54"/>
        <v/>
      </c>
      <c r="GY53" s="344" t="str">
        <f t="shared" si="447"/>
        <v/>
      </c>
      <c r="GZ53" s="345" t="str">
        <f t="shared" si="448"/>
        <v/>
      </c>
      <c r="HA53" s="342" t="str">
        <f t="shared" si="57"/>
        <v/>
      </c>
      <c r="HB53" s="5" t="str">
        <f t="shared" si="225"/>
        <v/>
      </c>
      <c r="HC53" s="343" t="str">
        <f t="shared" si="449"/>
        <v/>
      </c>
      <c r="HD53" s="345" t="str">
        <f t="shared" si="450"/>
        <v/>
      </c>
      <c r="HE53" s="344" t="str">
        <f t="shared" si="58"/>
        <v/>
      </c>
      <c r="HF53" s="5" t="str">
        <f t="shared" si="59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34" t="str">
        <f t="shared" si="455"/>
        <v/>
      </c>
      <c r="HN53" s="935" t="str">
        <f t="shared" si="456"/>
        <v/>
      </c>
      <c r="HO53" s="936"/>
      <c r="HP53" s="937"/>
      <c r="HQ53" s="935" t="str">
        <f t="shared" si="457"/>
        <v/>
      </c>
      <c r="HR53" s="938" t="str">
        <f t="shared" si="458"/>
        <v/>
      </c>
      <c r="HS53" s="939" t="str">
        <f t="shared" si="507"/>
        <v/>
      </c>
      <c r="HT53" s="940" t="str">
        <f t="shared" si="459"/>
        <v/>
      </c>
      <c r="HU53" s="941" t="str">
        <f t="shared" si="460"/>
        <v/>
      </c>
      <c r="HV53" s="942" t="str">
        <f t="shared" si="461"/>
        <v/>
      </c>
      <c r="HW53" s="943" t="str">
        <f t="shared" si="462"/>
        <v/>
      </c>
      <c r="HX53" s="950" t="str">
        <f t="shared" si="463"/>
        <v/>
      </c>
      <c r="HY53" s="955" t="str">
        <f t="shared" si="464"/>
        <v/>
      </c>
      <c r="HZ53" s="956" t="str">
        <f t="shared" si="465"/>
        <v/>
      </c>
      <c r="IA53" s="957" t="str">
        <f t="shared" si="466"/>
        <v/>
      </c>
      <c r="IB53" s="958" t="str">
        <f t="shared" si="467"/>
        <v/>
      </c>
      <c r="IC53" s="841" t="str">
        <f t="shared" si="468"/>
        <v/>
      </c>
      <c r="ID53" s="351" t="str">
        <f t="shared" si="469"/>
        <v/>
      </c>
      <c r="IE53" s="843" t="str">
        <f t="shared" si="470"/>
        <v/>
      </c>
      <c r="IF53" s="844"/>
      <c r="IG53" s="789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7" t="str">
        <f t="shared" si="230"/>
        <v/>
      </c>
      <c r="IJ53" s="967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71"/>
        <v/>
      </c>
      <c r="IM53" s="482" t="str">
        <f t="shared" si="231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 t="str">
        <f t="shared" si="308"/>
        <v/>
      </c>
      <c r="B54" s="578" t="str">
        <f t="shared" ref="B54:D54" si="552">IFERROR(O209+($A54*-E54),"")</f>
        <v/>
      </c>
      <c r="C54" s="572" t="str">
        <f t="shared" si="552"/>
        <v/>
      </c>
      <c r="D54" s="576" t="str">
        <f t="shared" si="552"/>
        <v/>
      </c>
      <c r="E54" s="580" t="str">
        <f t="shared" ref="E54:K54" si="553">R209</f>
        <v/>
      </c>
      <c r="F54" s="572" t="str">
        <f t="shared" si="553"/>
        <v/>
      </c>
      <c r="G54" s="579" t="str">
        <f t="shared" si="553"/>
        <v/>
      </c>
      <c r="H54" s="580" t="str">
        <f t="shared" si="553"/>
        <v/>
      </c>
      <c r="I54" s="572" t="str">
        <f t="shared" si="553"/>
        <v/>
      </c>
      <c r="J54" s="483" t="str">
        <f t="shared" si="92"/>
        <v/>
      </c>
      <c r="K54" s="805" t="str">
        <f t="shared" si="553"/>
        <v/>
      </c>
      <c r="L54" s="309"/>
      <c r="M54" s="164" t="str">
        <f t="shared" si="311"/>
        <v/>
      </c>
      <c r="N54" s="575" t="str">
        <f t="shared" si="312"/>
        <v/>
      </c>
      <c r="O54" s="572" t="str">
        <f t="shared" si="313"/>
        <v/>
      </c>
      <c r="P54" s="576" t="str">
        <f t="shared" si="314"/>
        <v/>
      </c>
      <c r="Q54" s="528" t="str">
        <f t="shared" si="134"/>
        <v/>
      </c>
      <c r="R54" s="572" t="str">
        <f t="shared" si="533"/>
        <v/>
      </c>
      <c r="S54" s="577" t="str">
        <f t="shared" si="534"/>
        <v/>
      </c>
      <c r="T54" s="578" t="str">
        <f t="shared" si="535"/>
        <v/>
      </c>
      <c r="U54" s="572" t="str">
        <f t="shared" si="536"/>
        <v/>
      </c>
      <c r="V54" s="579" t="str">
        <f t="shared" si="537"/>
        <v/>
      </c>
      <c r="W54" s="528" t="str">
        <f t="shared" si="256"/>
        <v/>
      </c>
      <c r="X54" s="572" t="str">
        <f t="shared" si="538"/>
        <v/>
      </c>
      <c r="Y54" s="573" t="str">
        <f t="shared" si="259"/>
        <v/>
      </c>
      <c r="Z54" s="575" t="str">
        <f t="shared" si="315"/>
        <v/>
      </c>
      <c r="AA54" s="572" t="str">
        <f t="shared" si="316"/>
        <v/>
      </c>
      <c r="AB54" s="572" t="str">
        <f t="shared" si="317"/>
        <v/>
      </c>
      <c r="AC54" s="579" t="str">
        <f t="shared" si="539"/>
        <v/>
      </c>
      <c r="AD54" s="580" t="str">
        <f t="shared" si="540"/>
        <v/>
      </c>
      <c r="AE54" s="572" t="str">
        <f t="shared" si="541"/>
        <v/>
      </c>
      <c r="AF54" s="576" t="str">
        <f t="shared" si="542"/>
        <v/>
      </c>
      <c r="AG54" s="545" t="str">
        <f t="shared" si="543"/>
        <v/>
      </c>
      <c r="AH54" s="546" t="str">
        <f t="shared" si="544"/>
        <v/>
      </c>
      <c r="AI54" s="528" t="str">
        <f t="shared" si="545"/>
        <v/>
      </c>
      <c r="AJ54" s="529" t="str">
        <f t="shared" si="546"/>
        <v/>
      </c>
      <c r="AK54" s="578" t="str">
        <f t="shared" si="547"/>
        <v/>
      </c>
      <c r="AL54" s="572" t="str">
        <f t="shared" si="548"/>
        <v/>
      </c>
      <c r="AM54" s="577" t="str">
        <f t="shared" si="549"/>
        <v/>
      </c>
      <c r="AN54" s="524" t="str">
        <f t="shared" si="550"/>
        <v/>
      </c>
      <c r="AO54" s="525" t="str">
        <f t="shared" si="108"/>
        <v/>
      </c>
      <c r="AP54" s="528" t="str">
        <f t="shared" si="551"/>
        <v/>
      </c>
      <c r="AQ54" s="529" t="str">
        <f t="shared" si="318"/>
        <v/>
      </c>
      <c r="AS54" s="899" t="str">
        <f t="shared" si="510"/>
        <v/>
      </c>
      <c r="AT54" s="895" t="str">
        <f t="shared" si="319"/>
        <v/>
      </c>
      <c r="AU54" s="418"/>
      <c r="AV54" s="164" t="str">
        <f t="shared" si="320"/>
        <v/>
      </c>
      <c r="AW54" s="796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8"/>
        <v/>
      </c>
      <c r="BA54" s="296" t="str">
        <f t="shared" si="322"/>
        <v/>
      </c>
      <c r="BB54" s="177" t="str">
        <f t="shared" si="139"/>
        <v/>
      </c>
      <c r="BC54" s="9"/>
      <c r="BD54" s="5" t="str">
        <f t="shared" si="235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0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1"/>
        <v/>
      </c>
      <c r="BP54" s="5" t="str">
        <f t="shared" si="142"/>
        <v/>
      </c>
      <c r="BQ54" s="5" t="str">
        <f t="shared" si="143"/>
        <v/>
      </c>
      <c r="BR54" s="6" t="str">
        <f t="shared" si="144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1"/>
        <v/>
      </c>
      <c r="BV54" s="9" t="str">
        <f t="shared" si="112"/>
        <v/>
      </c>
      <c r="BW54" s="5" t="str">
        <f t="shared" si="113"/>
        <v/>
      </c>
      <c r="BX54" s="8" t="str">
        <f t="shared" si="114"/>
        <v/>
      </c>
      <c r="BY54" s="173" t="str">
        <f t="shared" si="115"/>
        <v/>
      </c>
      <c r="BZ54" s="5" t="str">
        <f t="shared" si="116"/>
        <v/>
      </c>
      <c r="CA54" s="6" t="str">
        <f t="shared" si="117"/>
        <v/>
      </c>
      <c r="CB54" s="4" t="str">
        <f t="shared" si="145"/>
        <v/>
      </c>
      <c r="CC54" s="5" t="str">
        <f t="shared" si="146"/>
        <v/>
      </c>
      <c r="CD54" s="5" t="str">
        <f t="shared" si="147"/>
        <v/>
      </c>
      <c r="CE54" s="6" t="str">
        <f t="shared" si="148"/>
        <v/>
      </c>
      <c r="CF54" s="4" t="str">
        <f t="shared" si="149"/>
        <v/>
      </c>
      <c r="CG54" s="5" t="str">
        <f t="shared" si="150"/>
        <v/>
      </c>
      <c r="CH54" s="5" t="str">
        <f t="shared" si="151"/>
        <v/>
      </c>
      <c r="CI54" s="4" t="str">
        <f t="shared" si="118"/>
        <v/>
      </c>
      <c r="CJ54" s="5" t="str">
        <f t="shared" si="119"/>
        <v/>
      </c>
      <c r="CK54" s="8" t="str">
        <f t="shared" si="120"/>
        <v/>
      </c>
      <c r="CL54" s="173" t="str">
        <f t="shared" si="121"/>
        <v/>
      </c>
      <c r="CM54" s="5" t="str">
        <f t="shared" si="122"/>
        <v/>
      </c>
      <c r="CN54" s="6" t="str">
        <f t="shared" si="123"/>
        <v/>
      </c>
      <c r="CO54" s="167" t="str">
        <f t="shared" si="350"/>
        <v/>
      </c>
      <c r="CP54" s="4" t="str">
        <f t="shared" si="236"/>
        <v/>
      </c>
      <c r="CQ54" s="5" t="str">
        <f t="shared" si="237"/>
        <v/>
      </c>
      <c r="CR54" s="5" t="str">
        <f t="shared" si="152"/>
        <v/>
      </c>
      <c r="CS54" s="8" t="str">
        <f t="shared" si="153"/>
        <v/>
      </c>
      <c r="CT54" s="9" t="str">
        <f t="shared" si="154"/>
        <v/>
      </c>
      <c r="CU54" s="6" t="str">
        <f t="shared" si="155"/>
        <v/>
      </c>
      <c r="CV54" s="4" t="str">
        <f t="shared" si="238"/>
        <v/>
      </c>
      <c r="CW54" s="5" t="str">
        <f t="shared" si="156"/>
        <v/>
      </c>
      <c r="CX54" s="8" t="str">
        <f t="shared" si="157"/>
        <v/>
      </c>
      <c r="CY54" s="9" t="str">
        <f t="shared" si="158"/>
        <v/>
      </c>
      <c r="CZ54" s="5" t="str">
        <f t="shared" si="159"/>
        <v/>
      </c>
      <c r="DA54" s="6" t="str">
        <f t="shared" si="160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2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4"/>
        <v/>
      </c>
      <c r="DH54" s="70" t="str">
        <f t="shared" si="165"/>
        <v/>
      </c>
      <c r="DI54" s="4" t="str">
        <f t="shared" si="166"/>
        <v/>
      </c>
      <c r="DJ54" s="5" t="str">
        <f t="shared" si="167"/>
        <v/>
      </c>
      <c r="DK54" s="10" t="str">
        <f t="shared" si="168"/>
        <v/>
      </c>
      <c r="DL54" s="9" t="str">
        <f t="shared" si="169"/>
        <v/>
      </c>
      <c r="DM54" s="173" t="str">
        <f t="shared" si="170"/>
        <v/>
      </c>
      <c r="DN54" s="178" t="str">
        <f t="shared" si="171"/>
        <v/>
      </c>
      <c r="DO54" s="9" t="str">
        <f t="shared" si="172"/>
        <v/>
      </c>
      <c r="DP54" s="173" t="str">
        <f t="shared" si="173"/>
        <v/>
      </c>
      <c r="DQ54" s="11" t="str">
        <f t="shared" si="174"/>
        <v/>
      </c>
      <c r="DR54" s="173" t="str">
        <f t="shared" si="175"/>
        <v/>
      </c>
      <c r="DS54" s="5" t="str">
        <f t="shared" si="176"/>
        <v/>
      </c>
      <c r="DT54" s="5" t="str">
        <f t="shared" si="177"/>
        <v/>
      </c>
      <c r="DU54" s="5" t="str">
        <f t="shared" si="178"/>
        <v/>
      </c>
      <c r="DV54" s="5" t="str">
        <f t="shared" si="179"/>
        <v/>
      </c>
      <c r="DW54" s="5" t="str">
        <f t="shared" si="180"/>
        <v/>
      </c>
      <c r="DX54" s="167" t="str">
        <f t="shared" si="181"/>
        <v/>
      </c>
      <c r="DY54" s="9" t="str">
        <f t="shared" si="182"/>
        <v/>
      </c>
      <c r="DZ54" s="5" t="str">
        <f t="shared" si="183"/>
        <v/>
      </c>
      <c r="EA54" s="10" t="str">
        <f t="shared" si="184"/>
        <v/>
      </c>
      <c r="EB54" s="6" t="str">
        <f t="shared" si="185"/>
        <v/>
      </c>
      <c r="EC54" s="173" t="str">
        <f t="shared" si="186"/>
        <v/>
      </c>
      <c r="ED54" s="5" t="str">
        <f t="shared" si="187"/>
        <v/>
      </c>
      <c r="EE54" s="4" t="str">
        <f t="shared" si="188"/>
        <v/>
      </c>
      <c r="EF54" s="5" t="str">
        <f t="shared" si="189"/>
        <v/>
      </c>
      <c r="EG54" s="10" t="str">
        <f t="shared" si="190"/>
        <v/>
      </c>
      <c r="EH54" s="9" t="str">
        <f t="shared" si="191"/>
        <v/>
      </c>
      <c r="EI54" s="5" t="str">
        <f t="shared" si="192"/>
        <v/>
      </c>
      <c r="EJ54" s="6" t="str">
        <f t="shared" si="193"/>
        <v/>
      </c>
      <c r="EK54" s="236" t="str">
        <f t="shared" si="194"/>
        <v/>
      </c>
      <c r="EL54" s="238" t="str">
        <f t="shared" si="195"/>
        <v/>
      </c>
      <c r="EM54" s="4" t="str">
        <f t="shared" si="196"/>
        <v/>
      </c>
      <c r="EN54" s="5" t="str">
        <f t="shared" si="197"/>
        <v/>
      </c>
      <c r="EO54" s="10" t="str">
        <f t="shared" si="198"/>
        <v/>
      </c>
      <c r="EP54" s="9" t="str">
        <f t="shared" si="199"/>
        <v/>
      </c>
      <c r="EQ54" s="5" t="str">
        <f t="shared" si="200"/>
        <v/>
      </c>
      <c r="ER54" s="7" t="str">
        <f t="shared" si="201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2"/>
        <v/>
      </c>
      <c r="EZ54" s="51" t="str">
        <f t="shared" si="203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4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6"/>
        <v/>
      </c>
      <c r="FK54" s="4" t="str">
        <f t="shared" ref="FK54:FK72" si="568">IF(ISNUMBER($AV54),SQRT(ES54^2+ET54^2),"")</f>
        <v/>
      </c>
      <c r="FL54" s="5" t="str">
        <f t="shared" si="207"/>
        <v/>
      </c>
      <c r="FM54" s="8" t="str">
        <f t="shared" si="208"/>
        <v/>
      </c>
      <c r="FN54" s="9" t="str">
        <f t="shared" si="209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39"/>
        <v/>
      </c>
      <c r="FR54" s="10" t="str">
        <f t="shared" si="210"/>
        <v/>
      </c>
      <c r="FS54" s="9" t="str">
        <f t="shared" si="211"/>
        <v/>
      </c>
      <c r="FT54" s="6" t="str">
        <f t="shared" si="212"/>
        <v/>
      </c>
      <c r="FU54" s="4" t="str">
        <f t="shared" si="213"/>
        <v/>
      </c>
      <c r="FV54" s="5" t="str">
        <f t="shared" si="214"/>
        <v/>
      </c>
      <c r="FW54" s="8" t="str">
        <f t="shared" si="240"/>
        <v/>
      </c>
      <c r="FX54" s="9" t="str">
        <f t="shared" si="241"/>
        <v/>
      </c>
      <c r="FY54" s="10" t="str">
        <f t="shared" ref="FY54:FY72" si="571">IF(ISNUMBER($AV54),IF(EU54&lt;FC54,1,-1),"")</f>
        <v/>
      </c>
      <c r="FZ54" s="277" t="str">
        <f t="shared" si="242"/>
        <v/>
      </c>
      <c r="GA54" s="177" t="str">
        <f t="shared" si="215"/>
        <v/>
      </c>
      <c r="GB54" s="4" t="str">
        <f t="shared" si="216"/>
        <v/>
      </c>
      <c r="GC54" s="5" t="str">
        <f t="shared" si="217"/>
        <v/>
      </c>
      <c r="GD54" s="10" t="str">
        <f t="shared" si="218"/>
        <v/>
      </c>
      <c r="GE54" s="311" t="str">
        <f t="shared" si="219"/>
        <v/>
      </c>
      <c r="GF54" s="341" t="str">
        <f t="shared" si="243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0"/>
        <v/>
      </c>
      <c r="GK54" s="174" t="str">
        <f t="shared" ref="GK54:GK72" si="575">IF(ISNUMBER($AV54),SQRT((2*PI()*$GJ54)^2+$AS$5^2)/12,"")</f>
        <v/>
      </c>
      <c r="GL54" s="174" t="str">
        <f t="shared" si="221"/>
        <v/>
      </c>
      <c r="GM54" s="177" t="str">
        <f t="shared" si="244"/>
        <v/>
      </c>
      <c r="GN54" s="280" t="str">
        <f t="shared" si="222"/>
        <v/>
      </c>
      <c r="GO54" s="4" t="str">
        <f t="shared" si="223"/>
        <v/>
      </c>
      <c r="GP54" s="8" t="str">
        <f t="shared" si="245"/>
        <v/>
      </c>
      <c r="GQ54" s="177" t="str">
        <f t="shared" si="224"/>
        <v/>
      </c>
      <c r="GR54" s="371" t="str">
        <f t="shared" si="246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3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5"/>
        <v/>
      </c>
      <c r="HC54" s="343" t="str">
        <f t="shared" si="226"/>
        <v/>
      </c>
      <c r="HD54" s="363" t="str">
        <f t="shared" si="227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28"/>
        <v/>
      </c>
      <c r="HH54" s="349" t="str">
        <f t="shared" si="229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34" t="str">
        <f t="shared" si="455"/>
        <v/>
      </c>
      <c r="HN54" s="935" t="str">
        <f t="shared" si="456"/>
        <v/>
      </c>
      <c r="HO54" s="936"/>
      <c r="HP54" s="937"/>
      <c r="HQ54" s="935" t="str">
        <f t="shared" si="457"/>
        <v/>
      </c>
      <c r="HR54" s="938" t="str">
        <f t="shared" si="458"/>
        <v/>
      </c>
      <c r="HS54" s="939" t="str">
        <f t="shared" si="507"/>
        <v/>
      </c>
      <c r="HT54" s="940" t="str">
        <f t="shared" si="459"/>
        <v/>
      </c>
      <c r="HU54" s="941" t="str">
        <f t="shared" si="460"/>
        <v/>
      </c>
      <c r="HV54" s="942" t="str">
        <f t="shared" si="461"/>
        <v/>
      </c>
      <c r="HW54" s="943" t="str">
        <f t="shared" si="462"/>
        <v/>
      </c>
      <c r="HX54" s="950" t="str">
        <f t="shared" si="463"/>
        <v/>
      </c>
      <c r="HY54" s="955" t="str">
        <f t="shared" si="464"/>
        <v/>
      </c>
      <c r="HZ54" s="956" t="str">
        <f t="shared" si="465"/>
        <v/>
      </c>
      <c r="IA54" s="957" t="str">
        <f t="shared" si="466"/>
        <v/>
      </c>
      <c r="IB54" s="958" t="str">
        <f t="shared" si="467"/>
        <v/>
      </c>
      <c r="IC54" s="841" t="str">
        <f t="shared" si="468"/>
        <v/>
      </c>
      <c r="ID54" s="351" t="str">
        <f t="shared" si="469"/>
        <v/>
      </c>
      <c r="IE54" s="843" t="str">
        <f t="shared" si="470"/>
        <v/>
      </c>
      <c r="IF54" s="844"/>
      <c r="IG54" s="789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7" t="str">
        <f t="shared" si="230"/>
        <v/>
      </c>
      <c r="IJ54" s="967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71"/>
        <v/>
      </c>
      <c r="IM54" s="482" t="str">
        <f t="shared" si="231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 t="str">
        <f t="shared" si="308"/>
        <v/>
      </c>
      <c r="B55" s="578" t="str">
        <f t="shared" ref="B55:D55" si="586">IFERROR(O210+($A55*-E55),"")</f>
        <v/>
      </c>
      <c r="C55" s="572" t="str">
        <f t="shared" si="586"/>
        <v/>
      </c>
      <c r="D55" s="576" t="str">
        <f t="shared" si="586"/>
        <v/>
      </c>
      <c r="E55" s="580" t="str">
        <f t="shared" ref="E55:K55" si="587">R210</f>
        <v/>
      </c>
      <c r="F55" s="572" t="str">
        <f t="shared" si="587"/>
        <v/>
      </c>
      <c r="G55" s="579" t="str">
        <f t="shared" si="587"/>
        <v/>
      </c>
      <c r="H55" s="580" t="str">
        <f t="shared" si="587"/>
        <v/>
      </c>
      <c r="I55" s="572" t="str">
        <f t="shared" si="587"/>
        <v/>
      </c>
      <c r="J55" s="483" t="str">
        <f t="shared" si="92"/>
        <v/>
      </c>
      <c r="K55" s="805" t="str">
        <f t="shared" si="587"/>
        <v/>
      </c>
      <c r="L55" s="309"/>
      <c r="M55" s="164" t="str">
        <f t="shared" si="311"/>
        <v/>
      </c>
      <c r="N55" s="575" t="str">
        <f t="shared" si="312"/>
        <v/>
      </c>
      <c r="O55" s="572" t="str">
        <f t="shared" si="313"/>
        <v/>
      </c>
      <c r="P55" s="576" t="str">
        <f t="shared" si="314"/>
        <v/>
      </c>
      <c r="Q55" s="528" t="str">
        <f t="shared" si="134"/>
        <v/>
      </c>
      <c r="R55" s="572" t="str">
        <f t="shared" si="533"/>
        <v/>
      </c>
      <c r="S55" s="577" t="str">
        <f t="shared" si="534"/>
        <v/>
      </c>
      <c r="T55" s="578" t="str">
        <f t="shared" si="535"/>
        <v/>
      </c>
      <c r="U55" s="572" t="str">
        <f t="shared" si="536"/>
        <v/>
      </c>
      <c r="V55" s="579" t="str">
        <f t="shared" si="537"/>
        <v/>
      </c>
      <c r="W55" s="528" t="str">
        <f t="shared" si="256"/>
        <v/>
      </c>
      <c r="X55" s="572" t="str">
        <f t="shared" si="538"/>
        <v/>
      </c>
      <c r="Y55" s="573" t="str">
        <f t="shared" si="259"/>
        <v/>
      </c>
      <c r="Z55" s="575" t="str">
        <f t="shared" si="315"/>
        <v/>
      </c>
      <c r="AA55" s="572" t="str">
        <f t="shared" si="316"/>
        <v/>
      </c>
      <c r="AB55" s="572" t="str">
        <f t="shared" si="317"/>
        <v/>
      </c>
      <c r="AC55" s="579" t="str">
        <f t="shared" si="539"/>
        <v/>
      </c>
      <c r="AD55" s="580" t="str">
        <f t="shared" si="540"/>
        <v/>
      </c>
      <c r="AE55" s="572" t="str">
        <f t="shared" si="541"/>
        <v/>
      </c>
      <c r="AF55" s="576" t="str">
        <f t="shared" si="542"/>
        <v/>
      </c>
      <c r="AG55" s="545" t="str">
        <f t="shared" si="543"/>
        <v/>
      </c>
      <c r="AH55" s="546" t="str">
        <f t="shared" si="544"/>
        <v/>
      </c>
      <c r="AI55" s="528" t="str">
        <f t="shared" si="545"/>
        <v/>
      </c>
      <c r="AJ55" s="529" t="str">
        <f t="shared" si="546"/>
        <v/>
      </c>
      <c r="AK55" s="578" t="str">
        <f t="shared" si="547"/>
        <v/>
      </c>
      <c r="AL55" s="572" t="str">
        <f t="shared" si="548"/>
        <v/>
      </c>
      <c r="AM55" s="577" t="str">
        <f t="shared" si="549"/>
        <v/>
      </c>
      <c r="AN55" s="524" t="str">
        <f t="shared" si="550"/>
        <v/>
      </c>
      <c r="AO55" s="525" t="str">
        <f>IF(ROUND(IF(M55="",0,DEGREES(ACOS(AK55))),4)=90,0,IF(M55="","",DEGREES(ACOS(AK55))))</f>
        <v/>
      </c>
      <c r="AP55" s="528" t="str">
        <f t="shared" si="551"/>
        <v/>
      </c>
      <c r="AQ55" s="529" t="str">
        <f t="shared" si="318"/>
        <v/>
      </c>
      <c r="AS55" s="899" t="str">
        <f t="shared" si="510"/>
        <v/>
      </c>
      <c r="AT55" s="895" t="str">
        <f t="shared" si="319"/>
        <v/>
      </c>
      <c r="AU55" s="418"/>
      <c r="AV55" s="164" t="str">
        <f t="shared" si="320"/>
        <v/>
      </c>
      <c r="AW55" s="796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8"/>
        <v/>
      </c>
      <c r="BA55" s="296" t="str">
        <f t="shared" si="322"/>
        <v/>
      </c>
      <c r="BB55" s="177" t="str">
        <f t="shared" si="139"/>
        <v/>
      </c>
      <c r="BC55" s="9"/>
      <c r="BD55" s="5" t="str">
        <f t="shared" si="235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0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1"/>
        <v/>
      </c>
      <c r="BP55" s="5" t="str">
        <f t="shared" si="142"/>
        <v/>
      </c>
      <c r="BQ55" s="5" t="str">
        <f t="shared" si="143"/>
        <v/>
      </c>
      <c r="BR55" s="6" t="str">
        <f t="shared" si="144"/>
        <v/>
      </c>
      <c r="BS55" s="4" t="str">
        <f t="shared" si="554"/>
        <v/>
      </c>
      <c r="BT55" s="5" t="str">
        <f t="shared" si="554"/>
        <v/>
      </c>
      <c r="BU55" s="10" t="str">
        <f t="shared" si="111"/>
        <v/>
      </c>
      <c r="BV55" s="9" t="str">
        <f t="shared" si="112"/>
        <v/>
      </c>
      <c r="BW55" s="5" t="str">
        <f t="shared" si="113"/>
        <v/>
      </c>
      <c r="BX55" s="8" t="str">
        <f t="shared" si="114"/>
        <v/>
      </c>
      <c r="BY55" s="173" t="str">
        <f t="shared" si="115"/>
        <v/>
      </c>
      <c r="BZ55" s="5" t="str">
        <f t="shared" si="116"/>
        <v/>
      </c>
      <c r="CA55" s="6" t="str">
        <f t="shared" si="117"/>
        <v/>
      </c>
      <c r="CB55" s="4" t="str">
        <f t="shared" si="145"/>
        <v/>
      </c>
      <c r="CC55" s="5" t="str">
        <f t="shared" si="146"/>
        <v/>
      </c>
      <c r="CD55" s="5" t="str">
        <f t="shared" si="147"/>
        <v/>
      </c>
      <c r="CE55" s="6" t="str">
        <f t="shared" si="148"/>
        <v/>
      </c>
      <c r="CF55" s="4" t="str">
        <f t="shared" si="149"/>
        <v/>
      </c>
      <c r="CG55" s="5" t="str">
        <f t="shared" si="150"/>
        <v/>
      </c>
      <c r="CH55" s="5" t="str">
        <f t="shared" si="151"/>
        <v/>
      </c>
      <c r="CI55" s="4" t="str">
        <f t="shared" si="118"/>
        <v/>
      </c>
      <c r="CJ55" s="5" t="str">
        <f t="shared" si="119"/>
        <v/>
      </c>
      <c r="CK55" s="8" t="str">
        <f t="shared" si="120"/>
        <v/>
      </c>
      <c r="CL55" s="173" t="str">
        <f t="shared" si="121"/>
        <v/>
      </c>
      <c r="CM55" s="5" t="str">
        <f t="shared" si="122"/>
        <v/>
      </c>
      <c r="CN55" s="6" t="str">
        <f t="shared" si="123"/>
        <v/>
      </c>
      <c r="CO55" s="167" t="str">
        <f t="shared" si="350"/>
        <v/>
      </c>
      <c r="CP55" s="4" t="str">
        <f t="shared" si="236"/>
        <v/>
      </c>
      <c r="CQ55" s="5" t="str">
        <f t="shared" si="237"/>
        <v/>
      </c>
      <c r="CR55" s="5" t="str">
        <f t="shared" si="152"/>
        <v/>
      </c>
      <c r="CS55" s="8" t="str">
        <f t="shared" si="153"/>
        <v/>
      </c>
      <c r="CT55" s="9" t="str">
        <f t="shared" si="154"/>
        <v/>
      </c>
      <c r="CU55" s="6" t="str">
        <f t="shared" si="155"/>
        <v/>
      </c>
      <c r="CV55" s="4" t="str">
        <f t="shared" si="238"/>
        <v/>
      </c>
      <c r="CW55" s="5" t="str">
        <f t="shared" si="156"/>
        <v/>
      </c>
      <c r="CX55" s="8" t="str">
        <f t="shared" si="157"/>
        <v/>
      </c>
      <c r="CY55" s="9" t="str">
        <f t="shared" si="158"/>
        <v/>
      </c>
      <c r="CZ55" s="5" t="str">
        <f t="shared" si="159"/>
        <v/>
      </c>
      <c r="DA55" s="6" t="str">
        <f t="shared" si="160"/>
        <v/>
      </c>
      <c r="DB55" s="4" t="str">
        <f t="shared" si="555"/>
        <v/>
      </c>
      <c r="DC55" s="5" t="str">
        <f t="shared" si="555"/>
        <v/>
      </c>
      <c r="DD55" s="10" t="str">
        <f t="shared" si="162"/>
        <v/>
      </c>
      <c r="DE55" s="9" t="str">
        <f t="shared" si="556"/>
        <v/>
      </c>
      <c r="DF55" s="5" t="str">
        <f t="shared" si="556"/>
        <v/>
      </c>
      <c r="DG55" s="10" t="str">
        <f t="shared" si="164"/>
        <v/>
      </c>
      <c r="DH55" s="70" t="str">
        <f t="shared" si="165"/>
        <v/>
      </c>
      <c r="DI55" s="4" t="str">
        <f t="shared" si="166"/>
        <v/>
      </c>
      <c r="DJ55" s="5" t="str">
        <f t="shared" si="167"/>
        <v/>
      </c>
      <c r="DK55" s="10" t="str">
        <f t="shared" si="168"/>
        <v/>
      </c>
      <c r="DL55" s="9" t="str">
        <f t="shared" si="169"/>
        <v/>
      </c>
      <c r="DM55" s="173" t="str">
        <f t="shared" si="170"/>
        <v/>
      </c>
      <c r="DN55" s="178" t="str">
        <f t="shared" si="171"/>
        <v/>
      </c>
      <c r="DO55" s="9" t="str">
        <f t="shared" si="172"/>
        <v/>
      </c>
      <c r="DP55" s="173" t="str">
        <f t="shared" si="173"/>
        <v/>
      </c>
      <c r="DQ55" s="11" t="str">
        <f t="shared" si="174"/>
        <v/>
      </c>
      <c r="DR55" s="173" t="str">
        <f t="shared" si="175"/>
        <v/>
      </c>
      <c r="DS55" s="5" t="str">
        <f t="shared" si="176"/>
        <v/>
      </c>
      <c r="DT55" s="5" t="str">
        <f t="shared" si="177"/>
        <v/>
      </c>
      <c r="DU55" s="5" t="str">
        <f t="shared" si="178"/>
        <v/>
      </c>
      <c r="DV55" s="5" t="str">
        <f t="shared" si="179"/>
        <v/>
      </c>
      <c r="DW55" s="5" t="str">
        <f t="shared" si="180"/>
        <v/>
      </c>
      <c r="DX55" s="167" t="str">
        <f t="shared" si="181"/>
        <v/>
      </c>
      <c r="DY55" s="9" t="str">
        <f t="shared" si="182"/>
        <v/>
      </c>
      <c r="DZ55" s="5" t="str">
        <f t="shared" si="183"/>
        <v/>
      </c>
      <c r="EA55" s="10" t="str">
        <f t="shared" si="184"/>
        <v/>
      </c>
      <c r="EB55" s="6" t="str">
        <f t="shared" si="185"/>
        <v/>
      </c>
      <c r="EC55" s="173" t="str">
        <f t="shared" si="186"/>
        <v/>
      </c>
      <c r="ED55" s="5" t="str">
        <f t="shared" si="187"/>
        <v/>
      </c>
      <c r="EE55" s="4" t="str">
        <f t="shared" si="188"/>
        <v/>
      </c>
      <c r="EF55" s="5" t="str">
        <f t="shared" si="189"/>
        <v/>
      </c>
      <c r="EG55" s="10" t="str">
        <f t="shared" si="190"/>
        <v/>
      </c>
      <c r="EH55" s="9" t="str">
        <f t="shared" si="191"/>
        <v/>
      </c>
      <c r="EI55" s="5" t="str">
        <f t="shared" si="192"/>
        <v/>
      </c>
      <c r="EJ55" s="6" t="str">
        <f t="shared" si="193"/>
        <v/>
      </c>
      <c r="EK55" s="236" t="str">
        <f t="shared" si="194"/>
        <v/>
      </c>
      <c r="EL55" s="238" t="str">
        <f t="shared" si="195"/>
        <v/>
      </c>
      <c r="EM55" s="4" t="str">
        <f t="shared" si="196"/>
        <v/>
      </c>
      <c r="EN55" s="5" t="str">
        <f t="shared" si="197"/>
        <v/>
      </c>
      <c r="EO55" s="10" t="str">
        <f t="shared" si="198"/>
        <v/>
      </c>
      <c r="EP55" s="9" t="str">
        <f t="shared" si="199"/>
        <v/>
      </c>
      <c r="EQ55" s="5" t="str">
        <f t="shared" si="200"/>
        <v/>
      </c>
      <c r="ER55" s="7" t="str">
        <f t="shared" si="201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2"/>
        <v/>
      </c>
      <c r="EZ55" s="51" t="str">
        <f t="shared" si="203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4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6"/>
        <v/>
      </c>
      <c r="FK55" s="4" t="str">
        <f t="shared" si="568"/>
        <v/>
      </c>
      <c r="FL55" s="5" t="str">
        <f t="shared" si="207"/>
        <v/>
      </c>
      <c r="FM55" s="8" t="str">
        <f t="shared" si="208"/>
        <v/>
      </c>
      <c r="FN55" s="9" t="str">
        <f t="shared" si="209"/>
        <v/>
      </c>
      <c r="FO55" s="10" t="str">
        <f t="shared" si="569"/>
        <v/>
      </c>
      <c r="FP55" s="277" t="str">
        <f t="shared" si="570"/>
        <v/>
      </c>
      <c r="FQ55" s="173" t="str">
        <f t="shared" si="239"/>
        <v/>
      </c>
      <c r="FR55" s="10" t="str">
        <f t="shared" si="210"/>
        <v/>
      </c>
      <c r="FS55" s="9" t="str">
        <f t="shared" si="211"/>
        <v/>
      </c>
      <c r="FT55" s="6" t="str">
        <f t="shared" si="212"/>
        <v/>
      </c>
      <c r="FU55" s="4" t="str">
        <f t="shared" si="213"/>
        <v/>
      </c>
      <c r="FV55" s="5" t="str">
        <f t="shared" si="214"/>
        <v/>
      </c>
      <c r="FW55" s="8" t="str">
        <f t="shared" si="240"/>
        <v/>
      </c>
      <c r="FX55" s="9" t="str">
        <f t="shared" si="241"/>
        <v/>
      </c>
      <c r="FY55" s="10" t="str">
        <f t="shared" si="571"/>
        <v/>
      </c>
      <c r="FZ55" s="277" t="str">
        <f t="shared" si="242"/>
        <v/>
      </c>
      <c r="GA55" s="177" t="str">
        <f t="shared" si="215"/>
        <v/>
      </c>
      <c r="GB55" s="4" t="str">
        <f t="shared" si="216"/>
        <v/>
      </c>
      <c r="GC55" s="5" t="str">
        <f t="shared" si="217"/>
        <v/>
      </c>
      <c r="GD55" s="10" t="str">
        <f t="shared" si="218"/>
        <v/>
      </c>
      <c r="GE55" s="311" t="str">
        <f t="shared" si="219"/>
        <v/>
      </c>
      <c r="GF55" s="341" t="str">
        <f t="shared" si="243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0"/>
        <v/>
      </c>
      <c r="GK55" s="174" t="str">
        <f t="shared" si="575"/>
        <v/>
      </c>
      <c r="GL55" s="174" t="str">
        <f t="shared" si="221"/>
        <v/>
      </c>
      <c r="GM55" s="177" t="str">
        <f t="shared" si="244"/>
        <v/>
      </c>
      <c r="GN55" s="280" t="str">
        <f t="shared" si="222"/>
        <v/>
      </c>
      <c r="GO55" s="4" t="str">
        <f t="shared" si="223"/>
        <v/>
      </c>
      <c r="GP55" s="8" t="str">
        <f t="shared" si="245"/>
        <v/>
      </c>
      <c r="GQ55" s="177" t="str">
        <f t="shared" si="224"/>
        <v/>
      </c>
      <c r="GR55" s="371" t="str">
        <f t="shared" si="246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3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5"/>
        <v/>
      </c>
      <c r="HC55" s="343" t="str">
        <f t="shared" si="226"/>
        <v/>
      </c>
      <c r="HD55" s="363" t="str">
        <f t="shared" si="227"/>
        <v/>
      </c>
      <c r="HE55" s="344" t="str">
        <f t="shared" si="584"/>
        <v/>
      </c>
      <c r="HF55" s="5" t="str">
        <f t="shared" si="585"/>
        <v/>
      </c>
      <c r="HG55" s="343" t="str">
        <f t="shared" si="228"/>
        <v/>
      </c>
      <c r="HH55" s="349" t="str">
        <f t="shared" si="229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34" t="str">
        <f t="shared" si="455"/>
        <v/>
      </c>
      <c r="HN55" s="935" t="str">
        <f t="shared" si="456"/>
        <v/>
      </c>
      <c r="HO55" s="936"/>
      <c r="HP55" s="937"/>
      <c r="HQ55" s="935" t="str">
        <f t="shared" si="457"/>
        <v/>
      </c>
      <c r="HR55" s="938" t="str">
        <f t="shared" si="458"/>
        <v/>
      </c>
      <c r="HS55" s="939" t="str">
        <f t="shared" si="507"/>
        <v/>
      </c>
      <c r="HT55" s="940" t="str">
        <f t="shared" si="459"/>
        <v/>
      </c>
      <c r="HU55" s="941" t="str">
        <f t="shared" si="460"/>
        <v/>
      </c>
      <c r="HV55" s="942" t="str">
        <f t="shared" si="461"/>
        <v/>
      </c>
      <c r="HW55" s="943" t="str">
        <f t="shared" si="462"/>
        <v/>
      </c>
      <c r="HX55" s="950" t="str">
        <f t="shared" si="463"/>
        <v/>
      </c>
      <c r="HY55" s="955" t="str">
        <f t="shared" si="464"/>
        <v/>
      </c>
      <c r="HZ55" s="956" t="str">
        <f t="shared" si="465"/>
        <v/>
      </c>
      <c r="IA55" s="957" t="str">
        <f t="shared" si="466"/>
        <v/>
      </c>
      <c r="IB55" s="958" t="str">
        <f t="shared" si="467"/>
        <v/>
      </c>
      <c r="IC55" s="841" t="str">
        <f t="shared" si="468"/>
        <v/>
      </c>
      <c r="ID55" s="351" t="str">
        <f t="shared" si="469"/>
        <v/>
      </c>
      <c r="IE55" s="843" t="str">
        <f t="shared" si="470"/>
        <v/>
      </c>
      <c r="IF55" s="844"/>
      <c r="IG55" s="789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7" t="str">
        <f t="shared" si="230"/>
        <v/>
      </c>
      <c r="IJ55" s="967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71"/>
        <v/>
      </c>
      <c r="IM55" s="482" t="str">
        <f t="shared" si="231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 t="str">
        <f t="shared" si="308"/>
        <v/>
      </c>
      <c r="B56" s="578" t="str">
        <f t="shared" ref="B56:D56" si="588">IFERROR(O211+($A56*-E56),"")</f>
        <v/>
      </c>
      <c r="C56" s="572" t="str">
        <f t="shared" si="588"/>
        <v/>
      </c>
      <c r="D56" s="576" t="str">
        <f t="shared" si="588"/>
        <v/>
      </c>
      <c r="E56" s="580" t="str">
        <f t="shared" ref="E56:K56" si="589">R211</f>
        <v/>
      </c>
      <c r="F56" s="572" t="str">
        <f t="shared" si="589"/>
        <v/>
      </c>
      <c r="G56" s="579" t="str">
        <f t="shared" si="589"/>
        <v/>
      </c>
      <c r="H56" s="580" t="str">
        <f t="shared" si="589"/>
        <v/>
      </c>
      <c r="I56" s="572" t="str">
        <f t="shared" si="589"/>
        <v/>
      </c>
      <c r="J56" s="483" t="str">
        <f t="shared" si="92"/>
        <v/>
      </c>
      <c r="K56" s="805" t="str">
        <f t="shared" si="589"/>
        <v/>
      </c>
      <c r="L56" s="309"/>
      <c r="M56" s="164" t="str">
        <f t="shared" si="311"/>
        <v/>
      </c>
      <c r="N56" s="575" t="str">
        <f t="shared" si="312"/>
        <v/>
      </c>
      <c r="O56" s="572" t="str">
        <f t="shared" si="313"/>
        <v/>
      </c>
      <c r="P56" s="576" t="str">
        <f t="shared" si="314"/>
        <v/>
      </c>
      <c r="Q56" s="528" t="str">
        <f t="shared" si="134"/>
        <v/>
      </c>
      <c r="R56" s="572" t="str">
        <f t="shared" si="533"/>
        <v/>
      </c>
      <c r="S56" s="577" t="str">
        <f t="shared" si="534"/>
        <v/>
      </c>
      <c r="T56" s="578" t="str">
        <f t="shared" si="535"/>
        <v/>
      </c>
      <c r="U56" s="572" t="str">
        <f t="shared" si="536"/>
        <v/>
      </c>
      <c r="V56" s="579" t="str">
        <f t="shared" si="537"/>
        <v/>
      </c>
      <c r="W56" s="528" t="str">
        <f t="shared" si="256"/>
        <v/>
      </c>
      <c r="X56" s="572" t="str">
        <f t="shared" si="538"/>
        <v/>
      </c>
      <c r="Y56" s="573" t="str">
        <f t="shared" si="259"/>
        <v/>
      </c>
      <c r="Z56" s="575" t="str">
        <f t="shared" si="315"/>
        <v/>
      </c>
      <c r="AA56" s="572" t="str">
        <f t="shared" si="316"/>
        <v/>
      </c>
      <c r="AB56" s="572" t="str">
        <f t="shared" si="317"/>
        <v/>
      </c>
      <c r="AC56" s="579" t="str">
        <f t="shared" si="539"/>
        <v/>
      </c>
      <c r="AD56" s="580" t="str">
        <f t="shared" si="540"/>
        <v/>
      </c>
      <c r="AE56" s="572" t="str">
        <f t="shared" si="541"/>
        <v/>
      </c>
      <c r="AF56" s="576" t="str">
        <f t="shared" si="542"/>
        <v/>
      </c>
      <c r="AG56" s="545" t="str">
        <f t="shared" si="543"/>
        <v/>
      </c>
      <c r="AH56" s="546" t="str">
        <f t="shared" si="544"/>
        <v/>
      </c>
      <c r="AI56" s="528" t="str">
        <f t="shared" si="545"/>
        <v/>
      </c>
      <c r="AJ56" s="529" t="str">
        <f t="shared" si="546"/>
        <v/>
      </c>
      <c r="AK56" s="578" t="str">
        <f t="shared" si="547"/>
        <v/>
      </c>
      <c r="AL56" s="572" t="str">
        <f t="shared" si="548"/>
        <v/>
      </c>
      <c r="AM56" s="577" t="str">
        <f t="shared" si="549"/>
        <v/>
      </c>
      <c r="AN56" s="524" t="str">
        <f t="shared" si="550"/>
        <v/>
      </c>
      <c r="AO56" s="525" t="str">
        <f t="shared" ref="AO56:AO119" si="590">IF(ROUND(IF(M56="",0,DEGREES(ACOS(AK56))),4)=90,0,IF(M56="","",DEGREES(ACOS(AK56))))</f>
        <v/>
      </c>
      <c r="AP56" s="528" t="str">
        <f t="shared" si="551"/>
        <v/>
      </c>
      <c r="AQ56" s="529" t="str">
        <f t="shared" si="318"/>
        <v/>
      </c>
      <c r="AS56" s="899" t="str">
        <f t="shared" si="510"/>
        <v/>
      </c>
      <c r="AT56" s="895" t="str">
        <f t="shared" si="319"/>
        <v/>
      </c>
      <c r="AU56" s="418"/>
      <c r="AV56" s="164" t="str">
        <f t="shared" si="320"/>
        <v/>
      </c>
      <c r="AW56" s="796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235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0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1"/>
        <v/>
      </c>
      <c r="BP56" s="5" t="str">
        <f t="shared" si="142"/>
        <v/>
      </c>
      <c r="BQ56" s="5" t="str">
        <f t="shared" si="143"/>
        <v/>
      </c>
      <c r="BR56" s="6" t="str">
        <f t="shared" si="144"/>
        <v/>
      </c>
      <c r="BS56" s="4" t="str">
        <f t="shared" si="554"/>
        <v/>
      </c>
      <c r="BT56" s="5" t="str">
        <f t="shared" si="554"/>
        <v/>
      </c>
      <c r="BU56" s="10" t="str">
        <f t="shared" si="111"/>
        <v/>
      </c>
      <c r="BV56" s="9" t="str">
        <f t="shared" si="112"/>
        <v/>
      </c>
      <c r="BW56" s="5" t="str">
        <f t="shared" si="113"/>
        <v/>
      </c>
      <c r="BX56" s="8" t="str">
        <f t="shared" si="114"/>
        <v/>
      </c>
      <c r="BY56" s="173" t="str">
        <f t="shared" si="115"/>
        <v/>
      </c>
      <c r="BZ56" s="5" t="str">
        <f t="shared" si="116"/>
        <v/>
      </c>
      <c r="CA56" s="6" t="str">
        <f t="shared" si="117"/>
        <v/>
      </c>
      <c r="CB56" s="4" t="str">
        <f t="shared" si="145"/>
        <v/>
      </c>
      <c r="CC56" s="5" t="str">
        <f t="shared" si="146"/>
        <v/>
      </c>
      <c r="CD56" s="5" t="str">
        <f t="shared" si="147"/>
        <v/>
      </c>
      <c r="CE56" s="6" t="str">
        <f t="shared" si="148"/>
        <v/>
      </c>
      <c r="CF56" s="4" t="str">
        <f t="shared" si="149"/>
        <v/>
      </c>
      <c r="CG56" s="5" t="str">
        <f t="shared" si="150"/>
        <v/>
      </c>
      <c r="CH56" s="5" t="str">
        <f t="shared" si="151"/>
        <v/>
      </c>
      <c r="CI56" s="4" t="str">
        <f t="shared" si="118"/>
        <v/>
      </c>
      <c r="CJ56" s="5" t="str">
        <f t="shared" si="119"/>
        <v/>
      </c>
      <c r="CK56" s="8" t="str">
        <f t="shared" si="120"/>
        <v/>
      </c>
      <c r="CL56" s="173" t="str">
        <f t="shared" si="121"/>
        <v/>
      </c>
      <c r="CM56" s="5" t="str">
        <f t="shared" si="122"/>
        <v/>
      </c>
      <c r="CN56" s="6" t="str">
        <f t="shared" si="123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2"/>
        <v/>
      </c>
      <c r="CS56" s="8" t="str">
        <f t="shared" si="153"/>
        <v/>
      </c>
      <c r="CT56" s="9" t="str">
        <f t="shared" si="154"/>
        <v/>
      </c>
      <c r="CU56" s="6" t="str">
        <f t="shared" si="155"/>
        <v/>
      </c>
      <c r="CV56" s="4" t="str">
        <f t="shared" si="238"/>
        <v/>
      </c>
      <c r="CW56" s="5" t="str">
        <f t="shared" si="156"/>
        <v/>
      </c>
      <c r="CX56" s="8" t="str">
        <f t="shared" si="157"/>
        <v/>
      </c>
      <c r="CY56" s="9" t="str">
        <f t="shared" si="158"/>
        <v/>
      </c>
      <c r="CZ56" s="5" t="str">
        <f t="shared" si="159"/>
        <v/>
      </c>
      <c r="DA56" s="6" t="str">
        <f t="shared" si="160"/>
        <v/>
      </c>
      <c r="DB56" s="4" t="str">
        <f t="shared" si="555"/>
        <v/>
      </c>
      <c r="DC56" s="5" t="str">
        <f t="shared" si="555"/>
        <v/>
      </c>
      <c r="DD56" s="10" t="str">
        <f t="shared" si="162"/>
        <v/>
      </c>
      <c r="DE56" s="9" t="str">
        <f t="shared" si="556"/>
        <v/>
      </c>
      <c r="DF56" s="5" t="str">
        <f t="shared" si="556"/>
        <v/>
      </c>
      <c r="DG56" s="10" t="str">
        <f t="shared" si="164"/>
        <v/>
      </c>
      <c r="DH56" s="70" t="str">
        <f t="shared" si="165"/>
        <v/>
      </c>
      <c r="DI56" s="4" t="str">
        <f t="shared" si="166"/>
        <v/>
      </c>
      <c r="DJ56" s="5" t="str">
        <f t="shared" si="167"/>
        <v/>
      </c>
      <c r="DK56" s="10" t="str">
        <f t="shared" si="168"/>
        <v/>
      </c>
      <c r="DL56" s="9" t="str">
        <f t="shared" si="169"/>
        <v/>
      </c>
      <c r="DM56" s="173" t="str">
        <f t="shared" si="170"/>
        <v/>
      </c>
      <c r="DN56" s="178" t="str">
        <f t="shared" si="171"/>
        <v/>
      </c>
      <c r="DO56" s="9" t="str">
        <f t="shared" si="172"/>
        <v/>
      </c>
      <c r="DP56" s="173" t="str">
        <f t="shared" si="173"/>
        <v/>
      </c>
      <c r="DQ56" s="11" t="str">
        <f t="shared" si="174"/>
        <v/>
      </c>
      <c r="DR56" s="173" t="str">
        <f t="shared" si="175"/>
        <v/>
      </c>
      <c r="DS56" s="5" t="str">
        <f t="shared" si="176"/>
        <v/>
      </c>
      <c r="DT56" s="5" t="str">
        <f t="shared" si="177"/>
        <v/>
      </c>
      <c r="DU56" s="5" t="str">
        <f t="shared" si="178"/>
        <v/>
      </c>
      <c r="DV56" s="5" t="str">
        <f t="shared" si="179"/>
        <v/>
      </c>
      <c r="DW56" s="5" t="str">
        <f t="shared" si="180"/>
        <v/>
      </c>
      <c r="DX56" s="167" t="str">
        <f t="shared" si="181"/>
        <v/>
      </c>
      <c r="DY56" s="9" t="str">
        <f t="shared" si="182"/>
        <v/>
      </c>
      <c r="DZ56" s="5" t="str">
        <f t="shared" si="183"/>
        <v/>
      </c>
      <c r="EA56" s="10" t="str">
        <f t="shared" si="184"/>
        <v/>
      </c>
      <c r="EB56" s="6" t="str">
        <f t="shared" si="185"/>
        <v/>
      </c>
      <c r="EC56" s="173" t="str">
        <f t="shared" si="186"/>
        <v/>
      </c>
      <c r="ED56" s="5" t="str">
        <f t="shared" si="187"/>
        <v/>
      </c>
      <c r="EE56" s="4" t="str">
        <f t="shared" si="188"/>
        <v/>
      </c>
      <c r="EF56" s="5" t="str">
        <f t="shared" si="189"/>
        <v/>
      </c>
      <c r="EG56" s="10" t="str">
        <f t="shared" si="190"/>
        <v/>
      </c>
      <c r="EH56" s="9" t="str">
        <f t="shared" si="191"/>
        <v/>
      </c>
      <c r="EI56" s="5" t="str">
        <f t="shared" si="192"/>
        <v/>
      </c>
      <c r="EJ56" s="6" t="str">
        <f t="shared" si="193"/>
        <v/>
      </c>
      <c r="EK56" s="236" t="str">
        <f t="shared" si="194"/>
        <v/>
      </c>
      <c r="EL56" s="238" t="str">
        <f t="shared" si="195"/>
        <v/>
      </c>
      <c r="EM56" s="4" t="str">
        <f t="shared" si="196"/>
        <v/>
      </c>
      <c r="EN56" s="5" t="str">
        <f t="shared" si="197"/>
        <v/>
      </c>
      <c r="EO56" s="10" t="str">
        <f t="shared" si="198"/>
        <v/>
      </c>
      <c r="EP56" s="9" t="str">
        <f t="shared" si="199"/>
        <v/>
      </c>
      <c r="EQ56" s="5" t="str">
        <f t="shared" si="200"/>
        <v/>
      </c>
      <c r="ER56" s="7" t="str">
        <f t="shared" si="201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2"/>
        <v/>
      </c>
      <c r="EZ56" s="51" t="str">
        <f t="shared" si="203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4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6"/>
        <v/>
      </c>
      <c r="FK56" s="4" t="str">
        <f t="shared" si="568"/>
        <v/>
      </c>
      <c r="FL56" s="5" t="str">
        <f t="shared" si="207"/>
        <v/>
      </c>
      <c r="FM56" s="8" t="str">
        <f t="shared" si="208"/>
        <v/>
      </c>
      <c r="FN56" s="9" t="str">
        <f t="shared" si="209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0"/>
        <v/>
      </c>
      <c r="FS56" s="9" t="str">
        <f t="shared" si="211"/>
        <v/>
      </c>
      <c r="FT56" s="6" t="str">
        <f t="shared" si="212"/>
        <v/>
      </c>
      <c r="FU56" s="4" t="str">
        <f t="shared" si="213"/>
        <v/>
      </c>
      <c r="FV56" s="5" t="str">
        <f t="shared" si="214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5"/>
        <v/>
      </c>
      <c r="GB56" s="4" t="str">
        <f t="shared" si="216"/>
        <v/>
      </c>
      <c r="GC56" s="5" t="str">
        <f t="shared" si="217"/>
        <v/>
      </c>
      <c r="GD56" s="10" t="str">
        <f t="shared" si="218"/>
        <v/>
      </c>
      <c r="GE56" s="311" t="str">
        <f t="shared" si="219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0"/>
        <v/>
      </c>
      <c r="GK56" s="174" t="str">
        <f t="shared" si="575"/>
        <v/>
      </c>
      <c r="GL56" s="174" t="str">
        <f t="shared" si="221"/>
        <v/>
      </c>
      <c r="GM56" s="177" t="str">
        <f t="shared" si="244"/>
        <v/>
      </c>
      <c r="GN56" s="280" t="str">
        <f t="shared" si="222"/>
        <v/>
      </c>
      <c r="GO56" s="4" t="str">
        <f t="shared" si="223"/>
        <v/>
      </c>
      <c r="GP56" s="8" t="str">
        <f t="shared" si="245"/>
        <v/>
      </c>
      <c r="GQ56" s="177" t="str">
        <f t="shared" si="224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5"/>
        <v/>
      </c>
      <c r="HC56" s="343" t="str">
        <f t="shared" si="226"/>
        <v/>
      </c>
      <c r="HD56" s="363" t="str">
        <f t="shared" si="227"/>
        <v/>
      </c>
      <c r="HE56" s="344" t="str">
        <f t="shared" si="584"/>
        <v/>
      </c>
      <c r="HF56" s="5" t="str">
        <f t="shared" si="585"/>
        <v/>
      </c>
      <c r="HG56" s="343" t="str">
        <f t="shared" si="228"/>
        <v/>
      </c>
      <c r="HH56" s="349" t="str">
        <f t="shared" si="229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34" t="str">
        <f t="shared" si="455"/>
        <v/>
      </c>
      <c r="HN56" s="935" t="str">
        <f t="shared" si="456"/>
        <v/>
      </c>
      <c r="HO56" s="936"/>
      <c r="HP56" s="937"/>
      <c r="HQ56" s="935" t="str">
        <f t="shared" si="457"/>
        <v/>
      </c>
      <c r="HR56" s="938" t="str">
        <f t="shared" si="458"/>
        <v/>
      </c>
      <c r="HS56" s="939" t="str">
        <f t="shared" si="507"/>
        <v/>
      </c>
      <c r="HT56" s="940" t="str">
        <f t="shared" si="459"/>
        <v/>
      </c>
      <c r="HU56" s="941" t="str">
        <f t="shared" si="460"/>
        <v/>
      </c>
      <c r="HV56" s="942" t="str">
        <f t="shared" si="461"/>
        <v/>
      </c>
      <c r="HW56" s="943" t="str">
        <f t="shared" si="462"/>
        <v/>
      </c>
      <c r="HX56" s="944" t="str">
        <f t="shared" si="463"/>
        <v/>
      </c>
      <c r="HY56" s="943" t="str">
        <f t="shared" si="464"/>
        <v/>
      </c>
      <c r="HZ56" s="945" t="str">
        <f t="shared" si="465"/>
        <v/>
      </c>
      <c r="IA56" s="946" t="str">
        <f t="shared" si="466"/>
        <v/>
      </c>
      <c r="IB56" s="947" t="str">
        <f t="shared" si="467"/>
        <v/>
      </c>
      <c r="IC56" s="841" t="str">
        <f t="shared" si="468"/>
        <v/>
      </c>
      <c r="ID56" s="351" t="str">
        <f t="shared" si="469"/>
        <v/>
      </c>
      <c r="IE56" s="843" t="str">
        <f t="shared" si="470"/>
        <v/>
      </c>
      <c r="IF56" s="844"/>
      <c r="IG56" s="789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7" t="str">
        <f t="shared" si="230"/>
        <v/>
      </c>
      <c r="IJ56" s="967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71"/>
        <v/>
      </c>
      <c r="IM56" s="482" t="str">
        <f t="shared" si="231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 t="str">
        <f t="shared" si="308"/>
        <v/>
      </c>
      <c r="B57" s="578" t="str">
        <f t="shared" ref="B57:D57" si="591">IFERROR(O212+($A57*-E57),"")</f>
        <v/>
      </c>
      <c r="C57" s="572" t="str">
        <f t="shared" si="591"/>
        <v/>
      </c>
      <c r="D57" s="576" t="str">
        <f t="shared" si="591"/>
        <v/>
      </c>
      <c r="E57" s="580" t="str">
        <f t="shared" ref="E57:K57" si="592">R212</f>
        <v/>
      </c>
      <c r="F57" s="572" t="str">
        <f t="shared" si="592"/>
        <v/>
      </c>
      <c r="G57" s="579" t="str">
        <f t="shared" si="592"/>
        <v/>
      </c>
      <c r="H57" s="580" t="str">
        <f t="shared" si="592"/>
        <v/>
      </c>
      <c r="I57" s="572" t="str">
        <f t="shared" si="592"/>
        <v/>
      </c>
      <c r="J57" s="483" t="str">
        <f t="shared" si="92"/>
        <v/>
      </c>
      <c r="K57" s="805" t="str">
        <f t="shared" si="592"/>
        <v/>
      </c>
      <c r="L57" s="309"/>
      <c r="M57" s="164" t="str">
        <f t="shared" si="311"/>
        <v/>
      </c>
      <c r="N57" s="575" t="str">
        <f t="shared" si="312"/>
        <v/>
      </c>
      <c r="O57" s="572" t="str">
        <f t="shared" si="313"/>
        <v/>
      </c>
      <c r="P57" s="576" t="str">
        <f t="shared" si="314"/>
        <v/>
      </c>
      <c r="Q57" s="528" t="str">
        <f t="shared" si="134"/>
        <v/>
      </c>
      <c r="R57" s="572" t="str">
        <f t="shared" si="533"/>
        <v/>
      </c>
      <c r="S57" s="577" t="str">
        <f t="shared" si="534"/>
        <v/>
      </c>
      <c r="T57" s="578" t="str">
        <f t="shared" si="535"/>
        <v/>
      </c>
      <c r="U57" s="572" t="str">
        <f t="shared" si="536"/>
        <v/>
      </c>
      <c r="V57" s="579" t="str">
        <f t="shared" si="537"/>
        <v/>
      </c>
      <c r="W57" s="528" t="str">
        <f t="shared" si="256"/>
        <v/>
      </c>
      <c r="X57" s="572" t="str">
        <f t="shared" si="538"/>
        <v/>
      </c>
      <c r="Y57" s="573" t="str">
        <f t="shared" si="259"/>
        <v/>
      </c>
      <c r="Z57" s="575" t="str">
        <f t="shared" si="315"/>
        <v/>
      </c>
      <c r="AA57" s="572" t="str">
        <f t="shared" si="316"/>
        <v/>
      </c>
      <c r="AB57" s="572" t="str">
        <f t="shared" si="317"/>
        <v/>
      </c>
      <c r="AC57" s="579" t="str">
        <f t="shared" si="539"/>
        <v/>
      </c>
      <c r="AD57" s="580" t="str">
        <f t="shared" si="540"/>
        <v/>
      </c>
      <c r="AE57" s="572" t="str">
        <f t="shared" si="541"/>
        <v/>
      </c>
      <c r="AF57" s="576" t="str">
        <f t="shared" si="542"/>
        <v/>
      </c>
      <c r="AG57" s="545" t="str">
        <f t="shared" si="543"/>
        <v/>
      </c>
      <c r="AH57" s="546" t="str">
        <f t="shared" si="544"/>
        <v/>
      </c>
      <c r="AI57" s="528" t="str">
        <f t="shared" si="545"/>
        <v/>
      </c>
      <c r="AJ57" s="529" t="str">
        <f t="shared" si="546"/>
        <v/>
      </c>
      <c r="AK57" s="578" t="str">
        <f t="shared" si="547"/>
        <v/>
      </c>
      <c r="AL57" s="572" t="str">
        <f t="shared" si="548"/>
        <v/>
      </c>
      <c r="AM57" s="577" t="str">
        <f t="shared" si="549"/>
        <v/>
      </c>
      <c r="AN57" s="524" t="str">
        <f t="shared" si="550"/>
        <v/>
      </c>
      <c r="AO57" s="525" t="str">
        <f t="shared" si="590"/>
        <v/>
      </c>
      <c r="AP57" s="528" t="str">
        <f t="shared" si="551"/>
        <v/>
      </c>
      <c r="AQ57" s="529" t="str">
        <f t="shared" si="318"/>
        <v/>
      </c>
      <c r="AS57" s="899" t="str">
        <f t="shared" si="510"/>
        <v/>
      </c>
      <c r="AT57" s="895" t="str">
        <f t="shared" si="319"/>
        <v/>
      </c>
      <c r="AU57" s="418"/>
      <c r="AV57" s="164" t="str">
        <f t="shared" si="320"/>
        <v/>
      </c>
      <c r="AW57" s="796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235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0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1"/>
        <v/>
      </c>
      <c r="BP57" s="5" t="str">
        <f t="shared" si="142"/>
        <v/>
      </c>
      <c r="BQ57" s="5" t="str">
        <f t="shared" si="143"/>
        <v/>
      </c>
      <c r="BR57" s="6" t="str">
        <f t="shared" si="144"/>
        <v/>
      </c>
      <c r="BS57" s="4" t="str">
        <f t="shared" si="554"/>
        <v/>
      </c>
      <c r="BT57" s="5" t="str">
        <f t="shared" si="554"/>
        <v/>
      </c>
      <c r="BU57" s="10" t="str">
        <f t="shared" si="111"/>
        <v/>
      </c>
      <c r="BV57" s="9" t="str">
        <f t="shared" si="112"/>
        <v/>
      </c>
      <c r="BW57" s="5" t="str">
        <f t="shared" si="113"/>
        <v/>
      </c>
      <c r="BX57" s="8" t="str">
        <f t="shared" si="114"/>
        <v/>
      </c>
      <c r="BY57" s="173" t="str">
        <f t="shared" si="115"/>
        <v/>
      </c>
      <c r="BZ57" s="5" t="str">
        <f t="shared" si="116"/>
        <v/>
      </c>
      <c r="CA57" s="6" t="str">
        <f t="shared" si="117"/>
        <v/>
      </c>
      <c r="CB57" s="4" t="str">
        <f t="shared" si="145"/>
        <v/>
      </c>
      <c r="CC57" s="5" t="str">
        <f t="shared" si="146"/>
        <v/>
      </c>
      <c r="CD57" s="5" t="str">
        <f t="shared" si="147"/>
        <v/>
      </c>
      <c r="CE57" s="6" t="str">
        <f t="shared" si="148"/>
        <v/>
      </c>
      <c r="CF57" s="4" t="str">
        <f t="shared" si="149"/>
        <v/>
      </c>
      <c r="CG57" s="5" t="str">
        <f t="shared" si="150"/>
        <v/>
      </c>
      <c r="CH57" s="5" t="str">
        <f t="shared" si="151"/>
        <v/>
      </c>
      <c r="CI57" s="4" t="str">
        <f t="shared" si="118"/>
        <v/>
      </c>
      <c r="CJ57" s="5" t="str">
        <f t="shared" si="119"/>
        <v/>
      </c>
      <c r="CK57" s="8" t="str">
        <f t="shared" si="120"/>
        <v/>
      </c>
      <c r="CL57" s="173" t="str">
        <f t="shared" si="121"/>
        <v/>
      </c>
      <c r="CM57" s="5" t="str">
        <f t="shared" si="122"/>
        <v/>
      </c>
      <c r="CN57" s="6" t="str">
        <f t="shared" si="123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2"/>
        <v/>
      </c>
      <c r="CS57" s="8" t="str">
        <f t="shared" si="153"/>
        <v/>
      </c>
      <c r="CT57" s="9" t="str">
        <f t="shared" si="154"/>
        <v/>
      </c>
      <c r="CU57" s="6" t="str">
        <f t="shared" si="155"/>
        <v/>
      </c>
      <c r="CV57" s="4" t="str">
        <f t="shared" si="238"/>
        <v/>
      </c>
      <c r="CW57" s="5" t="str">
        <f t="shared" si="156"/>
        <v/>
      </c>
      <c r="CX57" s="8" t="str">
        <f t="shared" si="157"/>
        <v/>
      </c>
      <c r="CY57" s="9" t="str">
        <f t="shared" si="158"/>
        <v/>
      </c>
      <c r="CZ57" s="5" t="str">
        <f t="shared" si="159"/>
        <v/>
      </c>
      <c r="DA57" s="6" t="str">
        <f t="shared" si="160"/>
        <v/>
      </c>
      <c r="DB57" s="4" t="str">
        <f t="shared" si="555"/>
        <v/>
      </c>
      <c r="DC57" s="5" t="str">
        <f t="shared" si="555"/>
        <v/>
      </c>
      <c r="DD57" s="10" t="str">
        <f t="shared" si="162"/>
        <v/>
      </c>
      <c r="DE57" s="9" t="str">
        <f t="shared" si="556"/>
        <v/>
      </c>
      <c r="DF57" s="5" t="str">
        <f t="shared" si="556"/>
        <v/>
      </c>
      <c r="DG57" s="10" t="str">
        <f t="shared" si="164"/>
        <v/>
      </c>
      <c r="DH57" s="70" t="str">
        <f t="shared" si="165"/>
        <v/>
      </c>
      <c r="DI57" s="4" t="str">
        <f t="shared" si="166"/>
        <v/>
      </c>
      <c r="DJ57" s="5" t="str">
        <f t="shared" si="167"/>
        <v/>
      </c>
      <c r="DK57" s="10" t="str">
        <f t="shared" si="168"/>
        <v/>
      </c>
      <c r="DL57" s="9" t="str">
        <f t="shared" si="169"/>
        <v/>
      </c>
      <c r="DM57" s="173" t="str">
        <f t="shared" si="170"/>
        <v/>
      </c>
      <c r="DN57" s="178" t="str">
        <f t="shared" si="171"/>
        <v/>
      </c>
      <c r="DO57" s="9" t="str">
        <f t="shared" si="172"/>
        <v/>
      </c>
      <c r="DP57" s="173" t="str">
        <f t="shared" si="173"/>
        <v/>
      </c>
      <c r="DQ57" s="11" t="str">
        <f t="shared" si="174"/>
        <v/>
      </c>
      <c r="DR57" s="173" t="str">
        <f t="shared" si="175"/>
        <v/>
      </c>
      <c r="DS57" s="5" t="str">
        <f t="shared" si="176"/>
        <v/>
      </c>
      <c r="DT57" s="5" t="str">
        <f t="shared" si="177"/>
        <v/>
      </c>
      <c r="DU57" s="5" t="str">
        <f t="shared" si="178"/>
        <v/>
      </c>
      <c r="DV57" s="5" t="str">
        <f t="shared" si="179"/>
        <v/>
      </c>
      <c r="DW57" s="5" t="str">
        <f t="shared" si="180"/>
        <v/>
      </c>
      <c r="DX57" s="167" t="str">
        <f t="shared" si="181"/>
        <v/>
      </c>
      <c r="DY57" s="9" t="str">
        <f t="shared" si="182"/>
        <v/>
      </c>
      <c r="DZ57" s="5" t="str">
        <f t="shared" si="183"/>
        <v/>
      </c>
      <c r="EA57" s="10" t="str">
        <f t="shared" si="184"/>
        <v/>
      </c>
      <c r="EB57" s="6" t="str">
        <f t="shared" si="185"/>
        <v/>
      </c>
      <c r="EC57" s="173" t="str">
        <f t="shared" si="186"/>
        <v/>
      </c>
      <c r="ED57" s="5" t="str">
        <f t="shared" si="187"/>
        <v/>
      </c>
      <c r="EE57" s="4" t="str">
        <f t="shared" si="188"/>
        <v/>
      </c>
      <c r="EF57" s="5" t="str">
        <f t="shared" si="189"/>
        <v/>
      </c>
      <c r="EG57" s="10" t="str">
        <f t="shared" si="190"/>
        <v/>
      </c>
      <c r="EH57" s="9" t="str">
        <f t="shared" si="191"/>
        <v/>
      </c>
      <c r="EI57" s="5" t="str">
        <f t="shared" si="192"/>
        <v/>
      </c>
      <c r="EJ57" s="6" t="str">
        <f t="shared" si="193"/>
        <v/>
      </c>
      <c r="EK57" s="236" t="str">
        <f t="shared" si="194"/>
        <v/>
      </c>
      <c r="EL57" s="238" t="str">
        <f t="shared" si="195"/>
        <v/>
      </c>
      <c r="EM57" s="4" t="str">
        <f t="shared" si="196"/>
        <v/>
      </c>
      <c r="EN57" s="5" t="str">
        <f t="shared" si="197"/>
        <v/>
      </c>
      <c r="EO57" s="10" t="str">
        <f t="shared" si="198"/>
        <v/>
      </c>
      <c r="EP57" s="9" t="str">
        <f t="shared" si="199"/>
        <v/>
      </c>
      <c r="EQ57" s="5" t="str">
        <f t="shared" si="200"/>
        <v/>
      </c>
      <c r="ER57" s="7" t="str">
        <f t="shared" si="201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2"/>
        <v/>
      </c>
      <c r="EZ57" s="51" t="str">
        <f t="shared" si="203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4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6"/>
        <v/>
      </c>
      <c r="FK57" s="4" t="str">
        <f t="shared" si="568"/>
        <v/>
      </c>
      <c r="FL57" s="5" t="str">
        <f t="shared" si="207"/>
        <v/>
      </c>
      <c r="FM57" s="8" t="str">
        <f t="shared" si="208"/>
        <v/>
      </c>
      <c r="FN57" s="9" t="str">
        <f t="shared" si="209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0"/>
        <v/>
      </c>
      <c r="FS57" s="9" t="str">
        <f t="shared" si="211"/>
        <v/>
      </c>
      <c r="FT57" s="6" t="str">
        <f t="shared" si="212"/>
        <v/>
      </c>
      <c r="FU57" s="4" t="str">
        <f t="shared" si="213"/>
        <v/>
      </c>
      <c r="FV57" s="5" t="str">
        <f t="shared" si="214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5"/>
        <v/>
      </c>
      <c r="GB57" s="4" t="str">
        <f t="shared" si="216"/>
        <v/>
      </c>
      <c r="GC57" s="5" t="str">
        <f t="shared" si="217"/>
        <v/>
      </c>
      <c r="GD57" s="10" t="str">
        <f t="shared" si="218"/>
        <v/>
      </c>
      <c r="GE57" s="311" t="str">
        <f t="shared" si="219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0"/>
        <v/>
      </c>
      <c r="GK57" s="174" t="str">
        <f t="shared" si="575"/>
        <v/>
      </c>
      <c r="GL57" s="174" t="str">
        <f t="shared" si="221"/>
        <v/>
      </c>
      <c r="GM57" s="177" t="str">
        <f t="shared" si="244"/>
        <v/>
      </c>
      <c r="GN57" s="280" t="str">
        <f t="shared" si="222"/>
        <v/>
      </c>
      <c r="GO57" s="4" t="str">
        <f t="shared" si="223"/>
        <v/>
      </c>
      <c r="GP57" s="8" t="str">
        <f t="shared" si="245"/>
        <v/>
      </c>
      <c r="GQ57" s="177" t="str">
        <f t="shared" si="224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5"/>
        <v/>
      </c>
      <c r="HC57" s="343" t="str">
        <f t="shared" si="226"/>
        <v/>
      </c>
      <c r="HD57" s="363" t="str">
        <f t="shared" si="227"/>
        <v/>
      </c>
      <c r="HE57" s="344" t="str">
        <f t="shared" si="584"/>
        <v/>
      </c>
      <c r="HF57" s="5" t="str">
        <f t="shared" si="585"/>
        <v/>
      </c>
      <c r="HG57" s="343" t="str">
        <f t="shared" si="228"/>
        <v/>
      </c>
      <c r="HH57" s="349" t="str">
        <f t="shared" si="229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34" t="str">
        <f t="shared" si="455"/>
        <v/>
      </c>
      <c r="HN57" s="935" t="str">
        <f t="shared" si="456"/>
        <v/>
      </c>
      <c r="HO57" s="936"/>
      <c r="HP57" s="937"/>
      <c r="HQ57" s="935" t="str">
        <f t="shared" si="457"/>
        <v/>
      </c>
      <c r="HR57" s="938" t="str">
        <f t="shared" si="458"/>
        <v/>
      </c>
      <c r="HS57" s="939" t="str">
        <f t="shared" si="507"/>
        <v/>
      </c>
      <c r="HT57" s="940" t="str">
        <f t="shared" si="459"/>
        <v/>
      </c>
      <c r="HU57" s="941" t="str">
        <f t="shared" si="460"/>
        <v/>
      </c>
      <c r="HV57" s="942" t="str">
        <f t="shared" si="461"/>
        <v/>
      </c>
      <c r="HW57" s="943" t="str">
        <f t="shared" si="462"/>
        <v/>
      </c>
      <c r="HX57" s="944" t="str">
        <f t="shared" si="463"/>
        <v/>
      </c>
      <c r="HY57" s="943" t="str">
        <f t="shared" si="464"/>
        <v/>
      </c>
      <c r="HZ57" s="945" t="str">
        <f t="shared" si="465"/>
        <v/>
      </c>
      <c r="IA57" s="946" t="str">
        <f t="shared" si="466"/>
        <v/>
      </c>
      <c r="IB57" s="947" t="str">
        <f t="shared" si="467"/>
        <v/>
      </c>
      <c r="IC57" s="841" t="str">
        <f t="shared" si="468"/>
        <v/>
      </c>
      <c r="ID57" s="351" t="str">
        <f t="shared" si="469"/>
        <v/>
      </c>
      <c r="IE57" s="843" t="str">
        <f t="shared" si="470"/>
        <v/>
      </c>
      <c r="IG57" s="789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7" t="str">
        <f t="shared" si="230"/>
        <v/>
      </c>
      <c r="IJ57" s="967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71"/>
        <v/>
      </c>
      <c r="IM57" s="482" t="str">
        <f t="shared" si="231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 t="str">
        <f t="shared" si="308"/>
        <v/>
      </c>
      <c r="B58" s="578" t="str">
        <f t="shared" ref="B58:D58" si="593">IFERROR(O213+($A58*-E58),"")</f>
        <v/>
      </c>
      <c r="C58" s="572" t="str">
        <f t="shared" si="593"/>
        <v/>
      </c>
      <c r="D58" s="576" t="str">
        <f t="shared" si="593"/>
        <v/>
      </c>
      <c r="E58" s="580" t="str">
        <f t="shared" ref="E58:K58" si="594">R213</f>
        <v/>
      </c>
      <c r="F58" s="572" t="str">
        <f t="shared" si="594"/>
        <v/>
      </c>
      <c r="G58" s="579" t="str">
        <f t="shared" si="594"/>
        <v/>
      </c>
      <c r="H58" s="580" t="str">
        <f t="shared" si="594"/>
        <v/>
      </c>
      <c r="I58" s="572" t="str">
        <f t="shared" si="594"/>
        <v/>
      </c>
      <c r="J58" s="483" t="str">
        <f t="shared" si="92"/>
        <v/>
      </c>
      <c r="K58" s="805" t="str">
        <f t="shared" si="594"/>
        <v/>
      </c>
      <c r="L58" s="309"/>
      <c r="M58" s="164" t="str">
        <f t="shared" si="311"/>
        <v/>
      </c>
      <c r="N58" s="575" t="str">
        <f t="shared" si="312"/>
        <v/>
      </c>
      <c r="O58" s="572" t="str">
        <f t="shared" si="313"/>
        <v/>
      </c>
      <c r="P58" s="576" t="str">
        <f t="shared" si="314"/>
        <v/>
      </c>
      <c r="Q58" s="528" t="str">
        <f t="shared" si="134"/>
        <v/>
      </c>
      <c r="R58" s="572" t="str">
        <f t="shared" si="533"/>
        <v/>
      </c>
      <c r="S58" s="577" t="str">
        <f t="shared" si="534"/>
        <v/>
      </c>
      <c r="T58" s="578" t="str">
        <f t="shared" si="535"/>
        <v/>
      </c>
      <c r="U58" s="572" t="str">
        <f t="shared" si="536"/>
        <v/>
      </c>
      <c r="V58" s="579" t="str">
        <f t="shared" si="537"/>
        <v/>
      </c>
      <c r="W58" s="528" t="str">
        <f t="shared" si="256"/>
        <v/>
      </c>
      <c r="X58" s="572" t="str">
        <f t="shared" si="538"/>
        <v/>
      </c>
      <c r="Y58" s="573" t="str">
        <f t="shared" si="259"/>
        <v/>
      </c>
      <c r="Z58" s="575" t="str">
        <f t="shared" si="315"/>
        <v/>
      </c>
      <c r="AA58" s="572" t="str">
        <f t="shared" si="316"/>
        <v/>
      </c>
      <c r="AB58" s="572" t="str">
        <f t="shared" si="317"/>
        <v/>
      </c>
      <c r="AC58" s="579" t="str">
        <f t="shared" si="539"/>
        <v/>
      </c>
      <c r="AD58" s="580" t="str">
        <f t="shared" si="540"/>
        <v/>
      </c>
      <c r="AE58" s="572" t="str">
        <f t="shared" si="541"/>
        <v/>
      </c>
      <c r="AF58" s="576" t="str">
        <f t="shared" si="542"/>
        <v/>
      </c>
      <c r="AG58" s="545" t="str">
        <f t="shared" si="543"/>
        <v/>
      </c>
      <c r="AH58" s="546" t="str">
        <f t="shared" si="544"/>
        <v/>
      </c>
      <c r="AI58" s="528" t="str">
        <f t="shared" si="545"/>
        <v/>
      </c>
      <c r="AJ58" s="529" t="str">
        <f t="shared" si="546"/>
        <v/>
      </c>
      <c r="AK58" s="578" t="str">
        <f t="shared" si="547"/>
        <v/>
      </c>
      <c r="AL58" s="572" t="str">
        <f t="shared" si="548"/>
        <v/>
      </c>
      <c r="AM58" s="577" t="str">
        <f t="shared" si="549"/>
        <v/>
      </c>
      <c r="AN58" s="524" t="str">
        <f t="shared" si="550"/>
        <v/>
      </c>
      <c r="AO58" s="525" t="str">
        <f t="shared" si="590"/>
        <v/>
      </c>
      <c r="AP58" s="528" t="str">
        <f t="shared" si="551"/>
        <v/>
      </c>
      <c r="AQ58" s="529" t="str">
        <f t="shared" si="318"/>
        <v/>
      </c>
      <c r="AS58" s="899" t="str">
        <f t="shared" si="510"/>
        <v/>
      </c>
      <c r="AT58" s="895" t="str">
        <f t="shared" si="319"/>
        <v/>
      </c>
      <c r="AU58" s="418"/>
      <c r="AV58" s="164" t="str">
        <f t="shared" si="320"/>
        <v/>
      </c>
      <c r="AW58" s="796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8"/>
        <v/>
      </c>
      <c r="BA58" s="296" t="str">
        <f t="shared" si="322"/>
        <v/>
      </c>
      <c r="BB58" s="177" t="str">
        <f t="shared" si="139"/>
        <v/>
      </c>
      <c r="BC58" s="9"/>
      <c r="BD58" s="5" t="str">
        <f t="shared" si="235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0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1"/>
        <v/>
      </c>
      <c r="BP58" s="5" t="str">
        <f t="shared" si="142"/>
        <v/>
      </c>
      <c r="BQ58" s="5" t="str">
        <f t="shared" si="143"/>
        <v/>
      </c>
      <c r="BR58" s="6" t="str">
        <f t="shared" si="144"/>
        <v/>
      </c>
      <c r="BS58" s="4" t="str">
        <f t="shared" si="554"/>
        <v/>
      </c>
      <c r="BT58" s="5" t="str">
        <f t="shared" si="554"/>
        <v/>
      </c>
      <c r="BU58" s="10" t="str">
        <f t="shared" si="111"/>
        <v/>
      </c>
      <c r="BV58" s="9" t="str">
        <f t="shared" si="112"/>
        <v/>
      </c>
      <c r="BW58" s="5" t="str">
        <f t="shared" si="113"/>
        <v/>
      </c>
      <c r="BX58" s="8" t="str">
        <f t="shared" si="114"/>
        <v/>
      </c>
      <c r="BY58" s="173" t="str">
        <f t="shared" si="115"/>
        <v/>
      </c>
      <c r="BZ58" s="5" t="str">
        <f t="shared" si="116"/>
        <v/>
      </c>
      <c r="CA58" s="6" t="str">
        <f t="shared" si="117"/>
        <v/>
      </c>
      <c r="CB58" s="4" t="str">
        <f t="shared" si="145"/>
        <v/>
      </c>
      <c r="CC58" s="5" t="str">
        <f t="shared" si="146"/>
        <v/>
      </c>
      <c r="CD58" s="5" t="str">
        <f t="shared" si="147"/>
        <v/>
      </c>
      <c r="CE58" s="6" t="str">
        <f t="shared" si="148"/>
        <v/>
      </c>
      <c r="CF58" s="4" t="str">
        <f t="shared" si="149"/>
        <v/>
      </c>
      <c r="CG58" s="5" t="str">
        <f t="shared" si="150"/>
        <v/>
      </c>
      <c r="CH58" s="5" t="str">
        <f t="shared" si="151"/>
        <v/>
      </c>
      <c r="CI58" s="4" t="str">
        <f t="shared" si="118"/>
        <v/>
      </c>
      <c r="CJ58" s="5" t="str">
        <f t="shared" si="119"/>
        <v/>
      </c>
      <c r="CK58" s="8" t="str">
        <f t="shared" si="120"/>
        <v/>
      </c>
      <c r="CL58" s="173" t="str">
        <f t="shared" si="121"/>
        <v/>
      </c>
      <c r="CM58" s="5" t="str">
        <f t="shared" si="122"/>
        <v/>
      </c>
      <c r="CN58" s="6" t="str">
        <f t="shared" si="123"/>
        <v/>
      </c>
      <c r="CO58" s="167" t="str">
        <f t="shared" si="350"/>
        <v/>
      </c>
      <c r="CP58" s="4" t="str">
        <f t="shared" si="236"/>
        <v/>
      </c>
      <c r="CQ58" s="5" t="str">
        <f t="shared" si="237"/>
        <v/>
      </c>
      <c r="CR58" s="5" t="str">
        <f t="shared" si="152"/>
        <v/>
      </c>
      <c r="CS58" s="8" t="str">
        <f t="shared" si="153"/>
        <v/>
      </c>
      <c r="CT58" s="9" t="str">
        <f t="shared" si="154"/>
        <v/>
      </c>
      <c r="CU58" s="6" t="str">
        <f t="shared" si="155"/>
        <v/>
      </c>
      <c r="CV58" s="4" t="str">
        <f t="shared" si="238"/>
        <v/>
      </c>
      <c r="CW58" s="5" t="str">
        <f t="shared" si="156"/>
        <v/>
      </c>
      <c r="CX58" s="8" t="str">
        <f t="shared" si="157"/>
        <v/>
      </c>
      <c r="CY58" s="9" t="str">
        <f t="shared" si="158"/>
        <v/>
      </c>
      <c r="CZ58" s="5" t="str">
        <f t="shared" si="159"/>
        <v/>
      </c>
      <c r="DA58" s="6" t="str">
        <f t="shared" si="160"/>
        <v/>
      </c>
      <c r="DB58" s="4" t="str">
        <f t="shared" si="555"/>
        <v/>
      </c>
      <c r="DC58" s="5" t="str">
        <f t="shared" si="555"/>
        <v/>
      </c>
      <c r="DD58" s="10" t="str">
        <f t="shared" si="162"/>
        <v/>
      </c>
      <c r="DE58" s="9" t="str">
        <f t="shared" si="556"/>
        <v/>
      </c>
      <c r="DF58" s="5" t="str">
        <f t="shared" si="556"/>
        <v/>
      </c>
      <c r="DG58" s="10" t="str">
        <f t="shared" si="164"/>
        <v/>
      </c>
      <c r="DH58" s="70" t="str">
        <f t="shared" si="165"/>
        <v/>
      </c>
      <c r="DI58" s="4" t="str">
        <f t="shared" si="166"/>
        <v/>
      </c>
      <c r="DJ58" s="5" t="str">
        <f t="shared" si="167"/>
        <v/>
      </c>
      <c r="DK58" s="10" t="str">
        <f t="shared" si="168"/>
        <v/>
      </c>
      <c r="DL58" s="9" t="str">
        <f t="shared" si="169"/>
        <v/>
      </c>
      <c r="DM58" s="173" t="str">
        <f t="shared" si="170"/>
        <v/>
      </c>
      <c r="DN58" s="178" t="str">
        <f t="shared" si="171"/>
        <v/>
      </c>
      <c r="DO58" s="9" t="str">
        <f t="shared" si="172"/>
        <v/>
      </c>
      <c r="DP58" s="173" t="str">
        <f t="shared" si="173"/>
        <v/>
      </c>
      <c r="DQ58" s="11" t="str">
        <f t="shared" si="174"/>
        <v/>
      </c>
      <c r="DR58" s="173" t="str">
        <f t="shared" si="175"/>
        <v/>
      </c>
      <c r="DS58" s="5" t="str">
        <f t="shared" si="176"/>
        <v/>
      </c>
      <c r="DT58" s="5" t="str">
        <f t="shared" si="177"/>
        <v/>
      </c>
      <c r="DU58" s="5" t="str">
        <f t="shared" si="178"/>
        <v/>
      </c>
      <c r="DV58" s="5" t="str">
        <f t="shared" si="179"/>
        <v/>
      </c>
      <c r="DW58" s="5" t="str">
        <f t="shared" si="180"/>
        <v/>
      </c>
      <c r="DX58" s="167" t="str">
        <f t="shared" si="181"/>
        <v/>
      </c>
      <c r="DY58" s="9" t="str">
        <f t="shared" si="182"/>
        <v/>
      </c>
      <c r="DZ58" s="5" t="str">
        <f t="shared" si="183"/>
        <v/>
      </c>
      <c r="EA58" s="10" t="str">
        <f t="shared" si="184"/>
        <v/>
      </c>
      <c r="EB58" s="6" t="str">
        <f t="shared" si="185"/>
        <v/>
      </c>
      <c r="EC58" s="173" t="str">
        <f t="shared" si="186"/>
        <v/>
      </c>
      <c r="ED58" s="5" t="str">
        <f t="shared" si="187"/>
        <v/>
      </c>
      <c r="EE58" s="4" t="str">
        <f t="shared" si="188"/>
        <v/>
      </c>
      <c r="EF58" s="5" t="str">
        <f t="shared" si="189"/>
        <v/>
      </c>
      <c r="EG58" s="10" t="str">
        <f t="shared" si="190"/>
        <v/>
      </c>
      <c r="EH58" s="9" t="str">
        <f t="shared" si="191"/>
        <v/>
      </c>
      <c r="EI58" s="5" t="str">
        <f t="shared" si="192"/>
        <v/>
      </c>
      <c r="EJ58" s="6" t="str">
        <f t="shared" si="193"/>
        <v/>
      </c>
      <c r="EK58" s="236" t="str">
        <f t="shared" si="194"/>
        <v/>
      </c>
      <c r="EL58" s="238" t="str">
        <f t="shared" si="195"/>
        <v/>
      </c>
      <c r="EM58" s="4" t="str">
        <f t="shared" si="196"/>
        <v/>
      </c>
      <c r="EN58" s="5" t="str">
        <f t="shared" si="197"/>
        <v/>
      </c>
      <c r="EO58" s="10" t="str">
        <f t="shared" si="198"/>
        <v/>
      </c>
      <c r="EP58" s="9" t="str">
        <f t="shared" si="199"/>
        <v/>
      </c>
      <c r="EQ58" s="5" t="str">
        <f t="shared" si="200"/>
        <v/>
      </c>
      <c r="ER58" s="7" t="str">
        <f t="shared" si="201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2"/>
        <v/>
      </c>
      <c r="EZ58" s="51" t="str">
        <f t="shared" si="203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4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6"/>
        <v/>
      </c>
      <c r="FK58" s="4" t="str">
        <f t="shared" si="568"/>
        <v/>
      </c>
      <c r="FL58" s="5" t="str">
        <f t="shared" si="207"/>
        <v/>
      </c>
      <c r="FM58" s="8" t="str">
        <f t="shared" si="208"/>
        <v/>
      </c>
      <c r="FN58" s="9" t="str">
        <f t="shared" si="209"/>
        <v/>
      </c>
      <c r="FO58" s="10" t="str">
        <f t="shared" si="569"/>
        <v/>
      </c>
      <c r="FP58" s="277" t="str">
        <f t="shared" si="570"/>
        <v/>
      </c>
      <c r="FQ58" s="173" t="str">
        <f t="shared" si="239"/>
        <v/>
      </c>
      <c r="FR58" s="10" t="str">
        <f t="shared" si="210"/>
        <v/>
      </c>
      <c r="FS58" s="9" t="str">
        <f t="shared" si="211"/>
        <v/>
      </c>
      <c r="FT58" s="6" t="str">
        <f t="shared" si="212"/>
        <v/>
      </c>
      <c r="FU58" s="4" t="str">
        <f t="shared" si="213"/>
        <v/>
      </c>
      <c r="FV58" s="5" t="str">
        <f t="shared" si="214"/>
        <v/>
      </c>
      <c r="FW58" s="8" t="str">
        <f t="shared" si="240"/>
        <v/>
      </c>
      <c r="FX58" s="9" t="str">
        <f t="shared" si="241"/>
        <v/>
      </c>
      <c r="FY58" s="10" t="str">
        <f t="shared" si="571"/>
        <v/>
      </c>
      <c r="FZ58" s="277" t="str">
        <f t="shared" si="242"/>
        <v/>
      </c>
      <c r="GA58" s="177" t="str">
        <f t="shared" si="215"/>
        <v/>
      </c>
      <c r="GB58" s="4" t="str">
        <f t="shared" si="216"/>
        <v/>
      </c>
      <c r="GC58" s="5" t="str">
        <f t="shared" si="217"/>
        <v/>
      </c>
      <c r="GD58" s="10" t="str">
        <f t="shared" si="218"/>
        <v/>
      </c>
      <c r="GE58" s="311" t="str">
        <f t="shared" si="219"/>
        <v/>
      </c>
      <c r="GF58" s="341" t="str">
        <f t="shared" si="243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0"/>
        <v/>
      </c>
      <c r="GK58" s="174" t="str">
        <f t="shared" si="575"/>
        <v/>
      </c>
      <c r="GL58" s="174" t="str">
        <f t="shared" si="221"/>
        <v/>
      </c>
      <c r="GM58" s="177" t="str">
        <f t="shared" si="244"/>
        <v/>
      </c>
      <c r="GN58" s="280" t="str">
        <f t="shared" si="222"/>
        <v/>
      </c>
      <c r="GO58" s="4" t="str">
        <f t="shared" si="223"/>
        <v/>
      </c>
      <c r="GP58" s="8" t="str">
        <f t="shared" si="245"/>
        <v/>
      </c>
      <c r="GQ58" s="177" t="str">
        <f t="shared" si="224"/>
        <v/>
      </c>
      <c r="GR58" s="371" t="str">
        <f t="shared" si="246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3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5"/>
        <v/>
      </c>
      <c r="HC58" s="343" t="str">
        <f t="shared" si="226"/>
        <v/>
      </c>
      <c r="HD58" s="363" t="str">
        <f t="shared" si="227"/>
        <v/>
      </c>
      <c r="HE58" s="344" t="str">
        <f t="shared" si="584"/>
        <v/>
      </c>
      <c r="HF58" s="5" t="str">
        <f t="shared" si="585"/>
        <v/>
      </c>
      <c r="HG58" s="343" t="str">
        <f t="shared" si="228"/>
        <v/>
      </c>
      <c r="HH58" s="349" t="str">
        <f t="shared" si="229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34" t="str">
        <f t="shared" si="455"/>
        <v/>
      </c>
      <c r="HN58" s="935" t="str">
        <f t="shared" si="456"/>
        <v/>
      </c>
      <c r="HO58" s="936"/>
      <c r="HP58" s="937"/>
      <c r="HQ58" s="935" t="str">
        <f t="shared" si="457"/>
        <v/>
      </c>
      <c r="HR58" s="938" t="str">
        <f t="shared" si="458"/>
        <v/>
      </c>
      <c r="HS58" s="939" t="str">
        <f t="shared" si="507"/>
        <v/>
      </c>
      <c r="HT58" s="940" t="str">
        <f t="shared" si="459"/>
        <v/>
      </c>
      <c r="HU58" s="941" t="str">
        <f t="shared" si="460"/>
        <v/>
      </c>
      <c r="HV58" s="942" t="str">
        <f t="shared" si="461"/>
        <v/>
      </c>
      <c r="HW58" s="943" t="str">
        <f t="shared" si="462"/>
        <v/>
      </c>
      <c r="HX58" s="944" t="str">
        <f t="shared" si="463"/>
        <v/>
      </c>
      <c r="HY58" s="943" t="str">
        <f t="shared" si="464"/>
        <v/>
      </c>
      <c r="HZ58" s="945" t="str">
        <f t="shared" si="465"/>
        <v/>
      </c>
      <c r="IA58" s="946" t="str">
        <f t="shared" si="466"/>
        <v/>
      </c>
      <c r="IB58" s="947" t="str">
        <f t="shared" si="467"/>
        <v/>
      </c>
      <c r="IC58" s="841" t="str">
        <f t="shared" si="468"/>
        <v/>
      </c>
      <c r="ID58" s="351" t="str">
        <f t="shared" si="469"/>
        <v/>
      </c>
      <c r="IE58" s="843" t="str">
        <f t="shared" si="470"/>
        <v/>
      </c>
      <c r="IG58" s="789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7" t="str">
        <f t="shared" si="230"/>
        <v/>
      </c>
      <c r="IJ58" s="967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71"/>
        <v/>
      </c>
      <c r="IM58" s="482" t="str">
        <f t="shared" si="231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 t="str">
        <f t="shared" si="308"/>
        <v/>
      </c>
      <c r="B59" s="578" t="str">
        <f t="shared" ref="B59:D59" si="595">IFERROR(O214+($A59*-E59),"")</f>
        <v/>
      </c>
      <c r="C59" s="572" t="str">
        <f t="shared" si="595"/>
        <v/>
      </c>
      <c r="D59" s="576" t="str">
        <f t="shared" si="595"/>
        <v/>
      </c>
      <c r="E59" s="580" t="str">
        <f t="shared" ref="E59:K59" si="596">R214</f>
        <v/>
      </c>
      <c r="F59" s="572" t="str">
        <f t="shared" si="596"/>
        <v/>
      </c>
      <c r="G59" s="579" t="str">
        <f t="shared" si="596"/>
        <v/>
      </c>
      <c r="H59" s="580" t="str">
        <f t="shared" si="596"/>
        <v/>
      </c>
      <c r="I59" s="572" t="str">
        <f t="shared" si="596"/>
        <v/>
      </c>
      <c r="J59" s="483" t="str">
        <f t="shared" si="92"/>
        <v/>
      </c>
      <c r="K59" s="805" t="str">
        <f t="shared" si="596"/>
        <v/>
      </c>
      <c r="L59" s="309"/>
      <c r="M59" s="164" t="str">
        <f t="shared" si="311"/>
        <v/>
      </c>
      <c r="N59" s="575" t="str">
        <f t="shared" si="312"/>
        <v/>
      </c>
      <c r="O59" s="572" t="str">
        <f t="shared" si="313"/>
        <v/>
      </c>
      <c r="P59" s="576" t="str">
        <f t="shared" si="314"/>
        <v/>
      </c>
      <c r="Q59" s="528" t="str">
        <f t="shared" si="134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135"/>
        <v/>
      </c>
      <c r="W59" s="528" t="str">
        <f t="shared" si="256"/>
        <v/>
      </c>
      <c r="X59" s="572" t="str">
        <f t="shared" si="97"/>
        <v/>
      </c>
      <c r="Y59" s="573" t="str">
        <f t="shared" si="259"/>
        <v/>
      </c>
      <c r="Z59" s="575" t="str">
        <f t="shared" si="315"/>
        <v/>
      </c>
      <c r="AA59" s="572" t="str">
        <f t="shared" si="316"/>
        <v/>
      </c>
      <c r="AB59" s="572" t="str">
        <f t="shared" si="317"/>
        <v/>
      </c>
      <c r="AC59" s="579" t="str">
        <f t="shared" si="98"/>
        <v/>
      </c>
      <c r="AD59" s="580" t="str">
        <f t="shared" si="136"/>
        <v/>
      </c>
      <c r="AE59" s="572" t="str">
        <f t="shared" si="99"/>
        <v/>
      </c>
      <c r="AF59" s="576" t="str">
        <f t="shared" si="100"/>
        <v/>
      </c>
      <c r="AG59" s="545" t="str">
        <f t="shared" si="101"/>
        <v/>
      </c>
      <c r="AH59" s="546" t="str">
        <f t="shared" si="102"/>
        <v/>
      </c>
      <c r="AI59" s="528" t="str">
        <f t="shared" si="103"/>
        <v/>
      </c>
      <c r="AJ59" s="529" t="str">
        <f t="shared" si="104"/>
        <v/>
      </c>
      <c r="AK59" s="578" t="str">
        <f t="shared" si="234"/>
        <v/>
      </c>
      <c r="AL59" s="572" t="str">
        <f t="shared" si="105"/>
        <v/>
      </c>
      <c r="AM59" s="577" t="str">
        <f t="shared" si="106"/>
        <v/>
      </c>
      <c r="AN59" s="524" t="str">
        <f t="shared" si="107"/>
        <v/>
      </c>
      <c r="AO59" s="525" t="str">
        <f t="shared" si="590"/>
        <v/>
      </c>
      <c r="AP59" s="528" t="str">
        <f t="shared" si="109"/>
        <v/>
      </c>
      <c r="AQ59" s="529" t="str">
        <f t="shared" si="318"/>
        <v/>
      </c>
      <c r="AS59" s="899" t="str">
        <f t="shared" si="510"/>
        <v/>
      </c>
      <c r="AT59" s="895" t="str">
        <f t="shared" si="319"/>
        <v/>
      </c>
      <c r="AU59" s="418"/>
      <c r="AV59" s="164" t="str">
        <f t="shared" si="320"/>
        <v/>
      </c>
      <c r="AW59" s="796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235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0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1"/>
        <v/>
      </c>
      <c r="BP59" s="5" t="str">
        <f t="shared" si="142"/>
        <v/>
      </c>
      <c r="BQ59" s="5" t="str">
        <f t="shared" si="143"/>
        <v/>
      </c>
      <c r="BR59" s="6" t="str">
        <f t="shared" si="144"/>
        <v/>
      </c>
      <c r="BS59" s="4" t="str">
        <f t="shared" si="554"/>
        <v/>
      </c>
      <c r="BT59" s="5" t="str">
        <f t="shared" si="554"/>
        <v/>
      </c>
      <c r="BU59" s="10" t="str">
        <f t="shared" si="111"/>
        <v/>
      </c>
      <c r="BV59" s="9" t="str">
        <f t="shared" si="112"/>
        <v/>
      </c>
      <c r="BW59" s="5" t="str">
        <f t="shared" si="113"/>
        <v/>
      </c>
      <c r="BX59" s="8" t="str">
        <f t="shared" si="114"/>
        <v/>
      </c>
      <c r="BY59" s="173" t="str">
        <f t="shared" si="115"/>
        <v/>
      </c>
      <c r="BZ59" s="5" t="str">
        <f t="shared" si="116"/>
        <v/>
      </c>
      <c r="CA59" s="6" t="str">
        <f t="shared" si="117"/>
        <v/>
      </c>
      <c r="CB59" s="4" t="str">
        <f t="shared" si="145"/>
        <v/>
      </c>
      <c r="CC59" s="5" t="str">
        <f t="shared" si="146"/>
        <v/>
      </c>
      <c r="CD59" s="5" t="str">
        <f t="shared" si="147"/>
        <v/>
      </c>
      <c r="CE59" s="6" t="str">
        <f t="shared" si="148"/>
        <v/>
      </c>
      <c r="CF59" s="4" t="str">
        <f t="shared" si="149"/>
        <v/>
      </c>
      <c r="CG59" s="5" t="str">
        <f t="shared" si="150"/>
        <v/>
      </c>
      <c r="CH59" s="5" t="str">
        <f t="shared" si="151"/>
        <v/>
      </c>
      <c r="CI59" s="4" t="str">
        <f t="shared" si="118"/>
        <v/>
      </c>
      <c r="CJ59" s="5" t="str">
        <f t="shared" si="119"/>
        <v/>
      </c>
      <c r="CK59" s="8" t="str">
        <f t="shared" si="120"/>
        <v/>
      </c>
      <c r="CL59" s="173" t="str">
        <f t="shared" si="121"/>
        <v/>
      </c>
      <c r="CM59" s="5" t="str">
        <f t="shared" si="122"/>
        <v/>
      </c>
      <c r="CN59" s="6" t="str">
        <f t="shared" si="123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2"/>
        <v/>
      </c>
      <c r="CS59" s="8" t="str">
        <f t="shared" si="153"/>
        <v/>
      </c>
      <c r="CT59" s="9" t="str">
        <f t="shared" si="154"/>
        <v/>
      </c>
      <c r="CU59" s="6" t="str">
        <f t="shared" si="155"/>
        <v/>
      </c>
      <c r="CV59" s="4" t="str">
        <f t="shared" si="238"/>
        <v/>
      </c>
      <c r="CW59" s="5" t="str">
        <f t="shared" si="156"/>
        <v/>
      </c>
      <c r="CX59" s="8" t="str">
        <f t="shared" si="157"/>
        <v/>
      </c>
      <c r="CY59" s="9" t="str">
        <f t="shared" si="158"/>
        <v/>
      </c>
      <c r="CZ59" s="5" t="str">
        <f t="shared" si="159"/>
        <v/>
      </c>
      <c r="DA59" s="6" t="str">
        <f t="shared" si="160"/>
        <v/>
      </c>
      <c r="DB59" s="4" t="str">
        <f t="shared" si="555"/>
        <v/>
      </c>
      <c r="DC59" s="5" t="str">
        <f t="shared" si="555"/>
        <v/>
      </c>
      <c r="DD59" s="10" t="str">
        <f t="shared" si="162"/>
        <v/>
      </c>
      <c r="DE59" s="9" t="str">
        <f t="shared" si="556"/>
        <v/>
      </c>
      <c r="DF59" s="5" t="str">
        <f t="shared" si="556"/>
        <v/>
      </c>
      <c r="DG59" s="10" t="str">
        <f t="shared" si="164"/>
        <v/>
      </c>
      <c r="DH59" s="70" t="str">
        <f t="shared" si="165"/>
        <v/>
      </c>
      <c r="DI59" s="4" t="str">
        <f t="shared" si="166"/>
        <v/>
      </c>
      <c r="DJ59" s="5" t="str">
        <f t="shared" si="167"/>
        <v/>
      </c>
      <c r="DK59" s="10" t="str">
        <f t="shared" si="168"/>
        <v/>
      </c>
      <c r="DL59" s="9" t="str">
        <f t="shared" si="169"/>
        <v/>
      </c>
      <c r="DM59" s="173" t="str">
        <f t="shared" si="170"/>
        <v/>
      </c>
      <c r="DN59" s="178" t="str">
        <f t="shared" si="171"/>
        <v/>
      </c>
      <c r="DO59" s="9" t="str">
        <f t="shared" si="172"/>
        <v/>
      </c>
      <c r="DP59" s="173" t="str">
        <f t="shared" si="173"/>
        <v/>
      </c>
      <c r="DQ59" s="11" t="str">
        <f t="shared" si="174"/>
        <v/>
      </c>
      <c r="DR59" s="173" t="str">
        <f t="shared" si="175"/>
        <v/>
      </c>
      <c r="DS59" s="5" t="str">
        <f t="shared" si="176"/>
        <v/>
      </c>
      <c r="DT59" s="5" t="str">
        <f t="shared" si="177"/>
        <v/>
      </c>
      <c r="DU59" s="5" t="str">
        <f t="shared" si="178"/>
        <v/>
      </c>
      <c r="DV59" s="5" t="str">
        <f t="shared" si="179"/>
        <v/>
      </c>
      <c r="DW59" s="5" t="str">
        <f t="shared" si="180"/>
        <v/>
      </c>
      <c r="DX59" s="167" t="str">
        <f t="shared" si="181"/>
        <v/>
      </c>
      <c r="DY59" s="9" t="str">
        <f t="shared" si="182"/>
        <v/>
      </c>
      <c r="DZ59" s="5" t="str">
        <f t="shared" si="183"/>
        <v/>
      </c>
      <c r="EA59" s="10" t="str">
        <f t="shared" si="184"/>
        <v/>
      </c>
      <c r="EB59" s="6" t="str">
        <f t="shared" si="185"/>
        <v/>
      </c>
      <c r="EC59" s="173" t="str">
        <f t="shared" si="186"/>
        <v/>
      </c>
      <c r="ED59" s="5" t="str">
        <f t="shared" si="187"/>
        <v/>
      </c>
      <c r="EE59" s="4" t="str">
        <f t="shared" si="188"/>
        <v/>
      </c>
      <c r="EF59" s="5" t="str">
        <f t="shared" si="189"/>
        <v/>
      </c>
      <c r="EG59" s="10" t="str">
        <f t="shared" si="190"/>
        <v/>
      </c>
      <c r="EH59" s="9" t="str">
        <f t="shared" si="191"/>
        <v/>
      </c>
      <c r="EI59" s="5" t="str">
        <f t="shared" si="192"/>
        <v/>
      </c>
      <c r="EJ59" s="6" t="str">
        <f t="shared" si="193"/>
        <v/>
      </c>
      <c r="EK59" s="236" t="str">
        <f t="shared" si="194"/>
        <v/>
      </c>
      <c r="EL59" s="238" t="str">
        <f t="shared" si="195"/>
        <v/>
      </c>
      <c r="EM59" s="4" t="str">
        <f t="shared" si="196"/>
        <v/>
      </c>
      <c r="EN59" s="5" t="str">
        <f t="shared" si="197"/>
        <v/>
      </c>
      <c r="EO59" s="10" t="str">
        <f t="shared" si="198"/>
        <v/>
      </c>
      <c r="EP59" s="9" t="str">
        <f t="shared" si="199"/>
        <v/>
      </c>
      <c r="EQ59" s="5" t="str">
        <f t="shared" si="200"/>
        <v/>
      </c>
      <c r="ER59" s="7" t="str">
        <f t="shared" si="201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2"/>
        <v/>
      </c>
      <c r="EZ59" s="51" t="str">
        <f t="shared" si="203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4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6"/>
        <v/>
      </c>
      <c r="FK59" s="4" t="str">
        <f t="shared" si="568"/>
        <v/>
      </c>
      <c r="FL59" s="5" t="str">
        <f t="shared" si="207"/>
        <v/>
      </c>
      <c r="FM59" s="8" t="str">
        <f t="shared" si="208"/>
        <v/>
      </c>
      <c r="FN59" s="9" t="str">
        <f t="shared" si="209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0"/>
        <v/>
      </c>
      <c r="FS59" s="9" t="str">
        <f t="shared" si="211"/>
        <v/>
      </c>
      <c r="FT59" s="6" t="str">
        <f t="shared" si="212"/>
        <v/>
      </c>
      <c r="FU59" s="4" t="str">
        <f t="shared" si="213"/>
        <v/>
      </c>
      <c r="FV59" s="5" t="str">
        <f t="shared" si="214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5"/>
        <v/>
      </c>
      <c r="GB59" s="4" t="str">
        <f t="shared" si="216"/>
        <v/>
      </c>
      <c r="GC59" s="5" t="str">
        <f t="shared" si="217"/>
        <v/>
      </c>
      <c r="GD59" s="10" t="str">
        <f t="shared" si="218"/>
        <v/>
      </c>
      <c r="GE59" s="311" t="str">
        <f t="shared" si="219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0"/>
        <v/>
      </c>
      <c r="GK59" s="174" t="str">
        <f t="shared" si="575"/>
        <v/>
      </c>
      <c r="GL59" s="174" t="str">
        <f t="shared" si="221"/>
        <v/>
      </c>
      <c r="GM59" s="177" t="str">
        <f t="shared" si="244"/>
        <v/>
      </c>
      <c r="GN59" s="280" t="str">
        <f t="shared" si="222"/>
        <v/>
      </c>
      <c r="GO59" s="4" t="str">
        <f t="shared" si="223"/>
        <v/>
      </c>
      <c r="GP59" s="8" t="str">
        <f t="shared" si="245"/>
        <v/>
      </c>
      <c r="GQ59" s="177" t="str">
        <f t="shared" si="224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5"/>
        <v/>
      </c>
      <c r="HC59" s="343" t="str">
        <f t="shared" si="226"/>
        <v/>
      </c>
      <c r="HD59" s="363" t="str">
        <f t="shared" si="227"/>
        <v/>
      </c>
      <c r="HE59" s="344" t="str">
        <f t="shared" si="584"/>
        <v/>
      </c>
      <c r="HF59" s="5" t="str">
        <f t="shared" si="585"/>
        <v/>
      </c>
      <c r="HG59" s="343" t="str">
        <f t="shared" si="228"/>
        <v/>
      </c>
      <c r="HH59" s="349" t="str">
        <f t="shared" si="229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34" t="str">
        <f t="shared" si="455"/>
        <v/>
      </c>
      <c r="HN59" s="935" t="str">
        <f t="shared" si="456"/>
        <v/>
      </c>
      <c r="HO59" s="936"/>
      <c r="HP59" s="937"/>
      <c r="HQ59" s="935" t="str">
        <f t="shared" si="457"/>
        <v/>
      </c>
      <c r="HR59" s="938" t="str">
        <f t="shared" si="458"/>
        <v/>
      </c>
      <c r="HS59" s="939" t="str">
        <f t="shared" si="507"/>
        <v/>
      </c>
      <c r="HT59" s="940" t="str">
        <f t="shared" si="459"/>
        <v/>
      </c>
      <c r="HU59" s="941" t="str">
        <f t="shared" si="460"/>
        <v/>
      </c>
      <c r="HV59" s="942" t="str">
        <f t="shared" si="461"/>
        <v/>
      </c>
      <c r="HW59" s="943" t="str">
        <f t="shared" si="462"/>
        <v/>
      </c>
      <c r="HX59" s="944" t="str">
        <f t="shared" si="463"/>
        <v/>
      </c>
      <c r="HY59" s="943" t="str">
        <f t="shared" si="464"/>
        <v/>
      </c>
      <c r="HZ59" s="945" t="str">
        <f t="shared" si="465"/>
        <v/>
      </c>
      <c r="IA59" s="946" t="str">
        <f t="shared" si="466"/>
        <v/>
      </c>
      <c r="IB59" s="947" t="str">
        <f t="shared" si="467"/>
        <v/>
      </c>
      <c r="IC59" s="841" t="str">
        <f t="shared" si="468"/>
        <v/>
      </c>
      <c r="ID59" s="351" t="str">
        <f t="shared" si="469"/>
        <v/>
      </c>
      <c r="IE59" s="843" t="str">
        <f t="shared" si="470"/>
        <v/>
      </c>
      <c r="IG59" s="789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7" t="str">
        <f t="shared" si="230"/>
        <v/>
      </c>
      <c r="IJ59" s="967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71"/>
        <v/>
      </c>
      <c r="IM59" s="482" t="str">
        <f t="shared" si="231"/>
        <v/>
      </c>
      <c r="IN59" s="670" t="str">
        <f t="shared" si="472"/>
        <v/>
      </c>
      <c r="IO59" s="702">
        <v>0.26985154291381303</v>
      </c>
      <c r="IP59" s="5" t="str">
        <f t="shared" si="473"/>
        <v/>
      </c>
      <c r="IQ59" s="714">
        <v>0</v>
      </c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 t="str">
        <f t="shared" si="308"/>
        <v/>
      </c>
      <c r="B60" s="578" t="str">
        <f t="shared" ref="B60:D60" si="597">IFERROR(O215+($A60*-E60),"")</f>
        <v/>
      </c>
      <c r="C60" s="572" t="str">
        <f t="shared" si="597"/>
        <v/>
      </c>
      <c r="D60" s="576" t="str">
        <f t="shared" si="597"/>
        <v/>
      </c>
      <c r="E60" s="580" t="str">
        <f t="shared" ref="E60:K60" si="598">R215</f>
        <v/>
      </c>
      <c r="F60" s="572" t="str">
        <f t="shared" si="598"/>
        <v/>
      </c>
      <c r="G60" s="579" t="str">
        <f t="shared" si="598"/>
        <v/>
      </c>
      <c r="H60" s="580" t="str">
        <f t="shared" si="598"/>
        <v/>
      </c>
      <c r="I60" s="572" t="str">
        <f t="shared" si="598"/>
        <v/>
      </c>
      <c r="J60" s="483" t="str">
        <f t="shared" si="92"/>
        <v/>
      </c>
      <c r="K60" s="805" t="str">
        <f t="shared" si="598"/>
        <v/>
      </c>
      <c r="L60" s="309"/>
      <c r="M60" s="164" t="str">
        <f t="shared" si="311"/>
        <v/>
      </c>
      <c r="N60" s="575" t="str">
        <f t="shared" si="312"/>
        <v/>
      </c>
      <c r="O60" s="572" t="str">
        <f t="shared" si="313"/>
        <v/>
      </c>
      <c r="P60" s="576" t="str">
        <f t="shared" si="314"/>
        <v/>
      </c>
      <c r="Q60" s="528" t="str">
        <f t="shared" si="134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135"/>
        <v/>
      </c>
      <c r="W60" s="528" t="str">
        <f t="shared" si="256"/>
        <v/>
      </c>
      <c r="X60" s="572" t="str">
        <f t="shared" si="97"/>
        <v/>
      </c>
      <c r="Y60" s="573" t="str">
        <f t="shared" si="259"/>
        <v/>
      </c>
      <c r="Z60" s="575" t="str">
        <f t="shared" si="315"/>
        <v/>
      </c>
      <c r="AA60" s="572" t="str">
        <f t="shared" si="316"/>
        <v/>
      </c>
      <c r="AB60" s="572" t="str">
        <f t="shared" si="317"/>
        <v/>
      </c>
      <c r="AC60" s="579" t="str">
        <f t="shared" si="98"/>
        <v/>
      </c>
      <c r="AD60" s="580" t="str">
        <f t="shared" si="136"/>
        <v/>
      </c>
      <c r="AE60" s="572" t="str">
        <f t="shared" si="99"/>
        <v/>
      </c>
      <c r="AF60" s="576" t="str">
        <f t="shared" si="100"/>
        <v/>
      </c>
      <c r="AG60" s="545" t="str">
        <f t="shared" si="101"/>
        <v/>
      </c>
      <c r="AH60" s="546" t="str">
        <f t="shared" si="102"/>
        <v/>
      </c>
      <c r="AI60" s="528" t="str">
        <f t="shared" si="103"/>
        <v/>
      </c>
      <c r="AJ60" s="529" t="str">
        <f t="shared" si="104"/>
        <v/>
      </c>
      <c r="AK60" s="578" t="str">
        <f t="shared" si="234"/>
        <v/>
      </c>
      <c r="AL60" s="572" t="str">
        <f t="shared" si="105"/>
        <v/>
      </c>
      <c r="AM60" s="577" t="str">
        <f t="shared" si="106"/>
        <v/>
      </c>
      <c r="AN60" s="524" t="str">
        <f t="shared" si="107"/>
        <v/>
      </c>
      <c r="AO60" s="525" t="str">
        <f t="shared" si="590"/>
        <v/>
      </c>
      <c r="AP60" s="528" t="str">
        <f t="shared" si="109"/>
        <v/>
      </c>
      <c r="AQ60" s="529" t="str">
        <f t="shared" si="318"/>
        <v/>
      </c>
      <c r="AS60" s="899" t="str">
        <f t="shared" si="510"/>
        <v/>
      </c>
      <c r="AT60" s="895" t="str">
        <f t="shared" si="319"/>
        <v/>
      </c>
      <c r="AU60" s="418"/>
      <c r="AV60" s="164" t="str">
        <f t="shared" si="320"/>
        <v/>
      </c>
      <c r="AW60" s="796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235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0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1"/>
        <v/>
      </c>
      <c r="BP60" s="5" t="str">
        <f t="shared" si="142"/>
        <v/>
      </c>
      <c r="BQ60" s="5" t="str">
        <f t="shared" si="143"/>
        <v/>
      </c>
      <c r="BR60" s="6" t="str">
        <f t="shared" si="144"/>
        <v/>
      </c>
      <c r="BS60" s="4" t="str">
        <f t="shared" si="554"/>
        <v/>
      </c>
      <c r="BT60" s="5" t="str">
        <f t="shared" si="554"/>
        <v/>
      </c>
      <c r="BU60" s="10" t="str">
        <f t="shared" si="111"/>
        <v/>
      </c>
      <c r="BV60" s="9" t="str">
        <f t="shared" si="112"/>
        <v/>
      </c>
      <c r="BW60" s="5" t="str">
        <f t="shared" si="113"/>
        <v/>
      </c>
      <c r="BX60" s="8" t="str">
        <f t="shared" si="114"/>
        <v/>
      </c>
      <c r="BY60" s="173" t="str">
        <f t="shared" si="115"/>
        <v/>
      </c>
      <c r="BZ60" s="5" t="str">
        <f t="shared" si="116"/>
        <v/>
      </c>
      <c r="CA60" s="6" t="str">
        <f t="shared" si="117"/>
        <v/>
      </c>
      <c r="CB60" s="4" t="str">
        <f t="shared" si="145"/>
        <v/>
      </c>
      <c r="CC60" s="5" t="str">
        <f t="shared" si="146"/>
        <v/>
      </c>
      <c r="CD60" s="5" t="str">
        <f t="shared" si="147"/>
        <v/>
      </c>
      <c r="CE60" s="6" t="str">
        <f t="shared" si="148"/>
        <v/>
      </c>
      <c r="CF60" s="4" t="str">
        <f t="shared" si="149"/>
        <v/>
      </c>
      <c r="CG60" s="5" t="str">
        <f t="shared" si="150"/>
        <v/>
      </c>
      <c r="CH60" s="5" t="str">
        <f t="shared" si="151"/>
        <v/>
      </c>
      <c r="CI60" s="4" t="str">
        <f t="shared" si="118"/>
        <v/>
      </c>
      <c r="CJ60" s="5" t="str">
        <f t="shared" si="119"/>
        <v/>
      </c>
      <c r="CK60" s="8" t="str">
        <f t="shared" si="120"/>
        <v/>
      </c>
      <c r="CL60" s="173" t="str">
        <f t="shared" si="121"/>
        <v/>
      </c>
      <c r="CM60" s="5" t="str">
        <f t="shared" si="122"/>
        <v/>
      </c>
      <c r="CN60" s="6" t="str">
        <f t="shared" si="123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2"/>
        <v/>
      </c>
      <c r="CS60" s="8" t="str">
        <f t="shared" si="153"/>
        <v/>
      </c>
      <c r="CT60" s="9" t="str">
        <f t="shared" si="154"/>
        <v/>
      </c>
      <c r="CU60" s="6" t="str">
        <f t="shared" si="155"/>
        <v/>
      </c>
      <c r="CV60" s="4" t="str">
        <f t="shared" si="238"/>
        <v/>
      </c>
      <c r="CW60" s="5" t="str">
        <f t="shared" si="156"/>
        <v/>
      </c>
      <c r="CX60" s="8" t="str">
        <f t="shared" si="157"/>
        <v/>
      </c>
      <c r="CY60" s="9" t="str">
        <f t="shared" si="158"/>
        <v/>
      </c>
      <c r="CZ60" s="5" t="str">
        <f t="shared" si="159"/>
        <v/>
      </c>
      <c r="DA60" s="6" t="str">
        <f t="shared" si="160"/>
        <v/>
      </c>
      <c r="DB60" s="4" t="str">
        <f t="shared" si="555"/>
        <v/>
      </c>
      <c r="DC60" s="5" t="str">
        <f t="shared" si="555"/>
        <v/>
      </c>
      <c r="DD60" s="10" t="str">
        <f t="shared" si="162"/>
        <v/>
      </c>
      <c r="DE60" s="9" t="str">
        <f t="shared" si="556"/>
        <v/>
      </c>
      <c r="DF60" s="5" t="str">
        <f t="shared" si="556"/>
        <v/>
      </c>
      <c r="DG60" s="10" t="str">
        <f t="shared" si="164"/>
        <v/>
      </c>
      <c r="DH60" s="70" t="str">
        <f t="shared" si="165"/>
        <v/>
      </c>
      <c r="DI60" s="4" t="str">
        <f t="shared" si="166"/>
        <v/>
      </c>
      <c r="DJ60" s="5" t="str">
        <f t="shared" si="167"/>
        <v/>
      </c>
      <c r="DK60" s="10" t="str">
        <f t="shared" si="168"/>
        <v/>
      </c>
      <c r="DL60" s="9" t="str">
        <f t="shared" si="169"/>
        <v/>
      </c>
      <c r="DM60" s="173" t="str">
        <f t="shared" si="170"/>
        <v/>
      </c>
      <c r="DN60" s="178" t="str">
        <f t="shared" si="171"/>
        <v/>
      </c>
      <c r="DO60" s="9" t="str">
        <f t="shared" si="172"/>
        <v/>
      </c>
      <c r="DP60" s="173" t="str">
        <f t="shared" si="173"/>
        <v/>
      </c>
      <c r="DQ60" s="11" t="str">
        <f t="shared" si="174"/>
        <v/>
      </c>
      <c r="DR60" s="173" t="str">
        <f t="shared" si="175"/>
        <v/>
      </c>
      <c r="DS60" s="5" t="str">
        <f t="shared" si="176"/>
        <v/>
      </c>
      <c r="DT60" s="5" t="str">
        <f t="shared" si="177"/>
        <v/>
      </c>
      <c r="DU60" s="5" t="str">
        <f t="shared" si="178"/>
        <v/>
      </c>
      <c r="DV60" s="5" t="str">
        <f t="shared" si="179"/>
        <v/>
      </c>
      <c r="DW60" s="5" t="str">
        <f t="shared" si="180"/>
        <v/>
      </c>
      <c r="DX60" s="167" t="str">
        <f t="shared" si="181"/>
        <v/>
      </c>
      <c r="DY60" s="9" t="str">
        <f t="shared" si="182"/>
        <v/>
      </c>
      <c r="DZ60" s="5" t="str">
        <f t="shared" si="183"/>
        <v/>
      </c>
      <c r="EA60" s="10" t="str">
        <f t="shared" si="184"/>
        <v/>
      </c>
      <c r="EB60" s="6" t="str">
        <f t="shared" si="185"/>
        <v/>
      </c>
      <c r="EC60" s="173" t="str">
        <f t="shared" si="186"/>
        <v/>
      </c>
      <c r="ED60" s="5" t="str">
        <f t="shared" si="187"/>
        <v/>
      </c>
      <c r="EE60" s="4" t="str">
        <f t="shared" si="188"/>
        <v/>
      </c>
      <c r="EF60" s="5" t="str">
        <f t="shared" si="189"/>
        <v/>
      </c>
      <c r="EG60" s="10" t="str">
        <f t="shared" si="190"/>
        <v/>
      </c>
      <c r="EH60" s="9" t="str">
        <f t="shared" si="191"/>
        <v/>
      </c>
      <c r="EI60" s="5" t="str">
        <f t="shared" si="192"/>
        <v/>
      </c>
      <c r="EJ60" s="6" t="str">
        <f t="shared" si="193"/>
        <v/>
      </c>
      <c r="EK60" s="236" t="str">
        <f t="shared" si="194"/>
        <v/>
      </c>
      <c r="EL60" s="238" t="str">
        <f t="shared" si="195"/>
        <v/>
      </c>
      <c r="EM60" s="4" t="str">
        <f t="shared" si="196"/>
        <v/>
      </c>
      <c r="EN60" s="5" t="str">
        <f t="shared" si="197"/>
        <v/>
      </c>
      <c r="EO60" s="10" t="str">
        <f t="shared" si="198"/>
        <v/>
      </c>
      <c r="EP60" s="9" t="str">
        <f t="shared" si="199"/>
        <v/>
      </c>
      <c r="EQ60" s="5" t="str">
        <f t="shared" si="200"/>
        <v/>
      </c>
      <c r="ER60" s="7" t="str">
        <f t="shared" si="201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2"/>
        <v/>
      </c>
      <c r="EZ60" s="51" t="str">
        <f t="shared" si="203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4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6"/>
        <v/>
      </c>
      <c r="FK60" s="4" t="str">
        <f t="shared" si="568"/>
        <v/>
      </c>
      <c r="FL60" s="5" t="str">
        <f t="shared" si="207"/>
        <v/>
      </c>
      <c r="FM60" s="8" t="str">
        <f t="shared" si="208"/>
        <v/>
      </c>
      <c r="FN60" s="9" t="str">
        <f t="shared" si="209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0"/>
        <v/>
      </c>
      <c r="FS60" s="9" t="str">
        <f t="shared" si="211"/>
        <v/>
      </c>
      <c r="FT60" s="6" t="str">
        <f t="shared" si="212"/>
        <v/>
      </c>
      <c r="FU60" s="4" t="str">
        <f t="shared" si="213"/>
        <v/>
      </c>
      <c r="FV60" s="5" t="str">
        <f t="shared" si="214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5"/>
        <v/>
      </c>
      <c r="GB60" s="4" t="str">
        <f t="shared" si="216"/>
        <v/>
      </c>
      <c r="GC60" s="5" t="str">
        <f t="shared" si="217"/>
        <v/>
      </c>
      <c r="GD60" s="10" t="str">
        <f t="shared" si="218"/>
        <v/>
      </c>
      <c r="GE60" s="311" t="str">
        <f t="shared" si="219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0"/>
        <v/>
      </c>
      <c r="GK60" s="174" t="str">
        <f t="shared" si="575"/>
        <v/>
      </c>
      <c r="GL60" s="174" t="str">
        <f t="shared" si="221"/>
        <v/>
      </c>
      <c r="GM60" s="177" t="str">
        <f t="shared" si="244"/>
        <v/>
      </c>
      <c r="GN60" s="280" t="str">
        <f t="shared" si="222"/>
        <v/>
      </c>
      <c r="GO60" s="4" t="str">
        <f t="shared" si="223"/>
        <v/>
      </c>
      <c r="GP60" s="8" t="str">
        <f t="shared" si="245"/>
        <v/>
      </c>
      <c r="GQ60" s="177" t="str">
        <f t="shared" si="224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5"/>
        <v/>
      </c>
      <c r="HC60" s="343" t="str">
        <f t="shared" si="226"/>
        <v/>
      </c>
      <c r="HD60" s="363" t="str">
        <f t="shared" si="227"/>
        <v/>
      </c>
      <c r="HE60" s="344" t="str">
        <f t="shared" si="584"/>
        <v/>
      </c>
      <c r="HF60" s="5" t="str">
        <f t="shared" si="585"/>
        <v/>
      </c>
      <c r="HG60" s="343" t="str">
        <f t="shared" si="228"/>
        <v/>
      </c>
      <c r="HH60" s="349" t="str">
        <f t="shared" si="229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34" t="str">
        <f t="shared" si="455"/>
        <v/>
      </c>
      <c r="HN60" s="935" t="str">
        <f t="shared" si="456"/>
        <v/>
      </c>
      <c r="HO60" s="936"/>
      <c r="HP60" s="937"/>
      <c r="HQ60" s="935" t="str">
        <f t="shared" si="457"/>
        <v/>
      </c>
      <c r="HR60" s="938" t="str">
        <f t="shared" si="458"/>
        <v/>
      </c>
      <c r="HS60" s="939" t="str">
        <f t="shared" si="507"/>
        <v/>
      </c>
      <c r="HT60" s="940" t="str">
        <f t="shared" si="459"/>
        <v/>
      </c>
      <c r="HU60" s="941" t="str">
        <f t="shared" si="460"/>
        <v/>
      </c>
      <c r="HV60" s="942" t="str">
        <f t="shared" si="461"/>
        <v/>
      </c>
      <c r="HW60" s="943" t="str">
        <f t="shared" si="462"/>
        <v/>
      </c>
      <c r="HX60" s="944" t="str">
        <f t="shared" si="463"/>
        <v/>
      </c>
      <c r="HY60" s="943" t="str">
        <f t="shared" si="464"/>
        <v/>
      </c>
      <c r="HZ60" s="945" t="str">
        <f t="shared" si="465"/>
        <v/>
      </c>
      <c r="IA60" s="946" t="str">
        <f t="shared" si="466"/>
        <v/>
      </c>
      <c r="IB60" s="947" t="str">
        <f t="shared" si="467"/>
        <v/>
      </c>
      <c r="IC60" s="841" t="str">
        <f t="shared" si="468"/>
        <v/>
      </c>
      <c r="ID60" s="351" t="str">
        <f t="shared" si="469"/>
        <v/>
      </c>
      <c r="IE60" s="843" t="str">
        <f t="shared" si="470"/>
        <v/>
      </c>
      <c r="IG60" s="789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7" t="str">
        <f t="shared" si="230"/>
        <v/>
      </c>
      <c r="IJ60" s="967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71"/>
        <v/>
      </c>
      <c r="IM60" s="482" t="str">
        <f t="shared" si="231"/>
        <v/>
      </c>
      <c r="IN60" s="670" t="str">
        <f t="shared" si="472"/>
        <v/>
      </c>
      <c r="IO60" s="702">
        <v>0.34334860774221798</v>
      </c>
      <c r="IP60" s="5" t="str">
        <f t="shared" si="473"/>
        <v/>
      </c>
      <c r="IQ60" s="714">
        <v>200</v>
      </c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 t="str">
        <f t="shared" si="308"/>
        <v/>
      </c>
      <c r="B61" s="578" t="str">
        <f t="shared" ref="B61:D61" si="599">IFERROR(O216+($A61*-E61),"")</f>
        <v/>
      </c>
      <c r="C61" s="572" t="str">
        <f t="shared" si="599"/>
        <v/>
      </c>
      <c r="D61" s="576" t="str">
        <f t="shared" si="599"/>
        <v/>
      </c>
      <c r="E61" s="580" t="str">
        <f t="shared" ref="E61:K61" si="600">R216</f>
        <v/>
      </c>
      <c r="F61" s="572" t="str">
        <f t="shared" si="600"/>
        <v/>
      </c>
      <c r="G61" s="579" t="str">
        <f t="shared" si="600"/>
        <v/>
      </c>
      <c r="H61" s="580" t="str">
        <f t="shared" si="600"/>
        <v/>
      </c>
      <c r="I61" s="572" t="str">
        <f t="shared" si="600"/>
        <v/>
      </c>
      <c r="J61" s="483" t="str">
        <f t="shared" si="92"/>
        <v/>
      </c>
      <c r="K61" s="805" t="str">
        <f t="shared" si="600"/>
        <v/>
      </c>
      <c r="L61" s="309"/>
      <c r="M61" s="164" t="str">
        <f t="shared" si="311"/>
        <v/>
      </c>
      <c r="N61" s="575" t="str">
        <f t="shared" si="312"/>
        <v/>
      </c>
      <c r="O61" s="572" t="str">
        <f t="shared" si="313"/>
        <v/>
      </c>
      <c r="P61" s="576" t="str">
        <f t="shared" si="314"/>
        <v/>
      </c>
      <c r="Q61" s="528" t="str">
        <f t="shared" si="134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135"/>
        <v/>
      </c>
      <c r="W61" s="528" t="str">
        <f t="shared" si="256"/>
        <v/>
      </c>
      <c r="X61" s="572" t="str">
        <f t="shared" si="97"/>
        <v/>
      </c>
      <c r="Y61" s="573" t="str">
        <f t="shared" si="259"/>
        <v/>
      </c>
      <c r="Z61" s="575" t="str">
        <f t="shared" si="315"/>
        <v/>
      </c>
      <c r="AA61" s="572" t="str">
        <f t="shared" si="316"/>
        <v/>
      </c>
      <c r="AB61" s="572" t="str">
        <f t="shared" si="317"/>
        <v/>
      </c>
      <c r="AC61" s="579" t="str">
        <f t="shared" si="98"/>
        <v/>
      </c>
      <c r="AD61" s="580" t="str">
        <f t="shared" si="136"/>
        <v/>
      </c>
      <c r="AE61" s="572" t="str">
        <f t="shared" si="99"/>
        <v/>
      </c>
      <c r="AF61" s="576" t="str">
        <f t="shared" si="100"/>
        <v/>
      </c>
      <c r="AG61" s="545" t="str">
        <f t="shared" si="101"/>
        <v/>
      </c>
      <c r="AH61" s="546" t="str">
        <f t="shared" si="102"/>
        <v/>
      </c>
      <c r="AI61" s="528" t="str">
        <f t="shared" si="103"/>
        <v/>
      </c>
      <c r="AJ61" s="529" t="str">
        <f t="shared" si="104"/>
        <v/>
      </c>
      <c r="AK61" s="578" t="str">
        <f t="shared" si="234"/>
        <v/>
      </c>
      <c r="AL61" s="572" t="str">
        <f t="shared" si="105"/>
        <v/>
      </c>
      <c r="AM61" s="577" t="str">
        <f t="shared" si="106"/>
        <v/>
      </c>
      <c r="AN61" s="524" t="str">
        <f t="shared" si="107"/>
        <v/>
      </c>
      <c r="AO61" s="525" t="str">
        <f t="shared" si="590"/>
        <v/>
      </c>
      <c r="AP61" s="528" t="str">
        <f t="shared" si="109"/>
        <v/>
      </c>
      <c r="AQ61" s="529" t="str">
        <f t="shared" si="318"/>
        <v/>
      </c>
      <c r="AS61" s="899" t="str">
        <f t="shared" si="510"/>
        <v/>
      </c>
      <c r="AT61" s="895" t="str">
        <f t="shared" si="319"/>
        <v/>
      </c>
      <c r="AU61" s="418"/>
      <c r="AV61" s="164" t="str">
        <f t="shared" si="320"/>
        <v/>
      </c>
      <c r="AW61" s="796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235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0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1"/>
        <v/>
      </c>
      <c r="BP61" s="5" t="str">
        <f t="shared" si="142"/>
        <v/>
      </c>
      <c r="BQ61" s="5" t="str">
        <f t="shared" si="143"/>
        <v/>
      </c>
      <c r="BR61" s="6" t="str">
        <f t="shared" si="144"/>
        <v/>
      </c>
      <c r="BS61" s="4" t="str">
        <f t="shared" si="554"/>
        <v/>
      </c>
      <c r="BT61" s="5" t="str">
        <f t="shared" si="554"/>
        <v/>
      </c>
      <c r="BU61" s="10" t="str">
        <f t="shared" si="111"/>
        <v/>
      </c>
      <c r="BV61" s="9" t="str">
        <f t="shared" si="112"/>
        <v/>
      </c>
      <c r="BW61" s="5" t="str">
        <f t="shared" si="113"/>
        <v/>
      </c>
      <c r="BX61" s="8" t="str">
        <f t="shared" si="114"/>
        <v/>
      </c>
      <c r="BY61" s="173" t="str">
        <f t="shared" si="115"/>
        <v/>
      </c>
      <c r="BZ61" s="5" t="str">
        <f t="shared" si="116"/>
        <v/>
      </c>
      <c r="CA61" s="6" t="str">
        <f t="shared" si="117"/>
        <v/>
      </c>
      <c r="CB61" s="4" t="str">
        <f t="shared" si="145"/>
        <v/>
      </c>
      <c r="CC61" s="5" t="str">
        <f t="shared" si="146"/>
        <v/>
      </c>
      <c r="CD61" s="5" t="str">
        <f t="shared" si="147"/>
        <v/>
      </c>
      <c r="CE61" s="6" t="str">
        <f t="shared" si="148"/>
        <v/>
      </c>
      <c r="CF61" s="4" t="str">
        <f t="shared" si="149"/>
        <v/>
      </c>
      <c r="CG61" s="5" t="str">
        <f t="shared" si="150"/>
        <v/>
      </c>
      <c r="CH61" s="5" t="str">
        <f t="shared" si="151"/>
        <v/>
      </c>
      <c r="CI61" s="4" t="str">
        <f t="shared" si="118"/>
        <v/>
      </c>
      <c r="CJ61" s="5" t="str">
        <f t="shared" si="119"/>
        <v/>
      </c>
      <c r="CK61" s="8" t="str">
        <f t="shared" si="120"/>
        <v/>
      </c>
      <c r="CL61" s="173" t="str">
        <f t="shared" si="121"/>
        <v/>
      </c>
      <c r="CM61" s="5" t="str">
        <f t="shared" si="122"/>
        <v/>
      </c>
      <c r="CN61" s="6" t="str">
        <f t="shared" si="123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2"/>
        <v/>
      </c>
      <c r="CS61" s="8" t="str">
        <f t="shared" si="153"/>
        <v/>
      </c>
      <c r="CT61" s="9" t="str">
        <f t="shared" si="154"/>
        <v/>
      </c>
      <c r="CU61" s="6" t="str">
        <f t="shared" si="155"/>
        <v/>
      </c>
      <c r="CV61" s="4" t="str">
        <f t="shared" si="238"/>
        <v/>
      </c>
      <c r="CW61" s="5" t="str">
        <f t="shared" si="156"/>
        <v/>
      </c>
      <c r="CX61" s="8" t="str">
        <f t="shared" si="157"/>
        <v/>
      </c>
      <c r="CY61" s="9" t="str">
        <f t="shared" si="158"/>
        <v/>
      </c>
      <c r="CZ61" s="5" t="str">
        <f t="shared" si="159"/>
        <v/>
      </c>
      <c r="DA61" s="6" t="str">
        <f t="shared" si="160"/>
        <v/>
      </c>
      <c r="DB61" s="4" t="str">
        <f t="shared" si="555"/>
        <v/>
      </c>
      <c r="DC61" s="5" t="str">
        <f t="shared" si="555"/>
        <v/>
      </c>
      <c r="DD61" s="10" t="str">
        <f t="shared" si="162"/>
        <v/>
      </c>
      <c r="DE61" s="9" t="str">
        <f t="shared" si="556"/>
        <v/>
      </c>
      <c r="DF61" s="5" t="str">
        <f t="shared" si="556"/>
        <v/>
      </c>
      <c r="DG61" s="10" t="str">
        <f t="shared" si="164"/>
        <v/>
      </c>
      <c r="DH61" s="70" t="str">
        <f t="shared" si="165"/>
        <v/>
      </c>
      <c r="DI61" s="4" t="str">
        <f t="shared" si="166"/>
        <v/>
      </c>
      <c r="DJ61" s="5" t="str">
        <f t="shared" si="167"/>
        <v/>
      </c>
      <c r="DK61" s="10" t="str">
        <f t="shared" si="168"/>
        <v/>
      </c>
      <c r="DL61" s="9" t="str">
        <f t="shared" si="169"/>
        <v/>
      </c>
      <c r="DM61" s="173" t="str">
        <f t="shared" si="170"/>
        <v/>
      </c>
      <c r="DN61" s="178" t="str">
        <f t="shared" si="171"/>
        <v/>
      </c>
      <c r="DO61" s="9" t="str">
        <f t="shared" si="172"/>
        <v/>
      </c>
      <c r="DP61" s="173" t="str">
        <f t="shared" si="173"/>
        <v/>
      </c>
      <c r="DQ61" s="11" t="str">
        <f t="shared" si="174"/>
        <v/>
      </c>
      <c r="DR61" s="173" t="str">
        <f t="shared" si="175"/>
        <v/>
      </c>
      <c r="DS61" s="5" t="str">
        <f t="shared" si="176"/>
        <v/>
      </c>
      <c r="DT61" s="5" t="str">
        <f t="shared" si="177"/>
        <v/>
      </c>
      <c r="DU61" s="5" t="str">
        <f t="shared" si="178"/>
        <v/>
      </c>
      <c r="DV61" s="5" t="str">
        <f t="shared" si="179"/>
        <v/>
      </c>
      <c r="DW61" s="5" t="str">
        <f t="shared" si="180"/>
        <v/>
      </c>
      <c r="DX61" s="167" t="str">
        <f t="shared" si="181"/>
        <v/>
      </c>
      <c r="DY61" s="9" t="str">
        <f t="shared" si="182"/>
        <v/>
      </c>
      <c r="DZ61" s="5" t="str">
        <f t="shared" si="183"/>
        <v/>
      </c>
      <c r="EA61" s="10" t="str">
        <f t="shared" si="184"/>
        <v/>
      </c>
      <c r="EB61" s="6" t="str">
        <f t="shared" si="185"/>
        <v/>
      </c>
      <c r="EC61" s="173" t="str">
        <f t="shared" si="186"/>
        <v/>
      </c>
      <c r="ED61" s="5" t="str">
        <f t="shared" si="187"/>
        <v/>
      </c>
      <c r="EE61" s="4" t="str">
        <f t="shared" si="188"/>
        <v/>
      </c>
      <c r="EF61" s="5" t="str">
        <f t="shared" si="189"/>
        <v/>
      </c>
      <c r="EG61" s="10" t="str">
        <f t="shared" si="190"/>
        <v/>
      </c>
      <c r="EH61" s="9" t="str">
        <f t="shared" si="191"/>
        <v/>
      </c>
      <c r="EI61" s="5" t="str">
        <f t="shared" si="192"/>
        <v/>
      </c>
      <c r="EJ61" s="6" t="str">
        <f t="shared" si="193"/>
        <v/>
      </c>
      <c r="EK61" s="236" t="str">
        <f t="shared" si="194"/>
        <v/>
      </c>
      <c r="EL61" s="238" t="str">
        <f t="shared" si="195"/>
        <v/>
      </c>
      <c r="EM61" s="4" t="str">
        <f t="shared" si="196"/>
        <v/>
      </c>
      <c r="EN61" s="5" t="str">
        <f t="shared" si="197"/>
        <v/>
      </c>
      <c r="EO61" s="10" t="str">
        <f t="shared" si="198"/>
        <v/>
      </c>
      <c r="EP61" s="9" t="str">
        <f t="shared" si="199"/>
        <v/>
      </c>
      <c r="EQ61" s="5" t="str">
        <f t="shared" si="200"/>
        <v/>
      </c>
      <c r="ER61" s="7" t="str">
        <f t="shared" si="201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2"/>
        <v/>
      </c>
      <c r="EZ61" s="51" t="str">
        <f t="shared" si="203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4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6"/>
        <v/>
      </c>
      <c r="FK61" s="4" t="str">
        <f t="shared" si="568"/>
        <v/>
      </c>
      <c r="FL61" s="5" t="str">
        <f t="shared" si="207"/>
        <v/>
      </c>
      <c r="FM61" s="8" t="str">
        <f t="shared" si="208"/>
        <v/>
      </c>
      <c r="FN61" s="9" t="str">
        <f t="shared" si="209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0"/>
        <v/>
      </c>
      <c r="FS61" s="9" t="str">
        <f t="shared" si="211"/>
        <v/>
      </c>
      <c r="FT61" s="6" t="str">
        <f t="shared" si="212"/>
        <v/>
      </c>
      <c r="FU61" s="4" t="str">
        <f t="shared" si="213"/>
        <v/>
      </c>
      <c r="FV61" s="5" t="str">
        <f t="shared" si="214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5"/>
        <v/>
      </c>
      <c r="GB61" s="4" t="str">
        <f t="shared" si="216"/>
        <v/>
      </c>
      <c r="GC61" s="5" t="str">
        <f t="shared" si="217"/>
        <v/>
      </c>
      <c r="GD61" s="10" t="str">
        <f t="shared" si="218"/>
        <v/>
      </c>
      <c r="GE61" s="311" t="str">
        <f t="shared" si="219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0"/>
        <v/>
      </c>
      <c r="GK61" s="174" t="str">
        <f t="shared" si="575"/>
        <v/>
      </c>
      <c r="GL61" s="174" t="str">
        <f t="shared" si="221"/>
        <v/>
      </c>
      <c r="GM61" s="177" t="str">
        <f t="shared" si="244"/>
        <v/>
      </c>
      <c r="GN61" s="280" t="str">
        <f t="shared" si="222"/>
        <v/>
      </c>
      <c r="GO61" s="4" t="str">
        <f t="shared" si="223"/>
        <v/>
      </c>
      <c r="GP61" s="8" t="str">
        <f t="shared" si="245"/>
        <v/>
      </c>
      <c r="GQ61" s="177" t="str">
        <f t="shared" si="224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5"/>
        <v/>
      </c>
      <c r="HC61" s="343" t="str">
        <f t="shared" si="226"/>
        <v/>
      </c>
      <c r="HD61" s="363" t="str">
        <f t="shared" si="227"/>
        <v/>
      </c>
      <c r="HE61" s="344" t="str">
        <f t="shared" si="584"/>
        <v/>
      </c>
      <c r="HF61" s="5" t="str">
        <f t="shared" si="585"/>
        <v/>
      </c>
      <c r="HG61" s="343" t="str">
        <f t="shared" si="228"/>
        <v/>
      </c>
      <c r="HH61" s="349" t="str">
        <f t="shared" si="229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34" t="str">
        <f t="shared" si="455"/>
        <v/>
      </c>
      <c r="HN61" s="935" t="str">
        <f t="shared" si="456"/>
        <v/>
      </c>
      <c r="HO61" s="936"/>
      <c r="HP61" s="937"/>
      <c r="HQ61" s="935" t="str">
        <f t="shared" si="457"/>
        <v/>
      </c>
      <c r="HR61" s="938" t="str">
        <f t="shared" si="458"/>
        <v/>
      </c>
      <c r="HS61" s="939" t="str">
        <f t="shared" si="507"/>
        <v/>
      </c>
      <c r="HT61" s="940" t="str">
        <f t="shared" si="459"/>
        <v/>
      </c>
      <c r="HU61" s="941" t="str">
        <f t="shared" si="460"/>
        <v/>
      </c>
      <c r="HV61" s="942" t="str">
        <f t="shared" si="461"/>
        <v/>
      </c>
      <c r="HW61" s="943" t="str">
        <f t="shared" si="462"/>
        <v/>
      </c>
      <c r="HX61" s="944" t="str">
        <f t="shared" si="463"/>
        <v/>
      </c>
      <c r="HY61" s="943" t="str">
        <f t="shared" si="464"/>
        <v/>
      </c>
      <c r="HZ61" s="945" t="str">
        <f t="shared" si="465"/>
        <v/>
      </c>
      <c r="IA61" s="946" t="str">
        <f t="shared" si="466"/>
        <v/>
      </c>
      <c r="IB61" s="947" t="str">
        <f t="shared" si="467"/>
        <v/>
      </c>
      <c r="IC61" s="841" t="str">
        <f t="shared" si="468"/>
        <v/>
      </c>
      <c r="ID61" s="351" t="str">
        <f t="shared" si="469"/>
        <v/>
      </c>
      <c r="IE61" s="843" t="str">
        <f t="shared" si="470"/>
        <v/>
      </c>
      <c r="IG61" s="789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7" t="str">
        <f t="shared" si="230"/>
        <v/>
      </c>
      <c r="IJ61" s="967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71"/>
        <v/>
      </c>
      <c r="IM61" s="482" t="str">
        <f t="shared" si="231"/>
        <v/>
      </c>
      <c r="IN61" s="670" t="str">
        <f t="shared" si="472"/>
        <v/>
      </c>
      <c r="IO61" s="702">
        <v>0.32747028527542599</v>
      </c>
      <c r="IP61" s="5" t="str">
        <f t="shared" si="473"/>
        <v/>
      </c>
      <c r="IQ61" s="714">
        <v>1080</v>
      </c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 t="str">
        <f t="shared" si="308"/>
        <v/>
      </c>
      <c r="B62" s="578" t="str">
        <f t="shared" ref="B62:D62" si="601">IFERROR(O217+($A62*-E62),"")</f>
        <v/>
      </c>
      <c r="C62" s="572" t="str">
        <f t="shared" si="601"/>
        <v/>
      </c>
      <c r="D62" s="576" t="str">
        <f t="shared" si="601"/>
        <v/>
      </c>
      <c r="E62" s="580" t="str">
        <f t="shared" ref="E62:K62" si="602">R217</f>
        <v/>
      </c>
      <c r="F62" s="572" t="str">
        <f t="shared" si="602"/>
        <v/>
      </c>
      <c r="G62" s="579" t="str">
        <f t="shared" si="602"/>
        <v/>
      </c>
      <c r="H62" s="580" t="str">
        <f t="shared" si="602"/>
        <v/>
      </c>
      <c r="I62" s="572" t="str">
        <f t="shared" si="602"/>
        <v/>
      </c>
      <c r="J62" s="483" t="str">
        <f t="shared" si="92"/>
        <v/>
      </c>
      <c r="K62" s="805" t="str">
        <f t="shared" si="602"/>
        <v/>
      </c>
      <c r="L62" s="309"/>
      <c r="M62" s="164" t="str">
        <f t="shared" si="311"/>
        <v/>
      </c>
      <c r="N62" s="575" t="str">
        <f t="shared" si="312"/>
        <v/>
      </c>
      <c r="O62" s="572" t="str">
        <f t="shared" si="313"/>
        <v/>
      </c>
      <c r="P62" s="576" t="str">
        <f t="shared" si="314"/>
        <v/>
      </c>
      <c r="Q62" s="528" t="str">
        <f t="shared" si="134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135"/>
        <v/>
      </c>
      <c r="W62" s="528" t="str">
        <f t="shared" si="256"/>
        <v/>
      </c>
      <c r="X62" s="572" t="str">
        <f t="shared" si="97"/>
        <v/>
      </c>
      <c r="Y62" s="573" t="str">
        <f t="shared" si="259"/>
        <v/>
      </c>
      <c r="Z62" s="575" t="str">
        <f t="shared" si="315"/>
        <v/>
      </c>
      <c r="AA62" s="572" t="str">
        <f t="shared" si="316"/>
        <v/>
      </c>
      <c r="AB62" s="572" t="str">
        <f t="shared" si="317"/>
        <v/>
      </c>
      <c r="AC62" s="579" t="str">
        <f t="shared" si="98"/>
        <v/>
      </c>
      <c r="AD62" s="580" t="str">
        <f t="shared" si="136"/>
        <v/>
      </c>
      <c r="AE62" s="572" t="str">
        <f t="shared" si="99"/>
        <v/>
      </c>
      <c r="AF62" s="576" t="str">
        <f t="shared" si="100"/>
        <v/>
      </c>
      <c r="AG62" s="545" t="str">
        <f t="shared" si="101"/>
        <v/>
      </c>
      <c r="AH62" s="546" t="str">
        <f t="shared" si="102"/>
        <v/>
      </c>
      <c r="AI62" s="528" t="str">
        <f t="shared" si="103"/>
        <v/>
      </c>
      <c r="AJ62" s="529" t="str">
        <f t="shared" si="104"/>
        <v/>
      </c>
      <c r="AK62" s="578" t="str">
        <f t="shared" si="234"/>
        <v/>
      </c>
      <c r="AL62" s="572" t="str">
        <f t="shared" si="105"/>
        <v/>
      </c>
      <c r="AM62" s="577" t="str">
        <f t="shared" si="106"/>
        <v/>
      </c>
      <c r="AN62" s="524" t="str">
        <f t="shared" si="107"/>
        <v/>
      </c>
      <c r="AO62" s="525" t="str">
        <f t="shared" si="590"/>
        <v/>
      </c>
      <c r="AP62" s="528" t="str">
        <f t="shared" si="109"/>
        <v/>
      </c>
      <c r="AQ62" s="529" t="str">
        <f t="shared" si="318"/>
        <v/>
      </c>
      <c r="AS62" s="899" t="str">
        <f t="shared" si="510"/>
        <v/>
      </c>
      <c r="AT62" s="895" t="str">
        <f t="shared" si="319"/>
        <v/>
      </c>
      <c r="AU62" s="418"/>
      <c r="AV62" s="164" t="str">
        <f t="shared" si="320"/>
        <v/>
      </c>
      <c r="AW62" s="796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235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0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1"/>
        <v/>
      </c>
      <c r="BP62" s="5" t="str">
        <f t="shared" si="142"/>
        <v/>
      </c>
      <c r="BQ62" s="5" t="str">
        <f t="shared" si="143"/>
        <v/>
      </c>
      <c r="BR62" s="6" t="str">
        <f t="shared" si="144"/>
        <v/>
      </c>
      <c r="BS62" s="4" t="str">
        <f t="shared" si="554"/>
        <v/>
      </c>
      <c r="BT62" s="5" t="str">
        <f t="shared" si="554"/>
        <v/>
      </c>
      <c r="BU62" s="10" t="str">
        <f t="shared" si="111"/>
        <v/>
      </c>
      <c r="BV62" s="9" t="str">
        <f t="shared" si="112"/>
        <v/>
      </c>
      <c r="BW62" s="5" t="str">
        <f t="shared" si="113"/>
        <v/>
      </c>
      <c r="BX62" s="8" t="str">
        <f t="shared" si="114"/>
        <v/>
      </c>
      <c r="BY62" s="173" t="str">
        <f t="shared" si="115"/>
        <v/>
      </c>
      <c r="BZ62" s="5" t="str">
        <f t="shared" si="116"/>
        <v/>
      </c>
      <c r="CA62" s="6" t="str">
        <f t="shared" si="117"/>
        <v/>
      </c>
      <c r="CB62" s="4" t="str">
        <f t="shared" si="145"/>
        <v/>
      </c>
      <c r="CC62" s="5" t="str">
        <f t="shared" si="146"/>
        <v/>
      </c>
      <c r="CD62" s="5" t="str">
        <f t="shared" si="147"/>
        <v/>
      </c>
      <c r="CE62" s="6" t="str">
        <f t="shared" si="148"/>
        <v/>
      </c>
      <c r="CF62" s="4" t="str">
        <f t="shared" si="149"/>
        <v/>
      </c>
      <c r="CG62" s="5" t="str">
        <f t="shared" si="150"/>
        <v/>
      </c>
      <c r="CH62" s="5" t="str">
        <f t="shared" si="151"/>
        <v/>
      </c>
      <c r="CI62" s="4" t="str">
        <f t="shared" si="118"/>
        <v/>
      </c>
      <c r="CJ62" s="5" t="str">
        <f t="shared" si="119"/>
        <v/>
      </c>
      <c r="CK62" s="8" t="str">
        <f t="shared" si="120"/>
        <v/>
      </c>
      <c r="CL62" s="173" t="str">
        <f t="shared" si="121"/>
        <v/>
      </c>
      <c r="CM62" s="5" t="str">
        <f t="shared" si="122"/>
        <v/>
      </c>
      <c r="CN62" s="6" t="str">
        <f t="shared" si="123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2"/>
        <v/>
      </c>
      <c r="CS62" s="8" t="str">
        <f t="shared" si="153"/>
        <v/>
      </c>
      <c r="CT62" s="9" t="str">
        <f t="shared" si="154"/>
        <v/>
      </c>
      <c r="CU62" s="6" t="str">
        <f t="shared" si="155"/>
        <v/>
      </c>
      <c r="CV62" s="4" t="str">
        <f t="shared" si="238"/>
        <v/>
      </c>
      <c r="CW62" s="5" t="str">
        <f t="shared" si="156"/>
        <v/>
      </c>
      <c r="CX62" s="8" t="str">
        <f t="shared" si="157"/>
        <v/>
      </c>
      <c r="CY62" s="9" t="str">
        <f t="shared" si="158"/>
        <v/>
      </c>
      <c r="CZ62" s="5" t="str">
        <f t="shared" si="159"/>
        <v/>
      </c>
      <c r="DA62" s="6" t="str">
        <f t="shared" si="160"/>
        <v/>
      </c>
      <c r="DB62" s="4" t="str">
        <f t="shared" si="555"/>
        <v/>
      </c>
      <c r="DC62" s="5" t="str">
        <f t="shared" si="555"/>
        <v/>
      </c>
      <c r="DD62" s="10" t="str">
        <f t="shared" si="162"/>
        <v/>
      </c>
      <c r="DE62" s="9" t="str">
        <f t="shared" si="556"/>
        <v/>
      </c>
      <c r="DF62" s="5" t="str">
        <f t="shared" si="556"/>
        <v/>
      </c>
      <c r="DG62" s="10" t="str">
        <f t="shared" si="164"/>
        <v/>
      </c>
      <c r="DH62" s="70" t="str">
        <f t="shared" si="165"/>
        <v/>
      </c>
      <c r="DI62" s="4" t="str">
        <f t="shared" si="166"/>
        <v/>
      </c>
      <c r="DJ62" s="5" t="str">
        <f t="shared" si="167"/>
        <v/>
      </c>
      <c r="DK62" s="10" t="str">
        <f t="shared" si="168"/>
        <v/>
      </c>
      <c r="DL62" s="9" t="str">
        <f t="shared" si="169"/>
        <v/>
      </c>
      <c r="DM62" s="173" t="str">
        <f t="shared" si="170"/>
        <v/>
      </c>
      <c r="DN62" s="178" t="str">
        <f t="shared" si="171"/>
        <v/>
      </c>
      <c r="DO62" s="9" t="str">
        <f t="shared" si="172"/>
        <v/>
      </c>
      <c r="DP62" s="173" t="str">
        <f t="shared" si="173"/>
        <v/>
      </c>
      <c r="DQ62" s="11" t="str">
        <f t="shared" si="174"/>
        <v/>
      </c>
      <c r="DR62" s="173" t="str">
        <f t="shared" si="175"/>
        <v/>
      </c>
      <c r="DS62" s="5" t="str">
        <f t="shared" si="176"/>
        <v/>
      </c>
      <c r="DT62" s="5" t="str">
        <f t="shared" si="177"/>
        <v/>
      </c>
      <c r="DU62" s="5" t="str">
        <f t="shared" si="178"/>
        <v/>
      </c>
      <c r="DV62" s="5" t="str">
        <f t="shared" si="179"/>
        <v/>
      </c>
      <c r="DW62" s="5" t="str">
        <f t="shared" si="180"/>
        <v/>
      </c>
      <c r="DX62" s="167" t="str">
        <f t="shared" si="181"/>
        <v/>
      </c>
      <c r="DY62" s="9" t="str">
        <f t="shared" si="182"/>
        <v/>
      </c>
      <c r="DZ62" s="5" t="str">
        <f t="shared" si="183"/>
        <v/>
      </c>
      <c r="EA62" s="10" t="str">
        <f t="shared" si="184"/>
        <v/>
      </c>
      <c r="EB62" s="6" t="str">
        <f t="shared" si="185"/>
        <v/>
      </c>
      <c r="EC62" s="173" t="str">
        <f t="shared" si="186"/>
        <v/>
      </c>
      <c r="ED62" s="5" t="str">
        <f t="shared" si="187"/>
        <v/>
      </c>
      <c r="EE62" s="4" t="str">
        <f t="shared" si="188"/>
        <v/>
      </c>
      <c r="EF62" s="5" t="str">
        <f t="shared" si="189"/>
        <v/>
      </c>
      <c r="EG62" s="10" t="str">
        <f t="shared" si="190"/>
        <v/>
      </c>
      <c r="EH62" s="9" t="str">
        <f t="shared" si="191"/>
        <v/>
      </c>
      <c r="EI62" s="5" t="str">
        <f t="shared" si="192"/>
        <v/>
      </c>
      <c r="EJ62" s="6" t="str">
        <f t="shared" si="193"/>
        <v/>
      </c>
      <c r="EK62" s="236" t="str">
        <f t="shared" si="194"/>
        <v/>
      </c>
      <c r="EL62" s="238" t="str">
        <f t="shared" si="195"/>
        <v/>
      </c>
      <c r="EM62" s="4" t="str">
        <f t="shared" si="196"/>
        <v/>
      </c>
      <c r="EN62" s="5" t="str">
        <f t="shared" si="197"/>
        <v/>
      </c>
      <c r="EO62" s="10" t="str">
        <f t="shared" si="198"/>
        <v/>
      </c>
      <c r="EP62" s="9" t="str">
        <f t="shared" si="199"/>
        <v/>
      </c>
      <c r="EQ62" s="5" t="str">
        <f t="shared" si="200"/>
        <v/>
      </c>
      <c r="ER62" s="7" t="str">
        <f t="shared" si="201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2"/>
        <v/>
      </c>
      <c r="EZ62" s="51" t="str">
        <f t="shared" si="203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4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6"/>
        <v/>
      </c>
      <c r="FK62" s="4" t="str">
        <f t="shared" si="568"/>
        <v/>
      </c>
      <c r="FL62" s="5" t="str">
        <f t="shared" si="207"/>
        <v/>
      </c>
      <c r="FM62" s="8" t="str">
        <f t="shared" si="208"/>
        <v/>
      </c>
      <c r="FN62" s="9" t="str">
        <f t="shared" si="209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0"/>
        <v/>
      </c>
      <c r="FS62" s="9" t="str">
        <f t="shared" si="211"/>
        <v/>
      </c>
      <c r="FT62" s="6" t="str">
        <f t="shared" si="212"/>
        <v/>
      </c>
      <c r="FU62" s="4" t="str">
        <f t="shared" si="213"/>
        <v/>
      </c>
      <c r="FV62" s="5" t="str">
        <f t="shared" si="214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5"/>
        <v/>
      </c>
      <c r="GB62" s="4" t="str">
        <f t="shared" si="216"/>
        <v/>
      </c>
      <c r="GC62" s="5" t="str">
        <f t="shared" si="217"/>
        <v/>
      </c>
      <c r="GD62" s="10" t="str">
        <f t="shared" si="218"/>
        <v/>
      </c>
      <c r="GE62" s="311" t="str">
        <f t="shared" si="219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0"/>
        <v/>
      </c>
      <c r="GK62" s="174" t="str">
        <f t="shared" si="575"/>
        <v/>
      </c>
      <c r="GL62" s="174" t="str">
        <f t="shared" si="221"/>
        <v/>
      </c>
      <c r="GM62" s="177" t="str">
        <f t="shared" si="244"/>
        <v/>
      </c>
      <c r="GN62" s="280" t="str">
        <f t="shared" si="222"/>
        <v/>
      </c>
      <c r="GO62" s="4" t="str">
        <f t="shared" si="223"/>
        <v/>
      </c>
      <c r="GP62" s="8" t="str">
        <f t="shared" si="245"/>
        <v/>
      </c>
      <c r="GQ62" s="177" t="str">
        <f t="shared" si="224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5"/>
        <v/>
      </c>
      <c r="HC62" s="343" t="str">
        <f t="shared" si="226"/>
        <v/>
      </c>
      <c r="HD62" s="363" t="str">
        <f t="shared" si="227"/>
        <v/>
      </c>
      <c r="HE62" s="344" t="str">
        <f t="shared" si="584"/>
        <v/>
      </c>
      <c r="HF62" s="5" t="str">
        <f t="shared" si="585"/>
        <v/>
      </c>
      <c r="HG62" s="343" t="str">
        <f t="shared" si="228"/>
        <v/>
      </c>
      <c r="HH62" s="349" t="str">
        <f t="shared" si="229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34" t="str">
        <f t="shared" si="455"/>
        <v/>
      </c>
      <c r="HN62" s="935" t="str">
        <f t="shared" si="456"/>
        <v/>
      </c>
      <c r="HO62" s="936"/>
      <c r="HP62" s="937"/>
      <c r="HQ62" s="935" t="str">
        <f t="shared" si="457"/>
        <v/>
      </c>
      <c r="HR62" s="938" t="str">
        <f t="shared" si="458"/>
        <v/>
      </c>
      <c r="HS62" s="939" t="str">
        <f t="shared" si="507"/>
        <v/>
      </c>
      <c r="HT62" s="940" t="str">
        <f t="shared" si="459"/>
        <v/>
      </c>
      <c r="HU62" s="941" t="str">
        <f t="shared" si="460"/>
        <v/>
      </c>
      <c r="HV62" s="942" t="str">
        <f t="shared" si="461"/>
        <v/>
      </c>
      <c r="HW62" s="943" t="str">
        <f t="shared" si="462"/>
        <v/>
      </c>
      <c r="HX62" s="944" t="str">
        <f t="shared" si="463"/>
        <v/>
      </c>
      <c r="HY62" s="943" t="str">
        <f t="shared" si="464"/>
        <v/>
      </c>
      <c r="HZ62" s="945" t="str">
        <f t="shared" si="465"/>
        <v/>
      </c>
      <c r="IA62" s="946" t="str">
        <f t="shared" si="466"/>
        <v/>
      </c>
      <c r="IB62" s="947" t="str">
        <f t="shared" si="467"/>
        <v/>
      </c>
      <c r="IC62" s="841" t="str">
        <f t="shared" si="468"/>
        <v/>
      </c>
      <c r="ID62" s="351" t="str">
        <f t="shared" si="469"/>
        <v/>
      </c>
      <c r="IE62" s="843" t="str">
        <f t="shared" si="470"/>
        <v/>
      </c>
      <c r="IG62" s="789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7" t="str">
        <f t="shared" si="230"/>
        <v/>
      </c>
      <c r="IJ62" s="967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71"/>
        <v/>
      </c>
      <c r="IM62" s="482" t="str">
        <f t="shared" si="231"/>
        <v/>
      </c>
      <c r="IN62" s="670" t="str">
        <f t="shared" si="472"/>
        <v/>
      </c>
      <c r="IO62" s="702">
        <v>7.2712423816287302E-3</v>
      </c>
      <c r="IP62" s="5" t="str">
        <f t="shared" si="473"/>
        <v/>
      </c>
      <c r="IQ62" s="714">
        <v>90</v>
      </c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 t="str">
        <f t="shared" si="308"/>
        <v/>
      </c>
      <c r="B63" s="578" t="str">
        <f t="shared" ref="B63:D63" si="603">IFERROR(O218+($A63*-E63),"")</f>
        <v/>
      </c>
      <c r="C63" s="572" t="str">
        <f t="shared" si="603"/>
        <v/>
      </c>
      <c r="D63" s="576" t="str">
        <f t="shared" si="603"/>
        <v/>
      </c>
      <c r="E63" s="580" t="str">
        <f t="shared" ref="E63:K63" si="604">R218</f>
        <v/>
      </c>
      <c r="F63" s="572" t="str">
        <f t="shared" si="604"/>
        <v/>
      </c>
      <c r="G63" s="579" t="str">
        <f t="shared" si="604"/>
        <v/>
      </c>
      <c r="H63" s="580" t="str">
        <f t="shared" si="604"/>
        <v/>
      </c>
      <c r="I63" s="572" t="str">
        <f t="shared" si="604"/>
        <v/>
      </c>
      <c r="J63" s="483" t="str">
        <f t="shared" si="92"/>
        <v/>
      </c>
      <c r="K63" s="805" t="str">
        <f t="shared" si="604"/>
        <v/>
      </c>
      <c r="L63" s="309"/>
      <c r="M63" s="164" t="str">
        <f t="shared" si="311"/>
        <v/>
      </c>
      <c r="N63" s="575" t="str">
        <f t="shared" si="312"/>
        <v/>
      </c>
      <c r="O63" s="572" t="str">
        <f t="shared" si="313"/>
        <v/>
      </c>
      <c r="P63" s="576" t="str">
        <f t="shared" si="314"/>
        <v/>
      </c>
      <c r="Q63" s="528" t="str">
        <f t="shared" si="134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135"/>
        <v/>
      </c>
      <c r="W63" s="528" t="str">
        <f t="shared" si="256"/>
        <v/>
      </c>
      <c r="X63" s="572" t="str">
        <f t="shared" si="97"/>
        <v/>
      </c>
      <c r="Y63" s="573" t="str">
        <f t="shared" si="259"/>
        <v/>
      </c>
      <c r="Z63" s="575" t="str">
        <f t="shared" si="315"/>
        <v/>
      </c>
      <c r="AA63" s="572" t="str">
        <f t="shared" si="316"/>
        <v/>
      </c>
      <c r="AB63" s="572" t="str">
        <f t="shared" si="317"/>
        <v/>
      </c>
      <c r="AC63" s="579" t="str">
        <f t="shared" si="98"/>
        <v/>
      </c>
      <c r="AD63" s="580" t="str">
        <f t="shared" si="136"/>
        <v/>
      </c>
      <c r="AE63" s="572" t="str">
        <f t="shared" si="99"/>
        <v/>
      </c>
      <c r="AF63" s="576" t="str">
        <f t="shared" si="100"/>
        <v/>
      </c>
      <c r="AG63" s="545" t="str">
        <f t="shared" si="101"/>
        <v/>
      </c>
      <c r="AH63" s="546" t="str">
        <f t="shared" si="102"/>
        <v/>
      </c>
      <c r="AI63" s="528" t="str">
        <f t="shared" si="103"/>
        <v/>
      </c>
      <c r="AJ63" s="529" t="str">
        <f t="shared" si="104"/>
        <v/>
      </c>
      <c r="AK63" s="578" t="str">
        <f t="shared" si="234"/>
        <v/>
      </c>
      <c r="AL63" s="572" t="str">
        <f t="shared" si="105"/>
        <v/>
      </c>
      <c r="AM63" s="577" t="str">
        <f t="shared" si="106"/>
        <v/>
      </c>
      <c r="AN63" s="524" t="str">
        <f t="shared" si="107"/>
        <v/>
      </c>
      <c r="AO63" s="525" t="str">
        <f t="shared" si="590"/>
        <v/>
      </c>
      <c r="AP63" s="528" t="str">
        <f t="shared" si="109"/>
        <v/>
      </c>
      <c r="AQ63" s="529" t="str">
        <f t="shared" si="318"/>
        <v/>
      </c>
      <c r="AS63" s="899" t="str">
        <f t="shared" si="510"/>
        <v/>
      </c>
      <c r="AT63" s="895" t="str">
        <f t="shared" si="319"/>
        <v/>
      </c>
      <c r="AU63" s="418"/>
      <c r="AV63" s="164" t="str">
        <f t="shared" si="320"/>
        <v/>
      </c>
      <c r="AW63" s="796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235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0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1"/>
        <v/>
      </c>
      <c r="BP63" s="5" t="str">
        <f t="shared" si="142"/>
        <v/>
      </c>
      <c r="BQ63" s="5" t="str">
        <f t="shared" si="143"/>
        <v/>
      </c>
      <c r="BR63" s="6" t="str">
        <f t="shared" si="144"/>
        <v/>
      </c>
      <c r="BS63" s="4" t="str">
        <f t="shared" si="554"/>
        <v/>
      </c>
      <c r="BT63" s="5" t="str">
        <f t="shared" si="554"/>
        <v/>
      </c>
      <c r="BU63" s="10" t="str">
        <f t="shared" si="111"/>
        <v/>
      </c>
      <c r="BV63" s="9" t="str">
        <f t="shared" si="112"/>
        <v/>
      </c>
      <c r="BW63" s="5" t="str">
        <f t="shared" si="113"/>
        <v/>
      </c>
      <c r="BX63" s="8" t="str">
        <f t="shared" si="114"/>
        <v/>
      </c>
      <c r="BY63" s="173" t="str">
        <f t="shared" si="115"/>
        <v/>
      </c>
      <c r="BZ63" s="5" t="str">
        <f t="shared" si="116"/>
        <v/>
      </c>
      <c r="CA63" s="6" t="str">
        <f t="shared" si="117"/>
        <v/>
      </c>
      <c r="CB63" s="4" t="str">
        <f t="shared" si="145"/>
        <v/>
      </c>
      <c r="CC63" s="5" t="str">
        <f t="shared" si="146"/>
        <v/>
      </c>
      <c r="CD63" s="5" t="str">
        <f t="shared" si="147"/>
        <v/>
      </c>
      <c r="CE63" s="6" t="str">
        <f t="shared" si="148"/>
        <v/>
      </c>
      <c r="CF63" s="4" t="str">
        <f t="shared" si="149"/>
        <v/>
      </c>
      <c r="CG63" s="5" t="str">
        <f t="shared" si="150"/>
        <v/>
      </c>
      <c r="CH63" s="5" t="str">
        <f t="shared" si="151"/>
        <v/>
      </c>
      <c r="CI63" s="4" t="str">
        <f t="shared" si="118"/>
        <v/>
      </c>
      <c r="CJ63" s="5" t="str">
        <f t="shared" si="119"/>
        <v/>
      </c>
      <c r="CK63" s="8" t="str">
        <f t="shared" si="120"/>
        <v/>
      </c>
      <c r="CL63" s="173" t="str">
        <f t="shared" si="121"/>
        <v/>
      </c>
      <c r="CM63" s="5" t="str">
        <f t="shared" si="122"/>
        <v/>
      </c>
      <c r="CN63" s="6" t="str">
        <f t="shared" si="123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2"/>
        <v/>
      </c>
      <c r="CS63" s="8" t="str">
        <f t="shared" si="153"/>
        <v/>
      </c>
      <c r="CT63" s="9" t="str">
        <f t="shared" si="154"/>
        <v/>
      </c>
      <c r="CU63" s="6" t="str">
        <f t="shared" si="155"/>
        <v/>
      </c>
      <c r="CV63" s="4" t="str">
        <f t="shared" si="238"/>
        <v/>
      </c>
      <c r="CW63" s="5" t="str">
        <f t="shared" si="156"/>
        <v/>
      </c>
      <c r="CX63" s="8" t="str">
        <f t="shared" si="157"/>
        <v/>
      </c>
      <c r="CY63" s="9" t="str">
        <f t="shared" si="158"/>
        <v/>
      </c>
      <c r="CZ63" s="5" t="str">
        <f t="shared" si="159"/>
        <v/>
      </c>
      <c r="DA63" s="6" t="str">
        <f t="shared" si="160"/>
        <v/>
      </c>
      <c r="DB63" s="4" t="str">
        <f t="shared" si="555"/>
        <v/>
      </c>
      <c r="DC63" s="5" t="str">
        <f t="shared" si="555"/>
        <v/>
      </c>
      <c r="DD63" s="10" t="str">
        <f t="shared" si="162"/>
        <v/>
      </c>
      <c r="DE63" s="9" t="str">
        <f t="shared" si="556"/>
        <v/>
      </c>
      <c r="DF63" s="5" t="str">
        <f t="shared" si="556"/>
        <v/>
      </c>
      <c r="DG63" s="10" t="str">
        <f t="shared" si="164"/>
        <v/>
      </c>
      <c r="DH63" s="70" t="str">
        <f t="shared" si="165"/>
        <v/>
      </c>
      <c r="DI63" s="4" t="str">
        <f t="shared" si="166"/>
        <v/>
      </c>
      <c r="DJ63" s="5" t="str">
        <f t="shared" si="167"/>
        <v/>
      </c>
      <c r="DK63" s="10" t="str">
        <f t="shared" si="168"/>
        <v/>
      </c>
      <c r="DL63" s="9" t="str">
        <f t="shared" si="169"/>
        <v/>
      </c>
      <c r="DM63" s="173" t="str">
        <f t="shared" si="170"/>
        <v/>
      </c>
      <c r="DN63" s="178" t="str">
        <f t="shared" si="171"/>
        <v/>
      </c>
      <c r="DO63" s="9" t="str">
        <f t="shared" si="172"/>
        <v/>
      </c>
      <c r="DP63" s="173" t="str">
        <f t="shared" si="173"/>
        <v/>
      </c>
      <c r="DQ63" s="11" t="str">
        <f t="shared" si="174"/>
        <v/>
      </c>
      <c r="DR63" s="173" t="str">
        <f t="shared" si="175"/>
        <v/>
      </c>
      <c r="DS63" s="5" t="str">
        <f t="shared" si="176"/>
        <v/>
      </c>
      <c r="DT63" s="5" t="str">
        <f t="shared" si="177"/>
        <v/>
      </c>
      <c r="DU63" s="5" t="str">
        <f t="shared" si="178"/>
        <v/>
      </c>
      <c r="DV63" s="5" t="str">
        <f t="shared" si="179"/>
        <v/>
      </c>
      <c r="DW63" s="5" t="str">
        <f t="shared" si="180"/>
        <v/>
      </c>
      <c r="DX63" s="167" t="str">
        <f t="shared" si="181"/>
        <v/>
      </c>
      <c r="DY63" s="9" t="str">
        <f t="shared" si="182"/>
        <v/>
      </c>
      <c r="DZ63" s="5" t="str">
        <f t="shared" si="183"/>
        <v/>
      </c>
      <c r="EA63" s="10" t="str">
        <f t="shared" si="184"/>
        <v/>
      </c>
      <c r="EB63" s="6" t="str">
        <f t="shared" si="185"/>
        <v/>
      </c>
      <c r="EC63" s="173" t="str">
        <f t="shared" si="186"/>
        <v/>
      </c>
      <c r="ED63" s="5" t="str">
        <f t="shared" si="187"/>
        <v/>
      </c>
      <c r="EE63" s="4" t="str">
        <f t="shared" si="188"/>
        <v/>
      </c>
      <c r="EF63" s="5" t="str">
        <f t="shared" si="189"/>
        <v/>
      </c>
      <c r="EG63" s="10" t="str">
        <f t="shared" si="190"/>
        <v/>
      </c>
      <c r="EH63" s="9" t="str">
        <f t="shared" si="191"/>
        <v/>
      </c>
      <c r="EI63" s="5" t="str">
        <f t="shared" si="192"/>
        <v/>
      </c>
      <c r="EJ63" s="6" t="str">
        <f t="shared" si="193"/>
        <v/>
      </c>
      <c r="EK63" s="236" t="str">
        <f t="shared" si="194"/>
        <v/>
      </c>
      <c r="EL63" s="238" t="str">
        <f t="shared" si="195"/>
        <v/>
      </c>
      <c r="EM63" s="4" t="str">
        <f t="shared" si="196"/>
        <v/>
      </c>
      <c r="EN63" s="5" t="str">
        <f t="shared" si="197"/>
        <v/>
      </c>
      <c r="EO63" s="10" t="str">
        <f t="shared" si="198"/>
        <v/>
      </c>
      <c r="EP63" s="9" t="str">
        <f t="shared" si="199"/>
        <v/>
      </c>
      <c r="EQ63" s="5" t="str">
        <f t="shared" si="200"/>
        <v/>
      </c>
      <c r="ER63" s="7" t="str">
        <f t="shared" si="201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2"/>
        <v/>
      </c>
      <c r="EZ63" s="51" t="str">
        <f t="shared" si="203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4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6"/>
        <v/>
      </c>
      <c r="FK63" s="4" t="str">
        <f t="shared" si="568"/>
        <v/>
      </c>
      <c r="FL63" s="5" t="str">
        <f t="shared" si="207"/>
        <v/>
      </c>
      <c r="FM63" s="8" t="str">
        <f t="shared" si="208"/>
        <v/>
      </c>
      <c r="FN63" s="9" t="str">
        <f t="shared" si="209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0"/>
        <v/>
      </c>
      <c r="FS63" s="9" t="str">
        <f t="shared" si="211"/>
        <v/>
      </c>
      <c r="FT63" s="6" t="str">
        <f t="shared" si="212"/>
        <v/>
      </c>
      <c r="FU63" s="4" t="str">
        <f t="shared" si="213"/>
        <v/>
      </c>
      <c r="FV63" s="5" t="str">
        <f t="shared" si="214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5"/>
        <v/>
      </c>
      <c r="GB63" s="4" t="str">
        <f t="shared" si="216"/>
        <v/>
      </c>
      <c r="GC63" s="5" t="str">
        <f t="shared" si="217"/>
        <v/>
      </c>
      <c r="GD63" s="10" t="str">
        <f t="shared" si="218"/>
        <v/>
      </c>
      <c r="GE63" s="311" t="str">
        <f t="shared" si="219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0"/>
        <v/>
      </c>
      <c r="GK63" s="174" t="str">
        <f t="shared" si="575"/>
        <v/>
      </c>
      <c r="GL63" s="174" t="str">
        <f t="shared" si="221"/>
        <v/>
      </c>
      <c r="GM63" s="177" t="str">
        <f t="shared" si="244"/>
        <v/>
      </c>
      <c r="GN63" s="280" t="str">
        <f t="shared" si="222"/>
        <v/>
      </c>
      <c r="GO63" s="4" t="str">
        <f t="shared" si="223"/>
        <v/>
      </c>
      <c r="GP63" s="8" t="str">
        <f t="shared" si="245"/>
        <v/>
      </c>
      <c r="GQ63" s="177" t="str">
        <f t="shared" si="224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5"/>
        <v/>
      </c>
      <c r="HC63" s="343" t="str">
        <f t="shared" si="226"/>
        <v/>
      </c>
      <c r="HD63" s="363" t="str">
        <f t="shared" si="227"/>
        <v/>
      </c>
      <c r="HE63" s="344" t="str">
        <f t="shared" si="584"/>
        <v/>
      </c>
      <c r="HF63" s="5" t="str">
        <f t="shared" si="585"/>
        <v/>
      </c>
      <c r="HG63" s="343" t="str">
        <f t="shared" si="228"/>
        <v/>
      </c>
      <c r="HH63" s="349" t="str">
        <f t="shared" si="229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34" t="str">
        <f t="shared" si="455"/>
        <v/>
      </c>
      <c r="HN63" s="935" t="str">
        <f t="shared" si="456"/>
        <v/>
      </c>
      <c r="HO63" s="936"/>
      <c r="HP63" s="937"/>
      <c r="HQ63" s="935" t="str">
        <f t="shared" si="457"/>
        <v/>
      </c>
      <c r="HR63" s="938" t="str">
        <f t="shared" si="458"/>
        <v/>
      </c>
      <c r="HS63" s="939" t="str">
        <f t="shared" si="507"/>
        <v/>
      </c>
      <c r="HT63" s="940" t="str">
        <f t="shared" si="459"/>
        <v/>
      </c>
      <c r="HU63" s="941" t="str">
        <f t="shared" si="460"/>
        <v/>
      </c>
      <c r="HV63" s="942" t="str">
        <f t="shared" si="461"/>
        <v/>
      </c>
      <c r="HW63" s="943" t="str">
        <f t="shared" si="462"/>
        <v/>
      </c>
      <c r="HX63" s="944" t="str">
        <f t="shared" si="463"/>
        <v/>
      </c>
      <c r="HY63" s="943" t="str">
        <f t="shared" si="464"/>
        <v/>
      </c>
      <c r="HZ63" s="945" t="str">
        <f t="shared" si="465"/>
        <v/>
      </c>
      <c r="IA63" s="946" t="str">
        <f t="shared" si="466"/>
        <v/>
      </c>
      <c r="IB63" s="947" t="str">
        <f t="shared" si="467"/>
        <v/>
      </c>
      <c r="IC63" s="841" t="str">
        <f t="shared" si="468"/>
        <v/>
      </c>
      <c r="ID63" s="351" t="str">
        <f t="shared" si="469"/>
        <v/>
      </c>
      <c r="IE63" s="843" t="str">
        <f t="shared" si="470"/>
        <v/>
      </c>
      <c r="IG63" s="789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7" t="str">
        <f t="shared" si="230"/>
        <v/>
      </c>
      <c r="IJ63" s="967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71"/>
        <v/>
      </c>
      <c r="IM63" s="482" t="str">
        <f t="shared" si="231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 t="str">
        <f t="shared" si="308"/>
        <v/>
      </c>
      <c r="B64" s="578" t="str">
        <f t="shared" ref="B64:D64" si="605">IFERROR(O219+($A64*-E64),"")</f>
        <v/>
      </c>
      <c r="C64" s="572" t="str">
        <f t="shared" si="605"/>
        <v/>
      </c>
      <c r="D64" s="576" t="str">
        <f t="shared" si="605"/>
        <v/>
      </c>
      <c r="E64" s="580" t="str">
        <f t="shared" ref="E64:K64" si="606">R219</f>
        <v/>
      </c>
      <c r="F64" s="572" t="str">
        <f t="shared" si="606"/>
        <v/>
      </c>
      <c r="G64" s="579" t="str">
        <f t="shared" si="606"/>
        <v/>
      </c>
      <c r="H64" s="580" t="str">
        <f t="shared" si="606"/>
        <v/>
      </c>
      <c r="I64" s="572" t="str">
        <f t="shared" si="606"/>
        <v/>
      </c>
      <c r="J64" s="483" t="str">
        <f t="shared" si="92"/>
        <v/>
      </c>
      <c r="K64" s="805" t="str">
        <f t="shared" si="606"/>
        <v/>
      </c>
      <c r="L64" s="309"/>
      <c r="M64" s="164" t="str">
        <f t="shared" si="311"/>
        <v/>
      </c>
      <c r="N64" s="575" t="str">
        <f t="shared" si="312"/>
        <v/>
      </c>
      <c r="O64" s="572" t="str">
        <f t="shared" si="313"/>
        <v/>
      </c>
      <c r="P64" s="576" t="str">
        <f t="shared" si="314"/>
        <v/>
      </c>
      <c r="Q64" s="528" t="str">
        <f t="shared" si="134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135"/>
        <v/>
      </c>
      <c r="W64" s="528" t="str">
        <f t="shared" si="256"/>
        <v/>
      </c>
      <c r="X64" s="572" t="str">
        <f t="shared" si="97"/>
        <v/>
      </c>
      <c r="Y64" s="573" t="str">
        <f t="shared" si="259"/>
        <v/>
      </c>
      <c r="Z64" s="575" t="str">
        <f t="shared" si="315"/>
        <v/>
      </c>
      <c r="AA64" s="572" t="str">
        <f t="shared" si="316"/>
        <v/>
      </c>
      <c r="AB64" s="572" t="str">
        <f t="shared" si="317"/>
        <v/>
      </c>
      <c r="AC64" s="579" t="str">
        <f t="shared" si="98"/>
        <v/>
      </c>
      <c r="AD64" s="580" t="str">
        <f t="shared" si="136"/>
        <v/>
      </c>
      <c r="AE64" s="572" t="str">
        <f t="shared" si="99"/>
        <v/>
      </c>
      <c r="AF64" s="576" t="str">
        <f t="shared" si="100"/>
        <v/>
      </c>
      <c r="AG64" s="545" t="str">
        <f t="shared" si="101"/>
        <v/>
      </c>
      <c r="AH64" s="546" t="str">
        <f t="shared" si="102"/>
        <v/>
      </c>
      <c r="AI64" s="528" t="str">
        <f t="shared" si="103"/>
        <v/>
      </c>
      <c r="AJ64" s="529" t="str">
        <f t="shared" si="104"/>
        <v/>
      </c>
      <c r="AK64" s="578" t="str">
        <f t="shared" si="234"/>
        <v/>
      </c>
      <c r="AL64" s="572" t="str">
        <f t="shared" si="105"/>
        <v/>
      </c>
      <c r="AM64" s="577" t="str">
        <f t="shared" si="106"/>
        <v/>
      </c>
      <c r="AN64" s="524" t="str">
        <f t="shared" si="107"/>
        <v/>
      </c>
      <c r="AO64" s="525" t="str">
        <f t="shared" si="590"/>
        <v/>
      </c>
      <c r="AP64" s="528" t="str">
        <f t="shared" si="109"/>
        <v/>
      </c>
      <c r="AQ64" s="529" t="str">
        <f t="shared" si="318"/>
        <v/>
      </c>
      <c r="AS64" s="899" t="str">
        <f t="shared" si="510"/>
        <v/>
      </c>
      <c r="AT64" s="895" t="str">
        <f t="shared" si="319"/>
        <v/>
      </c>
      <c r="AU64" s="418"/>
      <c r="AV64" s="164" t="str">
        <f t="shared" si="320"/>
        <v/>
      </c>
      <c r="AW64" s="796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235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0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1"/>
        <v/>
      </c>
      <c r="BP64" s="5" t="str">
        <f t="shared" si="142"/>
        <v/>
      </c>
      <c r="BQ64" s="5" t="str">
        <f t="shared" si="143"/>
        <v/>
      </c>
      <c r="BR64" s="6" t="str">
        <f t="shared" si="144"/>
        <v/>
      </c>
      <c r="BS64" s="4" t="str">
        <f t="shared" si="554"/>
        <v/>
      </c>
      <c r="BT64" s="5" t="str">
        <f t="shared" si="554"/>
        <v/>
      </c>
      <c r="BU64" s="10" t="str">
        <f t="shared" si="111"/>
        <v/>
      </c>
      <c r="BV64" s="9" t="str">
        <f t="shared" si="112"/>
        <v/>
      </c>
      <c r="BW64" s="5" t="str">
        <f t="shared" si="113"/>
        <v/>
      </c>
      <c r="BX64" s="8" t="str">
        <f t="shared" si="114"/>
        <v/>
      </c>
      <c r="BY64" s="173" t="str">
        <f t="shared" si="115"/>
        <v/>
      </c>
      <c r="BZ64" s="5" t="str">
        <f t="shared" si="116"/>
        <v/>
      </c>
      <c r="CA64" s="6" t="str">
        <f t="shared" si="117"/>
        <v/>
      </c>
      <c r="CB64" s="4" t="str">
        <f t="shared" si="145"/>
        <v/>
      </c>
      <c r="CC64" s="5" t="str">
        <f t="shared" si="146"/>
        <v/>
      </c>
      <c r="CD64" s="5" t="str">
        <f t="shared" si="147"/>
        <v/>
      </c>
      <c r="CE64" s="6" t="str">
        <f t="shared" si="148"/>
        <v/>
      </c>
      <c r="CF64" s="4" t="str">
        <f t="shared" si="149"/>
        <v/>
      </c>
      <c r="CG64" s="5" t="str">
        <f t="shared" si="150"/>
        <v/>
      </c>
      <c r="CH64" s="5" t="str">
        <f t="shared" si="151"/>
        <v/>
      </c>
      <c r="CI64" s="4" t="str">
        <f t="shared" si="118"/>
        <v/>
      </c>
      <c r="CJ64" s="5" t="str">
        <f t="shared" si="119"/>
        <v/>
      </c>
      <c r="CK64" s="8" t="str">
        <f t="shared" si="120"/>
        <v/>
      </c>
      <c r="CL64" s="173" t="str">
        <f t="shared" si="121"/>
        <v/>
      </c>
      <c r="CM64" s="5" t="str">
        <f t="shared" si="122"/>
        <v/>
      </c>
      <c r="CN64" s="6" t="str">
        <f t="shared" si="123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2"/>
        <v/>
      </c>
      <c r="CS64" s="8" t="str">
        <f t="shared" si="153"/>
        <v/>
      </c>
      <c r="CT64" s="9" t="str">
        <f t="shared" si="154"/>
        <v/>
      </c>
      <c r="CU64" s="6" t="str">
        <f t="shared" si="155"/>
        <v/>
      </c>
      <c r="CV64" s="4" t="str">
        <f t="shared" si="238"/>
        <v/>
      </c>
      <c r="CW64" s="5" t="str">
        <f t="shared" si="156"/>
        <v/>
      </c>
      <c r="CX64" s="8" t="str">
        <f t="shared" si="157"/>
        <v/>
      </c>
      <c r="CY64" s="9" t="str">
        <f t="shared" si="158"/>
        <v/>
      </c>
      <c r="CZ64" s="5" t="str">
        <f t="shared" si="159"/>
        <v/>
      </c>
      <c r="DA64" s="6" t="str">
        <f t="shared" si="160"/>
        <v/>
      </c>
      <c r="DB64" s="4" t="str">
        <f t="shared" si="555"/>
        <v/>
      </c>
      <c r="DC64" s="5" t="str">
        <f t="shared" si="555"/>
        <v/>
      </c>
      <c r="DD64" s="10" t="str">
        <f t="shared" si="162"/>
        <v/>
      </c>
      <c r="DE64" s="9" t="str">
        <f t="shared" si="556"/>
        <v/>
      </c>
      <c r="DF64" s="5" t="str">
        <f t="shared" si="556"/>
        <v/>
      </c>
      <c r="DG64" s="10" t="str">
        <f t="shared" si="164"/>
        <v/>
      </c>
      <c r="DH64" s="70" t="str">
        <f t="shared" si="165"/>
        <v/>
      </c>
      <c r="DI64" s="4" t="str">
        <f t="shared" si="166"/>
        <v/>
      </c>
      <c r="DJ64" s="5" t="str">
        <f t="shared" si="167"/>
        <v/>
      </c>
      <c r="DK64" s="10" t="str">
        <f t="shared" si="168"/>
        <v/>
      </c>
      <c r="DL64" s="9" t="str">
        <f t="shared" si="169"/>
        <v/>
      </c>
      <c r="DM64" s="173" t="str">
        <f t="shared" si="170"/>
        <v/>
      </c>
      <c r="DN64" s="178" t="str">
        <f t="shared" si="171"/>
        <v/>
      </c>
      <c r="DO64" s="9" t="str">
        <f t="shared" si="172"/>
        <v/>
      </c>
      <c r="DP64" s="173" t="str">
        <f t="shared" si="173"/>
        <v/>
      </c>
      <c r="DQ64" s="11" t="str">
        <f t="shared" si="174"/>
        <v/>
      </c>
      <c r="DR64" s="173" t="str">
        <f t="shared" si="175"/>
        <v/>
      </c>
      <c r="DS64" s="5" t="str">
        <f t="shared" si="176"/>
        <v/>
      </c>
      <c r="DT64" s="5" t="str">
        <f t="shared" si="177"/>
        <v/>
      </c>
      <c r="DU64" s="5" t="str">
        <f t="shared" si="178"/>
        <v/>
      </c>
      <c r="DV64" s="5" t="str">
        <f t="shared" si="179"/>
        <v/>
      </c>
      <c r="DW64" s="5" t="str">
        <f t="shared" si="180"/>
        <v/>
      </c>
      <c r="DX64" s="167" t="str">
        <f t="shared" si="181"/>
        <v/>
      </c>
      <c r="DY64" s="9" t="str">
        <f t="shared" si="182"/>
        <v/>
      </c>
      <c r="DZ64" s="5" t="str">
        <f t="shared" si="183"/>
        <v/>
      </c>
      <c r="EA64" s="10" t="str">
        <f t="shared" si="184"/>
        <v/>
      </c>
      <c r="EB64" s="6" t="str">
        <f t="shared" si="185"/>
        <v/>
      </c>
      <c r="EC64" s="173" t="str">
        <f t="shared" si="186"/>
        <v/>
      </c>
      <c r="ED64" s="5" t="str">
        <f t="shared" si="187"/>
        <v/>
      </c>
      <c r="EE64" s="4" t="str">
        <f t="shared" si="188"/>
        <v/>
      </c>
      <c r="EF64" s="5" t="str">
        <f t="shared" si="189"/>
        <v/>
      </c>
      <c r="EG64" s="10" t="str">
        <f t="shared" si="190"/>
        <v/>
      </c>
      <c r="EH64" s="9" t="str">
        <f t="shared" si="191"/>
        <v/>
      </c>
      <c r="EI64" s="5" t="str">
        <f t="shared" si="192"/>
        <v/>
      </c>
      <c r="EJ64" s="6" t="str">
        <f t="shared" si="193"/>
        <v/>
      </c>
      <c r="EK64" s="236" t="str">
        <f t="shared" si="194"/>
        <v/>
      </c>
      <c r="EL64" s="238" t="str">
        <f t="shared" si="195"/>
        <v/>
      </c>
      <c r="EM64" s="4" t="str">
        <f t="shared" si="196"/>
        <v/>
      </c>
      <c r="EN64" s="5" t="str">
        <f t="shared" si="197"/>
        <v/>
      </c>
      <c r="EO64" s="10" t="str">
        <f t="shared" si="198"/>
        <v/>
      </c>
      <c r="EP64" s="9" t="str">
        <f t="shared" si="199"/>
        <v/>
      </c>
      <c r="EQ64" s="5" t="str">
        <f t="shared" si="200"/>
        <v/>
      </c>
      <c r="ER64" s="7" t="str">
        <f t="shared" si="201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2"/>
        <v/>
      </c>
      <c r="EZ64" s="51" t="str">
        <f t="shared" si="203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4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6"/>
        <v/>
      </c>
      <c r="FK64" s="4" t="str">
        <f t="shared" si="568"/>
        <v/>
      </c>
      <c r="FL64" s="5" t="str">
        <f t="shared" si="207"/>
        <v/>
      </c>
      <c r="FM64" s="8" t="str">
        <f t="shared" si="208"/>
        <v/>
      </c>
      <c r="FN64" s="9" t="str">
        <f t="shared" si="209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0"/>
        <v/>
      </c>
      <c r="FS64" s="9" t="str">
        <f t="shared" si="211"/>
        <v/>
      </c>
      <c r="FT64" s="6" t="str">
        <f t="shared" si="212"/>
        <v/>
      </c>
      <c r="FU64" s="4" t="str">
        <f t="shared" si="213"/>
        <v/>
      </c>
      <c r="FV64" s="5" t="str">
        <f t="shared" si="214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5"/>
        <v/>
      </c>
      <c r="GB64" s="4" t="str">
        <f t="shared" si="216"/>
        <v/>
      </c>
      <c r="GC64" s="5" t="str">
        <f t="shared" si="217"/>
        <v/>
      </c>
      <c r="GD64" s="10" t="str">
        <f t="shared" si="218"/>
        <v/>
      </c>
      <c r="GE64" s="311" t="str">
        <f t="shared" si="219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0"/>
        <v/>
      </c>
      <c r="GK64" s="174" t="str">
        <f t="shared" si="575"/>
        <v/>
      </c>
      <c r="GL64" s="174" t="str">
        <f t="shared" si="221"/>
        <v/>
      </c>
      <c r="GM64" s="177" t="str">
        <f t="shared" si="244"/>
        <v/>
      </c>
      <c r="GN64" s="280" t="str">
        <f t="shared" si="222"/>
        <v/>
      </c>
      <c r="GO64" s="4" t="str">
        <f t="shared" si="223"/>
        <v/>
      </c>
      <c r="GP64" s="8" t="str">
        <f t="shared" si="245"/>
        <v/>
      </c>
      <c r="GQ64" s="177" t="str">
        <f t="shared" si="224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5"/>
        <v/>
      </c>
      <c r="HC64" s="343" t="str">
        <f t="shared" si="226"/>
        <v/>
      </c>
      <c r="HD64" s="363" t="str">
        <f t="shared" si="227"/>
        <v/>
      </c>
      <c r="HE64" s="344" t="str">
        <f t="shared" si="584"/>
        <v/>
      </c>
      <c r="HF64" s="5" t="str">
        <f t="shared" si="585"/>
        <v/>
      </c>
      <c r="HG64" s="343" t="str">
        <f t="shared" si="228"/>
        <v/>
      </c>
      <c r="HH64" s="349" t="str">
        <f t="shared" si="229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34" t="str">
        <f t="shared" si="455"/>
        <v/>
      </c>
      <c r="HN64" s="935" t="str">
        <f t="shared" si="456"/>
        <v/>
      </c>
      <c r="HO64" s="936"/>
      <c r="HP64" s="937"/>
      <c r="HQ64" s="935" t="str">
        <f t="shared" si="457"/>
        <v/>
      </c>
      <c r="HR64" s="938" t="str">
        <f t="shared" si="458"/>
        <v/>
      </c>
      <c r="HS64" s="939" t="str">
        <f t="shared" si="507"/>
        <v/>
      </c>
      <c r="HT64" s="940" t="str">
        <f t="shared" si="459"/>
        <v/>
      </c>
      <c r="HU64" s="941" t="str">
        <f t="shared" si="460"/>
        <v/>
      </c>
      <c r="HV64" s="942" t="str">
        <f t="shared" si="461"/>
        <v/>
      </c>
      <c r="HW64" s="943" t="str">
        <f t="shared" si="462"/>
        <v/>
      </c>
      <c r="HX64" s="944" t="str">
        <f t="shared" si="463"/>
        <v/>
      </c>
      <c r="HY64" s="943" t="str">
        <f t="shared" si="464"/>
        <v/>
      </c>
      <c r="HZ64" s="945" t="str">
        <f t="shared" si="465"/>
        <v/>
      </c>
      <c r="IA64" s="946" t="str">
        <f t="shared" si="466"/>
        <v/>
      </c>
      <c r="IB64" s="947" t="str">
        <f t="shared" si="467"/>
        <v/>
      </c>
      <c r="IC64" s="841" t="str">
        <f t="shared" si="468"/>
        <v/>
      </c>
      <c r="ID64" s="351" t="str">
        <f t="shared" si="469"/>
        <v/>
      </c>
      <c r="IE64" s="843" t="str">
        <f t="shared" si="470"/>
        <v/>
      </c>
      <c r="IG64" s="789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7" t="str">
        <f t="shared" si="230"/>
        <v/>
      </c>
      <c r="IJ64" s="967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71"/>
        <v/>
      </c>
      <c r="IM64" s="482" t="str">
        <f t="shared" si="231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 t="str">
        <f t="shared" si="308"/>
        <v/>
      </c>
      <c r="B65" s="578" t="str">
        <f t="shared" ref="B65:D65" si="607">IFERROR(O220+($A65*-E65),"")</f>
        <v/>
      </c>
      <c r="C65" s="572" t="str">
        <f t="shared" si="607"/>
        <v/>
      </c>
      <c r="D65" s="576" t="str">
        <f t="shared" si="607"/>
        <v/>
      </c>
      <c r="E65" s="580" t="str">
        <f t="shared" ref="E65:K65" si="608">R220</f>
        <v/>
      </c>
      <c r="F65" s="572" t="str">
        <f t="shared" si="608"/>
        <v/>
      </c>
      <c r="G65" s="579" t="str">
        <f t="shared" si="608"/>
        <v/>
      </c>
      <c r="H65" s="580" t="str">
        <f t="shared" si="608"/>
        <v/>
      </c>
      <c r="I65" s="572" t="str">
        <f t="shared" si="608"/>
        <v/>
      </c>
      <c r="J65" s="483" t="str">
        <f t="shared" si="92"/>
        <v/>
      </c>
      <c r="K65" s="805" t="str">
        <f t="shared" si="608"/>
        <v/>
      </c>
      <c r="L65" s="309"/>
      <c r="M65" s="164" t="str">
        <f t="shared" si="311"/>
        <v/>
      </c>
      <c r="N65" s="575" t="str">
        <f t="shared" si="312"/>
        <v/>
      </c>
      <c r="O65" s="572" t="str">
        <f t="shared" si="313"/>
        <v/>
      </c>
      <c r="P65" s="576" t="str">
        <f t="shared" si="314"/>
        <v/>
      </c>
      <c r="Q65" s="528" t="str">
        <f t="shared" si="134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135"/>
        <v/>
      </c>
      <c r="W65" s="528" t="str">
        <f t="shared" si="256"/>
        <v/>
      </c>
      <c r="X65" s="572" t="str">
        <f t="shared" si="97"/>
        <v/>
      </c>
      <c r="Y65" s="573" t="str">
        <f t="shared" si="259"/>
        <v/>
      </c>
      <c r="Z65" s="575" t="str">
        <f t="shared" si="315"/>
        <v/>
      </c>
      <c r="AA65" s="572" t="str">
        <f t="shared" si="316"/>
        <v/>
      </c>
      <c r="AB65" s="572" t="str">
        <f t="shared" si="317"/>
        <v/>
      </c>
      <c r="AC65" s="579" t="str">
        <f t="shared" si="98"/>
        <v/>
      </c>
      <c r="AD65" s="580" t="str">
        <f t="shared" si="136"/>
        <v/>
      </c>
      <c r="AE65" s="572" t="str">
        <f t="shared" si="99"/>
        <v/>
      </c>
      <c r="AF65" s="576" t="str">
        <f t="shared" si="100"/>
        <v/>
      </c>
      <c r="AG65" s="545" t="str">
        <f t="shared" si="101"/>
        <v/>
      </c>
      <c r="AH65" s="546" t="str">
        <f t="shared" si="102"/>
        <v/>
      </c>
      <c r="AI65" s="528" t="str">
        <f t="shared" si="103"/>
        <v/>
      </c>
      <c r="AJ65" s="529" t="str">
        <f t="shared" si="104"/>
        <v/>
      </c>
      <c r="AK65" s="578" t="str">
        <f t="shared" si="234"/>
        <v/>
      </c>
      <c r="AL65" s="572" t="str">
        <f t="shared" si="105"/>
        <v/>
      </c>
      <c r="AM65" s="577" t="str">
        <f t="shared" si="106"/>
        <v/>
      </c>
      <c r="AN65" s="524" t="str">
        <f t="shared" si="107"/>
        <v/>
      </c>
      <c r="AO65" s="525" t="str">
        <f t="shared" si="590"/>
        <v/>
      </c>
      <c r="AP65" s="528" t="str">
        <f t="shared" si="109"/>
        <v/>
      </c>
      <c r="AQ65" s="529" t="str">
        <f t="shared" si="318"/>
        <v/>
      </c>
      <c r="AS65" s="899" t="str">
        <f t="shared" si="510"/>
        <v/>
      </c>
      <c r="AT65" s="895" t="str">
        <f t="shared" si="319"/>
        <v/>
      </c>
      <c r="AU65" s="418"/>
      <c r="AV65" s="164" t="str">
        <f t="shared" si="320"/>
        <v/>
      </c>
      <c r="AW65" s="796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235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0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1"/>
        <v/>
      </c>
      <c r="BP65" s="5" t="str">
        <f t="shared" si="142"/>
        <v/>
      </c>
      <c r="BQ65" s="5" t="str">
        <f t="shared" si="143"/>
        <v/>
      </c>
      <c r="BR65" s="6" t="str">
        <f t="shared" si="144"/>
        <v/>
      </c>
      <c r="BS65" s="4" t="str">
        <f t="shared" si="554"/>
        <v/>
      </c>
      <c r="BT65" s="5" t="str">
        <f t="shared" si="554"/>
        <v/>
      </c>
      <c r="BU65" s="10" t="str">
        <f t="shared" si="111"/>
        <v/>
      </c>
      <c r="BV65" s="9" t="str">
        <f t="shared" si="112"/>
        <v/>
      </c>
      <c r="BW65" s="5" t="str">
        <f t="shared" si="113"/>
        <v/>
      </c>
      <c r="BX65" s="8" t="str">
        <f t="shared" si="114"/>
        <v/>
      </c>
      <c r="BY65" s="173" t="str">
        <f t="shared" si="115"/>
        <v/>
      </c>
      <c r="BZ65" s="5" t="str">
        <f t="shared" si="116"/>
        <v/>
      </c>
      <c r="CA65" s="6" t="str">
        <f t="shared" si="117"/>
        <v/>
      </c>
      <c r="CB65" s="4" t="str">
        <f t="shared" si="145"/>
        <v/>
      </c>
      <c r="CC65" s="5" t="str">
        <f t="shared" si="146"/>
        <v/>
      </c>
      <c r="CD65" s="5" t="str">
        <f t="shared" si="147"/>
        <v/>
      </c>
      <c r="CE65" s="6" t="str">
        <f t="shared" si="148"/>
        <v/>
      </c>
      <c r="CF65" s="4" t="str">
        <f t="shared" si="149"/>
        <v/>
      </c>
      <c r="CG65" s="5" t="str">
        <f t="shared" si="150"/>
        <v/>
      </c>
      <c r="CH65" s="5" t="str">
        <f t="shared" si="151"/>
        <v/>
      </c>
      <c r="CI65" s="4" t="str">
        <f t="shared" si="118"/>
        <v/>
      </c>
      <c r="CJ65" s="5" t="str">
        <f t="shared" si="119"/>
        <v/>
      </c>
      <c r="CK65" s="8" t="str">
        <f t="shared" si="120"/>
        <v/>
      </c>
      <c r="CL65" s="173" t="str">
        <f t="shared" si="121"/>
        <v/>
      </c>
      <c r="CM65" s="5" t="str">
        <f t="shared" si="122"/>
        <v/>
      </c>
      <c r="CN65" s="6" t="str">
        <f t="shared" si="123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2"/>
        <v/>
      </c>
      <c r="CS65" s="8" t="str">
        <f t="shared" si="153"/>
        <v/>
      </c>
      <c r="CT65" s="9" t="str">
        <f t="shared" si="154"/>
        <v/>
      </c>
      <c r="CU65" s="6" t="str">
        <f t="shared" si="155"/>
        <v/>
      </c>
      <c r="CV65" s="4" t="str">
        <f t="shared" si="238"/>
        <v/>
      </c>
      <c r="CW65" s="5" t="str">
        <f t="shared" si="156"/>
        <v/>
      </c>
      <c r="CX65" s="8" t="str">
        <f t="shared" si="157"/>
        <v/>
      </c>
      <c r="CY65" s="9" t="str">
        <f t="shared" si="158"/>
        <v/>
      </c>
      <c r="CZ65" s="5" t="str">
        <f t="shared" si="159"/>
        <v/>
      </c>
      <c r="DA65" s="6" t="str">
        <f t="shared" si="160"/>
        <v/>
      </c>
      <c r="DB65" s="4" t="str">
        <f t="shared" si="555"/>
        <v/>
      </c>
      <c r="DC65" s="5" t="str">
        <f t="shared" si="555"/>
        <v/>
      </c>
      <c r="DD65" s="10" t="str">
        <f t="shared" si="162"/>
        <v/>
      </c>
      <c r="DE65" s="9" t="str">
        <f t="shared" si="556"/>
        <v/>
      </c>
      <c r="DF65" s="5" t="str">
        <f t="shared" si="556"/>
        <v/>
      </c>
      <c r="DG65" s="10" t="str">
        <f t="shared" si="164"/>
        <v/>
      </c>
      <c r="DH65" s="70" t="str">
        <f t="shared" si="165"/>
        <v/>
      </c>
      <c r="DI65" s="4" t="str">
        <f t="shared" si="166"/>
        <v/>
      </c>
      <c r="DJ65" s="5" t="str">
        <f t="shared" si="167"/>
        <v/>
      </c>
      <c r="DK65" s="10" t="str">
        <f t="shared" si="168"/>
        <v/>
      </c>
      <c r="DL65" s="9" t="str">
        <f t="shared" si="169"/>
        <v/>
      </c>
      <c r="DM65" s="173" t="str">
        <f t="shared" si="170"/>
        <v/>
      </c>
      <c r="DN65" s="178" t="str">
        <f t="shared" si="171"/>
        <v/>
      </c>
      <c r="DO65" s="9" t="str">
        <f t="shared" si="172"/>
        <v/>
      </c>
      <c r="DP65" s="173" t="str">
        <f t="shared" si="173"/>
        <v/>
      </c>
      <c r="DQ65" s="11" t="str">
        <f t="shared" si="174"/>
        <v/>
      </c>
      <c r="DR65" s="173" t="str">
        <f t="shared" si="175"/>
        <v/>
      </c>
      <c r="DS65" s="5" t="str">
        <f t="shared" si="176"/>
        <v/>
      </c>
      <c r="DT65" s="5" t="str">
        <f t="shared" si="177"/>
        <v/>
      </c>
      <c r="DU65" s="5" t="str">
        <f t="shared" si="178"/>
        <v/>
      </c>
      <c r="DV65" s="5" t="str">
        <f t="shared" si="179"/>
        <v/>
      </c>
      <c r="DW65" s="5" t="str">
        <f t="shared" si="180"/>
        <v/>
      </c>
      <c r="DX65" s="167" t="str">
        <f t="shared" si="181"/>
        <v/>
      </c>
      <c r="DY65" s="9" t="str">
        <f t="shared" si="182"/>
        <v/>
      </c>
      <c r="DZ65" s="5" t="str">
        <f t="shared" si="183"/>
        <v/>
      </c>
      <c r="EA65" s="10" t="str">
        <f t="shared" si="184"/>
        <v/>
      </c>
      <c r="EB65" s="6" t="str">
        <f t="shared" si="185"/>
        <v/>
      </c>
      <c r="EC65" s="173" t="str">
        <f t="shared" si="186"/>
        <v/>
      </c>
      <c r="ED65" s="5" t="str">
        <f t="shared" si="187"/>
        <v/>
      </c>
      <c r="EE65" s="4" t="str">
        <f t="shared" si="188"/>
        <v/>
      </c>
      <c r="EF65" s="5" t="str">
        <f t="shared" si="189"/>
        <v/>
      </c>
      <c r="EG65" s="10" t="str">
        <f t="shared" si="190"/>
        <v/>
      </c>
      <c r="EH65" s="9" t="str">
        <f t="shared" si="191"/>
        <v/>
      </c>
      <c r="EI65" s="5" t="str">
        <f t="shared" si="192"/>
        <v/>
      </c>
      <c r="EJ65" s="6" t="str">
        <f t="shared" si="193"/>
        <v/>
      </c>
      <c r="EK65" s="236" t="str">
        <f t="shared" si="194"/>
        <v/>
      </c>
      <c r="EL65" s="238" t="str">
        <f t="shared" si="195"/>
        <v/>
      </c>
      <c r="EM65" s="4" t="str">
        <f t="shared" si="196"/>
        <v/>
      </c>
      <c r="EN65" s="5" t="str">
        <f t="shared" si="197"/>
        <v/>
      </c>
      <c r="EO65" s="10" t="str">
        <f t="shared" si="198"/>
        <v/>
      </c>
      <c r="EP65" s="9" t="str">
        <f t="shared" si="199"/>
        <v/>
      </c>
      <c r="EQ65" s="5" t="str">
        <f t="shared" si="200"/>
        <v/>
      </c>
      <c r="ER65" s="7" t="str">
        <f t="shared" si="201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2"/>
        <v/>
      </c>
      <c r="EZ65" s="51" t="str">
        <f t="shared" si="203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4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6"/>
        <v/>
      </c>
      <c r="FK65" s="4" t="str">
        <f t="shared" si="568"/>
        <v/>
      </c>
      <c r="FL65" s="5" t="str">
        <f t="shared" si="207"/>
        <v/>
      </c>
      <c r="FM65" s="8" t="str">
        <f t="shared" si="208"/>
        <v/>
      </c>
      <c r="FN65" s="9" t="str">
        <f t="shared" si="209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0"/>
        <v/>
      </c>
      <c r="FS65" s="9" t="str">
        <f t="shared" si="211"/>
        <v/>
      </c>
      <c r="FT65" s="6" t="str">
        <f t="shared" si="212"/>
        <v/>
      </c>
      <c r="FU65" s="4" t="str">
        <f t="shared" si="213"/>
        <v/>
      </c>
      <c r="FV65" s="5" t="str">
        <f t="shared" si="214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5"/>
        <v/>
      </c>
      <c r="GB65" s="4" t="str">
        <f t="shared" si="216"/>
        <v/>
      </c>
      <c r="GC65" s="5" t="str">
        <f t="shared" si="217"/>
        <v/>
      </c>
      <c r="GD65" s="10" t="str">
        <f t="shared" si="218"/>
        <v/>
      </c>
      <c r="GE65" s="311" t="str">
        <f t="shared" si="219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0"/>
        <v/>
      </c>
      <c r="GK65" s="174" t="str">
        <f t="shared" si="575"/>
        <v/>
      </c>
      <c r="GL65" s="174" t="str">
        <f t="shared" si="221"/>
        <v/>
      </c>
      <c r="GM65" s="177" t="str">
        <f t="shared" si="244"/>
        <v/>
      </c>
      <c r="GN65" s="280" t="str">
        <f t="shared" si="222"/>
        <v/>
      </c>
      <c r="GO65" s="4" t="str">
        <f t="shared" si="223"/>
        <v/>
      </c>
      <c r="GP65" s="8" t="str">
        <f t="shared" si="245"/>
        <v/>
      </c>
      <c r="GQ65" s="177" t="str">
        <f t="shared" si="224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5"/>
        <v/>
      </c>
      <c r="HC65" s="343" t="str">
        <f t="shared" si="226"/>
        <v/>
      </c>
      <c r="HD65" s="363" t="str">
        <f t="shared" si="227"/>
        <v/>
      </c>
      <c r="HE65" s="344" t="str">
        <f t="shared" si="584"/>
        <v/>
      </c>
      <c r="HF65" s="5" t="str">
        <f t="shared" si="585"/>
        <v/>
      </c>
      <c r="HG65" s="343" t="str">
        <f t="shared" si="228"/>
        <v/>
      </c>
      <c r="HH65" s="349" t="str">
        <f t="shared" si="229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34" t="str">
        <f t="shared" si="455"/>
        <v/>
      </c>
      <c r="HN65" s="935" t="str">
        <f t="shared" si="456"/>
        <v/>
      </c>
      <c r="HO65" s="936"/>
      <c r="HP65" s="937"/>
      <c r="HQ65" s="935" t="str">
        <f t="shared" si="457"/>
        <v/>
      </c>
      <c r="HR65" s="938" t="str">
        <f t="shared" si="458"/>
        <v/>
      </c>
      <c r="HS65" s="939" t="str">
        <f t="shared" si="507"/>
        <v/>
      </c>
      <c r="HT65" s="940" t="str">
        <f t="shared" si="459"/>
        <v/>
      </c>
      <c r="HU65" s="941" t="str">
        <f t="shared" si="460"/>
        <v/>
      </c>
      <c r="HV65" s="942" t="str">
        <f t="shared" si="461"/>
        <v/>
      </c>
      <c r="HW65" s="943" t="str">
        <f t="shared" si="462"/>
        <v/>
      </c>
      <c r="HX65" s="944" t="str">
        <f t="shared" si="463"/>
        <v/>
      </c>
      <c r="HY65" s="943" t="str">
        <f t="shared" si="464"/>
        <v/>
      </c>
      <c r="HZ65" s="945" t="str">
        <f t="shared" si="465"/>
        <v/>
      </c>
      <c r="IA65" s="946" t="str">
        <f t="shared" si="466"/>
        <v/>
      </c>
      <c r="IB65" s="947" t="str">
        <f t="shared" si="467"/>
        <v/>
      </c>
      <c r="IC65" s="841" t="str">
        <f t="shared" si="468"/>
        <v/>
      </c>
      <c r="ID65" s="351" t="str">
        <f t="shared" si="469"/>
        <v/>
      </c>
      <c r="IE65" s="843" t="str">
        <f t="shared" si="470"/>
        <v/>
      </c>
      <c r="IG65" s="789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7" t="str">
        <f t="shared" si="230"/>
        <v/>
      </c>
      <c r="IJ65" s="967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71"/>
        <v/>
      </c>
      <c r="IM65" s="482" t="str">
        <f t="shared" si="231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 t="str">
        <f t="shared" si="308"/>
        <v/>
      </c>
      <c r="B66" s="578" t="str">
        <f t="shared" ref="B66:D66" si="609">IFERROR(O221+($A66*-E66),"")</f>
        <v/>
      </c>
      <c r="C66" s="572" t="str">
        <f t="shared" si="609"/>
        <v/>
      </c>
      <c r="D66" s="576" t="str">
        <f t="shared" si="609"/>
        <v/>
      </c>
      <c r="E66" s="580" t="str">
        <f t="shared" ref="E66:K66" si="610">R221</f>
        <v/>
      </c>
      <c r="F66" s="572" t="str">
        <f t="shared" si="610"/>
        <v/>
      </c>
      <c r="G66" s="579" t="str">
        <f t="shared" si="610"/>
        <v/>
      </c>
      <c r="H66" s="580" t="str">
        <f t="shared" si="610"/>
        <v/>
      </c>
      <c r="I66" s="572" t="str">
        <f t="shared" si="610"/>
        <v/>
      </c>
      <c r="J66" s="483" t="str">
        <f t="shared" si="92"/>
        <v/>
      </c>
      <c r="K66" s="805" t="str">
        <f t="shared" si="610"/>
        <v/>
      </c>
      <c r="L66" s="309"/>
      <c r="M66" s="164" t="str">
        <f t="shared" si="311"/>
        <v/>
      </c>
      <c r="N66" s="575" t="str">
        <f t="shared" si="312"/>
        <v/>
      </c>
      <c r="O66" s="572" t="str">
        <f t="shared" si="313"/>
        <v/>
      </c>
      <c r="P66" s="576" t="str">
        <f t="shared" si="314"/>
        <v/>
      </c>
      <c r="Q66" s="528" t="str">
        <f t="shared" si="134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135"/>
        <v/>
      </c>
      <c r="W66" s="528" t="str">
        <f t="shared" si="256"/>
        <v/>
      </c>
      <c r="X66" s="572" t="str">
        <f t="shared" si="97"/>
        <v/>
      </c>
      <c r="Y66" s="573" t="str">
        <f t="shared" si="259"/>
        <v/>
      </c>
      <c r="Z66" s="575" t="str">
        <f t="shared" si="315"/>
        <v/>
      </c>
      <c r="AA66" s="572" t="str">
        <f t="shared" si="316"/>
        <v/>
      </c>
      <c r="AB66" s="572" t="str">
        <f t="shared" si="317"/>
        <v/>
      </c>
      <c r="AC66" s="579" t="str">
        <f t="shared" si="98"/>
        <v/>
      </c>
      <c r="AD66" s="580" t="str">
        <f t="shared" si="136"/>
        <v/>
      </c>
      <c r="AE66" s="572" t="str">
        <f t="shared" si="99"/>
        <v/>
      </c>
      <c r="AF66" s="576" t="str">
        <f t="shared" si="100"/>
        <v/>
      </c>
      <c r="AG66" s="545" t="str">
        <f t="shared" si="101"/>
        <v/>
      </c>
      <c r="AH66" s="546" t="str">
        <f t="shared" si="102"/>
        <v/>
      </c>
      <c r="AI66" s="528" t="str">
        <f t="shared" si="103"/>
        <v/>
      </c>
      <c r="AJ66" s="529" t="str">
        <f t="shared" si="104"/>
        <v/>
      </c>
      <c r="AK66" s="578" t="str">
        <f t="shared" si="234"/>
        <v/>
      </c>
      <c r="AL66" s="572" t="str">
        <f t="shared" si="105"/>
        <v/>
      </c>
      <c r="AM66" s="577" t="str">
        <f t="shared" si="106"/>
        <v/>
      </c>
      <c r="AN66" s="524" t="str">
        <f t="shared" si="107"/>
        <v/>
      </c>
      <c r="AO66" s="525" t="str">
        <f t="shared" si="590"/>
        <v/>
      </c>
      <c r="AP66" s="528" t="str">
        <f t="shared" si="109"/>
        <v/>
      </c>
      <c r="AQ66" s="529" t="str">
        <f t="shared" si="318"/>
        <v/>
      </c>
      <c r="AS66" s="899" t="str">
        <f t="shared" si="510"/>
        <v/>
      </c>
      <c r="AT66" s="895" t="str">
        <f t="shared" si="319"/>
        <v/>
      </c>
      <c r="AU66" s="418"/>
      <c r="AV66" s="164" t="str">
        <f t="shared" si="320"/>
        <v/>
      </c>
      <c r="AW66" s="796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235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0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1"/>
        <v/>
      </c>
      <c r="BP66" s="5" t="str">
        <f t="shared" si="142"/>
        <v/>
      </c>
      <c r="BQ66" s="5" t="str">
        <f t="shared" si="143"/>
        <v/>
      </c>
      <c r="BR66" s="6" t="str">
        <f t="shared" si="144"/>
        <v/>
      </c>
      <c r="BS66" s="4" t="str">
        <f t="shared" si="554"/>
        <v/>
      </c>
      <c r="BT66" s="5" t="str">
        <f t="shared" si="554"/>
        <v/>
      </c>
      <c r="BU66" s="10" t="str">
        <f t="shared" si="111"/>
        <v/>
      </c>
      <c r="BV66" s="9" t="str">
        <f t="shared" si="112"/>
        <v/>
      </c>
      <c r="BW66" s="5" t="str">
        <f t="shared" si="113"/>
        <v/>
      </c>
      <c r="BX66" s="8" t="str">
        <f t="shared" si="114"/>
        <v/>
      </c>
      <c r="BY66" s="173" t="str">
        <f t="shared" si="115"/>
        <v/>
      </c>
      <c r="BZ66" s="5" t="str">
        <f t="shared" si="116"/>
        <v/>
      </c>
      <c r="CA66" s="6" t="str">
        <f t="shared" si="117"/>
        <v/>
      </c>
      <c r="CB66" s="4" t="str">
        <f t="shared" si="145"/>
        <v/>
      </c>
      <c r="CC66" s="5" t="str">
        <f t="shared" si="146"/>
        <v/>
      </c>
      <c r="CD66" s="5" t="str">
        <f t="shared" si="147"/>
        <v/>
      </c>
      <c r="CE66" s="6" t="str">
        <f t="shared" si="148"/>
        <v/>
      </c>
      <c r="CF66" s="4" t="str">
        <f t="shared" si="149"/>
        <v/>
      </c>
      <c r="CG66" s="5" t="str">
        <f t="shared" si="150"/>
        <v/>
      </c>
      <c r="CH66" s="5" t="str">
        <f t="shared" si="151"/>
        <v/>
      </c>
      <c r="CI66" s="4" t="str">
        <f t="shared" si="118"/>
        <v/>
      </c>
      <c r="CJ66" s="5" t="str">
        <f t="shared" si="119"/>
        <v/>
      </c>
      <c r="CK66" s="8" t="str">
        <f t="shared" si="120"/>
        <v/>
      </c>
      <c r="CL66" s="173" t="str">
        <f t="shared" si="121"/>
        <v/>
      </c>
      <c r="CM66" s="5" t="str">
        <f t="shared" si="122"/>
        <v/>
      </c>
      <c r="CN66" s="6" t="str">
        <f t="shared" si="123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2"/>
        <v/>
      </c>
      <c r="CS66" s="8" t="str">
        <f t="shared" si="153"/>
        <v/>
      </c>
      <c r="CT66" s="9" t="str">
        <f t="shared" si="154"/>
        <v/>
      </c>
      <c r="CU66" s="6" t="str">
        <f t="shared" si="155"/>
        <v/>
      </c>
      <c r="CV66" s="4" t="str">
        <f t="shared" si="238"/>
        <v/>
      </c>
      <c r="CW66" s="5" t="str">
        <f t="shared" si="156"/>
        <v/>
      </c>
      <c r="CX66" s="8" t="str">
        <f t="shared" si="157"/>
        <v/>
      </c>
      <c r="CY66" s="9" t="str">
        <f t="shared" si="158"/>
        <v/>
      </c>
      <c r="CZ66" s="5" t="str">
        <f t="shared" si="159"/>
        <v/>
      </c>
      <c r="DA66" s="6" t="str">
        <f t="shared" si="160"/>
        <v/>
      </c>
      <c r="DB66" s="4" t="str">
        <f t="shared" si="555"/>
        <v/>
      </c>
      <c r="DC66" s="5" t="str">
        <f t="shared" si="555"/>
        <v/>
      </c>
      <c r="DD66" s="10" t="str">
        <f t="shared" si="162"/>
        <v/>
      </c>
      <c r="DE66" s="9" t="str">
        <f t="shared" si="556"/>
        <v/>
      </c>
      <c r="DF66" s="5" t="str">
        <f t="shared" si="556"/>
        <v/>
      </c>
      <c r="DG66" s="10" t="str">
        <f t="shared" si="164"/>
        <v/>
      </c>
      <c r="DH66" s="70" t="str">
        <f t="shared" si="165"/>
        <v/>
      </c>
      <c r="DI66" s="4" t="str">
        <f t="shared" si="166"/>
        <v/>
      </c>
      <c r="DJ66" s="5" t="str">
        <f t="shared" si="167"/>
        <v/>
      </c>
      <c r="DK66" s="10" t="str">
        <f t="shared" si="168"/>
        <v/>
      </c>
      <c r="DL66" s="9" t="str">
        <f t="shared" si="169"/>
        <v/>
      </c>
      <c r="DM66" s="173" t="str">
        <f t="shared" si="170"/>
        <v/>
      </c>
      <c r="DN66" s="178" t="str">
        <f t="shared" si="171"/>
        <v/>
      </c>
      <c r="DO66" s="9" t="str">
        <f t="shared" si="172"/>
        <v/>
      </c>
      <c r="DP66" s="173" t="str">
        <f t="shared" si="173"/>
        <v/>
      </c>
      <c r="DQ66" s="11" t="str">
        <f t="shared" si="174"/>
        <v/>
      </c>
      <c r="DR66" s="173" t="str">
        <f t="shared" si="175"/>
        <v/>
      </c>
      <c r="DS66" s="5" t="str">
        <f t="shared" si="176"/>
        <v/>
      </c>
      <c r="DT66" s="5" t="str">
        <f t="shared" si="177"/>
        <v/>
      </c>
      <c r="DU66" s="5" t="str">
        <f t="shared" si="178"/>
        <v/>
      </c>
      <c r="DV66" s="5" t="str">
        <f t="shared" si="179"/>
        <v/>
      </c>
      <c r="DW66" s="5" t="str">
        <f t="shared" si="180"/>
        <v/>
      </c>
      <c r="DX66" s="167" t="str">
        <f t="shared" si="181"/>
        <v/>
      </c>
      <c r="DY66" s="9" t="str">
        <f t="shared" si="182"/>
        <v/>
      </c>
      <c r="DZ66" s="5" t="str">
        <f t="shared" si="183"/>
        <v/>
      </c>
      <c r="EA66" s="10" t="str">
        <f t="shared" si="184"/>
        <v/>
      </c>
      <c r="EB66" s="6" t="str">
        <f t="shared" si="185"/>
        <v/>
      </c>
      <c r="EC66" s="173" t="str">
        <f t="shared" si="186"/>
        <v/>
      </c>
      <c r="ED66" s="5" t="str">
        <f t="shared" si="187"/>
        <v/>
      </c>
      <c r="EE66" s="4" t="str">
        <f t="shared" si="188"/>
        <v/>
      </c>
      <c r="EF66" s="5" t="str">
        <f t="shared" si="189"/>
        <v/>
      </c>
      <c r="EG66" s="10" t="str">
        <f t="shared" si="190"/>
        <v/>
      </c>
      <c r="EH66" s="9" t="str">
        <f t="shared" si="191"/>
        <v/>
      </c>
      <c r="EI66" s="5" t="str">
        <f t="shared" si="192"/>
        <v/>
      </c>
      <c r="EJ66" s="6" t="str">
        <f t="shared" si="193"/>
        <v/>
      </c>
      <c r="EK66" s="236" t="str">
        <f t="shared" si="194"/>
        <v/>
      </c>
      <c r="EL66" s="238" t="str">
        <f t="shared" si="195"/>
        <v/>
      </c>
      <c r="EM66" s="4" t="str">
        <f t="shared" si="196"/>
        <v/>
      </c>
      <c r="EN66" s="5" t="str">
        <f t="shared" si="197"/>
        <v/>
      </c>
      <c r="EO66" s="10" t="str">
        <f t="shared" si="198"/>
        <v/>
      </c>
      <c r="EP66" s="9" t="str">
        <f t="shared" si="199"/>
        <v/>
      </c>
      <c r="EQ66" s="5" t="str">
        <f t="shared" si="200"/>
        <v/>
      </c>
      <c r="ER66" s="7" t="str">
        <f t="shared" si="201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2"/>
        <v/>
      </c>
      <c r="EZ66" s="51" t="str">
        <f t="shared" si="203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4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6"/>
        <v/>
      </c>
      <c r="FK66" s="4" t="str">
        <f t="shared" si="568"/>
        <v/>
      </c>
      <c r="FL66" s="5" t="str">
        <f t="shared" si="207"/>
        <v/>
      </c>
      <c r="FM66" s="8" t="str">
        <f t="shared" si="208"/>
        <v/>
      </c>
      <c r="FN66" s="9" t="str">
        <f t="shared" si="209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0"/>
        <v/>
      </c>
      <c r="FS66" s="9" t="str">
        <f t="shared" si="211"/>
        <v/>
      </c>
      <c r="FT66" s="6" t="str">
        <f t="shared" si="212"/>
        <v/>
      </c>
      <c r="FU66" s="4" t="str">
        <f t="shared" si="213"/>
        <v/>
      </c>
      <c r="FV66" s="5" t="str">
        <f t="shared" si="214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5"/>
        <v/>
      </c>
      <c r="GB66" s="4" t="str">
        <f t="shared" si="216"/>
        <v/>
      </c>
      <c r="GC66" s="5" t="str">
        <f t="shared" si="217"/>
        <v/>
      </c>
      <c r="GD66" s="10" t="str">
        <f t="shared" si="218"/>
        <v/>
      </c>
      <c r="GE66" s="311" t="str">
        <f t="shared" si="219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0"/>
        <v/>
      </c>
      <c r="GK66" s="174" t="str">
        <f t="shared" si="575"/>
        <v/>
      </c>
      <c r="GL66" s="174" t="str">
        <f t="shared" si="221"/>
        <v/>
      </c>
      <c r="GM66" s="177" t="str">
        <f t="shared" si="244"/>
        <v/>
      </c>
      <c r="GN66" s="280" t="str">
        <f t="shared" si="222"/>
        <v/>
      </c>
      <c r="GO66" s="4" t="str">
        <f t="shared" si="223"/>
        <v/>
      </c>
      <c r="GP66" s="8" t="str">
        <f t="shared" si="245"/>
        <v/>
      </c>
      <c r="GQ66" s="177" t="str">
        <f t="shared" si="224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5"/>
        <v/>
      </c>
      <c r="HC66" s="343" t="str">
        <f t="shared" si="226"/>
        <v/>
      </c>
      <c r="HD66" s="363" t="str">
        <f t="shared" si="227"/>
        <v/>
      </c>
      <c r="HE66" s="344" t="str">
        <f t="shared" si="584"/>
        <v/>
      </c>
      <c r="HF66" s="5" t="str">
        <f t="shared" si="585"/>
        <v/>
      </c>
      <c r="HG66" s="343" t="str">
        <f t="shared" si="228"/>
        <v/>
      </c>
      <c r="HH66" s="349" t="str">
        <f t="shared" si="229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34" t="str">
        <f t="shared" si="455"/>
        <v/>
      </c>
      <c r="HN66" s="935" t="str">
        <f t="shared" si="456"/>
        <v/>
      </c>
      <c r="HO66" s="936"/>
      <c r="HP66" s="937"/>
      <c r="HQ66" s="935" t="str">
        <f t="shared" si="457"/>
        <v/>
      </c>
      <c r="HR66" s="938" t="str">
        <f t="shared" si="458"/>
        <v/>
      </c>
      <c r="HS66" s="939" t="str">
        <f t="shared" si="507"/>
        <v/>
      </c>
      <c r="HT66" s="940" t="str">
        <f t="shared" si="459"/>
        <v/>
      </c>
      <c r="HU66" s="941" t="str">
        <f t="shared" si="460"/>
        <v/>
      </c>
      <c r="HV66" s="942" t="str">
        <f t="shared" si="461"/>
        <v/>
      </c>
      <c r="HW66" s="943" t="str">
        <f t="shared" si="462"/>
        <v/>
      </c>
      <c r="HX66" s="944" t="str">
        <f t="shared" si="463"/>
        <v/>
      </c>
      <c r="HY66" s="943" t="str">
        <f t="shared" si="464"/>
        <v/>
      </c>
      <c r="HZ66" s="945" t="str">
        <f t="shared" si="465"/>
        <v/>
      </c>
      <c r="IA66" s="946" t="str">
        <f t="shared" si="466"/>
        <v/>
      </c>
      <c r="IB66" s="947" t="str">
        <f t="shared" si="467"/>
        <v/>
      </c>
      <c r="IC66" s="841" t="str">
        <f t="shared" si="468"/>
        <v/>
      </c>
      <c r="ID66" s="351" t="str">
        <f t="shared" si="469"/>
        <v/>
      </c>
      <c r="IE66" s="843" t="str">
        <f t="shared" si="470"/>
        <v/>
      </c>
      <c r="IG66" s="789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7" t="str">
        <f t="shared" si="230"/>
        <v/>
      </c>
      <c r="IJ66" s="967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71"/>
        <v/>
      </c>
      <c r="IM66" s="482" t="str">
        <f t="shared" si="231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 t="str">
        <f t="shared" si="308"/>
        <v/>
      </c>
      <c r="B67" s="578" t="str">
        <f t="shared" ref="B67:D67" si="611">IFERROR(O222+($A67*-E67),"")</f>
        <v/>
      </c>
      <c r="C67" s="572" t="str">
        <f t="shared" si="611"/>
        <v/>
      </c>
      <c r="D67" s="576" t="str">
        <f t="shared" si="611"/>
        <v/>
      </c>
      <c r="E67" s="580" t="str">
        <f t="shared" ref="E67:K67" si="612">R222</f>
        <v/>
      </c>
      <c r="F67" s="572" t="str">
        <f t="shared" si="612"/>
        <v/>
      </c>
      <c r="G67" s="579" t="str">
        <f t="shared" si="612"/>
        <v/>
      </c>
      <c r="H67" s="580" t="str">
        <f t="shared" si="612"/>
        <v/>
      </c>
      <c r="I67" s="572" t="str">
        <f t="shared" si="612"/>
        <v/>
      </c>
      <c r="J67" s="483" t="str">
        <f t="shared" si="92"/>
        <v/>
      </c>
      <c r="K67" s="805" t="str">
        <f t="shared" si="612"/>
        <v/>
      </c>
      <c r="L67" s="309"/>
      <c r="M67" s="164" t="str">
        <f t="shared" si="311"/>
        <v/>
      </c>
      <c r="N67" s="575" t="str">
        <f t="shared" si="312"/>
        <v/>
      </c>
      <c r="O67" s="572" t="str">
        <f t="shared" si="313"/>
        <v/>
      </c>
      <c r="P67" s="576" t="str">
        <f t="shared" si="314"/>
        <v/>
      </c>
      <c r="Q67" s="528" t="str">
        <f t="shared" si="13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6"/>
        <v/>
      </c>
      <c r="X67" s="572" t="str">
        <f>IF(M67="","",R67)</f>
        <v/>
      </c>
      <c r="Y67" s="573" t="str">
        <f t="shared" si="259"/>
        <v/>
      </c>
      <c r="Z67" s="575" t="str">
        <f t="shared" si="315"/>
        <v/>
      </c>
      <c r="AA67" s="572" t="str">
        <f t="shared" si="316"/>
        <v/>
      </c>
      <c r="AB67" s="572" t="str">
        <f t="shared" si="317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90"/>
        <v/>
      </c>
      <c r="AP67" s="528" t="str">
        <f>IF(M67="","",DEGREES(ATAN2(AK67,AL67)))</f>
        <v/>
      </c>
      <c r="AQ67" s="529" t="str">
        <f t="shared" si="318"/>
        <v/>
      </c>
      <c r="AS67" s="899" t="str">
        <f t="shared" si="510"/>
        <v/>
      </c>
      <c r="AT67" s="895" t="str">
        <f t="shared" si="319"/>
        <v/>
      </c>
      <c r="AU67" s="418"/>
      <c r="AV67" s="164" t="str">
        <f t="shared" si="320"/>
        <v/>
      </c>
      <c r="AW67" s="796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235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0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1"/>
        <v/>
      </c>
      <c r="BP67" s="5" t="str">
        <f t="shared" si="142"/>
        <v/>
      </c>
      <c r="BQ67" s="5" t="str">
        <f t="shared" si="143"/>
        <v/>
      </c>
      <c r="BR67" s="6" t="str">
        <f t="shared" si="144"/>
        <v/>
      </c>
      <c r="BS67" s="4" t="str">
        <f t="shared" si="554"/>
        <v/>
      </c>
      <c r="BT67" s="5" t="str">
        <f t="shared" si="554"/>
        <v/>
      </c>
      <c r="BU67" s="10" t="str">
        <f t="shared" si="111"/>
        <v/>
      </c>
      <c r="BV67" s="9" t="str">
        <f t="shared" si="112"/>
        <v/>
      </c>
      <c r="BW67" s="5" t="str">
        <f t="shared" si="113"/>
        <v/>
      </c>
      <c r="BX67" s="8" t="str">
        <f t="shared" si="114"/>
        <v/>
      </c>
      <c r="BY67" s="173" t="str">
        <f t="shared" si="115"/>
        <v/>
      </c>
      <c r="BZ67" s="5" t="str">
        <f t="shared" si="116"/>
        <v/>
      </c>
      <c r="CA67" s="6" t="str">
        <f t="shared" si="117"/>
        <v/>
      </c>
      <c r="CB67" s="4" t="str">
        <f t="shared" si="145"/>
        <v/>
      </c>
      <c r="CC67" s="5" t="str">
        <f t="shared" si="146"/>
        <v/>
      </c>
      <c r="CD67" s="5" t="str">
        <f t="shared" si="147"/>
        <v/>
      </c>
      <c r="CE67" s="6" t="str">
        <f t="shared" si="148"/>
        <v/>
      </c>
      <c r="CF67" s="4" t="str">
        <f t="shared" si="149"/>
        <v/>
      </c>
      <c r="CG67" s="5" t="str">
        <f t="shared" si="150"/>
        <v/>
      </c>
      <c r="CH67" s="5" t="str">
        <f t="shared" si="151"/>
        <v/>
      </c>
      <c r="CI67" s="4" t="str">
        <f t="shared" si="118"/>
        <v/>
      </c>
      <c r="CJ67" s="5" t="str">
        <f t="shared" si="119"/>
        <v/>
      </c>
      <c r="CK67" s="8" t="str">
        <f t="shared" si="120"/>
        <v/>
      </c>
      <c r="CL67" s="173" t="str">
        <f t="shared" si="121"/>
        <v/>
      </c>
      <c r="CM67" s="5" t="str">
        <f t="shared" si="122"/>
        <v/>
      </c>
      <c r="CN67" s="6" t="str">
        <f t="shared" si="123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2"/>
        <v/>
      </c>
      <c r="CS67" s="8" t="str">
        <f t="shared" si="153"/>
        <v/>
      </c>
      <c r="CT67" s="9" t="str">
        <f t="shared" si="154"/>
        <v/>
      </c>
      <c r="CU67" s="6" t="str">
        <f t="shared" si="155"/>
        <v/>
      </c>
      <c r="CV67" s="4" t="str">
        <f t="shared" si="238"/>
        <v/>
      </c>
      <c r="CW67" s="5" t="str">
        <f t="shared" si="156"/>
        <v/>
      </c>
      <c r="CX67" s="8" t="str">
        <f t="shared" si="157"/>
        <v/>
      </c>
      <c r="CY67" s="9" t="str">
        <f t="shared" si="158"/>
        <v/>
      </c>
      <c r="CZ67" s="5" t="str">
        <f t="shared" si="159"/>
        <v/>
      </c>
      <c r="DA67" s="6" t="str">
        <f t="shared" si="160"/>
        <v/>
      </c>
      <c r="DB67" s="4" t="str">
        <f t="shared" si="555"/>
        <v/>
      </c>
      <c r="DC67" s="5" t="str">
        <f t="shared" si="555"/>
        <v/>
      </c>
      <c r="DD67" s="10" t="str">
        <f t="shared" si="162"/>
        <v/>
      </c>
      <c r="DE67" s="9" t="str">
        <f t="shared" si="556"/>
        <v/>
      </c>
      <c r="DF67" s="5" t="str">
        <f t="shared" si="556"/>
        <v/>
      </c>
      <c r="DG67" s="10" t="str">
        <f t="shared" si="164"/>
        <v/>
      </c>
      <c r="DH67" s="70" t="str">
        <f t="shared" si="165"/>
        <v/>
      </c>
      <c r="DI67" s="4" t="str">
        <f t="shared" si="166"/>
        <v/>
      </c>
      <c r="DJ67" s="5" t="str">
        <f t="shared" si="167"/>
        <v/>
      </c>
      <c r="DK67" s="10" t="str">
        <f t="shared" si="168"/>
        <v/>
      </c>
      <c r="DL67" s="9" t="str">
        <f t="shared" si="169"/>
        <v/>
      </c>
      <c r="DM67" s="173" t="str">
        <f t="shared" si="170"/>
        <v/>
      </c>
      <c r="DN67" s="178" t="str">
        <f t="shared" si="171"/>
        <v/>
      </c>
      <c r="DO67" s="9" t="str">
        <f t="shared" si="172"/>
        <v/>
      </c>
      <c r="DP67" s="173" t="str">
        <f t="shared" si="173"/>
        <v/>
      </c>
      <c r="DQ67" s="11" t="str">
        <f t="shared" si="174"/>
        <v/>
      </c>
      <c r="DR67" s="173" t="str">
        <f t="shared" si="175"/>
        <v/>
      </c>
      <c r="DS67" s="5" t="str">
        <f t="shared" si="176"/>
        <v/>
      </c>
      <c r="DT67" s="5" t="str">
        <f t="shared" si="177"/>
        <v/>
      </c>
      <c r="DU67" s="5" t="str">
        <f t="shared" si="178"/>
        <v/>
      </c>
      <c r="DV67" s="5" t="str">
        <f t="shared" si="179"/>
        <v/>
      </c>
      <c r="DW67" s="5" t="str">
        <f t="shared" si="180"/>
        <v/>
      </c>
      <c r="DX67" s="167" t="str">
        <f t="shared" si="181"/>
        <v/>
      </c>
      <c r="DY67" s="9" t="str">
        <f t="shared" si="182"/>
        <v/>
      </c>
      <c r="DZ67" s="5" t="str">
        <f t="shared" si="183"/>
        <v/>
      </c>
      <c r="EA67" s="10" t="str">
        <f t="shared" si="184"/>
        <v/>
      </c>
      <c r="EB67" s="6" t="str">
        <f t="shared" si="185"/>
        <v/>
      </c>
      <c r="EC67" s="173" t="str">
        <f t="shared" si="186"/>
        <v/>
      </c>
      <c r="ED67" s="5" t="str">
        <f t="shared" si="187"/>
        <v/>
      </c>
      <c r="EE67" s="4" t="str">
        <f t="shared" si="188"/>
        <v/>
      </c>
      <c r="EF67" s="5" t="str">
        <f t="shared" si="189"/>
        <v/>
      </c>
      <c r="EG67" s="10" t="str">
        <f t="shared" si="190"/>
        <v/>
      </c>
      <c r="EH67" s="9" t="str">
        <f t="shared" si="191"/>
        <v/>
      </c>
      <c r="EI67" s="5" t="str">
        <f t="shared" si="192"/>
        <v/>
      </c>
      <c r="EJ67" s="6" t="str">
        <f t="shared" si="193"/>
        <v/>
      </c>
      <c r="EK67" s="236" t="str">
        <f t="shared" si="194"/>
        <v/>
      </c>
      <c r="EL67" s="238" t="str">
        <f t="shared" si="195"/>
        <v/>
      </c>
      <c r="EM67" s="4" t="str">
        <f t="shared" si="196"/>
        <v/>
      </c>
      <c r="EN67" s="5" t="str">
        <f t="shared" si="197"/>
        <v/>
      </c>
      <c r="EO67" s="10" t="str">
        <f t="shared" si="198"/>
        <v/>
      </c>
      <c r="EP67" s="9" t="str">
        <f t="shared" si="199"/>
        <v/>
      </c>
      <c r="EQ67" s="5" t="str">
        <f t="shared" si="200"/>
        <v/>
      </c>
      <c r="ER67" s="7" t="str">
        <f t="shared" si="201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2"/>
        <v/>
      </c>
      <c r="EZ67" s="51" t="str">
        <f t="shared" si="203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4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6"/>
        <v/>
      </c>
      <c r="FK67" s="4" t="str">
        <f t="shared" si="568"/>
        <v/>
      </c>
      <c r="FL67" s="5" t="str">
        <f t="shared" si="207"/>
        <v/>
      </c>
      <c r="FM67" s="8" t="str">
        <f t="shared" si="208"/>
        <v/>
      </c>
      <c r="FN67" s="9" t="str">
        <f t="shared" si="209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0"/>
        <v/>
      </c>
      <c r="FS67" s="9" t="str">
        <f t="shared" si="211"/>
        <v/>
      </c>
      <c r="FT67" s="6" t="str">
        <f t="shared" si="212"/>
        <v/>
      </c>
      <c r="FU67" s="4" t="str">
        <f t="shared" si="213"/>
        <v/>
      </c>
      <c r="FV67" s="5" t="str">
        <f t="shared" si="214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5"/>
        <v/>
      </c>
      <c r="GB67" s="4" t="str">
        <f t="shared" si="216"/>
        <v/>
      </c>
      <c r="GC67" s="5" t="str">
        <f t="shared" si="217"/>
        <v/>
      </c>
      <c r="GD67" s="10" t="str">
        <f t="shared" si="218"/>
        <v/>
      </c>
      <c r="GE67" s="311" t="str">
        <f t="shared" si="219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0"/>
        <v/>
      </c>
      <c r="GK67" s="174" t="str">
        <f t="shared" si="575"/>
        <v/>
      </c>
      <c r="GL67" s="174" t="str">
        <f t="shared" si="221"/>
        <v/>
      </c>
      <c r="GM67" s="177" t="str">
        <f t="shared" si="244"/>
        <v/>
      </c>
      <c r="GN67" s="280" t="str">
        <f t="shared" si="222"/>
        <v/>
      </c>
      <c r="GO67" s="4" t="str">
        <f t="shared" si="223"/>
        <v/>
      </c>
      <c r="GP67" s="8" t="str">
        <f t="shared" si="245"/>
        <v/>
      </c>
      <c r="GQ67" s="177" t="str">
        <f t="shared" si="224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5"/>
        <v/>
      </c>
      <c r="HC67" s="343" t="str">
        <f t="shared" si="226"/>
        <v/>
      </c>
      <c r="HD67" s="363" t="str">
        <f t="shared" si="227"/>
        <v/>
      </c>
      <c r="HE67" s="344" t="str">
        <f t="shared" si="584"/>
        <v/>
      </c>
      <c r="HF67" s="5" t="str">
        <f t="shared" si="585"/>
        <v/>
      </c>
      <c r="HG67" s="343" t="str">
        <f t="shared" si="228"/>
        <v/>
      </c>
      <c r="HH67" s="349" t="str">
        <f t="shared" si="229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34" t="str">
        <f t="shared" si="455"/>
        <v/>
      </c>
      <c r="HN67" s="935" t="str">
        <f t="shared" si="456"/>
        <v/>
      </c>
      <c r="HO67" s="936"/>
      <c r="HP67" s="937"/>
      <c r="HQ67" s="935" t="str">
        <f t="shared" si="457"/>
        <v/>
      </c>
      <c r="HR67" s="938" t="str">
        <f t="shared" si="458"/>
        <v/>
      </c>
      <c r="HS67" s="939" t="str">
        <f t="shared" si="507"/>
        <v/>
      </c>
      <c r="HT67" s="940" t="str">
        <f t="shared" si="459"/>
        <v/>
      </c>
      <c r="HU67" s="941" t="str">
        <f t="shared" si="460"/>
        <v/>
      </c>
      <c r="HV67" s="942" t="str">
        <f t="shared" si="461"/>
        <v/>
      </c>
      <c r="HW67" s="943" t="str">
        <f t="shared" si="462"/>
        <v/>
      </c>
      <c r="HX67" s="944" t="str">
        <f t="shared" si="463"/>
        <v/>
      </c>
      <c r="HY67" s="943" t="str">
        <f t="shared" si="464"/>
        <v/>
      </c>
      <c r="HZ67" s="945" t="str">
        <f t="shared" si="465"/>
        <v/>
      </c>
      <c r="IA67" s="946" t="str">
        <f t="shared" si="466"/>
        <v/>
      </c>
      <c r="IB67" s="947" t="str">
        <f t="shared" si="467"/>
        <v/>
      </c>
      <c r="IC67" s="841" t="str">
        <f t="shared" si="468"/>
        <v/>
      </c>
      <c r="ID67" s="351" t="str">
        <f t="shared" si="469"/>
        <v/>
      </c>
      <c r="IE67" s="843" t="str">
        <f t="shared" si="470"/>
        <v/>
      </c>
      <c r="IG67" s="789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7" t="str">
        <f t="shared" si="230"/>
        <v/>
      </c>
      <c r="IJ67" s="967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71"/>
        <v/>
      </c>
      <c r="IM67" s="482" t="str">
        <f t="shared" si="231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 t="str">
        <f t="shared" si="308"/>
        <v/>
      </c>
      <c r="B68" s="578" t="str">
        <f t="shared" ref="B68:D68" si="613">IFERROR(O223+($A68*-E68),"")</f>
        <v/>
      </c>
      <c r="C68" s="572" t="str">
        <f t="shared" si="613"/>
        <v/>
      </c>
      <c r="D68" s="576" t="str">
        <f t="shared" si="613"/>
        <v/>
      </c>
      <c r="E68" s="580" t="str">
        <f t="shared" ref="E68:K68" si="614">R223</f>
        <v/>
      </c>
      <c r="F68" s="572" t="str">
        <f t="shared" si="614"/>
        <v/>
      </c>
      <c r="G68" s="579" t="str">
        <f t="shared" si="614"/>
        <v/>
      </c>
      <c r="H68" s="580" t="str">
        <f t="shared" si="614"/>
        <v/>
      </c>
      <c r="I68" s="572" t="str">
        <f t="shared" si="614"/>
        <v/>
      </c>
      <c r="J68" s="483" t="str">
        <f t="shared" si="92"/>
        <v/>
      </c>
      <c r="K68" s="805" t="str">
        <f t="shared" si="614"/>
        <v/>
      </c>
      <c r="L68" s="309"/>
      <c r="M68" s="164" t="str">
        <f t="shared" si="311"/>
        <v/>
      </c>
      <c r="N68" s="575" t="str">
        <f t="shared" si="312"/>
        <v/>
      </c>
      <c r="O68" s="572" t="str">
        <f t="shared" si="313"/>
        <v/>
      </c>
      <c r="P68" s="576" t="str">
        <f t="shared" si="314"/>
        <v/>
      </c>
      <c r="Q68" s="528" t="str">
        <f t="shared" si="13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6"/>
        <v/>
      </c>
      <c r="X68" s="572" t="str">
        <f>IF(M68="","",R68)</f>
        <v/>
      </c>
      <c r="Y68" s="573" t="str">
        <f t="shared" si="259"/>
        <v/>
      </c>
      <c r="Z68" s="575" t="str">
        <f t="shared" si="315"/>
        <v/>
      </c>
      <c r="AA68" s="572" t="str">
        <f t="shared" si="316"/>
        <v/>
      </c>
      <c r="AB68" s="572" t="str">
        <f t="shared" si="317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90"/>
        <v/>
      </c>
      <c r="AP68" s="528" t="str">
        <f>IF(M68="","",DEGREES(ATAN2(AK68,AL68)))</f>
        <v/>
      </c>
      <c r="AQ68" s="529" t="str">
        <f t="shared" si="318"/>
        <v/>
      </c>
      <c r="AS68" s="899" t="str">
        <f t="shared" si="510"/>
        <v/>
      </c>
      <c r="AT68" s="895" t="str">
        <f t="shared" si="319"/>
        <v/>
      </c>
      <c r="AU68" s="418"/>
      <c r="AV68" s="164" t="str">
        <f t="shared" si="320"/>
        <v/>
      </c>
      <c r="AW68" s="796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235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0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1"/>
        <v/>
      </c>
      <c r="BP68" s="5" t="str">
        <f t="shared" si="142"/>
        <v/>
      </c>
      <c r="BQ68" s="5" t="str">
        <f t="shared" si="143"/>
        <v/>
      </c>
      <c r="BR68" s="6" t="str">
        <f t="shared" si="144"/>
        <v/>
      </c>
      <c r="BS68" s="4" t="str">
        <f t="shared" si="554"/>
        <v/>
      </c>
      <c r="BT68" s="5" t="str">
        <f t="shared" si="554"/>
        <v/>
      </c>
      <c r="BU68" s="10" t="str">
        <f t="shared" si="111"/>
        <v/>
      </c>
      <c r="BV68" s="9" t="str">
        <f t="shared" si="112"/>
        <v/>
      </c>
      <c r="BW68" s="5" t="str">
        <f t="shared" si="113"/>
        <v/>
      </c>
      <c r="BX68" s="8" t="str">
        <f t="shared" si="114"/>
        <v/>
      </c>
      <c r="BY68" s="173" t="str">
        <f t="shared" si="115"/>
        <v/>
      </c>
      <c r="BZ68" s="5" t="str">
        <f t="shared" si="116"/>
        <v/>
      </c>
      <c r="CA68" s="6" t="str">
        <f t="shared" si="117"/>
        <v/>
      </c>
      <c r="CB68" s="4" t="str">
        <f t="shared" si="145"/>
        <v/>
      </c>
      <c r="CC68" s="5" t="str">
        <f t="shared" si="146"/>
        <v/>
      </c>
      <c r="CD68" s="5" t="str">
        <f t="shared" si="147"/>
        <v/>
      </c>
      <c r="CE68" s="6" t="str">
        <f t="shared" si="148"/>
        <v/>
      </c>
      <c r="CF68" s="4" t="str">
        <f t="shared" si="149"/>
        <v/>
      </c>
      <c r="CG68" s="5" t="str">
        <f t="shared" si="150"/>
        <v/>
      </c>
      <c r="CH68" s="5" t="str">
        <f t="shared" si="151"/>
        <v/>
      </c>
      <c r="CI68" s="4" t="str">
        <f t="shared" si="118"/>
        <v/>
      </c>
      <c r="CJ68" s="5" t="str">
        <f t="shared" si="119"/>
        <v/>
      </c>
      <c r="CK68" s="8" t="str">
        <f t="shared" si="120"/>
        <v/>
      </c>
      <c r="CL68" s="173" t="str">
        <f t="shared" si="121"/>
        <v/>
      </c>
      <c r="CM68" s="5" t="str">
        <f t="shared" si="122"/>
        <v/>
      </c>
      <c r="CN68" s="6" t="str">
        <f t="shared" si="123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2"/>
        <v/>
      </c>
      <c r="CS68" s="8" t="str">
        <f t="shared" si="153"/>
        <v/>
      </c>
      <c r="CT68" s="9" t="str">
        <f t="shared" si="154"/>
        <v/>
      </c>
      <c r="CU68" s="6" t="str">
        <f t="shared" si="155"/>
        <v/>
      </c>
      <c r="CV68" s="4" t="str">
        <f t="shared" si="238"/>
        <v/>
      </c>
      <c r="CW68" s="5" t="str">
        <f t="shared" si="156"/>
        <v/>
      </c>
      <c r="CX68" s="8" t="str">
        <f t="shared" si="157"/>
        <v/>
      </c>
      <c r="CY68" s="9" t="str">
        <f t="shared" si="158"/>
        <v/>
      </c>
      <c r="CZ68" s="5" t="str">
        <f t="shared" si="159"/>
        <v/>
      </c>
      <c r="DA68" s="6" t="str">
        <f t="shared" si="160"/>
        <v/>
      </c>
      <c r="DB68" s="4" t="str">
        <f t="shared" si="555"/>
        <v/>
      </c>
      <c r="DC68" s="5" t="str">
        <f t="shared" si="555"/>
        <v/>
      </c>
      <c r="DD68" s="10" t="str">
        <f t="shared" si="162"/>
        <v/>
      </c>
      <c r="DE68" s="9" t="str">
        <f t="shared" si="556"/>
        <v/>
      </c>
      <c r="DF68" s="5" t="str">
        <f t="shared" si="556"/>
        <v/>
      </c>
      <c r="DG68" s="10" t="str">
        <f t="shared" si="164"/>
        <v/>
      </c>
      <c r="DH68" s="70" t="str">
        <f t="shared" si="165"/>
        <v/>
      </c>
      <c r="DI68" s="4" t="str">
        <f t="shared" si="166"/>
        <v/>
      </c>
      <c r="DJ68" s="5" t="str">
        <f t="shared" si="167"/>
        <v/>
      </c>
      <c r="DK68" s="10" t="str">
        <f t="shared" si="168"/>
        <v/>
      </c>
      <c r="DL68" s="9" t="str">
        <f t="shared" si="169"/>
        <v/>
      </c>
      <c r="DM68" s="173" t="str">
        <f t="shared" si="170"/>
        <v/>
      </c>
      <c r="DN68" s="178" t="str">
        <f t="shared" si="171"/>
        <v/>
      </c>
      <c r="DO68" s="9" t="str">
        <f t="shared" si="172"/>
        <v/>
      </c>
      <c r="DP68" s="173" t="str">
        <f t="shared" si="173"/>
        <v/>
      </c>
      <c r="DQ68" s="11" t="str">
        <f t="shared" si="174"/>
        <v/>
      </c>
      <c r="DR68" s="173" t="str">
        <f t="shared" si="175"/>
        <v/>
      </c>
      <c r="DS68" s="5" t="str">
        <f t="shared" si="176"/>
        <v/>
      </c>
      <c r="DT68" s="5" t="str">
        <f t="shared" si="177"/>
        <v/>
      </c>
      <c r="DU68" s="5" t="str">
        <f t="shared" si="178"/>
        <v/>
      </c>
      <c r="DV68" s="5" t="str">
        <f t="shared" si="179"/>
        <v/>
      </c>
      <c r="DW68" s="5" t="str">
        <f t="shared" si="180"/>
        <v/>
      </c>
      <c r="DX68" s="167" t="str">
        <f t="shared" si="181"/>
        <v/>
      </c>
      <c r="DY68" s="9" t="str">
        <f t="shared" si="182"/>
        <v/>
      </c>
      <c r="DZ68" s="5" t="str">
        <f t="shared" si="183"/>
        <v/>
      </c>
      <c r="EA68" s="10" t="str">
        <f t="shared" si="184"/>
        <v/>
      </c>
      <c r="EB68" s="6" t="str">
        <f t="shared" si="185"/>
        <v/>
      </c>
      <c r="EC68" s="173" t="str">
        <f t="shared" si="186"/>
        <v/>
      </c>
      <c r="ED68" s="5" t="str">
        <f t="shared" si="187"/>
        <v/>
      </c>
      <c r="EE68" s="4" t="str">
        <f t="shared" si="188"/>
        <v/>
      </c>
      <c r="EF68" s="5" t="str">
        <f t="shared" si="189"/>
        <v/>
      </c>
      <c r="EG68" s="10" t="str">
        <f t="shared" si="190"/>
        <v/>
      </c>
      <c r="EH68" s="9" t="str">
        <f t="shared" si="191"/>
        <v/>
      </c>
      <c r="EI68" s="5" t="str">
        <f t="shared" si="192"/>
        <v/>
      </c>
      <c r="EJ68" s="6" t="str">
        <f t="shared" si="193"/>
        <v/>
      </c>
      <c r="EK68" s="236" t="str">
        <f t="shared" si="194"/>
        <v/>
      </c>
      <c r="EL68" s="238" t="str">
        <f t="shared" si="195"/>
        <v/>
      </c>
      <c r="EM68" s="4" t="str">
        <f t="shared" si="196"/>
        <v/>
      </c>
      <c r="EN68" s="5" t="str">
        <f t="shared" si="197"/>
        <v/>
      </c>
      <c r="EO68" s="10" t="str">
        <f t="shared" si="198"/>
        <v/>
      </c>
      <c r="EP68" s="9" t="str">
        <f t="shared" si="199"/>
        <v/>
      </c>
      <c r="EQ68" s="5" t="str">
        <f t="shared" si="200"/>
        <v/>
      </c>
      <c r="ER68" s="7" t="str">
        <f t="shared" si="201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2"/>
        <v/>
      </c>
      <c r="EZ68" s="51" t="str">
        <f t="shared" si="203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4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6"/>
        <v/>
      </c>
      <c r="FK68" s="4" t="str">
        <f t="shared" si="568"/>
        <v/>
      </c>
      <c r="FL68" s="5" t="str">
        <f t="shared" si="207"/>
        <v/>
      </c>
      <c r="FM68" s="8" t="str">
        <f t="shared" si="208"/>
        <v/>
      </c>
      <c r="FN68" s="9" t="str">
        <f t="shared" si="209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0"/>
        <v/>
      </c>
      <c r="FS68" s="9" t="str">
        <f t="shared" si="211"/>
        <v/>
      </c>
      <c r="FT68" s="6" t="str">
        <f t="shared" si="212"/>
        <v/>
      </c>
      <c r="FU68" s="4" t="str">
        <f t="shared" si="213"/>
        <v/>
      </c>
      <c r="FV68" s="5" t="str">
        <f t="shared" si="214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5"/>
        <v/>
      </c>
      <c r="GB68" s="4" t="str">
        <f t="shared" si="216"/>
        <v/>
      </c>
      <c r="GC68" s="5" t="str">
        <f t="shared" si="217"/>
        <v/>
      </c>
      <c r="GD68" s="10" t="str">
        <f t="shared" si="218"/>
        <v/>
      </c>
      <c r="GE68" s="311" t="str">
        <f t="shared" si="219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0"/>
        <v/>
      </c>
      <c r="GK68" s="174" t="str">
        <f t="shared" si="575"/>
        <v/>
      </c>
      <c r="GL68" s="174" t="str">
        <f t="shared" si="221"/>
        <v/>
      </c>
      <c r="GM68" s="177" t="str">
        <f t="shared" si="244"/>
        <v/>
      </c>
      <c r="GN68" s="280" t="str">
        <f t="shared" si="222"/>
        <v/>
      </c>
      <c r="GO68" s="4" t="str">
        <f t="shared" si="223"/>
        <v/>
      </c>
      <c r="GP68" s="8" t="str">
        <f t="shared" si="245"/>
        <v/>
      </c>
      <c r="GQ68" s="177" t="str">
        <f t="shared" si="224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5"/>
        <v/>
      </c>
      <c r="HC68" s="343" t="str">
        <f t="shared" si="226"/>
        <v/>
      </c>
      <c r="HD68" s="363" t="str">
        <f t="shared" si="227"/>
        <v/>
      </c>
      <c r="HE68" s="344" t="str">
        <f t="shared" si="584"/>
        <v/>
      </c>
      <c r="HF68" s="5" t="str">
        <f t="shared" si="585"/>
        <v/>
      </c>
      <c r="HG68" s="343" t="str">
        <f t="shared" si="228"/>
        <v/>
      </c>
      <c r="HH68" s="349" t="str">
        <f t="shared" si="229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34" t="str">
        <f t="shared" si="455"/>
        <v/>
      </c>
      <c r="HN68" s="935" t="str">
        <f t="shared" si="456"/>
        <v/>
      </c>
      <c r="HO68" s="936"/>
      <c r="HP68" s="937"/>
      <c r="HQ68" s="935" t="str">
        <f t="shared" si="457"/>
        <v/>
      </c>
      <c r="HR68" s="938" t="str">
        <f t="shared" si="458"/>
        <v/>
      </c>
      <c r="HS68" s="939" t="str">
        <f t="shared" si="507"/>
        <v/>
      </c>
      <c r="HT68" s="940" t="str">
        <f t="shared" si="459"/>
        <v/>
      </c>
      <c r="HU68" s="941" t="str">
        <f t="shared" si="460"/>
        <v/>
      </c>
      <c r="HV68" s="942" t="str">
        <f t="shared" si="461"/>
        <v/>
      </c>
      <c r="HW68" s="943" t="str">
        <f t="shared" si="462"/>
        <v/>
      </c>
      <c r="HX68" s="944" t="str">
        <f t="shared" si="463"/>
        <v/>
      </c>
      <c r="HY68" s="943" t="str">
        <f t="shared" si="464"/>
        <v/>
      </c>
      <c r="HZ68" s="945" t="str">
        <f t="shared" si="465"/>
        <v/>
      </c>
      <c r="IA68" s="946" t="str">
        <f t="shared" si="466"/>
        <v/>
      </c>
      <c r="IB68" s="947" t="str">
        <f t="shared" si="467"/>
        <v/>
      </c>
      <c r="IC68" s="841" t="str">
        <f t="shared" si="468"/>
        <v/>
      </c>
      <c r="ID68" s="351" t="str">
        <f t="shared" si="469"/>
        <v/>
      </c>
      <c r="IE68" s="843" t="str">
        <f t="shared" si="470"/>
        <v/>
      </c>
      <c r="IG68" s="789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7" t="str">
        <f t="shared" si="230"/>
        <v/>
      </c>
      <c r="IJ68" s="967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71"/>
        <v/>
      </c>
      <c r="IM68" s="482" t="str">
        <f t="shared" si="231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 t="str">
        <f t="shared" si="308"/>
        <v/>
      </c>
      <c r="B69" s="578" t="str">
        <f t="shared" ref="B69:D69" si="615">IFERROR(O224+($A69*-E69),"")</f>
        <v/>
      </c>
      <c r="C69" s="572" t="str">
        <f t="shared" si="615"/>
        <v/>
      </c>
      <c r="D69" s="576" t="str">
        <f t="shared" si="615"/>
        <v/>
      </c>
      <c r="E69" s="580" t="str">
        <f t="shared" ref="E69:K69" si="616">R224</f>
        <v/>
      </c>
      <c r="F69" s="572" t="str">
        <f t="shared" si="616"/>
        <v/>
      </c>
      <c r="G69" s="579" t="str">
        <f t="shared" si="616"/>
        <v/>
      </c>
      <c r="H69" s="580" t="str">
        <f t="shared" si="616"/>
        <v/>
      </c>
      <c r="I69" s="572" t="str">
        <f t="shared" si="616"/>
        <v/>
      </c>
      <c r="J69" s="483" t="str">
        <f t="shared" si="92"/>
        <v/>
      </c>
      <c r="K69" s="805" t="str">
        <f t="shared" si="616"/>
        <v/>
      </c>
      <c r="L69" s="309"/>
      <c r="M69" s="164" t="str">
        <f t="shared" si="311"/>
        <v/>
      </c>
      <c r="N69" s="575" t="str">
        <f t="shared" si="312"/>
        <v/>
      </c>
      <c r="O69" s="572" t="str">
        <f t="shared" si="313"/>
        <v/>
      </c>
      <c r="P69" s="576" t="str">
        <f t="shared" si="314"/>
        <v/>
      </c>
      <c r="Q69" s="528" t="str">
        <f t="shared" si="134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135"/>
        <v/>
      </c>
      <c r="W69" s="528" t="str">
        <f t="shared" si="256"/>
        <v/>
      </c>
      <c r="X69" s="572" t="str">
        <f t="shared" si="97"/>
        <v/>
      </c>
      <c r="Y69" s="573" t="str">
        <f t="shared" si="259"/>
        <v/>
      </c>
      <c r="Z69" s="575" t="str">
        <f t="shared" si="315"/>
        <v/>
      </c>
      <c r="AA69" s="572" t="str">
        <f t="shared" si="316"/>
        <v/>
      </c>
      <c r="AB69" s="572" t="str">
        <f t="shared" si="317"/>
        <v/>
      </c>
      <c r="AC69" s="579" t="str">
        <f t="shared" si="98"/>
        <v/>
      </c>
      <c r="AD69" s="580" t="str">
        <f t="shared" si="136"/>
        <v/>
      </c>
      <c r="AE69" s="572" t="str">
        <f t="shared" si="99"/>
        <v/>
      </c>
      <c r="AF69" s="576" t="str">
        <f t="shared" si="100"/>
        <v/>
      </c>
      <c r="AG69" s="545" t="str">
        <f t="shared" si="101"/>
        <v/>
      </c>
      <c r="AH69" s="546" t="str">
        <f t="shared" si="102"/>
        <v/>
      </c>
      <c r="AI69" s="528" t="str">
        <f t="shared" si="103"/>
        <v/>
      </c>
      <c r="AJ69" s="529" t="str">
        <f t="shared" si="104"/>
        <v/>
      </c>
      <c r="AK69" s="578" t="str">
        <f t="shared" si="234"/>
        <v/>
      </c>
      <c r="AL69" s="572" t="str">
        <f t="shared" si="105"/>
        <v/>
      </c>
      <c r="AM69" s="577" t="str">
        <f t="shared" si="106"/>
        <v/>
      </c>
      <c r="AN69" s="524" t="str">
        <f t="shared" si="107"/>
        <v/>
      </c>
      <c r="AO69" s="525" t="str">
        <f t="shared" si="590"/>
        <v/>
      </c>
      <c r="AP69" s="528" t="str">
        <f t="shared" si="109"/>
        <v/>
      </c>
      <c r="AQ69" s="529" t="str">
        <f t="shared" si="318"/>
        <v/>
      </c>
      <c r="AS69" s="899" t="str">
        <f t="shared" si="510"/>
        <v/>
      </c>
      <c r="AT69" s="895" t="str">
        <f t="shared" si="319"/>
        <v/>
      </c>
      <c r="AU69" s="418"/>
      <c r="AV69" s="164" t="str">
        <f t="shared" si="320"/>
        <v/>
      </c>
      <c r="AW69" s="796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235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0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1"/>
        <v/>
      </c>
      <c r="BP69" s="5" t="str">
        <f t="shared" si="142"/>
        <v/>
      </c>
      <c r="BQ69" s="5" t="str">
        <f t="shared" si="143"/>
        <v/>
      </c>
      <c r="BR69" s="6" t="str">
        <f t="shared" si="144"/>
        <v/>
      </c>
      <c r="BS69" s="4" t="str">
        <f t="shared" si="554"/>
        <v/>
      </c>
      <c r="BT69" s="5" t="str">
        <f t="shared" si="554"/>
        <v/>
      </c>
      <c r="BU69" s="10" t="str">
        <f t="shared" si="111"/>
        <v/>
      </c>
      <c r="BV69" s="9" t="str">
        <f t="shared" si="112"/>
        <v/>
      </c>
      <c r="BW69" s="5" t="str">
        <f t="shared" si="113"/>
        <v/>
      </c>
      <c r="BX69" s="8" t="str">
        <f t="shared" si="114"/>
        <v/>
      </c>
      <c r="BY69" s="173" t="str">
        <f t="shared" si="115"/>
        <v/>
      </c>
      <c r="BZ69" s="5" t="str">
        <f t="shared" si="116"/>
        <v/>
      </c>
      <c r="CA69" s="6" t="str">
        <f t="shared" si="117"/>
        <v/>
      </c>
      <c r="CB69" s="4" t="str">
        <f t="shared" si="145"/>
        <v/>
      </c>
      <c r="CC69" s="5" t="str">
        <f t="shared" si="146"/>
        <v/>
      </c>
      <c r="CD69" s="5" t="str">
        <f t="shared" si="147"/>
        <v/>
      </c>
      <c r="CE69" s="6" t="str">
        <f t="shared" si="148"/>
        <v/>
      </c>
      <c r="CF69" s="4" t="str">
        <f t="shared" si="149"/>
        <v/>
      </c>
      <c r="CG69" s="5" t="str">
        <f t="shared" si="150"/>
        <v/>
      </c>
      <c r="CH69" s="5" t="str">
        <f t="shared" si="151"/>
        <v/>
      </c>
      <c r="CI69" s="4" t="str">
        <f t="shared" si="118"/>
        <v/>
      </c>
      <c r="CJ69" s="5" t="str">
        <f t="shared" si="119"/>
        <v/>
      </c>
      <c r="CK69" s="8" t="str">
        <f t="shared" si="120"/>
        <v/>
      </c>
      <c r="CL69" s="173" t="str">
        <f t="shared" si="121"/>
        <v/>
      </c>
      <c r="CM69" s="5" t="str">
        <f t="shared" si="122"/>
        <v/>
      </c>
      <c r="CN69" s="6" t="str">
        <f t="shared" si="123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2"/>
        <v/>
      </c>
      <c r="CS69" s="8" t="str">
        <f t="shared" si="153"/>
        <v/>
      </c>
      <c r="CT69" s="9" t="str">
        <f t="shared" si="154"/>
        <v/>
      </c>
      <c r="CU69" s="6" t="str">
        <f t="shared" si="155"/>
        <v/>
      </c>
      <c r="CV69" s="4" t="str">
        <f t="shared" si="238"/>
        <v/>
      </c>
      <c r="CW69" s="5" t="str">
        <f t="shared" si="156"/>
        <v/>
      </c>
      <c r="CX69" s="8" t="str">
        <f t="shared" si="157"/>
        <v/>
      </c>
      <c r="CY69" s="9" t="str">
        <f t="shared" si="158"/>
        <v/>
      </c>
      <c r="CZ69" s="5" t="str">
        <f t="shared" si="159"/>
        <v/>
      </c>
      <c r="DA69" s="6" t="str">
        <f t="shared" si="160"/>
        <v/>
      </c>
      <c r="DB69" s="4" t="str">
        <f t="shared" si="555"/>
        <v/>
      </c>
      <c r="DC69" s="5" t="str">
        <f t="shared" si="555"/>
        <v/>
      </c>
      <c r="DD69" s="10" t="str">
        <f t="shared" si="162"/>
        <v/>
      </c>
      <c r="DE69" s="9" t="str">
        <f t="shared" si="556"/>
        <v/>
      </c>
      <c r="DF69" s="5" t="str">
        <f t="shared" si="556"/>
        <v/>
      </c>
      <c r="DG69" s="10" t="str">
        <f t="shared" si="164"/>
        <v/>
      </c>
      <c r="DH69" s="70" t="str">
        <f t="shared" si="165"/>
        <v/>
      </c>
      <c r="DI69" s="4" t="str">
        <f t="shared" si="166"/>
        <v/>
      </c>
      <c r="DJ69" s="5" t="str">
        <f t="shared" si="167"/>
        <v/>
      </c>
      <c r="DK69" s="10" t="str">
        <f t="shared" si="168"/>
        <v/>
      </c>
      <c r="DL69" s="9" t="str">
        <f t="shared" si="169"/>
        <v/>
      </c>
      <c r="DM69" s="173" t="str">
        <f t="shared" si="170"/>
        <v/>
      </c>
      <c r="DN69" s="178" t="str">
        <f t="shared" si="171"/>
        <v/>
      </c>
      <c r="DO69" s="9" t="str">
        <f t="shared" si="172"/>
        <v/>
      </c>
      <c r="DP69" s="173" t="str">
        <f t="shared" si="173"/>
        <v/>
      </c>
      <c r="DQ69" s="11" t="str">
        <f t="shared" si="174"/>
        <v/>
      </c>
      <c r="DR69" s="173" t="str">
        <f t="shared" si="175"/>
        <v/>
      </c>
      <c r="DS69" s="5" t="str">
        <f t="shared" si="176"/>
        <v/>
      </c>
      <c r="DT69" s="5" t="str">
        <f t="shared" si="177"/>
        <v/>
      </c>
      <c r="DU69" s="5" t="str">
        <f t="shared" si="178"/>
        <v/>
      </c>
      <c r="DV69" s="5" t="str">
        <f t="shared" si="179"/>
        <v/>
      </c>
      <c r="DW69" s="5" t="str">
        <f t="shared" si="180"/>
        <v/>
      </c>
      <c r="DX69" s="167" t="str">
        <f t="shared" si="181"/>
        <v/>
      </c>
      <c r="DY69" s="9" t="str">
        <f t="shared" si="182"/>
        <v/>
      </c>
      <c r="DZ69" s="5" t="str">
        <f t="shared" si="183"/>
        <v/>
      </c>
      <c r="EA69" s="10" t="str">
        <f t="shared" si="184"/>
        <v/>
      </c>
      <c r="EB69" s="6" t="str">
        <f t="shared" si="185"/>
        <v/>
      </c>
      <c r="EC69" s="173" t="str">
        <f t="shared" si="186"/>
        <v/>
      </c>
      <c r="ED69" s="5" t="str">
        <f t="shared" si="187"/>
        <v/>
      </c>
      <c r="EE69" s="4" t="str">
        <f t="shared" si="188"/>
        <v/>
      </c>
      <c r="EF69" s="5" t="str">
        <f t="shared" si="189"/>
        <v/>
      </c>
      <c r="EG69" s="10" t="str">
        <f t="shared" si="190"/>
        <v/>
      </c>
      <c r="EH69" s="9" t="str">
        <f t="shared" si="191"/>
        <v/>
      </c>
      <c r="EI69" s="5" t="str">
        <f t="shared" si="192"/>
        <v/>
      </c>
      <c r="EJ69" s="6" t="str">
        <f t="shared" si="193"/>
        <v/>
      </c>
      <c r="EK69" s="236" t="str">
        <f t="shared" si="194"/>
        <v/>
      </c>
      <c r="EL69" s="238" t="str">
        <f t="shared" si="195"/>
        <v/>
      </c>
      <c r="EM69" s="4" t="str">
        <f t="shared" si="196"/>
        <v/>
      </c>
      <c r="EN69" s="5" t="str">
        <f t="shared" si="197"/>
        <v/>
      </c>
      <c r="EO69" s="10" t="str">
        <f t="shared" si="198"/>
        <v/>
      </c>
      <c r="EP69" s="9" t="str">
        <f t="shared" si="199"/>
        <v/>
      </c>
      <c r="EQ69" s="5" t="str">
        <f t="shared" si="200"/>
        <v/>
      </c>
      <c r="ER69" s="7" t="str">
        <f t="shared" si="201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2"/>
        <v/>
      </c>
      <c r="EZ69" s="51" t="str">
        <f t="shared" si="203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4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6"/>
        <v/>
      </c>
      <c r="FK69" s="4" t="str">
        <f t="shared" si="568"/>
        <v/>
      </c>
      <c r="FL69" s="5" t="str">
        <f t="shared" si="207"/>
        <v/>
      </c>
      <c r="FM69" s="8" t="str">
        <f t="shared" si="208"/>
        <v/>
      </c>
      <c r="FN69" s="9" t="str">
        <f t="shared" si="209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0"/>
        <v/>
      </c>
      <c r="FS69" s="9" t="str">
        <f t="shared" si="211"/>
        <v/>
      </c>
      <c r="FT69" s="6" t="str">
        <f t="shared" si="212"/>
        <v/>
      </c>
      <c r="FU69" s="4" t="str">
        <f t="shared" si="213"/>
        <v/>
      </c>
      <c r="FV69" s="5" t="str">
        <f t="shared" si="214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5"/>
        <v/>
      </c>
      <c r="GB69" s="4" t="str">
        <f t="shared" si="216"/>
        <v/>
      </c>
      <c r="GC69" s="5" t="str">
        <f t="shared" si="217"/>
        <v/>
      </c>
      <c r="GD69" s="10" t="str">
        <f t="shared" si="218"/>
        <v/>
      </c>
      <c r="GE69" s="311" t="str">
        <f t="shared" si="219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0"/>
        <v/>
      </c>
      <c r="GK69" s="174" t="str">
        <f t="shared" si="575"/>
        <v/>
      </c>
      <c r="GL69" s="174" t="str">
        <f t="shared" si="221"/>
        <v/>
      </c>
      <c r="GM69" s="177" t="str">
        <f t="shared" si="244"/>
        <v/>
      </c>
      <c r="GN69" s="280" t="str">
        <f t="shared" si="222"/>
        <v/>
      </c>
      <c r="GO69" s="4" t="str">
        <f t="shared" si="223"/>
        <v/>
      </c>
      <c r="GP69" s="8" t="str">
        <f t="shared" si="245"/>
        <v/>
      </c>
      <c r="GQ69" s="177" t="str">
        <f t="shared" si="224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5"/>
        <v/>
      </c>
      <c r="HC69" s="343" t="str">
        <f t="shared" si="226"/>
        <v/>
      </c>
      <c r="HD69" s="363" t="str">
        <f t="shared" si="227"/>
        <v/>
      </c>
      <c r="HE69" s="344" t="str">
        <f t="shared" si="584"/>
        <v/>
      </c>
      <c r="HF69" s="5" t="str">
        <f t="shared" si="585"/>
        <v/>
      </c>
      <c r="HG69" s="343" t="str">
        <f t="shared" si="228"/>
        <v/>
      </c>
      <c r="HH69" s="349" t="str">
        <f t="shared" si="229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34" t="str">
        <f t="shared" si="455"/>
        <v/>
      </c>
      <c r="HN69" s="935" t="str">
        <f t="shared" si="456"/>
        <v/>
      </c>
      <c r="HO69" s="936"/>
      <c r="HP69" s="937"/>
      <c r="HQ69" s="935" t="str">
        <f t="shared" si="457"/>
        <v/>
      </c>
      <c r="HR69" s="938" t="str">
        <f t="shared" si="458"/>
        <v/>
      </c>
      <c r="HS69" s="939" t="str">
        <f t="shared" si="507"/>
        <v/>
      </c>
      <c r="HT69" s="940" t="str">
        <f t="shared" si="459"/>
        <v/>
      </c>
      <c r="HU69" s="941" t="str">
        <f t="shared" si="460"/>
        <v/>
      </c>
      <c r="HV69" s="942" t="str">
        <f t="shared" si="461"/>
        <v/>
      </c>
      <c r="HW69" s="943" t="str">
        <f t="shared" si="462"/>
        <v/>
      </c>
      <c r="HX69" s="944" t="str">
        <f t="shared" si="463"/>
        <v/>
      </c>
      <c r="HY69" s="943" t="str">
        <f t="shared" si="464"/>
        <v/>
      </c>
      <c r="HZ69" s="945" t="str">
        <f t="shared" si="465"/>
        <v/>
      </c>
      <c r="IA69" s="946" t="str">
        <f t="shared" si="466"/>
        <v/>
      </c>
      <c r="IB69" s="947" t="str">
        <f t="shared" si="467"/>
        <v/>
      </c>
      <c r="IC69" s="841" t="str">
        <f t="shared" si="468"/>
        <v/>
      </c>
      <c r="ID69" s="351" t="str">
        <f t="shared" si="469"/>
        <v/>
      </c>
      <c r="IE69" s="843" t="str">
        <f t="shared" si="470"/>
        <v/>
      </c>
      <c r="IG69" s="789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7" t="str">
        <f t="shared" si="230"/>
        <v/>
      </c>
      <c r="IJ69" s="967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71"/>
        <v/>
      </c>
      <c r="IM69" s="482" t="str">
        <f t="shared" si="231"/>
        <v/>
      </c>
      <c r="IN69" s="670" t="str">
        <f t="shared" si="472"/>
        <v/>
      </c>
      <c r="IO69" s="702">
        <v>4.6812793704495502E-2</v>
      </c>
      <c r="IP69" s="5" t="str">
        <f t="shared" si="473"/>
        <v/>
      </c>
      <c r="IQ69" s="714">
        <v>220</v>
      </c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 t="str">
        <f t="shared" si="308"/>
        <v/>
      </c>
      <c r="B70" s="578" t="str">
        <f t="shared" ref="B70:D70" si="617">IFERROR(O225+($A70*-E70),"")</f>
        <v/>
      </c>
      <c r="C70" s="572" t="str">
        <f t="shared" si="617"/>
        <v/>
      </c>
      <c r="D70" s="576" t="str">
        <f t="shared" si="617"/>
        <v/>
      </c>
      <c r="E70" s="580" t="str">
        <f t="shared" ref="E70:K70" si="618">R225</f>
        <v/>
      </c>
      <c r="F70" s="572" t="str">
        <f t="shared" si="618"/>
        <v/>
      </c>
      <c r="G70" s="579" t="str">
        <f t="shared" si="618"/>
        <v/>
      </c>
      <c r="H70" s="580" t="str">
        <f t="shared" si="618"/>
        <v/>
      </c>
      <c r="I70" s="572" t="str">
        <f t="shared" si="618"/>
        <v/>
      </c>
      <c r="J70" s="483" t="str">
        <f t="shared" si="92"/>
        <v/>
      </c>
      <c r="K70" s="805" t="str">
        <f t="shared" si="618"/>
        <v/>
      </c>
      <c r="L70" s="309"/>
      <c r="M70" s="164" t="str">
        <f t="shared" si="311"/>
        <v/>
      </c>
      <c r="N70" s="575" t="str">
        <f t="shared" si="312"/>
        <v/>
      </c>
      <c r="O70" s="572" t="str">
        <f t="shared" si="313"/>
        <v/>
      </c>
      <c r="P70" s="576" t="str">
        <f t="shared" si="314"/>
        <v/>
      </c>
      <c r="Q70" s="528" t="str">
        <f t="shared" si="134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135"/>
        <v/>
      </c>
      <c r="W70" s="528" t="str">
        <f t="shared" si="256"/>
        <v/>
      </c>
      <c r="X70" s="572" t="str">
        <f t="shared" si="97"/>
        <v/>
      </c>
      <c r="Y70" s="573" t="str">
        <f t="shared" si="259"/>
        <v/>
      </c>
      <c r="Z70" s="575" t="str">
        <f t="shared" si="315"/>
        <v/>
      </c>
      <c r="AA70" s="572" t="str">
        <f t="shared" si="316"/>
        <v/>
      </c>
      <c r="AB70" s="572" t="str">
        <f t="shared" si="317"/>
        <v/>
      </c>
      <c r="AC70" s="579" t="str">
        <f t="shared" si="98"/>
        <v/>
      </c>
      <c r="AD70" s="580" t="str">
        <f t="shared" si="136"/>
        <v/>
      </c>
      <c r="AE70" s="572" t="str">
        <f t="shared" si="99"/>
        <v/>
      </c>
      <c r="AF70" s="576" t="str">
        <f t="shared" si="100"/>
        <v/>
      </c>
      <c r="AG70" s="545" t="str">
        <f t="shared" si="101"/>
        <v/>
      </c>
      <c r="AH70" s="546" t="str">
        <f t="shared" si="102"/>
        <v/>
      </c>
      <c r="AI70" s="528" t="str">
        <f t="shared" si="103"/>
        <v/>
      </c>
      <c r="AJ70" s="529" t="str">
        <f t="shared" si="104"/>
        <v/>
      </c>
      <c r="AK70" s="578" t="str">
        <f t="shared" si="234"/>
        <v/>
      </c>
      <c r="AL70" s="572" t="str">
        <f t="shared" si="105"/>
        <v/>
      </c>
      <c r="AM70" s="577" t="str">
        <f t="shared" si="106"/>
        <v/>
      </c>
      <c r="AN70" s="524" t="str">
        <f t="shared" si="107"/>
        <v/>
      </c>
      <c r="AO70" s="525" t="str">
        <f t="shared" si="590"/>
        <v/>
      </c>
      <c r="AP70" s="528" t="str">
        <f t="shared" si="109"/>
        <v/>
      </c>
      <c r="AQ70" s="529" t="str">
        <f t="shared" si="318"/>
        <v/>
      </c>
      <c r="AS70" s="899" t="str">
        <f t="shared" si="510"/>
        <v/>
      </c>
      <c r="AT70" s="895" t="str">
        <f t="shared" si="319"/>
        <v/>
      </c>
      <c r="AU70" s="418"/>
      <c r="AV70" s="164" t="str">
        <f t="shared" si="320"/>
        <v/>
      </c>
      <c r="AW70" s="796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235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0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1"/>
        <v/>
      </c>
      <c r="BP70" s="5" t="str">
        <f t="shared" si="142"/>
        <v/>
      </c>
      <c r="BQ70" s="5" t="str">
        <f t="shared" si="143"/>
        <v/>
      </c>
      <c r="BR70" s="6" t="str">
        <f t="shared" si="144"/>
        <v/>
      </c>
      <c r="BS70" s="4" t="str">
        <f t="shared" si="554"/>
        <v/>
      </c>
      <c r="BT70" s="5" t="str">
        <f t="shared" si="554"/>
        <v/>
      </c>
      <c r="BU70" s="10" t="str">
        <f t="shared" si="111"/>
        <v/>
      </c>
      <c r="BV70" s="9" t="str">
        <f t="shared" si="112"/>
        <v/>
      </c>
      <c r="BW70" s="5" t="str">
        <f t="shared" si="113"/>
        <v/>
      </c>
      <c r="BX70" s="8" t="str">
        <f t="shared" si="114"/>
        <v/>
      </c>
      <c r="BY70" s="173" t="str">
        <f t="shared" si="115"/>
        <v/>
      </c>
      <c r="BZ70" s="5" t="str">
        <f t="shared" si="116"/>
        <v/>
      </c>
      <c r="CA70" s="6" t="str">
        <f t="shared" si="117"/>
        <v/>
      </c>
      <c r="CB70" s="4" t="str">
        <f t="shared" si="145"/>
        <v/>
      </c>
      <c r="CC70" s="5" t="str">
        <f t="shared" si="146"/>
        <v/>
      </c>
      <c r="CD70" s="5" t="str">
        <f t="shared" si="147"/>
        <v/>
      </c>
      <c r="CE70" s="6" t="str">
        <f t="shared" si="148"/>
        <v/>
      </c>
      <c r="CF70" s="4" t="str">
        <f t="shared" si="149"/>
        <v/>
      </c>
      <c r="CG70" s="5" t="str">
        <f t="shared" si="150"/>
        <v/>
      </c>
      <c r="CH70" s="5" t="str">
        <f t="shared" si="151"/>
        <v/>
      </c>
      <c r="CI70" s="4" t="str">
        <f t="shared" si="118"/>
        <v/>
      </c>
      <c r="CJ70" s="5" t="str">
        <f t="shared" si="119"/>
        <v/>
      </c>
      <c r="CK70" s="8" t="str">
        <f t="shared" si="120"/>
        <v/>
      </c>
      <c r="CL70" s="173" t="str">
        <f t="shared" si="121"/>
        <v/>
      </c>
      <c r="CM70" s="5" t="str">
        <f t="shared" si="122"/>
        <v/>
      </c>
      <c r="CN70" s="6" t="str">
        <f t="shared" si="123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2"/>
        <v/>
      </c>
      <c r="CS70" s="8" t="str">
        <f t="shared" si="153"/>
        <v/>
      </c>
      <c r="CT70" s="9" t="str">
        <f t="shared" si="154"/>
        <v/>
      </c>
      <c r="CU70" s="6" t="str">
        <f t="shared" si="155"/>
        <v/>
      </c>
      <c r="CV70" s="4" t="str">
        <f t="shared" si="238"/>
        <v/>
      </c>
      <c r="CW70" s="5" t="str">
        <f t="shared" si="156"/>
        <v/>
      </c>
      <c r="CX70" s="8" t="str">
        <f t="shared" si="157"/>
        <v/>
      </c>
      <c r="CY70" s="9" t="str">
        <f t="shared" si="158"/>
        <v/>
      </c>
      <c r="CZ70" s="5" t="str">
        <f t="shared" si="159"/>
        <v/>
      </c>
      <c r="DA70" s="6" t="str">
        <f t="shared" si="160"/>
        <v/>
      </c>
      <c r="DB70" s="4" t="str">
        <f t="shared" si="555"/>
        <v/>
      </c>
      <c r="DC70" s="5" t="str">
        <f t="shared" si="555"/>
        <v/>
      </c>
      <c r="DD70" s="10" t="str">
        <f t="shared" si="162"/>
        <v/>
      </c>
      <c r="DE70" s="9" t="str">
        <f t="shared" si="556"/>
        <v/>
      </c>
      <c r="DF70" s="5" t="str">
        <f t="shared" si="556"/>
        <v/>
      </c>
      <c r="DG70" s="10" t="str">
        <f t="shared" si="164"/>
        <v/>
      </c>
      <c r="DH70" s="70" t="str">
        <f t="shared" si="165"/>
        <v/>
      </c>
      <c r="DI70" s="4" t="str">
        <f t="shared" si="166"/>
        <v/>
      </c>
      <c r="DJ70" s="5" t="str">
        <f t="shared" si="167"/>
        <v/>
      </c>
      <c r="DK70" s="10" t="str">
        <f t="shared" si="168"/>
        <v/>
      </c>
      <c r="DL70" s="9" t="str">
        <f t="shared" si="169"/>
        <v/>
      </c>
      <c r="DM70" s="173" t="str">
        <f t="shared" si="170"/>
        <v/>
      </c>
      <c r="DN70" s="178" t="str">
        <f t="shared" si="171"/>
        <v/>
      </c>
      <c r="DO70" s="9" t="str">
        <f t="shared" si="172"/>
        <v/>
      </c>
      <c r="DP70" s="173" t="str">
        <f t="shared" si="173"/>
        <v/>
      </c>
      <c r="DQ70" s="11" t="str">
        <f t="shared" si="174"/>
        <v/>
      </c>
      <c r="DR70" s="173" t="str">
        <f t="shared" si="175"/>
        <v/>
      </c>
      <c r="DS70" s="5" t="str">
        <f t="shared" si="176"/>
        <v/>
      </c>
      <c r="DT70" s="5" t="str">
        <f t="shared" si="177"/>
        <v/>
      </c>
      <c r="DU70" s="5" t="str">
        <f t="shared" si="178"/>
        <v/>
      </c>
      <c r="DV70" s="5" t="str">
        <f t="shared" si="179"/>
        <v/>
      </c>
      <c r="DW70" s="5" t="str">
        <f t="shared" si="180"/>
        <v/>
      </c>
      <c r="DX70" s="167" t="str">
        <f t="shared" si="181"/>
        <v/>
      </c>
      <c r="DY70" s="9" t="str">
        <f t="shared" si="182"/>
        <v/>
      </c>
      <c r="DZ70" s="5" t="str">
        <f t="shared" si="183"/>
        <v/>
      </c>
      <c r="EA70" s="10" t="str">
        <f t="shared" si="184"/>
        <v/>
      </c>
      <c r="EB70" s="6" t="str">
        <f t="shared" si="185"/>
        <v/>
      </c>
      <c r="EC70" s="173" t="str">
        <f t="shared" si="186"/>
        <v/>
      </c>
      <c r="ED70" s="5" t="str">
        <f t="shared" si="187"/>
        <v/>
      </c>
      <c r="EE70" s="4" t="str">
        <f t="shared" si="188"/>
        <v/>
      </c>
      <c r="EF70" s="5" t="str">
        <f t="shared" si="189"/>
        <v/>
      </c>
      <c r="EG70" s="10" t="str">
        <f t="shared" si="190"/>
        <v/>
      </c>
      <c r="EH70" s="9" t="str">
        <f t="shared" si="191"/>
        <v/>
      </c>
      <c r="EI70" s="5" t="str">
        <f t="shared" si="192"/>
        <v/>
      </c>
      <c r="EJ70" s="6" t="str">
        <f t="shared" si="193"/>
        <v/>
      </c>
      <c r="EK70" s="236" t="str">
        <f t="shared" si="194"/>
        <v/>
      </c>
      <c r="EL70" s="238" t="str">
        <f t="shared" si="195"/>
        <v/>
      </c>
      <c r="EM70" s="4" t="str">
        <f t="shared" si="196"/>
        <v/>
      </c>
      <c r="EN70" s="5" t="str">
        <f t="shared" si="197"/>
        <v/>
      </c>
      <c r="EO70" s="10" t="str">
        <f t="shared" si="198"/>
        <v/>
      </c>
      <c r="EP70" s="9" t="str">
        <f t="shared" si="199"/>
        <v/>
      </c>
      <c r="EQ70" s="5" t="str">
        <f t="shared" si="200"/>
        <v/>
      </c>
      <c r="ER70" s="7" t="str">
        <f t="shared" si="201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2"/>
        <v/>
      </c>
      <c r="EZ70" s="51" t="str">
        <f t="shared" si="203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4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6"/>
        <v/>
      </c>
      <c r="FK70" s="4" t="str">
        <f t="shared" si="568"/>
        <v/>
      </c>
      <c r="FL70" s="5" t="str">
        <f t="shared" si="207"/>
        <v/>
      </c>
      <c r="FM70" s="8" t="str">
        <f t="shared" si="208"/>
        <v/>
      </c>
      <c r="FN70" s="9" t="str">
        <f t="shared" si="209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0"/>
        <v/>
      </c>
      <c r="FS70" s="9" t="str">
        <f t="shared" si="211"/>
        <v/>
      </c>
      <c r="FT70" s="6" t="str">
        <f t="shared" si="212"/>
        <v/>
      </c>
      <c r="FU70" s="4" t="str">
        <f t="shared" si="213"/>
        <v/>
      </c>
      <c r="FV70" s="5" t="str">
        <f t="shared" si="214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5"/>
        <v/>
      </c>
      <c r="GB70" s="4" t="str">
        <f t="shared" si="216"/>
        <v/>
      </c>
      <c r="GC70" s="5" t="str">
        <f t="shared" si="217"/>
        <v/>
      </c>
      <c r="GD70" s="10" t="str">
        <f t="shared" si="218"/>
        <v/>
      </c>
      <c r="GE70" s="311" t="str">
        <f t="shared" si="219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0"/>
        <v/>
      </c>
      <c r="GK70" s="174" t="str">
        <f t="shared" si="575"/>
        <v/>
      </c>
      <c r="GL70" s="174" t="str">
        <f t="shared" si="221"/>
        <v/>
      </c>
      <c r="GM70" s="177" t="str">
        <f t="shared" si="244"/>
        <v/>
      </c>
      <c r="GN70" s="280" t="str">
        <f t="shared" si="222"/>
        <v/>
      </c>
      <c r="GO70" s="4" t="str">
        <f t="shared" si="223"/>
        <v/>
      </c>
      <c r="GP70" s="8" t="str">
        <f t="shared" si="245"/>
        <v/>
      </c>
      <c r="GQ70" s="177" t="str">
        <f t="shared" si="224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5"/>
        <v/>
      </c>
      <c r="HC70" s="343" t="str">
        <f t="shared" si="226"/>
        <v/>
      </c>
      <c r="HD70" s="363" t="str">
        <f t="shared" si="227"/>
        <v/>
      </c>
      <c r="HE70" s="344" t="str">
        <f t="shared" si="584"/>
        <v/>
      </c>
      <c r="HF70" s="5" t="str">
        <f t="shared" si="585"/>
        <v/>
      </c>
      <c r="HG70" s="343" t="str">
        <f t="shared" si="228"/>
        <v/>
      </c>
      <c r="HH70" s="349" t="str">
        <f t="shared" si="229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34" t="str">
        <f t="shared" si="455"/>
        <v/>
      </c>
      <c r="HN70" s="935" t="str">
        <f t="shared" si="456"/>
        <v/>
      </c>
      <c r="HO70" s="936"/>
      <c r="HP70" s="937"/>
      <c r="HQ70" s="935" t="str">
        <f t="shared" si="457"/>
        <v/>
      </c>
      <c r="HR70" s="938" t="str">
        <f t="shared" si="458"/>
        <v/>
      </c>
      <c r="HS70" s="939" t="str">
        <f t="shared" si="507"/>
        <v/>
      </c>
      <c r="HT70" s="940" t="str">
        <f t="shared" si="459"/>
        <v/>
      </c>
      <c r="HU70" s="941" t="str">
        <f t="shared" si="460"/>
        <v/>
      </c>
      <c r="HV70" s="942" t="str">
        <f t="shared" si="461"/>
        <v/>
      </c>
      <c r="HW70" s="943" t="str">
        <f t="shared" si="462"/>
        <v/>
      </c>
      <c r="HX70" s="944" t="str">
        <f t="shared" si="463"/>
        <v/>
      </c>
      <c r="HY70" s="943" t="str">
        <f t="shared" si="464"/>
        <v/>
      </c>
      <c r="HZ70" s="945" t="str">
        <f t="shared" si="465"/>
        <v/>
      </c>
      <c r="IA70" s="946" t="str">
        <f t="shared" si="466"/>
        <v/>
      </c>
      <c r="IB70" s="947" t="str">
        <f t="shared" si="467"/>
        <v/>
      </c>
      <c r="IC70" s="841" t="str">
        <f t="shared" si="468"/>
        <v/>
      </c>
      <c r="ID70" s="351" t="str">
        <f t="shared" si="469"/>
        <v/>
      </c>
      <c r="IE70" s="843" t="str">
        <f t="shared" si="470"/>
        <v/>
      </c>
      <c r="IG70" s="789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7" t="str">
        <f t="shared" si="230"/>
        <v/>
      </c>
      <c r="IJ70" s="967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71"/>
        <v/>
      </c>
      <c r="IM70" s="482" t="str">
        <f t="shared" si="231"/>
        <v/>
      </c>
      <c r="IN70" s="670" t="str">
        <f t="shared" si="472"/>
        <v/>
      </c>
      <c r="IO70" s="702">
        <v>4.6240311729790803E-2</v>
      </c>
      <c r="IP70" s="5" t="str">
        <f t="shared" si="473"/>
        <v/>
      </c>
      <c r="IQ70" s="714">
        <v>230</v>
      </c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 t="str">
        <f t="shared" si="308"/>
        <v/>
      </c>
      <c r="B71" s="578" t="str">
        <f t="shared" ref="B71:D71" si="619">IFERROR(O226+($A71*-E71),"")</f>
        <v/>
      </c>
      <c r="C71" s="572" t="str">
        <f t="shared" si="619"/>
        <v/>
      </c>
      <c r="D71" s="576" t="str">
        <f t="shared" si="619"/>
        <v/>
      </c>
      <c r="E71" s="580" t="str">
        <f t="shared" ref="E71:K71" si="620">R226</f>
        <v/>
      </c>
      <c r="F71" s="572" t="str">
        <f t="shared" si="620"/>
        <v/>
      </c>
      <c r="G71" s="579" t="str">
        <f t="shared" si="620"/>
        <v/>
      </c>
      <c r="H71" s="580" t="str">
        <f t="shared" si="620"/>
        <v/>
      </c>
      <c r="I71" s="572" t="str">
        <f t="shared" si="620"/>
        <v/>
      </c>
      <c r="J71" s="483" t="str">
        <f t="shared" si="92"/>
        <v/>
      </c>
      <c r="K71" s="805" t="str">
        <f t="shared" si="620"/>
        <v/>
      </c>
      <c r="L71" s="309"/>
      <c r="M71" s="164" t="str">
        <f t="shared" si="311"/>
        <v/>
      </c>
      <c r="N71" s="575" t="str">
        <f t="shared" si="312"/>
        <v/>
      </c>
      <c r="O71" s="572" t="str">
        <f t="shared" si="313"/>
        <v/>
      </c>
      <c r="P71" s="576" t="str">
        <f t="shared" si="314"/>
        <v/>
      </c>
      <c r="Q71" s="528" t="str">
        <f t="shared" si="134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135"/>
        <v/>
      </c>
      <c r="W71" s="528" t="str">
        <f t="shared" si="256"/>
        <v/>
      </c>
      <c r="X71" s="572" t="str">
        <f t="shared" si="97"/>
        <v/>
      </c>
      <c r="Y71" s="573" t="str">
        <f t="shared" si="259"/>
        <v/>
      </c>
      <c r="Z71" s="575" t="str">
        <f t="shared" si="315"/>
        <v/>
      </c>
      <c r="AA71" s="572" t="str">
        <f t="shared" si="316"/>
        <v/>
      </c>
      <c r="AB71" s="572" t="str">
        <f t="shared" si="317"/>
        <v/>
      </c>
      <c r="AC71" s="579" t="str">
        <f t="shared" si="98"/>
        <v/>
      </c>
      <c r="AD71" s="580" t="str">
        <f t="shared" si="136"/>
        <v/>
      </c>
      <c r="AE71" s="572" t="str">
        <f t="shared" si="99"/>
        <v/>
      </c>
      <c r="AF71" s="576" t="str">
        <f t="shared" si="100"/>
        <v/>
      </c>
      <c r="AG71" s="545" t="str">
        <f t="shared" si="101"/>
        <v/>
      </c>
      <c r="AH71" s="546" t="str">
        <f t="shared" si="102"/>
        <v/>
      </c>
      <c r="AI71" s="528" t="str">
        <f t="shared" si="103"/>
        <v/>
      </c>
      <c r="AJ71" s="529" t="str">
        <f t="shared" si="104"/>
        <v/>
      </c>
      <c r="AK71" s="578" t="str">
        <f t="shared" si="234"/>
        <v/>
      </c>
      <c r="AL71" s="572" t="str">
        <f t="shared" si="105"/>
        <v/>
      </c>
      <c r="AM71" s="577" t="str">
        <f t="shared" si="106"/>
        <v/>
      </c>
      <c r="AN71" s="524" t="str">
        <f t="shared" si="107"/>
        <v/>
      </c>
      <c r="AO71" s="525" t="str">
        <f t="shared" si="590"/>
        <v/>
      </c>
      <c r="AP71" s="528" t="str">
        <f t="shared" si="109"/>
        <v/>
      </c>
      <c r="AQ71" s="529" t="str">
        <f t="shared" si="318"/>
        <v/>
      </c>
      <c r="AS71" s="899" t="str">
        <f t="shared" si="510"/>
        <v/>
      </c>
      <c r="AT71" s="895" t="str">
        <f t="shared" si="319"/>
        <v/>
      </c>
      <c r="AU71" s="418"/>
      <c r="AV71" s="164" t="str">
        <f t="shared" si="320"/>
        <v/>
      </c>
      <c r="AW71" s="796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235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0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1"/>
        <v/>
      </c>
      <c r="BP71" s="5" t="str">
        <f t="shared" si="142"/>
        <v/>
      </c>
      <c r="BQ71" s="5" t="str">
        <f t="shared" si="143"/>
        <v/>
      </c>
      <c r="BR71" s="6" t="str">
        <f t="shared" si="144"/>
        <v/>
      </c>
      <c r="BS71" s="4" t="str">
        <f t="shared" si="554"/>
        <v/>
      </c>
      <c r="BT71" s="5" t="str">
        <f t="shared" si="554"/>
        <v/>
      </c>
      <c r="BU71" s="10" t="str">
        <f t="shared" si="111"/>
        <v/>
      </c>
      <c r="BV71" s="9" t="str">
        <f t="shared" si="112"/>
        <v/>
      </c>
      <c r="BW71" s="5" t="str">
        <f t="shared" si="113"/>
        <v/>
      </c>
      <c r="BX71" s="8" t="str">
        <f t="shared" si="114"/>
        <v/>
      </c>
      <c r="BY71" s="173" t="str">
        <f t="shared" si="115"/>
        <v/>
      </c>
      <c r="BZ71" s="5" t="str">
        <f t="shared" si="116"/>
        <v/>
      </c>
      <c r="CA71" s="6" t="str">
        <f t="shared" si="117"/>
        <v/>
      </c>
      <c r="CB71" s="4" t="str">
        <f t="shared" si="145"/>
        <v/>
      </c>
      <c r="CC71" s="5" t="str">
        <f t="shared" si="146"/>
        <v/>
      </c>
      <c r="CD71" s="5" t="str">
        <f t="shared" si="147"/>
        <v/>
      </c>
      <c r="CE71" s="6" t="str">
        <f t="shared" si="148"/>
        <v/>
      </c>
      <c r="CF71" s="4" t="str">
        <f t="shared" si="149"/>
        <v/>
      </c>
      <c r="CG71" s="5" t="str">
        <f t="shared" si="150"/>
        <v/>
      </c>
      <c r="CH71" s="5" t="str">
        <f t="shared" si="151"/>
        <v/>
      </c>
      <c r="CI71" s="4" t="str">
        <f t="shared" si="118"/>
        <v/>
      </c>
      <c r="CJ71" s="5" t="str">
        <f t="shared" si="119"/>
        <v/>
      </c>
      <c r="CK71" s="8" t="str">
        <f t="shared" si="120"/>
        <v/>
      </c>
      <c r="CL71" s="173" t="str">
        <f t="shared" si="121"/>
        <v/>
      </c>
      <c r="CM71" s="5" t="str">
        <f t="shared" si="122"/>
        <v/>
      </c>
      <c r="CN71" s="6" t="str">
        <f t="shared" si="123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2"/>
        <v/>
      </c>
      <c r="CS71" s="8" t="str">
        <f t="shared" si="153"/>
        <v/>
      </c>
      <c r="CT71" s="9" t="str">
        <f t="shared" si="154"/>
        <v/>
      </c>
      <c r="CU71" s="6" t="str">
        <f t="shared" si="155"/>
        <v/>
      </c>
      <c r="CV71" s="4" t="str">
        <f t="shared" si="238"/>
        <v/>
      </c>
      <c r="CW71" s="5" t="str">
        <f t="shared" si="156"/>
        <v/>
      </c>
      <c r="CX71" s="8" t="str">
        <f t="shared" si="157"/>
        <v/>
      </c>
      <c r="CY71" s="9" t="str">
        <f t="shared" si="158"/>
        <v/>
      </c>
      <c r="CZ71" s="5" t="str">
        <f t="shared" si="159"/>
        <v/>
      </c>
      <c r="DA71" s="6" t="str">
        <f t="shared" si="160"/>
        <v/>
      </c>
      <c r="DB71" s="4" t="str">
        <f t="shared" si="555"/>
        <v/>
      </c>
      <c r="DC71" s="5" t="str">
        <f t="shared" si="555"/>
        <v/>
      </c>
      <c r="DD71" s="10" t="str">
        <f t="shared" si="162"/>
        <v/>
      </c>
      <c r="DE71" s="9" t="str">
        <f t="shared" si="556"/>
        <v/>
      </c>
      <c r="DF71" s="5" t="str">
        <f t="shared" si="556"/>
        <v/>
      </c>
      <c r="DG71" s="10" t="str">
        <f t="shared" si="164"/>
        <v/>
      </c>
      <c r="DH71" s="70" t="str">
        <f t="shared" si="165"/>
        <v/>
      </c>
      <c r="DI71" s="4" t="str">
        <f t="shared" si="166"/>
        <v/>
      </c>
      <c r="DJ71" s="5" t="str">
        <f t="shared" si="167"/>
        <v/>
      </c>
      <c r="DK71" s="10" t="str">
        <f t="shared" si="168"/>
        <v/>
      </c>
      <c r="DL71" s="9" t="str">
        <f t="shared" si="169"/>
        <v/>
      </c>
      <c r="DM71" s="173" t="str">
        <f t="shared" si="170"/>
        <v/>
      </c>
      <c r="DN71" s="178" t="str">
        <f t="shared" si="171"/>
        <v/>
      </c>
      <c r="DO71" s="9" t="str">
        <f t="shared" si="172"/>
        <v/>
      </c>
      <c r="DP71" s="173" t="str">
        <f t="shared" si="173"/>
        <v/>
      </c>
      <c r="DQ71" s="11" t="str">
        <f t="shared" si="174"/>
        <v/>
      </c>
      <c r="DR71" s="173" t="str">
        <f t="shared" si="175"/>
        <v/>
      </c>
      <c r="DS71" s="5" t="str">
        <f t="shared" si="176"/>
        <v/>
      </c>
      <c r="DT71" s="5" t="str">
        <f t="shared" si="177"/>
        <v/>
      </c>
      <c r="DU71" s="5" t="str">
        <f t="shared" si="178"/>
        <v/>
      </c>
      <c r="DV71" s="5" t="str">
        <f t="shared" si="179"/>
        <v/>
      </c>
      <c r="DW71" s="5" t="str">
        <f t="shared" si="180"/>
        <v/>
      </c>
      <c r="DX71" s="167" t="str">
        <f t="shared" si="181"/>
        <v/>
      </c>
      <c r="DY71" s="9" t="str">
        <f t="shared" si="182"/>
        <v/>
      </c>
      <c r="DZ71" s="5" t="str">
        <f t="shared" si="183"/>
        <v/>
      </c>
      <c r="EA71" s="10" t="str">
        <f t="shared" si="184"/>
        <v/>
      </c>
      <c r="EB71" s="6" t="str">
        <f t="shared" si="185"/>
        <v/>
      </c>
      <c r="EC71" s="173" t="str">
        <f t="shared" si="186"/>
        <v/>
      </c>
      <c r="ED71" s="5" t="str">
        <f t="shared" si="187"/>
        <v/>
      </c>
      <c r="EE71" s="4" t="str">
        <f t="shared" si="188"/>
        <v/>
      </c>
      <c r="EF71" s="5" t="str">
        <f t="shared" si="189"/>
        <v/>
      </c>
      <c r="EG71" s="10" t="str">
        <f t="shared" si="190"/>
        <v/>
      </c>
      <c r="EH71" s="9" t="str">
        <f t="shared" si="191"/>
        <v/>
      </c>
      <c r="EI71" s="5" t="str">
        <f t="shared" si="192"/>
        <v/>
      </c>
      <c r="EJ71" s="6" t="str">
        <f t="shared" si="193"/>
        <v/>
      </c>
      <c r="EK71" s="236" t="str">
        <f t="shared" si="194"/>
        <v/>
      </c>
      <c r="EL71" s="238" t="str">
        <f t="shared" si="195"/>
        <v/>
      </c>
      <c r="EM71" s="4" t="str">
        <f t="shared" si="196"/>
        <v/>
      </c>
      <c r="EN71" s="5" t="str">
        <f t="shared" si="197"/>
        <v/>
      </c>
      <c r="EO71" s="10" t="str">
        <f t="shared" si="198"/>
        <v/>
      </c>
      <c r="EP71" s="9" t="str">
        <f t="shared" si="199"/>
        <v/>
      </c>
      <c r="EQ71" s="5" t="str">
        <f t="shared" si="200"/>
        <v/>
      </c>
      <c r="ER71" s="7" t="str">
        <f t="shared" si="201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2"/>
        <v/>
      </c>
      <c r="EZ71" s="51" t="str">
        <f t="shared" si="203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4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6"/>
        <v/>
      </c>
      <c r="FK71" s="4" t="str">
        <f t="shared" si="568"/>
        <v/>
      </c>
      <c r="FL71" s="5" t="str">
        <f t="shared" si="207"/>
        <v/>
      </c>
      <c r="FM71" s="8" t="str">
        <f t="shared" si="208"/>
        <v/>
      </c>
      <c r="FN71" s="9" t="str">
        <f t="shared" si="209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0"/>
        <v/>
      </c>
      <c r="FS71" s="9" t="str">
        <f t="shared" si="211"/>
        <v/>
      </c>
      <c r="FT71" s="6" t="str">
        <f t="shared" si="212"/>
        <v/>
      </c>
      <c r="FU71" s="4" t="str">
        <f t="shared" si="213"/>
        <v/>
      </c>
      <c r="FV71" s="5" t="str">
        <f t="shared" si="214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5"/>
        <v/>
      </c>
      <c r="GB71" s="4" t="str">
        <f t="shared" si="216"/>
        <v/>
      </c>
      <c r="GC71" s="5" t="str">
        <f t="shared" si="217"/>
        <v/>
      </c>
      <c r="GD71" s="10" t="str">
        <f t="shared" si="218"/>
        <v/>
      </c>
      <c r="GE71" s="311" t="str">
        <f t="shared" si="219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0"/>
        <v/>
      </c>
      <c r="GK71" s="174" t="str">
        <f t="shared" si="575"/>
        <v/>
      </c>
      <c r="GL71" s="174" t="str">
        <f t="shared" si="221"/>
        <v/>
      </c>
      <c r="GM71" s="177" t="str">
        <f t="shared" si="244"/>
        <v/>
      </c>
      <c r="GN71" s="280" t="str">
        <f t="shared" si="222"/>
        <v/>
      </c>
      <c r="GO71" s="4" t="str">
        <f t="shared" si="223"/>
        <v/>
      </c>
      <c r="GP71" s="8" t="str">
        <f t="shared" si="245"/>
        <v/>
      </c>
      <c r="GQ71" s="177" t="str">
        <f t="shared" si="224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5"/>
        <v/>
      </c>
      <c r="HC71" s="343" t="str">
        <f t="shared" si="226"/>
        <v/>
      </c>
      <c r="HD71" s="363" t="str">
        <f t="shared" si="227"/>
        <v/>
      </c>
      <c r="HE71" s="344" t="str">
        <f t="shared" si="584"/>
        <v/>
      </c>
      <c r="HF71" s="5" t="str">
        <f t="shared" si="585"/>
        <v/>
      </c>
      <c r="HG71" s="343" t="str">
        <f t="shared" si="228"/>
        <v/>
      </c>
      <c r="HH71" s="349" t="str">
        <f t="shared" si="229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34" t="str">
        <f t="shared" si="455"/>
        <v/>
      </c>
      <c r="HN71" s="935" t="str">
        <f t="shared" si="456"/>
        <v/>
      </c>
      <c r="HO71" s="936"/>
      <c r="HP71" s="937"/>
      <c r="HQ71" s="935" t="str">
        <f t="shared" si="457"/>
        <v/>
      </c>
      <c r="HR71" s="938" t="str">
        <f t="shared" si="458"/>
        <v/>
      </c>
      <c r="HS71" s="939" t="str">
        <f t="shared" si="507"/>
        <v/>
      </c>
      <c r="HT71" s="940" t="str">
        <f t="shared" si="459"/>
        <v/>
      </c>
      <c r="HU71" s="941" t="str">
        <f t="shared" si="460"/>
        <v/>
      </c>
      <c r="HV71" s="942" t="str">
        <f t="shared" si="461"/>
        <v/>
      </c>
      <c r="HW71" s="943" t="str">
        <f t="shared" si="462"/>
        <v/>
      </c>
      <c r="HX71" s="944" t="str">
        <f t="shared" si="463"/>
        <v/>
      </c>
      <c r="HY71" s="943" t="str">
        <f t="shared" si="464"/>
        <v/>
      </c>
      <c r="HZ71" s="945" t="str">
        <f t="shared" si="465"/>
        <v/>
      </c>
      <c r="IA71" s="946" t="str">
        <f t="shared" si="466"/>
        <v/>
      </c>
      <c r="IB71" s="947" t="str">
        <f t="shared" si="467"/>
        <v/>
      </c>
      <c r="IC71" s="841" t="str">
        <f t="shared" si="468"/>
        <v/>
      </c>
      <c r="ID71" s="351" t="str">
        <f t="shared" si="469"/>
        <v/>
      </c>
      <c r="IE71" s="843" t="str">
        <f t="shared" si="470"/>
        <v/>
      </c>
      <c r="IG71" s="789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7" t="str">
        <f t="shared" si="230"/>
        <v/>
      </c>
      <c r="IJ71" s="967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71"/>
        <v/>
      </c>
      <c r="IM71" s="482" t="str">
        <f t="shared" si="231"/>
        <v/>
      </c>
      <c r="IN71" s="670" t="str">
        <f t="shared" si="472"/>
        <v/>
      </c>
      <c r="IO71" s="702">
        <v>4.3911636020354097E-2</v>
      </c>
      <c r="IP71" s="5" t="str">
        <f t="shared" si="473"/>
        <v/>
      </c>
      <c r="IQ71" s="714">
        <v>240</v>
      </c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 t="str">
        <f t="shared" si="308"/>
        <v/>
      </c>
      <c r="B72" s="578" t="str">
        <f t="shared" ref="B72:D72" si="621">IFERROR(O227+($A72*-E72),"")</f>
        <v/>
      </c>
      <c r="C72" s="572" t="str">
        <f t="shared" si="621"/>
        <v/>
      </c>
      <c r="D72" s="576" t="str">
        <f t="shared" si="621"/>
        <v/>
      </c>
      <c r="E72" s="580" t="str">
        <f t="shared" ref="E72:K72" si="622">R227</f>
        <v/>
      </c>
      <c r="F72" s="572" t="str">
        <f t="shared" si="622"/>
        <v/>
      </c>
      <c r="G72" s="579" t="str">
        <f t="shared" si="622"/>
        <v/>
      </c>
      <c r="H72" s="580" t="str">
        <f t="shared" si="622"/>
        <v/>
      </c>
      <c r="I72" s="572" t="str">
        <f t="shared" si="622"/>
        <v/>
      </c>
      <c r="J72" s="483" t="str">
        <f t="shared" si="92"/>
        <v/>
      </c>
      <c r="K72" s="805" t="str">
        <f t="shared" si="622"/>
        <v/>
      </c>
      <c r="L72" s="309"/>
      <c r="M72" s="164" t="str">
        <f t="shared" si="311"/>
        <v/>
      </c>
      <c r="N72" s="575" t="str">
        <f t="shared" si="312"/>
        <v/>
      </c>
      <c r="O72" s="572" t="str">
        <f t="shared" si="313"/>
        <v/>
      </c>
      <c r="P72" s="576" t="str">
        <f t="shared" si="314"/>
        <v/>
      </c>
      <c r="Q72" s="528" t="str">
        <f t="shared" si="134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135"/>
        <v/>
      </c>
      <c r="W72" s="528" t="str">
        <f t="shared" si="256"/>
        <v/>
      </c>
      <c r="X72" s="572" t="str">
        <f t="shared" si="97"/>
        <v/>
      </c>
      <c r="Y72" s="573" t="str">
        <f t="shared" si="259"/>
        <v/>
      </c>
      <c r="Z72" s="575" t="str">
        <f t="shared" si="315"/>
        <v/>
      </c>
      <c r="AA72" s="572" t="str">
        <f t="shared" si="316"/>
        <v/>
      </c>
      <c r="AB72" s="572" t="str">
        <f t="shared" si="317"/>
        <v/>
      </c>
      <c r="AC72" s="579" t="str">
        <f t="shared" si="98"/>
        <v/>
      </c>
      <c r="AD72" s="580" t="str">
        <f t="shared" si="136"/>
        <v/>
      </c>
      <c r="AE72" s="572" t="str">
        <f t="shared" si="99"/>
        <v/>
      </c>
      <c r="AF72" s="576" t="str">
        <f t="shared" si="100"/>
        <v/>
      </c>
      <c r="AG72" s="545" t="str">
        <f t="shared" si="101"/>
        <v/>
      </c>
      <c r="AH72" s="546" t="str">
        <f t="shared" si="102"/>
        <v/>
      </c>
      <c r="AI72" s="528" t="str">
        <f t="shared" si="103"/>
        <v/>
      </c>
      <c r="AJ72" s="529" t="str">
        <f t="shared" si="104"/>
        <v/>
      </c>
      <c r="AK72" s="578" t="str">
        <f t="shared" si="234"/>
        <v/>
      </c>
      <c r="AL72" s="572" t="str">
        <f t="shared" si="105"/>
        <v/>
      </c>
      <c r="AM72" s="577" t="str">
        <f t="shared" si="106"/>
        <v/>
      </c>
      <c r="AN72" s="524" t="str">
        <f t="shared" si="107"/>
        <v/>
      </c>
      <c r="AO72" s="525" t="str">
        <f t="shared" si="590"/>
        <v/>
      </c>
      <c r="AP72" s="528" t="str">
        <f t="shared" si="109"/>
        <v/>
      </c>
      <c r="AQ72" s="529" t="str">
        <f t="shared" si="318"/>
        <v/>
      </c>
      <c r="AS72" s="899" t="str">
        <f t="shared" si="510"/>
        <v/>
      </c>
      <c r="AT72" s="895" t="str">
        <f t="shared" si="319"/>
        <v/>
      </c>
      <c r="AU72" s="418"/>
      <c r="AV72" s="164" t="str">
        <f t="shared" si="320"/>
        <v/>
      </c>
      <c r="AW72" s="796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235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0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1"/>
        <v/>
      </c>
      <c r="BP72" s="5" t="str">
        <f t="shared" si="142"/>
        <v/>
      </c>
      <c r="BQ72" s="5" t="str">
        <f t="shared" si="143"/>
        <v/>
      </c>
      <c r="BR72" s="6" t="str">
        <f t="shared" si="144"/>
        <v/>
      </c>
      <c r="BS72" s="4" t="str">
        <f t="shared" si="554"/>
        <v/>
      </c>
      <c r="BT72" s="5" t="str">
        <f t="shared" si="554"/>
        <v/>
      </c>
      <c r="BU72" s="10" t="str">
        <f t="shared" si="111"/>
        <v/>
      </c>
      <c r="BV72" s="9" t="str">
        <f t="shared" si="112"/>
        <v/>
      </c>
      <c r="BW72" s="5" t="str">
        <f t="shared" si="113"/>
        <v/>
      </c>
      <c r="BX72" s="8" t="str">
        <f t="shared" si="114"/>
        <v/>
      </c>
      <c r="BY72" s="173" t="str">
        <f t="shared" si="115"/>
        <v/>
      </c>
      <c r="BZ72" s="5" t="str">
        <f t="shared" si="116"/>
        <v/>
      </c>
      <c r="CA72" s="6" t="str">
        <f t="shared" si="117"/>
        <v/>
      </c>
      <c r="CB72" s="4" t="str">
        <f t="shared" si="145"/>
        <v/>
      </c>
      <c r="CC72" s="5" t="str">
        <f t="shared" si="146"/>
        <v/>
      </c>
      <c r="CD72" s="5" t="str">
        <f t="shared" si="147"/>
        <v/>
      </c>
      <c r="CE72" s="6" t="str">
        <f t="shared" si="148"/>
        <v/>
      </c>
      <c r="CF72" s="4" t="str">
        <f t="shared" si="149"/>
        <v/>
      </c>
      <c r="CG72" s="5" t="str">
        <f t="shared" si="150"/>
        <v/>
      </c>
      <c r="CH72" s="5" t="str">
        <f t="shared" si="151"/>
        <v/>
      </c>
      <c r="CI72" s="4" t="str">
        <f t="shared" si="118"/>
        <v/>
      </c>
      <c r="CJ72" s="5" t="str">
        <f t="shared" si="119"/>
        <v/>
      </c>
      <c r="CK72" s="8" t="str">
        <f t="shared" si="120"/>
        <v/>
      </c>
      <c r="CL72" s="173" t="str">
        <f t="shared" si="121"/>
        <v/>
      </c>
      <c r="CM72" s="5" t="str">
        <f t="shared" si="122"/>
        <v/>
      </c>
      <c r="CN72" s="6" t="str">
        <f t="shared" si="123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2"/>
        <v/>
      </c>
      <c r="CS72" s="8" t="str">
        <f t="shared" si="153"/>
        <v/>
      </c>
      <c r="CT72" s="9" t="str">
        <f t="shared" si="154"/>
        <v/>
      </c>
      <c r="CU72" s="6" t="str">
        <f t="shared" si="155"/>
        <v/>
      </c>
      <c r="CV72" s="4" t="str">
        <f t="shared" si="238"/>
        <v/>
      </c>
      <c r="CW72" s="5" t="str">
        <f t="shared" si="156"/>
        <v/>
      </c>
      <c r="CX72" s="8" t="str">
        <f t="shared" si="157"/>
        <v/>
      </c>
      <c r="CY72" s="9" t="str">
        <f t="shared" si="158"/>
        <v/>
      </c>
      <c r="CZ72" s="5" t="str">
        <f t="shared" si="159"/>
        <v/>
      </c>
      <c r="DA72" s="6" t="str">
        <f t="shared" si="160"/>
        <v/>
      </c>
      <c r="DB72" s="4" t="str">
        <f t="shared" si="555"/>
        <v/>
      </c>
      <c r="DC72" s="5" t="str">
        <f t="shared" si="555"/>
        <v/>
      </c>
      <c r="DD72" s="10" t="str">
        <f t="shared" si="162"/>
        <v/>
      </c>
      <c r="DE72" s="9" t="str">
        <f t="shared" si="556"/>
        <v/>
      </c>
      <c r="DF72" s="5" t="str">
        <f t="shared" si="556"/>
        <v/>
      </c>
      <c r="DG72" s="10" t="str">
        <f t="shared" si="164"/>
        <v/>
      </c>
      <c r="DH72" s="70" t="str">
        <f t="shared" si="165"/>
        <v/>
      </c>
      <c r="DI72" s="4" t="str">
        <f t="shared" si="166"/>
        <v/>
      </c>
      <c r="DJ72" s="5" t="str">
        <f t="shared" si="167"/>
        <v/>
      </c>
      <c r="DK72" s="10" t="str">
        <f t="shared" si="168"/>
        <v/>
      </c>
      <c r="DL72" s="9" t="str">
        <f t="shared" si="169"/>
        <v/>
      </c>
      <c r="DM72" s="173" t="str">
        <f t="shared" si="170"/>
        <v/>
      </c>
      <c r="DN72" s="178" t="str">
        <f t="shared" si="171"/>
        <v/>
      </c>
      <c r="DO72" s="9" t="str">
        <f t="shared" si="172"/>
        <v/>
      </c>
      <c r="DP72" s="173" t="str">
        <f t="shared" si="173"/>
        <v/>
      </c>
      <c r="DQ72" s="11" t="str">
        <f t="shared" si="174"/>
        <v/>
      </c>
      <c r="DR72" s="173" t="str">
        <f t="shared" si="175"/>
        <v/>
      </c>
      <c r="DS72" s="5" t="str">
        <f t="shared" si="176"/>
        <v/>
      </c>
      <c r="DT72" s="5" t="str">
        <f t="shared" si="177"/>
        <v/>
      </c>
      <c r="DU72" s="5" t="str">
        <f t="shared" si="178"/>
        <v/>
      </c>
      <c r="DV72" s="5" t="str">
        <f t="shared" si="179"/>
        <v/>
      </c>
      <c r="DW72" s="5" t="str">
        <f t="shared" si="180"/>
        <v/>
      </c>
      <c r="DX72" s="167" t="str">
        <f t="shared" si="181"/>
        <v/>
      </c>
      <c r="DY72" s="9" t="str">
        <f t="shared" si="182"/>
        <v/>
      </c>
      <c r="DZ72" s="5" t="str">
        <f t="shared" si="183"/>
        <v/>
      </c>
      <c r="EA72" s="10" t="str">
        <f t="shared" si="184"/>
        <v/>
      </c>
      <c r="EB72" s="6" t="str">
        <f t="shared" si="185"/>
        <v/>
      </c>
      <c r="EC72" s="173" t="str">
        <f t="shared" si="186"/>
        <v/>
      </c>
      <c r="ED72" s="5" t="str">
        <f t="shared" si="187"/>
        <v/>
      </c>
      <c r="EE72" s="4" t="str">
        <f t="shared" si="188"/>
        <v/>
      </c>
      <c r="EF72" s="5" t="str">
        <f t="shared" si="189"/>
        <v/>
      </c>
      <c r="EG72" s="10" t="str">
        <f t="shared" si="190"/>
        <v/>
      </c>
      <c r="EH72" s="9" t="str">
        <f t="shared" si="191"/>
        <v/>
      </c>
      <c r="EI72" s="5" t="str">
        <f t="shared" si="192"/>
        <v/>
      </c>
      <c r="EJ72" s="6" t="str">
        <f t="shared" si="193"/>
        <v/>
      </c>
      <c r="EK72" s="236" t="str">
        <f t="shared" si="194"/>
        <v/>
      </c>
      <c r="EL72" s="238" t="str">
        <f t="shared" si="195"/>
        <v/>
      </c>
      <c r="EM72" s="4" t="str">
        <f t="shared" si="196"/>
        <v/>
      </c>
      <c r="EN72" s="5" t="str">
        <f t="shared" si="197"/>
        <v/>
      </c>
      <c r="EO72" s="10" t="str">
        <f t="shared" si="198"/>
        <v/>
      </c>
      <c r="EP72" s="9" t="str">
        <f t="shared" si="199"/>
        <v/>
      </c>
      <c r="EQ72" s="5" t="str">
        <f t="shared" si="200"/>
        <v/>
      </c>
      <c r="ER72" s="7" t="str">
        <f t="shared" si="201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2"/>
        <v/>
      </c>
      <c r="EZ72" s="51" t="str">
        <f t="shared" si="203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4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6"/>
        <v/>
      </c>
      <c r="FK72" s="4" t="str">
        <f t="shared" si="568"/>
        <v/>
      </c>
      <c r="FL72" s="5" t="str">
        <f t="shared" si="207"/>
        <v/>
      </c>
      <c r="FM72" s="8" t="str">
        <f t="shared" si="208"/>
        <v/>
      </c>
      <c r="FN72" s="9" t="str">
        <f t="shared" si="209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0"/>
        <v/>
      </c>
      <c r="FS72" s="9" t="str">
        <f t="shared" si="211"/>
        <v/>
      </c>
      <c r="FT72" s="6" t="str">
        <f t="shared" si="212"/>
        <v/>
      </c>
      <c r="FU72" s="4" t="str">
        <f t="shared" si="213"/>
        <v/>
      </c>
      <c r="FV72" s="5" t="str">
        <f t="shared" si="214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5"/>
        <v/>
      </c>
      <c r="GB72" s="4" t="str">
        <f t="shared" si="216"/>
        <v/>
      </c>
      <c r="GC72" s="5" t="str">
        <f t="shared" si="217"/>
        <v/>
      </c>
      <c r="GD72" s="10" t="str">
        <f t="shared" si="218"/>
        <v/>
      </c>
      <c r="GE72" s="311" t="str">
        <f t="shared" si="219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0"/>
        <v/>
      </c>
      <c r="GK72" s="174" t="str">
        <f t="shared" si="575"/>
        <v/>
      </c>
      <c r="GL72" s="174" t="str">
        <f t="shared" si="221"/>
        <v/>
      </c>
      <c r="GM72" s="177" t="str">
        <f t="shared" si="244"/>
        <v/>
      </c>
      <c r="GN72" s="280" t="str">
        <f t="shared" si="222"/>
        <v/>
      </c>
      <c r="GO72" s="4" t="str">
        <f t="shared" si="223"/>
        <v/>
      </c>
      <c r="GP72" s="8" t="str">
        <f t="shared" si="245"/>
        <v/>
      </c>
      <c r="GQ72" s="177" t="str">
        <f t="shared" si="224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5"/>
        <v/>
      </c>
      <c r="HC72" s="343" t="str">
        <f t="shared" si="226"/>
        <v/>
      </c>
      <c r="HD72" s="363" t="str">
        <f t="shared" si="227"/>
        <v/>
      </c>
      <c r="HE72" s="344" t="str">
        <f t="shared" si="584"/>
        <v/>
      </c>
      <c r="HF72" s="5" t="str">
        <f t="shared" si="585"/>
        <v/>
      </c>
      <c r="HG72" s="343" t="str">
        <f t="shared" si="228"/>
        <v/>
      </c>
      <c r="HH72" s="349" t="str">
        <f t="shared" si="229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34" t="str">
        <f t="shared" si="455"/>
        <v/>
      </c>
      <c r="HN72" s="935" t="str">
        <f t="shared" si="456"/>
        <v/>
      </c>
      <c r="HO72" s="936"/>
      <c r="HP72" s="937"/>
      <c r="HQ72" s="935" t="str">
        <f t="shared" si="457"/>
        <v/>
      </c>
      <c r="HR72" s="938" t="str">
        <f t="shared" si="458"/>
        <v/>
      </c>
      <c r="HS72" s="939" t="str">
        <f t="shared" si="507"/>
        <v/>
      </c>
      <c r="HT72" s="940" t="str">
        <f t="shared" si="459"/>
        <v/>
      </c>
      <c r="HU72" s="941" t="str">
        <f t="shared" si="460"/>
        <v/>
      </c>
      <c r="HV72" s="942" t="str">
        <f t="shared" si="461"/>
        <v/>
      </c>
      <c r="HW72" s="943" t="str">
        <f t="shared" si="462"/>
        <v/>
      </c>
      <c r="HX72" s="944" t="str">
        <f t="shared" si="463"/>
        <v/>
      </c>
      <c r="HY72" s="943" t="str">
        <f t="shared" si="464"/>
        <v/>
      </c>
      <c r="HZ72" s="945" t="str">
        <f t="shared" si="465"/>
        <v/>
      </c>
      <c r="IA72" s="946" t="str">
        <f t="shared" si="466"/>
        <v/>
      </c>
      <c r="IB72" s="947" t="str">
        <f t="shared" si="467"/>
        <v/>
      </c>
      <c r="IC72" s="841" t="str">
        <f t="shared" si="468"/>
        <v/>
      </c>
      <c r="ID72" s="351" t="str">
        <f t="shared" si="469"/>
        <v/>
      </c>
      <c r="IE72" s="843" t="str">
        <f t="shared" si="470"/>
        <v/>
      </c>
      <c r="IG72" s="789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7" t="str">
        <f t="shared" si="230"/>
        <v/>
      </c>
      <c r="IJ72" s="967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71"/>
        <v/>
      </c>
      <c r="IM72" s="482" t="str">
        <f t="shared" si="231"/>
        <v/>
      </c>
      <c r="IN72" s="670" t="str">
        <f t="shared" si="472"/>
        <v/>
      </c>
      <c r="IO72" s="702">
        <v>6.3532389488028104E-3</v>
      </c>
      <c r="IP72" s="5" t="str">
        <f t="shared" si="473"/>
        <v/>
      </c>
      <c r="IQ72" s="714">
        <v>90</v>
      </c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 t="str">
        <f t="shared" ref="A73:A104" si="623">IF($K73="","",IF(AND($A$8="Y",ISNUMBER($K73)),$A$5,0))</f>
        <v/>
      </c>
      <c r="B73" s="578" t="str">
        <f t="shared" ref="B73:D73" si="624">IFERROR(O228+($A73*-E73),"")</f>
        <v/>
      </c>
      <c r="C73" s="572" t="str">
        <f t="shared" si="624"/>
        <v/>
      </c>
      <c r="D73" s="576" t="str">
        <f t="shared" si="624"/>
        <v/>
      </c>
      <c r="E73" s="580" t="str">
        <f t="shared" ref="E73:K73" si="625">R228</f>
        <v/>
      </c>
      <c r="F73" s="572" t="str">
        <f t="shared" si="625"/>
        <v/>
      </c>
      <c r="G73" s="579" t="str">
        <f t="shared" si="625"/>
        <v/>
      </c>
      <c r="H73" s="580" t="str">
        <f t="shared" si="625"/>
        <v/>
      </c>
      <c r="I73" s="572" t="str">
        <f t="shared" si="625"/>
        <v/>
      </c>
      <c r="J73" s="483" t="str">
        <f t="shared" si="92"/>
        <v/>
      </c>
      <c r="K73" s="805" t="str">
        <f t="shared" si="625"/>
        <v/>
      </c>
      <c r="L73" s="309"/>
      <c r="M73" s="164" t="str">
        <f t="shared" ref="M73:M104" si="626">IF(J73="","",VALUE(J73))</f>
        <v/>
      </c>
      <c r="N73" s="575" t="str">
        <f t="shared" ref="N73:N104" si="627">IF(M73="","",B73)</f>
        <v/>
      </c>
      <c r="O73" s="572" t="str">
        <f t="shared" ref="O73:O104" si="628">IF(M73="","",C73)</f>
        <v/>
      </c>
      <c r="P73" s="576" t="str">
        <f t="shared" ref="P73:P104" si="629">IF(M73="","",D73)</f>
        <v/>
      </c>
      <c r="Q73" s="528" t="str">
        <f t="shared" si="13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6"/>
        <v/>
      </c>
      <c r="X73" s="572" t="str">
        <f>IF(M73="","",R73)</f>
        <v/>
      </c>
      <c r="Y73" s="573" t="str">
        <f t="shared" si="259"/>
        <v/>
      </c>
      <c r="Z73" s="575" t="str">
        <f t="shared" ref="Z73:Z104" si="630">IF(M73="","",-E73)</f>
        <v/>
      </c>
      <c r="AA73" s="572" t="str">
        <f t="shared" ref="AA73:AA104" si="631">IF(M73="","",-F73)</f>
        <v/>
      </c>
      <c r="AB73" s="572" t="str">
        <f t="shared" ref="AB73:AB104" si="6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90"/>
        <v/>
      </c>
      <c r="AP73" s="528" t="str">
        <f>IF(M73="","",DEGREES(ATAN2(AK73,AL73)))</f>
        <v/>
      </c>
      <c r="AQ73" s="529" t="str">
        <f t="shared" ref="AQ73:AQ104" si="633">IF(M73="","",DEGREES(ATAN(($AS$5*SIN(RADIANS(90)))/(($X73*2*PI())-($AS$5*COS(RADIANS(90)))))))</f>
        <v/>
      </c>
      <c r="AS73" s="899" t="str">
        <f t="shared" si="510"/>
        <v/>
      </c>
      <c r="AT73" s="895" t="str">
        <f t="shared" ref="AT73:AT104" si="634">IF(M73="","",Y73+(((AS73-$AS$9)*$AS$6)*-1))</f>
        <v/>
      </c>
      <c r="AU73" s="418"/>
      <c r="AV73" s="164" t="str">
        <f t="shared" ref="AV73:AV104" si="635">IF(AND(ISNUMBER(VALUE(K73)),ISNUMBER(AW73),ISNUMBER(AX73),ISNUMBER(AY73),AY73&gt;=0.0001),$M73,"")</f>
        <v/>
      </c>
      <c r="AW73" s="796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235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0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1"/>
        <v/>
      </c>
      <c r="BP73" s="5" t="str">
        <f t="shared" si="142"/>
        <v/>
      </c>
      <c r="BQ73" s="5" t="str">
        <f t="shared" si="143"/>
        <v/>
      </c>
      <c r="BR73" s="6" t="str">
        <f t="shared" si="144"/>
        <v/>
      </c>
      <c r="BS73" s="4" t="str">
        <f t="shared" si="554"/>
        <v/>
      </c>
      <c r="BT73" s="5" t="str">
        <f t="shared" si="554"/>
        <v/>
      </c>
      <c r="BU73" s="10" t="str">
        <f t="shared" si="111"/>
        <v/>
      </c>
      <c r="BV73" s="9" t="str">
        <f t="shared" si="112"/>
        <v/>
      </c>
      <c r="BW73" s="5" t="str">
        <f t="shared" si="113"/>
        <v/>
      </c>
      <c r="BX73" s="8" t="str">
        <f t="shared" si="114"/>
        <v/>
      </c>
      <c r="BY73" s="173" t="str">
        <f t="shared" si="115"/>
        <v/>
      </c>
      <c r="BZ73" s="5" t="str">
        <f t="shared" si="116"/>
        <v/>
      </c>
      <c r="CA73" s="6" t="str">
        <f t="shared" si="117"/>
        <v/>
      </c>
      <c r="CB73" s="4" t="str">
        <f t="shared" si="145"/>
        <v/>
      </c>
      <c r="CC73" s="5" t="str">
        <f t="shared" si="146"/>
        <v/>
      </c>
      <c r="CD73" s="5" t="str">
        <f t="shared" si="147"/>
        <v/>
      </c>
      <c r="CE73" s="6" t="str">
        <f t="shared" si="148"/>
        <v/>
      </c>
      <c r="CF73" s="4" t="str">
        <f t="shared" si="149"/>
        <v/>
      </c>
      <c r="CG73" s="5" t="str">
        <f t="shared" si="150"/>
        <v/>
      </c>
      <c r="CH73" s="5" t="str">
        <f t="shared" si="151"/>
        <v/>
      </c>
      <c r="CI73" s="4" t="str">
        <f t="shared" si="118"/>
        <v/>
      </c>
      <c r="CJ73" s="5" t="str">
        <f t="shared" si="119"/>
        <v/>
      </c>
      <c r="CK73" s="8" t="str">
        <f t="shared" si="120"/>
        <v/>
      </c>
      <c r="CL73" s="173" t="str">
        <f t="shared" si="121"/>
        <v/>
      </c>
      <c r="CM73" s="5" t="str">
        <f t="shared" si="122"/>
        <v/>
      </c>
      <c r="CN73" s="6" t="str">
        <f t="shared" si="123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2"/>
        <v/>
      </c>
      <c r="CS73" s="8" t="str">
        <f t="shared" si="153"/>
        <v/>
      </c>
      <c r="CT73" s="9" t="str">
        <f t="shared" si="154"/>
        <v/>
      </c>
      <c r="CU73" s="6" t="str">
        <f t="shared" si="155"/>
        <v/>
      </c>
      <c r="CV73" s="4" t="str">
        <f t="shared" si="238"/>
        <v/>
      </c>
      <c r="CW73" s="5" t="str">
        <f t="shared" si="156"/>
        <v/>
      </c>
      <c r="CX73" s="8" t="str">
        <f t="shared" si="157"/>
        <v/>
      </c>
      <c r="CY73" s="9" t="str">
        <f t="shared" si="158"/>
        <v/>
      </c>
      <c r="CZ73" s="5" t="str">
        <f t="shared" si="159"/>
        <v/>
      </c>
      <c r="DA73" s="6" t="str">
        <f t="shared" si="160"/>
        <v/>
      </c>
      <c r="DB73" s="4" t="str">
        <f t="shared" si="555"/>
        <v/>
      </c>
      <c r="DC73" s="5" t="str">
        <f t="shared" si="555"/>
        <v/>
      </c>
      <c r="DD73" s="10" t="str">
        <f t="shared" si="162"/>
        <v/>
      </c>
      <c r="DE73" s="9" t="str">
        <f t="shared" si="556"/>
        <v/>
      </c>
      <c r="DF73" s="5" t="str">
        <f t="shared" si="556"/>
        <v/>
      </c>
      <c r="DG73" s="10" t="str">
        <f t="shared" si="164"/>
        <v/>
      </c>
      <c r="DH73" s="70" t="str">
        <f t="shared" si="165"/>
        <v/>
      </c>
      <c r="DI73" s="4" t="str">
        <f t="shared" si="166"/>
        <v/>
      </c>
      <c r="DJ73" s="5" t="str">
        <f t="shared" si="167"/>
        <v/>
      </c>
      <c r="DK73" s="10" t="str">
        <f t="shared" si="168"/>
        <v/>
      </c>
      <c r="DL73" s="9" t="str">
        <f t="shared" si="169"/>
        <v/>
      </c>
      <c r="DM73" s="173" t="str">
        <f t="shared" si="170"/>
        <v/>
      </c>
      <c r="DN73" s="178" t="str">
        <f t="shared" si="171"/>
        <v/>
      </c>
      <c r="DO73" s="9" t="str">
        <f t="shared" si="172"/>
        <v/>
      </c>
      <c r="DP73" s="173" t="str">
        <f t="shared" si="173"/>
        <v/>
      </c>
      <c r="DQ73" s="11" t="str">
        <f t="shared" si="174"/>
        <v/>
      </c>
      <c r="DR73" s="173" t="str">
        <f t="shared" si="175"/>
        <v/>
      </c>
      <c r="DS73" s="5" t="str">
        <f t="shared" si="176"/>
        <v/>
      </c>
      <c r="DT73" s="5" t="str">
        <f t="shared" si="177"/>
        <v/>
      </c>
      <c r="DU73" s="5" t="str">
        <f t="shared" si="178"/>
        <v/>
      </c>
      <c r="DV73" s="5" t="str">
        <f t="shared" si="179"/>
        <v/>
      </c>
      <c r="DW73" s="5" t="str">
        <f t="shared" si="180"/>
        <v/>
      </c>
      <c r="DX73" s="167" t="str">
        <f t="shared" si="181"/>
        <v/>
      </c>
      <c r="DY73" s="9" t="str">
        <f t="shared" si="182"/>
        <v/>
      </c>
      <c r="DZ73" s="5" t="str">
        <f t="shared" si="183"/>
        <v/>
      </c>
      <c r="EA73" s="10" t="str">
        <f t="shared" si="184"/>
        <v/>
      </c>
      <c r="EB73" s="6" t="str">
        <f t="shared" si="185"/>
        <v/>
      </c>
      <c r="EC73" s="173" t="str">
        <f t="shared" si="186"/>
        <v/>
      </c>
      <c r="ED73" s="5" t="str">
        <f t="shared" si="187"/>
        <v/>
      </c>
      <c r="EE73" s="4" t="str">
        <f t="shared" si="188"/>
        <v/>
      </c>
      <c r="EF73" s="5" t="str">
        <f t="shared" si="189"/>
        <v/>
      </c>
      <c r="EG73" s="10" t="str">
        <f t="shared" si="190"/>
        <v/>
      </c>
      <c r="EH73" s="9" t="str">
        <f t="shared" si="191"/>
        <v/>
      </c>
      <c r="EI73" s="5" t="str">
        <f t="shared" si="192"/>
        <v/>
      </c>
      <c r="EJ73" s="6" t="str">
        <f t="shared" si="193"/>
        <v/>
      </c>
      <c r="EK73" s="236" t="str">
        <f t="shared" si="194"/>
        <v/>
      </c>
      <c r="EL73" s="238" t="str">
        <f t="shared" si="195"/>
        <v/>
      </c>
      <c r="EM73" s="4" t="str">
        <f t="shared" si="196"/>
        <v/>
      </c>
      <c r="EN73" s="5" t="str">
        <f t="shared" si="197"/>
        <v/>
      </c>
      <c r="EO73" s="10" t="str">
        <f t="shared" si="198"/>
        <v/>
      </c>
      <c r="EP73" s="9" t="str">
        <f t="shared" si="199"/>
        <v/>
      </c>
      <c r="EQ73" s="5" t="str">
        <f t="shared" si="200"/>
        <v/>
      </c>
      <c r="ER73" s="7" t="str">
        <f t="shared" si="201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2"/>
        <v/>
      </c>
      <c r="EZ73" s="51" t="str">
        <f t="shared" si="203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4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6"/>
        <v/>
      </c>
      <c r="FK73" s="4" t="str">
        <f t="shared" ref="FK73:FK104" si="661">IF(ISNUMBER($AV73),SQRT(ES73^2+ET73^2),"")</f>
        <v/>
      </c>
      <c r="FL73" s="5" t="str">
        <f t="shared" si="207"/>
        <v/>
      </c>
      <c r="FM73" s="8" t="str">
        <f t="shared" si="208"/>
        <v/>
      </c>
      <c r="FN73" s="9" t="str">
        <f t="shared" si="209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0"/>
        <v/>
      </c>
      <c r="FS73" s="9" t="str">
        <f t="shared" si="211"/>
        <v/>
      </c>
      <c r="FT73" s="6" t="str">
        <f t="shared" si="212"/>
        <v/>
      </c>
      <c r="FU73" s="4" t="str">
        <f t="shared" si="213"/>
        <v/>
      </c>
      <c r="FV73" s="5" t="str">
        <f t="shared" si="214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5"/>
        <v/>
      </c>
      <c r="GB73" s="4" t="str">
        <f t="shared" si="216"/>
        <v/>
      </c>
      <c r="GC73" s="5" t="str">
        <f t="shared" si="217"/>
        <v/>
      </c>
      <c r="GD73" s="10" t="str">
        <f t="shared" si="218"/>
        <v/>
      </c>
      <c r="GE73" s="311" t="str">
        <f t="shared" si="219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0"/>
        <v/>
      </c>
      <c r="GK73" s="174" t="str">
        <f t="shared" ref="GK73:GK104" si="667">IF(ISNUMBER($AV73),SQRT((2*PI()*$GJ73)^2+$AS$5^2)/12,"")</f>
        <v/>
      </c>
      <c r="GL73" s="174" t="str">
        <f t="shared" si="221"/>
        <v/>
      </c>
      <c r="GM73" s="177" t="str">
        <f t="shared" si="244"/>
        <v/>
      </c>
      <c r="GN73" s="280" t="str">
        <f t="shared" si="222"/>
        <v/>
      </c>
      <c r="GO73" s="4" t="str">
        <f t="shared" si="223"/>
        <v/>
      </c>
      <c r="GP73" s="8" t="str">
        <f t="shared" si="245"/>
        <v/>
      </c>
      <c r="GQ73" s="177" t="str">
        <f t="shared" si="224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5"/>
        <v/>
      </c>
      <c r="HC73" s="343" t="str">
        <f t="shared" si="226"/>
        <v/>
      </c>
      <c r="HD73" s="363" t="str">
        <f t="shared" si="227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8"/>
        <v/>
      </c>
      <c r="HH73" s="349" t="str">
        <f t="shared" si="229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34" t="str">
        <f t="shared" ref="HM73:HM104" si="680">IF(ISNUMBER($HL73),INDEX(GO$9:GO$150,MATCH($HL73,$AV$9:$AV$150,0)),"")</f>
        <v/>
      </c>
      <c r="HN73" s="935" t="str">
        <f t="shared" ref="HN73:HN104" si="681">IF(ISNUMBER($HL73),INDEX(AO$9:AO$150,MATCH($HL73,$AV$9:$AV$150,0)),"")</f>
        <v/>
      </c>
      <c r="HO73" s="936"/>
      <c r="HP73" s="937"/>
      <c r="HQ73" s="935" t="str">
        <f t="shared" ref="HQ73:HQ104" si="682">IF(ISNUMBER($HL73),INDEX(GQ$9:GQ$150,MATCH($HL73,$AV$9:$AV$150,0)),"")</f>
        <v/>
      </c>
      <c r="HR73" s="938" t="str">
        <f t="shared" ref="HR73:HR104" si="683">IF(ISNUMBER($HL73),INDEX(GP$9:GP$150,MATCH($HL73,$AV$9:$AV$150,0)),"")</f>
        <v/>
      </c>
      <c r="HS73" s="939" t="str">
        <f t="shared" si="507"/>
        <v/>
      </c>
      <c r="HT73" s="940" t="str">
        <f t="shared" ref="HT73:HT104" si="684">IF(ISNUMBER($HL73),INDEX(GL$9:GL$150,MATCH($HL73,$AV$9:$AV$150,0)),"")</f>
        <v/>
      </c>
      <c r="HU73" s="941" t="str">
        <f t="shared" ref="HU73:HU104" si="685">IF(ISNUMBER($HL73),INDEX(GM$9:GM$150,MATCH($HL73,$AV$9:$AV$150,0)),"")</f>
        <v/>
      </c>
      <c r="HV73" s="942" t="str">
        <f t="shared" ref="HV73:HV104" si="686">IF(ISNUMBER($HL73),INDEX(GN$9:GN$150,MATCH($HL73,$AV$9:$AV$150,0)),"")</f>
        <v/>
      </c>
      <c r="HW73" s="943" t="str">
        <f t="shared" ref="HW73:HW104" si="687">IF(ISNUMBER($HL73),INDEX(GW$9:GW$150,MATCH($HL73,$AV$9:$AV$150,0)),"")</f>
        <v/>
      </c>
      <c r="HX73" s="944" t="str">
        <f t="shared" ref="HX73:HX104" si="688">IF(ISNUMBER($HL73),INDEX(GX$9:GX$150,MATCH($HL73,$AV$9:$AV$150,0)),"")</f>
        <v/>
      </c>
      <c r="HY73" s="943" t="str">
        <f t="shared" ref="HY73:HY104" si="689">IF(ISNUMBER($HL73),INDEX(GS$9:GS$150,MATCH($HL73,$AV$9:$AV$150,0)),"")</f>
        <v/>
      </c>
      <c r="HZ73" s="945" t="str">
        <f t="shared" ref="HZ73:HZ104" si="690">IF(ISNUMBER($HL73),INDEX(GU$9:GU$150,MATCH($HL73,$AV$9:$AV$150,0)),"")</f>
        <v/>
      </c>
      <c r="IA73" s="946" t="str">
        <f t="shared" ref="IA73:IA104" si="691">IF(ISNUMBER($HL73),INDEX(GY$9:GY$150,MATCH($HL73,$AV$9:$AV$150,0)),"")</f>
        <v/>
      </c>
      <c r="IB73" s="947" t="str">
        <f t="shared" ref="IB73:IB104" si="692">IF(ISNUMBER($HL73),INDEX(GR$9:GR$150,MATCH($HL73,$AV$9:$AV$150,0)),"")</f>
        <v/>
      </c>
      <c r="IC73" s="841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43" t="str">
        <f t="shared" ref="IE73:IE104" si="695">IF(ISNUMBER($HL73),INDEX(GZ$9:GZ$150,MATCH($HL73,$AV$9:$AV$150,0)),"")</f>
        <v/>
      </c>
      <c r="IG73" s="789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7" t="str">
        <f t="shared" si="230"/>
        <v/>
      </c>
      <c r="IJ73" s="967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696">IF(ISNUMBER($IK73),INDEX($K$9:$K$150,MATCH($IK73,$M$9:$M$150,0)),$K73)</f>
        <v/>
      </c>
      <c r="IM73" s="482" t="str">
        <f t="shared" si="231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 t="str">
        <f t="shared" si="623"/>
        <v/>
      </c>
      <c r="B74" s="578" t="str">
        <f t="shared" ref="B74:D74" si="709">IFERROR(O229+($A74*-E74),"")</f>
        <v/>
      </c>
      <c r="C74" s="572" t="str">
        <f t="shared" si="709"/>
        <v/>
      </c>
      <c r="D74" s="576" t="str">
        <f t="shared" si="709"/>
        <v/>
      </c>
      <c r="E74" s="580" t="str">
        <f t="shared" ref="E74:K74" si="710">R229</f>
        <v/>
      </c>
      <c r="F74" s="572" t="str">
        <f t="shared" si="710"/>
        <v/>
      </c>
      <c r="G74" s="579" t="str">
        <f t="shared" si="710"/>
        <v/>
      </c>
      <c r="H74" s="580" t="str">
        <f t="shared" si="710"/>
        <v/>
      </c>
      <c r="I74" s="572" t="str">
        <f t="shared" si="710"/>
        <v/>
      </c>
      <c r="J74" s="483" t="str">
        <f t="shared" ref="J74:J137" si="711">IF(W229=0,"",W229)</f>
        <v/>
      </c>
      <c r="K74" s="805" t="str">
        <f t="shared" si="710"/>
        <v/>
      </c>
      <c r="L74" s="309"/>
      <c r="M74" s="164" t="str">
        <f t="shared" si="626"/>
        <v/>
      </c>
      <c r="N74" s="575" t="str">
        <f t="shared" si="627"/>
        <v/>
      </c>
      <c r="O74" s="572" t="str">
        <f t="shared" si="628"/>
        <v/>
      </c>
      <c r="P74" s="576" t="str">
        <f t="shared" si="629"/>
        <v/>
      </c>
      <c r="Q74" s="528" t="str">
        <f t="shared" ref="Q74:Q129" si="712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6"/>
        <v/>
      </c>
      <c r="X74" s="572" t="str">
        <f>IF(M74="","",R74)</f>
        <v/>
      </c>
      <c r="Y74" s="573" t="str">
        <f t="shared" si="259"/>
        <v/>
      </c>
      <c r="Z74" s="575" t="str">
        <f t="shared" si="630"/>
        <v/>
      </c>
      <c r="AA74" s="572" t="str">
        <f t="shared" si="631"/>
        <v/>
      </c>
      <c r="AB74" s="572" t="str">
        <f t="shared" si="6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90"/>
        <v/>
      </c>
      <c r="AP74" s="528" t="str">
        <f>IF(M74="","",DEGREES(ATAN2(AK74,AL74)))</f>
        <v/>
      </c>
      <c r="AQ74" s="529" t="str">
        <f t="shared" si="633"/>
        <v/>
      </c>
      <c r="AS74" s="899" t="str">
        <f t="shared" si="510"/>
        <v/>
      </c>
      <c r="AT74" s="895" t="str">
        <f t="shared" si="634"/>
        <v/>
      </c>
      <c r="AU74" s="418"/>
      <c r="AV74" s="164" t="str">
        <f t="shared" si="635"/>
        <v/>
      </c>
      <c r="AW74" s="796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0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1"/>
        <v/>
      </c>
      <c r="BP74" s="5" t="str">
        <f t="shared" si="142"/>
        <v/>
      </c>
      <c r="BQ74" s="5" t="str">
        <f t="shared" si="143"/>
        <v/>
      </c>
      <c r="BR74" s="6" t="str">
        <f t="shared" si="144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5"/>
        <v/>
      </c>
      <c r="CC74" s="5" t="str">
        <f t="shared" si="146"/>
        <v/>
      </c>
      <c r="CD74" s="5" t="str">
        <f t="shared" si="147"/>
        <v/>
      </c>
      <c r="CE74" s="6" t="str">
        <f t="shared" si="148"/>
        <v/>
      </c>
      <c r="CF74" s="4" t="str">
        <f t="shared" si="149"/>
        <v/>
      </c>
      <c r="CG74" s="5" t="str">
        <f t="shared" si="150"/>
        <v/>
      </c>
      <c r="CH74" s="5" t="str">
        <f t="shared" si="151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2"/>
        <v/>
      </c>
      <c r="CS74" s="8" t="str">
        <f t="shared" si="153"/>
        <v/>
      </c>
      <c r="CT74" s="9" t="str">
        <f t="shared" si="154"/>
        <v/>
      </c>
      <c r="CU74" s="6" t="str">
        <f t="shared" si="155"/>
        <v/>
      </c>
      <c r="CV74" s="4" t="str">
        <f t="shared" si="238"/>
        <v/>
      </c>
      <c r="CW74" s="5" t="str">
        <f t="shared" si="156"/>
        <v/>
      </c>
      <c r="CX74" s="8" t="str">
        <f t="shared" si="157"/>
        <v/>
      </c>
      <c r="CY74" s="9" t="str">
        <f t="shared" si="158"/>
        <v/>
      </c>
      <c r="CZ74" s="5" t="str">
        <f t="shared" si="159"/>
        <v/>
      </c>
      <c r="DA74" s="6" t="str">
        <f t="shared" si="160"/>
        <v/>
      </c>
      <c r="DB74" s="4" t="str">
        <f t="shared" si="555"/>
        <v/>
      </c>
      <c r="DC74" s="5" t="str">
        <f t="shared" si="555"/>
        <v/>
      </c>
      <c r="DD74" s="10" t="str">
        <f t="shared" si="162"/>
        <v/>
      </c>
      <c r="DE74" s="9" t="str">
        <f t="shared" si="556"/>
        <v/>
      </c>
      <c r="DF74" s="5" t="str">
        <f t="shared" si="556"/>
        <v/>
      </c>
      <c r="DG74" s="10" t="str">
        <f t="shared" si="164"/>
        <v/>
      </c>
      <c r="DH74" s="70" t="str">
        <f t="shared" si="165"/>
        <v/>
      </c>
      <c r="DI74" s="4" t="str">
        <f t="shared" si="166"/>
        <v/>
      </c>
      <c r="DJ74" s="5" t="str">
        <f t="shared" si="167"/>
        <v/>
      </c>
      <c r="DK74" s="10" t="str">
        <f t="shared" si="168"/>
        <v/>
      </c>
      <c r="DL74" s="9" t="str">
        <f t="shared" si="169"/>
        <v/>
      </c>
      <c r="DM74" s="173" t="str">
        <f t="shared" si="170"/>
        <v/>
      </c>
      <c r="DN74" s="178" t="str">
        <f t="shared" si="171"/>
        <v/>
      </c>
      <c r="DO74" s="9" t="str">
        <f t="shared" si="172"/>
        <v/>
      </c>
      <c r="DP74" s="173" t="str">
        <f t="shared" si="173"/>
        <v/>
      </c>
      <c r="DQ74" s="11" t="str">
        <f t="shared" si="174"/>
        <v/>
      </c>
      <c r="DR74" s="173" t="str">
        <f t="shared" si="175"/>
        <v/>
      </c>
      <c r="DS74" s="5" t="str">
        <f t="shared" si="176"/>
        <v/>
      </c>
      <c r="DT74" s="5" t="str">
        <f t="shared" si="177"/>
        <v/>
      </c>
      <c r="DU74" s="5" t="str">
        <f t="shared" si="178"/>
        <v/>
      </c>
      <c r="DV74" s="5" t="str">
        <f t="shared" si="179"/>
        <v/>
      </c>
      <c r="DW74" s="5" t="str">
        <f t="shared" si="180"/>
        <v/>
      </c>
      <c r="DX74" s="167" t="str">
        <f t="shared" si="181"/>
        <v/>
      </c>
      <c r="DY74" s="9" t="str">
        <f t="shared" si="182"/>
        <v/>
      </c>
      <c r="DZ74" s="5" t="str">
        <f t="shared" si="183"/>
        <v/>
      </c>
      <c r="EA74" s="10" t="str">
        <f t="shared" si="184"/>
        <v/>
      </c>
      <c r="EB74" s="6" t="str">
        <f t="shared" si="185"/>
        <v/>
      </c>
      <c r="EC74" s="173" t="str">
        <f t="shared" si="186"/>
        <v/>
      </c>
      <c r="ED74" s="5" t="str">
        <f t="shared" si="187"/>
        <v/>
      </c>
      <c r="EE74" s="4" t="str">
        <f t="shared" si="188"/>
        <v/>
      </c>
      <c r="EF74" s="5" t="str">
        <f t="shared" si="189"/>
        <v/>
      </c>
      <c r="EG74" s="10" t="str">
        <f t="shared" si="190"/>
        <v/>
      </c>
      <c r="EH74" s="9" t="str">
        <f t="shared" si="191"/>
        <v/>
      </c>
      <c r="EI74" s="5" t="str">
        <f t="shared" si="192"/>
        <v/>
      </c>
      <c r="EJ74" s="6" t="str">
        <f t="shared" si="193"/>
        <v/>
      </c>
      <c r="EK74" s="236" t="str">
        <f t="shared" si="194"/>
        <v/>
      </c>
      <c r="EL74" s="238" t="str">
        <f t="shared" si="195"/>
        <v/>
      </c>
      <c r="EM74" s="4" t="str">
        <f t="shared" si="196"/>
        <v/>
      </c>
      <c r="EN74" s="5" t="str">
        <f t="shared" si="197"/>
        <v/>
      </c>
      <c r="EO74" s="10" t="str">
        <f t="shared" si="198"/>
        <v/>
      </c>
      <c r="EP74" s="9" t="str">
        <f t="shared" si="199"/>
        <v/>
      </c>
      <c r="EQ74" s="5" t="str">
        <f t="shared" si="200"/>
        <v/>
      </c>
      <c r="ER74" s="7" t="str">
        <f t="shared" si="201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2"/>
        <v/>
      </c>
      <c r="EZ74" s="51" t="str">
        <f t="shared" si="203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4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6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0"/>
        <v/>
      </c>
      <c r="FS74" s="9" t="str">
        <f t="shared" si="211"/>
        <v/>
      </c>
      <c r="FT74" s="6" t="str">
        <f t="shared" si="212"/>
        <v/>
      </c>
      <c r="FU74" s="4" t="str">
        <f t="shared" si="213"/>
        <v/>
      </c>
      <c r="FV74" s="5" t="str">
        <f t="shared" si="214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5"/>
        <v/>
      </c>
      <c r="GB74" s="4" t="str">
        <f t="shared" si="216"/>
        <v/>
      </c>
      <c r="GC74" s="5" t="str">
        <f t="shared" si="217"/>
        <v/>
      </c>
      <c r="GD74" s="10" t="str">
        <f t="shared" si="218"/>
        <v/>
      </c>
      <c r="GE74" s="311" t="str">
        <f t="shared" si="219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0"/>
        <v/>
      </c>
      <c r="GK74" s="174" t="str">
        <f t="shared" si="667"/>
        <v/>
      </c>
      <c r="GL74" s="174" t="str">
        <f t="shared" si="221"/>
        <v/>
      </c>
      <c r="GM74" s="177" t="str">
        <f t="shared" si="244"/>
        <v/>
      </c>
      <c r="GN74" s="280" t="str">
        <f t="shared" si="222"/>
        <v/>
      </c>
      <c r="GO74" s="4" t="str">
        <f t="shared" si="223"/>
        <v/>
      </c>
      <c r="GP74" s="8" t="str">
        <f t="shared" si="245"/>
        <v/>
      </c>
      <c r="GQ74" s="177" t="str">
        <f t="shared" si="224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5"/>
        <v/>
      </c>
      <c r="HC74" s="343" t="str">
        <f t="shared" si="226"/>
        <v/>
      </c>
      <c r="HD74" s="363" t="str">
        <f t="shared" si="227"/>
        <v/>
      </c>
      <c r="HE74" s="344" t="str">
        <f t="shared" si="676"/>
        <v/>
      </c>
      <c r="HF74" s="5" t="str">
        <f t="shared" si="677"/>
        <v/>
      </c>
      <c r="HG74" s="343" t="str">
        <f t="shared" si="228"/>
        <v/>
      </c>
      <c r="HH74" s="349" t="str">
        <f t="shared" si="229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34" t="str">
        <f t="shared" si="680"/>
        <v/>
      </c>
      <c r="HN74" s="935" t="str">
        <f t="shared" si="681"/>
        <v/>
      </c>
      <c r="HO74" s="936"/>
      <c r="HP74" s="937"/>
      <c r="HQ74" s="935" t="str">
        <f t="shared" si="682"/>
        <v/>
      </c>
      <c r="HR74" s="938" t="str">
        <f t="shared" si="683"/>
        <v/>
      </c>
      <c r="HS74" s="939" t="str">
        <f t="shared" ref="HS74:HS105" si="734">IFERROR(SMALL($GJ$9:$GJ$150,($HK73+1)),"")</f>
        <v/>
      </c>
      <c r="HT74" s="940" t="str">
        <f t="shared" si="684"/>
        <v/>
      </c>
      <c r="HU74" s="941" t="str">
        <f t="shared" si="685"/>
        <v/>
      </c>
      <c r="HV74" s="942" t="str">
        <f t="shared" si="686"/>
        <v/>
      </c>
      <c r="HW74" s="943" t="str">
        <f t="shared" si="687"/>
        <v/>
      </c>
      <c r="HX74" s="944" t="str">
        <f t="shared" si="688"/>
        <v/>
      </c>
      <c r="HY74" s="943" t="str">
        <f t="shared" si="689"/>
        <v/>
      </c>
      <c r="HZ74" s="945" t="str">
        <f t="shared" si="690"/>
        <v/>
      </c>
      <c r="IA74" s="946" t="str">
        <f t="shared" si="691"/>
        <v/>
      </c>
      <c r="IB74" s="947" t="str">
        <f t="shared" si="692"/>
        <v/>
      </c>
      <c r="IC74" s="841" t="str">
        <f t="shared" si="693"/>
        <v/>
      </c>
      <c r="ID74" s="351" t="str">
        <f t="shared" si="694"/>
        <v/>
      </c>
      <c r="IE74" s="843" t="str">
        <f t="shared" si="695"/>
        <v/>
      </c>
      <c r="IG74" s="789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7" t="str">
        <f t="shared" si="230"/>
        <v/>
      </c>
      <c r="IJ74" s="967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696"/>
        <v/>
      </c>
      <c r="IM74" s="482" t="str">
        <f t="shared" si="231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 t="str">
        <f t="shared" si="623"/>
        <v/>
      </c>
      <c r="B75" s="578" t="str">
        <f t="shared" ref="B75:D75" si="735">IFERROR(O230+($A75*-E75),"")</f>
        <v/>
      </c>
      <c r="C75" s="572" t="str">
        <f t="shared" si="735"/>
        <v/>
      </c>
      <c r="D75" s="576" t="str">
        <f t="shared" si="735"/>
        <v/>
      </c>
      <c r="E75" s="580" t="str">
        <f t="shared" ref="E75:K75" si="736">R230</f>
        <v/>
      </c>
      <c r="F75" s="572" t="str">
        <f t="shared" si="736"/>
        <v/>
      </c>
      <c r="G75" s="579" t="str">
        <f t="shared" si="736"/>
        <v/>
      </c>
      <c r="H75" s="580" t="str">
        <f t="shared" si="736"/>
        <v/>
      </c>
      <c r="I75" s="572" t="str">
        <f t="shared" si="736"/>
        <v/>
      </c>
      <c r="J75" s="483" t="str">
        <f t="shared" si="711"/>
        <v/>
      </c>
      <c r="K75" s="805" t="str">
        <f t="shared" si="736"/>
        <v/>
      </c>
      <c r="L75" s="309"/>
      <c r="M75" s="164" t="str">
        <f t="shared" si="626"/>
        <v/>
      </c>
      <c r="N75" s="575" t="str">
        <f t="shared" si="627"/>
        <v/>
      </c>
      <c r="O75" s="572" t="str">
        <f t="shared" si="628"/>
        <v/>
      </c>
      <c r="P75" s="576" t="str">
        <f t="shared" si="629"/>
        <v/>
      </c>
      <c r="Q75" s="528" t="str">
        <f t="shared" si="712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6"/>
        <v/>
      </c>
      <c r="X75" s="572" t="str">
        <f>IF(M75="","",R75)</f>
        <v/>
      </c>
      <c r="Y75" s="573" t="str">
        <f t="shared" si="259"/>
        <v/>
      </c>
      <c r="Z75" s="575" t="str">
        <f t="shared" si="630"/>
        <v/>
      </c>
      <c r="AA75" s="572" t="str">
        <f t="shared" si="631"/>
        <v/>
      </c>
      <c r="AB75" s="572" t="str">
        <f t="shared" si="6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90"/>
        <v/>
      </c>
      <c r="AP75" s="528" t="str">
        <f>IF(M75="","",DEGREES(ATAN2(AK75,AL75)))</f>
        <v/>
      </c>
      <c r="AQ75" s="529" t="str">
        <f t="shared" si="633"/>
        <v/>
      </c>
      <c r="AS75" s="899" t="str">
        <f t="shared" ref="AS75:AS106" si="737">IF(G75="","",IF(AND(W75&lt;(AS74+180),W75&gt;(AS74-180)),W75,IF(W75&gt;(AS74+180),W75-360,IF(W75&lt;(AS74-180),W75+360,"Error"))))</f>
        <v/>
      </c>
      <c r="AT75" s="895" t="str">
        <f t="shared" si="634"/>
        <v/>
      </c>
      <c r="AU75" s="418"/>
      <c r="AV75" s="164" t="str">
        <f t="shared" si="635"/>
        <v/>
      </c>
      <c r="AW75" s="796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34" t="str">
        <f t="shared" si="680"/>
        <v/>
      </c>
      <c r="HN75" s="935" t="str">
        <f t="shared" si="681"/>
        <v/>
      </c>
      <c r="HO75" s="936"/>
      <c r="HP75" s="937"/>
      <c r="HQ75" s="935" t="str">
        <f t="shared" si="682"/>
        <v/>
      </c>
      <c r="HR75" s="938" t="str">
        <f t="shared" si="683"/>
        <v/>
      </c>
      <c r="HS75" s="939" t="str">
        <f t="shared" si="734"/>
        <v/>
      </c>
      <c r="HT75" s="940" t="str">
        <f t="shared" si="684"/>
        <v/>
      </c>
      <c r="HU75" s="941" t="str">
        <f t="shared" si="685"/>
        <v/>
      </c>
      <c r="HV75" s="942" t="str">
        <f t="shared" si="686"/>
        <v/>
      </c>
      <c r="HW75" s="943" t="str">
        <f t="shared" si="687"/>
        <v/>
      </c>
      <c r="HX75" s="944" t="str">
        <f t="shared" si="688"/>
        <v/>
      </c>
      <c r="HY75" s="943" t="str">
        <f t="shared" si="689"/>
        <v/>
      </c>
      <c r="HZ75" s="945" t="str">
        <f t="shared" si="690"/>
        <v/>
      </c>
      <c r="IA75" s="946" t="str">
        <f t="shared" si="691"/>
        <v/>
      </c>
      <c r="IB75" s="947" t="str">
        <f t="shared" si="692"/>
        <v/>
      </c>
      <c r="IC75" s="841" t="str">
        <f t="shared" si="693"/>
        <v/>
      </c>
      <c r="ID75" s="351" t="str">
        <f t="shared" si="694"/>
        <v/>
      </c>
      <c r="IE75" s="843" t="str">
        <f t="shared" si="695"/>
        <v/>
      </c>
      <c r="IG75" s="789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7" t="str">
        <f t="shared" ref="II75:II138" si="837">$M75</f>
        <v/>
      </c>
      <c r="IJ75" s="967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696"/>
        <v/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 t="str">
        <f t="shared" si="623"/>
        <v/>
      </c>
      <c r="B76" s="578" t="str">
        <f t="shared" ref="B76:D76" si="839">IFERROR(O231+($A76*-E76),"")</f>
        <v/>
      </c>
      <c r="C76" s="572" t="str">
        <f t="shared" si="839"/>
        <v/>
      </c>
      <c r="D76" s="576" t="str">
        <f t="shared" si="839"/>
        <v/>
      </c>
      <c r="E76" s="580" t="str">
        <f t="shared" ref="E76:K76" si="840">R231</f>
        <v/>
      </c>
      <c r="F76" s="572" t="str">
        <f t="shared" si="840"/>
        <v/>
      </c>
      <c r="G76" s="579" t="str">
        <f t="shared" si="840"/>
        <v/>
      </c>
      <c r="H76" s="580" t="str">
        <f t="shared" si="840"/>
        <v/>
      </c>
      <c r="I76" s="572" t="str">
        <f t="shared" si="840"/>
        <v/>
      </c>
      <c r="J76" s="483" t="str">
        <f t="shared" si="711"/>
        <v/>
      </c>
      <c r="K76" s="805" t="str">
        <f t="shared" si="840"/>
        <v/>
      </c>
      <c r="L76" s="309"/>
      <c r="M76" s="164" t="str">
        <f t="shared" si="626"/>
        <v/>
      </c>
      <c r="N76" s="575" t="str">
        <f t="shared" si="627"/>
        <v/>
      </c>
      <c r="O76" s="572" t="str">
        <f t="shared" si="628"/>
        <v/>
      </c>
      <c r="P76" s="576" t="str">
        <f t="shared" si="629"/>
        <v/>
      </c>
      <c r="Q76" s="528" t="str">
        <f t="shared" si="71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135"/>
        <v/>
      </c>
      <c r="W76" s="528" t="str">
        <f t="shared" si="256"/>
        <v/>
      </c>
      <c r="X76" s="572" t="str">
        <f t="shared" si="97"/>
        <v/>
      </c>
      <c r="Y76" s="573" t="str">
        <f t="shared" ref="Y76:Y129" si="841">IF(M76="","",S76)</f>
        <v/>
      </c>
      <c r="Z76" s="575" t="str">
        <f t="shared" si="630"/>
        <v/>
      </c>
      <c r="AA76" s="572" t="str">
        <f t="shared" si="631"/>
        <v/>
      </c>
      <c r="AB76" s="572" t="str">
        <f t="shared" si="632"/>
        <v/>
      </c>
      <c r="AC76" s="579" t="str">
        <f t="shared" si="98"/>
        <v/>
      </c>
      <c r="AD76" s="580" t="str">
        <f t="shared" si="136"/>
        <v/>
      </c>
      <c r="AE76" s="572" t="str">
        <f t="shared" si="99"/>
        <v/>
      </c>
      <c r="AF76" s="576" t="str">
        <f t="shared" si="100"/>
        <v/>
      </c>
      <c r="AG76" s="545" t="str">
        <f t="shared" si="101"/>
        <v/>
      </c>
      <c r="AH76" s="546" t="str">
        <f t="shared" si="102"/>
        <v/>
      </c>
      <c r="AI76" s="528" t="str">
        <f t="shared" si="103"/>
        <v/>
      </c>
      <c r="AJ76" s="529" t="str">
        <f t="shared" si="104"/>
        <v/>
      </c>
      <c r="AK76" s="578" t="str">
        <f t="shared" si="234"/>
        <v/>
      </c>
      <c r="AL76" s="572" t="str">
        <f t="shared" si="105"/>
        <v/>
      </c>
      <c r="AM76" s="577" t="str">
        <f t="shared" si="106"/>
        <v/>
      </c>
      <c r="AN76" s="524" t="str">
        <f t="shared" si="107"/>
        <v/>
      </c>
      <c r="AO76" s="525" t="str">
        <f t="shared" si="590"/>
        <v/>
      </c>
      <c r="AP76" s="528" t="str">
        <f t="shared" si="109"/>
        <v/>
      </c>
      <c r="AQ76" s="529" t="str">
        <f t="shared" si="633"/>
        <v/>
      </c>
      <c r="AS76" s="899" t="str">
        <f t="shared" si="737"/>
        <v/>
      </c>
      <c r="AT76" s="895" t="str">
        <f t="shared" si="634"/>
        <v/>
      </c>
      <c r="AU76" s="418"/>
      <c r="AV76" s="164" t="str">
        <f t="shared" si="635"/>
        <v/>
      </c>
      <c r="AW76" s="796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34" t="str">
        <f t="shared" si="680"/>
        <v/>
      </c>
      <c r="HN76" s="935" t="str">
        <f t="shared" si="681"/>
        <v/>
      </c>
      <c r="HO76" s="936"/>
      <c r="HP76" s="937"/>
      <c r="HQ76" s="935" t="str">
        <f t="shared" si="682"/>
        <v/>
      </c>
      <c r="HR76" s="938" t="str">
        <f t="shared" si="683"/>
        <v/>
      </c>
      <c r="HS76" s="939" t="str">
        <f t="shared" si="734"/>
        <v/>
      </c>
      <c r="HT76" s="940" t="str">
        <f t="shared" si="684"/>
        <v/>
      </c>
      <c r="HU76" s="941" t="str">
        <f t="shared" si="685"/>
        <v/>
      </c>
      <c r="HV76" s="942" t="str">
        <f t="shared" si="686"/>
        <v/>
      </c>
      <c r="HW76" s="943" t="str">
        <f t="shared" si="687"/>
        <v/>
      </c>
      <c r="HX76" s="944" t="str">
        <f t="shared" si="688"/>
        <v/>
      </c>
      <c r="HY76" s="943" t="str">
        <f t="shared" si="689"/>
        <v/>
      </c>
      <c r="HZ76" s="945" t="str">
        <f t="shared" si="690"/>
        <v/>
      </c>
      <c r="IA76" s="946" t="str">
        <f t="shared" si="691"/>
        <v/>
      </c>
      <c r="IB76" s="947" t="str">
        <f t="shared" si="692"/>
        <v/>
      </c>
      <c r="IC76" s="841" t="str">
        <f t="shared" si="693"/>
        <v/>
      </c>
      <c r="ID76" s="351" t="str">
        <f t="shared" si="694"/>
        <v/>
      </c>
      <c r="IE76" s="843" t="str">
        <f t="shared" si="695"/>
        <v/>
      </c>
      <c r="IG76" s="789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7" t="str">
        <f t="shared" si="837"/>
        <v/>
      </c>
      <c r="IJ76" s="967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696"/>
        <v/>
      </c>
      <c r="IM76" s="482" t="str">
        <f t="shared" si="838"/>
        <v/>
      </c>
      <c r="IN76" s="670" t="str">
        <f t="shared" si="697"/>
        <v/>
      </c>
      <c r="IO76" s="702"/>
      <c r="IP76" s="5" t="str">
        <f t="shared" si="698"/>
        <v/>
      </c>
      <c r="IQ76" s="714"/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 t="str">
        <f t="shared" si="623"/>
        <v/>
      </c>
      <c r="B77" s="578" t="str">
        <f t="shared" ref="B77:D77" si="842">IFERROR(O232+($A77*-E77),"")</f>
        <v/>
      </c>
      <c r="C77" s="572" t="str">
        <f t="shared" si="842"/>
        <v/>
      </c>
      <c r="D77" s="576" t="str">
        <f t="shared" si="842"/>
        <v/>
      </c>
      <c r="E77" s="580" t="str">
        <f t="shared" ref="E77:K77" si="843">R232</f>
        <v/>
      </c>
      <c r="F77" s="572" t="str">
        <f t="shared" si="843"/>
        <v/>
      </c>
      <c r="G77" s="579" t="str">
        <f t="shared" si="843"/>
        <v/>
      </c>
      <c r="H77" s="580" t="str">
        <f t="shared" si="843"/>
        <v/>
      </c>
      <c r="I77" s="572" t="str">
        <f t="shared" si="843"/>
        <v/>
      </c>
      <c r="J77" s="483" t="str">
        <f t="shared" si="711"/>
        <v/>
      </c>
      <c r="K77" s="805" t="str">
        <f t="shared" si="843"/>
        <v/>
      </c>
      <c r="L77" s="309"/>
      <c r="M77" s="164" t="str">
        <f t="shared" si="626"/>
        <v/>
      </c>
      <c r="N77" s="575" t="str">
        <f t="shared" si="627"/>
        <v/>
      </c>
      <c r="O77" s="572" t="str">
        <f t="shared" si="628"/>
        <v/>
      </c>
      <c r="P77" s="576" t="str">
        <f t="shared" si="629"/>
        <v/>
      </c>
      <c r="Q77" s="528" t="str">
        <f t="shared" si="71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135"/>
        <v/>
      </c>
      <c r="W77" s="528" t="str">
        <f t="shared" si="256"/>
        <v/>
      </c>
      <c r="X77" s="572" t="str">
        <f t="shared" si="97"/>
        <v/>
      </c>
      <c r="Y77" s="573" t="str">
        <f t="shared" si="841"/>
        <v/>
      </c>
      <c r="Z77" s="575" t="str">
        <f t="shared" si="630"/>
        <v/>
      </c>
      <c r="AA77" s="572" t="str">
        <f t="shared" si="631"/>
        <v/>
      </c>
      <c r="AB77" s="572" t="str">
        <f t="shared" si="632"/>
        <v/>
      </c>
      <c r="AC77" s="579" t="str">
        <f t="shared" si="98"/>
        <v/>
      </c>
      <c r="AD77" s="580" t="str">
        <f t="shared" si="136"/>
        <v/>
      </c>
      <c r="AE77" s="572" t="str">
        <f t="shared" si="99"/>
        <v/>
      </c>
      <c r="AF77" s="576" t="str">
        <f t="shared" si="100"/>
        <v/>
      </c>
      <c r="AG77" s="545" t="str">
        <f t="shared" si="101"/>
        <v/>
      </c>
      <c r="AH77" s="546" t="str">
        <f t="shared" si="102"/>
        <v/>
      </c>
      <c r="AI77" s="528" t="str">
        <f t="shared" si="103"/>
        <v/>
      </c>
      <c r="AJ77" s="529" t="str">
        <f t="shared" si="104"/>
        <v/>
      </c>
      <c r="AK77" s="578" t="str">
        <f t="shared" si="234"/>
        <v/>
      </c>
      <c r="AL77" s="572" t="str">
        <f t="shared" si="105"/>
        <v/>
      </c>
      <c r="AM77" s="577" t="str">
        <f t="shared" si="106"/>
        <v/>
      </c>
      <c r="AN77" s="524" t="str">
        <f t="shared" si="107"/>
        <v/>
      </c>
      <c r="AO77" s="525" t="str">
        <f t="shared" si="590"/>
        <v/>
      </c>
      <c r="AP77" s="528" t="str">
        <f t="shared" si="109"/>
        <v/>
      </c>
      <c r="AQ77" s="529" t="str">
        <f t="shared" si="633"/>
        <v/>
      </c>
      <c r="AS77" s="899" t="str">
        <f t="shared" si="737"/>
        <v/>
      </c>
      <c r="AT77" s="895" t="str">
        <f t="shared" si="634"/>
        <v/>
      </c>
      <c r="AU77" s="418"/>
      <c r="AV77" s="164" t="str">
        <f t="shared" si="635"/>
        <v/>
      </c>
      <c r="AW77" s="796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34" t="str">
        <f t="shared" si="680"/>
        <v/>
      </c>
      <c r="HN77" s="935" t="str">
        <f t="shared" si="681"/>
        <v/>
      </c>
      <c r="HO77" s="936"/>
      <c r="HP77" s="937"/>
      <c r="HQ77" s="935" t="str">
        <f t="shared" si="682"/>
        <v/>
      </c>
      <c r="HR77" s="938" t="str">
        <f t="shared" si="683"/>
        <v/>
      </c>
      <c r="HS77" s="939" t="str">
        <f t="shared" si="734"/>
        <v/>
      </c>
      <c r="HT77" s="940" t="str">
        <f t="shared" si="684"/>
        <v/>
      </c>
      <c r="HU77" s="941" t="str">
        <f t="shared" si="685"/>
        <v/>
      </c>
      <c r="HV77" s="942" t="str">
        <f t="shared" si="686"/>
        <v/>
      </c>
      <c r="HW77" s="943" t="str">
        <f t="shared" si="687"/>
        <v/>
      </c>
      <c r="HX77" s="944" t="str">
        <f t="shared" si="688"/>
        <v/>
      </c>
      <c r="HY77" s="943" t="str">
        <f t="shared" si="689"/>
        <v/>
      </c>
      <c r="HZ77" s="945" t="str">
        <f t="shared" si="690"/>
        <v/>
      </c>
      <c r="IA77" s="946" t="str">
        <f t="shared" si="691"/>
        <v/>
      </c>
      <c r="IB77" s="947" t="str">
        <f t="shared" si="692"/>
        <v/>
      </c>
      <c r="IC77" s="841" t="str">
        <f t="shared" si="693"/>
        <v/>
      </c>
      <c r="ID77" s="351" t="str">
        <f t="shared" si="694"/>
        <v/>
      </c>
      <c r="IE77" s="843" t="str">
        <f t="shared" si="695"/>
        <v/>
      </c>
      <c r="IG77" s="789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7" t="str">
        <f t="shared" si="837"/>
        <v/>
      </c>
      <c r="IJ77" s="967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696"/>
        <v/>
      </c>
      <c r="IM77" s="482" t="str">
        <f t="shared" si="838"/>
        <v/>
      </c>
      <c r="IN77" s="670" t="str">
        <f t="shared" si="697"/>
        <v/>
      </c>
      <c r="IO77" s="702"/>
      <c r="IP77" s="5" t="str">
        <f t="shared" si="698"/>
        <v/>
      </c>
      <c r="IQ77" s="714"/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 t="str">
        <f t="shared" si="623"/>
        <v/>
      </c>
      <c r="B78" s="578" t="str">
        <f t="shared" ref="B78:D78" si="844">IFERROR(O233+($A78*-E78),"")</f>
        <v/>
      </c>
      <c r="C78" s="572" t="str">
        <f t="shared" si="844"/>
        <v/>
      </c>
      <c r="D78" s="576" t="str">
        <f t="shared" si="844"/>
        <v/>
      </c>
      <c r="E78" s="580" t="str">
        <f t="shared" ref="E78:K78" si="845">R233</f>
        <v/>
      </c>
      <c r="F78" s="572" t="str">
        <f t="shared" si="845"/>
        <v/>
      </c>
      <c r="G78" s="579" t="str">
        <f t="shared" si="845"/>
        <v/>
      </c>
      <c r="H78" s="580" t="str">
        <f t="shared" si="845"/>
        <v/>
      </c>
      <c r="I78" s="572" t="str">
        <f t="shared" si="845"/>
        <v/>
      </c>
      <c r="J78" s="483" t="str">
        <f t="shared" si="711"/>
        <v/>
      </c>
      <c r="K78" s="805" t="str">
        <f t="shared" si="845"/>
        <v/>
      </c>
      <c r="L78" s="309"/>
      <c r="M78" s="164" t="str">
        <f t="shared" si="626"/>
        <v/>
      </c>
      <c r="N78" s="575" t="str">
        <f t="shared" si="627"/>
        <v/>
      </c>
      <c r="O78" s="572" t="str">
        <f t="shared" si="628"/>
        <v/>
      </c>
      <c r="P78" s="576" t="str">
        <f t="shared" si="629"/>
        <v/>
      </c>
      <c r="Q78" s="528" t="str">
        <f t="shared" si="712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6"/>
        <v/>
      </c>
      <c r="X78" s="572" t="str">
        <f>IF(M78="","",R78)</f>
        <v/>
      </c>
      <c r="Y78" s="573" t="str">
        <f t="shared" si="841"/>
        <v/>
      </c>
      <c r="Z78" s="575" t="str">
        <f t="shared" si="630"/>
        <v/>
      </c>
      <c r="AA78" s="572" t="str">
        <f t="shared" si="631"/>
        <v/>
      </c>
      <c r="AB78" s="572" t="str">
        <f t="shared" si="6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90"/>
        <v/>
      </c>
      <c r="AP78" s="528" t="str">
        <f>IF(M78="","",DEGREES(ATAN2(AK78,AL78)))</f>
        <v/>
      </c>
      <c r="AQ78" s="529" t="str">
        <f t="shared" si="633"/>
        <v/>
      </c>
      <c r="AS78" s="899" t="str">
        <f t="shared" si="737"/>
        <v/>
      </c>
      <c r="AT78" s="895" t="str">
        <f t="shared" si="634"/>
        <v/>
      </c>
      <c r="AU78" s="418"/>
      <c r="AV78" s="164" t="str">
        <f t="shared" si="635"/>
        <v/>
      </c>
      <c r="AW78" s="796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34" t="str">
        <f t="shared" si="680"/>
        <v/>
      </c>
      <c r="HN78" s="935" t="str">
        <f t="shared" si="681"/>
        <v/>
      </c>
      <c r="HO78" s="936"/>
      <c r="HP78" s="937"/>
      <c r="HQ78" s="935" t="str">
        <f t="shared" si="682"/>
        <v/>
      </c>
      <c r="HR78" s="938" t="str">
        <f t="shared" si="683"/>
        <v/>
      </c>
      <c r="HS78" s="939" t="str">
        <f t="shared" si="734"/>
        <v/>
      </c>
      <c r="HT78" s="940" t="str">
        <f t="shared" si="684"/>
        <v/>
      </c>
      <c r="HU78" s="941" t="str">
        <f t="shared" si="685"/>
        <v/>
      </c>
      <c r="HV78" s="942" t="str">
        <f t="shared" si="686"/>
        <v/>
      </c>
      <c r="HW78" s="943" t="str">
        <f t="shared" si="687"/>
        <v/>
      </c>
      <c r="HX78" s="944" t="str">
        <f t="shared" si="688"/>
        <v/>
      </c>
      <c r="HY78" s="943" t="str">
        <f t="shared" si="689"/>
        <v/>
      </c>
      <c r="HZ78" s="945" t="str">
        <f t="shared" si="690"/>
        <v/>
      </c>
      <c r="IA78" s="946" t="str">
        <f t="shared" si="691"/>
        <v/>
      </c>
      <c r="IB78" s="947" t="str">
        <f t="shared" si="692"/>
        <v/>
      </c>
      <c r="IC78" s="841" t="str">
        <f t="shared" si="693"/>
        <v/>
      </c>
      <c r="ID78" s="351" t="str">
        <f t="shared" si="694"/>
        <v/>
      </c>
      <c r="IE78" s="843" t="str">
        <f t="shared" si="695"/>
        <v/>
      </c>
      <c r="IG78" s="789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7" t="str">
        <f t="shared" si="837"/>
        <v/>
      </c>
      <c r="IJ78" s="967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696"/>
        <v/>
      </c>
      <c r="IM78" s="482" t="str">
        <f t="shared" si="838"/>
        <v/>
      </c>
      <c r="IN78" s="670" t="str">
        <f t="shared" si="697"/>
        <v/>
      </c>
      <c r="IO78" s="702"/>
      <c r="IP78" s="5" t="str">
        <f t="shared" si="698"/>
        <v/>
      </c>
      <c r="IQ78" s="714"/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 t="str">
        <f t="shared" si="623"/>
        <v/>
      </c>
      <c r="B79" s="578" t="str">
        <f t="shared" ref="B79:D79" si="846">IFERROR(O234+($A79*-E79),"")</f>
        <v/>
      </c>
      <c r="C79" s="572" t="str">
        <f t="shared" si="846"/>
        <v/>
      </c>
      <c r="D79" s="576" t="str">
        <f t="shared" si="846"/>
        <v/>
      </c>
      <c r="E79" s="580" t="str">
        <f t="shared" ref="E79:K79" si="847">R234</f>
        <v/>
      </c>
      <c r="F79" s="572" t="str">
        <f t="shared" si="847"/>
        <v/>
      </c>
      <c r="G79" s="579" t="str">
        <f t="shared" si="847"/>
        <v/>
      </c>
      <c r="H79" s="580" t="str">
        <f t="shared" si="847"/>
        <v/>
      </c>
      <c r="I79" s="572" t="str">
        <f t="shared" si="847"/>
        <v/>
      </c>
      <c r="J79" s="483" t="str">
        <f t="shared" si="711"/>
        <v/>
      </c>
      <c r="K79" s="805" t="str">
        <f t="shared" si="847"/>
        <v/>
      </c>
      <c r="L79" s="309"/>
      <c r="M79" s="164" t="str">
        <f t="shared" si="626"/>
        <v/>
      </c>
      <c r="N79" s="575" t="str">
        <f t="shared" si="627"/>
        <v/>
      </c>
      <c r="O79" s="572" t="str">
        <f t="shared" si="628"/>
        <v/>
      </c>
      <c r="P79" s="576" t="str">
        <f t="shared" si="629"/>
        <v/>
      </c>
      <c r="Q79" s="528" t="str">
        <f t="shared" si="712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48">IF(M79="","",IF(Q79-$Q$8&lt;0,360+Q79-$Q$8,Q79-$Q$8))</f>
        <v/>
      </c>
      <c r="X79" s="572" t="str">
        <f>IF(M79="","",R79)</f>
        <v/>
      </c>
      <c r="Y79" s="573" t="str">
        <f t="shared" si="841"/>
        <v/>
      </c>
      <c r="Z79" s="575" t="str">
        <f t="shared" si="630"/>
        <v/>
      </c>
      <c r="AA79" s="572" t="str">
        <f t="shared" si="631"/>
        <v/>
      </c>
      <c r="AB79" s="572" t="str">
        <f t="shared" si="6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90"/>
        <v/>
      </c>
      <c r="AP79" s="528" t="str">
        <f>IF(M79="","",DEGREES(ATAN2(AK79,AL79)))</f>
        <v/>
      </c>
      <c r="AQ79" s="529" t="str">
        <f t="shared" si="633"/>
        <v/>
      </c>
      <c r="AS79" s="899" t="str">
        <f t="shared" si="737"/>
        <v/>
      </c>
      <c r="AT79" s="895" t="str">
        <f t="shared" si="634"/>
        <v/>
      </c>
      <c r="AU79" s="418"/>
      <c r="AV79" s="164" t="str">
        <f t="shared" si="635"/>
        <v/>
      </c>
      <c r="AW79" s="796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34" t="str">
        <f t="shared" si="680"/>
        <v/>
      </c>
      <c r="HN79" s="935" t="str">
        <f t="shared" si="681"/>
        <v/>
      </c>
      <c r="HO79" s="936"/>
      <c r="HP79" s="937"/>
      <c r="HQ79" s="935" t="str">
        <f t="shared" si="682"/>
        <v/>
      </c>
      <c r="HR79" s="938" t="str">
        <f t="shared" si="683"/>
        <v/>
      </c>
      <c r="HS79" s="939" t="str">
        <f t="shared" si="734"/>
        <v/>
      </c>
      <c r="HT79" s="940" t="str">
        <f t="shared" si="684"/>
        <v/>
      </c>
      <c r="HU79" s="941" t="str">
        <f t="shared" si="685"/>
        <v/>
      </c>
      <c r="HV79" s="942" t="str">
        <f t="shared" si="686"/>
        <v/>
      </c>
      <c r="HW79" s="943" t="str">
        <f t="shared" si="687"/>
        <v/>
      </c>
      <c r="HX79" s="944" t="str">
        <f t="shared" si="688"/>
        <v/>
      </c>
      <c r="HY79" s="943" t="str">
        <f t="shared" si="689"/>
        <v/>
      </c>
      <c r="HZ79" s="945" t="str">
        <f t="shared" si="690"/>
        <v/>
      </c>
      <c r="IA79" s="946" t="str">
        <f t="shared" si="691"/>
        <v/>
      </c>
      <c r="IB79" s="947" t="str">
        <f t="shared" si="692"/>
        <v/>
      </c>
      <c r="IC79" s="841" t="str">
        <f t="shared" si="693"/>
        <v/>
      </c>
      <c r="ID79" s="351" t="str">
        <f t="shared" si="694"/>
        <v/>
      </c>
      <c r="IE79" s="843" t="str">
        <f t="shared" si="695"/>
        <v/>
      </c>
      <c r="IG79" s="789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7" t="str">
        <f t="shared" si="837"/>
        <v/>
      </c>
      <c r="IJ79" s="967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696"/>
        <v/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 t="str">
        <f t="shared" si="623"/>
        <v/>
      </c>
      <c r="B80" s="578" t="str">
        <f t="shared" ref="B80:D80" si="849">IFERROR(O235+($A80*-E80),"")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5" t="str">
        <f t="shared" si="850"/>
        <v/>
      </c>
      <c r="L80" s="309"/>
      <c r="M80" s="164" t="str">
        <f t="shared" si="626"/>
        <v/>
      </c>
      <c r="N80" s="575" t="str">
        <f t="shared" si="627"/>
        <v/>
      </c>
      <c r="O80" s="572" t="str">
        <f t="shared" si="628"/>
        <v/>
      </c>
      <c r="P80" s="576" t="str">
        <f t="shared" si="629"/>
        <v/>
      </c>
      <c r="Q80" s="528" t="str">
        <f t="shared" si="71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135"/>
        <v/>
      </c>
      <c r="W80" s="528" t="str">
        <f t="shared" si="848"/>
        <v/>
      </c>
      <c r="X80" s="572" t="str">
        <f t="shared" si="97"/>
        <v/>
      </c>
      <c r="Y80" s="573" t="str">
        <f t="shared" si="841"/>
        <v/>
      </c>
      <c r="Z80" s="575" t="str">
        <f t="shared" si="630"/>
        <v/>
      </c>
      <c r="AA80" s="572" t="str">
        <f t="shared" si="631"/>
        <v/>
      </c>
      <c r="AB80" s="572" t="str">
        <f t="shared" si="632"/>
        <v/>
      </c>
      <c r="AC80" s="579" t="str">
        <f t="shared" si="98"/>
        <v/>
      </c>
      <c r="AD80" s="580" t="str">
        <f t="shared" si="136"/>
        <v/>
      </c>
      <c r="AE80" s="572" t="str">
        <f t="shared" si="99"/>
        <v/>
      </c>
      <c r="AF80" s="576" t="str">
        <f t="shared" si="100"/>
        <v/>
      </c>
      <c r="AG80" s="545" t="str">
        <f t="shared" si="101"/>
        <v/>
      </c>
      <c r="AH80" s="546" t="str">
        <f t="shared" si="102"/>
        <v/>
      </c>
      <c r="AI80" s="528" t="str">
        <f t="shared" si="103"/>
        <v/>
      </c>
      <c r="AJ80" s="529" t="str">
        <f t="shared" si="104"/>
        <v/>
      </c>
      <c r="AK80" s="578" t="str">
        <f t="shared" si="234"/>
        <v/>
      </c>
      <c r="AL80" s="572" t="str">
        <f t="shared" si="105"/>
        <v/>
      </c>
      <c r="AM80" s="577" t="str">
        <f t="shared" si="106"/>
        <v/>
      </c>
      <c r="AN80" s="524" t="str">
        <f t="shared" si="107"/>
        <v/>
      </c>
      <c r="AO80" s="525" t="str">
        <f t="shared" si="590"/>
        <v/>
      </c>
      <c r="AP80" s="528" t="str">
        <f t="shared" si="109"/>
        <v/>
      </c>
      <c r="AQ80" s="529" t="str">
        <f t="shared" si="633"/>
        <v/>
      </c>
      <c r="AS80" s="899" t="str">
        <f t="shared" si="737"/>
        <v/>
      </c>
      <c r="AT80" s="895" t="str">
        <f t="shared" si="634"/>
        <v/>
      </c>
      <c r="AU80" s="418"/>
      <c r="AV80" s="164" t="str">
        <f t="shared" si="635"/>
        <v/>
      </c>
      <c r="AW80" s="796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34" t="str">
        <f t="shared" si="680"/>
        <v/>
      </c>
      <c r="HN80" s="935" t="str">
        <f t="shared" si="681"/>
        <v/>
      </c>
      <c r="HO80" s="936"/>
      <c r="HP80" s="937"/>
      <c r="HQ80" s="935" t="str">
        <f t="shared" si="682"/>
        <v/>
      </c>
      <c r="HR80" s="938" t="str">
        <f t="shared" si="683"/>
        <v/>
      </c>
      <c r="HS80" s="939" t="str">
        <f t="shared" si="734"/>
        <v/>
      </c>
      <c r="HT80" s="940" t="str">
        <f t="shared" si="684"/>
        <v/>
      </c>
      <c r="HU80" s="941" t="str">
        <f t="shared" si="685"/>
        <v/>
      </c>
      <c r="HV80" s="942" t="str">
        <f t="shared" si="686"/>
        <v/>
      </c>
      <c r="HW80" s="943" t="str">
        <f t="shared" si="687"/>
        <v/>
      </c>
      <c r="HX80" s="944" t="str">
        <f t="shared" si="688"/>
        <v/>
      </c>
      <c r="HY80" s="943" t="str">
        <f t="shared" si="689"/>
        <v/>
      </c>
      <c r="HZ80" s="945" t="str">
        <f t="shared" si="690"/>
        <v/>
      </c>
      <c r="IA80" s="946" t="str">
        <f t="shared" si="691"/>
        <v/>
      </c>
      <c r="IB80" s="947" t="str">
        <f t="shared" si="692"/>
        <v/>
      </c>
      <c r="IC80" s="841" t="str">
        <f t="shared" si="693"/>
        <v/>
      </c>
      <c r="ID80" s="351" t="str">
        <f t="shared" si="694"/>
        <v/>
      </c>
      <c r="IE80" s="843" t="str">
        <f t="shared" si="695"/>
        <v/>
      </c>
      <c r="IG80" s="789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7" t="str">
        <f t="shared" si="837"/>
        <v/>
      </c>
      <c r="IJ80" s="967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6"/>
        <v/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 t="str">
        <f t="shared" si="623"/>
        <v/>
      </c>
      <c r="B81" s="578" t="str">
        <f t="shared" ref="B81:D81" si="851">IFERROR(O236+($A81*-E81),"")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5" t="str">
        <f t="shared" si="852"/>
        <v/>
      </c>
      <c r="L81" s="309"/>
      <c r="M81" s="164" t="str">
        <f t="shared" si="626"/>
        <v/>
      </c>
      <c r="N81" s="575" t="str">
        <f t="shared" si="627"/>
        <v/>
      </c>
      <c r="O81" s="572" t="str">
        <f t="shared" si="628"/>
        <v/>
      </c>
      <c r="P81" s="576" t="str">
        <f t="shared" si="629"/>
        <v/>
      </c>
      <c r="Q81" s="528" t="str">
        <f t="shared" si="71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135"/>
        <v/>
      </c>
      <c r="W81" s="528" t="str">
        <f t="shared" si="848"/>
        <v/>
      </c>
      <c r="X81" s="572" t="str">
        <f t="shared" si="97"/>
        <v/>
      </c>
      <c r="Y81" s="573" t="str">
        <f t="shared" si="841"/>
        <v/>
      </c>
      <c r="Z81" s="575" t="str">
        <f t="shared" si="630"/>
        <v/>
      </c>
      <c r="AA81" s="572" t="str">
        <f t="shared" si="631"/>
        <v/>
      </c>
      <c r="AB81" s="572" t="str">
        <f t="shared" si="632"/>
        <v/>
      </c>
      <c r="AC81" s="579" t="str">
        <f t="shared" si="98"/>
        <v/>
      </c>
      <c r="AD81" s="580" t="str">
        <f t="shared" si="136"/>
        <v/>
      </c>
      <c r="AE81" s="572" t="str">
        <f t="shared" si="99"/>
        <v/>
      </c>
      <c r="AF81" s="576" t="str">
        <f t="shared" si="100"/>
        <v/>
      </c>
      <c r="AG81" s="545" t="str">
        <f t="shared" si="101"/>
        <v/>
      </c>
      <c r="AH81" s="546" t="str">
        <f t="shared" si="102"/>
        <v/>
      </c>
      <c r="AI81" s="528" t="str">
        <f t="shared" si="103"/>
        <v/>
      </c>
      <c r="AJ81" s="529" t="str">
        <f t="shared" si="104"/>
        <v/>
      </c>
      <c r="AK81" s="578" t="str">
        <f t="shared" si="234"/>
        <v/>
      </c>
      <c r="AL81" s="572" t="str">
        <f t="shared" si="105"/>
        <v/>
      </c>
      <c r="AM81" s="577" t="str">
        <f t="shared" si="106"/>
        <v/>
      </c>
      <c r="AN81" s="524" t="str">
        <f t="shared" si="107"/>
        <v/>
      </c>
      <c r="AO81" s="525" t="str">
        <f t="shared" si="590"/>
        <v/>
      </c>
      <c r="AP81" s="528" t="str">
        <f t="shared" si="109"/>
        <v/>
      </c>
      <c r="AQ81" s="529" t="str">
        <f t="shared" si="633"/>
        <v/>
      </c>
      <c r="AS81" s="899" t="str">
        <f t="shared" si="737"/>
        <v/>
      </c>
      <c r="AT81" s="895" t="str">
        <f t="shared" si="634"/>
        <v/>
      </c>
      <c r="AU81" s="418"/>
      <c r="AV81" s="164" t="str">
        <f t="shared" si="635"/>
        <v/>
      </c>
      <c r="AW81" s="796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34" t="str">
        <f t="shared" si="680"/>
        <v/>
      </c>
      <c r="HN81" s="935" t="str">
        <f t="shared" si="681"/>
        <v/>
      </c>
      <c r="HO81" s="936"/>
      <c r="HP81" s="937"/>
      <c r="HQ81" s="935" t="str">
        <f t="shared" si="682"/>
        <v/>
      </c>
      <c r="HR81" s="938" t="str">
        <f t="shared" si="683"/>
        <v/>
      </c>
      <c r="HS81" s="939" t="str">
        <f t="shared" si="734"/>
        <v/>
      </c>
      <c r="HT81" s="940" t="str">
        <f t="shared" si="684"/>
        <v/>
      </c>
      <c r="HU81" s="941" t="str">
        <f t="shared" si="685"/>
        <v/>
      </c>
      <c r="HV81" s="942" t="str">
        <f t="shared" si="686"/>
        <v/>
      </c>
      <c r="HW81" s="943" t="str">
        <f t="shared" si="687"/>
        <v/>
      </c>
      <c r="HX81" s="944" t="str">
        <f t="shared" si="688"/>
        <v/>
      </c>
      <c r="HY81" s="943" t="str">
        <f t="shared" si="689"/>
        <v/>
      </c>
      <c r="HZ81" s="945" t="str">
        <f t="shared" si="690"/>
        <v/>
      </c>
      <c r="IA81" s="946" t="str">
        <f t="shared" si="691"/>
        <v/>
      </c>
      <c r="IB81" s="947" t="str">
        <f t="shared" si="692"/>
        <v/>
      </c>
      <c r="IC81" s="841" t="str">
        <f t="shared" si="693"/>
        <v/>
      </c>
      <c r="ID81" s="351" t="str">
        <f t="shared" si="694"/>
        <v/>
      </c>
      <c r="IE81" s="843" t="str">
        <f t="shared" si="695"/>
        <v/>
      </c>
      <c r="IG81" s="789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7" t="str">
        <f t="shared" si="837"/>
        <v/>
      </c>
      <c r="IJ81" s="967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6"/>
        <v/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 t="str">
        <f t="shared" si="623"/>
        <v/>
      </c>
      <c r="B82" s="578" t="str">
        <f t="shared" ref="B82:D82" si="853">IFERROR(O237+($A82*-E82),"")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5" t="str">
        <f t="shared" si="854"/>
        <v/>
      </c>
      <c r="L82" s="309"/>
      <c r="M82" s="164" t="str">
        <f t="shared" si="626"/>
        <v/>
      </c>
      <c r="N82" s="575" t="str">
        <f t="shared" si="627"/>
        <v/>
      </c>
      <c r="O82" s="572" t="str">
        <f t="shared" si="628"/>
        <v/>
      </c>
      <c r="P82" s="576" t="str">
        <f t="shared" si="629"/>
        <v/>
      </c>
      <c r="Q82" s="528" t="str">
        <f t="shared" si="71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135"/>
        <v/>
      </c>
      <c r="W82" s="528" t="str">
        <f t="shared" si="848"/>
        <v/>
      </c>
      <c r="X82" s="572" t="str">
        <f t="shared" si="97"/>
        <v/>
      </c>
      <c r="Y82" s="573" t="str">
        <f t="shared" si="841"/>
        <v/>
      </c>
      <c r="Z82" s="575" t="str">
        <f t="shared" si="630"/>
        <v/>
      </c>
      <c r="AA82" s="572" t="str">
        <f t="shared" si="631"/>
        <v/>
      </c>
      <c r="AB82" s="572" t="str">
        <f t="shared" si="632"/>
        <v/>
      </c>
      <c r="AC82" s="579" t="str">
        <f t="shared" si="98"/>
        <v/>
      </c>
      <c r="AD82" s="580" t="str">
        <f t="shared" si="136"/>
        <v/>
      </c>
      <c r="AE82" s="572" t="str">
        <f t="shared" si="99"/>
        <v/>
      </c>
      <c r="AF82" s="576" t="str">
        <f t="shared" si="100"/>
        <v/>
      </c>
      <c r="AG82" s="545" t="str">
        <f t="shared" si="101"/>
        <v/>
      </c>
      <c r="AH82" s="546" t="str">
        <f t="shared" si="102"/>
        <v/>
      </c>
      <c r="AI82" s="528" t="str">
        <f t="shared" si="103"/>
        <v/>
      </c>
      <c r="AJ82" s="529" t="str">
        <f t="shared" si="104"/>
        <v/>
      </c>
      <c r="AK82" s="578" t="str">
        <f t="shared" si="234"/>
        <v/>
      </c>
      <c r="AL82" s="572" t="str">
        <f t="shared" si="105"/>
        <v/>
      </c>
      <c r="AM82" s="577" t="str">
        <f t="shared" si="106"/>
        <v/>
      </c>
      <c r="AN82" s="524" t="str">
        <f t="shared" si="107"/>
        <v/>
      </c>
      <c r="AO82" s="525" t="str">
        <f t="shared" si="590"/>
        <v/>
      </c>
      <c r="AP82" s="528" t="str">
        <f t="shared" si="109"/>
        <v/>
      </c>
      <c r="AQ82" s="529" t="str">
        <f t="shared" si="633"/>
        <v/>
      </c>
      <c r="AS82" s="899" t="str">
        <f t="shared" si="737"/>
        <v/>
      </c>
      <c r="AT82" s="895" t="str">
        <f t="shared" si="634"/>
        <v/>
      </c>
      <c r="AU82" s="418"/>
      <c r="AV82" s="164" t="str">
        <f t="shared" si="635"/>
        <v/>
      </c>
      <c r="AW82" s="796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34" t="str">
        <f t="shared" si="680"/>
        <v/>
      </c>
      <c r="HN82" s="935" t="str">
        <f t="shared" si="681"/>
        <v/>
      </c>
      <c r="HO82" s="936"/>
      <c r="HP82" s="937"/>
      <c r="HQ82" s="935" t="str">
        <f t="shared" si="682"/>
        <v/>
      </c>
      <c r="HR82" s="938" t="str">
        <f t="shared" si="683"/>
        <v/>
      </c>
      <c r="HS82" s="939" t="str">
        <f t="shared" si="734"/>
        <v/>
      </c>
      <c r="HT82" s="940" t="str">
        <f t="shared" si="684"/>
        <v/>
      </c>
      <c r="HU82" s="941" t="str">
        <f t="shared" si="685"/>
        <v/>
      </c>
      <c r="HV82" s="942" t="str">
        <f t="shared" si="686"/>
        <v/>
      </c>
      <c r="HW82" s="943" t="str">
        <f t="shared" si="687"/>
        <v/>
      </c>
      <c r="HX82" s="944" t="str">
        <f t="shared" si="688"/>
        <v/>
      </c>
      <c r="HY82" s="943" t="str">
        <f t="shared" si="689"/>
        <v/>
      </c>
      <c r="HZ82" s="945" t="str">
        <f t="shared" si="690"/>
        <v/>
      </c>
      <c r="IA82" s="946" t="str">
        <f t="shared" si="691"/>
        <v/>
      </c>
      <c r="IB82" s="947" t="str">
        <f t="shared" si="692"/>
        <v/>
      </c>
      <c r="IC82" s="841" t="str">
        <f t="shared" si="693"/>
        <v/>
      </c>
      <c r="ID82" s="351" t="str">
        <f t="shared" si="694"/>
        <v/>
      </c>
      <c r="IE82" s="843" t="str">
        <f t="shared" si="695"/>
        <v/>
      </c>
      <c r="IG82" s="789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7" t="str">
        <f t="shared" si="837"/>
        <v/>
      </c>
      <c r="IJ82" s="967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6"/>
        <v/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 t="str">
        <f t="shared" si="623"/>
        <v/>
      </c>
      <c r="B83" s="578" t="str">
        <f t="shared" ref="B83:D83" si="855">IFERROR(O238+($A83*-E83),"")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5" t="str">
        <f t="shared" si="856"/>
        <v/>
      </c>
      <c r="L83" s="309"/>
      <c r="M83" s="164" t="str">
        <f t="shared" si="626"/>
        <v/>
      </c>
      <c r="N83" s="575" t="str">
        <f t="shared" si="627"/>
        <v/>
      </c>
      <c r="O83" s="572" t="str">
        <f t="shared" si="628"/>
        <v/>
      </c>
      <c r="P83" s="576" t="str">
        <f t="shared" si="629"/>
        <v/>
      </c>
      <c r="Q83" s="528" t="str">
        <f t="shared" si="71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135"/>
        <v/>
      </c>
      <c r="W83" s="528" t="str">
        <f t="shared" si="848"/>
        <v/>
      </c>
      <c r="X83" s="572" t="str">
        <f t="shared" si="97"/>
        <v/>
      </c>
      <c r="Y83" s="573" t="str">
        <f t="shared" si="841"/>
        <v/>
      </c>
      <c r="Z83" s="575" t="str">
        <f t="shared" si="630"/>
        <v/>
      </c>
      <c r="AA83" s="572" t="str">
        <f t="shared" si="631"/>
        <v/>
      </c>
      <c r="AB83" s="572" t="str">
        <f t="shared" si="632"/>
        <v/>
      </c>
      <c r="AC83" s="579" t="str">
        <f t="shared" si="98"/>
        <v/>
      </c>
      <c r="AD83" s="580" t="str">
        <f t="shared" si="136"/>
        <v/>
      </c>
      <c r="AE83" s="572" t="str">
        <f t="shared" si="99"/>
        <v/>
      </c>
      <c r="AF83" s="576" t="str">
        <f t="shared" si="100"/>
        <v/>
      </c>
      <c r="AG83" s="545" t="str">
        <f t="shared" si="101"/>
        <v/>
      </c>
      <c r="AH83" s="546" t="str">
        <f t="shared" si="102"/>
        <v/>
      </c>
      <c r="AI83" s="528" t="str">
        <f t="shared" si="103"/>
        <v/>
      </c>
      <c r="AJ83" s="529" t="str">
        <f t="shared" si="104"/>
        <v/>
      </c>
      <c r="AK83" s="578" t="str">
        <f t="shared" si="234"/>
        <v/>
      </c>
      <c r="AL83" s="572" t="str">
        <f t="shared" si="105"/>
        <v/>
      </c>
      <c r="AM83" s="577" t="str">
        <f t="shared" si="106"/>
        <v/>
      </c>
      <c r="AN83" s="524" t="str">
        <f t="shared" si="107"/>
        <v/>
      </c>
      <c r="AO83" s="525" t="str">
        <f t="shared" si="590"/>
        <v/>
      </c>
      <c r="AP83" s="528" t="str">
        <f t="shared" si="109"/>
        <v/>
      </c>
      <c r="AQ83" s="529" t="str">
        <f t="shared" si="633"/>
        <v/>
      </c>
      <c r="AS83" s="899" t="str">
        <f t="shared" si="737"/>
        <v/>
      </c>
      <c r="AT83" s="895" t="str">
        <f t="shared" si="634"/>
        <v/>
      </c>
      <c r="AU83" s="418"/>
      <c r="AV83" s="164" t="str">
        <f t="shared" si="635"/>
        <v/>
      </c>
      <c r="AW83" s="796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34" t="str">
        <f t="shared" si="680"/>
        <v/>
      </c>
      <c r="HN83" s="935" t="str">
        <f t="shared" si="681"/>
        <v/>
      </c>
      <c r="HO83" s="936"/>
      <c r="HP83" s="937"/>
      <c r="HQ83" s="935" t="str">
        <f t="shared" si="682"/>
        <v/>
      </c>
      <c r="HR83" s="938" t="str">
        <f t="shared" si="683"/>
        <v/>
      </c>
      <c r="HS83" s="939" t="str">
        <f t="shared" si="734"/>
        <v/>
      </c>
      <c r="HT83" s="940" t="str">
        <f t="shared" si="684"/>
        <v/>
      </c>
      <c r="HU83" s="941" t="str">
        <f t="shared" si="685"/>
        <v/>
      </c>
      <c r="HV83" s="942" t="str">
        <f t="shared" si="686"/>
        <v/>
      </c>
      <c r="HW83" s="943" t="str">
        <f t="shared" si="687"/>
        <v/>
      </c>
      <c r="HX83" s="944" t="str">
        <f t="shared" si="688"/>
        <v/>
      </c>
      <c r="HY83" s="943" t="str">
        <f t="shared" si="689"/>
        <v/>
      </c>
      <c r="HZ83" s="945" t="str">
        <f t="shared" si="690"/>
        <v/>
      </c>
      <c r="IA83" s="946" t="str">
        <f t="shared" si="691"/>
        <v/>
      </c>
      <c r="IB83" s="947" t="str">
        <f t="shared" si="692"/>
        <v/>
      </c>
      <c r="IC83" s="841" t="str">
        <f t="shared" si="693"/>
        <v/>
      </c>
      <c r="ID83" s="351" t="str">
        <f t="shared" si="694"/>
        <v/>
      </c>
      <c r="IE83" s="843" t="str">
        <f t="shared" si="695"/>
        <v/>
      </c>
      <c r="IG83" s="789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7" t="str">
        <f t="shared" si="837"/>
        <v/>
      </c>
      <c r="IJ83" s="967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6"/>
        <v/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 t="str">
        <f t="shared" si="623"/>
        <v/>
      </c>
      <c r="B84" s="578" t="str">
        <f t="shared" ref="B84:D84" si="857">IFERROR(O239+($A84*-E84),"")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5" t="str">
        <f t="shared" si="858"/>
        <v/>
      </c>
      <c r="L84" s="309"/>
      <c r="M84" s="164" t="str">
        <f t="shared" si="626"/>
        <v/>
      </c>
      <c r="N84" s="575" t="str">
        <f t="shared" si="627"/>
        <v/>
      </c>
      <c r="O84" s="572" t="str">
        <f t="shared" si="628"/>
        <v/>
      </c>
      <c r="P84" s="576" t="str">
        <f t="shared" si="629"/>
        <v/>
      </c>
      <c r="Q84" s="528" t="str">
        <f t="shared" si="71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135"/>
        <v/>
      </c>
      <c r="W84" s="528" t="str">
        <f t="shared" si="848"/>
        <v/>
      </c>
      <c r="X84" s="572" t="str">
        <f t="shared" si="97"/>
        <v/>
      </c>
      <c r="Y84" s="573" t="str">
        <f t="shared" si="841"/>
        <v/>
      </c>
      <c r="Z84" s="575" t="str">
        <f t="shared" si="630"/>
        <v/>
      </c>
      <c r="AA84" s="572" t="str">
        <f t="shared" si="631"/>
        <v/>
      </c>
      <c r="AB84" s="572" t="str">
        <f t="shared" si="632"/>
        <v/>
      </c>
      <c r="AC84" s="579" t="str">
        <f t="shared" si="98"/>
        <v/>
      </c>
      <c r="AD84" s="580" t="str">
        <f t="shared" si="136"/>
        <v/>
      </c>
      <c r="AE84" s="572" t="str">
        <f t="shared" si="99"/>
        <v/>
      </c>
      <c r="AF84" s="576" t="str">
        <f t="shared" si="100"/>
        <v/>
      </c>
      <c r="AG84" s="545" t="str">
        <f t="shared" si="101"/>
        <v/>
      </c>
      <c r="AH84" s="546" t="str">
        <f t="shared" si="102"/>
        <v/>
      </c>
      <c r="AI84" s="528" t="str">
        <f t="shared" si="103"/>
        <v/>
      </c>
      <c r="AJ84" s="529" t="str">
        <f t="shared" si="104"/>
        <v/>
      </c>
      <c r="AK84" s="578" t="str">
        <f t="shared" si="234"/>
        <v/>
      </c>
      <c r="AL84" s="572" t="str">
        <f t="shared" si="105"/>
        <v/>
      </c>
      <c r="AM84" s="577" t="str">
        <f t="shared" si="106"/>
        <v/>
      </c>
      <c r="AN84" s="524" t="str">
        <f t="shared" si="107"/>
        <v/>
      </c>
      <c r="AO84" s="525" t="str">
        <f t="shared" si="590"/>
        <v/>
      </c>
      <c r="AP84" s="528" t="str">
        <f t="shared" si="109"/>
        <v/>
      </c>
      <c r="AQ84" s="529" t="str">
        <f t="shared" si="633"/>
        <v/>
      </c>
      <c r="AS84" s="899" t="str">
        <f t="shared" si="737"/>
        <v/>
      </c>
      <c r="AT84" s="895" t="str">
        <f t="shared" si="634"/>
        <v/>
      </c>
      <c r="AU84" s="418"/>
      <c r="AV84" s="164" t="str">
        <f t="shared" si="635"/>
        <v/>
      </c>
      <c r="AW84" s="796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34" t="str">
        <f t="shared" si="680"/>
        <v/>
      </c>
      <c r="HN84" s="935" t="str">
        <f t="shared" si="681"/>
        <v/>
      </c>
      <c r="HO84" s="936"/>
      <c r="HP84" s="937"/>
      <c r="HQ84" s="935" t="str">
        <f t="shared" si="682"/>
        <v/>
      </c>
      <c r="HR84" s="938" t="str">
        <f t="shared" si="683"/>
        <v/>
      </c>
      <c r="HS84" s="939" t="str">
        <f t="shared" si="734"/>
        <v/>
      </c>
      <c r="HT84" s="940" t="str">
        <f t="shared" si="684"/>
        <v/>
      </c>
      <c r="HU84" s="941" t="str">
        <f t="shared" si="685"/>
        <v/>
      </c>
      <c r="HV84" s="942" t="str">
        <f t="shared" si="686"/>
        <v/>
      </c>
      <c r="HW84" s="943" t="str">
        <f t="shared" si="687"/>
        <v/>
      </c>
      <c r="HX84" s="944" t="str">
        <f t="shared" si="688"/>
        <v/>
      </c>
      <c r="HY84" s="943" t="str">
        <f t="shared" si="689"/>
        <v/>
      </c>
      <c r="HZ84" s="945" t="str">
        <f t="shared" si="690"/>
        <v/>
      </c>
      <c r="IA84" s="946" t="str">
        <f t="shared" si="691"/>
        <v/>
      </c>
      <c r="IB84" s="947" t="str">
        <f t="shared" si="692"/>
        <v/>
      </c>
      <c r="IC84" s="841" t="str">
        <f t="shared" si="693"/>
        <v/>
      </c>
      <c r="ID84" s="351" t="str">
        <f t="shared" si="694"/>
        <v/>
      </c>
      <c r="IE84" s="843" t="str">
        <f t="shared" si="695"/>
        <v/>
      </c>
      <c r="IF84" s="844"/>
      <c r="IG84" s="789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7" t="str">
        <f t="shared" si="837"/>
        <v/>
      </c>
      <c r="IJ84" s="967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6"/>
        <v/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 t="str">
        <f t="shared" si="623"/>
        <v/>
      </c>
      <c r="B85" s="578" t="str">
        <f t="shared" ref="B85:D85" si="859">IFERROR(O240+($A85*-E85),"")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5" t="str">
        <f t="shared" si="860"/>
        <v/>
      </c>
      <c r="L85" s="309"/>
      <c r="M85" s="164" t="str">
        <f t="shared" si="626"/>
        <v/>
      </c>
      <c r="N85" s="575" t="str">
        <f t="shared" si="627"/>
        <v/>
      </c>
      <c r="O85" s="572" t="str">
        <f t="shared" si="628"/>
        <v/>
      </c>
      <c r="P85" s="576" t="str">
        <f t="shared" si="629"/>
        <v/>
      </c>
      <c r="Q85" s="528" t="str">
        <f t="shared" si="71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135"/>
        <v/>
      </c>
      <c r="W85" s="528" t="str">
        <f t="shared" si="848"/>
        <v/>
      </c>
      <c r="X85" s="572" t="str">
        <f t="shared" si="97"/>
        <v/>
      </c>
      <c r="Y85" s="573" t="str">
        <f t="shared" si="841"/>
        <v/>
      </c>
      <c r="Z85" s="575" t="str">
        <f t="shared" si="630"/>
        <v/>
      </c>
      <c r="AA85" s="572" t="str">
        <f t="shared" si="631"/>
        <v/>
      </c>
      <c r="AB85" s="572" t="str">
        <f t="shared" si="632"/>
        <v/>
      </c>
      <c r="AC85" s="579" t="str">
        <f t="shared" si="98"/>
        <v/>
      </c>
      <c r="AD85" s="580" t="str">
        <f t="shared" si="136"/>
        <v/>
      </c>
      <c r="AE85" s="572" t="str">
        <f t="shared" si="99"/>
        <v/>
      </c>
      <c r="AF85" s="576" t="str">
        <f t="shared" si="100"/>
        <v/>
      </c>
      <c r="AG85" s="545" t="str">
        <f t="shared" si="101"/>
        <v/>
      </c>
      <c r="AH85" s="546" t="str">
        <f t="shared" si="102"/>
        <v/>
      </c>
      <c r="AI85" s="528" t="str">
        <f t="shared" si="103"/>
        <v/>
      </c>
      <c r="AJ85" s="529" t="str">
        <f t="shared" si="104"/>
        <v/>
      </c>
      <c r="AK85" s="578" t="str">
        <f t="shared" si="234"/>
        <v/>
      </c>
      <c r="AL85" s="572" t="str">
        <f t="shared" si="105"/>
        <v/>
      </c>
      <c r="AM85" s="577" t="str">
        <f t="shared" si="106"/>
        <v/>
      </c>
      <c r="AN85" s="524" t="str">
        <f t="shared" si="107"/>
        <v/>
      </c>
      <c r="AO85" s="525" t="str">
        <f t="shared" si="590"/>
        <v/>
      </c>
      <c r="AP85" s="528" t="str">
        <f t="shared" si="109"/>
        <v/>
      </c>
      <c r="AQ85" s="529" t="str">
        <f t="shared" si="633"/>
        <v/>
      </c>
      <c r="AS85" s="899" t="str">
        <f t="shared" si="737"/>
        <v/>
      </c>
      <c r="AT85" s="895" t="str">
        <f t="shared" si="634"/>
        <v/>
      </c>
      <c r="AU85" s="418"/>
      <c r="AV85" s="164" t="str">
        <f t="shared" si="635"/>
        <v/>
      </c>
      <c r="AW85" s="796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34" t="str">
        <f t="shared" si="680"/>
        <v/>
      </c>
      <c r="HN85" s="935" t="str">
        <f t="shared" si="681"/>
        <v/>
      </c>
      <c r="HO85" s="936"/>
      <c r="HP85" s="937"/>
      <c r="HQ85" s="935" t="str">
        <f t="shared" si="682"/>
        <v/>
      </c>
      <c r="HR85" s="938" t="str">
        <f t="shared" si="683"/>
        <v/>
      </c>
      <c r="HS85" s="939" t="str">
        <f t="shared" si="734"/>
        <v/>
      </c>
      <c r="HT85" s="940" t="str">
        <f t="shared" si="684"/>
        <v/>
      </c>
      <c r="HU85" s="941" t="str">
        <f t="shared" si="685"/>
        <v/>
      </c>
      <c r="HV85" s="942" t="str">
        <f t="shared" si="686"/>
        <v/>
      </c>
      <c r="HW85" s="943" t="str">
        <f t="shared" si="687"/>
        <v/>
      </c>
      <c r="HX85" s="944" t="str">
        <f t="shared" si="688"/>
        <v/>
      </c>
      <c r="HY85" s="943" t="str">
        <f t="shared" si="689"/>
        <v/>
      </c>
      <c r="HZ85" s="945" t="str">
        <f t="shared" si="690"/>
        <v/>
      </c>
      <c r="IA85" s="946" t="str">
        <f t="shared" si="691"/>
        <v/>
      </c>
      <c r="IB85" s="947" t="str">
        <f t="shared" si="692"/>
        <v/>
      </c>
      <c r="IC85" s="841" t="str">
        <f t="shared" si="693"/>
        <v/>
      </c>
      <c r="ID85" s="351" t="str">
        <f t="shared" si="694"/>
        <v/>
      </c>
      <c r="IE85" s="843" t="str">
        <f t="shared" si="695"/>
        <v/>
      </c>
      <c r="IF85" s="844"/>
      <c r="IG85" s="789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7" t="str">
        <f t="shared" si="837"/>
        <v/>
      </c>
      <c r="IJ85" s="967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6"/>
        <v/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 t="str">
        <f t="shared" si="623"/>
        <v/>
      </c>
      <c r="B86" s="578" t="str">
        <f t="shared" ref="B86:D86" si="861">IFERROR(O241+($A86*-E86),"")</f>
        <v/>
      </c>
      <c r="C86" s="572" t="str">
        <f t="shared" si="861"/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5" t="str">
        <f t="shared" si="862"/>
        <v/>
      </c>
      <c r="L86" s="309"/>
      <c r="M86" s="164" t="str">
        <f t="shared" si="626"/>
        <v/>
      </c>
      <c r="N86" s="575" t="str">
        <f t="shared" si="627"/>
        <v/>
      </c>
      <c r="O86" s="572" t="str">
        <f t="shared" si="628"/>
        <v/>
      </c>
      <c r="P86" s="576" t="str">
        <f t="shared" si="629"/>
        <v/>
      </c>
      <c r="Q86" s="528" t="str">
        <f t="shared" si="71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135"/>
        <v/>
      </c>
      <c r="W86" s="528" t="str">
        <f t="shared" si="848"/>
        <v/>
      </c>
      <c r="X86" s="572" t="str">
        <f t="shared" si="97"/>
        <v/>
      </c>
      <c r="Y86" s="573" t="str">
        <f t="shared" si="841"/>
        <v/>
      </c>
      <c r="Z86" s="575" t="str">
        <f t="shared" si="630"/>
        <v/>
      </c>
      <c r="AA86" s="572" t="str">
        <f t="shared" si="631"/>
        <v/>
      </c>
      <c r="AB86" s="572" t="str">
        <f t="shared" si="632"/>
        <v/>
      </c>
      <c r="AC86" s="579" t="str">
        <f t="shared" si="98"/>
        <v/>
      </c>
      <c r="AD86" s="580" t="str">
        <f t="shared" si="136"/>
        <v/>
      </c>
      <c r="AE86" s="572" t="str">
        <f t="shared" si="99"/>
        <v/>
      </c>
      <c r="AF86" s="576" t="str">
        <f t="shared" si="100"/>
        <v/>
      </c>
      <c r="AG86" s="545" t="str">
        <f t="shared" si="101"/>
        <v/>
      </c>
      <c r="AH86" s="546" t="str">
        <f t="shared" si="102"/>
        <v/>
      </c>
      <c r="AI86" s="528" t="str">
        <f t="shared" si="103"/>
        <v/>
      </c>
      <c r="AJ86" s="529" t="str">
        <f t="shared" si="104"/>
        <v/>
      </c>
      <c r="AK86" s="578" t="str">
        <f t="shared" si="234"/>
        <v/>
      </c>
      <c r="AL86" s="572" t="str">
        <f t="shared" si="105"/>
        <v/>
      </c>
      <c r="AM86" s="577" t="str">
        <f t="shared" si="106"/>
        <v/>
      </c>
      <c r="AN86" s="524" t="str">
        <f t="shared" si="107"/>
        <v/>
      </c>
      <c r="AO86" s="525" t="str">
        <f t="shared" si="590"/>
        <v/>
      </c>
      <c r="AP86" s="528" t="str">
        <f t="shared" si="109"/>
        <v/>
      </c>
      <c r="AQ86" s="529" t="str">
        <f t="shared" si="633"/>
        <v/>
      </c>
      <c r="AS86" s="899" t="str">
        <f t="shared" si="737"/>
        <v/>
      </c>
      <c r="AT86" s="895" t="str">
        <f t="shared" si="634"/>
        <v/>
      </c>
      <c r="AU86" s="418"/>
      <c r="AV86" s="164" t="str">
        <f t="shared" si="635"/>
        <v/>
      </c>
      <c r="AW86" s="796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34" t="str">
        <f t="shared" si="680"/>
        <v/>
      </c>
      <c r="HN86" s="935" t="str">
        <f t="shared" si="681"/>
        <v/>
      </c>
      <c r="HO86" s="936"/>
      <c r="HP86" s="937"/>
      <c r="HQ86" s="935" t="str">
        <f t="shared" si="682"/>
        <v/>
      </c>
      <c r="HR86" s="938" t="str">
        <f t="shared" si="683"/>
        <v/>
      </c>
      <c r="HS86" s="939" t="str">
        <f t="shared" si="734"/>
        <v/>
      </c>
      <c r="HT86" s="940" t="str">
        <f t="shared" si="684"/>
        <v/>
      </c>
      <c r="HU86" s="941" t="str">
        <f t="shared" si="685"/>
        <v/>
      </c>
      <c r="HV86" s="942" t="str">
        <f t="shared" si="686"/>
        <v/>
      </c>
      <c r="HW86" s="943" t="str">
        <f t="shared" si="687"/>
        <v/>
      </c>
      <c r="HX86" s="944" t="str">
        <f t="shared" si="688"/>
        <v/>
      </c>
      <c r="HY86" s="943" t="str">
        <f t="shared" si="689"/>
        <v/>
      </c>
      <c r="HZ86" s="945" t="str">
        <f t="shared" si="690"/>
        <v/>
      </c>
      <c r="IA86" s="946" t="str">
        <f t="shared" si="691"/>
        <v/>
      </c>
      <c r="IB86" s="947" t="str">
        <f t="shared" si="692"/>
        <v/>
      </c>
      <c r="IC86" s="841" t="str">
        <f t="shared" si="693"/>
        <v/>
      </c>
      <c r="ID86" s="351" t="str">
        <f t="shared" si="694"/>
        <v/>
      </c>
      <c r="IE86" s="843" t="str">
        <f t="shared" si="695"/>
        <v/>
      </c>
      <c r="IF86" s="844"/>
      <c r="IG86" s="789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7" t="str">
        <f t="shared" si="837"/>
        <v/>
      </c>
      <c r="IJ86" s="967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6"/>
        <v/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 t="str">
        <f t="shared" si="623"/>
        <v/>
      </c>
      <c r="B87" s="578" t="str">
        <f t="shared" ref="B87:D87" si="863">IFERROR(O242+($A87*-E87),"")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5" t="str">
        <f t="shared" si="864"/>
        <v/>
      </c>
      <c r="L87" s="309"/>
      <c r="M87" s="164" t="str">
        <f t="shared" si="626"/>
        <v/>
      </c>
      <c r="N87" s="575" t="str">
        <f t="shared" si="627"/>
        <v/>
      </c>
      <c r="O87" s="572" t="str">
        <f t="shared" si="628"/>
        <v/>
      </c>
      <c r="P87" s="576" t="str">
        <f t="shared" si="629"/>
        <v/>
      </c>
      <c r="Q87" s="528" t="str">
        <f t="shared" si="71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135"/>
        <v/>
      </c>
      <c r="W87" s="528" t="str">
        <f t="shared" si="848"/>
        <v/>
      </c>
      <c r="X87" s="572" t="str">
        <f t="shared" si="97"/>
        <v/>
      </c>
      <c r="Y87" s="573" t="str">
        <f t="shared" si="841"/>
        <v/>
      </c>
      <c r="Z87" s="575" t="str">
        <f t="shared" si="630"/>
        <v/>
      </c>
      <c r="AA87" s="572" t="str">
        <f t="shared" si="631"/>
        <v/>
      </c>
      <c r="AB87" s="572" t="str">
        <f t="shared" si="632"/>
        <v/>
      </c>
      <c r="AC87" s="579" t="str">
        <f t="shared" si="98"/>
        <v/>
      </c>
      <c r="AD87" s="580" t="str">
        <f t="shared" si="136"/>
        <v/>
      </c>
      <c r="AE87" s="572" t="str">
        <f t="shared" si="99"/>
        <v/>
      </c>
      <c r="AF87" s="576" t="str">
        <f t="shared" si="100"/>
        <v/>
      </c>
      <c r="AG87" s="545" t="str">
        <f t="shared" si="101"/>
        <v/>
      </c>
      <c r="AH87" s="546" t="str">
        <f t="shared" si="102"/>
        <v/>
      </c>
      <c r="AI87" s="528" t="str">
        <f t="shared" si="103"/>
        <v/>
      </c>
      <c r="AJ87" s="529" t="str">
        <f t="shared" si="104"/>
        <v/>
      </c>
      <c r="AK87" s="578" t="str">
        <f t="shared" si="234"/>
        <v/>
      </c>
      <c r="AL87" s="572" t="str">
        <f t="shared" si="105"/>
        <v/>
      </c>
      <c r="AM87" s="577" t="str">
        <f t="shared" si="106"/>
        <v/>
      </c>
      <c r="AN87" s="524" t="str">
        <f t="shared" si="107"/>
        <v/>
      </c>
      <c r="AO87" s="525" t="str">
        <f t="shared" si="590"/>
        <v/>
      </c>
      <c r="AP87" s="528" t="str">
        <f t="shared" si="109"/>
        <v/>
      </c>
      <c r="AQ87" s="529" t="str">
        <f t="shared" si="633"/>
        <v/>
      </c>
      <c r="AS87" s="899" t="str">
        <f t="shared" si="737"/>
        <v/>
      </c>
      <c r="AT87" s="895" t="str">
        <f t="shared" si="634"/>
        <v/>
      </c>
      <c r="AU87" s="418"/>
      <c r="AV87" s="164" t="str">
        <f t="shared" si="635"/>
        <v/>
      </c>
      <c r="AW87" s="796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34" t="str">
        <f t="shared" si="680"/>
        <v/>
      </c>
      <c r="HN87" s="935" t="str">
        <f t="shared" si="681"/>
        <v/>
      </c>
      <c r="HO87" s="936"/>
      <c r="HP87" s="937"/>
      <c r="HQ87" s="935" t="str">
        <f t="shared" si="682"/>
        <v/>
      </c>
      <c r="HR87" s="938" t="str">
        <f t="shared" si="683"/>
        <v/>
      </c>
      <c r="HS87" s="939" t="str">
        <f t="shared" si="734"/>
        <v/>
      </c>
      <c r="HT87" s="940" t="str">
        <f t="shared" si="684"/>
        <v/>
      </c>
      <c r="HU87" s="941" t="str">
        <f t="shared" si="685"/>
        <v/>
      </c>
      <c r="HV87" s="942" t="str">
        <f t="shared" si="686"/>
        <v/>
      </c>
      <c r="HW87" s="943" t="str">
        <f t="shared" si="687"/>
        <v/>
      </c>
      <c r="HX87" s="944" t="str">
        <f t="shared" si="688"/>
        <v/>
      </c>
      <c r="HY87" s="943" t="str">
        <f t="shared" si="689"/>
        <v/>
      </c>
      <c r="HZ87" s="945" t="str">
        <f t="shared" si="690"/>
        <v/>
      </c>
      <c r="IA87" s="946" t="str">
        <f t="shared" si="691"/>
        <v/>
      </c>
      <c r="IB87" s="947" t="str">
        <f t="shared" si="692"/>
        <v/>
      </c>
      <c r="IC87" s="841" t="str">
        <f t="shared" si="693"/>
        <v/>
      </c>
      <c r="ID87" s="351" t="str">
        <f t="shared" si="694"/>
        <v/>
      </c>
      <c r="IE87" s="843" t="str">
        <f t="shared" si="695"/>
        <v/>
      </c>
      <c r="IF87" s="844"/>
      <c r="IG87" s="789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7" t="str">
        <f t="shared" si="837"/>
        <v/>
      </c>
      <c r="IJ87" s="967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6"/>
        <v/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 t="str">
        <f t="shared" si="623"/>
        <v/>
      </c>
      <c r="B88" s="578" t="str">
        <f t="shared" ref="B88:D88" si="865">IFERROR(O243+($A88*-E88),"")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5" t="str">
        <f t="shared" si="866"/>
        <v/>
      </c>
      <c r="L88" s="309"/>
      <c r="M88" s="164" t="str">
        <f t="shared" si="626"/>
        <v/>
      </c>
      <c r="N88" s="575" t="str">
        <f t="shared" si="627"/>
        <v/>
      </c>
      <c r="O88" s="572" t="str">
        <f t="shared" si="628"/>
        <v/>
      </c>
      <c r="P88" s="576" t="str">
        <f t="shared" si="629"/>
        <v/>
      </c>
      <c r="Q88" s="528" t="str">
        <f t="shared" si="71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135"/>
        <v/>
      </c>
      <c r="W88" s="528" t="str">
        <f t="shared" si="848"/>
        <v/>
      </c>
      <c r="X88" s="572" t="str">
        <f t="shared" si="97"/>
        <v/>
      </c>
      <c r="Y88" s="573" t="str">
        <f t="shared" si="841"/>
        <v/>
      </c>
      <c r="Z88" s="575" t="str">
        <f t="shared" si="630"/>
        <v/>
      </c>
      <c r="AA88" s="572" t="str">
        <f t="shared" si="631"/>
        <v/>
      </c>
      <c r="AB88" s="572" t="str">
        <f t="shared" si="632"/>
        <v/>
      </c>
      <c r="AC88" s="579" t="str">
        <f t="shared" si="98"/>
        <v/>
      </c>
      <c r="AD88" s="580" t="str">
        <f t="shared" si="136"/>
        <v/>
      </c>
      <c r="AE88" s="572" t="str">
        <f t="shared" si="99"/>
        <v/>
      </c>
      <c r="AF88" s="576" t="str">
        <f t="shared" si="100"/>
        <v/>
      </c>
      <c r="AG88" s="545" t="str">
        <f t="shared" si="101"/>
        <v/>
      </c>
      <c r="AH88" s="546" t="str">
        <f t="shared" si="102"/>
        <v/>
      </c>
      <c r="AI88" s="528" t="str">
        <f t="shared" si="103"/>
        <v/>
      </c>
      <c r="AJ88" s="529" t="str">
        <f t="shared" si="104"/>
        <v/>
      </c>
      <c r="AK88" s="578" t="str">
        <f t="shared" si="234"/>
        <v/>
      </c>
      <c r="AL88" s="572" t="str">
        <f t="shared" si="105"/>
        <v/>
      </c>
      <c r="AM88" s="577" t="str">
        <f t="shared" si="106"/>
        <v/>
      </c>
      <c r="AN88" s="524" t="str">
        <f t="shared" si="107"/>
        <v/>
      </c>
      <c r="AO88" s="525" t="str">
        <f t="shared" si="590"/>
        <v/>
      </c>
      <c r="AP88" s="528" t="str">
        <f t="shared" si="109"/>
        <v/>
      </c>
      <c r="AQ88" s="529" t="str">
        <f t="shared" si="633"/>
        <v/>
      </c>
      <c r="AS88" s="899" t="str">
        <f t="shared" si="737"/>
        <v/>
      </c>
      <c r="AT88" s="895" t="str">
        <f t="shared" si="634"/>
        <v/>
      </c>
      <c r="AU88" s="418"/>
      <c r="AV88" s="164" t="str">
        <f t="shared" si="635"/>
        <v/>
      </c>
      <c r="AW88" s="796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34" t="str">
        <f t="shared" si="680"/>
        <v/>
      </c>
      <c r="HN88" s="935" t="str">
        <f t="shared" si="681"/>
        <v/>
      </c>
      <c r="HO88" s="936"/>
      <c r="HP88" s="937"/>
      <c r="HQ88" s="935" t="str">
        <f t="shared" si="682"/>
        <v/>
      </c>
      <c r="HR88" s="938" t="str">
        <f t="shared" si="683"/>
        <v/>
      </c>
      <c r="HS88" s="939" t="str">
        <f t="shared" si="734"/>
        <v/>
      </c>
      <c r="HT88" s="940" t="str">
        <f t="shared" si="684"/>
        <v/>
      </c>
      <c r="HU88" s="941" t="str">
        <f t="shared" si="685"/>
        <v/>
      </c>
      <c r="HV88" s="942" t="str">
        <f t="shared" si="686"/>
        <v/>
      </c>
      <c r="HW88" s="943" t="str">
        <f t="shared" si="687"/>
        <v/>
      </c>
      <c r="HX88" s="944" t="str">
        <f t="shared" si="688"/>
        <v/>
      </c>
      <c r="HY88" s="943" t="str">
        <f t="shared" si="689"/>
        <v/>
      </c>
      <c r="HZ88" s="945" t="str">
        <f t="shared" si="690"/>
        <v/>
      </c>
      <c r="IA88" s="946" t="str">
        <f t="shared" si="691"/>
        <v/>
      </c>
      <c r="IB88" s="947" t="str">
        <f t="shared" si="692"/>
        <v/>
      </c>
      <c r="IC88" s="841" t="str">
        <f t="shared" si="693"/>
        <v/>
      </c>
      <c r="ID88" s="351" t="str">
        <f t="shared" si="694"/>
        <v/>
      </c>
      <c r="IE88" s="843" t="str">
        <f t="shared" si="695"/>
        <v/>
      </c>
      <c r="IF88" s="844"/>
      <c r="IG88" s="789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7" t="str">
        <f t="shared" si="837"/>
        <v/>
      </c>
      <c r="IJ88" s="967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6"/>
        <v/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 t="str">
        <f t="shared" si="623"/>
        <v/>
      </c>
      <c r="B89" s="578" t="str">
        <f t="shared" ref="B89:D89" si="867">IFERROR(O244+($A89*-E89),"")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5" t="str">
        <f t="shared" si="868"/>
        <v/>
      </c>
      <c r="L89" s="309"/>
      <c r="M89" s="164" t="str">
        <f t="shared" si="626"/>
        <v/>
      </c>
      <c r="N89" s="575" t="str">
        <f t="shared" si="627"/>
        <v/>
      </c>
      <c r="O89" s="572" t="str">
        <f t="shared" si="628"/>
        <v/>
      </c>
      <c r="P89" s="576" t="str">
        <f t="shared" si="629"/>
        <v/>
      </c>
      <c r="Q89" s="528" t="str">
        <f t="shared" si="71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135"/>
        <v/>
      </c>
      <c r="W89" s="528" t="str">
        <f t="shared" si="848"/>
        <v/>
      </c>
      <c r="X89" s="572" t="str">
        <f t="shared" si="97"/>
        <v/>
      </c>
      <c r="Y89" s="573" t="str">
        <f t="shared" si="841"/>
        <v/>
      </c>
      <c r="Z89" s="575" t="str">
        <f t="shared" si="630"/>
        <v/>
      </c>
      <c r="AA89" s="572" t="str">
        <f t="shared" si="631"/>
        <v/>
      </c>
      <c r="AB89" s="572" t="str">
        <f t="shared" si="632"/>
        <v/>
      </c>
      <c r="AC89" s="579" t="str">
        <f t="shared" si="98"/>
        <v/>
      </c>
      <c r="AD89" s="580" t="str">
        <f t="shared" si="136"/>
        <v/>
      </c>
      <c r="AE89" s="572" t="str">
        <f t="shared" si="99"/>
        <v/>
      </c>
      <c r="AF89" s="576" t="str">
        <f t="shared" si="100"/>
        <v/>
      </c>
      <c r="AG89" s="545" t="str">
        <f t="shared" si="101"/>
        <v/>
      </c>
      <c r="AH89" s="546" t="str">
        <f t="shared" si="102"/>
        <v/>
      </c>
      <c r="AI89" s="528" t="str">
        <f t="shared" si="103"/>
        <v/>
      </c>
      <c r="AJ89" s="529" t="str">
        <f t="shared" si="104"/>
        <v/>
      </c>
      <c r="AK89" s="578" t="str">
        <f t="shared" si="234"/>
        <v/>
      </c>
      <c r="AL89" s="572" t="str">
        <f t="shared" si="105"/>
        <v/>
      </c>
      <c r="AM89" s="577" t="str">
        <f t="shared" si="106"/>
        <v/>
      </c>
      <c r="AN89" s="524" t="str">
        <f t="shared" si="107"/>
        <v/>
      </c>
      <c r="AO89" s="525" t="str">
        <f t="shared" si="590"/>
        <v/>
      </c>
      <c r="AP89" s="528" t="str">
        <f t="shared" si="109"/>
        <v/>
      </c>
      <c r="AQ89" s="529" t="str">
        <f t="shared" si="633"/>
        <v/>
      </c>
      <c r="AS89" s="899" t="str">
        <f t="shared" si="737"/>
        <v/>
      </c>
      <c r="AT89" s="895" t="str">
        <f t="shared" si="634"/>
        <v/>
      </c>
      <c r="AU89" s="418"/>
      <c r="AV89" s="164" t="str">
        <f t="shared" si="635"/>
        <v/>
      </c>
      <c r="AW89" s="796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34" t="str">
        <f t="shared" si="680"/>
        <v/>
      </c>
      <c r="HN89" s="935" t="str">
        <f t="shared" si="681"/>
        <v/>
      </c>
      <c r="HO89" s="936"/>
      <c r="HP89" s="937"/>
      <c r="HQ89" s="935" t="str">
        <f t="shared" si="682"/>
        <v/>
      </c>
      <c r="HR89" s="938" t="str">
        <f t="shared" si="683"/>
        <v/>
      </c>
      <c r="HS89" s="939" t="str">
        <f t="shared" si="734"/>
        <v/>
      </c>
      <c r="HT89" s="940" t="str">
        <f t="shared" si="684"/>
        <v/>
      </c>
      <c r="HU89" s="941" t="str">
        <f t="shared" si="685"/>
        <v/>
      </c>
      <c r="HV89" s="942" t="str">
        <f t="shared" si="686"/>
        <v/>
      </c>
      <c r="HW89" s="943" t="str">
        <f t="shared" si="687"/>
        <v/>
      </c>
      <c r="HX89" s="944" t="str">
        <f t="shared" si="688"/>
        <v/>
      </c>
      <c r="HY89" s="943" t="str">
        <f t="shared" si="689"/>
        <v/>
      </c>
      <c r="HZ89" s="945" t="str">
        <f t="shared" si="690"/>
        <v/>
      </c>
      <c r="IA89" s="946" t="str">
        <f t="shared" si="691"/>
        <v/>
      </c>
      <c r="IB89" s="947" t="str">
        <f t="shared" si="692"/>
        <v/>
      </c>
      <c r="IC89" s="841" t="str">
        <f t="shared" si="693"/>
        <v/>
      </c>
      <c r="ID89" s="351" t="str">
        <f t="shared" si="694"/>
        <v/>
      </c>
      <c r="IE89" s="843" t="str">
        <f t="shared" si="695"/>
        <v/>
      </c>
      <c r="IF89" s="844"/>
      <c r="IG89" s="789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7" t="str">
        <f t="shared" si="837"/>
        <v/>
      </c>
      <c r="IJ89" s="967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6"/>
        <v/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 t="str">
        <f t="shared" si="623"/>
        <v/>
      </c>
      <c r="B90" s="578" t="str">
        <f t="shared" ref="B90:D90" si="869">IFERROR(O245+($A90*-E90),"")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5" t="str">
        <f t="shared" si="870"/>
        <v/>
      </c>
      <c r="L90" s="309"/>
      <c r="M90" s="164" t="str">
        <f t="shared" si="626"/>
        <v/>
      </c>
      <c r="N90" s="575" t="str">
        <f t="shared" si="627"/>
        <v/>
      </c>
      <c r="O90" s="572" t="str">
        <f t="shared" si="628"/>
        <v/>
      </c>
      <c r="P90" s="576" t="str">
        <f t="shared" si="629"/>
        <v/>
      </c>
      <c r="Q90" s="528" t="str">
        <f t="shared" si="71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135"/>
        <v/>
      </c>
      <c r="W90" s="528" t="str">
        <f t="shared" si="848"/>
        <v/>
      </c>
      <c r="X90" s="572" t="str">
        <f t="shared" si="97"/>
        <v/>
      </c>
      <c r="Y90" s="573" t="str">
        <f t="shared" si="841"/>
        <v/>
      </c>
      <c r="Z90" s="575" t="str">
        <f t="shared" si="630"/>
        <v/>
      </c>
      <c r="AA90" s="572" t="str">
        <f t="shared" si="631"/>
        <v/>
      </c>
      <c r="AB90" s="572" t="str">
        <f t="shared" si="632"/>
        <v/>
      </c>
      <c r="AC90" s="579" t="str">
        <f t="shared" si="98"/>
        <v/>
      </c>
      <c r="AD90" s="580" t="str">
        <f t="shared" si="136"/>
        <v/>
      </c>
      <c r="AE90" s="572" t="str">
        <f t="shared" si="99"/>
        <v/>
      </c>
      <c r="AF90" s="576" t="str">
        <f t="shared" si="100"/>
        <v/>
      </c>
      <c r="AG90" s="545" t="str">
        <f t="shared" si="101"/>
        <v/>
      </c>
      <c r="AH90" s="546" t="str">
        <f t="shared" si="102"/>
        <v/>
      </c>
      <c r="AI90" s="528" t="str">
        <f t="shared" si="103"/>
        <v/>
      </c>
      <c r="AJ90" s="529" t="str">
        <f t="shared" si="104"/>
        <v/>
      </c>
      <c r="AK90" s="578" t="str">
        <f t="shared" si="234"/>
        <v/>
      </c>
      <c r="AL90" s="572" t="str">
        <f t="shared" si="105"/>
        <v/>
      </c>
      <c r="AM90" s="577" t="str">
        <f t="shared" si="106"/>
        <v/>
      </c>
      <c r="AN90" s="524" t="str">
        <f t="shared" si="107"/>
        <v/>
      </c>
      <c r="AO90" s="525" t="str">
        <f t="shared" si="590"/>
        <v/>
      </c>
      <c r="AP90" s="528" t="str">
        <f t="shared" si="109"/>
        <v/>
      </c>
      <c r="AQ90" s="529" t="str">
        <f t="shared" si="633"/>
        <v/>
      </c>
      <c r="AS90" s="899" t="str">
        <f t="shared" si="737"/>
        <v/>
      </c>
      <c r="AT90" s="895" t="str">
        <f t="shared" si="634"/>
        <v/>
      </c>
      <c r="AU90" s="418"/>
      <c r="AV90" s="164" t="str">
        <f t="shared" si="635"/>
        <v/>
      </c>
      <c r="AW90" s="796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34" t="str">
        <f t="shared" si="680"/>
        <v/>
      </c>
      <c r="HN90" s="935" t="str">
        <f t="shared" si="681"/>
        <v/>
      </c>
      <c r="HO90" s="936"/>
      <c r="HP90" s="937"/>
      <c r="HQ90" s="935" t="str">
        <f t="shared" si="682"/>
        <v/>
      </c>
      <c r="HR90" s="938" t="str">
        <f t="shared" si="683"/>
        <v/>
      </c>
      <c r="HS90" s="939" t="str">
        <f t="shared" si="734"/>
        <v/>
      </c>
      <c r="HT90" s="940" t="str">
        <f t="shared" si="684"/>
        <v/>
      </c>
      <c r="HU90" s="941" t="str">
        <f t="shared" si="685"/>
        <v/>
      </c>
      <c r="HV90" s="942" t="str">
        <f t="shared" si="686"/>
        <v/>
      </c>
      <c r="HW90" s="943" t="str">
        <f t="shared" si="687"/>
        <v/>
      </c>
      <c r="HX90" s="944" t="str">
        <f t="shared" si="688"/>
        <v/>
      </c>
      <c r="HY90" s="943" t="str">
        <f t="shared" si="689"/>
        <v/>
      </c>
      <c r="HZ90" s="945" t="str">
        <f t="shared" si="690"/>
        <v/>
      </c>
      <c r="IA90" s="946" t="str">
        <f t="shared" si="691"/>
        <v/>
      </c>
      <c r="IB90" s="947" t="str">
        <f t="shared" si="692"/>
        <v/>
      </c>
      <c r="IC90" s="841" t="str">
        <f t="shared" si="693"/>
        <v/>
      </c>
      <c r="ID90" s="351" t="str">
        <f t="shared" si="694"/>
        <v/>
      </c>
      <c r="IE90" s="843" t="str">
        <f t="shared" si="695"/>
        <v/>
      </c>
      <c r="IF90" s="844"/>
      <c r="IG90" s="789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7" t="str">
        <f t="shared" si="837"/>
        <v/>
      </c>
      <c r="IJ90" s="967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6"/>
        <v/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 t="str">
        <f t="shared" si="623"/>
        <v/>
      </c>
      <c r="B91" s="578" t="str">
        <f t="shared" ref="B91:D91" si="871">IFERROR(O246+($A91*-E91),"")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5" t="str">
        <f t="shared" si="872"/>
        <v/>
      </c>
      <c r="L91" s="309"/>
      <c r="M91" s="164" t="str">
        <f t="shared" si="626"/>
        <v/>
      </c>
      <c r="N91" s="575" t="str">
        <f t="shared" si="627"/>
        <v/>
      </c>
      <c r="O91" s="572" t="str">
        <f t="shared" si="628"/>
        <v/>
      </c>
      <c r="P91" s="576" t="str">
        <f t="shared" si="629"/>
        <v/>
      </c>
      <c r="Q91" s="528" t="str">
        <f t="shared" si="71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135"/>
        <v/>
      </c>
      <c r="W91" s="528" t="str">
        <f t="shared" si="848"/>
        <v/>
      </c>
      <c r="X91" s="572" t="str">
        <f t="shared" si="97"/>
        <v/>
      </c>
      <c r="Y91" s="573" t="str">
        <f t="shared" si="841"/>
        <v/>
      </c>
      <c r="Z91" s="575" t="str">
        <f t="shared" si="630"/>
        <v/>
      </c>
      <c r="AA91" s="572" t="str">
        <f t="shared" si="631"/>
        <v/>
      </c>
      <c r="AB91" s="572" t="str">
        <f t="shared" si="632"/>
        <v/>
      </c>
      <c r="AC91" s="579" t="str">
        <f t="shared" si="98"/>
        <v/>
      </c>
      <c r="AD91" s="580" t="str">
        <f t="shared" si="136"/>
        <v/>
      </c>
      <c r="AE91" s="572" t="str">
        <f t="shared" si="99"/>
        <v/>
      </c>
      <c r="AF91" s="576" t="str">
        <f t="shared" si="100"/>
        <v/>
      </c>
      <c r="AG91" s="545" t="str">
        <f t="shared" si="101"/>
        <v/>
      </c>
      <c r="AH91" s="546" t="str">
        <f t="shared" si="102"/>
        <v/>
      </c>
      <c r="AI91" s="528" t="str">
        <f t="shared" si="103"/>
        <v/>
      </c>
      <c r="AJ91" s="529" t="str">
        <f t="shared" si="104"/>
        <v/>
      </c>
      <c r="AK91" s="578" t="str">
        <f t="shared" si="234"/>
        <v/>
      </c>
      <c r="AL91" s="572" t="str">
        <f t="shared" si="105"/>
        <v/>
      </c>
      <c r="AM91" s="577" t="str">
        <f t="shared" si="106"/>
        <v/>
      </c>
      <c r="AN91" s="524" t="str">
        <f t="shared" si="107"/>
        <v/>
      </c>
      <c r="AO91" s="525" t="str">
        <f t="shared" si="590"/>
        <v/>
      </c>
      <c r="AP91" s="528" t="str">
        <f t="shared" si="109"/>
        <v/>
      </c>
      <c r="AQ91" s="529" t="str">
        <f t="shared" si="633"/>
        <v/>
      </c>
      <c r="AS91" s="899" t="str">
        <f t="shared" si="737"/>
        <v/>
      </c>
      <c r="AT91" s="895" t="str">
        <f t="shared" si="634"/>
        <v/>
      </c>
      <c r="AU91" s="418"/>
      <c r="AV91" s="164" t="str">
        <f t="shared" si="635"/>
        <v/>
      </c>
      <c r="AW91" s="796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34" t="str">
        <f t="shared" si="680"/>
        <v/>
      </c>
      <c r="HN91" s="935" t="str">
        <f t="shared" si="681"/>
        <v/>
      </c>
      <c r="HO91" s="936"/>
      <c r="HP91" s="937"/>
      <c r="HQ91" s="935" t="str">
        <f t="shared" si="682"/>
        <v/>
      </c>
      <c r="HR91" s="938" t="str">
        <f t="shared" si="683"/>
        <v/>
      </c>
      <c r="HS91" s="939" t="str">
        <f t="shared" si="734"/>
        <v/>
      </c>
      <c r="HT91" s="940" t="str">
        <f t="shared" si="684"/>
        <v/>
      </c>
      <c r="HU91" s="941" t="str">
        <f t="shared" si="685"/>
        <v/>
      </c>
      <c r="HV91" s="942" t="str">
        <f t="shared" si="686"/>
        <v/>
      </c>
      <c r="HW91" s="943" t="str">
        <f t="shared" si="687"/>
        <v/>
      </c>
      <c r="HX91" s="944" t="str">
        <f t="shared" si="688"/>
        <v/>
      </c>
      <c r="HY91" s="943" t="str">
        <f t="shared" si="689"/>
        <v/>
      </c>
      <c r="HZ91" s="945" t="str">
        <f t="shared" si="690"/>
        <v/>
      </c>
      <c r="IA91" s="946" t="str">
        <f t="shared" si="691"/>
        <v/>
      </c>
      <c r="IB91" s="947" t="str">
        <f t="shared" si="692"/>
        <v/>
      </c>
      <c r="IC91" s="841" t="str">
        <f t="shared" si="693"/>
        <v/>
      </c>
      <c r="ID91" s="351" t="str">
        <f t="shared" si="694"/>
        <v/>
      </c>
      <c r="IE91" s="843" t="str">
        <f t="shared" si="695"/>
        <v/>
      </c>
      <c r="IF91" s="844"/>
      <c r="IG91" s="789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7" t="str">
        <f t="shared" si="837"/>
        <v/>
      </c>
      <c r="IJ91" s="967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6"/>
        <v/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 t="str">
        <f t="shared" si="623"/>
        <v/>
      </c>
      <c r="B92" s="578" t="str">
        <f t="shared" ref="B92:D92" si="873">IFERROR(O247+($A92*-E92),"")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5" t="str">
        <f t="shared" si="874"/>
        <v/>
      </c>
      <c r="L92" s="309"/>
      <c r="M92" s="164" t="str">
        <f t="shared" si="626"/>
        <v/>
      </c>
      <c r="N92" s="575" t="str">
        <f t="shared" si="627"/>
        <v/>
      </c>
      <c r="O92" s="572" t="str">
        <f t="shared" si="628"/>
        <v/>
      </c>
      <c r="P92" s="576" t="str">
        <f t="shared" si="629"/>
        <v/>
      </c>
      <c r="Q92" s="528" t="str">
        <f t="shared" si="71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135"/>
        <v/>
      </c>
      <c r="W92" s="528" t="str">
        <f t="shared" si="848"/>
        <v/>
      </c>
      <c r="X92" s="572" t="str">
        <f t="shared" si="97"/>
        <v/>
      </c>
      <c r="Y92" s="573" t="str">
        <f t="shared" si="841"/>
        <v/>
      </c>
      <c r="Z92" s="575" t="str">
        <f t="shared" si="630"/>
        <v/>
      </c>
      <c r="AA92" s="572" t="str">
        <f t="shared" si="631"/>
        <v/>
      </c>
      <c r="AB92" s="572" t="str">
        <f t="shared" si="632"/>
        <v/>
      </c>
      <c r="AC92" s="579" t="str">
        <f t="shared" si="98"/>
        <v/>
      </c>
      <c r="AD92" s="580" t="str">
        <f t="shared" si="136"/>
        <v/>
      </c>
      <c r="AE92" s="572" t="str">
        <f t="shared" si="99"/>
        <v/>
      </c>
      <c r="AF92" s="576" t="str">
        <f t="shared" si="100"/>
        <v/>
      </c>
      <c r="AG92" s="545" t="str">
        <f t="shared" si="101"/>
        <v/>
      </c>
      <c r="AH92" s="546" t="str">
        <f t="shared" si="102"/>
        <v/>
      </c>
      <c r="AI92" s="528" t="str">
        <f t="shared" si="103"/>
        <v/>
      </c>
      <c r="AJ92" s="529" t="str">
        <f t="shared" si="104"/>
        <v/>
      </c>
      <c r="AK92" s="578" t="str">
        <f t="shared" si="234"/>
        <v/>
      </c>
      <c r="AL92" s="572" t="str">
        <f t="shared" si="105"/>
        <v/>
      </c>
      <c r="AM92" s="577" t="str">
        <f t="shared" si="106"/>
        <v/>
      </c>
      <c r="AN92" s="524" t="str">
        <f t="shared" si="107"/>
        <v/>
      </c>
      <c r="AO92" s="525" t="str">
        <f t="shared" si="590"/>
        <v/>
      </c>
      <c r="AP92" s="528" t="str">
        <f t="shared" si="109"/>
        <v/>
      </c>
      <c r="AQ92" s="529" t="str">
        <f t="shared" si="633"/>
        <v/>
      </c>
      <c r="AS92" s="899" t="str">
        <f t="shared" si="737"/>
        <v/>
      </c>
      <c r="AT92" s="895" t="str">
        <f t="shared" si="634"/>
        <v/>
      </c>
      <c r="AU92" s="418"/>
      <c r="AV92" s="164" t="str">
        <f t="shared" si="635"/>
        <v/>
      </c>
      <c r="AW92" s="796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34" t="str">
        <f t="shared" si="680"/>
        <v/>
      </c>
      <c r="HN92" s="935" t="str">
        <f t="shared" si="681"/>
        <v/>
      </c>
      <c r="HO92" s="936"/>
      <c r="HP92" s="937"/>
      <c r="HQ92" s="935" t="str">
        <f t="shared" si="682"/>
        <v/>
      </c>
      <c r="HR92" s="938" t="str">
        <f t="shared" si="683"/>
        <v/>
      </c>
      <c r="HS92" s="939" t="str">
        <f t="shared" si="734"/>
        <v/>
      </c>
      <c r="HT92" s="940" t="str">
        <f t="shared" si="684"/>
        <v/>
      </c>
      <c r="HU92" s="941" t="str">
        <f t="shared" si="685"/>
        <v/>
      </c>
      <c r="HV92" s="942" t="str">
        <f t="shared" si="686"/>
        <v/>
      </c>
      <c r="HW92" s="943" t="str">
        <f t="shared" si="687"/>
        <v/>
      </c>
      <c r="HX92" s="944" t="str">
        <f t="shared" si="688"/>
        <v/>
      </c>
      <c r="HY92" s="943" t="str">
        <f t="shared" si="689"/>
        <v/>
      </c>
      <c r="HZ92" s="945" t="str">
        <f t="shared" si="690"/>
        <v/>
      </c>
      <c r="IA92" s="946" t="str">
        <f t="shared" si="691"/>
        <v/>
      </c>
      <c r="IB92" s="947" t="str">
        <f t="shared" si="692"/>
        <v/>
      </c>
      <c r="IC92" s="841" t="str">
        <f t="shared" si="693"/>
        <v/>
      </c>
      <c r="ID92" s="351" t="str">
        <f t="shared" si="694"/>
        <v/>
      </c>
      <c r="IE92" s="843" t="str">
        <f t="shared" si="695"/>
        <v/>
      </c>
      <c r="IF92" s="844"/>
      <c r="IG92" s="789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7" t="str">
        <f t="shared" si="837"/>
        <v/>
      </c>
      <c r="IJ92" s="967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6"/>
        <v/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 t="str">
        <f t="shared" si="623"/>
        <v/>
      </c>
      <c r="B93" s="578" t="str">
        <f t="shared" ref="B93:D93" si="875">IFERROR(O248+($A93*-E93),"")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5" t="str">
        <f t="shared" si="876"/>
        <v/>
      </c>
      <c r="L93" s="309"/>
      <c r="M93" s="164" t="str">
        <f t="shared" si="626"/>
        <v/>
      </c>
      <c r="N93" s="575" t="str">
        <f t="shared" si="627"/>
        <v/>
      </c>
      <c r="O93" s="572" t="str">
        <f t="shared" si="628"/>
        <v/>
      </c>
      <c r="P93" s="576" t="str">
        <f t="shared" si="629"/>
        <v/>
      </c>
      <c r="Q93" s="528" t="str">
        <f t="shared" si="71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135"/>
        <v/>
      </c>
      <c r="W93" s="528" t="str">
        <f t="shared" si="848"/>
        <v/>
      </c>
      <c r="X93" s="572" t="str">
        <f t="shared" si="97"/>
        <v/>
      </c>
      <c r="Y93" s="573" t="str">
        <f t="shared" si="841"/>
        <v/>
      </c>
      <c r="Z93" s="575" t="str">
        <f t="shared" si="630"/>
        <v/>
      </c>
      <c r="AA93" s="572" t="str">
        <f t="shared" si="631"/>
        <v/>
      </c>
      <c r="AB93" s="572" t="str">
        <f t="shared" si="632"/>
        <v/>
      </c>
      <c r="AC93" s="579" t="str">
        <f t="shared" si="98"/>
        <v/>
      </c>
      <c r="AD93" s="580" t="str">
        <f t="shared" si="136"/>
        <v/>
      </c>
      <c r="AE93" s="572" t="str">
        <f t="shared" si="99"/>
        <v/>
      </c>
      <c r="AF93" s="576" t="str">
        <f t="shared" si="100"/>
        <v/>
      </c>
      <c r="AG93" s="545" t="str">
        <f t="shared" si="101"/>
        <v/>
      </c>
      <c r="AH93" s="546" t="str">
        <f t="shared" si="102"/>
        <v/>
      </c>
      <c r="AI93" s="528" t="str">
        <f t="shared" si="103"/>
        <v/>
      </c>
      <c r="AJ93" s="529" t="str">
        <f t="shared" si="104"/>
        <v/>
      </c>
      <c r="AK93" s="578" t="str">
        <f t="shared" si="234"/>
        <v/>
      </c>
      <c r="AL93" s="572" t="str">
        <f t="shared" si="105"/>
        <v/>
      </c>
      <c r="AM93" s="577" t="str">
        <f t="shared" si="106"/>
        <v/>
      </c>
      <c r="AN93" s="524" t="str">
        <f t="shared" si="107"/>
        <v/>
      </c>
      <c r="AO93" s="525" t="str">
        <f t="shared" si="590"/>
        <v/>
      </c>
      <c r="AP93" s="528" t="str">
        <f t="shared" si="109"/>
        <v/>
      </c>
      <c r="AQ93" s="529" t="str">
        <f t="shared" si="633"/>
        <v/>
      </c>
      <c r="AS93" s="899" t="str">
        <f t="shared" si="737"/>
        <v/>
      </c>
      <c r="AT93" s="895" t="str">
        <f t="shared" si="634"/>
        <v/>
      </c>
      <c r="AU93" s="418"/>
      <c r="AV93" s="164" t="str">
        <f t="shared" si="635"/>
        <v/>
      </c>
      <c r="AW93" s="796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34" t="str">
        <f t="shared" si="680"/>
        <v/>
      </c>
      <c r="HN93" s="935" t="str">
        <f t="shared" si="681"/>
        <v/>
      </c>
      <c r="HO93" s="936"/>
      <c r="HP93" s="937"/>
      <c r="HQ93" s="935" t="str">
        <f t="shared" si="682"/>
        <v/>
      </c>
      <c r="HR93" s="938" t="str">
        <f t="shared" si="683"/>
        <v/>
      </c>
      <c r="HS93" s="939" t="str">
        <f t="shared" si="734"/>
        <v/>
      </c>
      <c r="HT93" s="940" t="str">
        <f t="shared" si="684"/>
        <v/>
      </c>
      <c r="HU93" s="941" t="str">
        <f t="shared" si="685"/>
        <v/>
      </c>
      <c r="HV93" s="942" t="str">
        <f t="shared" si="686"/>
        <v/>
      </c>
      <c r="HW93" s="943" t="str">
        <f t="shared" si="687"/>
        <v/>
      </c>
      <c r="HX93" s="944" t="str">
        <f t="shared" si="688"/>
        <v/>
      </c>
      <c r="HY93" s="943" t="str">
        <f t="shared" si="689"/>
        <v/>
      </c>
      <c r="HZ93" s="945" t="str">
        <f t="shared" si="690"/>
        <v/>
      </c>
      <c r="IA93" s="946" t="str">
        <f t="shared" si="691"/>
        <v/>
      </c>
      <c r="IB93" s="947" t="str">
        <f t="shared" si="692"/>
        <v/>
      </c>
      <c r="IC93" s="841" t="str">
        <f t="shared" si="693"/>
        <v/>
      </c>
      <c r="ID93" s="351" t="str">
        <f t="shared" si="694"/>
        <v/>
      </c>
      <c r="IE93" s="843" t="str">
        <f t="shared" si="695"/>
        <v/>
      </c>
      <c r="IF93" s="844"/>
      <c r="IG93" s="789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7" t="str">
        <f t="shared" si="837"/>
        <v/>
      </c>
      <c r="IJ93" s="967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6"/>
        <v/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 t="str">
        <f t="shared" si="623"/>
        <v/>
      </c>
      <c r="B94" s="578" t="str">
        <f t="shared" ref="B94:D94" si="877">IFERROR(O249+($A94*-E94),"")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5" t="str">
        <f t="shared" si="878"/>
        <v/>
      </c>
      <c r="L94" s="309"/>
      <c r="M94" s="164" t="str">
        <f t="shared" si="626"/>
        <v/>
      </c>
      <c r="N94" s="575" t="str">
        <f t="shared" si="627"/>
        <v/>
      </c>
      <c r="O94" s="572" t="str">
        <f t="shared" si="628"/>
        <v/>
      </c>
      <c r="P94" s="576" t="str">
        <f t="shared" si="629"/>
        <v/>
      </c>
      <c r="Q94" s="528" t="str">
        <f t="shared" si="71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135"/>
        <v/>
      </c>
      <c r="W94" s="528" t="str">
        <f t="shared" si="848"/>
        <v/>
      </c>
      <c r="X94" s="572" t="str">
        <f t="shared" si="97"/>
        <v/>
      </c>
      <c r="Y94" s="573" t="str">
        <f t="shared" si="841"/>
        <v/>
      </c>
      <c r="Z94" s="575" t="str">
        <f t="shared" si="630"/>
        <v/>
      </c>
      <c r="AA94" s="572" t="str">
        <f t="shared" si="631"/>
        <v/>
      </c>
      <c r="AB94" s="572" t="str">
        <f t="shared" si="632"/>
        <v/>
      </c>
      <c r="AC94" s="579" t="str">
        <f t="shared" si="98"/>
        <v/>
      </c>
      <c r="AD94" s="580" t="str">
        <f t="shared" si="136"/>
        <v/>
      </c>
      <c r="AE94" s="572" t="str">
        <f t="shared" si="99"/>
        <v/>
      </c>
      <c r="AF94" s="576" t="str">
        <f t="shared" si="100"/>
        <v/>
      </c>
      <c r="AG94" s="545" t="str">
        <f t="shared" si="101"/>
        <v/>
      </c>
      <c r="AH94" s="546" t="str">
        <f t="shared" si="102"/>
        <v/>
      </c>
      <c r="AI94" s="528" t="str">
        <f t="shared" si="103"/>
        <v/>
      </c>
      <c r="AJ94" s="529" t="str">
        <f t="shared" si="104"/>
        <v/>
      </c>
      <c r="AK94" s="578" t="str">
        <f t="shared" si="234"/>
        <v/>
      </c>
      <c r="AL94" s="572" t="str">
        <f t="shared" si="105"/>
        <v/>
      </c>
      <c r="AM94" s="577" t="str">
        <f t="shared" si="106"/>
        <v/>
      </c>
      <c r="AN94" s="524" t="str">
        <f t="shared" si="107"/>
        <v/>
      </c>
      <c r="AO94" s="525" t="str">
        <f t="shared" si="590"/>
        <v/>
      </c>
      <c r="AP94" s="528" t="str">
        <f t="shared" si="109"/>
        <v/>
      </c>
      <c r="AQ94" s="529" t="str">
        <f t="shared" si="633"/>
        <v/>
      </c>
      <c r="AS94" s="899" t="str">
        <f t="shared" si="737"/>
        <v/>
      </c>
      <c r="AT94" s="895" t="str">
        <f t="shared" si="634"/>
        <v/>
      </c>
      <c r="AU94" s="418"/>
      <c r="AV94" s="164" t="str">
        <f t="shared" si="635"/>
        <v/>
      </c>
      <c r="AW94" s="796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34" t="str">
        <f t="shared" si="680"/>
        <v/>
      </c>
      <c r="HN94" s="935" t="str">
        <f t="shared" si="681"/>
        <v/>
      </c>
      <c r="HO94" s="936"/>
      <c r="HP94" s="937"/>
      <c r="HQ94" s="935" t="str">
        <f t="shared" si="682"/>
        <v/>
      </c>
      <c r="HR94" s="938" t="str">
        <f t="shared" si="683"/>
        <v/>
      </c>
      <c r="HS94" s="939" t="str">
        <f t="shared" si="734"/>
        <v/>
      </c>
      <c r="HT94" s="940" t="str">
        <f t="shared" si="684"/>
        <v/>
      </c>
      <c r="HU94" s="941" t="str">
        <f t="shared" si="685"/>
        <v/>
      </c>
      <c r="HV94" s="942" t="str">
        <f t="shared" si="686"/>
        <v/>
      </c>
      <c r="HW94" s="943" t="str">
        <f t="shared" si="687"/>
        <v/>
      </c>
      <c r="HX94" s="944" t="str">
        <f t="shared" si="688"/>
        <v/>
      </c>
      <c r="HY94" s="943" t="str">
        <f t="shared" si="689"/>
        <v/>
      </c>
      <c r="HZ94" s="945" t="str">
        <f t="shared" si="690"/>
        <v/>
      </c>
      <c r="IA94" s="946" t="str">
        <f t="shared" si="691"/>
        <v/>
      </c>
      <c r="IB94" s="947" t="str">
        <f t="shared" si="692"/>
        <v/>
      </c>
      <c r="IC94" s="841" t="str">
        <f t="shared" si="693"/>
        <v/>
      </c>
      <c r="ID94" s="351" t="str">
        <f t="shared" si="694"/>
        <v/>
      </c>
      <c r="IE94" s="843" t="str">
        <f t="shared" si="695"/>
        <v/>
      </c>
      <c r="IF94" s="844"/>
      <c r="IG94" s="789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7" t="str">
        <f t="shared" si="837"/>
        <v/>
      </c>
      <c r="IJ94" s="967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6"/>
        <v/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 t="str">
        <f t="shared" si="623"/>
        <v/>
      </c>
      <c r="B95" s="578" t="str">
        <f t="shared" ref="B95:D95" si="879">IFERROR(O250+($A95*-E95),"")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5" t="str">
        <f t="shared" si="880"/>
        <v/>
      </c>
      <c r="L95" s="309"/>
      <c r="M95" s="164" t="str">
        <f t="shared" si="626"/>
        <v/>
      </c>
      <c r="N95" s="575" t="str">
        <f t="shared" si="627"/>
        <v/>
      </c>
      <c r="O95" s="572" t="str">
        <f t="shared" si="628"/>
        <v/>
      </c>
      <c r="P95" s="576" t="str">
        <f t="shared" si="629"/>
        <v/>
      </c>
      <c r="Q95" s="528" t="str">
        <f t="shared" si="71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135"/>
        <v/>
      </c>
      <c r="W95" s="528" t="str">
        <f t="shared" si="848"/>
        <v/>
      </c>
      <c r="X95" s="572" t="str">
        <f t="shared" si="97"/>
        <v/>
      </c>
      <c r="Y95" s="573" t="str">
        <f t="shared" si="841"/>
        <v/>
      </c>
      <c r="Z95" s="575" t="str">
        <f t="shared" si="630"/>
        <v/>
      </c>
      <c r="AA95" s="572" t="str">
        <f t="shared" si="631"/>
        <v/>
      </c>
      <c r="AB95" s="572" t="str">
        <f t="shared" si="632"/>
        <v/>
      </c>
      <c r="AC95" s="579" t="str">
        <f t="shared" si="98"/>
        <v/>
      </c>
      <c r="AD95" s="580" t="str">
        <f t="shared" si="136"/>
        <v/>
      </c>
      <c r="AE95" s="572" t="str">
        <f t="shared" si="99"/>
        <v/>
      </c>
      <c r="AF95" s="576" t="str">
        <f t="shared" si="100"/>
        <v/>
      </c>
      <c r="AG95" s="545" t="str">
        <f t="shared" si="101"/>
        <v/>
      </c>
      <c r="AH95" s="546" t="str">
        <f t="shared" si="102"/>
        <v/>
      </c>
      <c r="AI95" s="528" t="str">
        <f t="shared" si="103"/>
        <v/>
      </c>
      <c r="AJ95" s="529" t="str">
        <f t="shared" si="104"/>
        <v/>
      </c>
      <c r="AK95" s="578" t="str">
        <f t="shared" si="234"/>
        <v/>
      </c>
      <c r="AL95" s="572" t="str">
        <f t="shared" si="105"/>
        <v/>
      </c>
      <c r="AM95" s="577" t="str">
        <f t="shared" si="106"/>
        <v/>
      </c>
      <c r="AN95" s="524" t="str">
        <f t="shared" si="107"/>
        <v/>
      </c>
      <c r="AO95" s="525" t="str">
        <f t="shared" si="590"/>
        <v/>
      </c>
      <c r="AP95" s="528" t="str">
        <f t="shared" si="109"/>
        <v/>
      </c>
      <c r="AQ95" s="529" t="str">
        <f t="shared" si="633"/>
        <v/>
      </c>
      <c r="AS95" s="899" t="str">
        <f t="shared" si="737"/>
        <v/>
      </c>
      <c r="AT95" s="895" t="str">
        <f t="shared" si="634"/>
        <v/>
      </c>
      <c r="AU95" s="418"/>
      <c r="AV95" s="164" t="str">
        <f t="shared" si="635"/>
        <v/>
      </c>
      <c r="AW95" s="796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34" t="str">
        <f t="shared" si="680"/>
        <v/>
      </c>
      <c r="HN95" s="935" t="str">
        <f t="shared" si="681"/>
        <v/>
      </c>
      <c r="HO95" s="936"/>
      <c r="HP95" s="937"/>
      <c r="HQ95" s="935" t="str">
        <f t="shared" si="682"/>
        <v/>
      </c>
      <c r="HR95" s="938" t="str">
        <f t="shared" si="683"/>
        <v/>
      </c>
      <c r="HS95" s="939" t="str">
        <f t="shared" si="734"/>
        <v/>
      </c>
      <c r="HT95" s="940" t="str">
        <f t="shared" si="684"/>
        <v/>
      </c>
      <c r="HU95" s="941" t="str">
        <f t="shared" si="685"/>
        <v/>
      </c>
      <c r="HV95" s="942" t="str">
        <f t="shared" si="686"/>
        <v/>
      </c>
      <c r="HW95" s="943" t="str">
        <f t="shared" si="687"/>
        <v/>
      </c>
      <c r="HX95" s="944" t="str">
        <f t="shared" si="688"/>
        <v/>
      </c>
      <c r="HY95" s="943" t="str">
        <f t="shared" si="689"/>
        <v/>
      </c>
      <c r="HZ95" s="945" t="str">
        <f t="shared" si="690"/>
        <v/>
      </c>
      <c r="IA95" s="946" t="str">
        <f t="shared" si="691"/>
        <v/>
      </c>
      <c r="IB95" s="947" t="str">
        <f t="shared" si="692"/>
        <v/>
      </c>
      <c r="IC95" s="841" t="str">
        <f t="shared" si="693"/>
        <v/>
      </c>
      <c r="ID95" s="351" t="str">
        <f t="shared" si="694"/>
        <v/>
      </c>
      <c r="IE95" s="843" t="str">
        <f t="shared" si="695"/>
        <v/>
      </c>
      <c r="IF95" s="844"/>
      <c r="IG95" s="789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7" t="str">
        <f t="shared" si="837"/>
        <v/>
      </c>
      <c r="IJ95" s="967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6"/>
        <v/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 t="str">
        <f t="shared" si="623"/>
        <v/>
      </c>
      <c r="B96" s="578" t="str">
        <f t="shared" ref="B96:D96" si="881">IFERROR(O251+($A96*-E96),"")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5" t="str">
        <f t="shared" si="882"/>
        <v/>
      </c>
      <c r="L96" s="309"/>
      <c r="M96" s="164" t="str">
        <f t="shared" si="626"/>
        <v/>
      </c>
      <c r="N96" s="575" t="str">
        <f t="shared" si="627"/>
        <v/>
      </c>
      <c r="O96" s="572" t="str">
        <f t="shared" si="628"/>
        <v/>
      </c>
      <c r="P96" s="576" t="str">
        <f t="shared" si="629"/>
        <v/>
      </c>
      <c r="Q96" s="528" t="str">
        <f t="shared" si="71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135"/>
        <v/>
      </c>
      <c r="W96" s="528" t="str">
        <f t="shared" si="848"/>
        <v/>
      </c>
      <c r="X96" s="572" t="str">
        <f t="shared" si="97"/>
        <v/>
      </c>
      <c r="Y96" s="573" t="str">
        <f t="shared" si="841"/>
        <v/>
      </c>
      <c r="Z96" s="575" t="str">
        <f t="shared" si="630"/>
        <v/>
      </c>
      <c r="AA96" s="572" t="str">
        <f t="shared" si="631"/>
        <v/>
      </c>
      <c r="AB96" s="572" t="str">
        <f t="shared" si="632"/>
        <v/>
      </c>
      <c r="AC96" s="579" t="str">
        <f t="shared" si="98"/>
        <v/>
      </c>
      <c r="AD96" s="580" t="str">
        <f t="shared" si="136"/>
        <v/>
      </c>
      <c r="AE96" s="572" t="str">
        <f t="shared" si="99"/>
        <v/>
      </c>
      <c r="AF96" s="576" t="str">
        <f t="shared" si="100"/>
        <v/>
      </c>
      <c r="AG96" s="545" t="str">
        <f t="shared" si="101"/>
        <v/>
      </c>
      <c r="AH96" s="546" t="str">
        <f t="shared" si="102"/>
        <v/>
      </c>
      <c r="AI96" s="528" t="str">
        <f t="shared" si="103"/>
        <v/>
      </c>
      <c r="AJ96" s="529" t="str">
        <f t="shared" si="104"/>
        <v/>
      </c>
      <c r="AK96" s="578" t="str">
        <f t="shared" si="234"/>
        <v/>
      </c>
      <c r="AL96" s="572" t="str">
        <f t="shared" si="105"/>
        <v/>
      </c>
      <c r="AM96" s="577" t="str">
        <f t="shared" si="106"/>
        <v/>
      </c>
      <c r="AN96" s="524" t="str">
        <f t="shared" si="107"/>
        <v/>
      </c>
      <c r="AO96" s="525" t="str">
        <f t="shared" si="590"/>
        <v/>
      </c>
      <c r="AP96" s="528" t="str">
        <f t="shared" si="109"/>
        <v/>
      </c>
      <c r="AQ96" s="529" t="str">
        <f t="shared" si="633"/>
        <v/>
      </c>
      <c r="AS96" s="899" t="str">
        <f t="shared" si="737"/>
        <v/>
      </c>
      <c r="AT96" s="895" t="str">
        <f t="shared" si="634"/>
        <v/>
      </c>
      <c r="AU96" s="418"/>
      <c r="AV96" s="164" t="str">
        <f t="shared" si="635"/>
        <v/>
      </c>
      <c r="AW96" s="796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34" t="str">
        <f t="shared" si="680"/>
        <v/>
      </c>
      <c r="HN96" s="935" t="str">
        <f t="shared" si="681"/>
        <v/>
      </c>
      <c r="HO96" s="936"/>
      <c r="HP96" s="937"/>
      <c r="HQ96" s="935" t="str">
        <f t="shared" si="682"/>
        <v/>
      </c>
      <c r="HR96" s="938" t="str">
        <f t="shared" si="683"/>
        <v/>
      </c>
      <c r="HS96" s="939" t="str">
        <f t="shared" si="734"/>
        <v/>
      </c>
      <c r="HT96" s="940" t="str">
        <f t="shared" si="684"/>
        <v/>
      </c>
      <c r="HU96" s="941" t="str">
        <f t="shared" si="685"/>
        <v/>
      </c>
      <c r="HV96" s="942" t="str">
        <f t="shared" si="686"/>
        <v/>
      </c>
      <c r="HW96" s="943" t="str">
        <f t="shared" si="687"/>
        <v/>
      </c>
      <c r="HX96" s="944" t="str">
        <f t="shared" si="688"/>
        <v/>
      </c>
      <c r="HY96" s="943" t="str">
        <f t="shared" si="689"/>
        <v/>
      </c>
      <c r="HZ96" s="945" t="str">
        <f t="shared" si="690"/>
        <v/>
      </c>
      <c r="IA96" s="946" t="str">
        <f t="shared" si="691"/>
        <v/>
      </c>
      <c r="IB96" s="947" t="str">
        <f t="shared" si="692"/>
        <v/>
      </c>
      <c r="IC96" s="841" t="str">
        <f t="shared" si="693"/>
        <v/>
      </c>
      <c r="ID96" s="351" t="str">
        <f t="shared" si="694"/>
        <v/>
      </c>
      <c r="IE96" s="843" t="str">
        <f t="shared" si="695"/>
        <v/>
      </c>
      <c r="IF96" s="844"/>
      <c r="IG96" s="789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7" t="str">
        <f t="shared" si="837"/>
        <v/>
      </c>
      <c r="IJ96" s="967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6"/>
        <v/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 t="str">
        <f t="shared" si="623"/>
        <v/>
      </c>
      <c r="B97" s="578" t="str">
        <f t="shared" ref="B97:D97" si="883">IFERROR(O252+($A97*-E97),"")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5" t="str">
        <f t="shared" si="884"/>
        <v/>
      </c>
      <c r="L97" s="309"/>
      <c r="M97" s="164" t="str">
        <f t="shared" si="626"/>
        <v/>
      </c>
      <c r="N97" s="575" t="str">
        <f t="shared" si="627"/>
        <v/>
      </c>
      <c r="O97" s="572" t="str">
        <f t="shared" si="628"/>
        <v/>
      </c>
      <c r="P97" s="576" t="str">
        <f t="shared" si="629"/>
        <v/>
      </c>
      <c r="Q97" s="528" t="str">
        <f t="shared" si="71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135"/>
        <v/>
      </c>
      <c r="W97" s="528" t="str">
        <f t="shared" si="848"/>
        <v/>
      </c>
      <c r="X97" s="572" t="str">
        <f t="shared" si="97"/>
        <v/>
      </c>
      <c r="Y97" s="573" t="str">
        <f t="shared" si="841"/>
        <v/>
      </c>
      <c r="Z97" s="575" t="str">
        <f t="shared" si="630"/>
        <v/>
      </c>
      <c r="AA97" s="572" t="str">
        <f t="shared" si="631"/>
        <v/>
      </c>
      <c r="AB97" s="572" t="str">
        <f t="shared" si="632"/>
        <v/>
      </c>
      <c r="AC97" s="579" t="str">
        <f t="shared" si="98"/>
        <v/>
      </c>
      <c r="AD97" s="580" t="str">
        <f t="shared" si="136"/>
        <v/>
      </c>
      <c r="AE97" s="572" t="str">
        <f t="shared" si="99"/>
        <v/>
      </c>
      <c r="AF97" s="576" t="str">
        <f t="shared" si="100"/>
        <v/>
      </c>
      <c r="AG97" s="545" t="str">
        <f t="shared" si="101"/>
        <v/>
      </c>
      <c r="AH97" s="546" t="str">
        <f t="shared" si="102"/>
        <v/>
      </c>
      <c r="AI97" s="528" t="str">
        <f t="shared" si="103"/>
        <v/>
      </c>
      <c r="AJ97" s="529" t="str">
        <f t="shared" si="104"/>
        <v/>
      </c>
      <c r="AK97" s="578" t="str">
        <f t="shared" si="234"/>
        <v/>
      </c>
      <c r="AL97" s="572" t="str">
        <f t="shared" si="105"/>
        <v/>
      </c>
      <c r="AM97" s="577" t="str">
        <f t="shared" si="106"/>
        <v/>
      </c>
      <c r="AN97" s="524" t="str">
        <f t="shared" si="107"/>
        <v/>
      </c>
      <c r="AO97" s="525" t="str">
        <f t="shared" si="590"/>
        <v/>
      </c>
      <c r="AP97" s="528" t="str">
        <f t="shared" si="109"/>
        <v/>
      </c>
      <c r="AQ97" s="529" t="str">
        <f t="shared" si="633"/>
        <v/>
      </c>
      <c r="AS97" s="899" t="str">
        <f t="shared" si="737"/>
        <v/>
      </c>
      <c r="AT97" s="895" t="str">
        <f t="shared" si="634"/>
        <v/>
      </c>
      <c r="AU97" s="418"/>
      <c r="AV97" s="164" t="str">
        <f t="shared" si="635"/>
        <v/>
      </c>
      <c r="AW97" s="796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34" t="str">
        <f t="shared" si="680"/>
        <v/>
      </c>
      <c r="HN97" s="935" t="str">
        <f t="shared" si="681"/>
        <v/>
      </c>
      <c r="HO97" s="936"/>
      <c r="HP97" s="937"/>
      <c r="HQ97" s="935" t="str">
        <f t="shared" si="682"/>
        <v/>
      </c>
      <c r="HR97" s="938" t="str">
        <f t="shared" si="683"/>
        <v/>
      </c>
      <c r="HS97" s="939" t="str">
        <f t="shared" si="734"/>
        <v/>
      </c>
      <c r="HT97" s="940" t="str">
        <f t="shared" si="684"/>
        <v/>
      </c>
      <c r="HU97" s="941" t="str">
        <f t="shared" si="685"/>
        <v/>
      </c>
      <c r="HV97" s="942" t="str">
        <f t="shared" si="686"/>
        <v/>
      </c>
      <c r="HW97" s="943" t="str">
        <f t="shared" si="687"/>
        <v/>
      </c>
      <c r="HX97" s="944" t="str">
        <f t="shared" si="688"/>
        <v/>
      </c>
      <c r="HY97" s="943" t="str">
        <f t="shared" si="689"/>
        <v/>
      </c>
      <c r="HZ97" s="945" t="str">
        <f t="shared" si="690"/>
        <v/>
      </c>
      <c r="IA97" s="946" t="str">
        <f t="shared" si="691"/>
        <v/>
      </c>
      <c r="IB97" s="947" t="str">
        <f t="shared" si="692"/>
        <v/>
      </c>
      <c r="IC97" s="841" t="str">
        <f t="shared" si="693"/>
        <v/>
      </c>
      <c r="ID97" s="351" t="str">
        <f t="shared" si="694"/>
        <v/>
      </c>
      <c r="IE97" s="843" t="str">
        <f t="shared" si="695"/>
        <v/>
      </c>
      <c r="IF97" s="844"/>
      <c r="IG97" s="789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7" t="str">
        <f t="shared" si="837"/>
        <v/>
      </c>
      <c r="IJ97" s="967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6"/>
        <v/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 t="str">
        <f t="shared" si="623"/>
        <v/>
      </c>
      <c r="B98" s="578" t="str">
        <f t="shared" ref="B98:D98" si="885">IFERROR(O253+($A98*-E98),"")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5" t="str">
        <f t="shared" si="886"/>
        <v/>
      </c>
      <c r="L98" s="309"/>
      <c r="M98" s="164" t="str">
        <f t="shared" si="626"/>
        <v/>
      </c>
      <c r="N98" s="575" t="str">
        <f t="shared" si="627"/>
        <v/>
      </c>
      <c r="O98" s="572" t="str">
        <f t="shared" si="628"/>
        <v/>
      </c>
      <c r="P98" s="576" t="str">
        <f t="shared" si="629"/>
        <v/>
      </c>
      <c r="Q98" s="528" t="str">
        <f t="shared" si="71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135"/>
        <v/>
      </c>
      <c r="W98" s="528" t="str">
        <f t="shared" si="848"/>
        <v/>
      </c>
      <c r="X98" s="572" t="str">
        <f t="shared" si="97"/>
        <v/>
      </c>
      <c r="Y98" s="573" t="str">
        <f t="shared" si="841"/>
        <v/>
      </c>
      <c r="Z98" s="575" t="str">
        <f t="shared" si="630"/>
        <v/>
      </c>
      <c r="AA98" s="572" t="str">
        <f t="shared" si="631"/>
        <v/>
      </c>
      <c r="AB98" s="572" t="str">
        <f t="shared" si="632"/>
        <v/>
      </c>
      <c r="AC98" s="579" t="str">
        <f t="shared" si="98"/>
        <v/>
      </c>
      <c r="AD98" s="580" t="str">
        <f t="shared" si="136"/>
        <v/>
      </c>
      <c r="AE98" s="572" t="str">
        <f t="shared" si="99"/>
        <v/>
      </c>
      <c r="AF98" s="576" t="str">
        <f t="shared" si="100"/>
        <v/>
      </c>
      <c r="AG98" s="545" t="str">
        <f t="shared" si="101"/>
        <v/>
      </c>
      <c r="AH98" s="546" t="str">
        <f t="shared" si="102"/>
        <v/>
      </c>
      <c r="AI98" s="528" t="str">
        <f t="shared" si="103"/>
        <v/>
      </c>
      <c r="AJ98" s="529" t="str">
        <f t="shared" si="104"/>
        <v/>
      </c>
      <c r="AK98" s="578" t="str">
        <f t="shared" si="234"/>
        <v/>
      </c>
      <c r="AL98" s="572" t="str">
        <f t="shared" si="105"/>
        <v/>
      </c>
      <c r="AM98" s="577" t="str">
        <f t="shared" si="106"/>
        <v/>
      </c>
      <c r="AN98" s="524" t="str">
        <f t="shared" si="107"/>
        <v/>
      </c>
      <c r="AO98" s="525" t="str">
        <f t="shared" si="590"/>
        <v/>
      </c>
      <c r="AP98" s="528" t="str">
        <f t="shared" si="109"/>
        <v/>
      </c>
      <c r="AQ98" s="529" t="str">
        <f t="shared" si="633"/>
        <v/>
      </c>
      <c r="AS98" s="899" t="str">
        <f t="shared" si="737"/>
        <v/>
      </c>
      <c r="AT98" s="895" t="str">
        <f t="shared" si="634"/>
        <v/>
      </c>
      <c r="AU98" s="418"/>
      <c r="AV98" s="164" t="str">
        <f t="shared" si="635"/>
        <v/>
      </c>
      <c r="AW98" s="796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34" t="str">
        <f t="shared" si="680"/>
        <v/>
      </c>
      <c r="HN98" s="935" t="str">
        <f t="shared" si="681"/>
        <v/>
      </c>
      <c r="HO98" s="936"/>
      <c r="HP98" s="937"/>
      <c r="HQ98" s="935" t="str">
        <f t="shared" si="682"/>
        <v/>
      </c>
      <c r="HR98" s="938" t="str">
        <f t="shared" si="683"/>
        <v/>
      </c>
      <c r="HS98" s="939" t="str">
        <f t="shared" si="734"/>
        <v/>
      </c>
      <c r="HT98" s="940" t="str">
        <f t="shared" si="684"/>
        <v/>
      </c>
      <c r="HU98" s="941" t="str">
        <f t="shared" si="685"/>
        <v/>
      </c>
      <c r="HV98" s="942" t="str">
        <f t="shared" si="686"/>
        <v/>
      </c>
      <c r="HW98" s="943" t="str">
        <f t="shared" si="687"/>
        <v/>
      </c>
      <c r="HX98" s="944" t="str">
        <f t="shared" si="688"/>
        <v/>
      </c>
      <c r="HY98" s="943" t="str">
        <f t="shared" si="689"/>
        <v/>
      </c>
      <c r="HZ98" s="945" t="str">
        <f t="shared" si="690"/>
        <v/>
      </c>
      <c r="IA98" s="946" t="str">
        <f t="shared" si="691"/>
        <v/>
      </c>
      <c r="IB98" s="947" t="str">
        <f t="shared" si="692"/>
        <v/>
      </c>
      <c r="IC98" s="841" t="str">
        <f t="shared" si="693"/>
        <v/>
      </c>
      <c r="ID98" s="351" t="str">
        <f t="shared" si="694"/>
        <v/>
      </c>
      <c r="IE98" s="843" t="str">
        <f t="shared" si="695"/>
        <v/>
      </c>
      <c r="IF98" s="844"/>
      <c r="IG98" s="789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7" t="str">
        <f t="shared" si="837"/>
        <v/>
      </c>
      <c r="IJ98" s="967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6"/>
        <v/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 t="str">
        <f t="shared" si="623"/>
        <v/>
      </c>
      <c r="B99" s="578" t="str">
        <f t="shared" ref="B99:D99" si="887">IFERROR(O254+($A99*-E99),"")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5" t="str">
        <f t="shared" si="888"/>
        <v/>
      </c>
      <c r="L99" s="309"/>
      <c r="M99" s="164" t="str">
        <f t="shared" si="626"/>
        <v/>
      </c>
      <c r="N99" s="575" t="str">
        <f t="shared" si="627"/>
        <v/>
      </c>
      <c r="O99" s="572" t="str">
        <f t="shared" si="628"/>
        <v/>
      </c>
      <c r="P99" s="576" t="str">
        <f t="shared" si="629"/>
        <v/>
      </c>
      <c r="Q99" s="528" t="str">
        <f t="shared" si="71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135"/>
        <v/>
      </c>
      <c r="W99" s="528" t="str">
        <f t="shared" si="848"/>
        <v/>
      </c>
      <c r="X99" s="572" t="str">
        <f t="shared" si="97"/>
        <v/>
      </c>
      <c r="Y99" s="573" t="str">
        <f t="shared" si="841"/>
        <v/>
      </c>
      <c r="Z99" s="575" t="str">
        <f t="shared" si="630"/>
        <v/>
      </c>
      <c r="AA99" s="572" t="str">
        <f t="shared" si="631"/>
        <v/>
      </c>
      <c r="AB99" s="572" t="str">
        <f t="shared" si="632"/>
        <v/>
      </c>
      <c r="AC99" s="579" t="str">
        <f t="shared" si="98"/>
        <v/>
      </c>
      <c r="AD99" s="580" t="str">
        <f t="shared" si="136"/>
        <v/>
      </c>
      <c r="AE99" s="572" t="str">
        <f t="shared" si="99"/>
        <v/>
      </c>
      <c r="AF99" s="576" t="str">
        <f t="shared" si="100"/>
        <v/>
      </c>
      <c r="AG99" s="545" t="str">
        <f t="shared" si="101"/>
        <v/>
      </c>
      <c r="AH99" s="546" t="str">
        <f t="shared" si="102"/>
        <v/>
      </c>
      <c r="AI99" s="528" t="str">
        <f t="shared" si="103"/>
        <v/>
      </c>
      <c r="AJ99" s="529" t="str">
        <f t="shared" si="104"/>
        <v/>
      </c>
      <c r="AK99" s="578" t="str">
        <f t="shared" si="234"/>
        <v/>
      </c>
      <c r="AL99" s="572" t="str">
        <f t="shared" si="105"/>
        <v/>
      </c>
      <c r="AM99" s="577" t="str">
        <f t="shared" si="106"/>
        <v/>
      </c>
      <c r="AN99" s="524" t="str">
        <f t="shared" si="107"/>
        <v/>
      </c>
      <c r="AO99" s="525" t="str">
        <f t="shared" si="590"/>
        <v/>
      </c>
      <c r="AP99" s="528" t="str">
        <f t="shared" si="109"/>
        <v/>
      </c>
      <c r="AQ99" s="529" t="str">
        <f t="shared" si="633"/>
        <v/>
      </c>
      <c r="AS99" s="899" t="str">
        <f t="shared" si="737"/>
        <v/>
      </c>
      <c r="AT99" s="895" t="str">
        <f t="shared" si="634"/>
        <v/>
      </c>
      <c r="AU99" s="418"/>
      <c r="AV99" s="164" t="str">
        <f t="shared" si="635"/>
        <v/>
      </c>
      <c r="AW99" s="796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34" t="str">
        <f t="shared" si="680"/>
        <v/>
      </c>
      <c r="HN99" s="935" t="str">
        <f t="shared" si="681"/>
        <v/>
      </c>
      <c r="HO99" s="936"/>
      <c r="HP99" s="937"/>
      <c r="HQ99" s="935" t="str">
        <f t="shared" si="682"/>
        <v/>
      </c>
      <c r="HR99" s="938" t="str">
        <f t="shared" si="683"/>
        <v/>
      </c>
      <c r="HS99" s="939" t="str">
        <f t="shared" si="734"/>
        <v/>
      </c>
      <c r="HT99" s="940" t="str">
        <f t="shared" si="684"/>
        <v/>
      </c>
      <c r="HU99" s="941" t="str">
        <f t="shared" si="685"/>
        <v/>
      </c>
      <c r="HV99" s="942" t="str">
        <f t="shared" si="686"/>
        <v/>
      </c>
      <c r="HW99" s="943" t="str">
        <f t="shared" si="687"/>
        <v/>
      </c>
      <c r="HX99" s="944" t="str">
        <f t="shared" si="688"/>
        <v/>
      </c>
      <c r="HY99" s="943" t="str">
        <f t="shared" si="689"/>
        <v/>
      </c>
      <c r="HZ99" s="945" t="str">
        <f t="shared" si="690"/>
        <v/>
      </c>
      <c r="IA99" s="946" t="str">
        <f t="shared" si="691"/>
        <v/>
      </c>
      <c r="IB99" s="947" t="str">
        <f t="shared" si="692"/>
        <v/>
      </c>
      <c r="IC99" s="841" t="str">
        <f t="shared" si="693"/>
        <v/>
      </c>
      <c r="ID99" s="351" t="str">
        <f t="shared" si="694"/>
        <v/>
      </c>
      <c r="IE99" s="843" t="str">
        <f t="shared" si="695"/>
        <v/>
      </c>
      <c r="IF99" s="844"/>
      <c r="IG99" s="789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7" t="str">
        <f t="shared" si="837"/>
        <v/>
      </c>
      <c r="IJ99" s="967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6"/>
        <v/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 t="str">
        <f t="shared" si="623"/>
        <v/>
      </c>
      <c r="B100" s="578" t="str">
        <f t="shared" ref="B100:D100" si="889">IFERROR(O255+($A100*-E100),"")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5" t="str">
        <f t="shared" si="890"/>
        <v/>
      </c>
      <c r="L100" s="309"/>
      <c r="M100" s="164" t="str">
        <f t="shared" si="626"/>
        <v/>
      </c>
      <c r="N100" s="575" t="str">
        <f t="shared" si="627"/>
        <v/>
      </c>
      <c r="O100" s="572" t="str">
        <f t="shared" si="628"/>
        <v/>
      </c>
      <c r="P100" s="576" t="str">
        <f t="shared" si="629"/>
        <v/>
      </c>
      <c r="Q100" s="528" t="str">
        <f t="shared" si="71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135"/>
        <v/>
      </c>
      <c r="W100" s="528" t="str">
        <f t="shared" si="848"/>
        <v/>
      </c>
      <c r="X100" s="572" t="str">
        <f t="shared" si="97"/>
        <v/>
      </c>
      <c r="Y100" s="573" t="str">
        <f t="shared" si="841"/>
        <v/>
      </c>
      <c r="Z100" s="575" t="str">
        <f t="shared" si="630"/>
        <v/>
      </c>
      <c r="AA100" s="572" t="str">
        <f t="shared" si="631"/>
        <v/>
      </c>
      <c r="AB100" s="572" t="str">
        <f t="shared" si="632"/>
        <v/>
      </c>
      <c r="AC100" s="579" t="str">
        <f t="shared" si="98"/>
        <v/>
      </c>
      <c r="AD100" s="580" t="str">
        <f t="shared" si="136"/>
        <v/>
      </c>
      <c r="AE100" s="572" t="str">
        <f t="shared" si="99"/>
        <v/>
      </c>
      <c r="AF100" s="576" t="str">
        <f t="shared" si="100"/>
        <v/>
      </c>
      <c r="AG100" s="545" t="str">
        <f t="shared" si="101"/>
        <v/>
      </c>
      <c r="AH100" s="546" t="str">
        <f t="shared" si="102"/>
        <v/>
      </c>
      <c r="AI100" s="528" t="str">
        <f t="shared" si="103"/>
        <v/>
      </c>
      <c r="AJ100" s="529" t="str">
        <f t="shared" si="104"/>
        <v/>
      </c>
      <c r="AK100" s="578" t="str">
        <f t="shared" si="234"/>
        <v/>
      </c>
      <c r="AL100" s="572" t="str">
        <f t="shared" si="105"/>
        <v/>
      </c>
      <c r="AM100" s="577" t="str">
        <f t="shared" si="106"/>
        <v/>
      </c>
      <c r="AN100" s="524" t="str">
        <f t="shared" si="107"/>
        <v/>
      </c>
      <c r="AO100" s="525" t="str">
        <f t="shared" si="590"/>
        <v/>
      </c>
      <c r="AP100" s="528" t="str">
        <f t="shared" si="109"/>
        <v/>
      </c>
      <c r="AQ100" s="529" t="str">
        <f t="shared" si="633"/>
        <v/>
      </c>
      <c r="AS100" s="899" t="str">
        <f t="shared" si="737"/>
        <v/>
      </c>
      <c r="AT100" s="895" t="str">
        <f t="shared" si="634"/>
        <v/>
      </c>
      <c r="AU100" s="418"/>
      <c r="AV100" s="164" t="str">
        <f t="shared" si="635"/>
        <v/>
      </c>
      <c r="AW100" s="796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34" t="str">
        <f t="shared" si="680"/>
        <v/>
      </c>
      <c r="HN100" s="935" t="str">
        <f t="shared" si="681"/>
        <v/>
      </c>
      <c r="HO100" s="936"/>
      <c r="HP100" s="937"/>
      <c r="HQ100" s="935" t="str">
        <f t="shared" si="682"/>
        <v/>
      </c>
      <c r="HR100" s="938" t="str">
        <f t="shared" si="683"/>
        <v/>
      </c>
      <c r="HS100" s="939" t="str">
        <f t="shared" si="734"/>
        <v/>
      </c>
      <c r="HT100" s="940" t="str">
        <f t="shared" si="684"/>
        <v/>
      </c>
      <c r="HU100" s="941" t="str">
        <f t="shared" si="685"/>
        <v/>
      </c>
      <c r="HV100" s="942" t="str">
        <f t="shared" si="686"/>
        <v/>
      </c>
      <c r="HW100" s="943" t="str">
        <f t="shared" si="687"/>
        <v/>
      </c>
      <c r="HX100" s="944" t="str">
        <f t="shared" si="688"/>
        <v/>
      </c>
      <c r="HY100" s="943" t="str">
        <f t="shared" si="689"/>
        <v/>
      </c>
      <c r="HZ100" s="945" t="str">
        <f t="shared" si="690"/>
        <v/>
      </c>
      <c r="IA100" s="946" t="str">
        <f t="shared" si="691"/>
        <v/>
      </c>
      <c r="IB100" s="947" t="str">
        <f t="shared" si="692"/>
        <v/>
      </c>
      <c r="IC100" s="841" t="str">
        <f t="shared" si="693"/>
        <v/>
      </c>
      <c r="ID100" s="351" t="str">
        <f t="shared" si="694"/>
        <v/>
      </c>
      <c r="IE100" s="843" t="str">
        <f t="shared" si="695"/>
        <v/>
      </c>
      <c r="IF100" s="844"/>
      <c r="IG100" s="789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7" t="str">
        <f t="shared" si="837"/>
        <v/>
      </c>
      <c r="IJ100" s="967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6"/>
        <v/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5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135"/>
        <v/>
      </c>
      <c r="W101" s="528" t="str">
        <f t="shared" si="848"/>
        <v/>
      </c>
      <c r="X101" s="572" t="str">
        <f t="shared" si="97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8"/>
        <v/>
      </c>
      <c r="AD101" s="580" t="str">
        <f t="shared" si="136"/>
        <v/>
      </c>
      <c r="AE101" s="572" t="str">
        <f t="shared" si="99"/>
        <v/>
      </c>
      <c r="AF101" s="576" t="str">
        <f t="shared" si="100"/>
        <v/>
      </c>
      <c r="AG101" s="545" t="str">
        <f t="shared" si="101"/>
        <v/>
      </c>
      <c r="AH101" s="546" t="str">
        <f t="shared" si="102"/>
        <v/>
      </c>
      <c r="AI101" s="528" t="str">
        <f t="shared" si="103"/>
        <v/>
      </c>
      <c r="AJ101" s="529" t="str">
        <f t="shared" si="104"/>
        <v/>
      </c>
      <c r="AK101" s="578" t="str">
        <f t="shared" si="234"/>
        <v/>
      </c>
      <c r="AL101" s="572" t="str">
        <f t="shared" si="105"/>
        <v/>
      </c>
      <c r="AM101" s="577" t="str">
        <f t="shared" si="106"/>
        <v/>
      </c>
      <c r="AN101" s="524" t="str">
        <f t="shared" si="107"/>
        <v/>
      </c>
      <c r="AO101" s="525" t="str">
        <f t="shared" si="590"/>
        <v/>
      </c>
      <c r="AP101" s="528" t="str">
        <f t="shared" si="109"/>
        <v/>
      </c>
      <c r="AQ101" s="529" t="str">
        <f t="shared" si="633"/>
        <v/>
      </c>
      <c r="AS101" s="899" t="str">
        <f t="shared" si="737"/>
        <v/>
      </c>
      <c r="AT101" s="895" t="str">
        <f t="shared" si="634"/>
        <v/>
      </c>
      <c r="AU101" s="418"/>
      <c r="AV101" s="164" t="str">
        <f t="shared" si="635"/>
        <v/>
      </c>
      <c r="AW101" s="796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34" t="str">
        <f t="shared" si="680"/>
        <v/>
      </c>
      <c r="HN101" s="935" t="str">
        <f t="shared" si="681"/>
        <v/>
      </c>
      <c r="HO101" s="936"/>
      <c r="HP101" s="937"/>
      <c r="HQ101" s="935" t="str">
        <f t="shared" si="682"/>
        <v/>
      </c>
      <c r="HR101" s="938" t="str">
        <f t="shared" si="683"/>
        <v/>
      </c>
      <c r="HS101" s="939" t="str">
        <f t="shared" si="734"/>
        <v/>
      </c>
      <c r="HT101" s="940" t="str">
        <f t="shared" si="684"/>
        <v/>
      </c>
      <c r="HU101" s="941" t="str">
        <f t="shared" si="685"/>
        <v/>
      </c>
      <c r="HV101" s="942" t="str">
        <f t="shared" si="686"/>
        <v/>
      </c>
      <c r="HW101" s="943" t="str">
        <f t="shared" si="687"/>
        <v/>
      </c>
      <c r="HX101" s="944" t="str">
        <f t="shared" si="688"/>
        <v/>
      </c>
      <c r="HY101" s="943" t="str">
        <f t="shared" si="689"/>
        <v/>
      </c>
      <c r="HZ101" s="945" t="str">
        <f t="shared" si="690"/>
        <v/>
      </c>
      <c r="IA101" s="946" t="str">
        <f t="shared" si="691"/>
        <v/>
      </c>
      <c r="IB101" s="947" t="str">
        <f t="shared" si="692"/>
        <v/>
      </c>
      <c r="IC101" s="841" t="str">
        <f t="shared" si="693"/>
        <v/>
      </c>
      <c r="ID101" s="351" t="str">
        <f t="shared" si="694"/>
        <v/>
      </c>
      <c r="IE101" s="843" t="str">
        <f t="shared" si="695"/>
        <v/>
      </c>
      <c r="IF101" s="844"/>
      <c r="IG101" s="789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7" t="str">
        <f t="shared" si="837"/>
        <v/>
      </c>
      <c r="IJ101" s="967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5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135"/>
        <v/>
      </c>
      <c r="W102" s="528" t="str">
        <f t="shared" si="848"/>
        <v/>
      </c>
      <c r="X102" s="572" t="str">
        <f t="shared" si="97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8"/>
        <v/>
      </c>
      <c r="AD102" s="580" t="str">
        <f t="shared" si="136"/>
        <v/>
      </c>
      <c r="AE102" s="572" t="str">
        <f t="shared" si="99"/>
        <v/>
      </c>
      <c r="AF102" s="576" t="str">
        <f t="shared" si="100"/>
        <v/>
      </c>
      <c r="AG102" s="545" t="str">
        <f t="shared" si="101"/>
        <v/>
      </c>
      <c r="AH102" s="546" t="str">
        <f t="shared" si="102"/>
        <v/>
      </c>
      <c r="AI102" s="528" t="str">
        <f t="shared" si="103"/>
        <v/>
      </c>
      <c r="AJ102" s="529" t="str">
        <f t="shared" si="104"/>
        <v/>
      </c>
      <c r="AK102" s="578" t="str">
        <f t="shared" si="234"/>
        <v/>
      </c>
      <c r="AL102" s="572" t="str">
        <f t="shared" si="105"/>
        <v/>
      </c>
      <c r="AM102" s="577" t="str">
        <f t="shared" si="106"/>
        <v/>
      </c>
      <c r="AN102" s="524" t="str">
        <f t="shared" si="107"/>
        <v/>
      </c>
      <c r="AO102" s="525" t="str">
        <f t="shared" si="590"/>
        <v/>
      </c>
      <c r="AP102" s="528" t="str">
        <f t="shared" si="109"/>
        <v/>
      </c>
      <c r="AQ102" s="529" t="str">
        <f t="shared" si="633"/>
        <v/>
      </c>
      <c r="AS102" s="899" t="str">
        <f t="shared" si="737"/>
        <v/>
      </c>
      <c r="AT102" s="895" t="str">
        <f t="shared" si="634"/>
        <v/>
      </c>
      <c r="AU102" s="418"/>
      <c r="AV102" s="164" t="str">
        <f t="shared" si="635"/>
        <v/>
      </c>
      <c r="AW102" s="796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34" t="str">
        <f t="shared" si="680"/>
        <v/>
      </c>
      <c r="HN102" s="935" t="str">
        <f t="shared" si="681"/>
        <v/>
      </c>
      <c r="HO102" s="936"/>
      <c r="HP102" s="937"/>
      <c r="HQ102" s="935" t="str">
        <f t="shared" si="682"/>
        <v/>
      </c>
      <c r="HR102" s="938" t="str">
        <f t="shared" si="683"/>
        <v/>
      </c>
      <c r="HS102" s="939" t="str">
        <f t="shared" si="734"/>
        <v/>
      </c>
      <c r="HT102" s="940" t="str">
        <f t="shared" si="684"/>
        <v/>
      </c>
      <c r="HU102" s="941" t="str">
        <f t="shared" si="685"/>
        <v/>
      </c>
      <c r="HV102" s="942" t="str">
        <f t="shared" si="686"/>
        <v/>
      </c>
      <c r="HW102" s="943" t="str">
        <f t="shared" si="687"/>
        <v/>
      </c>
      <c r="HX102" s="944" t="str">
        <f t="shared" si="688"/>
        <v/>
      </c>
      <c r="HY102" s="943" t="str">
        <f t="shared" si="689"/>
        <v/>
      </c>
      <c r="HZ102" s="945" t="str">
        <f t="shared" si="690"/>
        <v/>
      </c>
      <c r="IA102" s="946" t="str">
        <f t="shared" si="691"/>
        <v/>
      </c>
      <c r="IB102" s="947" t="str">
        <f t="shared" si="692"/>
        <v/>
      </c>
      <c r="IC102" s="841" t="str">
        <f t="shared" si="693"/>
        <v/>
      </c>
      <c r="ID102" s="351" t="str">
        <f t="shared" si="694"/>
        <v/>
      </c>
      <c r="IE102" s="843" t="str">
        <f t="shared" si="695"/>
        <v/>
      </c>
      <c r="IF102" s="844"/>
      <c r="IG102" s="789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7" t="str">
        <f t="shared" si="837"/>
        <v/>
      </c>
      <c r="IJ102" s="967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5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135"/>
        <v/>
      </c>
      <c r="W103" s="528" t="str">
        <f t="shared" si="848"/>
        <v/>
      </c>
      <c r="X103" s="572" t="str">
        <f t="shared" si="97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8"/>
        <v/>
      </c>
      <c r="AD103" s="580" t="str">
        <f t="shared" si="136"/>
        <v/>
      </c>
      <c r="AE103" s="572" t="str">
        <f t="shared" si="99"/>
        <v/>
      </c>
      <c r="AF103" s="576" t="str">
        <f t="shared" si="100"/>
        <v/>
      </c>
      <c r="AG103" s="545" t="str">
        <f t="shared" si="101"/>
        <v/>
      </c>
      <c r="AH103" s="546" t="str">
        <f t="shared" si="102"/>
        <v/>
      </c>
      <c r="AI103" s="528" t="str">
        <f t="shared" si="103"/>
        <v/>
      </c>
      <c r="AJ103" s="529" t="str">
        <f t="shared" si="104"/>
        <v/>
      </c>
      <c r="AK103" s="578" t="str">
        <f t="shared" si="234"/>
        <v/>
      </c>
      <c r="AL103" s="572" t="str">
        <f t="shared" si="105"/>
        <v/>
      </c>
      <c r="AM103" s="577" t="str">
        <f t="shared" si="106"/>
        <v/>
      </c>
      <c r="AN103" s="524" t="str">
        <f t="shared" si="107"/>
        <v/>
      </c>
      <c r="AO103" s="525" t="str">
        <f t="shared" si="590"/>
        <v/>
      </c>
      <c r="AP103" s="528" t="str">
        <f t="shared" si="109"/>
        <v/>
      </c>
      <c r="AQ103" s="529" t="str">
        <f t="shared" si="633"/>
        <v/>
      </c>
      <c r="AS103" s="899" t="str">
        <f t="shared" si="737"/>
        <v/>
      </c>
      <c r="AT103" s="895" t="str">
        <f t="shared" si="634"/>
        <v/>
      </c>
      <c r="AU103" s="418"/>
      <c r="AV103" s="164" t="str">
        <f t="shared" si="635"/>
        <v/>
      </c>
      <c r="AW103" s="796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34" t="str">
        <f t="shared" si="680"/>
        <v/>
      </c>
      <c r="HN103" s="935" t="str">
        <f t="shared" si="681"/>
        <v/>
      </c>
      <c r="HO103" s="936"/>
      <c r="HP103" s="937"/>
      <c r="HQ103" s="935" t="str">
        <f t="shared" si="682"/>
        <v/>
      </c>
      <c r="HR103" s="938" t="str">
        <f t="shared" si="683"/>
        <v/>
      </c>
      <c r="HS103" s="939" t="str">
        <f t="shared" si="734"/>
        <v/>
      </c>
      <c r="HT103" s="940" t="str">
        <f t="shared" si="684"/>
        <v/>
      </c>
      <c r="HU103" s="941" t="str">
        <f t="shared" si="685"/>
        <v/>
      </c>
      <c r="HV103" s="942" t="str">
        <f t="shared" si="686"/>
        <v/>
      </c>
      <c r="HW103" s="943" t="str">
        <f t="shared" si="687"/>
        <v/>
      </c>
      <c r="HX103" s="944" t="str">
        <f t="shared" si="688"/>
        <v/>
      </c>
      <c r="HY103" s="943" t="str">
        <f t="shared" si="689"/>
        <v/>
      </c>
      <c r="HZ103" s="945" t="str">
        <f t="shared" si="690"/>
        <v/>
      </c>
      <c r="IA103" s="946" t="str">
        <f t="shared" si="691"/>
        <v/>
      </c>
      <c r="IB103" s="947" t="str">
        <f t="shared" si="692"/>
        <v/>
      </c>
      <c r="IC103" s="841" t="str">
        <f t="shared" si="693"/>
        <v/>
      </c>
      <c r="ID103" s="351" t="str">
        <f t="shared" si="694"/>
        <v/>
      </c>
      <c r="IE103" s="843" t="str">
        <f t="shared" si="695"/>
        <v/>
      </c>
      <c r="IF103" s="844"/>
      <c r="IG103" s="789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7" t="str">
        <f t="shared" si="837"/>
        <v/>
      </c>
      <c r="IJ103" s="967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5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135"/>
        <v/>
      </c>
      <c r="W104" s="528" t="str">
        <f t="shared" si="848"/>
        <v/>
      </c>
      <c r="X104" s="572" t="str">
        <f t="shared" si="97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8"/>
        <v/>
      </c>
      <c r="AD104" s="580" t="str">
        <f t="shared" si="136"/>
        <v/>
      </c>
      <c r="AE104" s="572" t="str">
        <f t="shared" si="99"/>
        <v/>
      </c>
      <c r="AF104" s="576" t="str">
        <f t="shared" si="100"/>
        <v/>
      </c>
      <c r="AG104" s="545" t="str">
        <f t="shared" si="101"/>
        <v/>
      </c>
      <c r="AH104" s="546" t="str">
        <f t="shared" si="102"/>
        <v/>
      </c>
      <c r="AI104" s="528" t="str">
        <f t="shared" si="103"/>
        <v/>
      </c>
      <c r="AJ104" s="529" t="str">
        <f t="shared" si="104"/>
        <v/>
      </c>
      <c r="AK104" s="578" t="str">
        <f t="shared" si="234"/>
        <v/>
      </c>
      <c r="AL104" s="572" t="str">
        <f t="shared" si="105"/>
        <v/>
      </c>
      <c r="AM104" s="577" t="str">
        <f t="shared" si="106"/>
        <v/>
      </c>
      <c r="AN104" s="524" t="str">
        <f t="shared" si="107"/>
        <v/>
      </c>
      <c r="AO104" s="525" t="str">
        <f t="shared" si="590"/>
        <v/>
      </c>
      <c r="AP104" s="528" t="str">
        <f t="shared" si="109"/>
        <v/>
      </c>
      <c r="AQ104" s="529" t="str">
        <f t="shared" si="633"/>
        <v/>
      </c>
      <c r="AS104" s="899" t="str">
        <f t="shared" si="737"/>
        <v/>
      </c>
      <c r="AT104" s="895" t="str">
        <f t="shared" si="634"/>
        <v/>
      </c>
      <c r="AU104" s="418"/>
      <c r="AV104" s="164" t="str">
        <f t="shared" si="635"/>
        <v/>
      </c>
      <c r="AW104" s="796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34" t="str">
        <f t="shared" si="680"/>
        <v/>
      </c>
      <c r="HN104" s="935" t="str">
        <f t="shared" si="681"/>
        <v/>
      </c>
      <c r="HO104" s="936"/>
      <c r="HP104" s="937"/>
      <c r="HQ104" s="935" t="str">
        <f t="shared" si="682"/>
        <v/>
      </c>
      <c r="HR104" s="938" t="str">
        <f t="shared" si="683"/>
        <v/>
      </c>
      <c r="HS104" s="939" t="str">
        <f t="shared" si="734"/>
        <v/>
      </c>
      <c r="HT104" s="940" t="str">
        <f t="shared" si="684"/>
        <v/>
      </c>
      <c r="HU104" s="941" t="str">
        <f t="shared" si="685"/>
        <v/>
      </c>
      <c r="HV104" s="942" t="str">
        <f t="shared" si="686"/>
        <v/>
      </c>
      <c r="HW104" s="943" t="str">
        <f t="shared" si="687"/>
        <v/>
      </c>
      <c r="HX104" s="944" t="str">
        <f t="shared" si="688"/>
        <v/>
      </c>
      <c r="HY104" s="943" t="str">
        <f t="shared" si="689"/>
        <v/>
      </c>
      <c r="HZ104" s="945" t="str">
        <f t="shared" si="690"/>
        <v/>
      </c>
      <c r="IA104" s="946" t="str">
        <f t="shared" si="691"/>
        <v/>
      </c>
      <c r="IB104" s="947" t="str">
        <f t="shared" si="692"/>
        <v/>
      </c>
      <c r="IC104" s="841" t="str">
        <f t="shared" si="693"/>
        <v/>
      </c>
      <c r="ID104" s="351" t="str">
        <f t="shared" si="694"/>
        <v/>
      </c>
      <c r="IE104" s="843" t="str">
        <f t="shared" si="695"/>
        <v/>
      </c>
      <c r="IF104" s="844"/>
      <c r="IG104" s="789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7" t="str">
        <f t="shared" si="837"/>
        <v/>
      </c>
      <c r="IJ104" s="967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5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135"/>
        <v/>
      </c>
      <c r="W105" s="528" t="str">
        <f t="shared" si="848"/>
        <v/>
      </c>
      <c r="X105" s="572" t="str">
        <f t="shared" si="97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8"/>
        <v/>
      </c>
      <c r="AD105" s="580" t="str">
        <f t="shared" si="136"/>
        <v/>
      </c>
      <c r="AE105" s="572" t="str">
        <f t="shared" si="99"/>
        <v/>
      </c>
      <c r="AF105" s="576" t="str">
        <f t="shared" si="100"/>
        <v/>
      </c>
      <c r="AG105" s="545" t="str">
        <f t="shared" si="101"/>
        <v/>
      </c>
      <c r="AH105" s="546" t="str">
        <f t="shared" si="102"/>
        <v/>
      </c>
      <c r="AI105" s="528" t="str">
        <f t="shared" si="103"/>
        <v/>
      </c>
      <c r="AJ105" s="529" t="str">
        <f t="shared" si="104"/>
        <v/>
      </c>
      <c r="AK105" s="578" t="str">
        <f t="shared" si="234"/>
        <v/>
      </c>
      <c r="AL105" s="572" t="str">
        <f t="shared" si="105"/>
        <v/>
      </c>
      <c r="AM105" s="577" t="str">
        <f t="shared" si="106"/>
        <v/>
      </c>
      <c r="AN105" s="524" t="str">
        <f t="shared" si="107"/>
        <v/>
      </c>
      <c r="AO105" s="525" t="str">
        <f t="shared" si="590"/>
        <v/>
      </c>
      <c r="AP105" s="528" t="str">
        <f t="shared" si="109"/>
        <v/>
      </c>
      <c r="AQ105" s="529" t="str">
        <f t="shared" ref="AQ105:AQ136" si="909">IF(M105="","",DEGREES(ATAN(($AS$5*SIN(RADIANS(90)))/(($X105*2*PI())-($AS$5*COS(RADIANS(90)))))))</f>
        <v/>
      </c>
      <c r="AS105" s="899" t="str">
        <f t="shared" si="737"/>
        <v/>
      </c>
      <c r="AT105" s="895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6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34" t="str">
        <f t="shared" ref="HM105:HM136" si="956">IF(ISNUMBER($HL105),INDEX(GO$9:GO$150,MATCH($HL105,$AV$9:$AV$150,0)),"")</f>
        <v/>
      </c>
      <c r="HN105" s="935" t="str">
        <f t="shared" ref="HN105:HN136" si="957">IF(ISNUMBER($HL105),INDEX(AO$9:AO$150,MATCH($HL105,$AV$9:$AV$150,0)),"")</f>
        <v/>
      </c>
      <c r="HO105" s="936"/>
      <c r="HP105" s="937"/>
      <c r="HQ105" s="935" t="str">
        <f t="shared" ref="HQ105:HQ136" si="958">IF(ISNUMBER($HL105),INDEX(GQ$9:GQ$150,MATCH($HL105,$AV$9:$AV$150,0)),"")</f>
        <v/>
      </c>
      <c r="HR105" s="938" t="str">
        <f t="shared" ref="HR105:HR136" si="959">IF(ISNUMBER($HL105),INDEX(GP$9:GP$150,MATCH($HL105,$AV$9:$AV$150,0)),"")</f>
        <v/>
      </c>
      <c r="HS105" s="939" t="str">
        <f t="shared" si="734"/>
        <v/>
      </c>
      <c r="HT105" s="940" t="str">
        <f t="shared" ref="HT105:HT136" si="960">IF(ISNUMBER($HL105),INDEX(GL$9:GL$150,MATCH($HL105,$AV$9:$AV$150,0)),"")</f>
        <v/>
      </c>
      <c r="HU105" s="941" t="str">
        <f t="shared" ref="HU105:HU136" si="961">IF(ISNUMBER($HL105),INDEX(GM$9:GM$150,MATCH($HL105,$AV$9:$AV$150,0)),"")</f>
        <v/>
      </c>
      <c r="HV105" s="942" t="str">
        <f t="shared" ref="HV105:HV136" si="962">IF(ISNUMBER($HL105),INDEX(GN$9:GN$150,MATCH($HL105,$AV$9:$AV$150,0)),"")</f>
        <v/>
      </c>
      <c r="HW105" s="943" t="str">
        <f t="shared" ref="HW105:HW136" si="963">IF(ISNUMBER($HL105),INDEX(GW$9:GW$150,MATCH($HL105,$AV$9:$AV$150,0)),"")</f>
        <v/>
      </c>
      <c r="HX105" s="944" t="str">
        <f t="shared" ref="HX105:HX136" si="964">IF(ISNUMBER($HL105),INDEX(GX$9:GX$150,MATCH($HL105,$AV$9:$AV$150,0)),"")</f>
        <v/>
      </c>
      <c r="HY105" s="943" t="str">
        <f t="shared" ref="HY105:HY136" si="965">IF(ISNUMBER($HL105),INDEX(GS$9:GS$150,MATCH($HL105,$AV$9:$AV$150,0)),"")</f>
        <v/>
      </c>
      <c r="HZ105" s="945" t="str">
        <f t="shared" ref="HZ105:HZ136" si="966">IF(ISNUMBER($HL105),INDEX(GU$9:GU$150,MATCH($HL105,$AV$9:$AV$150,0)),"")</f>
        <v/>
      </c>
      <c r="IA105" s="946" t="str">
        <f t="shared" ref="IA105:IA136" si="967">IF(ISNUMBER($HL105),INDEX(GY$9:GY$150,MATCH($HL105,$AV$9:$AV$150,0)),"")</f>
        <v/>
      </c>
      <c r="IB105" s="947" t="str">
        <f t="shared" ref="IB105:IB136" si="968">IF(ISNUMBER($HL105),INDEX(GR$9:GR$150,MATCH($HL105,$AV$9:$AV$150,0)),"")</f>
        <v/>
      </c>
      <c r="IC105" s="841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43" t="str">
        <f t="shared" ref="IE105:IE136" si="971">IF(ISNUMBER($HL105),INDEX(GZ$9:GZ$150,MATCH($HL105,$AV$9:$AV$150,0)),"")</f>
        <v/>
      </c>
      <c r="IF105" s="844"/>
      <c r="IG105" s="789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7" t="str">
        <f t="shared" si="837"/>
        <v/>
      </c>
      <c r="IJ105" s="967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5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899" t="str">
        <f t="shared" si="737"/>
        <v/>
      </c>
      <c r="AT106" s="895" t="str">
        <f t="shared" si="910"/>
        <v/>
      </c>
      <c r="AU106" s="418"/>
      <c r="AV106" s="164" t="str">
        <f t="shared" si="911"/>
        <v/>
      </c>
      <c r="AW106" s="796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34" t="str">
        <f t="shared" si="956"/>
        <v/>
      </c>
      <c r="HN106" s="935" t="str">
        <f t="shared" si="957"/>
        <v/>
      </c>
      <c r="HO106" s="936"/>
      <c r="HP106" s="937"/>
      <c r="HQ106" s="935" t="str">
        <f t="shared" si="958"/>
        <v/>
      </c>
      <c r="HR106" s="938" t="str">
        <f t="shared" si="959"/>
        <v/>
      </c>
      <c r="HS106" s="939" t="str">
        <f t="shared" ref="HS106:HS129" si="1008">IFERROR(SMALL($GJ$9:$GJ$150,($HK105+1)),"")</f>
        <v/>
      </c>
      <c r="HT106" s="940" t="str">
        <f t="shared" si="960"/>
        <v/>
      </c>
      <c r="HU106" s="941" t="str">
        <f t="shared" si="961"/>
        <v/>
      </c>
      <c r="HV106" s="942" t="str">
        <f t="shared" si="962"/>
        <v/>
      </c>
      <c r="HW106" s="943" t="str">
        <f t="shared" si="963"/>
        <v/>
      </c>
      <c r="HX106" s="944" t="str">
        <f t="shared" si="964"/>
        <v/>
      </c>
      <c r="HY106" s="943" t="str">
        <f t="shared" si="965"/>
        <v/>
      </c>
      <c r="HZ106" s="945" t="str">
        <f t="shared" si="966"/>
        <v/>
      </c>
      <c r="IA106" s="946" t="str">
        <f t="shared" si="967"/>
        <v/>
      </c>
      <c r="IB106" s="947" t="str">
        <f t="shared" si="968"/>
        <v/>
      </c>
      <c r="IC106" s="841" t="str">
        <f t="shared" si="969"/>
        <v/>
      </c>
      <c r="ID106" s="351" t="str">
        <f t="shared" si="970"/>
        <v/>
      </c>
      <c r="IE106" s="843" t="str">
        <f t="shared" si="971"/>
        <v/>
      </c>
      <c r="IF106" s="844"/>
      <c r="IG106" s="789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7" t="str">
        <f t="shared" si="837"/>
        <v/>
      </c>
      <c r="IJ106" s="967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5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899" t="str">
        <f t="shared" ref="AS107:AS138" si="1011">IF(G107="","",IF(AND(W107&lt;(AS106+180),W107&gt;(AS106-180)),W107,IF(W107&gt;(AS106+180),W107-360,IF(W107&lt;(AS106-180),W107+360,"Error"))))</f>
        <v/>
      </c>
      <c r="AT107" s="895" t="str">
        <f t="shared" si="910"/>
        <v/>
      </c>
      <c r="AU107" s="418"/>
      <c r="AV107" s="164" t="str">
        <f t="shared" si="911"/>
        <v/>
      </c>
      <c r="AW107" s="796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34" t="str">
        <f t="shared" si="956"/>
        <v/>
      </c>
      <c r="HN107" s="935" t="str">
        <f t="shared" si="957"/>
        <v/>
      </c>
      <c r="HO107" s="936"/>
      <c r="HP107" s="937"/>
      <c r="HQ107" s="935" t="str">
        <f t="shared" si="958"/>
        <v/>
      </c>
      <c r="HR107" s="938" t="str">
        <f t="shared" si="959"/>
        <v/>
      </c>
      <c r="HS107" s="939" t="str">
        <f t="shared" si="1008"/>
        <v/>
      </c>
      <c r="HT107" s="940" t="str">
        <f t="shared" si="960"/>
        <v/>
      </c>
      <c r="HU107" s="941" t="str">
        <f t="shared" si="961"/>
        <v/>
      </c>
      <c r="HV107" s="942" t="str">
        <f t="shared" si="962"/>
        <v/>
      </c>
      <c r="HW107" s="943" t="str">
        <f t="shared" si="963"/>
        <v/>
      </c>
      <c r="HX107" s="944" t="str">
        <f t="shared" si="964"/>
        <v/>
      </c>
      <c r="HY107" s="943" t="str">
        <f t="shared" si="965"/>
        <v/>
      </c>
      <c r="HZ107" s="945" t="str">
        <f t="shared" si="966"/>
        <v/>
      </c>
      <c r="IA107" s="946" t="str">
        <f t="shared" si="967"/>
        <v/>
      </c>
      <c r="IB107" s="947" t="str">
        <f t="shared" si="968"/>
        <v/>
      </c>
      <c r="IC107" s="841" t="str">
        <f t="shared" si="969"/>
        <v/>
      </c>
      <c r="ID107" s="351" t="str">
        <f t="shared" si="970"/>
        <v/>
      </c>
      <c r="IE107" s="843" t="str">
        <f t="shared" si="971"/>
        <v/>
      </c>
      <c r="IF107" s="844"/>
      <c r="IG107" s="789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7" t="str">
        <f t="shared" si="837"/>
        <v/>
      </c>
      <c r="IJ107" s="967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5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899" t="str">
        <f t="shared" si="1011"/>
        <v/>
      </c>
      <c r="AT108" s="895" t="str">
        <f t="shared" si="910"/>
        <v/>
      </c>
      <c r="AU108" s="418"/>
      <c r="AV108" s="164" t="str">
        <f t="shared" si="911"/>
        <v/>
      </c>
      <c r="AW108" s="796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34" t="str">
        <f t="shared" si="956"/>
        <v/>
      </c>
      <c r="HN108" s="935" t="str">
        <f t="shared" si="957"/>
        <v/>
      </c>
      <c r="HO108" s="936"/>
      <c r="HP108" s="937"/>
      <c r="HQ108" s="935" t="str">
        <f t="shared" si="958"/>
        <v/>
      </c>
      <c r="HR108" s="938" t="str">
        <f t="shared" si="959"/>
        <v/>
      </c>
      <c r="HS108" s="939" t="str">
        <f t="shared" si="1008"/>
        <v/>
      </c>
      <c r="HT108" s="940" t="str">
        <f t="shared" si="960"/>
        <v/>
      </c>
      <c r="HU108" s="941" t="str">
        <f t="shared" si="961"/>
        <v/>
      </c>
      <c r="HV108" s="942" t="str">
        <f t="shared" si="962"/>
        <v/>
      </c>
      <c r="HW108" s="943" t="str">
        <f t="shared" si="963"/>
        <v/>
      </c>
      <c r="HX108" s="944" t="str">
        <f t="shared" si="964"/>
        <v/>
      </c>
      <c r="HY108" s="943" t="str">
        <f t="shared" si="965"/>
        <v/>
      </c>
      <c r="HZ108" s="945" t="str">
        <f t="shared" si="966"/>
        <v/>
      </c>
      <c r="IA108" s="946" t="str">
        <f t="shared" si="967"/>
        <v/>
      </c>
      <c r="IB108" s="947" t="str">
        <f t="shared" si="968"/>
        <v/>
      </c>
      <c r="IC108" s="841" t="str">
        <f t="shared" si="969"/>
        <v/>
      </c>
      <c r="ID108" s="351" t="str">
        <f t="shared" si="970"/>
        <v/>
      </c>
      <c r="IE108" s="843" t="str">
        <f t="shared" si="971"/>
        <v/>
      </c>
      <c r="IF108" s="844"/>
      <c r="IG108" s="789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7" t="str">
        <f t="shared" si="837"/>
        <v/>
      </c>
      <c r="IJ108" s="967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5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899" t="str">
        <f t="shared" si="1011"/>
        <v/>
      </c>
      <c r="AT109" s="895" t="str">
        <f t="shared" si="910"/>
        <v/>
      </c>
      <c r="AU109" s="418"/>
      <c r="AV109" s="164" t="str">
        <f t="shared" si="911"/>
        <v/>
      </c>
      <c r="AW109" s="796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34" t="str">
        <f t="shared" si="956"/>
        <v/>
      </c>
      <c r="HN109" s="935" t="str">
        <f t="shared" si="957"/>
        <v/>
      </c>
      <c r="HO109" s="936"/>
      <c r="HP109" s="937"/>
      <c r="HQ109" s="935" t="str">
        <f t="shared" si="958"/>
        <v/>
      </c>
      <c r="HR109" s="938" t="str">
        <f t="shared" si="959"/>
        <v/>
      </c>
      <c r="HS109" s="939" t="str">
        <f t="shared" si="1008"/>
        <v/>
      </c>
      <c r="HT109" s="940" t="str">
        <f t="shared" si="960"/>
        <v/>
      </c>
      <c r="HU109" s="941" t="str">
        <f t="shared" si="961"/>
        <v/>
      </c>
      <c r="HV109" s="942" t="str">
        <f t="shared" si="962"/>
        <v/>
      </c>
      <c r="HW109" s="943" t="str">
        <f t="shared" si="963"/>
        <v/>
      </c>
      <c r="HX109" s="944" t="str">
        <f t="shared" si="964"/>
        <v/>
      </c>
      <c r="HY109" s="943" t="str">
        <f t="shared" si="965"/>
        <v/>
      </c>
      <c r="HZ109" s="945" t="str">
        <f t="shared" si="966"/>
        <v/>
      </c>
      <c r="IA109" s="946" t="str">
        <f t="shared" si="967"/>
        <v/>
      </c>
      <c r="IB109" s="947" t="str">
        <f t="shared" si="968"/>
        <v/>
      </c>
      <c r="IC109" s="841" t="str">
        <f t="shared" si="969"/>
        <v/>
      </c>
      <c r="ID109" s="351" t="str">
        <f t="shared" si="970"/>
        <v/>
      </c>
      <c r="IE109" s="843" t="str">
        <f t="shared" si="971"/>
        <v/>
      </c>
      <c r="IF109" s="844"/>
      <c r="IG109" s="789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7" t="str">
        <f t="shared" si="837"/>
        <v/>
      </c>
      <c r="IJ109" s="967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5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899" t="str">
        <f t="shared" si="1011"/>
        <v/>
      </c>
      <c r="AT110" s="895" t="str">
        <f t="shared" si="910"/>
        <v/>
      </c>
      <c r="AU110" s="418"/>
      <c r="AV110" s="164" t="str">
        <f t="shared" si="911"/>
        <v/>
      </c>
      <c r="AW110" s="796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34" t="str">
        <f t="shared" si="956"/>
        <v/>
      </c>
      <c r="HN110" s="935" t="str">
        <f t="shared" si="957"/>
        <v/>
      </c>
      <c r="HO110" s="936"/>
      <c r="HP110" s="937"/>
      <c r="HQ110" s="935" t="str">
        <f t="shared" si="958"/>
        <v/>
      </c>
      <c r="HR110" s="938" t="str">
        <f t="shared" si="959"/>
        <v/>
      </c>
      <c r="HS110" s="939" t="str">
        <f t="shared" si="1008"/>
        <v/>
      </c>
      <c r="HT110" s="940" t="str">
        <f t="shared" si="960"/>
        <v/>
      </c>
      <c r="HU110" s="941" t="str">
        <f t="shared" si="961"/>
        <v/>
      </c>
      <c r="HV110" s="942" t="str">
        <f t="shared" si="962"/>
        <v/>
      </c>
      <c r="HW110" s="943" t="str">
        <f t="shared" si="963"/>
        <v/>
      </c>
      <c r="HX110" s="944" t="str">
        <f t="shared" si="964"/>
        <v/>
      </c>
      <c r="HY110" s="943" t="str">
        <f t="shared" si="965"/>
        <v/>
      </c>
      <c r="HZ110" s="945" t="str">
        <f t="shared" si="966"/>
        <v/>
      </c>
      <c r="IA110" s="946" t="str">
        <f t="shared" si="967"/>
        <v/>
      </c>
      <c r="IB110" s="947" t="str">
        <f t="shared" si="968"/>
        <v/>
      </c>
      <c r="IC110" s="841" t="str">
        <f t="shared" si="969"/>
        <v/>
      </c>
      <c r="ID110" s="351" t="str">
        <f t="shared" si="970"/>
        <v/>
      </c>
      <c r="IE110" s="843" t="str">
        <f t="shared" si="971"/>
        <v/>
      </c>
      <c r="IF110" s="844"/>
      <c r="IG110" s="789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7" t="str">
        <f t="shared" si="837"/>
        <v/>
      </c>
      <c r="IJ110" s="967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5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899" t="str">
        <f t="shared" si="1011"/>
        <v/>
      </c>
      <c r="AT111" s="895" t="str">
        <f t="shared" si="910"/>
        <v/>
      </c>
      <c r="AU111" s="418"/>
      <c r="AV111" s="164" t="str">
        <f t="shared" si="911"/>
        <v/>
      </c>
      <c r="AW111" s="796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34" t="str">
        <f t="shared" si="956"/>
        <v/>
      </c>
      <c r="HN111" s="935" t="str">
        <f t="shared" si="957"/>
        <v/>
      </c>
      <c r="HO111" s="936"/>
      <c r="HP111" s="937"/>
      <c r="HQ111" s="935" t="str">
        <f t="shared" si="958"/>
        <v/>
      </c>
      <c r="HR111" s="938" t="str">
        <f t="shared" si="959"/>
        <v/>
      </c>
      <c r="HS111" s="939" t="str">
        <f t="shared" si="1008"/>
        <v/>
      </c>
      <c r="HT111" s="940" t="str">
        <f t="shared" si="960"/>
        <v/>
      </c>
      <c r="HU111" s="941" t="str">
        <f t="shared" si="961"/>
        <v/>
      </c>
      <c r="HV111" s="942" t="str">
        <f t="shared" si="962"/>
        <v/>
      </c>
      <c r="HW111" s="943" t="str">
        <f t="shared" si="963"/>
        <v/>
      </c>
      <c r="HX111" s="944" t="str">
        <f t="shared" si="964"/>
        <v/>
      </c>
      <c r="HY111" s="943" t="str">
        <f t="shared" si="965"/>
        <v/>
      </c>
      <c r="HZ111" s="945" t="str">
        <f t="shared" si="966"/>
        <v/>
      </c>
      <c r="IA111" s="946" t="str">
        <f t="shared" si="967"/>
        <v/>
      </c>
      <c r="IB111" s="947" t="str">
        <f t="shared" si="968"/>
        <v/>
      </c>
      <c r="IC111" s="841" t="str">
        <f t="shared" si="969"/>
        <v/>
      </c>
      <c r="ID111" s="351" t="str">
        <f t="shared" si="970"/>
        <v/>
      </c>
      <c r="IE111" s="843" t="str">
        <f t="shared" si="971"/>
        <v/>
      </c>
      <c r="IF111" s="844"/>
      <c r="IG111" s="789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7" t="str">
        <f t="shared" si="837"/>
        <v/>
      </c>
      <c r="IJ111" s="967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5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899" t="str">
        <f t="shared" si="1011"/>
        <v/>
      </c>
      <c r="AT112" s="895" t="str">
        <f t="shared" si="910"/>
        <v/>
      </c>
      <c r="AU112" s="418"/>
      <c r="AV112" s="164" t="str">
        <f t="shared" si="911"/>
        <v/>
      </c>
      <c r="AW112" s="796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34" t="str">
        <f t="shared" si="956"/>
        <v/>
      </c>
      <c r="HN112" s="935" t="str">
        <f t="shared" si="957"/>
        <v/>
      </c>
      <c r="HO112" s="936"/>
      <c r="HP112" s="937"/>
      <c r="HQ112" s="935" t="str">
        <f t="shared" si="958"/>
        <v/>
      </c>
      <c r="HR112" s="938" t="str">
        <f t="shared" si="959"/>
        <v/>
      </c>
      <c r="HS112" s="939" t="str">
        <f t="shared" si="1008"/>
        <v/>
      </c>
      <c r="HT112" s="940" t="str">
        <f t="shared" si="960"/>
        <v/>
      </c>
      <c r="HU112" s="941" t="str">
        <f t="shared" si="961"/>
        <v/>
      </c>
      <c r="HV112" s="942" t="str">
        <f t="shared" si="962"/>
        <v/>
      </c>
      <c r="HW112" s="943" t="str">
        <f t="shared" si="963"/>
        <v/>
      </c>
      <c r="HX112" s="944" t="str">
        <f t="shared" si="964"/>
        <v/>
      </c>
      <c r="HY112" s="943" t="str">
        <f t="shared" si="965"/>
        <v/>
      </c>
      <c r="HZ112" s="945" t="str">
        <f t="shared" si="966"/>
        <v/>
      </c>
      <c r="IA112" s="946" t="str">
        <f t="shared" si="967"/>
        <v/>
      </c>
      <c r="IB112" s="947" t="str">
        <f t="shared" si="968"/>
        <v/>
      </c>
      <c r="IC112" s="841" t="str">
        <f t="shared" si="969"/>
        <v/>
      </c>
      <c r="ID112" s="351" t="str">
        <f t="shared" si="970"/>
        <v/>
      </c>
      <c r="IE112" s="843" t="str">
        <f t="shared" si="971"/>
        <v/>
      </c>
      <c r="IF112" s="844"/>
      <c r="IG112" s="789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7" t="str">
        <f t="shared" si="837"/>
        <v/>
      </c>
      <c r="IJ112" s="967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5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899" t="str">
        <f t="shared" si="1011"/>
        <v/>
      </c>
      <c r="AT113" s="895" t="str">
        <f t="shared" si="910"/>
        <v/>
      </c>
      <c r="AU113" s="418"/>
      <c r="AV113" s="164" t="str">
        <f t="shared" si="911"/>
        <v/>
      </c>
      <c r="AW113" s="796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34" t="str">
        <f t="shared" si="956"/>
        <v/>
      </c>
      <c r="HN113" s="935" t="str">
        <f t="shared" si="957"/>
        <v/>
      </c>
      <c r="HO113" s="936"/>
      <c r="HP113" s="937"/>
      <c r="HQ113" s="935" t="str">
        <f t="shared" si="958"/>
        <v/>
      </c>
      <c r="HR113" s="938" t="str">
        <f t="shared" si="959"/>
        <v/>
      </c>
      <c r="HS113" s="939" t="str">
        <f t="shared" si="1008"/>
        <v/>
      </c>
      <c r="HT113" s="940" t="str">
        <f t="shared" si="960"/>
        <v/>
      </c>
      <c r="HU113" s="941" t="str">
        <f t="shared" si="961"/>
        <v/>
      </c>
      <c r="HV113" s="942" t="str">
        <f t="shared" si="962"/>
        <v/>
      </c>
      <c r="HW113" s="943" t="str">
        <f t="shared" si="963"/>
        <v/>
      </c>
      <c r="HX113" s="944" t="str">
        <f t="shared" si="964"/>
        <v/>
      </c>
      <c r="HY113" s="943" t="str">
        <f t="shared" si="965"/>
        <v/>
      </c>
      <c r="HZ113" s="945" t="str">
        <f t="shared" si="966"/>
        <v/>
      </c>
      <c r="IA113" s="946" t="str">
        <f t="shared" si="967"/>
        <v/>
      </c>
      <c r="IB113" s="947" t="str">
        <f t="shared" si="968"/>
        <v/>
      </c>
      <c r="IC113" s="841" t="str">
        <f t="shared" si="969"/>
        <v/>
      </c>
      <c r="ID113" s="351" t="str">
        <f t="shared" si="970"/>
        <v/>
      </c>
      <c r="IE113" s="843" t="str">
        <f t="shared" si="971"/>
        <v/>
      </c>
      <c r="IF113" s="844"/>
      <c r="IG113" s="789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7" t="str">
        <f t="shared" si="837"/>
        <v/>
      </c>
      <c r="IJ113" s="967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5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899" t="str">
        <f t="shared" si="1011"/>
        <v/>
      </c>
      <c r="AT114" s="895" t="str">
        <f t="shared" si="910"/>
        <v/>
      </c>
      <c r="AU114" s="418"/>
      <c r="AV114" s="164" t="str">
        <f t="shared" si="911"/>
        <v/>
      </c>
      <c r="AW114" s="796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34" t="str">
        <f t="shared" si="956"/>
        <v/>
      </c>
      <c r="HN114" s="935" t="str">
        <f t="shared" si="957"/>
        <v/>
      </c>
      <c r="HO114" s="936"/>
      <c r="HP114" s="937"/>
      <c r="HQ114" s="935" t="str">
        <f t="shared" si="958"/>
        <v/>
      </c>
      <c r="HR114" s="938" t="str">
        <f t="shared" si="959"/>
        <v/>
      </c>
      <c r="HS114" s="939" t="str">
        <f t="shared" si="1008"/>
        <v/>
      </c>
      <c r="HT114" s="940" t="str">
        <f t="shared" si="960"/>
        <v/>
      </c>
      <c r="HU114" s="941" t="str">
        <f t="shared" si="961"/>
        <v/>
      </c>
      <c r="HV114" s="942" t="str">
        <f t="shared" si="962"/>
        <v/>
      </c>
      <c r="HW114" s="943" t="str">
        <f t="shared" si="963"/>
        <v/>
      </c>
      <c r="HX114" s="944" t="str">
        <f t="shared" si="964"/>
        <v/>
      </c>
      <c r="HY114" s="943" t="str">
        <f t="shared" si="965"/>
        <v/>
      </c>
      <c r="HZ114" s="945" t="str">
        <f t="shared" si="966"/>
        <v/>
      </c>
      <c r="IA114" s="946" t="str">
        <f t="shared" si="967"/>
        <v/>
      </c>
      <c r="IB114" s="947" t="str">
        <f t="shared" si="968"/>
        <v/>
      </c>
      <c r="IC114" s="841" t="str">
        <f t="shared" si="969"/>
        <v/>
      </c>
      <c r="ID114" s="351" t="str">
        <f t="shared" si="970"/>
        <v/>
      </c>
      <c r="IE114" s="843" t="str">
        <f t="shared" si="971"/>
        <v/>
      </c>
      <c r="IF114" s="844"/>
      <c r="IG114" s="789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7" t="str">
        <f t="shared" si="837"/>
        <v/>
      </c>
      <c r="IJ114" s="967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5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899" t="str">
        <f t="shared" si="1011"/>
        <v/>
      </c>
      <c r="AT115" s="895" t="str">
        <f t="shared" si="910"/>
        <v/>
      </c>
      <c r="AU115" s="418"/>
      <c r="AV115" s="164" t="str">
        <f t="shared" si="911"/>
        <v/>
      </c>
      <c r="AW115" s="796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34" t="str">
        <f t="shared" si="956"/>
        <v/>
      </c>
      <c r="HN115" s="935" t="str">
        <f t="shared" si="957"/>
        <v/>
      </c>
      <c r="HO115" s="936"/>
      <c r="HP115" s="937"/>
      <c r="HQ115" s="935" t="str">
        <f t="shared" si="958"/>
        <v/>
      </c>
      <c r="HR115" s="938" t="str">
        <f t="shared" si="959"/>
        <v/>
      </c>
      <c r="HS115" s="939" t="str">
        <f t="shared" si="1008"/>
        <v/>
      </c>
      <c r="HT115" s="940" t="str">
        <f t="shared" si="960"/>
        <v/>
      </c>
      <c r="HU115" s="941" t="str">
        <f t="shared" si="961"/>
        <v/>
      </c>
      <c r="HV115" s="942" t="str">
        <f t="shared" si="962"/>
        <v/>
      </c>
      <c r="HW115" s="943" t="str">
        <f t="shared" si="963"/>
        <v/>
      </c>
      <c r="HX115" s="944" t="str">
        <f t="shared" si="964"/>
        <v/>
      </c>
      <c r="HY115" s="943" t="str">
        <f t="shared" si="965"/>
        <v/>
      </c>
      <c r="HZ115" s="945" t="str">
        <f t="shared" si="966"/>
        <v/>
      </c>
      <c r="IA115" s="946" t="str">
        <f t="shared" si="967"/>
        <v/>
      </c>
      <c r="IB115" s="947" t="str">
        <f t="shared" si="968"/>
        <v/>
      </c>
      <c r="IC115" s="841" t="str">
        <f t="shared" si="969"/>
        <v/>
      </c>
      <c r="ID115" s="351" t="str">
        <f t="shared" si="970"/>
        <v/>
      </c>
      <c r="IE115" s="843" t="str">
        <f t="shared" si="971"/>
        <v/>
      </c>
      <c r="IF115" s="844"/>
      <c r="IG115" s="789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7" t="str">
        <f t="shared" si="837"/>
        <v/>
      </c>
      <c r="IJ115" s="967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5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899" t="str">
        <f t="shared" si="1011"/>
        <v/>
      </c>
      <c r="AT116" s="895" t="str">
        <f t="shared" si="910"/>
        <v/>
      </c>
      <c r="AU116" s="418"/>
      <c r="AV116" s="164" t="str">
        <f t="shared" si="911"/>
        <v/>
      </c>
      <c r="AW116" s="796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34" t="str">
        <f t="shared" si="956"/>
        <v/>
      </c>
      <c r="HN116" s="935" t="str">
        <f t="shared" si="957"/>
        <v/>
      </c>
      <c r="HO116" s="936"/>
      <c r="HP116" s="937"/>
      <c r="HQ116" s="935" t="str">
        <f t="shared" si="958"/>
        <v/>
      </c>
      <c r="HR116" s="938" t="str">
        <f t="shared" si="959"/>
        <v/>
      </c>
      <c r="HS116" s="939" t="str">
        <f t="shared" si="1008"/>
        <v/>
      </c>
      <c r="HT116" s="940" t="str">
        <f t="shared" si="960"/>
        <v/>
      </c>
      <c r="HU116" s="941" t="str">
        <f t="shared" si="961"/>
        <v/>
      </c>
      <c r="HV116" s="942" t="str">
        <f t="shared" si="962"/>
        <v/>
      </c>
      <c r="HW116" s="943" t="str">
        <f t="shared" si="963"/>
        <v/>
      </c>
      <c r="HX116" s="944" t="str">
        <f t="shared" si="964"/>
        <v/>
      </c>
      <c r="HY116" s="943" t="str">
        <f t="shared" si="965"/>
        <v/>
      </c>
      <c r="HZ116" s="945" t="str">
        <f t="shared" si="966"/>
        <v/>
      </c>
      <c r="IA116" s="946" t="str">
        <f t="shared" si="967"/>
        <v/>
      </c>
      <c r="IB116" s="947" t="str">
        <f t="shared" si="968"/>
        <v/>
      </c>
      <c r="IC116" s="841" t="str">
        <f t="shared" si="969"/>
        <v/>
      </c>
      <c r="ID116" s="351" t="str">
        <f t="shared" si="970"/>
        <v/>
      </c>
      <c r="IE116" s="843" t="str">
        <f t="shared" si="971"/>
        <v/>
      </c>
      <c r="IF116" s="844"/>
      <c r="IG116" s="789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7" t="str">
        <f t="shared" si="837"/>
        <v/>
      </c>
      <c r="IJ116" s="967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5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899" t="str">
        <f t="shared" si="1011"/>
        <v/>
      </c>
      <c r="AT117" s="895" t="str">
        <f t="shared" si="910"/>
        <v/>
      </c>
      <c r="AU117" s="418"/>
      <c r="AV117" s="164" t="str">
        <f t="shared" si="911"/>
        <v/>
      </c>
      <c r="AW117" s="796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34" t="str">
        <f t="shared" si="956"/>
        <v/>
      </c>
      <c r="HN117" s="935" t="str">
        <f t="shared" si="957"/>
        <v/>
      </c>
      <c r="HO117" s="936"/>
      <c r="HP117" s="937"/>
      <c r="HQ117" s="935" t="str">
        <f t="shared" si="958"/>
        <v/>
      </c>
      <c r="HR117" s="938" t="str">
        <f t="shared" si="959"/>
        <v/>
      </c>
      <c r="HS117" s="939" t="str">
        <f t="shared" si="1008"/>
        <v/>
      </c>
      <c r="HT117" s="940" t="str">
        <f t="shared" si="960"/>
        <v/>
      </c>
      <c r="HU117" s="941" t="str">
        <f t="shared" si="961"/>
        <v/>
      </c>
      <c r="HV117" s="942" t="str">
        <f t="shared" si="962"/>
        <v/>
      </c>
      <c r="HW117" s="943" t="str">
        <f t="shared" si="963"/>
        <v/>
      </c>
      <c r="HX117" s="944" t="str">
        <f t="shared" si="964"/>
        <v/>
      </c>
      <c r="HY117" s="943" t="str">
        <f t="shared" si="965"/>
        <v/>
      </c>
      <c r="HZ117" s="945" t="str">
        <f t="shared" si="966"/>
        <v/>
      </c>
      <c r="IA117" s="946" t="str">
        <f t="shared" si="967"/>
        <v/>
      </c>
      <c r="IB117" s="947" t="str">
        <f t="shared" si="968"/>
        <v/>
      </c>
      <c r="IC117" s="841" t="str">
        <f t="shared" si="969"/>
        <v/>
      </c>
      <c r="ID117" s="351" t="str">
        <f t="shared" si="970"/>
        <v/>
      </c>
      <c r="IE117" s="843" t="str">
        <f t="shared" si="971"/>
        <v/>
      </c>
      <c r="IF117" s="844"/>
      <c r="IG117" s="789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7" t="str">
        <f t="shared" si="837"/>
        <v/>
      </c>
      <c r="IJ117" s="967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5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899" t="str">
        <f t="shared" si="1011"/>
        <v/>
      </c>
      <c r="AT118" s="895" t="str">
        <f t="shared" si="910"/>
        <v/>
      </c>
      <c r="AU118" s="418"/>
      <c r="AV118" s="164" t="str">
        <f t="shared" si="911"/>
        <v/>
      </c>
      <c r="AW118" s="796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34" t="str">
        <f t="shared" si="956"/>
        <v/>
      </c>
      <c r="HN118" s="935" t="str">
        <f t="shared" si="957"/>
        <v/>
      </c>
      <c r="HO118" s="936"/>
      <c r="HP118" s="937"/>
      <c r="HQ118" s="935" t="str">
        <f t="shared" si="958"/>
        <v/>
      </c>
      <c r="HR118" s="938" t="str">
        <f t="shared" si="959"/>
        <v/>
      </c>
      <c r="HS118" s="939" t="str">
        <f t="shared" si="1008"/>
        <v/>
      </c>
      <c r="HT118" s="940" t="str">
        <f t="shared" si="960"/>
        <v/>
      </c>
      <c r="HU118" s="941" t="str">
        <f t="shared" si="961"/>
        <v/>
      </c>
      <c r="HV118" s="942" t="str">
        <f t="shared" si="962"/>
        <v/>
      </c>
      <c r="HW118" s="943" t="str">
        <f t="shared" si="963"/>
        <v/>
      </c>
      <c r="HX118" s="944" t="str">
        <f t="shared" si="964"/>
        <v/>
      </c>
      <c r="HY118" s="943" t="str">
        <f t="shared" si="965"/>
        <v/>
      </c>
      <c r="HZ118" s="945" t="str">
        <f t="shared" si="966"/>
        <v/>
      </c>
      <c r="IA118" s="946" t="str">
        <f t="shared" si="967"/>
        <v/>
      </c>
      <c r="IB118" s="947" t="str">
        <f t="shared" si="968"/>
        <v/>
      </c>
      <c r="IC118" s="841" t="str">
        <f t="shared" si="969"/>
        <v/>
      </c>
      <c r="ID118" s="351" t="str">
        <f t="shared" si="970"/>
        <v/>
      </c>
      <c r="IE118" s="843" t="str">
        <f t="shared" si="971"/>
        <v/>
      </c>
      <c r="IF118" s="844"/>
      <c r="IG118" s="789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7" t="str">
        <f t="shared" si="837"/>
        <v/>
      </c>
      <c r="IJ118" s="967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5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899" t="str">
        <f t="shared" si="1011"/>
        <v/>
      </c>
      <c r="AT119" s="895" t="str">
        <f t="shared" si="910"/>
        <v/>
      </c>
      <c r="AU119" s="418"/>
      <c r="AV119" s="164" t="str">
        <f t="shared" si="911"/>
        <v/>
      </c>
      <c r="AW119" s="796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34" t="str">
        <f t="shared" si="956"/>
        <v/>
      </c>
      <c r="HN119" s="935" t="str">
        <f t="shared" si="957"/>
        <v/>
      </c>
      <c r="HO119" s="936"/>
      <c r="HP119" s="937"/>
      <c r="HQ119" s="935" t="str">
        <f t="shared" si="958"/>
        <v/>
      </c>
      <c r="HR119" s="938" t="str">
        <f t="shared" si="959"/>
        <v/>
      </c>
      <c r="HS119" s="939" t="str">
        <f t="shared" si="1008"/>
        <v/>
      </c>
      <c r="HT119" s="940" t="str">
        <f t="shared" si="960"/>
        <v/>
      </c>
      <c r="HU119" s="941" t="str">
        <f t="shared" si="961"/>
        <v/>
      </c>
      <c r="HV119" s="942" t="str">
        <f t="shared" si="962"/>
        <v/>
      </c>
      <c r="HW119" s="943" t="str">
        <f t="shared" si="963"/>
        <v/>
      </c>
      <c r="HX119" s="944" t="str">
        <f t="shared" si="964"/>
        <v/>
      </c>
      <c r="HY119" s="943" t="str">
        <f t="shared" si="965"/>
        <v/>
      </c>
      <c r="HZ119" s="945" t="str">
        <f t="shared" si="966"/>
        <v/>
      </c>
      <c r="IA119" s="946" t="str">
        <f t="shared" si="967"/>
        <v/>
      </c>
      <c r="IB119" s="947" t="str">
        <f t="shared" si="968"/>
        <v/>
      </c>
      <c r="IC119" s="841" t="str">
        <f t="shared" si="969"/>
        <v/>
      </c>
      <c r="ID119" s="351" t="str">
        <f t="shared" si="970"/>
        <v/>
      </c>
      <c r="IE119" s="843" t="str">
        <f t="shared" si="971"/>
        <v/>
      </c>
      <c r="IF119" s="844"/>
      <c r="IG119" s="789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7" t="str">
        <f t="shared" si="837"/>
        <v/>
      </c>
      <c r="IJ119" s="967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5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899" t="str">
        <f t="shared" si="1011"/>
        <v/>
      </c>
      <c r="AT120" s="895" t="str">
        <f t="shared" si="910"/>
        <v/>
      </c>
      <c r="AU120" s="418"/>
      <c r="AV120" s="164" t="str">
        <f t="shared" si="911"/>
        <v/>
      </c>
      <c r="AW120" s="796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34" t="str">
        <f t="shared" si="956"/>
        <v/>
      </c>
      <c r="HN120" s="935" t="str">
        <f t="shared" si="957"/>
        <v/>
      </c>
      <c r="HO120" s="936"/>
      <c r="HP120" s="937"/>
      <c r="HQ120" s="935" t="str">
        <f t="shared" si="958"/>
        <v/>
      </c>
      <c r="HR120" s="938" t="str">
        <f t="shared" si="959"/>
        <v/>
      </c>
      <c r="HS120" s="939" t="str">
        <f t="shared" si="1008"/>
        <v/>
      </c>
      <c r="HT120" s="940" t="str">
        <f t="shared" si="960"/>
        <v/>
      </c>
      <c r="HU120" s="941" t="str">
        <f t="shared" si="961"/>
        <v/>
      </c>
      <c r="HV120" s="942" t="str">
        <f t="shared" si="962"/>
        <v/>
      </c>
      <c r="HW120" s="943" t="str">
        <f t="shared" si="963"/>
        <v/>
      </c>
      <c r="HX120" s="944" t="str">
        <f t="shared" si="964"/>
        <v/>
      </c>
      <c r="HY120" s="943" t="str">
        <f t="shared" si="965"/>
        <v/>
      </c>
      <c r="HZ120" s="945" t="str">
        <f t="shared" si="966"/>
        <v/>
      </c>
      <c r="IA120" s="946" t="str">
        <f t="shared" si="967"/>
        <v/>
      </c>
      <c r="IB120" s="947" t="str">
        <f t="shared" si="968"/>
        <v/>
      </c>
      <c r="IC120" s="841" t="str">
        <f t="shared" si="969"/>
        <v/>
      </c>
      <c r="ID120" s="351" t="str">
        <f t="shared" si="970"/>
        <v/>
      </c>
      <c r="IE120" s="843" t="str">
        <f t="shared" si="971"/>
        <v/>
      </c>
      <c r="IF120" s="844"/>
      <c r="IG120" s="789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7" t="str">
        <f t="shared" si="837"/>
        <v/>
      </c>
      <c r="IJ120" s="967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5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899" t="str">
        <f t="shared" si="1011"/>
        <v/>
      </c>
      <c r="AT121" s="895" t="str">
        <f t="shared" si="910"/>
        <v/>
      </c>
      <c r="AU121" s="418"/>
      <c r="AV121" s="164" t="str">
        <f t="shared" si="911"/>
        <v/>
      </c>
      <c r="AW121" s="796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34" t="str">
        <f t="shared" si="956"/>
        <v/>
      </c>
      <c r="HN121" s="935" t="str">
        <f t="shared" si="957"/>
        <v/>
      </c>
      <c r="HO121" s="936"/>
      <c r="HP121" s="937"/>
      <c r="HQ121" s="935" t="str">
        <f t="shared" si="958"/>
        <v/>
      </c>
      <c r="HR121" s="938" t="str">
        <f t="shared" si="959"/>
        <v/>
      </c>
      <c r="HS121" s="939" t="str">
        <f t="shared" si="1008"/>
        <v/>
      </c>
      <c r="HT121" s="940" t="str">
        <f t="shared" si="960"/>
        <v/>
      </c>
      <c r="HU121" s="941" t="str">
        <f t="shared" si="961"/>
        <v/>
      </c>
      <c r="HV121" s="942" t="str">
        <f t="shared" si="962"/>
        <v/>
      </c>
      <c r="HW121" s="943" t="str">
        <f t="shared" si="963"/>
        <v/>
      </c>
      <c r="HX121" s="944" t="str">
        <f t="shared" si="964"/>
        <v/>
      </c>
      <c r="HY121" s="943" t="str">
        <f t="shared" si="965"/>
        <v/>
      </c>
      <c r="HZ121" s="945" t="str">
        <f t="shared" si="966"/>
        <v/>
      </c>
      <c r="IA121" s="946" t="str">
        <f t="shared" si="967"/>
        <v/>
      </c>
      <c r="IB121" s="947" t="str">
        <f t="shared" si="968"/>
        <v/>
      </c>
      <c r="IC121" s="841" t="str">
        <f t="shared" si="969"/>
        <v/>
      </c>
      <c r="ID121" s="351" t="str">
        <f t="shared" si="970"/>
        <v/>
      </c>
      <c r="IE121" s="843" t="str">
        <f t="shared" si="971"/>
        <v/>
      </c>
      <c r="IF121" s="844"/>
      <c r="IG121" s="789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7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5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899" t="str">
        <f t="shared" si="1011"/>
        <v/>
      </c>
      <c r="AT122" s="895" t="str">
        <f t="shared" si="910"/>
        <v/>
      </c>
      <c r="AU122" s="418"/>
      <c r="AV122" s="164" t="str">
        <f t="shared" si="911"/>
        <v/>
      </c>
      <c r="AW122" s="796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34" t="str">
        <f t="shared" si="956"/>
        <v/>
      </c>
      <c r="HN122" s="935" t="str">
        <f t="shared" si="957"/>
        <v/>
      </c>
      <c r="HO122" s="936"/>
      <c r="HP122" s="937"/>
      <c r="HQ122" s="935" t="str">
        <f t="shared" si="958"/>
        <v/>
      </c>
      <c r="HR122" s="938" t="str">
        <f t="shared" si="959"/>
        <v/>
      </c>
      <c r="HS122" s="939" t="str">
        <f t="shared" si="1008"/>
        <v/>
      </c>
      <c r="HT122" s="940" t="str">
        <f t="shared" si="960"/>
        <v/>
      </c>
      <c r="HU122" s="941" t="str">
        <f t="shared" si="961"/>
        <v/>
      </c>
      <c r="HV122" s="942" t="str">
        <f t="shared" si="962"/>
        <v/>
      </c>
      <c r="HW122" s="943" t="str">
        <f t="shared" si="963"/>
        <v/>
      </c>
      <c r="HX122" s="944" t="str">
        <f t="shared" si="964"/>
        <v/>
      </c>
      <c r="HY122" s="943" t="str">
        <f t="shared" si="965"/>
        <v/>
      </c>
      <c r="HZ122" s="945" t="str">
        <f t="shared" si="966"/>
        <v/>
      </c>
      <c r="IA122" s="946" t="str">
        <f t="shared" si="967"/>
        <v/>
      </c>
      <c r="IB122" s="947" t="str">
        <f t="shared" si="968"/>
        <v/>
      </c>
      <c r="IC122" s="841" t="str">
        <f t="shared" si="969"/>
        <v/>
      </c>
      <c r="ID122" s="351" t="str">
        <f t="shared" si="970"/>
        <v/>
      </c>
      <c r="IE122" s="843" t="str">
        <f t="shared" si="971"/>
        <v/>
      </c>
      <c r="IF122" s="844"/>
      <c r="IG122" s="789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7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5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899" t="str">
        <f t="shared" si="1011"/>
        <v/>
      </c>
      <c r="AT123" s="895" t="str">
        <f t="shared" si="910"/>
        <v/>
      </c>
      <c r="AU123" s="418"/>
      <c r="AV123" s="164" t="str">
        <f t="shared" si="911"/>
        <v/>
      </c>
      <c r="AW123" s="796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34" t="str">
        <f t="shared" si="956"/>
        <v/>
      </c>
      <c r="HN123" s="935" t="str">
        <f t="shared" si="957"/>
        <v/>
      </c>
      <c r="HO123" s="936"/>
      <c r="HP123" s="937"/>
      <c r="HQ123" s="935" t="str">
        <f t="shared" si="958"/>
        <v/>
      </c>
      <c r="HR123" s="938" t="str">
        <f t="shared" si="959"/>
        <v/>
      </c>
      <c r="HS123" s="939" t="str">
        <f t="shared" si="1008"/>
        <v/>
      </c>
      <c r="HT123" s="940" t="str">
        <f t="shared" si="960"/>
        <v/>
      </c>
      <c r="HU123" s="941" t="str">
        <f t="shared" si="961"/>
        <v/>
      </c>
      <c r="HV123" s="942" t="str">
        <f t="shared" si="962"/>
        <v/>
      </c>
      <c r="HW123" s="943" t="str">
        <f t="shared" si="963"/>
        <v/>
      </c>
      <c r="HX123" s="944" t="str">
        <f t="shared" si="964"/>
        <v/>
      </c>
      <c r="HY123" s="943" t="str">
        <f t="shared" si="965"/>
        <v/>
      </c>
      <c r="HZ123" s="945" t="str">
        <f t="shared" si="966"/>
        <v/>
      </c>
      <c r="IA123" s="946" t="str">
        <f t="shared" si="967"/>
        <v/>
      </c>
      <c r="IB123" s="947" t="str">
        <f t="shared" si="968"/>
        <v/>
      </c>
      <c r="IC123" s="841" t="str">
        <f t="shared" si="969"/>
        <v/>
      </c>
      <c r="ID123" s="351" t="str">
        <f t="shared" si="970"/>
        <v/>
      </c>
      <c r="IE123" s="843" t="str">
        <f t="shared" si="971"/>
        <v/>
      </c>
      <c r="IF123" s="844"/>
      <c r="IG123" s="789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7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5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899" t="str">
        <f t="shared" si="1011"/>
        <v/>
      </c>
      <c r="AT124" s="895" t="str">
        <f t="shared" si="910"/>
        <v/>
      </c>
      <c r="AU124" s="418"/>
      <c r="AV124" s="164" t="str">
        <f t="shared" si="911"/>
        <v/>
      </c>
      <c r="AW124" s="796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34" t="str">
        <f t="shared" si="956"/>
        <v/>
      </c>
      <c r="HN124" s="935" t="str">
        <f t="shared" si="957"/>
        <v/>
      </c>
      <c r="HO124" s="936"/>
      <c r="HP124" s="937"/>
      <c r="HQ124" s="935" t="str">
        <f t="shared" si="958"/>
        <v/>
      </c>
      <c r="HR124" s="938" t="str">
        <f t="shared" si="959"/>
        <v/>
      </c>
      <c r="HS124" s="939" t="str">
        <f t="shared" si="1008"/>
        <v/>
      </c>
      <c r="HT124" s="940" t="str">
        <f t="shared" si="960"/>
        <v/>
      </c>
      <c r="HU124" s="941" t="str">
        <f t="shared" si="961"/>
        <v/>
      </c>
      <c r="HV124" s="942" t="str">
        <f t="shared" si="962"/>
        <v/>
      </c>
      <c r="HW124" s="943" t="str">
        <f t="shared" si="963"/>
        <v/>
      </c>
      <c r="HX124" s="944" t="str">
        <f t="shared" si="964"/>
        <v/>
      </c>
      <c r="HY124" s="943" t="str">
        <f t="shared" si="965"/>
        <v/>
      </c>
      <c r="HZ124" s="945" t="str">
        <f t="shared" si="966"/>
        <v/>
      </c>
      <c r="IA124" s="946" t="str">
        <f t="shared" si="967"/>
        <v/>
      </c>
      <c r="IB124" s="947" t="str">
        <f t="shared" si="968"/>
        <v/>
      </c>
      <c r="IC124" s="841" t="str">
        <f t="shared" si="969"/>
        <v/>
      </c>
      <c r="ID124" s="351" t="str">
        <f t="shared" si="970"/>
        <v/>
      </c>
      <c r="IE124" s="843" t="str">
        <f t="shared" si="971"/>
        <v/>
      </c>
      <c r="IF124" s="844"/>
      <c r="IG124" s="789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7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5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899" t="str">
        <f t="shared" si="1011"/>
        <v/>
      </c>
      <c r="AT125" s="895" t="str">
        <f t="shared" si="910"/>
        <v/>
      </c>
      <c r="AU125" s="418"/>
      <c r="AV125" s="164" t="str">
        <f t="shared" si="911"/>
        <v/>
      </c>
      <c r="AW125" s="796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34" t="str">
        <f t="shared" si="956"/>
        <v/>
      </c>
      <c r="HN125" s="935" t="str">
        <f t="shared" si="957"/>
        <v/>
      </c>
      <c r="HO125" s="936"/>
      <c r="HP125" s="937"/>
      <c r="HQ125" s="935" t="str">
        <f t="shared" si="958"/>
        <v/>
      </c>
      <c r="HR125" s="938" t="str">
        <f t="shared" si="959"/>
        <v/>
      </c>
      <c r="HS125" s="939" t="str">
        <f t="shared" si="1008"/>
        <v/>
      </c>
      <c r="HT125" s="940" t="str">
        <f t="shared" si="960"/>
        <v/>
      </c>
      <c r="HU125" s="941" t="str">
        <f t="shared" si="961"/>
        <v/>
      </c>
      <c r="HV125" s="942" t="str">
        <f t="shared" si="962"/>
        <v/>
      </c>
      <c r="HW125" s="943" t="str">
        <f t="shared" si="963"/>
        <v/>
      </c>
      <c r="HX125" s="944" t="str">
        <f t="shared" si="964"/>
        <v/>
      </c>
      <c r="HY125" s="943" t="str">
        <f t="shared" si="965"/>
        <v/>
      </c>
      <c r="HZ125" s="945" t="str">
        <f t="shared" si="966"/>
        <v/>
      </c>
      <c r="IA125" s="946" t="str">
        <f t="shared" si="967"/>
        <v/>
      </c>
      <c r="IB125" s="947" t="str">
        <f t="shared" si="968"/>
        <v/>
      </c>
      <c r="IC125" s="841" t="str">
        <f t="shared" si="969"/>
        <v/>
      </c>
      <c r="ID125" s="351" t="str">
        <f t="shared" si="970"/>
        <v/>
      </c>
      <c r="IE125" s="843" t="str">
        <f t="shared" si="971"/>
        <v/>
      </c>
      <c r="IF125" s="844"/>
      <c r="IG125" s="789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7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5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899" t="str">
        <f t="shared" si="1011"/>
        <v/>
      </c>
      <c r="AT126" s="895" t="str">
        <f t="shared" si="910"/>
        <v/>
      </c>
      <c r="AU126" s="418"/>
      <c r="AV126" s="164" t="str">
        <f t="shared" si="911"/>
        <v/>
      </c>
      <c r="AW126" s="796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34" t="str">
        <f t="shared" si="956"/>
        <v/>
      </c>
      <c r="HN126" s="935" t="str">
        <f t="shared" si="957"/>
        <v/>
      </c>
      <c r="HO126" s="936"/>
      <c r="HP126" s="937"/>
      <c r="HQ126" s="935" t="str">
        <f t="shared" si="958"/>
        <v/>
      </c>
      <c r="HR126" s="938" t="str">
        <f t="shared" si="959"/>
        <v/>
      </c>
      <c r="HS126" s="939" t="str">
        <f t="shared" si="1008"/>
        <v/>
      </c>
      <c r="HT126" s="940" t="str">
        <f t="shared" si="960"/>
        <v/>
      </c>
      <c r="HU126" s="941" t="str">
        <f t="shared" si="961"/>
        <v/>
      </c>
      <c r="HV126" s="942" t="str">
        <f t="shared" si="962"/>
        <v/>
      </c>
      <c r="HW126" s="943" t="str">
        <f t="shared" si="963"/>
        <v/>
      </c>
      <c r="HX126" s="944" t="str">
        <f t="shared" si="964"/>
        <v/>
      </c>
      <c r="HY126" s="943" t="str">
        <f t="shared" si="965"/>
        <v/>
      </c>
      <c r="HZ126" s="945" t="str">
        <f t="shared" si="966"/>
        <v/>
      </c>
      <c r="IA126" s="946" t="str">
        <f t="shared" si="967"/>
        <v/>
      </c>
      <c r="IB126" s="947" t="str">
        <f t="shared" si="968"/>
        <v/>
      </c>
      <c r="IC126" s="841" t="str">
        <f t="shared" si="969"/>
        <v/>
      </c>
      <c r="ID126" s="351" t="str">
        <f t="shared" si="970"/>
        <v/>
      </c>
      <c r="IE126" s="843" t="str">
        <f t="shared" si="971"/>
        <v/>
      </c>
      <c r="IF126" s="844"/>
      <c r="IG126" s="789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7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5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899" t="str">
        <f t="shared" si="1011"/>
        <v/>
      </c>
      <c r="AT127" s="895" t="str">
        <f t="shared" si="910"/>
        <v/>
      </c>
      <c r="AU127" s="418"/>
      <c r="AV127" s="164" t="str">
        <f t="shared" si="911"/>
        <v/>
      </c>
      <c r="AW127" s="796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34" t="str">
        <f t="shared" si="956"/>
        <v/>
      </c>
      <c r="HN127" s="935" t="str">
        <f t="shared" si="957"/>
        <v/>
      </c>
      <c r="HO127" s="936"/>
      <c r="HP127" s="937"/>
      <c r="HQ127" s="935" t="str">
        <f t="shared" si="958"/>
        <v/>
      </c>
      <c r="HR127" s="938" t="str">
        <f t="shared" si="959"/>
        <v/>
      </c>
      <c r="HS127" s="939" t="str">
        <f t="shared" si="1008"/>
        <v/>
      </c>
      <c r="HT127" s="940" t="str">
        <f t="shared" si="960"/>
        <v/>
      </c>
      <c r="HU127" s="941" t="str">
        <f t="shared" si="961"/>
        <v/>
      </c>
      <c r="HV127" s="942" t="str">
        <f t="shared" si="962"/>
        <v/>
      </c>
      <c r="HW127" s="943" t="str">
        <f t="shared" si="963"/>
        <v/>
      </c>
      <c r="HX127" s="944" t="str">
        <f t="shared" si="964"/>
        <v/>
      </c>
      <c r="HY127" s="943" t="str">
        <f t="shared" si="965"/>
        <v/>
      </c>
      <c r="HZ127" s="945" t="str">
        <f t="shared" si="966"/>
        <v/>
      </c>
      <c r="IA127" s="946" t="str">
        <f t="shared" si="967"/>
        <v/>
      </c>
      <c r="IB127" s="947" t="str">
        <f t="shared" si="968"/>
        <v/>
      </c>
      <c r="IC127" s="841" t="str">
        <f t="shared" si="969"/>
        <v/>
      </c>
      <c r="ID127" s="351" t="str">
        <f t="shared" si="970"/>
        <v/>
      </c>
      <c r="IE127" s="843" t="str">
        <f t="shared" si="971"/>
        <v/>
      </c>
      <c r="IF127" s="844"/>
      <c r="IG127" s="789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7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5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899" t="str">
        <f t="shared" si="1011"/>
        <v/>
      </c>
      <c r="AT128" s="895" t="str">
        <f t="shared" si="910"/>
        <v/>
      </c>
      <c r="AU128" s="418"/>
      <c r="AV128" s="164" t="str">
        <f t="shared" si="911"/>
        <v/>
      </c>
      <c r="AW128" s="796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34" t="str">
        <f t="shared" si="956"/>
        <v/>
      </c>
      <c r="HN128" s="935" t="str">
        <f t="shared" si="957"/>
        <v/>
      </c>
      <c r="HO128" s="936"/>
      <c r="HP128" s="937"/>
      <c r="HQ128" s="935" t="str">
        <f t="shared" si="958"/>
        <v/>
      </c>
      <c r="HR128" s="938" t="str">
        <f t="shared" si="959"/>
        <v/>
      </c>
      <c r="HS128" s="939" t="str">
        <f t="shared" si="1008"/>
        <v/>
      </c>
      <c r="HT128" s="940" t="str">
        <f t="shared" si="960"/>
        <v/>
      </c>
      <c r="HU128" s="941" t="str">
        <f t="shared" si="961"/>
        <v/>
      </c>
      <c r="HV128" s="942" t="str">
        <f t="shared" si="962"/>
        <v/>
      </c>
      <c r="HW128" s="943" t="str">
        <f t="shared" si="963"/>
        <v/>
      </c>
      <c r="HX128" s="944" t="str">
        <f t="shared" si="964"/>
        <v/>
      </c>
      <c r="HY128" s="943" t="str">
        <f t="shared" si="965"/>
        <v/>
      </c>
      <c r="HZ128" s="945" t="str">
        <f t="shared" si="966"/>
        <v/>
      </c>
      <c r="IA128" s="946" t="str">
        <f t="shared" si="967"/>
        <v/>
      </c>
      <c r="IB128" s="947" t="str">
        <f t="shared" si="968"/>
        <v/>
      </c>
      <c r="IC128" s="841" t="str">
        <f t="shared" si="969"/>
        <v/>
      </c>
      <c r="ID128" s="351" t="str">
        <f t="shared" si="970"/>
        <v/>
      </c>
      <c r="IE128" s="843" t="str">
        <f t="shared" si="971"/>
        <v/>
      </c>
      <c r="IF128" s="844"/>
      <c r="IG128" s="789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7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5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899" t="str">
        <f t="shared" si="1011"/>
        <v/>
      </c>
      <c r="AT129" s="895" t="str">
        <f t="shared" si="910"/>
        <v/>
      </c>
      <c r="AU129" s="418"/>
      <c r="AV129" s="164" t="str">
        <f t="shared" si="911"/>
        <v/>
      </c>
      <c r="AW129" s="796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34" t="str">
        <f t="shared" si="956"/>
        <v/>
      </c>
      <c r="HN129" s="935" t="str">
        <f t="shared" si="957"/>
        <v/>
      </c>
      <c r="HO129" s="936"/>
      <c r="HP129" s="937"/>
      <c r="HQ129" s="935" t="str">
        <f t="shared" si="958"/>
        <v/>
      </c>
      <c r="HR129" s="938" t="str">
        <f t="shared" si="959"/>
        <v/>
      </c>
      <c r="HS129" s="939" t="str">
        <f t="shared" si="1008"/>
        <v/>
      </c>
      <c r="HT129" s="940" t="str">
        <f t="shared" si="960"/>
        <v/>
      </c>
      <c r="HU129" s="941" t="str">
        <f t="shared" si="961"/>
        <v/>
      </c>
      <c r="HV129" s="942" t="str">
        <f t="shared" si="962"/>
        <v/>
      </c>
      <c r="HW129" s="943" t="str">
        <f t="shared" si="963"/>
        <v/>
      </c>
      <c r="HX129" s="944" t="str">
        <f t="shared" si="964"/>
        <v/>
      </c>
      <c r="HY129" s="943" t="str">
        <f t="shared" si="965"/>
        <v/>
      </c>
      <c r="HZ129" s="945" t="str">
        <f t="shared" si="966"/>
        <v/>
      </c>
      <c r="IA129" s="946" t="str">
        <f t="shared" si="967"/>
        <v/>
      </c>
      <c r="IB129" s="947" t="str">
        <f t="shared" si="968"/>
        <v/>
      </c>
      <c r="IC129" s="841" t="str">
        <f t="shared" si="969"/>
        <v/>
      </c>
      <c r="ID129" s="351" t="str">
        <f t="shared" si="970"/>
        <v/>
      </c>
      <c r="IE129" s="843" t="str">
        <f t="shared" si="971"/>
        <v/>
      </c>
      <c r="IF129" s="844"/>
      <c r="IG129" s="789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7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6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00" t="str">
        <f t="shared" si="1011"/>
        <v/>
      </c>
      <c r="AT130" s="896" t="str">
        <f t="shared" si="910"/>
        <v/>
      </c>
      <c r="AU130" s="418"/>
      <c r="AV130" s="164" t="str">
        <f t="shared" si="911"/>
        <v/>
      </c>
      <c r="AW130" s="831" t="str">
        <f>IFERROR(INDEX(MassProp!C$9:C$150,MATCH($M130,MassProp!$B$9:$B$150,0)),"")</f>
        <v/>
      </c>
      <c r="AX130" s="832" t="str">
        <f>IFERROR(INDEX(MassProp!D$9:D$150,MATCH($M130,MassProp!$B$9:$B$150,0)),"")</f>
        <v/>
      </c>
      <c r="AY130" s="833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34" t="str">
        <f t="shared" si="956"/>
        <v/>
      </c>
      <c r="HN130" s="935" t="str">
        <f t="shared" si="957"/>
        <v/>
      </c>
      <c r="HO130" s="936"/>
      <c r="HP130" s="937"/>
      <c r="HQ130" s="935" t="str">
        <f t="shared" si="958"/>
        <v/>
      </c>
      <c r="HR130" s="938" t="str">
        <f t="shared" si="959"/>
        <v/>
      </c>
      <c r="HS130" s="939" t="str">
        <f t="shared" ref="HS130:HS150" si="1203">IFERROR(SMALL($GJ$9:$GJ$150,($HK129+1)),"")</f>
        <v/>
      </c>
      <c r="HT130" s="940" t="str">
        <f t="shared" si="960"/>
        <v/>
      </c>
      <c r="HU130" s="941" t="str">
        <f t="shared" si="961"/>
        <v/>
      </c>
      <c r="HV130" s="942" t="str">
        <f t="shared" si="962"/>
        <v/>
      </c>
      <c r="HW130" s="943" t="str">
        <f t="shared" si="963"/>
        <v/>
      </c>
      <c r="HX130" s="944" t="str">
        <f t="shared" si="964"/>
        <v/>
      </c>
      <c r="HY130" s="943" t="str">
        <f t="shared" si="965"/>
        <v/>
      </c>
      <c r="HZ130" s="945" t="str">
        <f t="shared" si="966"/>
        <v/>
      </c>
      <c r="IA130" s="946" t="str">
        <f t="shared" si="967"/>
        <v/>
      </c>
      <c r="IB130" s="947" t="str">
        <f t="shared" si="968"/>
        <v/>
      </c>
      <c r="IC130" s="841" t="str">
        <f t="shared" si="969"/>
        <v/>
      </c>
      <c r="ID130" s="351" t="str">
        <f t="shared" si="970"/>
        <v/>
      </c>
      <c r="IE130" s="843" t="str">
        <f t="shared" si="971"/>
        <v/>
      </c>
      <c r="IF130" s="844"/>
      <c r="IG130" s="789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7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6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00" t="str">
        <f t="shared" si="1011"/>
        <v/>
      </c>
      <c r="AT131" s="896" t="str">
        <f t="shared" si="910"/>
        <v/>
      </c>
      <c r="AU131" s="418"/>
      <c r="AV131" s="164" t="str">
        <f t="shared" si="911"/>
        <v/>
      </c>
      <c r="AW131" s="831" t="str">
        <f>IFERROR(INDEX(MassProp!C$9:C$150,MATCH($M131,MassProp!$B$9:$B$150,0)),"")</f>
        <v/>
      </c>
      <c r="AX131" s="832" t="str">
        <f>IFERROR(INDEX(MassProp!D$9:D$150,MATCH($M131,MassProp!$B$9:$B$150,0)),"")</f>
        <v/>
      </c>
      <c r="AY131" s="833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34" t="str">
        <f t="shared" si="956"/>
        <v/>
      </c>
      <c r="HN131" s="935" t="str">
        <f t="shared" si="957"/>
        <v/>
      </c>
      <c r="HO131" s="936"/>
      <c r="HP131" s="937"/>
      <c r="HQ131" s="935" t="str">
        <f t="shared" si="958"/>
        <v/>
      </c>
      <c r="HR131" s="938" t="str">
        <f t="shared" si="959"/>
        <v/>
      </c>
      <c r="HS131" s="939" t="str">
        <f t="shared" si="1203"/>
        <v/>
      </c>
      <c r="HT131" s="940" t="str">
        <f t="shared" si="960"/>
        <v/>
      </c>
      <c r="HU131" s="941" t="str">
        <f t="shared" si="961"/>
        <v/>
      </c>
      <c r="HV131" s="942" t="str">
        <f t="shared" si="962"/>
        <v/>
      </c>
      <c r="HW131" s="943" t="str">
        <f t="shared" si="963"/>
        <v/>
      </c>
      <c r="HX131" s="944" t="str">
        <f t="shared" si="964"/>
        <v/>
      </c>
      <c r="HY131" s="943" t="str">
        <f t="shared" si="965"/>
        <v/>
      </c>
      <c r="HZ131" s="945" t="str">
        <f t="shared" si="966"/>
        <v/>
      </c>
      <c r="IA131" s="946" t="str">
        <f t="shared" si="967"/>
        <v/>
      </c>
      <c r="IB131" s="947" t="str">
        <f t="shared" si="968"/>
        <v/>
      </c>
      <c r="IC131" s="841" t="str">
        <f t="shared" si="969"/>
        <v/>
      </c>
      <c r="ID131" s="351" t="str">
        <f t="shared" si="970"/>
        <v/>
      </c>
      <c r="IE131" s="843" t="str">
        <f t="shared" si="971"/>
        <v/>
      </c>
      <c r="IF131" s="844"/>
      <c r="IG131" s="789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7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6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00" t="str">
        <f t="shared" si="1011"/>
        <v/>
      </c>
      <c r="AT132" s="896" t="str">
        <f t="shared" si="910"/>
        <v/>
      </c>
      <c r="AU132" s="418"/>
      <c r="AV132" s="164" t="str">
        <f t="shared" si="911"/>
        <v/>
      </c>
      <c r="AW132" s="831" t="str">
        <f>IFERROR(INDEX(MassProp!C$9:C$150,MATCH($M132,MassProp!$B$9:$B$150,0)),"")</f>
        <v/>
      </c>
      <c r="AX132" s="832" t="str">
        <f>IFERROR(INDEX(MassProp!D$9:D$150,MATCH($M132,MassProp!$B$9:$B$150,0)),"")</f>
        <v/>
      </c>
      <c r="AY132" s="833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34" t="str">
        <f t="shared" si="956"/>
        <v/>
      </c>
      <c r="HN132" s="935" t="str">
        <f t="shared" si="957"/>
        <v/>
      </c>
      <c r="HO132" s="936"/>
      <c r="HP132" s="937"/>
      <c r="HQ132" s="935" t="str">
        <f t="shared" si="958"/>
        <v/>
      </c>
      <c r="HR132" s="938" t="str">
        <f t="shared" si="959"/>
        <v/>
      </c>
      <c r="HS132" s="939" t="str">
        <f t="shared" si="1203"/>
        <v/>
      </c>
      <c r="HT132" s="940" t="str">
        <f t="shared" si="960"/>
        <v/>
      </c>
      <c r="HU132" s="941" t="str">
        <f t="shared" si="961"/>
        <v/>
      </c>
      <c r="HV132" s="942" t="str">
        <f t="shared" si="962"/>
        <v/>
      </c>
      <c r="HW132" s="943" t="str">
        <f t="shared" si="963"/>
        <v/>
      </c>
      <c r="HX132" s="944" t="str">
        <f t="shared" si="964"/>
        <v/>
      </c>
      <c r="HY132" s="943" t="str">
        <f t="shared" si="965"/>
        <v/>
      </c>
      <c r="HZ132" s="945" t="str">
        <f t="shared" si="966"/>
        <v/>
      </c>
      <c r="IA132" s="946" t="str">
        <f t="shared" si="967"/>
        <v/>
      </c>
      <c r="IB132" s="947" t="str">
        <f t="shared" si="968"/>
        <v/>
      </c>
      <c r="IC132" s="841" t="str">
        <f t="shared" si="969"/>
        <v/>
      </c>
      <c r="ID132" s="351" t="str">
        <f t="shared" si="970"/>
        <v/>
      </c>
      <c r="IE132" s="843" t="str">
        <f t="shared" si="971"/>
        <v/>
      </c>
      <c r="IF132" s="844"/>
      <c r="IG132" s="789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7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6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00" t="str">
        <f t="shared" si="1011"/>
        <v/>
      </c>
      <c r="AT133" s="896" t="str">
        <f t="shared" si="910"/>
        <v/>
      </c>
      <c r="AU133" s="418"/>
      <c r="AV133" s="164" t="str">
        <f t="shared" si="911"/>
        <v/>
      </c>
      <c r="AW133" s="831" t="str">
        <f>IFERROR(INDEX(MassProp!C$9:C$150,MATCH($M133,MassProp!$B$9:$B$150,0)),"")</f>
        <v/>
      </c>
      <c r="AX133" s="832" t="str">
        <f>IFERROR(INDEX(MassProp!D$9:D$150,MATCH($M133,MassProp!$B$9:$B$150,0)),"")</f>
        <v/>
      </c>
      <c r="AY133" s="833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34" t="str">
        <f t="shared" si="956"/>
        <v/>
      </c>
      <c r="HN133" s="935" t="str">
        <f t="shared" si="957"/>
        <v/>
      </c>
      <c r="HO133" s="936"/>
      <c r="HP133" s="937"/>
      <c r="HQ133" s="935" t="str">
        <f t="shared" si="958"/>
        <v/>
      </c>
      <c r="HR133" s="938" t="str">
        <f t="shared" si="959"/>
        <v/>
      </c>
      <c r="HS133" s="939" t="str">
        <f t="shared" si="1203"/>
        <v/>
      </c>
      <c r="HT133" s="940" t="str">
        <f t="shared" si="960"/>
        <v/>
      </c>
      <c r="HU133" s="941" t="str">
        <f t="shared" si="961"/>
        <v/>
      </c>
      <c r="HV133" s="942" t="str">
        <f t="shared" si="962"/>
        <v/>
      </c>
      <c r="HW133" s="943" t="str">
        <f t="shared" si="963"/>
        <v/>
      </c>
      <c r="HX133" s="944" t="str">
        <f t="shared" si="964"/>
        <v/>
      </c>
      <c r="HY133" s="943" t="str">
        <f t="shared" si="965"/>
        <v/>
      </c>
      <c r="HZ133" s="945" t="str">
        <f t="shared" si="966"/>
        <v/>
      </c>
      <c r="IA133" s="946" t="str">
        <f t="shared" si="967"/>
        <v/>
      </c>
      <c r="IB133" s="947" t="str">
        <f t="shared" si="968"/>
        <v/>
      </c>
      <c r="IC133" s="841" t="str">
        <f t="shared" si="969"/>
        <v/>
      </c>
      <c r="ID133" s="351" t="str">
        <f t="shared" si="970"/>
        <v/>
      </c>
      <c r="IE133" s="843" t="str">
        <f t="shared" si="971"/>
        <v/>
      </c>
      <c r="IF133" s="844"/>
      <c r="IG133" s="789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7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6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00" t="str">
        <f t="shared" si="1011"/>
        <v/>
      </c>
      <c r="AT134" s="896" t="str">
        <f t="shared" si="910"/>
        <v/>
      </c>
      <c r="AU134" s="418"/>
      <c r="AV134" s="164" t="str">
        <f t="shared" si="911"/>
        <v/>
      </c>
      <c r="AW134" s="831" t="str">
        <f>IFERROR(INDEX(MassProp!C$9:C$150,MATCH($M134,MassProp!$B$9:$B$150,0)),"")</f>
        <v/>
      </c>
      <c r="AX134" s="832" t="str">
        <f>IFERROR(INDEX(MassProp!D$9:D$150,MATCH($M134,MassProp!$B$9:$B$150,0)),"")</f>
        <v/>
      </c>
      <c r="AY134" s="833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34" t="str">
        <f t="shared" si="956"/>
        <v/>
      </c>
      <c r="HN134" s="935" t="str">
        <f t="shared" si="957"/>
        <v/>
      </c>
      <c r="HO134" s="936"/>
      <c r="HP134" s="937"/>
      <c r="HQ134" s="935" t="str">
        <f t="shared" si="958"/>
        <v/>
      </c>
      <c r="HR134" s="938" t="str">
        <f t="shared" si="959"/>
        <v/>
      </c>
      <c r="HS134" s="939" t="str">
        <f t="shared" si="1203"/>
        <v/>
      </c>
      <c r="HT134" s="940" t="str">
        <f t="shared" si="960"/>
        <v/>
      </c>
      <c r="HU134" s="941" t="str">
        <f t="shared" si="961"/>
        <v/>
      </c>
      <c r="HV134" s="942" t="str">
        <f t="shared" si="962"/>
        <v/>
      </c>
      <c r="HW134" s="943" t="str">
        <f t="shared" si="963"/>
        <v/>
      </c>
      <c r="HX134" s="944" t="str">
        <f t="shared" si="964"/>
        <v/>
      </c>
      <c r="HY134" s="943" t="str">
        <f t="shared" si="965"/>
        <v/>
      </c>
      <c r="HZ134" s="945" t="str">
        <f t="shared" si="966"/>
        <v/>
      </c>
      <c r="IA134" s="946" t="str">
        <f t="shared" si="967"/>
        <v/>
      </c>
      <c r="IB134" s="947" t="str">
        <f t="shared" si="968"/>
        <v/>
      </c>
      <c r="IC134" s="841" t="str">
        <f t="shared" si="969"/>
        <v/>
      </c>
      <c r="ID134" s="351" t="str">
        <f t="shared" si="970"/>
        <v/>
      </c>
      <c r="IE134" s="843" t="str">
        <f t="shared" si="971"/>
        <v/>
      </c>
      <c r="IF134" s="844"/>
      <c r="IG134" s="789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7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6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00" t="str">
        <f t="shared" si="1011"/>
        <v/>
      </c>
      <c r="AT135" s="896" t="str">
        <f t="shared" si="910"/>
        <v/>
      </c>
      <c r="AU135" s="418"/>
      <c r="AV135" s="164" t="str">
        <f t="shared" si="911"/>
        <v/>
      </c>
      <c r="AW135" s="831" t="str">
        <f>IFERROR(INDEX(MassProp!C$9:C$150,MATCH($M135,MassProp!$B$9:$B$150,0)),"")</f>
        <v/>
      </c>
      <c r="AX135" s="832" t="str">
        <f>IFERROR(INDEX(MassProp!D$9:D$150,MATCH($M135,MassProp!$B$9:$B$150,0)),"")</f>
        <v/>
      </c>
      <c r="AY135" s="833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34" t="str">
        <f t="shared" si="956"/>
        <v/>
      </c>
      <c r="HN135" s="935" t="str">
        <f t="shared" si="957"/>
        <v/>
      </c>
      <c r="HO135" s="936"/>
      <c r="HP135" s="937"/>
      <c r="HQ135" s="935" t="str">
        <f t="shared" si="958"/>
        <v/>
      </c>
      <c r="HR135" s="938" t="str">
        <f t="shared" si="959"/>
        <v/>
      </c>
      <c r="HS135" s="939" t="str">
        <f t="shared" si="1203"/>
        <v/>
      </c>
      <c r="HT135" s="940" t="str">
        <f t="shared" si="960"/>
        <v/>
      </c>
      <c r="HU135" s="941" t="str">
        <f t="shared" si="961"/>
        <v/>
      </c>
      <c r="HV135" s="942" t="str">
        <f t="shared" si="962"/>
        <v/>
      </c>
      <c r="HW135" s="943" t="str">
        <f t="shared" si="963"/>
        <v/>
      </c>
      <c r="HX135" s="944" t="str">
        <f t="shared" si="964"/>
        <v/>
      </c>
      <c r="HY135" s="943" t="str">
        <f t="shared" si="965"/>
        <v/>
      </c>
      <c r="HZ135" s="945" t="str">
        <f t="shared" si="966"/>
        <v/>
      </c>
      <c r="IA135" s="946" t="str">
        <f t="shared" si="967"/>
        <v/>
      </c>
      <c r="IB135" s="947" t="str">
        <f t="shared" si="968"/>
        <v/>
      </c>
      <c r="IC135" s="841" t="str">
        <f t="shared" si="969"/>
        <v/>
      </c>
      <c r="ID135" s="351" t="str">
        <f t="shared" si="970"/>
        <v/>
      </c>
      <c r="IE135" s="843" t="str">
        <f t="shared" si="971"/>
        <v/>
      </c>
      <c r="IF135" s="844"/>
      <c r="IG135" s="789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7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6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00" t="str">
        <f t="shared" si="1011"/>
        <v/>
      </c>
      <c r="AT136" s="896" t="str">
        <f t="shared" si="910"/>
        <v/>
      </c>
      <c r="AU136" s="418"/>
      <c r="AV136" s="164" t="str">
        <f t="shared" si="911"/>
        <v/>
      </c>
      <c r="AW136" s="831" t="str">
        <f>IFERROR(INDEX(MassProp!C$9:C$150,MATCH($M136,MassProp!$B$9:$B$150,0)),"")</f>
        <v/>
      </c>
      <c r="AX136" s="832" t="str">
        <f>IFERROR(INDEX(MassProp!D$9:D$150,MATCH($M136,MassProp!$B$9:$B$150,0)),"")</f>
        <v/>
      </c>
      <c r="AY136" s="833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34" t="str">
        <f t="shared" si="956"/>
        <v/>
      </c>
      <c r="HN136" s="935" t="str">
        <f t="shared" si="957"/>
        <v/>
      </c>
      <c r="HO136" s="936"/>
      <c r="HP136" s="937"/>
      <c r="HQ136" s="935" t="str">
        <f t="shared" si="958"/>
        <v/>
      </c>
      <c r="HR136" s="938" t="str">
        <f t="shared" si="959"/>
        <v/>
      </c>
      <c r="HS136" s="939" t="str">
        <f t="shared" si="1203"/>
        <v/>
      </c>
      <c r="HT136" s="940" t="str">
        <f t="shared" si="960"/>
        <v/>
      </c>
      <c r="HU136" s="941" t="str">
        <f t="shared" si="961"/>
        <v/>
      </c>
      <c r="HV136" s="942" t="str">
        <f t="shared" si="962"/>
        <v/>
      </c>
      <c r="HW136" s="943" t="str">
        <f t="shared" si="963"/>
        <v/>
      </c>
      <c r="HX136" s="944" t="str">
        <f t="shared" si="964"/>
        <v/>
      </c>
      <c r="HY136" s="943" t="str">
        <f t="shared" si="965"/>
        <v/>
      </c>
      <c r="HZ136" s="945" t="str">
        <f t="shared" si="966"/>
        <v/>
      </c>
      <c r="IA136" s="946" t="str">
        <f t="shared" si="967"/>
        <v/>
      </c>
      <c r="IB136" s="947" t="str">
        <f t="shared" si="968"/>
        <v/>
      </c>
      <c r="IC136" s="841" t="str">
        <f t="shared" si="969"/>
        <v/>
      </c>
      <c r="ID136" s="351" t="str">
        <f t="shared" si="970"/>
        <v/>
      </c>
      <c r="IE136" s="843" t="str">
        <f t="shared" si="971"/>
        <v/>
      </c>
      <c r="IF136" s="844"/>
      <c r="IG136" s="789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7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6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00" t="str">
        <f t="shared" si="1011"/>
        <v/>
      </c>
      <c r="AT137" s="896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1" t="str">
        <f>IFERROR(INDEX(MassProp!C$9:C$150,MATCH($M137,MassProp!$B$9:$B$150,0)),"")</f>
        <v/>
      </c>
      <c r="AX137" s="832" t="str">
        <f>IFERROR(INDEX(MassProp!D$9:D$150,MATCH($M137,MassProp!$B$9:$B$150,0)),"")</f>
        <v/>
      </c>
      <c r="AY137" s="833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34" t="str">
        <f t="shared" ref="HM137:HM150" si="1244">IF(ISNUMBER($HL137),INDEX(GO$9:GO$150,MATCH($HL137,$AV$9:$AV$150,0)),"")</f>
        <v/>
      </c>
      <c r="HN137" s="935" t="str">
        <f t="shared" ref="HN137:HN150" si="1245">IF(ISNUMBER($HL137),INDEX(AO$9:AO$150,MATCH($HL137,$AV$9:$AV$150,0)),"")</f>
        <v/>
      </c>
      <c r="HO137" s="936"/>
      <c r="HP137" s="937"/>
      <c r="HQ137" s="935" t="str">
        <f t="shared" ref="HQ137:HQ150" si="1246">IF(ISNUMBER($HL137),INDEX(GQ$9:GQ$150,MATCH($HL137,$AV$9:$AV$150,0)),"")</f>
        <v/>
      </c>
      <c r="HR137" s="938" t="str">
        <f t="shared" ref="HR137:HR150" si="1247">IF(ISNUMBER($HL137),INDEX(GP$9:GP$150,MATCH($HL137,$AV$9:$AV$150,0)),"")</f>
        <v/>
      </c>
      <c r="HS137" s="939" t="str">
        <f t="shared" si="1203"/>
        <v/>
      </c>
      <c r="HT137" s="940" t="str">
        <f t="shared" ref="HT137:HT150" si="1248">IF(ISNUMBER($HL137),INDEX(GL$9:GL$150,MATCH($HL137,$AV$9:$AV$150,0)),"")</f>
        <v/>
      </c>
      <c r="HU137" s="941" t="str">
        <f t="shared" ref="HU137:HU150" si="1249">IF(ISNUMBER($HL137),INDEX(GM$9:GM$150,MATCH($HL137,$AV$9:$AV$150,0)),"")</f>
        <v/>
      </c>
      <c r="HV137" s="942" t="str">
        <f t="shared" ref="HV137:HV150" si="1250">IF(ISNUMBER($HL137),INDEX(GN$9:GN$150,MATCH($HL137,$AV$9:$AV$150,0)),"")</f>
        <v/>
      </c>
      <c r="HW137" s="943" t="str">
        <f t="shared" ref="HW137:HW150" si="1251">IF(ISNUMBER($HL137),INDEX(GW$9:GW$150,MATCH($HL137,$AV$9:$AV$150,0)),"")</f>
        <v/>
      </c>
      <c r="HX137" s="944" t="str">
        <f t="shared" ref="HX137:HX150" si="1252">IF(ISNUMBER($HL137),INDEX(GX$9:GX$150,MATCH($HL137,$AV$9:$AV$150,0)),"")</f>
        <v/>
      </c>
      <c r="HY137" s="943" t="str">
        <f t="shared" ref="HY137:HY150" si="1253">IF(ISNUMBER($HL137),INDEX(GS$9:GS$150,MATCH($HL137,$AV$9:$AV$150,0)),"")</f>
        <v/>
      </c>
      <c r="HZ137" s="945" t="str">
        <f t="shared" ref="HZ137:HZ150" si="1254">IF(ISNUMBER($HL137),INDEX(GU$9:GU$150,MATCH($HL137,$AV$9:$AV$150,0)),"")</f>
        <v/>
      </c>
      <c r="IA137" s="946" t="str">
        <f t="shared" ref="IA137:IA150" si="1255">IF(ISNUMBER($HL137),INDEX(GY$9:GY$150,MATCH($HL137,$AV$9:$AV$150,0)),"")</f>
        <v/>
      </c>
      <c r="IB137" s="947" t="str">
        <f t="shared" ref="IB137:IB150" si="1256">IF(ISNUMBER($HL137),INDEX(GR$9:GR$150,MATCH($HL137,$AV$9:$AV$150,0)),"")</f>
        <v/>
      </c>
      <c r="IC137" s="841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43" t="str">
        <f t="shared" ref="IE137:IE150" si="1259">IF(ISNUMBER($HL137),INDEX(GZ$9:GZ$150,MATCH($HL137,$AV$9:$AV$150,0)),"")</f>
        <v/>
      </c>
      <c r="IF137" s="844"/>
      <c r="IG137" s="789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7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6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00" t="str">
        <f t="shared" si="1011"/>
        <v/>
      </c>
      <c r="AT138" s="896" t="str">
        <f t="shared" si="1227"/>
        <v/>
      </c>
      <c r="AU138" s="418"/>
      <c r="AV138" s="164" t="str">
        <f t="shared" si="1228"/>
        <v/>
      </c>
      <c r="AW138" s="831" t="str">
        <f>IFERROR(INDEX(MassProp!C$9:C$150,MATCH($M138,MassProp!$B$9:$B$150,0)),"")</f>
        <v/>
      </c>
      <c r="AX138" s="832" t="str">
        <f>IFERROR(INDEX(MassProp!D$9:D$150,MATCH($M138,MassProp!$B$9:$B$150,0)),"")</f>
        <v/>
      </c>
      <c r="AY138" s="833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34" t="str">
        <f t="shared" si="1244"/>
        <v/>
      </c>
      <c r="HN138" s="935" t="str">
        <f t="shared" si="1245"/>
        <v/>
      </c>
      <c r="HO138" s="936"/>
      <c r="HP138" s="937"/>
      <c r="HQ138" s="935" t="str">
        <f t="shared" si="1246"/>
        <v/>
      </c>
      <c r="HR138" s="938" t="str">
        <f t="shared" si="1247"/>
        <v/>
      </c>
      <c r="HS138" s="939" t="str">
        <f t="shared" si="1203"/>
        <v/>
      </c>
      <c r="HT138" s="940" t="str">
        <f t="shared" si="1248"/>
        <v/>
      </c>
      <c r="HU138" s="941" t="str">
        <f t="shared" si="1249"/>
        <v/>
      </c>
      <c r="HV138" s="942" t="str">
        <f t="shared" si="1250"/>
        <v/>
      </c>
      <c r="HW138" s="943" t="str">
        <f t="shared" si="1251"/>
        <v/>
      </c>
      <c r="HX138" s="944" t="str">
        <f t="shared" si="1252"/>
        <v/>
      </c>
      <c r="HY138" s="943" t="str">
        <f t="shared" si="1253"/>
        <v/>
      </c>
      <c r="HZ138" s="945" t="str">
        <f t="shared" si="1254"/>
        <v/>
      </c>
      <c r="IA138" s="946" t="str">
        <f t="shared" si="1255"/>
        <v/>
      </c>
      <c r="IB138" s="947" t="str">
        <f t="shared" si="1256"/>
        <v/>
      </c>
      <c r="IC138" s="841" t="str">
        <f t="shared" si="1257"/>
        <v/>
      </c>
      <c r="ID138" s="351" t="str">
        <f t="shared" si="1258"/>
        <v/>
      </c>
      <c r="IE138" s="843" t="str">
        <f t="shared" si="1259"/>
        <v/>
      </c>
      <c r="IF138" s="844"/>
      <c r="IG138" s="789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7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6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00" t="str">
        <f t="shared" ref="AS139:AS150" si="1279">IF(G139="","",IF(AND(W139&lt;(AS138+180),W139&gt;(AS138-180)),W139,IF(W139&gt;(AS138+180),W139-360,IF(W139&lt;(AS138-180),W139+360,"Error"))))</f>
        <v/>
      </c>
      <c r="AT139" s="896" t="str">
        <f t="shared" si="1227"/>
        <v/>
      </c>
      <c r="AU139" s="418"/>
      <c r="AV139" s="164" t="str">
        <f t="shared" si="1228"/>
        <v/>
      </c>
      <c r="AW139" s="831" t="str">
        <f>IFERROR(INDEX(MassProp!C$9:C$150,MATCH($M139,MassProp!$B$9:$B$150,0)),"")</f>
        <v/>
      </c>
      <c r="AX139" s="832" t="str">
        <f>IFERROR(INDEX(MassProp!D$9:D$150,MATCH($M139,MassProp!$B$9:$B$150,0)),"")</f>
        <v/>
      </c>
      <c r="AY139" s="833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34" t="str">
        <f t="shared" si="1244"/>
        <v/>
      </c>
      <c r="HN139" s="935" t="str">
        <f t="shared" si="1245"/>
        <v/>
      </c>
      <c r="HO139" s="936"/>
      <c r="HP139" s="937"/>
      <c r="HQ139" s="935" t="str">
        <f t="shared" si="1246"/>
        <v/>
      </c>
      <c r="HR139" s="938" t="str">
        <f t="shared" si="1247"/>
        <v/>
      </c>
      <c r="HS139" s="939" t="str">
        <f t="shared" si="1203"/>
        <v/>
      </c>
      <c r="HT139" s="940" t="str">
        <f t="shared" si="1248"/>
        <v/>
      </c>
      <c r="HU139" s="941" t="str">
        <f t="shared" si="1249"/>
        <v/>
      </c>
      <c r="HV139" s="942" t="str">
        <f t="shared" si="1250"/>
        <v/>
      </c>
      <c r="HW139" s="943" t="str">
        <f t="shared" si="1251"/>
        <v/>
      </c>
      <c r="HX139" s="944" t="str">
        <f t="shared" si="1252"/>
        <v/>
      </c>
      <c r="HY139" s="943" t="str">
        <f t="shared" si="1253"/>
        <v/>
      </c>
      <c r="HZ139" s="945" t="str">
        <f t="shared" si="1254"/>
        <v/>
      </c>
      <c r="IA139" s="946" t="str">
        <f t="shared" si="1255"/>
        <v/>
      </c>
      <c r="IB139" s="947" t="str">
        <f t="shared" si="1256"/>
        <v/>
      </c>
      <c r="IC139" s="841" t="str">
        <f t="shared" si="1257"/>
        <v/>
      </c>
      <c r="ID139" s="351" t="str">
        <f t="shared" si="1258"/>
        <v/>
      </c>
      <c r="IE139" s="843" t="str">
        <f t="shared" si="1259"/>
        <v/>
      </c>
      <c r="IF139" s="844"/>
      <c r="IG139" s="789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7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6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00" t="str">
        <f t="shared" si="1279"/>
        <v/>
      </c>
      <c r="AT140" s="896" t="str">
        <f t="shared" si="1227"/>
        <v/>
      </c>
      <c r="AU140" s="418"/>
      <c r="AV140" s="164" t="str">
        <f t="shared" si="1228"/>
        <v/>
      </c>
      <c r="AW140" s="831" t="str">
        <f>IFERROR(INDEX(MassProp!C$9:C$150,MATCH($M140,MassProp!$B$9:$B$150,0)),"")</f>
        <v/>
      </c>
      <c r="AX140" s="832" t="str">
        <f>IFERROR(INDEX(MassProp!D$9:D$150,MATCH($M140,MassProp!$B$9:$B$150,0)),"")</f>
        <v/>
      </c>
      <c r="AY140" s="833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34" t="str">
        <f t="shared" si="1244"/>
        <v/>
      </c>
      <c r="HN140" s="935" t="str">
        <f t="shared" si="1245"/>
        <v/>
      </c>
      <c r="HO140" s="936"/>
      <c r="HP140" s="937"/>
      <c r="HQ140" s="935" t="str">
        <f t="shared" si="1246"/>
        <v/>
      </c>
      <c r="HR140" s="938" t="str">
        <f t="shared" si="1247"/>
        <v/>
      </c>
      <c r="HS140" s="939" t="str">
        <f t="shared" si="1203"/>
        <v/>
      </c>
      <c r="HT140" s="940" t="str">
        <f t="shared" si="1248"/>
        <v/>
      </c>
      <c r="HU140" s="941" t="str">
        <f t="shared" si="1249"/>
        <v/>
      </c>
      <c r="HV140" s="942" t="str">
        <f t="shared" si="1250"/>
        <v/>
      </c>
      <c r="HW140" s="943" t="str">
        <f t="shared" si="1251"/>
        <v/>
      </c>
      <c r="HX140" s="944" t="str">
        <f t="shared" si="1252"/>
        <v/>
      </c>
      <c r="HY140" s="943" t="str">
        <f t="shared" si="1253"/>
        <v/>
      </c>
      <c r="HZ140" s="945" t="str">
        <f t="shared" si="1254"/>
        <v/>
      </c>
      <c r="IA140" s="946" t="str">
        <f t="shared" si="1255"/>
        <v/>
      </c>
      <c r="IB140" s="947" t="str">
        <f t="shared" si="1256"/>
        <v/>
      </c>
      <c r="IC140" s="841" t="str">
        <f t="shared" si="1257"/>
        <v/>
      </c>
      <c r="ID140" s="351" t="str">
        <f t="shared" si="1258"/>
        <v/>
      </c>
      <c r="IE140" s="843" t="str">
        <f t="shared" si="1259"/>
        <v/>
      </c>
      <c r="IF140" s="844"/>
      <c r="IG140" s="789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7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6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00" t="str">
        <f t="shared" si="1279"/>
        <v/>
      </c>
      <c r="AT141" s="896" t="str">
        <f t="shared" si="1227"/>
        <v/>
      </c>
      <c r="AU141" s="418"/>
      <c r="AV141" s="164" t="str">
        <f t="shared" si="1228"/>
        <v/>
      </c>
      <c r="AW141" s="831" t="str">
        <f>IFERROR(INDEX(MassProp!C$9:C$150,MATCH($M141,MassProp!$B$9:$B$150,0)),"")</f>
        <v/>
      </c>
      <c r="AX141" s="832" t="str">
        <f>IFERROR(INDEX(MassProp!D$9:D$150,MATCH($M141,MassProp!$B$9:$B$150,0)),"")</f>
        <v/>
      </c>
      <c r="AY141" s="833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34" t="str">
        <f t="shared" si="1244"/>
        <v/>
      </c>
      <c r="HN141" s="935" t="str">
        <f t="shared" si="1245"/>
        <v/>
      </c>
      <c r="HO141" s="936"/>
      <c r="HP141" s="937"/>
      <c r="HQ141" s="935" t="str">
        <f t="shared" si="1246"/>
        <v/>
      </c>
      <c r="HR141" s="938" t="str">
        <f t="shared" si="1247"/>
        <v/>
      </c>
      <c r="HS141" s="939" t="str">
        <f t="shared" si="1203"/>
        <v/>
      </c>
      <c r="HT141" s="940" t="str">
        <f t="shared" si="1248"/>
        <v/>
      </c>
      <c r="HU141" s="941" t="str">
        <f t="shared" si="1249"/>
        <v/>
      </c>
      <c r="HV141" s="942" t="str">
        <f t="shared" si="1250"/>
        <v/>
      </c>
      <c r="HW141" s="943" t="str">
        <f t="shared" si="1251"/>
        <v/>
      </c>
      <c r="HX141" s="944" t="str">
        <f t="shared" si="1252"/>
        <v/>
      </c>
      <c r="HY141" s="943" t="str">
        <f t="shared" si="1253"/>
        <v/>
      </c>
      <c r="HZ141" s="945" t="str">
        <f t="shared" si="1254"/>
        <v/>
      </c>
      <c r="IA141" s="946" t="str">
        <f t="shared" si="1255"/>
        <v/>
      </c>
      <c r="IB141" s="947" t="str">
        <f t="shared" si="1256"/>
        <v/>
      </c>
      <c r="IC141" s="841" t="str">
        <f t="shared" si="1257"/>
        <v/>
      </c>
      <c r="ID141" s="351" t="str">
        <f t="shared" si="1258"/>
        <v/>
      </c>
      <c r="IE141" s="843" t="str">
        <f t="shared" si="1259"/>
        <v/>
      </c>
      <c r="IF141" s="844"/>
      <c r="IG141" s="789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7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6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00" t="str">
        <f t="shared" si="1279"/>
        <v/>
      </c>
      <c r="AT142" s="896" t="str">
        <f t="shared" si="1227"/>
        <v/>
      </c>
      <c r="AU142" s="418"/>
      <c r="AV142" s="164" t="str">
        <f t="shared" si="1228"/>
        <v/>
      </c>
      <c r="AW142" s="831" t="str">
        <f>IFERROR(INDEX(MassProp!C$9:C$150,MATCH($M142,MassProp!$B$9:$B$150,0)),"")</f>
        <v/>
      </c>
      <c r="AX142" s="832" t="str">
        <f>IFERROR(INDEX(MassProp!D$9:D$150,MATCH($M142,MassProp!$B$9:$B$150,0)),"")</f>
        <v/>
      </c>
      <c r="AY142" s="833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34" t="str">
        <f t="shared" si="1244"/>
        <v/>
      </c>
      <c r="HN142" s="935" t="str">
        <f t="shared" si="1245"/>
        <v/>
      </c>
      <c r="HO142" s="936"/>
      <c r="HP142" s="937"/>
      <c r="HQ142" s="935" t="str">
        <f t="shared" si="1246"/>
        <v/>
      </c>
      <c r="HR142" s="938" t="str">
        <f t="shared" si="1247"/>
        <v/>
      </c>
      <c r="HS142" s="939" t="str">
        <f t="shared" si="1203"/>
        <v/>
      </c>
      <c r="HT142" s="940" t="str">
        <f t="shared" si="1248"/>
        <v/>
      </c>
      <c r="HU142" s="941" t="str">
        <f t="shared" si="1249"/>
        <v/>
      </c>
      <c r="HV142" s="942" t="str">
        <f t="shared" si="1250"/>
        <v/>
      </c>
      <c r="HW142" s="943" t="str">
        <f t="shared" si="1251"/>
        <v/>
      </c>
      <c r="HX142" s="944" t="str">
        <f t="shared" si="1252"/>
        <v/>
      </c>
      <c r="HY142" s="943" t="str">
        <f t="shared" si="1253"/>
        <v/>
      </c>
      <c r="HZ142" s="945" t="str">
        <f t="shared" si="1254"/>
        <v/>
      </c>
      <c r="IA142" s="946" t="str">
        <f t="shared" si="1255"/>
        <v/>
      </c>
      <c r="IB142" s="947" t="str">
        <f t="shared" si="1256"/>
        <v/>
      </c>
      <c r="IC142" s="841" t="str">
        <f t="shared" si="1257"/>
        <v/>
      </c>
      <c r="ID142" s="351" t="str">
        <f t="shared" si="1258"/>
        <v/>
      </c>
      <c r="IE142" s="843" t="str">
        <f t="shared" si="1259"/>
        <v/>
      </c>
      <c r="IF142" s="844"/>
      <c r="IG142" s="789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7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6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00" t="str">
        <f t="shared" si="1279"/>
        <v/>
      </c>
      <c r="AT143" s="896" t="str">
        <f t="shared" si="1227"/>
        <v/>
      </c>
      <c r="AU143" s="418"/>
      <c r="AV143" s="164" t="str">
        <f t="shared" si="1228"/>
        <v/>
      </c>
      <c r="AW143" s="831" t="str">
        <f>IFERROR(INDEX(MassProp!C$9:C$150,MATCH($M143,MassProp!$B$9:$B$150,0)),"")</f>
        <v/>
      </c>
      <c r="AX143" s="832" t="str">
        <f>IFERROR(INDEX(MassProp!D$9:D$150,MATCH($M143,MassProp!$B$9:$B$150,0)),"")</f>
        <v/>
      </c>
      <c r="AY143" s="833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34" t="str">
        <f t="shared" si="1244"/>
        <v/>
      </c>
      <c r="HN143" s="935" t="str">
        <f t="shared" si="1245"/>
        <v/>
      </c>
      <c r="HO143" s="936"/>
      <c r="HP143" s="937"/>
      <c r="HQ143" s="935" t="str">
        <f t="shared" si="1246"/>
        <v/>
      </c>
      <c r="HR143" s="938" t="str">
        <f t="shared" si="1247"/>
        <v/>
      </c>
      <c r="HS143" s="939" t="str">
        <f t="shared" si="1203"/>
        <v/>
      </c>
      <c r="HT143" s="940" t="str">
        <f t="shared" si="1248"/>
        <v/>
      </c>
      <c r="HU143" s="941" t="str">
        <f t="shared" si="1249"/>
        <v/>
      </c>
      <c r="HV143" s="942" t="str">
        <f t="shared" si="1250"/>
        <v/>
      </c>
      <c r="HW143" s="943" t="str">
        <f t="shared" si="1251"/>
        <v/>
      </c>
      <c r="HX143" s="944" t="str">
        <f t="shared" si="1252"/>
        <v/>
      </c>
      <c r="HY143" s="943" t="str">
        <f t="shared" si="1253"/>
        <v/>
      </c>
      <c r="HZ143" s="945" t="str">
        <f t="shared" si="1254"/>
        <v/>
      </c>
      <c r="IA143" s="946" t="str">
        <f t="shared" si="1255"/>
        <v/>
      </c>
      <c r="IB143" s="947" t="str">
        <f t="shared" si="1256"/>
        <v/>
      </c>
      <c r="IC143" s="841" t="str">
        <f t="shared" si="1257"/>
        <v/>
      </c>
      <c r="ID143" s="351" t="str">
        <f t="shared" si="1258"/>
        <v/>
      </c>
      <c r="IE143" s="843" t="str">
        <f t="shared" si="1259"/>
        <v/>
      </c>
      <c r="IF143" s="844"/>
      <c r="IG143" s="789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7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6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00" t="str">
        <f t="shared" si="1279"/>
        <v/>
      </c>
      <c r="AT144" s="896" t="str">
        <f t="shared" si="1227"/>
        <v/>
      </c>
      <c r="AU144" s="418"/>
      <c r="AV144" s="164" t="str">
        <f t="shared" si="1228"/>
        <v/>
      </c>
      <c r="AW144" s="831" t="str">
        <f>IFERROR(INDEX(MassProp!C$9:C$150,MATCH($M144,MassProp!$B$9:$B$150,0)),"")</f>
        <v/>
      </c>
      <c r="AX144" s="832" t="str">
        <f>IFERROR(INDEX(MassProp!D$9:D$150,MATCH($M144,MassProp!$B$9:$B$150,0)),"")</f>
        <v/>
      </c>
      <c r="AY144" s="833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34" t="str">
        <f t="shared" si="1244"/>
        <v/>
      </c>
      <c r="HN144" s="935" t="str">
        <f t="shared" si="1245"/>
        <v/>
      </c>
      <c r="HO144" s="936"/>
      <c r="HP144" s="937"/>
      <c r="HQ144" s="935" t="str">
        <f t="shared" si="1246"/>
        <v/>
      </c>
      <c r="HR144" s="938" t="str">
        <f t="shared" si="1247"/>
        <v/>
      </c>
      <c r="HS144" s="939" t="str">
        <f t="shared" si="1203"/>
        <v/>
      </c>
      <c r="HT144" s="940" t="str">
        <f t="shared" si="1248"/>
        <v/>
      </c>
      <c r="HU144" s="941" t="str">
        <f t="shared" si="1249"/>
        <v/>
      </c>
      <c r="HV144" s="942" t="str">
        <f t="shared" si="1250"/>
        <v/>
      </c>
      <c r="HW144" s="943" t="str">
        <f t="shared" si="1251"/>
        <v/>
      </c>
      <c r="HX144" s="944" t="str">
        <f t="shared" si="1252"/>
        <v/>
      </c>
      <c r="HY144" s="943" t="str">
        <f t="shared" si="1253"/>
        <v/>
      </c>
      <c r="HZ144" s="945" t="str">
        <f t="shared" si="1254"/>
        <v/>
      </c>
      <c r="IA144" s="946" t="str">
        <f t="shared" si="1255"/>
        <v/>
      </c>
      <c r="IB144" s="947" t="str">
        <f t="shared" si="1256"/>
        <v/>
      </c>
      <c r="IC144" s="841" t="str">
        <f t="shared" si="1257"/>
        <v/>
      </c>
      <c r="ID144" s="351" t="str">
        <f t="shared" si="1258"/>
        <v/>
      </c>
      <c r="IE144" s="843" t="str">
        <f t="shared" si="1259"/>
        <v/>
      </c>
      <c r="IF144" s="844"/>
      <c r="IG144" s="789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7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6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00" t="str">
        <f t="shared" si="1279"/>
        <v/>
      </c>
      <c r="AT145" s="896" t="str">
        <f t="shared" si="1227"/>
        <v/>
      </c>
      <c r="AU145" s="418"/>
      <c r="AV145" s="164" t="str">
        <f t="shared" si="1228"/>
        <v/>
      </c>
      <c r="AW145" s="831" t="str">
        <f>IFERROR(INDEX(MassProp!C$9:C$150,MATCH($M145,MassProp!$B$9:$B$150,0)),"")</f>
        <v/>
      </c>
      <c r="AX145" s="832" t="str">
        <f>IFERROR(INDEX(MassProp!D$9:D$150,MATCH($M145,MassProp!$B$9:$B$150,0)),"")</f>
        <v/>
      </c>
      <c r="AY145" s="833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34" t="str">
        <f t="shared" si="1244"/>
        <v/>
      </c>
      <c r="HN145" s="935" t="str">
        <f t="shared" si="1245"/>
        <v/>
      </c>
      <c r="HO145" s="936"/>
      <c r="HP145" s="937"/>
      <c r="HQ145" s="935" t="str">
        <f t="shared" si="1246"/>
        <v/>
      </c>
      <c r="HR145" s="938" t="str">
        <f t="shared" si="1247"/>
        <v/>
      </c>
      <c r="HS145" s="939" t="str">
        <f t="shared" si="1203"/>
        <v/>
      </c>
      <c r="HT145" s="940" t="str">
        <f t="shared" si="1248"/>
        <v/>
      </c>
      <c r="HU145" s="941" t="str">
        <f t="shared" si="1249"/>
        <v/>
      </c>
      <c r="HV145" s="942" t="str">
        <f t="shared" si="1250"/>
        <v/>
      </c>
      <c r="HW145" s="943" t="str">
        <f t="shared" si="1251"/>
        <v/>
      </c>
      <c r="HX145" s="944" t="str">
        <f t="shared" si="1252"/>
        <v/>
      </c>
      <c r="HY145" s="943" t="str">
        <f t="shared" si="1253"/>
        <v/>
      </c>
      <c r="HZ145" s="945" t="str">
        <f t="shared" si="1254"/>
        <v/>
      </c>
      <c r="IA145" s="946" t="str">
        <f t="shared" si="1255"/>
        <v/>
      </c>
      <c r="IB145" s="947" t="str">
        <f t="shared" si="1256"/>
        <v/>
      </c>
      <c r="IC145" s="841" t="str">
        <f t="shared" si="1257"/>
        <v/>
      </c>
      <c r="ID145" s="351" t="str">
        <f t="shared" si="1258"/>
        <v/>
      </c>
      <c r="IE145" s="843" t="str">
        <f t="shared" si="1259"/>
        <v/>
      </c>
      <c r="IF145" s="844"/>
      <c r="IG145" s="789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7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6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00" t="str">
        <f t="shared" si="1279"/>
        <v/>
      </c>
      <c r="AT146" s="896" t="str">
        <f t="shared" si="1227"/>
        <v/>
      </c>
      <c r="AU146" s="418"/>
      <c r="AV146" s="164" t="str">
        <f t="shared" si="1228"/>
        <v/>
      </c>
      <c r="AW146" s="831" t="str">
        <f>IFERROR(INDEX(MassProp!C$9:C$150,MATCH($M146,MassProp!$B$9:$B$150,0)),"")</f>
        <v/>
      </c>
      <c r="AX146" s="832" t="str">
        <f>IFERROR(INDEX(MassProp!D$9:D$150,MATCH($M146,MassProp!$B$9:$B$150,0)),"")</f>
        <v/>
      </c>
      <c r="AY146" s="833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34" t="str">
        <f t="shared" si="1244"/>
        <v/>
      </c>
      <c r="HN146" s="935" t="str">
        <f t="shared" si="1245"/>
        <v/>
      </c>
      <c r="HO146" s="936"/>
      <c r="HP146" s="937"/>
      <c r="HQ146" s="935" t="str">
        <f t="shared" si="1246"/>
        <v/>
      </c>
      <c r="HR146" s="938" t="str">
        <f t="shared" si="1247"/>
        <v/>
      </c>
      <c r="HS146" s="939" t="str">
        <f t="shared" si="1203"/>
        <v/>
      </c>
      <c r="HT146" s="940" t="str">
        <f t="shared" si="1248"/>
        <v/>
      </c>
      <c r="HU146" s="941" t="str">
        <f t="shared" si="1249"/>
        <v/>
      </c>
      <c r="HV146" s="942" t="str">
        <f t="shared" si="1250"/>
        <v/>
      </c>
      <c r="HW146" s="943" t="str">
        <f t="shared" si="1251"/>
        <v/>
      </c>
      <c r="HX146" s="944" t="str">
        <f t="shared" si="1252"/>
        <v/>
      </c>
      <c r="HY146" s="943" t="str">
        <f t="shared" si="1253"/>
        <v/>
      </c>
      <c r="HZ146" s="945" t="str">
        <f t="shared" si="1254"/>
        <v/>
      </c>
      <c r="IA146" s="946" t="str">
        <f t="shared" si="1255"/>
        <v/>
      </c>
      <c r="IB146" s="947" t="str">
        <f t="shared" si="1256"/>
        <v/>
      </c>
      <c r="IC146" s="841" t="str">
        <f t="shared" si="1257"/>
        <v/>
      </c>
      <c r="ID146" s="351" t="str">
        <f t="shared" si="1258"/>
        <v/>
      </c>
      <c r="IE146" s="843" t="str">
        <f t="shared" si="1259"/>
        <v/>
      </c>
      <c r="IF146" s="844"/>
      <c r="IG146" s="789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7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6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00" t="str">
        <f t="shared" si="1279"/>
        <v/>
      </c>
      <c r="AT147" s="896" t="str">
        <f t="shared" si="1227"/>
        <v/>
      </c>
      <c r="AU147" s="418"/>
      <c r="AV147" s="164" t="str">
        <f t="shared" si="1228"/>
        <v/>
      </c>
      <c r="AW147" s="831" t="str">
        <f>IFERROR(INDEX(MassProp!C$9:C$150,MATCH($M147,MassProp!$B$9:$B$150,0)),"")</f>
        <v/>
      </c>
      <c r="AX147" s="832" t="str">
        <f>IFERROR(INDEX(MassProp!D$9:D$150,MATCH($M147,MassProp!$B$9:$B$150,0)),"")</f>
        <v/>
      </c>
      <c r="AY147" s="833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34" t="str">
        <f t="shared" si="1244"/>
        <v/>
      </c>
      <c r="HN147" s="935" t="str">
        <f t="shared" si="1245"/>
        <v/>
      </c>
      <c r="HO147" s="936"/>
      <c r="HP147" s="937"/>
      <c r="HQ147" s="935" t="str">
        <f t="shared" si="1246"/>
        <v/>
      </c>
      <c r="HR147" s="938" t="str">
        <f t="shared" si="1247"/>
        <v/>
      </c>
      <c r="HS147" s="939" t="str">
        <f t="shared" si="1203"/>
        <v/>
      </c>
      <c r="HT147" s="940" t="str">
        <f t="shared" si="1248"/>
        <v/>
      </c>
      <c r="HU147" s="941" t="str">
        <f t="shared" si="1249"/>
        <v/>
      </c>
      <c r="HV147" s="942" t="str">
        <f t="shared" si="1250"/>
        <v/>
      </c>
      <c r="HW147" s="943" t="str">
        <f t="shared" si="1251"/>
        <v/>
      </c>
      <c r="HX147" s="944" t="str">
        <f t="shared" si="1252"/>
        <v/>
      </c>
      <c r="HY147" s="943" t="str">
        <f t="shared" si="1253"/>
        <v/>
      </c>
      <c r="HZ147" s="945" t="str">
        <f t="shared" si="1254"/>
        <v/>
      </c>
      <c r="IA147" s="946" t="str">
        <f t="shared" si="1255"/>
        <v/>
      </c>
      <c r="IB147" s="947" t="str">
        <f t="shared" si="1256"/>
        <v/>
      </c>
      <c r="IC147" s="841" t="str">
        <f t="shared" si="1257"/>
        <v/>
      </c>
      <c r="ID147" s="351" t="str">
        <f t="shared" si="1258"/>
        <v/>
      </c>
      <c r="IE147" s="843" t="str">
        <f t="shared" si="1259"/>
        <v/>
      </c>
      <c r="IF147" s="844"/>
      <c r="IG147" s="789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7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6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00" t="str">
        <f t="shared" si="1279"/>
        <v/>
      </c>
      <c r="AT148" s="896" t="str">
        <f t="shared" si="1227"/>
        <v/>
      </c>
      <c r="AU148" s="418"/>
      <c r="AV148" s="164" t="str">
        <f t="shared" si="1228"/>
        <v/>
      </c>
      <c r="AW148" s="831" t="str">
        <f>IFERROR(INDEX(MassProp!C$9:C$150,MATCH($M148,MassProp!$B$9:$B$150,0)),"")</f>
        <v/>
      </c>
      <c r="AX148" s="832" t="str">
        <f>IFERROR(INDEX(MassProp!D$9:D$150,MATCH($M148,MassProp!$B$9:$B$150,0)),"")</f>
        <v/>
      </c>
      <c r="AY148" s="833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34" t="str">
        <f t="shared" si="1244"/>
        <v/>
      </c>
      <c r="HN148" s="935" t="str">
        <f t="shared" si="1245"/>
        <v/>
      </c>
      <c r="HO148" s="936"/>
      <c r="HP148" s="937"/>
      <c r="HQ148" s="935" t="str">
        <f t="shared" si="1246"/>
        <v/>
      </c>
      <c r="HR148" s="938" t="str">
        <f t="shared" si="1247"/>
        <v/>
      </c>
      <c r="HS148" s="939" t="str">
        <f t="shared" si="1203"/>
        <v/>
      </c>
      <c r="HT148" s="940" t="str">
        <f t="shared" si="1248"/>
        <v/>
      </c>
      <c r="HU148" s="941" t="str">
        <f t="shared" si="1249"/>
        <v/>
      </c>
      <c r="HV148" s="942" t="str">
        <f t="shared" si="1250"/>
        <v/>
      </c>
      <c r="HW148" s="943" t="str">
        <f t="shared" si="1251"/>
        <v/>
      </c>
      <c r="HX148" s="944" t="str">
        <f t="shared" si="1252"/>
        <v/>
      </c>
      <c r="HY148" s="943" t="str">
        <f t="shared" si="1253"/>
        <v/>
      </c>
      <c r="HZ148" s="945" t="str">
        <f t="shared" si="1254"/>
        <v/>
      </c>
      <c r="IA148" s="946" t="str">
        <f t="shared" si="1255"/>
        <v/>
      </c>
      <c r="IB148" s="947" t="str">
        <f t="shared" si="1256"/>
        <v/>
      </c>
      <c r="IC148" s="841" t="str">
        <f t="shared" si="1257"/>
        <v/>
      </c>
      <c r="ID148" s="351" t="str">
        <f t="shared" si="1258"/>
        <v/>
      </c>
      <c r="IE148" s="843" t="str">
        <f t="shared" si="1259"/>
        <v/>
      </c>
      <c r="IF148" s="844"/>
      <c r="IG148" s="789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7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6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00" t="str">
        <f t="shared" si="1279"/>
        <v/>
      </c>
      <c r="AT149" s="896" t="str">
        <f t="shared" si="1227"/>
        <v/>
      </c>
      <c r="AU149" s="418"/>
      <c r="AV149" s="164" t="str">
        <f t="shared" si="1228"/>
        <v/>
      </c>
      <c r="AW149" s="831" t="str">
        <f>IFERROR(INDEX(MassProp!C$9:C$150,MATCH($M149,MassProp!$B$9:$B$150,0)),"")</f>
        <v/>
      </c>
      <c r="AX149" s="832" t="str">
        <f>IFERROR(INDEX(MassProp!D$9:D$150,MATCH($M149,MassProp!$B$9:$B$150,0)),"")</f>
        <v/>
      </c>
      <c r="AY149" s="833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34" t="str">
        <f t="shared" si="1244"/>
        <v/>
      </c>
      <c r="HN149" s="935" t="str">
        <f t="shared" si="1245"/>
        <v/>
      </c>
      <c r="HO149" s="936"/>
      <c r="HP149" s="937"/>
      <c r="HQ149" s="935" t="str">
        <f t="shared" si="1246"/>
        <v/>
      </c>
      <c r="HR149" s="938" t="str">
        <f t="shared" si="1247"/>
        <v/>
      </c>
      <c r="HS149" s="939" t="str">
        <f t="shared" si="1203"/>
        <v/>
      </c>
      <c r="HT149" s="940" t="str">
        <f t="shared" si="1248"/>
        <v/>
      </c>
      <c r="HU149" s="941" t="str">
        <f t="shared" si="1249"/>
        <v/>
      </c>
      <c r="HV149" s="942" t="str">
        <f t="shared" si="1250"/>
        <v/>
      </c>
      <c r="HW149" s="943" t="str">
        <f t="shared" si="1251"/>
        <v/>
      </c>
      <c r="HX149" s="944" t="str">
        <f t="shared" si="1252"/>
        <v/>
      </c>
      <c r="HY149" s="943" t="str">
        <f t="shared" si="1253"/>
        <v/>
      </c>
      <c r="HZ149" s="945" t="str">
        <f t="shared" si="1254"/>
        <v/>
      </c>
      <c r="IA149" s="946" t="str">
        <f t="shared" si="1255"/>
        <v/>
      </c>
      <c r="IB149" s="947" t="str">
        <f t="shared" si="1256"/>
        <v/>
      </c>
      <c r="IC149" s="841" t="str">
        <f t="shared" si="1257"/>
        <v/>
      </c>
      <c r="ID149" s="351" t="str">
        <f t="shared" si="1258"/>
        <v/>
      </c>
      <c r="IE149" s="843" t="str">
        <f t="shared" si="1259"/>
        <v/>
      </c>
      <c r="IF149" s="844"/>
      <c r="IG149" s="789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7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7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01" t="str">
        <f t="shared" si="1279"/>
        <v/>
      </c>
      <c r="AT150" s="897" t="str">
        <f t="shared" si="1227"/>
        <v/>
      </c>
      <c r="AU150" s="418"/>
      <c r="AV150" s="164" t="str">
        <f t="shared" si="1228"/>
        <v/>
      </c>
      <c r="AW150" s="834" t="str">
        <f>IFERROR(INDEX(MassProp!C$9:C$150,MATCH($M150,MassProp!$B$9:$B$150,0)),"")</f>
        <v/>
      </c>
      <c r="AX150" s="835" t="str">
        <f>IFERROR(INDEX(MassProp!D$9:D$150,MATCH($M150,MassProp!$B$9:$B$150,0)),"")</f>
        <v/>
      </c>
      <c r="AY150" s="836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34" t="str">
        <f t="shared" si="1244"/>
        <v/>
      </c>
      <c r="HN150" s="935" t="str">
        <f t="shared" si="1245"/>
        <v/>
      </c>
      <c r="HO150" s="936"/>
      <c r="HP150" s="937"/>
      <c r="HQ150" s="935" t="str">
        <f t="shared" si="1246"/>
        <v/>
      </c>
      <c r="HR150" s="938" t="str">
        <f t="shared" si="1247"/>
        <v/>
      </c>
      <c r="HS150" s="939" t="str">
        <f t="shared" si="1203"/>
        <v/>
      </c>
      <c r="HT150" s="940" t="str">
        <f t="shared" si="1248"/>
        <v/>
      </c>
      <c r="HU150" s="941" t="str">
        <f t="shared" si="1249"/>
        <v/>
      </c>
      <c r="HV150" s="942" t="str">
        <f t="shared" si="1250"/>
        <v/>
      </c>
      <c r="HW150" s="943" t="str">
        <f t="shared" si="1251"/>
        <v/>
      </c>
      <c r="HX150" s="944" t="str">
        <f t="shared" si="1252"/>
        <v/>
      </c>
      <c r="HY150" s="943" t="str">
        <f t="shared" si="1253"/>
        <v/>
      </c>
      <c r="HZ150" s="945" t="str">
        <f t="shared" si="1254"/>
        <v/>
      </c>
      <c r="IA150" s="946" t="str">
        <f t="shared" si="1255"/>
        <v/>
      </c>
      <c r="IB150" s="947" t="str">
        <f t="shared" si="1256"/>
        <v/>
      </c>
      <c r="IC150" s="841" t="str">
        <f t="shared" si="1257"/>
        <v/>
      </c>
      <c r="ID150" s="351" t="str">
        <f t="shared" si="1258"/>
        <v/>
      </c>
      <c r="IE150" s="843" t="str">
        <f t="shared" si="1259"/>
        <v/>
      </c>
      <c r="IF150" s="844"/>
      <c r="IG150" s="790" t="str">
        <f>IFERROR(IF($IW150="","",IF($IW150&lt;(((Settings!$C$19/2)*-1)*$IG$8),"Taper","Nose")),"")</f>
        <v/>
      </c>
      <c r="IH150" s="781" t="str">
        <f>IFERROR(IF((((($IY150*COS(RADIANS(180-$JA150)))*COS(RADIANS($JA150)))-(($IZ150*SIN(RADIANS(180-$JA150)))*SIN(RADIANS($JA150))))+$IW150)&lt;(((Settings!$C$19+$IH$8)/2)*-1),"Gage",""),"")</f>
        <v/>
      </c>
      <c r="II150" s="788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1" t="str">
        <f t="shared" si="1260"/>
        <v/>
      </c>
      <c r="IM150" s="781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14.549394150675619</v>
      </c>
      <c r="BA151" s="288">
        <f>SUM(BA9:BA150)</f>
        <v>0.99999999999999978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1" t="s">
        <v>42</v>
      </c>
      <c r="C157" s="1082"/>
      <c r="D157" s="1082"/>
      <c r="E157" s="1082"/>
      <c r="F157" s="1082"/>
      <c r="G157" s="1082"/>
      <c r="H157" s="1082"/>
      <c r="I157" s="1082"/>
      <c r="J157" s="1082"/>
      <c r="K157" s="1082"/>
      <c r="L157" s="1082"/>
      <c r="M157" s="1083"/>
      <c r="Z157" t="s">
        <v>101</v>
      </c>
      <c r="AA157" s="219">
        <v>0</v>
      </c>
    </row>
    <row r="158" spans="1:261" x14ac:dyDescent="0.25">
      <c r="B158" s="1084"/>
      <c r="C158" s="1085"/>
      <c r="D158" s="1085"/>
      <c r="E158" s="1085"/>
      <c r="F158" s="1085"/>
      <c r="G158" s="1085"/>
      <c r="H158" s="1085"/>
      <c r="I158" s="1085"/>
      <c r="J158" s="1085"/>
      <c r="K158" s="1085"/>
      <c r="L158" s="1085"/>
      <c r="M158" s="1086"/>
      <c r="Z158" t="s">
        <v>102</v>
      </c>
      <c r="AA158" s="219">
        <v>0.01</v>
      </c>
    </row>
    <row r="159" spans="1:261" x14ac:dyDescent="0.25">
      <c r="B159" s="1087"/>
      <c r="C159" s="1088"/>
      <c r="D159" s="1088"/>
      <c r="E159" s="1088"/>
      <c r="F159" s="1088"/>
      <c r="G159" s="1088"/>
      <c r="H159" s="1088"/>
      <c r="I159" s="1088"/>
      <c r="J159" s="1088"/>
      <c r="K159" s="1088"/>
      <c r="L159" s="1088"/>
      <c r="M159" s="1089"/>
    </row>
    <row r="160" spans="1:261" ht="15" customHeight="1" x14ac:dyDescent="0.25">
      <c r="B160" s="1090" t="str">
        <f>CONCATENATE(B162," ; ",E162," ; ",H163)</f>
        <v>Absolute-Point ; Incremental-Vector Point ; Radius</v>
      </c>
      <c r="C160" s="1091"/>
      <c r="D160" s="1091"/>
      <c r="E160" s="1091"/>
      <c r="F160" s="1091"/>
      <c r="G160" s="1091"/>
      <c r="H160" s="1091"/>
      <c r="I160" s="1091"/>
      <c r="J160" s="1091"/>
      <c r="K160" s="1091"/>
      <c r="L160" s="1091"/>
      <c r="M160" s="1092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9" ht="15" customHeight="1" x14ac:dyDescent="0.25">
      <c r="B161" s="1093"/>
      <c r="C161" s="1094"/>
      <c r="D161" s="1094"/>
      <c r="E161" s="1094"/>
      <c r="F161" s="1094"/>
      <c r="G161" s="1094"/>
      <c r="H161" s="1094"/>
      <c r="I161" s="1094"/>
      <c r="J161" s="1094"/>
      <c r="K161" s="1094"/>
      <c r="L161" s="1094"/>
      <c r="M161" s="1095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9" x14ac:dyDescent="0.25">
      <c r="B162" s="1076" t="s">
        <v>40</v>
      </c>
      <c r="C162" s="1077"/>
      <c r="D162" s="1078"/>
      <c r="E162" s="1079" t="s">
        <v>41</v>
      </c>
      <c r="F162" s="1077"/>
      <c r="G162" s="1080"/>
      <c r="H162" s="974" t="s">
        <v>305</v>
      </c>
      <c r="I162" s="972"/>
      <c r="J162" s="973"/>
      <c r="K162" s="155"/>
      <c r="L162" s="1096" t="s">
        <v>399</v>
      </c>
      <c r="M162" s="1097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9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874" t="s">
        <v>386</v>
      </c>
      <c r="L163" s="880" t="s">
        <v>398</v>
      </c>
      <c r="M163" s="881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9" ht="15.75" thickTop="1" x14ac:dyDescent="0.25">
      <c r="B164" s="645">
        <v>9.9999999999999995E-7</v>
      </c>
      <c r="C164" s="646">
        <v>0.29580089213549071</v>
      </c>
      <c r="D164" s="647">
        <v>-0.53370160964405466</v>
      </c>
      <c r="E164" s="648">
        <v>-0.93969263802333458</v>
      </c>
      <c r="F164" s="646">
        <v>9.9999999999999995E-7</v>
      </c>
      <c r="G164" s="649">
        <v>0.3420200959662259</v>
      </c>
      <c r="H164" s="648">
        <v>0.26600000000000001</v>
      </c>
      <c r="I164" s="886">
        <v>0.52</v>
      </c>
      <c r="J164" s="890">
        <v>1.101</v>
      </c>
      <c r="K164" s="875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693"/>
      <c r="M164" s="883"/>
      <c r="N164" s="31" t="str">
        <f>IF(M164="Y","N","Y")</f>
        <v>Y</v>
      </c>
      <c r="O164" s="162">
        <f t="shared" ref="O164:O195" si="1306">IFERROR(INDEX(B$164:B$305,MATCH($W164,$J$164:$J$305,0)),"")</f>
        <v>9.9999999999999995E-7</v>
      </c>
      <c r="P164" s="162">
        <f t="shared" ref="P164:P195" si="1307">IFERROR(INDEX(C$164:C$305,MATCH($W164,$J$164:$J$305,0)),"")</f>
        <v>0.29580089213549071</v>
      </c>
      <c r="Q164" s="162">
        <f t="shared" ref="Q164:Q195" si="1308">IFERROR(INDEX(D$164:D$305,MATCH($W164,$J$164:$J$305,0)),"")</f>
        <v>-0.53370160964405466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09">IFERROR(IF($L164="Y",-1*INDEX(F$164:F$305,MATCH($W164,$J$164:$J$305,0)),INDEX(F$164:F$305,MATCH($W164,$J$164:$J$305,0))),"")</f>
        <v>9.9999999999999995E-7</v>
      </c>
      <c r="T164" s="162">
        <f t="shared" ref="T164:T227" si="1310">IFERROR(IF($L164="Y",-1*INDEX(G$164:G$305,MATCH($W164,$J$164:$J$305,0)),INDEX(G$164:G$305,MATCH($W164,$J$164:$J$305,0))),"")</f>
        <v>0.3420200959662259</v>
      </c>
      <c r="U164" s="162">
        <f>IFERROR(IF(ISNUMBER(MATCH($X164,Settings!$AK$28:$AK$36,0)),INDEX(Settings!$AO$14:$AO$36,MATCH($X164,Settings!$AK$14:$AK$36,0))/2,INDEX(Settings!$AM$14:$AM$36,MATCH($X164,Settings!$AK$14:$AK$36,0))/2),"")</f>
        <v>0.26450000000000001</v>
      </c>
      <c r="V164" s="162">
        <f t="shared" ref="V164:V195" si="1311">IFERROR(INDEX(I$164:I$305,MATCH($W164,$J$164:$J$305,0)),"")</f>
        <v>0.52</v>
      </c>
      <c r="W164" s="75" cm="1">
        <f t="array" ref="W164:W206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882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E164">
        <v>0</v>
      </c>
      <c r="AF164">
        <v>0.29580089213549071</v>
      </c>
      <c r="AG164">
        <v>-0.53370160964405466</v>
      </c>
      <c r="AH164">
        <v>-0.93969263802333458</v>
      </c>
      <c r="AI164">
        <v>0</v>
      </c>
      <c r="AJ164">
        <v>0.3420200959662259</v>
      </c>
      <c r="AK164" s="82">
        <v>0.26600000000000001</v>
      </c>
      <c r="AL164" s="419">
        <v>0.52</v>
      </c>
      <c r="AM164">
        <v>1.101</v>
      </c>
    </row>
    <row r="165" spans="2:39" x14ac:dyDescent="0.25">
      <c r="B165" s="650">
        <v>9.9999999999999995E-7</v>
      </c>
      <c r="C165" s="651">
        <v>0.92410278709400595</v>
      </c>
      <c r="D165" s="652">
        <v>-0.40190121213405577</v>
      </c>
      <c r="E165" s="653">
        <v>-0.96592583607220739</v>
      </c>
      <c r="F165" s="651">
        <v>9.9999999999999995E-7</v>
      </c>
      <c r="G165" s="654">
        <v>0.25881900859134593</v>
      </c>
      <c r="H165" s="653">
        <v>0.26600000000000001</v>
      </c>
      <c r="I165" s="887">
        <v>0.52</v>
      </c>
      <c r="J165" s="891">
        <v>1.1040000000000001</v>
      </c>
      <c r="K165" s="876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1313</v>
      </c>
      <c r="L165" s="683"/>
      <c r="M165" s="879"/>
      <c r="N165" s="31" t="str">
        <f t="shared" ref="N165:N228" si="1312">IF(M165="Y","N","Y")</f>
        <v>Y</v>
      </c>
      <c r="O165" s="162">
        <f t="shared" si="1306"/>
        <v>9.9999999999999995E-7</v>
      </c>
      <c r="P165" s="162">
        <f t="shared" si="1307"/>
        <v>0.92410278709400595</v>
      </c>
      <c r="Q165" s="162">
        <f t="shared" si="1308"/>
        <v>-0.40190121213405577</v>
      </c>
      <c r="R165" s="162">
        <f t="shared" ref="R165:R228" si="1313">IFERROR(IF($L165="Y",-1*INDEX(E$164:E$305,MATCH($W165,$J$164:$J$305,0)),INDEX(E$164:E$305,MATCH($W165,$J$164:$J$305,0))),"")</f>
        <v>-0.96592583607220739</v>
      </c>
      <c r="S165" s="162">
        <f t="shared" si="1309"/>
        <v>9.9999999999999995E-7</v>
      </c>
      <c r="T165" s="162">
        <f t="shared" si="1310"/>
        <v>0.25881900859134593</v>
      </c>
      <c r="U165" s="162">
        <f>IFERROR(IF(ISNUMBER(MATCH($X165,Settings!$AK$28:$AK$36,0)),INDEX(Settings!$AO$14:$AO$36,MATCH($X165,Settings!$AK$14:$AK$36,0))/2,INDEX(Settings!$AM$14:$AM$36,MATCH($X165,Settings!$AK$14:$AK$36,0))/2),"")</f>
        <v>0.26450000000000001</v>
      </c>
      <c r="V165" s="162">
        <f t="shared" si="1311"/>
        <v>0.52</v>
      </c>
      <c r="W165" s="75">
        <v>1.1040000000000001</v>
      </c>
      <c r="X165" s="882">
        <f t="shared" ref="X165:X228" si="1314">IFERROR(INDEX(K$164:K$305,MATCH($W165,$J$164:$J$305,0)),"")</f>
        <v>1313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E165">
        <v>5.549066237130535E-17</v>
      </c>
      <c r="AF165">
        <v>0.92410278709400595</v>
      </c>
      <c r="AG165">
        <v>-0.40190121213405577</v>
      </c>
      <c r="AH165">
        <v>-0.96592583607220739</v>
      </c>
      <c r="AI165">
        <v>0</v>
      </c>
      <c r="AJ165">
        <v>0.25881900859134593</v>
      </c>
      <c r="AK165" s="82">
        <v>0.26600000000000001</v>
      </c>
      <c r="AL165" s="419">
        <v>0.52</v>
      </c>
      <c r="AM165">
        <v>1.1040000000000001</v>
      </c>
    </row>
    <row r="166" spans="2:39" x14ac:dyDescent="0.25">
      <c r="B166" s="650">
        <v>9.9999999999999995E-7</v>
      </c>
      <c r="C166" s="651">
        <v>1.5510046778301083</v>
      </c>
      <c r="D166" s="652">
        <v>-0.26290079290879131</v>
      </c>
      <c r="E166" s="653">
        <v>-0.96592583607220739</v>
      </c>
      <c r="F166" s="651">
        <v>9.9999999999999995E-7</v>
      </c>
      <c r="G166" s="654">
        <v>0.25881900859134593</v>
      </c>
      <c r="H166" s="653">
        <v>0.26600000000000001</v>
      </c>
      <c r="I166" s="887">
        <v>0.52</v>
      </c>
      <c r="J166" s="891">
        <v>1.107</v>
      </c>
      <c r="K166" s="876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1313</v>
      </c>
      <c r="L166" s="683"/>
      <c r="M166" s="879"/>
      <c r="N166" s="31" t="str">
        <f t="shared" si="1312"/>
        <v>Y</v>
      </c>
      <c r="O166" s="162">
        <f t="shared" si="1306"/>
        <v>9.9999999999999995E-7</v>
      </c>
      <c r="P166" s="162">
        <f t="shared" si="1307"/>
        <v>1.5510046778301083</v>
      </c>
      <c r="Q166" s="162">
        <f t="shared" si="1308"/>
        <v>-0.26290079290879131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09"/>
        <v>9.9999999999999995E-7</v>
      </c>
      <c r="T166" s="162">
        <f t="shared" si="1310"/>
        <v>0.25881900859134593</v>
      </c>
      <c r="U166" s="162">
        <f>IFERROR(IF(ISNUMBER(MATCH($X166,Settings!$AK$28:$AK$36,0)),INDEX(Settings!$AO$14:$AO$36,MATCH($X166,Settings!$AK$14:$AK$36,0))/2,INDEX(Settings!$AM$14:$AM$36,MATCH($X166,Settings!$AK$14:$AK$36,0))/2),"")</f>
        <v>0.26450000000000001</v>
      </c>
      <c r="V166" s="162">
        <f t="shared" si="1311"/>
        <v>0.52</v>
      </c>
      <c r="W166" s="75">
        <v>1.107</v>
      </c>
      <c r="X166" s="882">
        <f t="shared" si="1314"/>
        <v>1313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E166">
        <v>-3.1586992426743044E-16</v>
      </c>
      <c r="AF166">
        <v>1.5510046778301083</v>
      </c>
      <c r="AG166">
        <v>-0.26290079290879131</v>
      </c>
      <c r="AH166">
        <v>-0.96592583607220739</v>
      </c>
      <c r="AI166">
        <v>0</v>
      </c>
      <c r="AJ166">
        <v>0.25881900859134593</v>
      </c>
      <c r="AK166" s="82">
        <v>0.26600000000000001</v>
      </c>
      <c r="AL166" s="419">
        <v>0.52</v>
      </c>
      <c r="AM166">
        <v>1.107</v>
      </c>
    </row>
    <row r="167" spans="2:39" x14ac:dyDescent="0.25">
      <c r="B167" s="650">
        <v>9.9999999999999995E-7</v>
      </c>
      <c r="C167" s="651">
        <v>2.1778065682646099</v>
      </c>
      <c r="D167" s="652">
        <v>-0.12400037398512791</v>
      </c>
      <c r="E167" s="653">
        <v>-0.96592583607220739</v>
      </c>
      <c r="F167" s="651">
        <v>9.9999999999999995E-7</v>
      </c>
      <c r="G167" s="654">
        <v>0.25881900859134593</v>
      </c>
      <c r="H167" s="653">
        <v>0.26600000000000001</v>
      </c>
      <c r="I167" s="887">
        <v>0.52</v>
      </c>
      <c r="J167" s="891">
        <v>1.1100000000000001</v>
      </c>
      <c r="K167" s="876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683"/>
      <c r="M167" s="879"/>
      <c r="N167" s="31" t="str">
        <f t="shared" si="1312"/>
        <v>Y</v>
      </c>
      <c r="O167" s="162">
        <f t="shared" si="1306"/>
        <v>9.9999999999999995E-7</v>
      </c>
      <c r="P167" s="162">
        <f t="shared" si="1307"/>
        <v>2.1778065682646099</v>
      </c>
      <c r="Q167" s="162">
        <f t="shared" si="1308"/>
        <v>-0.12400037398512791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09"/>
        <v>9.9999999999999995E-7</v>
      </c>
      <c r="T167" s="162">
        <f t="shared" si="1310"/>
        <v>0.25881900859134593</v>
      </c>
      <c r="U167" s="162">
        <f>IFERROR(IF(ISNUMBER(MATCH($X167,Settings!$AK$28:$AK$36,0)),INDEX(Settings!$AO$14:$AO$36,MATCH($X167,Settings!$AK$14:$AK$36,0))/2,INDEX(Settings!$AM$14:$AM$36,MATCH($X167,Settings!$AK$14:$AK$36,0))/2),"")</f>
        <v>0.26450000000000001</v>
      </c>
      <c r="V167" s="162">
        <f t="shared" si="1311"/>
        <v>0.52</v>
      </c>
      <c r="W167" s="75">
        <v>1.1100000000000001</v>
      </c>
      <c r="X167" s="882">
        <f t="shared" si="1314"/>
        <v>1313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E167">
        <v>-1.4512942466341399E-16</v>
      </c>
      <c r="AF167">
        <v>2.1778065682646099</v>
      </c>
      <c r="AG167">
        <v>-0.12400037398512791</v>
      </c>
      <c r="AH167">
        <v>-0.96592583607220739</v>
      </c>
      <c r="AI167">
        <v>0</v>
      </c>
      <c r="AJ167">
        <v>0.25881900859134593</v>
      </c>
      <c r="AK167" s="82">
        <v>0.26600000000000001</v>
      </c>
      <c r="AL167" s="419">
        <v>0.52</v>
      </c>
      <c r="AM167">
        <v>1.1100000000000001</v>
      </c>
    </row>
    <row r="168" spans="2:39" x14ac:dyDescent="0.25">
      <c r="B168" s="650">
        <v>1.7001201285133716E-2</v>
      </c>
      <c r="C168" s="651">
        <v>2.864958197145651</v>
      </c>
      <c r="D168" s="652">
        <v>-5.2500158340477561E-2</v>
      </c>
      <c r="E168" s="653">
        <v>-0.95175588380876563</v>
      </c>
      <c r="F168" s="651">
        <v>6.3561420389576684E-2</v>
      </c>
      <c r="G168" s="654">
        <v>0.30020107173935096</v>
      </c>
      <c r="H168" s="653">
        <v>0.314</v>
      </c>
      <c r="I168" s="887">
        <v>0.52</v>
      </c>
      <c r="J168" s="891">
        <v>1.113</v>
      </c>
      <c r="K168" s="876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879"/>
      <c r="N168" s="31" t="str">
        <f t="shared" si="1312"/>
        <v>Y</v>
      </c>
      <c r="O168" s="162">
        <f t="shared" si="1306"/>
        <v>1.7001201285133716E-2</v>
      </c>
      <c r="P168" s="162">
        <f t="shared" si="1307"/>
        <v>2.864958197145651</v>
      </c>
      <c r="Q168" s="162">
        <f t="shared" si="1308"/>
        <v>-5.2500158340477561E-2</v>
      </c>
      <c r="R168" s="162">
        <f t="shared" si="1313"/>
        <v>-0.95175588380876563</v>
      </c>
      <c r="S168" s="162">
        <f t="shared" si="1309"/>
        <v>6.3561420389576684E-2</v>
      </c>
      <c r="T168" s="162">
        <f t="shared" si="1310"/>
        <v>0.30020107173935096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1.113</v>
      </c>
      <c r="X168" s="882">
        <f t="shared" si="1314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E168">
        <v>1.7001201285133716E-2</v>
      </c>
      <c r="AF168">
        <v>2.864958197145651</v>
      </c>
      <c r="AG168">
        <v>-5.2500158340477561E-2</v>
      </c>
      <c r="AH168">
        <v>-0.95175588380876563</v>
      </c>
      <c r="AI168">
        <v>6.3561420389576684E-2</v>
      </c>
      <c r="AJ168">
        <v>0.30020107173935096</v>
      </c>
      <c r="AK168" s="82">
        <v>0.314</v>
      </c>
      <c r="AL168" s="419">
        <v>0.52</v>
      </c>
      <c r="AM168">
        <v>1.113</v>
      </c>
    </row>
    <row r="169" spans="2:39" x14ac:dyDescent="0.25">
      <c r="B169" s="650">
        <v>6.0160224477057322E-2</v>
      </c>
      <c r="C169" s="651">
        <v>3.6280121850864906</v>
      </c>
      <c r="D169" s="652">
        <v>-0.21210063969552917</v>
      </c>
      <c r="E169" s="653">
        <v>-0.93058422978776689</v>
      </c>
      <c r="F169" s="651">
        <v>0.21913562749187504</v>
      </c>
      <c r="G169" s="654">
        <v>0.29324489430176098</v>
      </c>
      <c r="H169" s="653">
        <v>0.314</v>
      </c>
      <c r="I169" s="887">
        <v>0.52</v>
      </c>
      <c r="J169" s="891">
        <v>1.1160000000000001</v>
      </c>
      <c r="K169" s="876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879"/>
      <c r="N169" s="31" t="str">
        <f t="shared" si="1312"/>
        <v>Y</v>
      </c>
      <c r="O169" s="162">
        <f t="shared" si="1306"/>
        <v>6.0160224477057322E-2</v>
      </c>
      <c r="P169" s="162">
        <f t="shared" si="1307"/>
        <v>3.6280121850864906</v>
      </c>
      <c r="Q169" s="162">
        <f t="shared" si="1308"/>
        <v>-0.21210063969552917</v>
      </c>
      <c r="R169" s="162">
        <f t="shared" si="1313"/>
        <v>-0.93058422978776689</v>
      </c>
      <c r="S169" s="162">
        <f t="shared" si="1309"/>
        <v>0.21913562749187504</v>
      </c>
      <c r="T169" s="162">
        <f t="shared" si="1310"/>
        <v>0.29324489430176098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1.1160000000000001</v>
      </c>
      <c r="X169" s="882">
        <f t="shared" si="1314"/>
        <v>1613</v>
      </c>
      <c r="AE169">
        <v>6.0160224477057322E-2</v>
      </c>
      <c r="AF169">
        <v>3.6280121850864906</v>
      </c>
      <c r="AG169">
        <v>-0.21210063969552917</v>
      </c>
      <c r="AH169">
        <v>-0.93058422978776689</v>
      </c>
      <c r="AI169">
        <v>0.21913562749187504</v>
      </c>
      <c r="AJ169">
        <v>0.29324489430176098</v>
      </c>
      <c r="AK169" s="82">
        <v>0.314</v>
      </c>
      <c r="AL169" s="419">
        <v>0.52</v>
      </c>
      <c r="AM169">
        <v>1.1160000000000001</v>
      </c>
    </row>
    <row r="170" spans="2:39" x14ac:dyDescent="0.25">
      <c r="B170" s="650">
        <v>0.11410281182323204</v>
      </c>
      <c r="C170" s="651">
        <v>4.2441792812589672</v>
      </c>
      <c r="D170" s="652">
        <v>-0.68420206355342394</v>
      </c>
      <c r="E170" s="653">
        <v>-0.90402806633293786</v>
      </c>
      <c r="F170" s="651">
        <v>0.36159515556283728</v>
      </c>
      <c r="G170" s="654">
        <v>0.22799604986888902</v>
      </c>
      <c r="H170" s="653">
        <v>0.314</v>
      </c>
      <c r="I170" s="887">
        <v>0.52</v>
      </c>
      <c r="J170" s="891">
        <v>1.119</v>
      </c>
      <c r="K170" s="876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879"/>
      <c r="N170" s="31" t="str">
        <f t="shared" si="1312"/>
        <v>Y</v>
      </c>
      <c r="O170" s="162">
        <f t="shared" si="1306"/>
        <v>0.11410281182323204</v>
      </c>
      <c r="P170" s="162">
        <f t="shared" si="1307"/>
        <v>4.2441792812589672</v>
      </c>
      <c r="Q170" s="162">
        <f t="shared" si="1308"/>
        <v>-0.68420206355342394</v>
      </c>
      <c r="R170" s="162">
        <f t="shared" si="1313"/>
        <v>-0.90402806633293786</v>
      </c>
      <c r="S170" s="162">
        <f t="shared" si="1309"/>
        <v>0.36159515556283728</v>
      </c>
      <c r="T170" s="162">
        <f t="shared" si="1310"/>
        <v>0.22799604986888902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1"/>
        <v>0.52</v>
      </c>
      <c r="W170" s="75">
        <v>1.119</v>
      </c>
      <c r="X170" s="882">
        <f t="shared" si="1314"/>
        <v>1613</v>
      </c>
      <c r="AE170">
        <v>0.11410281182323204</v>
      </c>
      <c r="AF170">
        <v>4.2441792812589672</v>
      </c>
      <c r="AG170">
        <v>-0.68420206355342394</v>
      </c>
      <c r="AH170">
        <v>-0.90402806633293786</v>
      </c>
      <c r="AI170">
        <v>0.36159515556283728</v>
      </c>
      <c r="AJ170">
        <v>0.22799604986888902</v>
      </c>
      <c r="AK170" s="82">
        <v>0.314</v>
      </c>
      <c r="AL170" s="419">
        <v>0.52</v>
      </c>
      <c r="AM170">
        <v>1.119</v>
      </c>
    </row>
    <row r="171" spans="2:39" x14ac:dyDescent="0.25">
      <c r="B171" s="650">
        <v>0.15325667511735006</v>
      </c>
      <c r="C171" s="651">
        <v>4.5956591659258832</v>
      </c>
      <c r="D171" s="652">
        <v>-1.3814041663149654</v>
      </c>
      <c r="E171" s="653">
        <v>-0.8776031045833359</v>
      </c>
      <c r="F171" s="651">
        <v>0.4644016483520268</v>
      </c>
      <c r="G171" s="654">
        <v>0.11892812885777294</v>
      </c>
      <c r="H171" s="653">
        <v>0.314</v>
      </c>
      <c r="I171" s="887">
        <v>0.52</v>
      </c>
      <c r="J171" s="891">
        <v>1.1220000000000001</v>
      </c>
      <c r="K171" s="876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879"/>
      <c r="N171" s="31" t="str">
        <f t="shared" si="1312"/>
        <v>Y</v>
      </c>
      <c r="O171" s="162">
        <f>IFERROR(INDEX(B$164:B$305,MATCH($W171,$J$164:$J$305,0)),"")</f>
        <v>0.15325667511735006</v>
      </c>
      <c r="P171" s="162">
        <f t="shared" si="1307"/>
        <v>4.5956591659258832</v>
      </c>
      <c r="Q171" s="162">
        <f t="shared" si="1308"/>
        <v>-1.3814041663149654</v>
      </c>
      <c r="R171" s="162">
        <f>IFERROR(IF($L171="Y",-1*INDEX(E$164:E$305,MATCH($W171,$J$164:$J$305,0)),INDEX(E$164:E$305,MATCH($W171,$J$164:$J$305,0))),"")</f>
        <v>-0.8776031045833359</v>
      </c>
      <c r="S171" s="162">
        <f t="shared" si="1309"/>
        <v>0.4644016483520268</v>
      </c>
      <c r="T171" s="162">
        <f t="shared" si="1310"/>
        <v>0.11892812885777294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1.1220000000000001</v>
      </c>
      <c r="X171" s="882">
        <f t="shared" si="1314"/>
        <v>1613</v>
      </c>
      <c r="AE171">
        <v>0.15325667511735006</v>
      </c>
      <c r="AF171">
        <v>4.5956591659258832</v>
      </c>
      <c r="AG171">
        <v>-1.3814041663149654</v>
      </c>
      <c r="AH171">
        <v>-0.8776031045833359</v>
      </c>
      <c r="AI171">
        <v>0.4644016483520268</v>
      </c>
      <c r="AJ171">
        <v>0.11892812885777294</v>
      </c>
      <c r="AK171" s="82">
        <v>0.314</v>
      </c>
      <c r="AL171" s="419">
        <v>0.52</v>
      </c>
      <c r="AM171">
        <v>1.1220000000000001</v>
      </c>
    </row>
    <row r="172" spans="2:39" x14ac:dyDescent="0.25">
      <c r="B172" s="650">
        <v>0.17159384104805164</v>
      </c>
      <c r="C172" s="651">
        <v>4.7474999645828726</v>
      </c>
      <c r="D172" s="652">
        <v>-2.0673062349956051</v>
      </c>
      <c r="E172" s="653">
        <v>-0.83191399331943161</v>
      </c>
      <c r="F172" s="651">
        <v>0.55334037381019141</v>
      </c>
      <c r="G172" s="654">
        <v>4.1635783058740827E-2</v>
      </c>
      <c r="H172" s="653">
        <v>0.26600000000000001</v>
      </c>
      <c r="I172" s="887">
        <v>0.52</v>
      </c>
      <c r="J172" s="891">
        <v>1.125</v>
      </c>
      <c r="K172" s="876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1313</v>
      </c>
      <c r="L172" s="683"/>
      <c r="M172" s="879"/>
      <c r="N172" s="31" t="str">
        <f t="shared" si="1312"/>
        <v>Y</v>
      </c>
      <c r="O172" s="162">
        <f t="shared" si="1306"/>
        <v>0.17159384104805164</v>
      </c>
      <c r="P172" s="162">
        <f t="shared" si="1307"/>
        <v>4.7474999645828726</v>
      </c>
      <c r="Q172" s="162">
        <f t="shared" si="1308"/>
        <v>-2.0673062349956051</v>
      </c>
      <c r="R172" s="162">
        <f t="shared" si="1313"/>
        <v>-0.83191399331943161</v>
      </c>
      <c r="S172" s="162">
        <f t="shared" si="1309"/>
        <v>0.55334037381019141</v>
      </c>
      <c r="T172" s="162">
        <f t="shared" si="1310"/>
        <v>4.1635783058740827E-2</v>
      </c>
      <c r="U172" s="162">
        <f>IFERROR(IF(ISNUMBER(MATCH($X172,Settings!$AK$28:$AK$36,0)),INDEX(Settings!$AO$14:$AO$36,MATCH($X172,Settings!$AK$14:$AK$36,0))/2,INDEX(Settings!$AM$14:$AM$36,MATCH($X172,Settings!$AK$14:$AK$36,0))/2),"")</f>
        <v>0.26450000000000001</v>
      </c>
      <c r="V172" s="162">
        <f t="shared" si="1311"/>
        <v>0.52</v>
      </c>
      <c r="W172" s="75">
        <v>1.125</v>
      </c>
      <c r="X172" s="882">
        <f t="shared" si="1314"/>
        <v>1313</v>
      </c>
      <c r="AE172">
        <v>0.17159384104805164</v>
      </c>
      <c r="AF172">
        <v>4.7474999645828726</v>
      </c>
      <c r="AG172">
        <v>-2.0673062349956051</v>
      </c>
      <c r="AH172">
        <v>-0.83191399331943161</v>
      </c>
      <c r="AI172">
        <v>0.55334037381019141</v>
      </c>
      <c r="AJ172">
        <v>4.1635783058740827E-2</v>
      </c>
      <c r="AK172" s="82">
        <v>0.26600000000000001</v>
      </c>
      <c r="AL172" s="419">
        <v>0.52</v>
      </c>
      <c r="AM172">
        <v>1.125</v>
      </c>
    </row>
    <row r="173" spans="2:39" x14ac:dyDescent="0.25">
      <c r="B173" s="650">
        <v>2.8229338028784996</v>
      </c>
      <c r="C173" s="651">
        <v>1.2858875484152739</v>
      </c>
      <c r="D173" s="652">
        <v>-6.4700195135788688E-2</v>
      </c>
      <c r="E173" s="653">
        <v>-0.30169671250454327</v>
      </c>
      <c r="F173" s="651">
        <v>0.90479056093336252</v>
      </c>
      <c r="G173" s="654">
        <v>0.30055471134194894</v>
      </c>
      <c r="H173" s="653">
        <v>0.314</v>
      </c>
      <c r="I173" s="887">
        <v>0.52</v>
      </c>
      <c r="J173" s="891">
        <v>2.1139999999999999</v>
      </c>
      <c r="K173" s="876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879"/>
      <c r="N173" s="31" t="str">
        <f t="shared" si="1312"/>
        <v>Y</v>
      </c>
      <c r="O173" s="162">
        <f t="shared" si="1306"/>
        <v>2.8229338028784996</v>
      </c>
      <c r="P173" s="162">
        <f t="shared" si="1307"/>
        <v>1.2858875484152739</v>
      </c>
      <c r="Q173" s="162">
        <f t="shared" si="1308"/>
        <v>-6.4700195135788688E-2</v>
      </c>
      <c r="R173" s="162">
        <f t="shared" si="1313"/>
        <v>-0.30169671250454327</v>
      </c>
      <c r="S173" s="162">
        <f t="shared" si="1309"/>
        <v>0.90479056093336252</v>
      </c>
      <c r="T173" s="162">
        <f t="shared" si="1310"/>
        <v>0.30055471134194894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1"/>
        <v>0.52</v>
      </c>
      <c r="W173" s="75">
        <v>2.1139999999999999</v>
      </c>
      <c r="X173" s="882">
        <f t="shared" si="1314"/>
        <v>1613</v>
      </c>
      <c r="AE173">
        <v>2.8229338028784996</v>
      </c>
      <c r="AF173">
        <v>1.2858875484152739</v>
      </c>
      <c r="AG173">
        <v>-6.4700195135788688E-2</v>
      </c>
      <c r="AH173">
        <v>-0.30169671250454327</v>
      </c>
      <c r="AI173">
        <v>0.90479056093336252</v>
      </c>
      <c r="AJ173">
        <v>0.30055471134194894</v>
      </c>
      <c r="AK173" s="82">
        <v>0.314</v>
      </c>
      <c r="AL173" s="419">
        <v>0.52</v>
      </c>
      <c r="AM173">
        <v>2.1139999999999999</v>
      </c>
    </row>
    <row r="174" spans="2:39" x14ac:dyDescent="0.25">
      <c r="B174" s="650">
        <v>3.5160360598014018</v>
      </c>
      <c r="C174" s="651">
        <v>1.5544201688575137</v>
      </c>
      <c r="D174" s="652">
        <v>-0.32950099377499747</v>
      </c>
      <c r="E174" s="653">
        <v>-0.14628283941228409</v>
      </c>
      <c r="F174" s="651">
        <v>0.9482684416586955</v>
      </c>
      <c r="G174" s="654">
        <v>0.28175928280656382</v>
      </c>
      <c r="H174" s="653">
        <v>0.314</v>
      </c>
      <c r="I174" s="887">
        <v>0.52</v>
      </c>
      <c r="J174" s="891">
        <v>2.117</v>
      </c>
      <c r="K174" s="876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879"/>
      <c r="N174" s="31" t="str">
        <f t="shared" si="1312"/>
        <v>Y</v>
      </c>
      <c r="O174" s="162">
        <f>IFERROR(INDEX(B$164:B$305,MATCH($W174,$J$164:$J$305,0)),"")</f>
        <v>3.5160360598014018</v>
      </c>
      <c r="P174" s="162">
        <f t="shared" si="1307"/>
        <v>1.5544201688575137</v>
      </c>
      <c r="Q174" s="162">
        <f t="shared" si="1308"/>
        <v>-0.32950099377499747</v>
      </c>
      <c r="R174" s="162">
        <f t="shared" si="1313"/>
        <v>-0.14628283941228409</v>
      </c>
      <c r="S174" s="162">
        <f t="shared" si="1309"/>
        <v>0.9482684416586955</v>
      </c>
      <c r="T174" s="162">
        <f t="shared" si="1310"/>
        <v>0.28175928280656382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2.117</v>
      </c>
      <c r="X174" s="882">
        <f t="shared" si="1314"/>
        <v>1613</v>
      </c>
      <c r="AE174">
        <v>3.5160360598014018</v>
      </c>
      <c r="AF174">
        <v>1.5544201688575137</v>
      </c>
      <c r="AG174">
        <v>-0.32950099377499747</v>
      </c>
      <c r="AH174">
        <v>-0.14628283941228409</v>
      </c>
      <c r="AI174">
        <v>0.9482684416586955</v>
      </c>
      <c r="AJ174">
        <v>0.28175928280656382</v>
      </c>
      <c r="AK174" s="82">
        <v>0.314</v>
      </c>
      <c r="AL174" s="419">
        <v>0.52</v>
      </c>
      <c r="AM174">
        <v>2.117</v>
      </c>
    </row>
    <row r="175" spans="2:39" x14ac:dyDescent="0.25">
      <c r="B175" s="650">
        <v>4.0389732737637143</v>
      </c>
      <c r="C175" s="651">
        <v>1.739453163068517</v>
      </c>
      <c r="D175" s="652">
        <v>-0.9014027186305994</v>
      </c>
      <c r="E175" s="653">
        <v>-1.8176074493984909E-2</v>
      </c>
      <c r="F175" s="651">
        <v>0.98149258126452488</v>
      </c>
      <c r="G175" s="654">
        <v>0.19063562951003976</v>
      </c>
      <c r="H175" s="653">
        <v>0.314</v>
      </c>
      <c r="I175" s="887">
        <v>0.52</v>
      </c>
      <c r="J175" s="891">
        <v>2.12</v>
      </c>
      <c r="K175" s="876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879"/>
      <c r="N175" s="31" t="str">
        <f t="shared" si="1312"/>
        <v>Y</v>
      </c>
      <c r="O175" s="162">
        <f>IFERROR(INDEX(B$164:B$305,MATCH($W175,$J$164:$J$305,0)),"")</f>
        <v>4.0389732737637143</v>
      </c>
      <c r="P175" s="162">
        <f t="shared" si="1307"/>
        <v>1.739453163068517</v>
      </c>
      <c r="Q175" s="162">
        <f t="shared" si="1308"/>
        <v>-0.9014027186305994</v>
      </c>
      <c r="R175" s="162">
        <f t="shared" si="1313"/>
        <v>-1.8176074493984909E-2</v>
      </c>
      <c r="S175" s="162">
        <f t="shared" si="1309"/>
        <v>0.98149258126452488</v>
      </c>
      <c r="T175" s="162">
        <f t="shared" si="1310"/>
        <v>0.19063562951003976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11"/>
        <v>0.52</v>
      </c>
      <c r="W175" s="75">
        <v>2.12</v>
      </c>
      <c r="X175" s="882">
        <f t="shared" si="1314"/>
        <v>1613</v>
      </c>
      <c r="AE175">
        <v>4.0389732737637143</v>
      </c>
      <c r="AF175">
        <v>1.739453163068517</v>
      </c>
      <c r="AG175">
        <v>-0.9014027186305994</v>
      </c>
      <c r="AH175">
        <v>-1.8176074493984909E-2</v>
      </c>
      <c r="AI175">
        <v>0.98149258126452488</v>
      </c>
      <c r="AJ175">
        <v>0.19063562951003976</v>
      </c>
      <c r="AK175" s="82">
        <v>0.314</v>
      </c>
      <c r="AL175" s="419">
        <v>0.52</v>
      </c>
      <c r="AM175">
        <v>2.12</v>
      </c>
    </row>
    <row r="176" spans="2:39" x14ac:dyDescent="0.25">
      <c r="B176" s="650">
        <v>4.2726095278931551</v>
      </c>
      <c r="C176" s="651">
        <v>1.8180134114141842</v>
      </c>
      <c r="D176" s="652">
        <v>-1.6373049381116935</v>
      </c>
      <c r="E176" s="653">
        <v>9.1254569119267617E-2</v>
      </c>
      <c r="F176" s="651">
        <v>0.9919878558148485</v>
      </c>
      <c r="G176" s="654">
        <v>8.736531079734168E-2</v>
      </c>
      <c r="H176" s="653">
        <v>0.314</v>
      </c>
      <c r="I176" s="887">
        <v>0.52</v>
      </c>
      <c r="J176" s="891">
        <v>2.1230000000000002</v>
      </c>
      <c r="K176" s="876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879"/>
      <c r="N176" s="31" t="str">
        <f t="shared" si="1312"/>
        <v>Y</v>
      </c>
      <c r="O176" s="162">
        <f t="shared" si="1306"/>
        <v>4.2726095278931551</v>
      </c>
      <c r="P176" s="162">
        <f t="shared" si="1307"/>
        <v>1.8180134114141842</v>
      </c>
      <c r="Q176" s="162">
        <f t="shared" si="1308"/>
        <v>-1.6373049381116935</v>
      </c>
      <c r="R176" s="162">
        <f t="shared" si="1313"/>
        <v>9.1254569119267617E-2</v>
      </c>
      <c r="S176" s="162">
        <f t="shared" si="1309"/>
        <v>0.9919878558148485</v>
      </c>
      <c r="T176" s="162">
        <f t="shared" si="1310"/>
        <v>8.736531079734168E-2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2.1230000000000002</v>
      </c>
      <c r="X176" s="882">
        <f t="shared" si="1314"/>
        <v>1613</v>
      </c>
      <c r="AE176">
        <v>4.2726095278931551</v>
      </c>
      <c r="AF176">
        <v>1.8180134114141842</v>
      </c>
      <c r="AG176">
        <v>-1.6373049381116935</v>
      </c>
      <c r="AH176">
        <v>9.1254569119267617E-2</v>
      </c>
      <c r="AI176">
        <v>0.9919878558148485</v>
      </c>
      <c r="AJ176">
        <v>8.736531079734168E-2</v>
      </c>
      <c r="AK176" s="82">
        <v>0.314</v>
      </c>
      <c r="AL176" s="419">
        <v>0.52</v>
      </c>
      <c r="AM176">
        <v>2.1230000000000002</v>
      </c>
    </row>
    <row r="177" spans="2:39" x14ac:dyDescent="0.25">
      <c r="B177" s="650">
        <v>4.3752162090055107</v>
      </c>
      <c r="C177" s="651">
        <v>1.8508600978530749</v>
      </c>
      <c r="D177" s="652">
        <v>-2.3116068591756145</v>
      </c>
      <c r="E177" s="653">
        <v>0.14991537822174322</v>
      </c>
      <c r="F177" s="651">
        <v>0.98782176577645686</v>
      </c>
      <c r="G177" s="654">
        <v>4.1635783058741022E-2</v>
      </c>
      <c r="H177" s="653">
        <v>0.26600000000000001</v>
      </c>
      <c r="I177" s="887">
        <v>0.52</v>
      </c>
      <c r="J177" s="891">
        <v>2.125</v>
      </c>
      <c r="K177" s="876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683"/>
      <c r="M177" s="879"/>
      <c r="N177" s="31" t="str">
        <f t="shared" si="1312"/>
        <v>Y</v>
      </c>
      <c r="O177" s="162">
        <f t="shared" si="1306"/>
        <v>4.3752162090055107</v>
      </c>
      <c r="P177" s="162">
        <f t="shared" si="1307"/>
        <v>1.8508600978530749</v>
      </c>
      <c r="Q177" s="162">
        <f t="shared" si="1308"/>
        <v>-2.3116068591756145</v>
      </c>
      <c r="R177" s="162">
        <f t="shared" si="1313"/>
        <v>0.14991537822174322</v>
      </c>
      <c r="S177" s="162">
        <f t="shared" si="1309"/>
        <v>0.98782176577645686</v>
      </c>
      <c r="T177" s="162">
        <f t="shared" si="1310"/>
        <v>4.1635783058741022E-2</v>
      </c>
      <c r="U177" s="162">
        <f>IFERROR(IF(ISNUMBER(MATCH($X177,Settings!$AK$28:$AK$36,0)),INDEX(Settings!$AO$14:$AO$36,MATCH($X177,Settings!$AK$14:$AK$36,0))/2,INDEX(Settings!$AM$14:$AM$36,MATCH($X177,Settings!$AK$14:$AK$36,0))/2),"")</f>
        <v>0.26450000000000001</v>
      </c>
      <c r="V177" s="162">
        <f t="shared" si="1311"/>
        <v>0.52</v>
      </c>
      <c r="W177" s="75">
        <v>2.125</v>
      </c>
      <c r="X177" s="882">
        <f t="shared" si="1314"/>
        <v>1313</v>
      </c>
      <c r="AE177">
        <v>4.3752162090055107</v>
      </c>
      <c r="AF177">
        <v>1.8508600978530749</v>
      </c>
      <c r="AG177">
        <v>-2.3116068591756145</v>
      </c>
      <c r="AH177">
        <v>0.14991537822174322</v>
      </c>
      <c r="AI177">
        <v>0.98782176577645686</v>
      </c>
      <c r="AJ177">
        <v>4.1635783058741022E-2</v>
      </c>
      <c r="AK177" s="82">
        <v>0.26600000000000001</v>
      </c>
      <c r="AL177" s="419">
        <v>0.52</v>
      </c>
      <c r="AM177">
        <v>2.125</v>
      </c>
    </row>
    <row r="178" spans="2:39" x14ac:dyDescent="0.25">
      <c r="B178" s="650">
        <v>0.58585906609840444</v>
      </c>
      <c r="C178" s="651">
        <v>-0.41022345144915506</v>
      </c>
      <c r="D178" s="652">
        <v>-0.44820135177527692</v>
      </c>
      <c r="E178" s="653">
        <v>0.55403276739546137</v>
      </c>
      <c r="F178" s="651">
        <v>0.79123979515941922</v>
      </c>
      <c r="G178" s="654">
        <v>0.25881900859134599</v>
      </c>
      <c r="H178" s="653">
        <v>0.26600000000000001</v>
      </c>
      <c r="I178" s="887">
        <v>0.52</v>
      </c>
      <c r="J178" s="891">
        <v>3.1030000000000002</v>
      </c>
      <c r="K178" s="876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683"/>
      <c r="M178" s="879"/>
      <c r="N178" s="31" t="str">
        <f t="shared" si="1312"/>
        <v>Y</v>
      </c>
      <c r="O178" s="162">
        <f t="shared" si="1306"/>
        <v>0.58585906609840444</v>
      </c>
      <c r="P178" s="162">
        <f t="shared" si="1307"/>
        <v>-0.41022345144915506</v>
      </c>
      <c r="Q178" s="162">
        <f t="shared" si="1308"/>
        <v>-0.44820135177527692</v>
      </c>
      <c r="R178" s="162">
        <f>IFERROR(IF($L178="Y",-1*INDEX(E$164:E$305,MATCH($W178,$J$164:$J$305,0)),INDEX(E$164:E$305,MATCH($W178,$J$164:$J$305,0))),"")</f>
        <v>0.55403276739546137</v>
      </c>
      <c r="S178" s="162">
        <f t="shared" si="1309"/>
        <v>0.79123979515941922</v>
      </c>
      <c r="T178" s="162">
        <f t="shared" si="1310"/>
        <v>0.25881900859134599</v>
      </c>
      <c r="U178" s="162">
        <f>IFERROR(IF(ISNUMBER(MATCH($X178,Settings!$AK$28:$AK$36,0)),INDEX(Settings!$AO$14:$AO$36,MATCH($X178,Settings!$AK$14:$AK$36,0))/2,INDEX(Settings!$AM$14:$AM$36,MATCH($X178,Settings!$AK$14:$AK$36,0))/2),"")</f>
        <v>0.26450000000000001</v>
      </c>
      <c r="V178" s="162">
        <f t="shared" si="1311"/>
        <v>0.52</v>
      </c>
      <c r="W178" s="75">
        <v>3.1030000000000002</v>
      </c>
      <c r="X178" s="882">
        <f t="shared" si="1314"/>
        <v>1313</v>
      </c>
      <c r="AE178">
        <v>0.58585906609840444</v>
      </c>
      <c r="AF178">
        <v>-0.41022345144915506</v>
      </c>
      <c r="AG178">
        <v>-0.44820135177527692</v>
      </c>
      <c r="AH178">
        <v>0.55403276739546137</v>
      </c>
      <c r="AI178">
        <v>0.79123979515941922</v>
      </c>
      <c r="AJ178">
        <v>0.25881900859134599</v>
      </c>
      <c r="AK178" s="82">
        <v>0.26600000000000001</v>
      </c>
      <c r="AL178" s="419">
        <v>0.52</v>
      </c>
      <c r="AM178">
        <v>3.1030000000000002</v>
      </c>
    </row>
    <row r="179" spans="2:39" x14ac:dyDescent="0.25">
      <c r="B179" s="650">
        <v>1.0993049031097015</v>
      </c>
      <c r="C179" s="651">
        <v>-0.769742550118521</v>
      </c>
      <c r="D179" s="652">
        <v>-0.30930093285161347</v>
      </c>
      <c r="E179" s="653">
        <v>0.55403276739546137</v>
      </c>
      <c r="F179" s="651">
        <v>0.79123979515941911</v>
      </c>
      <c r="G179" s="654">
        <v>0.25881900859134593</v>
      </c>
      <c r="H179" s="653">
        <v>0.26600000000000001</v>
      </c>
      <c r="I179" s="887">
        <v>0.52</v>
      </c>
      <c r="J179" s="891">
        <v>3.1059999999999999</v>
      </c>
      <c r="K179" s="876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683"/>
      <c r="M179" s="879"/>
      <c r="N179" s="31" t="str">
        <f t="shared" si="1312"/>
        <v>Y</v>
      </c>
      <c r="O179" s="162">
        <f>IFERROR(INDEX(B$164:B$305,MATCH($W179,$J$164:$J$305,0)),"")</f>
        <v>1.0993049031097015</v>
      </c>
      <c r="P179" s="162">
        <f t="shared" si="1307"/>
        <v>-0.769742550118521</v>
      </c>
      <c r="Q179" s="162">
        <f t="shared" si="1308"/>
        <v>-0.30930093285161347</v>
      </c>
      <c r="R179" s="162">
        <f>IFERROR(IF($L179="Y",-1*INDEX(E$164:E$305,MATCH($W179,$J$164:$J$305,0)),INDEX(E$164:E$305,MATCH($W179,$J$164:$J$305,0))),"")</f>
        <v>0.55403276739546137</v>
      </c>
      <c r="S179" s="162">
        <f t="shared" si="1309"/>
        <v>0.79123979515941911</v>
      </c>
      <c r="T179" s="162">
        <f t="shared" si="1310"/>
        <v>0.25881900859134593</v>
      </c>
      <c r="U179" s="162">
        <f>IFERROR(IF(ISNUMBER(MATCH($X179,Settings!$AK$28:$AK$36,0)),INDEX(Settings!$AO$14:$AO$36,MATCH($X179,Settings!$AK$14:$AK$36,0))/2,INDEX(Settings!$AM$14:$AM$36,MATCH($X179,Settings!$AK$14:$AK$36,0))/2),"")</f>
        <v>0.26450000000000001</v>
      </c>
      <c r="V179" s="162">
        <f t="shared" si="1311"/>
        <v>0.52</v>
      </c>
      <c r="W179" s="75">
        <v>3.1059999999999999</v>
      </c>
      <c r="X179" s="882">
        <f t="shared" si="1314"/>
        <v>1313</v>
      </c>
      <c r="AE179">
        <v>1.0993049031097015</v>
      </c>
      <c r="AF179">
        <v>-0.769742550118521</v>
      </c>
      <c r="AG179">
        <v>-0.30930093285161347</v>
      </c>
      <c r="AH179">
        <v>0.55403276739546137</v>
      </c>
      <c r="AI179">
        <v>0.79123979515941911</v>
      </c>
      <c r="AJ179">
        <v>0.25881900859134593</v>
      </c>
      <c r="AK179" s="82">
        <v>0.26600000000000001</v>
      </c>
      <c r="AL179" s="419">
        <v>0.52</v>
      </c>
      <c r="AM179">
        <v>3.1059999999999999</v>
      </c>
    </row>
    <row r="180" spans="2:39" x14ac:dyDescent="0.25">
      <c r="B180" s="650">
        <v>1.6128326555385184</v>
      </c>
      <c r="C180" s="651">
        <v>-1.1293190066530225</v>
      </c>
      <c r="D180" s="652">
        <v>-0.1703005136263491</v>
      </c>
      <c r="E180" s="653">
        <v>0.55403276739546159</v>
      </c>
      <c r="F180" s="651">
        <v>0.791239795159419</v>
      </c>
      <c r="G180" s="654">
        <v>0.25881900859134599</v>
      </c>
      <c r="H180" s="653">
        <v>0.26600000000000001</v>
      </c>
      <c r="I180" s="887">
        <v>0.52</v>
      </c>
      <c r="J180" s="891">
        <v>3.109</v>
      </c>
      <c r="K180" s="876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683"/>
      <c r="M180" s="879"/>
      <c r="N180" s="31" t="s">
        <v>9</v>
      </c>
      <c r="O180" s="162">
        <f t="shared" si="1306"/>
        <v>1.6128326555385184</v>
      </c>
      <c r="P180" s="162">
        <f t="shared" si="1307"/>
        <v>-1.1293190066530225</v>
      </c>
      <c r="Q180" s="162">
        <f t="shared" si="1308"/>
        <v>-0.1703005136263491</v>
      </c>
      <c r="R180" s="162">
        <f t="shared" si="1313"/>
        <v>0.55403276739546159</v>
      </c>
      <c r="S180" s="162">
        <f t="shared" si="1309"/>
        <v>0.791239795159419</v>
      </c>
      <c r="T180" s="162">
        <f t="shared" si="1310"/>
        <v>0.25881900859134599</v>
      </c>
      <c r="U180" s="162">
        <f>IFERROR(IF(ISNUMBER(MATCH($X180,Settings!$AK$28:$AK$36,0)),INDEX(Settings!$AO$14:$AO$36,MATCH($X180,Settings!$AK$14:$AK$36,0))/2,INDEX(Settings!$AM$14:$AM$36,MATCH($X180,Settings!$AK$14:$AK$36,0))/2),"")</f>
        <v>0.26450000000000001</v>
      </c>
      <c r="V180" s="162">
        <f t="shared" si="1311"/>
        <v>0.52</v>
      </c>
      <c r="W180" s="75">
        <v>3.109</v>
      </c>
      <c r="X180" s="882">
        <f t="shared" si="1314"/>
        <v>1313</v>
      </c>
      <c r="AE180">
        <v>1.6128326555385184</v>
      </c>
      <c r="AF180">
        <v>-1.1293190066530225</v>
      </c>
      <c r="AG180">
        <v>-0.1703005136263491</v>
      </c>
      <c r="AH180">
        <v>0.55403276739546159</v>
      </c>
      <c r="AI180">
        <v>0.791239795159419</v>
      </c>
      <c r="AJ180">
        <v>0.25881900859134599</v>
      </c>
      <c r="AK180" s="82">
        <v>0.26600000000000001</v>
      </c>
      <c r="AL180" s="419">
        <v>0.52</v>
      </c>
      <c r="AM180">
        <v>3.109</v>
      </c>
    </row>
    <row r="181" spans="2:39" x14ac:dyDescent="0.25">
      <c r="B181" s="650">
        <v>2.1262784925498157</v>
      </c>
      <c r="C181" s="651">
        <v>-1.4888381053223882</v>
      </c>
      <c r="D181" s="652">
        <v>-3.1300094401084555E-2</v>
      </c>
      <c r="E181" s="653">
        <v>0.55403276739546159</v>
      </c>
      <c r="F181" s="651">
        <v>0.791239795159419</v>
      </c>
      <c r="G181" s="654">
        <v>0.25881900859134599</v>
      </c>
      <c r="H181" s="653">
        <v>0.26600000000000001</v>
      </c>
      <c r="I181" s="887">
        <v>0.52</v>
      </c>
      <c r="J181" s="891">
        <v>3.1120000000000001</v>
      </c>
      <c r="K181" s="876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683"/>
      <c r="M181" s="879"/>
      <c r="N181" s="31" t="str">
        <f t="shared" si="1312"/>
        <v>Y</v>
      </c>
      <c r="O181" s="162">
        <f t="shared" si="1306"/>
        <v>2.1262784925498157</v>
      </c>
      <c r="P181" s="162">
        <f t="shared" si="1307"/>
        <v>-1.4888381053223882</v>
      </c>
      <c r="Q181" s="162">
        <f t="shared" si="1308"/>
        <v>-3.1300094401084555E-2</v>
      </c>
      <c r="R181" s="162">
        <f t="shared" si="1313"/>
        <v>0.55403276739546159</v>
      </c>
      <c r="S181" s="162">
        <f t="shared" si="1309"/>
        <v>0.791239795159419</v>
      </c>
      <c r="T181" s="162">
        <f t="shared" si="1310"/>
        <v>0.25881900859134599</v>
      </c>
      <c r="U181" s="162">
        <f>IFERROR(IF(ISNUMBER(MATCH($X181,Settings!$AK$28:$AK$36,0)),INDEX(Settings!$AO$14:$AO$36,MATCH($X181,Settings!$AK$14:$AK$36,0))/2,INDEX(Settings!$AM$14:$AM$36,MATCH($X181,Settings!$AK$14:$AK$36,0))/2),"")</f>
        <v>0.26450000000000001</v>
      </c>
      <c r="V181" s="162">
        <f t="shared" si="1311"/>
        <v>0.52</v>
      </c>
      <c r="W181" s="75">
        <v>3.1120000000000001</v>
      </c>
      <c r="X181" s="882">
        <f t="shared" si="1314"/>
        <v>1313</v>
      </c>
      <c r="AE181">
        <v>2.1262784925498157</v>
      </c>
      <c r="AF181">
        <v>-1.4888381053223882</v>
      </c>
      <c r="AG181">
        <v>-3.1300094401084555E-2</v>
      </c>
      <c r="AH181">
        <v>0.55403276739546159</v>
      </c>
      <c r="AI181">
        <v>0.791239795159419</v>
      </c>
      <c r="AJ181">
        <v>0.25881900859134599</v>
      </c>
      <c r="AK181" s="82">
        <v>0.26600000000000001</v>
      </c>
      <c r="AL181" s="419">
        <v>0.52</v>
      </c>
      <c r="AM181">
        <v>3.1120000000000001</v>
      </c>
    </row>
    <row r="182" spans="2:39" x14ac:dyDescent="0.25">
      <c r="B182" s="650">
        <v>2.7464140205842975</v>
      </c>
      <c r="C182" s="651">
        <v>-1.9756824922990879</v>
      </c>
      <c r="D182" s="652">
        <v>-0.12130036584190335</v>
      </c>
      <c r="E182" s="653">
        <v>0.67514377256032487</v>
      </c>
      <c r="F182" s="651">
        <v>0.67405673543226008</v>
      </c>
      <c r="G182" s="654">
        <v>0.29971386986827409</v>
      </c>
      <c r="H182" s="653">
        <v>0.314</v>
      </c>
      <c r="I182" s="887">
        <v>0.52</v>
      </c>
      <c r="J182" s="891">
        <v>3.1150000000000002</v>
      </c>
      <c r="K182" s="876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/>
      <c r="M182" s="879"/>
      <c r="N182" s="31" t="str">
        <f t="shared" si="1312"/>
        <v>Y</v>
      </c>
      <c r="O182" s="162">
        <f t="shared" si="1306"/>
        <v>2.7464140205842975</v>
      </c>
      <c r="P182" s="162">
        <f t="shared" si="1307"/>
        <v>-1.9756824922990879</v>
      </c>
      <c r="Q182" s="162">
        <f t="shared" si="1308"/>
        <v>-0.12130036584190335</v>
      </c>
      <c r="R182" s="162">
        <f t="shared" si="1313"/>
        <v>0.67514377256032487</v>
      </c>
      <c r="S182" s="162">
        <f t="shared" si="1309"/>
        <v>0.67405673543226008</v>
      </c>
      <c r="T182" s="162">
        <f t="shared" si="1310"/>
        <v>0.29971386986827409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1"/>
        <v>0.52</v>
      </c>
      <c r="W182" s="75">
        <v>3.1150000000000002</v>
      </c>
      <c r="X182" s="882">
        <f t="shared" si="1314"/>
        <v>1613</v>
      </c>
      <c r="AE182">
        <v>2.7464140205842975</v>
      </c>
      <c r="AF182">
        <v>-1.9756824922990879</v>
      </c>
      <c r="AG182">
        <v>-0.12130036584190335</v>
      </c>
      <c r="AH182">
        <v>0.67514377256032487</v>
      </c>
      <c r="AI182">
        <v>0.67405673543226008</v>
      </c>
      <c r="AJ182">
        <v>0.29971386986827409</v>
      </c>
      <c r="AK182" s="82">
        <v>0.314</v>
      </c>
      <c r="AL182" s="419">
        <v>0.52</v>
      </c>
      <c r="AM182">
        <v>3.1150000000000002</v>
      </c>
    </row>
    <row r="183" spans="2:39" x14ac:dyDescent="0.25">
      <c r="B183" s="650">
        <v>3.2742292576311947</v>
      </c>
      <c r="C183" s="651">
        <v>-2.410446457045702</v>
      </c>
      <c r="D183" s="652">
        <v>-0.4973014998613236</v>
      </c>
      <c r="E183" s="653">
        <v>0.7851107767399782</v>
      </c>
      <c r="F183" s="651">
        <v>0.56231506926807462</v>
      </c>
      <c r="G183" s="654">
        <v>0.25962055219259622</v>
      </c>
      <c r="H183" s="653">
        <v>0.314</v>
      </c>
      <c r="I183" s="887">
        <v>0.52</v>
      </c>
      <c r="J183" s="891">
        <v>3.1179999999999999</v>
      </c>
      <c r="K183" s="876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/>
      <c r="M183" s="879"/>
      <c r="N183" s="31" t="str">
        <f t="shared" si="1312"/>
        <v>Y</v>
      </c>
      <c r="O183" s="162">
        <f t="shared" si="1306"/>
        <v>3.2742292576311947</v>
      </c>
      <c r="P183" s="162">
        <f t="shared" si="1307"/>
        <v>-2.410446457045702</v>
      </c>
      <c r="Q183" s="162">
        <f t="shared" si="1308"/>
        <v>-0.4973014998613236</v>
      </c>
      <c r="R183" s="162">
        <f t="shared" si="1313"/>
        <v>0.7851107767399782</v>
      </c>
      <c r="S183" s="162">
        <f t="shared" si="1309"/>
        <v>0.56231506926807462</v>
      </c>
      <c r="T183" s="162">
        <f t="shared" si="1310"/>
        <v>0.25962055219259622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1"/>
        <v>0.52</v>
      </c>
      <c r="W183" s="75">
        <v>3.1179999999999999</v>
      </c>
      <c r="X183" s="882">
        <f t="shared" si="1314"/>
        <v>1613</v>
      </c>
      <c r="AE183">
        <v>3.2742292576311947</v>
      </c>
      <c r="AF183">
        <v>-2.410446457045702</v>
      </c>
      <c r="AG183">
        <v>-0.4973014998613236</v>
      </c>
      <c r="AH183">
        <v>0.7851107767399782</v>
      </c>
      <c r="AI183">
        <v>0.56231506926807462</v>
      </c>
      <c r="AJ183">
        <v>0.25962055219259622</v>
      </c>
      <c r="AK183" s="82">
        <v>0.314</v>
      </c>
      <c r="AL183" s="419">
        <v>0.52</v>
      </c>
      <c r="AM183">
        <v>3.1179999999999999</v>
      </c>
    </row>
    <row r="184" spans="2:39" x14ac:dyDescent="0.25">
      <c r="B184" s="650">
        <v>3.6154078315891423</v>
      </c>
      <c r="C184" s="651">
        <v>-2.7066427426495614</v>
      </c>
      <c r="D184" s="652">
        <v>-1.1356034249799296</v>
      </c>
      <c r="E184" s="653">
        <v>0.8643766825170327</v>
      </c>
      <c r="F184" s="651">
        <v>0.47789848255823875</v>
      </c>
      <c r="G184" s="654">
        <v>0.15641608321838796</v>
      </c>
      <c r="H184" s="653">
        <v>0.314</v>
      </c>
      <c r="I184" s="887">
        <v>0.52</v>
      </c>
      <c r="J184" s="891">
        <v>3.121</v>
      </c>
      <c r="K184" s="876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/>
      <c r="M184" s="879"/>
      <c r="N184" s="31" t="str">
        <f t="shared" si="1312"/>
        <v>Y</v>
      </c>
      <c r="O184" s="162">
        <f t="shared" si="1306"/>
        <v>3.6154078315891423</v>
      </c>
      <c r="P184" s="162">
        <f t="shared" si="1307"/>
        <v>-2.7066427426495614</v>
      </c>
      <c r="Q184" s="162">
        <f t="shared" si="1308"/>
        <v>-1.1356034249799296</v>
      </c>
      <c r="R184" s="162">
        <f t="shared" si="1313"/>
        <v>0.8643766825170327</v>
      </c>
      <c r="S184" s="162">
        <f t="shared" si="1309"/>
        <v>0.47789848255823875</v>
      </c>
      <c r="T184" s="162">
        <f t="shared" si="1310"/>
        <v>0.15641608321838796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1"/>
        <v>0.52</v>
      </c>
      <c r="W184" s="75">
        <v>3.121</v>
      </c>
      <c r="X184" s="882">
        <f t="shared" si="1314"/>
        <v>1613</v>
      </c>
      <c r="AE184">
        <v>3.6154078315891423</v>
      </c>
      <c r="AF184">
        <v>-2.7066427426495614</v>
      </c>
      <c r="AG184">
        <v>-1.1356034249799296</v>
      </c>
      <c r="AH184">
        <v>0.8643766825170327</v>
      </c>
      <c r="AI184">
        <v>0.47789848255823875</v>
      </c>
      <c r="AJ184">
        <v>0.15641608321838796</v>
      </c>
      <c r="AK184" s="82">
        <v>0.314</v>
      </c>
      <c r="AL184" s="419">
        <v>0.52</v>
      </c>
      <c r="AM184">
        <v>3.121</v>
      </c>
    </row>
    <row r="185" spans="2:39" x14ac:dyDescent="0.25">
      <c r="B185" s="650">
        <v>3.7205623123947196</v>
      </c>
      <c r="C185" s="651">
        <v>-2.8005951383308587</v>
      </c>
      <c r="D185" s="652">
        <v>-1.8942057129244303</v>
      </c>
      <c r="E185" s="653">
        <v>0.92297365950583921</v>
      </c>
      <c r="F185" s="651">
        <v>0.38265603216958621</v>
      </c>
      <c r="G185" s="654">
        <v>4.1158047847630275E-2</v>
      </c>
      <c r="H185" s="653">
        <v>0.314</v>
      </c>
      <c r="I185" s="887">
        <v>0.52</v>
      </c>
      <c r="J185" s="891">
        <v>3.1240000000000001</v>
      </c>
      <c r="K185" s="876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683"/>
      <c r="M185" s="879"/>
      <c r="N185" s="31" t="str">
        <f t="shared" si="1312"/>
        <v>Y</v>
      </c>
      <c r="O185" s="162">
        <f t="shared" si="1306"/>
        <v>3.7205623123947196</v>
      </c>
      <c r="P185" s="162">
        <f t="shared" si="1307"/>
        <v>-2.8005951383308587</v>
      </c>
      <c r="Q185" s="162">
        <f t="shared" si="1308"/>
        <v>-1.8942057129244303</v>
      </c>
      <c r="R185" s="162">
        <f t="shared" si="1313"/>
        <v>0.92297365950583921</v>
      </c>
      <c r="S185" s="162">
        <f t="shared" si="1309"/>
        <v>0.38265603216958621</v>
      </c>
      <c r="T185" s="162">
        <f t="shared" si="1310"/>
        <v>4.1158047847630275E-2</v>
      </c>
      <c r="U185" s="162">
        <f>IFERROR(IF(ISNUMBER(MATCH($X185,Settings!$AK$28:$AK$36,0)),INDEX(Settings!$AO$14:$AO$36,MATCH($X185,Settings!$AK$14:$AK$36,0))/2,INDEX(Settings!$AM$14:$AM$36,MATCH($X185,Settings!$AK$14:$AK$36,0))/2),"")</f>
        <v>0.3125</v>
      </c>
      <c r="V185" s="162">
        <f t="shared" si="1311"/>
        <v>0.52</v>
      </c>
      <c r="W185" s="75">
        <v>3.1240000000000001</v>
      </c>
      <c r="X185" s="882">
        <f t="shared" si="1314"/>
        <v>1613</v>
      </c>
      <c r="AE185">
        <v>3.7205623123947196</v>
      </c>
      <c r="AF185">
        <v>-2.8005951383308587</v>
      </c>
      <c r="AG185">
        <v>-1.8942057129244303</v>
      </c>
      <c r="AH185">
        <v>0.92297365950583921</v>
      </c>
      <c r="AI185">
        <v>0.38265603216958621</v>
      </c>
      <c r="AJ185">
        <v>4.1158047847630275E-2</v>
      </c>
      <c r="AK185" s="82">
        <v>0.314</v>
      </c>
      <c r="AL185" s="419">
        <v>0.52</v>
      </c>
      <c r="AM185">
        <v>3.1240000000000001</v>
      </c>
    </row>
    <row r="186" spans="2:39" x14ac:dyDescent="0.25">
      <c r="B186" s="650">
        <v>3.7905004072861632</v>
      </c>
      <c r="C186" s="651">
        <v>-2.8636177740112432</v>
      </c>
      <c r="D186" s="652">
        <v>-2.5459075999429421</v>
      </c>
      <c r="E186" s="653">
        <v>0.9304363776367629</v>
      </c>
      <c r="F186" s="651">
        <v>0.36408049760906552</v>
      </c>
      <c r="G186" s="654">
        <v>4.1635783058740911E-2</v>
      </c>
      <c r="H186" s="653">
        <v>0.26600000000000001</v>
      </c>
      <c r="I186" s="887">
        <v>0.52</v>
      </c>
      <c r="J186" s="891">
        <v>3.1269999999999998</v>
      </c>
      <c r="K186" s="876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1313</v>
      </c>
      <c r="L186" s="683"/>
      <c r="M186" s="879"/>
      <c r="N186" s="31" t="str">
        <f t="shared" si="1312"/>
        <v>Y</v>
      </c>
      <c r="O186" s="162">
        <f t="shared" si="1306"/>
        <v>3.7905004072861632</v>
      </c>
      <c r="P186" s="162">
        <f t="shared" si="1307"/>
        <v>-2.8636177740112432</v>
      </c>
      <c r="Q186" s="162">
        <f t="shared" si="1308"/>
        <v>-2.5459075999429421</v>
      </c>
      <c r="R186" s="162">
        <f t="shared" si="1313"/>
        <v>0.9304363776367629</v>
      </c>
      <c r="S186" s="162">
        <f t="shared" si="1309"/>
        <v>0.36408049760906552</v>
      </c>
      <c r="T186" s="162">
        <f t="shared" si="1310"/>
        <v>4.1635783058740911E-2</v>
      </c>
      <c r="U186" s="162">
        <f>IFERROR(IF(ISNUMBER(MATCH($X186,Settings!$AK$28:$AK$36,0)),INDEX(Settings!$AO$14:$AO$36,MATCH($X186,Settings!$AK$14:$AK$36,0))/2,INDEX(Settings!$AM$14:$AM$36,MATCH($X186,Settings!$AK$14:$AK$36,0))/2),"")</f>
        <v>0.26450000000000001</v>
      </c>
      <c r="V186" s="162">
        <f t="shared" si="1311"/>
        <v>0.52</v>
      </c>
      <c r="W186" s="75">
        <v>3.1269999999999998</v>
      </c>
      <c r="X186" s="882">
        <f t="shared" si="1314"/>
        <v>1313</v>
      </c>
      <c r="AE186">
        <v>3.7905004072861632</v>
      </c>
      <c r="AF186">
        <v>-2.8636177740112432</v>
      </c>
      <c r="AG186">
        <v>-2.5459075999429421</v>
      </c>
      <c r="AH186">
        <v>0.9304363776367629</v>
      </c>
      <c r="AI186">
        <v>0.36408049760906552</v>
      </c>
      <c r="AJ186">
        <v>4.1635783058740911E-2</v>
      </c>
      <c r="AK186" s="82">
        <v>0.26600000000000001</v>
      </c>
      <c r="AL186" s="419">
        <v>0.52</v>
      </c>
      <c r="AM186">
        <v>3.1269999999999998</v>
      </c>
    </row>
    <row r="187" spans="2:39" x14ac:dyDescent="0.25">
      <c r="B187" s="650">
        <v>-0.51423889227236308</v>
      </c>
      <c r="C187" s="651">
        <v>-2.8184805966888766</v>
      </c>
      <c r="D187" s="652">
        <v>-5.2500158340477568E-2</v>
      </c>
      <c r="E187" s="653">
        <v>0.9262591509134096</v>
      </c>
      <c r="F187" s="651">
        <v>-0.22786685119980674</v>
      </c>
      <c r="G187" s="654">
        <v>0.30020107173935101</v>
      </c>
      <c r="H187" s="653">
        <v>0.314</v>
      </c>
      <c r="I187" s="887">
        <v>0.52</v>
      </c>
      <c r="J187" s="891">
        <v>4.1130000000000004</v>
      </c>
      <c r="K187" s="876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879"/>
      <c r="N187" s="31" t="str">
        <f t="shared" si="1312"/>
        <v>Y</v>
      </c>
      <c r="O187" s="162">
        <f t="shared" si="1306"/>
        <v>-0.51423889227236308</v>
      </c>
      <c r="P187" s="162">
        <f t="shared" si="1307"/>
        <v>-2.8184805966888766</v>
      </c>
      <c r="Q187" s="162">
        <f t="shared" si="1308"/>
        <v>-5.2500158340477568E-2</v>
      </c>
      <c r="R187" s="162">
        <f t="shared" si="1313"/>
        <v>0.9262591509134096</v>
      </c>
      <c r="S187" s="162">
        <f t="shared" si="1309"/>
        <v>-0.22786685119980674</v>
      </c>
      <c r="T187" s="162">
        <f t="shared" si="1310"/>
        <v>0.30020107173935101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4.1130000000000004</v>
      </c>
      <c r="X187" s="882">
        <f t="shared" si="1314"/>
        <v>1613</v>
      </c>
      <c r="AE187">
        <v>-0.51423889227236308</v>
      </c>
      <c r="AF187">
        <v>-2.8184805966888766</v>
      </c>
      <c r="AG187">
        <v>-5.2500158340477568E-2</v>
      </c>
      <c r="AH187">
        <v>0.9262591509134096</v>
      </c>
      <c r="AI187">
        <v>-0.22786685119980674</v>
      </c>
      <c r="AJ187">
        <v>0.30020107173935101</v>
      </c>
      <c r="AK187" s="82">
        <v>0.314</v>
      </c>
      <c r="AL187" s="419">
        <v>0.52</v>
      </c>
      <c r="AM187">
        <v>4.1130000000000004</v>
      </c>
    </row>
    <row r="188" spans="2:39" x14ac:dyDescent="0.25">
      <c r="B188" s="650">
        <v>-0.68924548609988856</v>
      </c>
      <c r="C188" s="651">
        <v>-3.5624475192816676</v>
      </c>
      <c r="D188" s="652">
        <v>-0.2121006396955292</v>
      </c>
      <c r="E188" s="653">
        <v>0.87839390027511222</v>
      </c>
      <c r="F188" s="651">
        <v>-0.37740109687893753</v>
      </c>
      <c r="G188" s="654">
        <v>0.29324489430176104</v>
      </c>
      <c r="H188" s="653">
        <v>0.314</v>
      </c>
      <c r="I188" s="887">
        <v>0.52</v>
      </c>
      <c r="J188" s="891">
        <v>4.1159999999999997</v>
      </c>
      <c r="K188" s="876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879"/>
      <c r="N188" s="31" t="str">
        <f t="shared" si="1312"/>
        <v>Y</v>
      </c>
      <c r="O188" s="162">
        <f t="shared" si="1306"/>
        <v>-0.68924548609988856</v>
      </c>
      <c r="P188" s="162">
        <f t="shared" si="1307"/>
        <v>-3.5624475192816676</v>
      </c>
      <c r="Q188" s="162">
        <f t="shared" si="1308"/>
        <v>-0.2121006396955292</v>
      </c>
      <c r="R188" s="162">
        <f t="shared" si="1313"/>
        <v>0.87839390027511222</v>
      </c>
      <c r="S188" s="162">
        <f t="shared" si="1309"/>
        <v>-0.37740109687893753</v>
      </c>
      <c r="T188" s="162">
        <f t="shared" si="1310"/>
        <v>0.29324489430176104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4.1159999999999997</v>
      </c>
      <c r="X188" s="882">
        <f t="shared" si="1314"/>
        <v>1613</v>
      </c>
      <c r="AE188">
        <v>-0.68924548609988856</v>
      </c>
      <c r="AF188">
        <v>-3.5624475192816676</v>
      </c>
      <c r="AG188">
        <v>-0.2121006396955292</v>
      </c>
      <c r="AH188">
        <v>0.87839390027511222</v>
      </c>
      <c r="AI188">
        <v>-0.37740109687893753</v>
      </c>
      <c r="AJ188">
        <v>0.29324489430176104</v>
      </c>
      <c r="AK188" s="82">
        <v>0.314</v>
      </c>
      <c r="AL188" s="419">
        <v>0.52</v>
      </c>
      <c r="AM188">
        <v>4.1159999999999997</v>
      </c>
    </row>
    <row r="189" spans="2:39" x14ac:dyDescent="0.25">
      <c r="B189" s="650">
        <v>-0.84936511366175149</v>
      </c>
      <c r="C189" s="651">
        <v>-4.1598865521583877</v>
      </c>
      <c r="D189" s="652">
        <v>-0.68420206355342361</v>
      </c>
      <c r="E189" s="653">
        <v>0.82750328904808856</v>
      </c>
      <c r="F189" s="651">
        <v>-0.51308489342289043</v>
      </c>
      <c r="G189" s="654">
        <v>0.22799604986888905</v>
      </c>
      <c r="H189" s="653">
        <v>0.314</v>
      </c>
      <c r="I189" s="887">
        <v>0.52</v>
      </c>
      <c r="J189" s="891">
        <v>4.1189999999999998</v>
      </c>
      <c r="K189" s="876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/>
      <c r="M189" s="879"/>
      <c r="N189" s="31" t="str">
        <f t="shared" si="1312"/>
        <v>Y</v>
      </c>
      <c r="O189" s="162">
        <f t="shared" si="1306"/>
        <v>-0.84936511366175149</v>
      </c>
      <c r="P189" s="162">
        <f t="shared" si="1307"/>
        <v>-4.1598865521583877</v>
      </c>
      <c r="Q189" s="162">
        <f t="shared" si="1308"/>
        <v>-0.68420206355342361</v>
      </c>
      <c r="R189" s="162">
        <f t="shared" si="1313"/>
        <v>0.82750328904808856</v>
      </c>
      <c r="S189" s="162">
        <f t="shared" si="1309"/>
        <v>-0.51308489342289043</v>
      </c>
      <c r="T189" s="162">
        <f t="shared" si="1310"/>
        <v>0.22799604986888905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4.1189999999999998</v>
      </c>
      <c r="X189" s="882">
        <f t="shared" si="1314"/>
        <v>1613</v>
      </c>
      <c r="AE189">
        <v>-0.84936511366175149</v>
      </c>
      <c r="AF189">
        <v>-4.1598865521583877</v>
      </c>
      <c r="AG189">
        <v>-0.68420206355342361</v>
      </c>
      <c r="AH189">
        <v>0.82750328904808856</v>
      </c>
      <c r="AI189">
        <v>-0.51308489342289043</v>
      </c>
      <c r="AJ189">
        <v>0.22799604986888905</v>
      </c>
      <c r="AK189" s="82">
        <v>0.314</v>
      </c>
      <c r="AL189" s="419">
        <v>0.52</v>
      </c>
      <c r="AM189">
        <v>4.1189999999999998</v>
      </c>
    </row>
    <row r="190" spans="2:39" x14ac:dyDescent="0.25">
      <c r="B190" s="650">
        <v>-0.94895812862362616</v>
      </c>
      <c r="C190" s="651">
        <v>-4.499227627931905</v>
      </c>
      <c r="D190" s="652">
        <v>-1.3814041663149663</v>
      </c>
      <c r="E190" s="653">
        <v>0.78362758031237012</v>
      </c>
      <c r="F190" s="651">
        <v>-0.60974085933301947</v>
      </c>
      <c r="G190" s="654">
        <v>0.1189281288577729</v>
      </c>
      <c r="H190" s="653">
        <v>0.314</v>
      </c>
      <c r="I190" s="887">
        <v>0.52</v>
      </c>
      <c r="J190" s="891">
        <v>4.1219999999999999</v>
      </c>
      <c r="K190" s="876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879"/>
      <c r="N190" s="31" t="str">
        <f t="shared" si="1312"/>
        <v>Y</v>
      </c>
      <c r="O190" s="162">
        <f t="shared" si="1306"/>
        <v>-0.94895812862362616</v>
      </c>
      <c r="P190" s="162">
        <f t="shared" si="1307"/>
        <v>-4.499227627931905</v>
      </c>
      <c r="Q190" s="162">
        <f t="shared" si="1308"/>
        <v>-1.3814041663149663</v>
      </c>
      <c r="R190" s="162">
        <f t="shared" si="1313"/>
        <v>0.78362758031237012</v>
      </c>
      <c r="S190" s="162">
        <f t="shared" si="1309"/>
        <v>-0.60974085933301947</v>
      </c>
      <c r="T190" s="162">
        <f t="shared" si="1310"/>
        <v>0.1189281288577729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11"/>
        <v>0.52</v>
      </c>
      <c r="W190" s="75">
        <v>4.1219999999999999</v>
      </c>
      <c r="X190" s="882">
        <f t="shared" si="1314"/>
        <v>1613</v>
      </c>
      <c r="AE190">
        <v>-0.94895812862362616</v>
      </c>
      <c r="AF190">
        <v>-4.499227627931905</v>
      </c>
      <c r="AG190">
        <v>-1.3814041663149663</v>
      </c>
      <c r="AH190">
        <v>0.78362758031237012</v>
      </c>
      <c r="AI190">
        <v>-0.60974085933301947</v>
      </c>
      <c r="AJ190">
        <v>0.1189281288577729</v>
      </c>
      <c r="AK190" s="82">
        <v>0.314</v>
      </c>
      <c r="AL190" s="419">
        <v>0.52</v>
      </c>
      <c r="AM190">
        <v>4.1219999999999999</v>
      </c>
    </row>
    <row r="191" spans="2:39" x14ac:dyDescent="0.25">
      <c r="B191" s="650">
        <v>-0.99257283114060346</v>
      </c>
      <c r="C191" s="651">
        <v>-4.6457506965916204</v>
      </c>
      <c r="D191" s="652">
        <v>-2.0673062349956046</v>
      </c>
      <c r="E191" s="653">
        <v>0.72330881862056706</v>
      </c>
      <c r="F191" s="651">
        <v>-0.68926831820039813</v>
      </c>
      <c r="G191" s="654">
        <v>4.1635783058740938E-2</v>
      </c>
      <c r="H191" s="653">
        <v>0.26600000000000001</v>
      </c>
      <c r="I191" s="887">
        <v>0.52</v>
      </c>
      <c r="J191" s="891">
        <v>4.125</v>
      </c>
      <c r="K191" s="876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683"/>
      <c r="M191" s="879"/>
      <c r="N191" s="31" t="str">
        <f t="shared" si="1312"/>
        <v>Y</v>
      </c>
      <c r="O191" s="162">
        <f t="shared" si="1306"/>
        <v>-0.99257283114060346</v>
      </c>
      <c r="P191" s="162">
        <f t="shared" si="1307"/>
        <v>-4.6457506965916204</v>
      </c>
      <c r="Q191" s="162">
        <f t="shared" si="1308"/>
        <v>-2.0673062349956046</v>
      </c>
      <c r="R191" s="162">
        <f t="shared" si="1313"/>
        <v>0.72330881862056706</v>
      </c>
      <c r="S191" s="162">
        <f t="shared" si="1309"/>
        <v>-0.68926831820039813</v>
      </c>
      <c r="T191" s="162">
        <f t="shared" si="1310"/>
        <v>4.1635783058740938E-2</v>
      </c>
      <c r="U191" s="162">
        <f>IFERROR(IF(ISNUMBER(MATCH($X191,Settings!$AK$28:$AK$36,0)),INDEX(Settings!$AO$14:$AO$36,MATCH($X191,Settings!$AK$14:$AK$36,0))/2,INDEX(Settings!$AM$14:$AM$36,MATCH($X191,Settings!$AK$14:$AK$36,0))/2),"")</f>
        <v>0.26450000000000001</v>
      </c>
      <c r="V191" s="162">
        <f t="shared" si="1311"/>
        <v>0.52</v>
      </c>
      <c r="W191" s="75">
        <v>4.125</v>
      </c>
      <c r="X191" s="882">
        <f t="shared" si="1314"/>
        <v>1313</v>
      </c>
      <c r="AE191">
        <v>-0.99257283114060346</v>
      </c>
      <c r="AF191">
        <v>-4.6457506965916204</v>
      </c>
      <c r="AG191">
        <v>-2.0673062349956046</v>
      </c>
      <c r="AH191">
        <v>0.72330881862056706</v>
      </c>
      <c r="AI191">
        <v>-0.68926831820039813</v>
      </c>
      <c r="AJ191">
        <v>4.1635783058740938E-2</v>
      </c>
      <c r="AK191" s="82">
        <v>0.26600000000000001</v>
      </c>
      <c r="AL191" s="419">
        <v>0.52</v>
      </c>
      <c r="AM191">
        <v>4.125</v>
      </c>
    </row>
    <row r="192" spans="2:39" x14ac:dyDescent="0.25">
      <c r="B192" s="650">
        <v>-0.45877444745700119</v>
      </c>
      <c r="C192" s="651">
        <v>-0.21392987635621602</v>
      </c>
      <c r="D192" s="652">
        <v>-0.49460149171809903</v>
      </c>
      <c r="E192" s="653">
        <v>0.40821764411847367</v>
      </c>
      <c r="F192" s="651">
        <v>-0.87542622523097635</v>
      </c>
      <c r="G192" s="654">
        <v>0.25881900859134599</v>
      </c>
      <c r="H192" s="653">
        <v>0.26600000000000001</v>
      </c>
      <c r="I192" s="887">
        <v>0.52</v>
      </c>
      <c r="J192" s="891">
        <v>5.1020000000000003</v>
      </c>
      <c r="K192" s="876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683"/>
      <c r="M192" s="879"/>
      <c r="N192" s="31" t="str">
        <f t="shared" si="1312"/>
        <v>Y</v>
      </c>
      <c r="O192" s="162">
        <f t="shared" si="1306"/>
        <v>-0.45877444745700119</v>
      </c>
      <c r="P192" s="162">
        <f t="shared" si="1307"/>
        <v>-0.21392987635621602</v>
      </c>
      <c r="Q192" s="162">
        <f t="shared" si="1308"/>
        <v>-0.49460149171809903</v>
      </c>
      <c r="R192" s="162">
        <f t="shared" si="1313"/>
        <v>0.40821764411847367</v>
      </c>
      <c r="S192" s="162">
        <f t="shared" si="1309"/>
        <v>-0.87542622523097635</v>
      </c>
      <c r="T192" s="162">
        <f t="shared" si="1310"/>
        <v>0.25881900859134599</v>
      </c>
      <c r="U192" s="162">
        <f>IFERROR(IF(ISNUMBER(MATCH($X192,Settings!$AK$28:$AK$36,0)),INDEX(Settings!$AO$14:$AO$36,MATCH($X192,Settings!$AK$14:$AK$36,0))/2,INDEX(Settings!$AM$14:$AM$36,MATCH($X192,Settings!$AK$14:$AK$36,0))/2),"")</f>
        <v>0.26450000000000001</v>
      </c>
      <c r="V192" s="162">
        <f t="shared" si="1311"/>
        <v>0.52</v>
      </c>
      <c r="W192" s="75">
        <v>5.1020000000000003</v>
      </c>
      <c r="X192" s="882">
        <f t="shared" si="1314"/>
        <v>1313</v>
      </c>
      <c r="AE192">
        <v>-0.45877444745700119</v>
      </c>
      <c r="AF192">
        <v>-0.21392987635621602</v>
      </c>
      <c r="AG192">
        <v>-0.49460149171809903</v>
      </c>
      <c r="AH192">
        <v>0.40821764411847367</v>
      </c>
      <c r="AI192">
        <v>-0.87542622523097635</v>
      </c>
      <c r="AJ192">
        <v>0.25881900859134599</v>
      </c>
      <c r="AK192" s="82">
        <v>0.26600000000000001</v>
      </c>
      <c r="AL192" s="419">
        <v>0.52</v>
      </c>
      <c r="AM192">
        <v>5.1020000000000003</v>
      </c>
    </row>
    <row r="193" spans="2:39" x14ac:dyDescent="0.25">
      <c r="B193" s="650">
        <v>-1.0269405895170447</v>
      </c>
      <c r="C193" s="651">
        <v>-0.47886989905023347</v>
      </c>
      <c r="D193" s="652">
        <v>-0.35560107249283468</v>
      </c>
      <c r="E193" s="653">
        <v>0.40821764411847383</v>
      </c>
      <c r="F193" s="651">
        <v>-0.87542622523097635</v>
      </c>
      <c r="G193" s="654">
        <v>0.25881900859134593</v>
      </c>
      <c r="H193" s="653">
        <v>0.26600000000000001</v>
      </c>
      <c r="I193" s="887">
        <v>0.52</v>
      </c>
      <c r="J193" s="891">
        <v>5.1050000000000004</v>
      </c>
      <c r="K193" s="876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683"/>
      <c r="M193" s="879"/>
      <c r="N193" s="31" t="str">
        <f t="shared" si="1312"/>
        <v>Y</v>
      </c>
      <c r="O193" s="162">
        <f t="shared" si="1306"/>
        <v>-1.0269405895170447</v>
      </c>
      <c r="P193" s="162">
        <f t="shared" si="1307"/>
        <v>-0.47886989905023347</v>
      </c>
      <c r="Q193" s="162">
        <f t="shared" si="1308"/>
        <v>-0.35560107249283468</v>
      </c>
      <c r="R193" s="162">
        <f t="shared" si="1313"/>
        <v>0.40821764411847383</v>
      </c>
      <c r="S193" s="162">
        <f t="shared" si="1309"/>
        <v>-0.87542622523097635</v>
      </c>
      <c r="T193" s="162">
        <f t="shared" si="1310"/>
        <v>0.25881900859134593</v>
      </c>
      <c r="U193" s="162">
        <f>IFERROR(IF(ISNUMBER(MATCH($X193,Settings!$AK$28:$AK$36,0)),INDEX(Settings!$AO$14:$AO$36,MATCH($X193,Settings!$AK$14:$AK$36,0))/2,INDEX(Settings!$AM$14:$AM$36,MATCH($X193,Settings!$AK$14:$AK$36,0))/2),"")</f>
        <v>0.26450000000000001</v>
      </c>
      <c r="V193" s="162">
        <f t="shared" si="1311"/>
        <v>0.52</v>
      </c>
      <c r="W193" s="75">
        <v>5.1050000000000004</v>
      </c>
      <c r="X193" s="882">
        <f t="shared" si="1314"/>
        <v>1313</v>
      </c>
      <c r="AE193">
        <v>-1.0269405895170447</v>
      </c>
      <c r="AF193">
        <v>-0.47886989905023347</v>
      </c>
      <c r="AG193">
        <v>-0.35560107249283468</v>
      </c>
      <c r="AH193">
        <v>0.40821764411847383</v>
      </c>
      <c r="AI193">
        <v>-0.87542622523097635</v>
      </c>
      <c r="AJ193">
        <v>0.25881900859134593</v>
      </c>
      <c r="AK193" s="82">
        <v>0.26600000000000001</v>
      </c>
      <c r="AL193" s="419">
        <v>0.52</v>
      </c>
      <c r="AM193">
        <v>5.1050000000000004</v>
      </c>
    </row>
    <row r="194" spans="2:39" x14ac:dyDescent="0.25">
      <c r="B194" s="650">
        <v>-1.5950161005127943</v>
      </c>
      <c r="C194" s="651">
        <v>-0.74376765981687964</v>
      </c>
      <c r="D194" s="652">
        <v>-0.21660065326757019</v>
      </c>
      <c r="E194" s="653">
        <v>0.40821764411847355</v>
      </c>
      <c r="F194" s="651">
        <v>-0.87542622523097646</v>
      </c>
      <c r="G194" s="654">
        <v>0.25881900859134593</v>
      </c>
      <c r="H194" s="653">
        <v>0.26600000000000001</v>
      </c>
      <c r="I194" s="887">
        <v>0.52</v>
      </c>
      <c r="J194" s="891">
        <v>5.1079999999999997</v>
      </c>
      <c r="K194" s="876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683"/>
      <c r="M194" s="879"/>
      <c r="N194" s="31" t="str">
        <f t="shared" si="1312"/>
        <v>Y</v>
      </c>
      <c r="O194" s="162">
        <f t="shared" si="1306"/>
        <v>-1.5950161005127943</v>
      </c>
      <c r="P194" s="162">
        <f t="shared" si="1307"/>
        <v>-0.74376765981687964</v>
      </c>
      <c r="Q194" s="162">
        <f t="shared" si="1308"/>
        <v>-0.21660065326757019</v>
      </c>
      <c r="R194" s="162">
        <f t="shared" si="1313"/>
        <v>0.40821764411847355</v>
      </c>
      <c r="S194" s="162">
        <f t="shared" si="1309"/>
        <v>-0.87542622523097646</v>
      </c>
      <c r="T194" s="162">
        <f t="shared" si="1310"/>
        <v>0.25881900859134593</v>
      </c>
      <c r="U194" s="162">
        <f>IFERROR(IF(ISNUMBER(MATCH($X194,Settings!$AK$28:$AK$36,0)),INDEX(Settings!$AO$14:$AO$36,MATCH($X194,Settings!$AK$14:$AK$36,0))/2,INDEX(Settings!$AM$14:$AM$36,MATCH($X194,Settings!$AK$14:$AK$36,0))/2),"")</f>
        <v>0.26450000000000001</v>
      </c>
      <c r="V194" s="162">
        <f t="shared" si="1311"/>
        <v>0.52</v>
      </c>
      <c r="W194" s="75">
        <v>5.1079999999999997</v>
      </c>
      <c r="X194" s="882">
        <f t="shared" si="1314"/>
        <v>1313</v>
      </c>
      <c r="AE194">
        <v>-1.5950161005127943</v>
      </c>
      <c r="AF194">
        <v>-0.74376765981687964</v>
      </c>
      <c r="AG194">
        <v>-0.21660065326757019</v>
      </c>
      <c r="AH194">
        <v>0.40821764411847355</v>
      </c>
      <c r="AI194">
        <v>-0.87542622523097646</v>
      </c>
      <c r="AJ194">
        <v>0.25881900859134593</v>
      </c>
      <c r="AK194" s="82">
        <v>0.26600000000000001</v>
      </c>
      <c r="AL194" s="419">
        <v>0.52</v>
      </c>
      <c r="AM194">
        <v>5.1079999999999997</v>
      </c>
    </row>
    <row r="195" spans="2:39" x14ac:dyDescent="0.25">
      <c r="B195" s="650">
        <v>-2.1631822425728378</v>
      </c>
      <c r="C195" s="651">
        <v>-1.0087076825108976</v>
      </c>
      <c r="D195" s="652">
        <v>-7.7600234042305788E-2</v>
      </c>
      <c r="E195" s="653">
        <v>0.40821764411847389</v>
      </c>
      <c r="F195" s="651">
        <v>-0.87542622523097635</v>
      </c>
      <c r="G195" s="654">
        <v>0.25881900859134593</v>
      </c>
      <c r="H195" s="653">
        <v>0.26600000000000001</v>
      </c>
      <c r="I195" s="887">
        <v>0.52</v>
      </c>
      <c r="J195" s="891">
        <v>5.1109999999999998</v>
      </c>
      <c r="K195" s="876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1313</v>
      </c>
      <c r="L195" s="683"/>
      <c r="M195" s="879"/>
      <c r="N195" s="31" t="str">
        <f t="shared" si="1312"/>
        <v>Y</v>
      </c>
      <c r="O195" s="162">
        <f t="shared" si="1306"/>
        <v>-2.1631822425728378</v>
      </c>
      <c r="P195" s="162">
        <f t="shared" si="1307"/>
        <v>-1.0087076825108976</v>
      </c>
      <c r="Q195" s="162">
        <f t="shared" si="1308"/>
        <v>-7.7600234042305788E-2</v>
      </c>
      <c r="R195" s="162">
        <f t="shared" si="1313"/>
        <v>0.40821764411847389</v>
      </c>
      <c r="S195" s="162">
        <f t="shared" si="1309"/>
        <v>-0.87542622523097635</v>
      </c>
      <c r="T195" s="162">
        <f t="shared" si="1310"/>
        <v>0.25881900859134593</v>
      </c>
      <c r="U195" s="162">
        <f>IFERROR(IF(ISNUMBER(MATCH($X195,Settings!$AK$28:$AK$36,0)),INDEX(Settings!$AO$14:$AO$36,MATCH($X195,Settings!$AK$14:$AK$36,0))/2,INDEX(Settings!$AM$14:$AM$36,MATCH($X195,Settings!$AK$14:$AK$36,0))/2),"")</f>
        <v>0.26450000000000001</v>
      </c>
      <c r="V195" s="162">
        <f t="shared" si="1311"/>
        <v>0.52</v>
      </c>
      <c r="W195" s="75">
        <v>5.1109999999999998</v>
      </c>
      <c r="X195" s="882">
        <f t="shared" si="1314"/>
        <v>1313</v>
      </c>
      <c r="AE195">
        <v>-2.1631822425728378</v>
      </c>
      <c r="AF195">
        <v>-1.0087076825108976</v>
      </c>
      <c r="AG195">
        <v>-7.7600234042305788E-2</v>
      </c>
      <c r="AH195">
        <v>0.40821764411847389</v>
      </c>
      <c r="AI195">
        <v>-0.87542622523097635</v>
      </c>
      <c r="AJ195">
        <v>0.25881900859134593</v>
      </c>
      <c r="AK195" s="82">
        <v>0.26600000000000001</v>
      </c>
      <c r="AL195" s="419">
        <v>0.52</v>
      </c>
      <c r="AM195">
        <v>5.1109999999999998</v>
      </c>
    </row>
    <row r="196" spans="2:39" x14ac:dyDescent="0.25">
      <c r="B196" s="650">
        <v>-2.822933219612743</v>
      </c>
      <c r="C196" s="651">
        <v>-1.2858888288691019</v>
      </c>
      <c r="D196" s="652">
        <v>-6.4700195135788743E-2</v>
      </c>
      <c r="E196" s="653">
        <v>0.30169712290827616</v>
      </c>
      <c r="F196" s="651">
        <v>-0.90479042408671984</v>
      </c>
      <c r="G196" s="654">
        <v>0.30055471134194911</v>
      </c>
      <c r="H196" s="653">
        <v>0.314</v>
      </c>
      <c r="I196" s="887">
        <v>0.52</v>
      </c>
      <c r="J196" s="891">
        <v>5.1139999999999999</v>
      </c>
      <c r="K196" s="876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879"/>
      <c r="N196" s="31" t="str">
        <f t="shared" si="1312"/>
        <v>Y</v>
      </c>
      <c r="O196" s="162">
        <f t="shared" ref="O196:O227" si="1315">IFERROR(INDEX(B$164:B$305,MATCH($W196,$J$164:$J$305,0)),"")</f>
        <v>-2.822933219612743</v>
      </c>
      <c r="P196" s="162">
        <f t="shared" ref="P196:P227" si="1316">IFERROR(INDEX(C$164:C$305,MATCH($W196,$J$164:$J$305,0)),"")</f>
        <v>-1.2858888288691019</v>
      </c>
      <c r="Q196" s="162">
        <f t="shared" ref="Q196:Q227" si="1317">IFERROR(INDEX(D$164:D$305,MATCH($W196,$J$164:$J$305,0)),"")</f>
        <v>-6.4700195135788743E-2</v>
      </c>
      <c r="R196" s="162">
        <f t="shared" si="1313"/>
        <v>0.30169712290827616</v>
      </c>
      <c r="S196" s="162">
        <f t="shared" si="1309"/>
        <v>-0.90479042408671984</v>
      </c>
      <c r="T196" s="162">
        <f t="shared" si="1310"/>
        <v>0.30055471134194911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8">IFERROR(INDEX(I$164:I$305,MATCH($W196,$J$164:$J$305,0)),"")</f>
        <v>0.52</v>
      </c>
      <c r="W196" s="75">
        <v>5.1139999999999999</v>
      </c>
      <c r="X196" s="882">
        <f t="shared" si="1314"/>
        <v>1613</v>
      </c>
      <c r="AE196">
        <v>-2.822933219612743</v>
      </c>
      <c r="AF196">
        <v>-1.2858888288691019</v>
      </c>
      <c r="AG196">
        <v>-6.4700195135788743E-2</v>
      </c>
      <c r="AH196">
        <v>0.30169712290827616</v>
      </c>
      <c r="AI196">
        <v>-0.90479042408671984</v>
      </c>
      <c r="AJ196">
        <v>0.30055471134194911</v>
      </c>
      <c r="AK196" s="82">
        <v>0.314</v>
      </c>
      <c r="AL196" s="419">
        <v>0.52</v>
      </c>
      <c r="AM196">
        <v>5.1139999999999999</v>
      </c>
    </row>
    <row r="197" spans="2:39" x14ac:dyDescent="0.25">
      <c r="B197" s="650">
        <v>-3.5160353547319176</v>
      </c>
      <c r="C197" s="651">
        <v>-1.5544217636954232</v>
      </c>
      <c r="D197" s="652">
        <v>-0.32950099377499747</v>
      </c>
      <c r="E197" s="653">
        <v>0.14628326953715556</v>
      </c>
      <c r="F197" s="651">
        <v>-0.9482683753061949</v>
      </c>
      <c r="G197" s="654">
        <v>0.28175928280656409</v>
      </c>
      <c r="H197" s="653">
        <v>0.314</v>
      </c>
      <c r="I197" s="887">
        <v>0.52</v>
      </c>
      <c r="J197" s="891">
        <v>5.117</v>
      </c>
      <c r="K197" s="876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879"/>
      <c r="N197" s="31" t="str">
        <f t="shared" si="1312"/>
        <v>Y</v>
      </c>
      <c r="O197" s="162">
        <f t="shared" si="1315"/>
        <v>-3.5160353547319176</v>
      </c>
      <c r="P197" s="162">
        <f t="shared" si="1316"/>
        <v>-1.5544217636954232</v>
      </c>
      <c r="Q197" s="162">
        <f t="shared" si="1317"/>
        <v>-0.32950099377499747</v>
      </c>
      <c r="R197" s="162">
        <f t="shared" si="1313"/>
        <v>0.14628326953715556</v>
      </c>
      <c r="S197" s="162">
        <f t="shared" si="1309"/>
        <v>-0.9482683753061949</v>
      </c>
      <c r="T197" s="162">
        <f t="shared" si="1310"/>
        <v>0.28175928280656409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18"/>
        <v>0.52</v>
      </c>
      <c r="W197" s="75">
        <v>5.117</v>
      </c>
      <c r="X197" s="882">
        <f t="shared" si="1314"/>
        <v>1613</v>
      </c>
      <c r="AE197">
        <v>-3.5160353547319176</v>
      </c>
      <c r="AF197">
        <v>-1.5544217636954232</v>
      </c>
      <c r="AG197">
        <v>-0.32950099377499747</v>
      </c>
      <c r="AH197">
        <v>0.14628326953715556</v>
      </c>
      <c r="AI197">
        <v>-0.9482683753061949</v>
      </c>
      <c r="AJ197">
        <v>0.28175928280656409</v>
      </c>
      <c r="AK197" s="82">
        <v>0.314</v>
      </c>
      <c r="AL197" s="419">
        <v>0.52</v>
      </c>
      <c r="AM197">
        <v>5.117</v>
      </c>
    </row>
    <row r="198" spans="2:39" x14ac:dyDescent="0.25">
      <c r="B198" s="650">
        <v>-4.0389724847650976</v>
      </c>
      <c r="C198" s="651">
        <v>-1.739454995105389</v>
      </c>
      <c r="D198" s="652">
        <v>-0.90140271863059862</v>
      </c>
      <c r="E198" s="653">
        <v>1.817651968900022E-2</v>
      </c>
      <c r="F198" s="651">
        <v>-0.98149257301994197</v>
      </c>
      <c r="G198" s="654">
        <v>0.19063562951004004</v>
      </c>
      <c r="H198" s="653">
        <v>0.314</v>
      </c>
      <c r="I198" s="887">
        <v>0.52</v>
      </c>
      <c r="J198" s="891">
        <v>5.12</v>
      </c>
      <c r="K198" s="876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879"/>
      <c r="N198" s="31" t="str">
        <f t="shared" si="1312"/>
        <v>Y</v>
      </c>
      <c r="O198" s="162">
        <f t="shared" si="1315"/>
        <v>-4.0389724847650976</v>
      </c>
      <c r="P198" s="162">
        <f t="shared" si="1316"/>
        <v>-1.739454995105389</v>
      </c>
      <c r="Q198" s="162">
        <f t="shared" si="1317"/>
        <v>-0.90140271863059862</v>
      </c>
      <c r="R198" s="162">
        <f t="shared" si="1313"/>
        <v>1.817651968900022E-2</v>
      </c>
      <c r="S198" s="162">
        <f t="shared" si="1309"/>
        <v>-0.98149257301994197</v>
      </c>
      <c r="T198" s="162">
        <f t="shared" si="1310"/>
        <v>0.19063562951004004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8"/>
        <v>0.52</v>
      </c>
      <c r="W198" s="75">
        <v>5.12</v>
      </c>
      <c r="X198" s="882">
        <f t="shared" si="1314"/>
        <v>1613</v>
      </c>
      <c r="AE198">
        <v>-4.0389724847650976</v>
      </c>
      <c r="AF198">
        <v>-1.739454995105389</v>
      </c>
      <c r="AG198">
        <v>-0.90140271863059862</v>
      </c>
      <c r="AH198">
        <v>1.817651968900022E-2</v>
      </c>
      <c r="AI198">
        <v>-0.98149257301994197</v>
      </c>
      <c r="AJ198">
        <v>0.19063562951004004</v>
      </c>
      <c r="AK198" s="82">
        <v>0.314</v>
      </c>
      <c r="AL198" s="419">
        <v>0.52</v>
      </c>
      <c r="AM198">
        <v>5.12</v>
      </c>
    </row>
    <row r="199" spans="2:39" x14ac:dyDescent="0.25">
      <c r="B199" s="650">
        <v>-4.2726087032603894</v>
      </c>
      <c r="C199" s="651">
        <v>-1.818015349426068</v>
      </c>
      <c r="D199" s="652">
        <v>-1.6373049381116935</v>
      </c>
      <c r="E199" s="653">
        <v>-9.1254119163691944E-2</v>
      </c>
      <c r="F199" s="651">
        <v>-0.99198789720688774</v>
      </c>
      <c r="G199" s="654">
        <v>8.7365310797341791E-2</v>
      </c>
      <c r="H199" s="653">
        <v>0.314</v>
      </c>
      <c r="I199" s="887">
        <v>0.52</v>
      </c>
      <c r="J199" s="891">
        <v>5.1230000000000002</v>
      </c>
      <c r="K199" s="876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879"/>
      <c r="N199" s="31" t="str">
        <f t="shared" si="1312"/>
        <v>Y</v>
      </c>
      <c r="O199" s="162">
        <f t="shared" si="1315"/>
        <v>-4.2726087032603894</v>
      </c>
      <c r="P199" s="162">
        <f t="shared" si="1316"/>
        <v>-1.818015349426068</v>
      </c>
      <c r="Q199" s="162">
        <f t="shared" si="1317"/>
        <v>-1.6373049381116935</v>
      </c>
      <c r="R199" s="162">
        <f t="shared" si="1313"/>
        <v>-9.1254119163691944E-2</v>
      </c>
      <c r="S199" s="162">
        <f t="shared" si="1309"/>
        <v>-0.99198789720688774</v>
      </c>
      <c r="T199" s="162">
        <f t="shared" si="1310"/>
        <v>8.7365310797341791E-2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18"/>
        <v>0.52</v>
      </c>
      <c r="W199" s="75">
        <v>5.1230000000000002</v>
      </c>
      <c r="X199" s="882">
        <f t="shared" si="1314"/>
        <v>1613</v>
      </c>
      <c r="AE199">
        <v>-4.2726087032603894</v>
      </c>
      <c r="AF199">
        <v>-1.818015349426068</v>
      </c>
      <c r="AG199">
        <v>-1.6373049381116935</v>
      </c>
      <c r="AH199">
        <v>-9.1254119163691944E-2</v>
      </c>
      <c r="AI199">
        <v>-0.99198789720688774</v>
      </c>
      <c r="AJ199">
        <v>8.7365310797341791E-2</v>
      </c>
      <c r="AK199" s="82">
        <v>0.314</v>
      </c>
      <c r="AL199" s="419">
        <v>0.52</v>
      </c>
      <c r="AM199">
        <v>5.1230000000000002</v>
      </c>
    </row>
    <row r="200" spans="2:39" x14ac:dyDescent="0.25">
      <c r="B200" s="650">
        <v>-4.375215414054761</v>
      </c>
      <c r="C200" s="651">
        <v>-1.8508620803878466</v>
      </c>
      <c r="D200" s="652">
        <v>-2.311606971806627</v>
      </c>
      <c r="E200" s="653">
        <v>-0.14991493015585761</v>
      </c>
      <c r="F200" s="651">
        <v>-0.98782183377644062</v>
      </c>
      <c r="G200" s="654">
        <v>4.1635783058740841E-2</v>
      </c>
      <c r="H200" s="653">
        <v>0.26600000000000001</v>
      </c>
      <c r="I200" s="887">
        <v>0.52</v>
      </c>
      <c r="J200" s="891">
        <v>5.1260000000000003</v>
      </c>
      <c r="K200" s="876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683"/>
      <c r="M200" s="879"/>
      <c r="N200" s="31" t="str">
        <f t="shared" si="1312"/>
        <v>Y</v>
      </c>
      <c r="O200" s="162">
        <f t="shared" si="1315"/>
        <v>-4.375215414054761</v>
      </c>
      <c r="P200" s="162">
        <f t="shared" si="1316"/>
        <v>-1.8508620803878466</v>
      </c>
      <c r="Q200" s="162">
        <f t="shared" si="1317"/>
        <v>-2.311606971806627</v>
      </c>
      <c r="R200" s="162">
        <f t="shared" si="1313"/>
        <v>-0.14991493015585761</v>
      </c>
      <c r="S200" s="162">
        <f t="shared" si="1309"/>
        <v>-0.98782183377644062</v>
      </c>
      <c r="T200" s="162">
        <f t="shared" si="1310"/>
        <v>4.1635783058740841E-2</v>
      </c>
      <c r="U200" s="162">
        <f>IFERROR(IF(ISNUMBER(MATCH($X200,Settings!$AK$28:$AK$36,0)),INDEX(Settings!$AO$14:$AO$36,MATCH($X200,Settings!$AK$14:$AK$36,0))/2,INDEX(Settings!$AM$14:$AM$36,MATCH($X200,Settings!$AK$14:$AK$36,0))/2),"")</f>
        <v>0.26450000000000001</v>
      </c>
      <c r="V200" s="162">
        <f t="shared" si="1318"/>
        <v>0.52</v>
      </c>
      <c r="W200" s="75">
        <v>5.1260000000000003</v>
      </c>
      <c r="X200" s="882">
        <f t="shared" si="1314"/>
        <v>1313</v>
      </c>
      <c r="AE200">
        <v>-4.375215414054761</v>
      </c>
      <c r="AF200">
        <v>-1.8508620803878466</v>
      </c>
      <c r="AG200">
        <v>-2.311606971806627</v>
      </c>
      <c r="AH200">
        <v>-0.14991493015585761</v>
      </c>
      <c r="AI200">
        <v>-0.98782183377644062</v>
      </c>
      <c r="AJ200">
        <v>4.1635783058740841E-2</v>
      </c>
      <c r="AK200" s="82">
        <v>0.26600000000000001</v>
      </c>
      <c r="AL200" s="419">
        <v>0.52</v>
      </c>
      <c r="AM200">
        <v>5.1260000000000003</v>
      </c>
    </row>
    <row r="201" spans="2:39" x14ac:dyDescent="0.25">
      <c r="B201" s="650">
        <v>-2.1262791678713646</v>
      </c>
      <c r="C201" s="651">
        <v>1.4888371408640142</v>
      </c>
      <c r="D201" s="652">
        <v>-3.1300094401084583E-2</v>
      </c>
      <c r="E201" s="653">
        <v>-0.55403240849710922</v>
      </c>
      <c r="F201" s="651">
        <v>-0.7912400464629461</v>
      </c>
      <c r="G201" s="654">
        <v>0.25881900859134593</v>
      </c>
      <c r="H201" s="653">
        <v>0.26600000000000001</v>
      </c>
      <c r="I201" s="887">
        <v>0.52</v>
      </c>
      <c r="J201" s="891">
        <v>6.1120000000000001</v>
      </c>
      <c r="K201" s="876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683"/>
      <c r="M201" s="879"/>
      <c r="N201" s="31" t="str">
        <f t="shared" si="1312"/>
        <v>Y</v>
      </c>
      <c r="O201" s="162">
        <f t="shared" si="1315"/>
        <v>-2.1262791678713646</v>
      </c>
      <c r="P201" s="162">
        <f t="shared" si="1316"/>
        <v>1.4888371408640142</v>
      </c>
      <c r="Q201" s="162">
        <f t="shared" si="1317"/>
        <v>-3.1300094401084583E-2</v>
      </c>
      <c r="R201" s="162">
        <f t="shared" si="1313"/>
        <v>-0.55403240849710922</v>
      </c>
      <c r="S201" s="162">
        <f t="shared" si="1309"/>
        <v>-0.7912400464629461</v>
      </c>
      <c r="T201" s="162">
        <f t="shared" si="1310"/>
        <v>0.25881900859134593</v>
      </c>
      <c r="U201" s="162">
        <f>IFERROR(IF(ISNUMBER(MATCH($X201,Settings!$AK$28:$AK$36,0)),INDEX(Settings!$AO$14:$AO$36,MATCH($X201,Settings!$AK$14:$AK$36,0))/2,INDEX(Settings!$AM$14:$AM$36,MATCH($X201,Settings!$AK$14:$AK$36,0))/2),"")</f>
        <v>0.26450000000000001</v>
      </c>
      <c r="V201" s="162">
        <f t="shared" si="1318"/>
        <v>0.52</v>
      </c>
      <c r="W201" s="75">
        <v>6.1120000000000001</v>
      </c>
      <c r="X201" s="882">
        <f t="shared" si="1314"/>
        <v>1313</v>
      </c>
      <c r="AE201">
        <v>-2.1262791678713646</v>
      </c>
      <c r="AF201">
        <v>1.4888371408640142</v>
      </c>
      <c r="AG201">
        <v>-3.1300094401084583E-2</v>
      </c>
      <c r="AH201">
        <v>-0.55403240849710922</v>
      </c>
      <c r="AI201">
        <v>-0.7912400464629461</v>
      </c>
      <c r="AJ201">
        <v>0.25881900859134593</v>
      </c>
      <c r="AK201" s="82">
        <v>0.26600000000000001</v>
      </c>
      <c r="AL201" s="419">
        <v>0.52</v>
      </c>
      <c r="AM201">
        <v>6.1120000000000001</v>
      </c>
    </row>
    <row r="202" spans="2:39" x14ac:dyDescent="0.25">
      <c r="B202" s="650">
        <v>-2.7464149167334275</v>
      </c>
      <c r="C202" s="651">
        <v>1.9756812465535174</v>
      </c>
      <c r="D202" s="652">
        <v>-0.12130036584190333</v>
      </c>
      <c r="E202" s="653">
        <v>-0.67514346681500004</v>
      </c>
      <c r="F202" s="651">
        <v>-0.67405704167051494</v>
      </c>
      <c r="G202" s="654">
        <v>0.2997138698682742</v>
      </c>
      <c r="H202" s="653">
        <v>0.314</v>
      </c>
      <c r="I202" s="887">
        <v>0.52</v>
      </c>
      <c r="J202" s="891">
        <v>6.1150000000000002</v>
      </c>
      <c r="K202" s="876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683"/>
      <c r="M202" s="879"/>
      <c r="N202" s="31" t="str">
        <f t="shared" si="1312"/>
        <v>Y</v>
      </c>
      <c r="O202" s="162">
        <f t="shared" si="1315"/>
        <v>-2.7464149167334275</v>
      </c>
      <c r="P202" s="162">
        <f t="shared" si="1316"/>
        <v>1.9756812465535174</v>
      </c>
      <c r="Q202" s="162">
        <f t="shared" si="1317"/>
        <v>-0.12130036584190333</v>
      </c>
      <c r="R202" s="162">
        <f t="shared" si="1313"/>
        <v>-0.67514346681500004</v>
      </c>
      <c r="S202" s="162">
        <f t="shared" si="1309"/>
        <v>-0.67405704167051494</v>
      </c>
      <c r="T202" s="162">
        <f t="shared" si="1310"/>
        <v>0.2997138698682742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18"/>
        <v>0.52</v>
      </c>
      <c r="W202" s="75">
        <v>6.1150000000000002</v>
      </c>
      <c r="X202" s="882">
        <f t="shared" si="1314"/>
        <v>1613</v>
      </c>
      <c r="AE202">
        <v>-2.7464149167334275</v>
      </c>
      <c r="AF202">
        <v>1.9756812465535174</v>
      </c>
      <c r="AG202">
        <v>-0.12130036584190333</v>
      </c>
      <c r="AH202">
        <v>-0.67514346681500004</v>
      </c>
      <c r="AI202">
        <v>-0.67405704167051494</v>
      </c>
      <c r="AJ202">
        <v>0.2997138698682742</v>
      </c>
      <c r="AK202" s="82">
        <v>0.314</v>
      </c>
      <c r="AL202" s="419">
        <v>0.52</v>
      </c>
      <c r="AM202">
        <v>6.1150000000000002</v>
      </c>
    </row>
    <row r="203" spans="2:39" x14ac:dyDescent="0.25">
      <c r="B203" s="650">
        <v>-3.2742303509847663</v>
      </c>
      <c r="C203" s="651">
        <v>2.4104449718884831</v>
      </c>
      <c r="D203" s="652">
        <v>-0.49730149986132383</v>
      </c>
      <c r="E203" s="653">
        <v>-0.78511052167952189</v>
      </c>
      <c r="F203" s="651">
        <v>-0.56231542538625123</v>
      </c>
      <c r="G203" s="654">
        <v>0.259620552192596</v>
      </c>
      <c r="H203" s="653">
        <v>0.314</v>
      </c>
      <c r="I203" s="887">
        <v>0.52</v>
      </c>
      <c r="J203" s="891">
        <v>6.1180000000000003</v>
      </c>
      <c r="K203" s="876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683"/>
      <c r="M203" s="879"/>
      <c r="N203" s="31" t="str">
        <f t="shared" si="1312"/>
        <v>Y</v>
      </c>
      <c r="O203" s="162">
        <f t="shared" si="1315"/>
        <v>-3.2742303509847663</v>
      </c>
      <c r="P203" s="162">
        <f t="shared" si="1316"/>
        <v>2.4104449718884831</v>
      </c>
      <c r="Q203" s="162">
        <f t="shared" si="1317"/>
        <v>-0.49730149986132383</v>
      </c>
      <c r="R203" s="162">
        <f t="shared" si="1313"/>
        <v>-0.78511052167952189</v>
      </c>
      <c r="S203" s="162">
        <f t="shared" si="1309"/>
        <v>-0.56231542538625123</v>
      </c>
      <c r="T203" s="162">
        <f t="shared" si="1310"/>
        <v>0.259620552192596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18"/>
        <v>0.52</v>
      </c>
      <c r="W203" s="75">
        <v>6.1180000000000003</v>
      </c>
      <c r="X203" s="882">
        <f t="shared" si="1314"/>
        <v>1613</v>
      </c>
      <c r="AE203">
        <v>-3.2742303509847663</v>
      </c>
      <c r="AF203">
        <v>2.4104449718884831</v>
      </c>
      <c r="AG203">
        <v>-0.49730149986132383</v>
      </c>
      <c r="AH203">
        <v>-0.78511052167952189</v>
      </c>
      <c r="AI203">
        <v>-0.56231542538625123</v>
      </c>
      <c r="AJ203">
        <v>0.259620552192596</v>
      </c>
      <c r="AK203" s="82">
        <v>0.314</v>
      </c>
      <c r="AL203" s="419">
        <v>0.52</v>
      </c>
      <c r="AM203">
        <v>6.1180000000000003</v>
      </c>
    </row>
    <row r="204" spans="2:39" x14ac:dyDescent="0.25">
      <c r="B204" s="650">
        <v>-3.6154090592942922</v>
      </c>
      <c r="C204" s="651">
        <v>2.7066411027371942</v>
      </c>
      <c r="D204" s="652">
        <v>-1.1356034249799298</v>
      </c>
      <c r="E204" s="653">
        <v>-0.86437646574707028</v>
      </c>
      <c r="F204" s="651">
        <v>-0.47789887463062986</v>
      </c>
      <c r="G204" s="654">
        <v>0.15641608321838746</v>
      </c>
      <c r="H204" s="653">
        <v>0.314</v>
      </c>
      <c r="I204" s="887">
        <v>0.52</v>
      </c>
      <c r="J204" s="891">
        <v>6.1210000000000004</v>
      </c>
      <c r="K204" s="876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683"/>
      <c r="M204" s="879"/>
      <c r="N204" s="31" t="str">
        <f t="shared" si="1312"/>
        <v>Y</v>
      </c>
      <c r="O204" s="162">
        <f t="shared" si="1315"/>
        <v>-3.6154090592942922</v>
      </c>
      <c r="P204" s="162">
        <f t="shared" si="1316"/>
        <v>2.7066411027371942</v>
      </c>
      <c r="Q204" s="162">
        <f t="shared" si="1317"/>
        <v>-1.1356034249799298</v>
      </c>
      <c r="R204" s="162">
        <f t="shared" si="1313"/>
        <v>-0.86437646574707028</v>
      </c>
      <c r="S204" s="162">
        <f t="shared" si="1309"/>
        <v>-0.47789887463062986</v>
      </c>
      <c r="T204" s="162">
        <f t="shared" si="1310"/>
        <v>0.15641608321838746</v>
      </c>
      <c r="U204" s="162">
        <f>IFERROR(IF(ISNUMBER(MATCH($X204,Settings!$AK$28:$AK$36,0)),INDEX(Settings!$AO$14:$AO$36,MATCH($X204,Settings!$AK$14:$AK$36,0))/2,INDEX(Settings!$AM$14:$AM$36,MATCH($X204,Settings!$AK$14:$AK$36,0))/2),"")</f>
        <v>0.3125</v>
      </c>
      <c r="V204" s="162">
        <f t="shared" si="1318"/>
        <v>0.52</v>
      </c>
      <c r="W204" s="75">
        <v>6.1210000000000004</v>
      </c>
      <c r="X204" s="882">
        <f t="shared" si="1314"/>
        <v>1613</v>
      </c>
      <c r="AE204">
        <v>-3.6154090592942922</v>
      </c>
      <c r="AF204">
        <v>2.7066411027371942</v>
      </c>
      <c r="AG204">
        <v>-1.1356034249799298</v>
      </c>
      <c r="AH204">
        <v>-0.86437646574707028</v>
      </c>
      <c r="AI204">
        <v>-0.47789887463062986</v>
      </c>
      <c r="AJ204">
        <v>0.15641608321838746</v>
      </c>
      <c r="AK204" s="82">
        <v>0.314</v>
      </c>
      <c r="AL204" s="419">
        <v>0.52</v>
      </c>
      <c r="AM204">
        <v>6.1210000000000004</v>
      </c>
    </row>
    <row r="205" spans="2:39" x14ac:dyDescent="0.25">
      <c r="B205" s="650">
        <v>-3.7205635827157058</v>
      </c>
      <c r="C205" s="651">
        <v>2.8005934507214802</v>
      </c>
      <c r="D205" s="652">
        <v>-1.8942057129244305</v>
      </c>
      <c r="E205" s="653">
        <v>-0.92297348593687389</v>
      </c>
      <c r="F205" s="651">
        <v>-0.38265645082097782</v>
      </c>
      <c r="G205" s="654">
        <v>4.1158047847629983E-2</v>
      </c>
      <c r="H205" s="653">
        <v>0.314</v>
      </c>
      <c r="I205" s="887">
        <v>0.52</v>
      </c>
      <c r="J205" s="891">
        <v>6.1239999999999997</v>
      </c>
      <c r="K205" s="876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683"/>
      <c r="M205" s="879"/>
      <c r="N205" s="31" t="str">
        <f t="shared" si="1312"/>
        <v>Y</v>
      </c>
      <c r="O205" s="162">
        <f t="shared" si="1315"/>
        <v>-3.7205635827157058</v>
      </c>
      <c r="P205" s="162">
        <f t="shared" si="1316"/>
        <v>2.8005934507214802</v>
      </c>
      <c r="Q205" s="162">
        <f t="shared" si="1317"/>
        <v>-1.8942057129244305</v>
      </c>
      <c r="R205" s="162">
        <f t="shared" si="1313"/>
        <v>-0.92297348593687389</v>
      </c>
      <c r="S205" s="162">
        <f t="shared" si="1309"/>
        <v>-0.38265645082097782</v>
      </c>
      <c r="T205" s="162">
        <f t="shared" si="1310"/>
        <v>4.1158047847629983E-2</v>
      </c>
      <c r="U205" s="162">
        <f>IFERROR(IF(ISNUMBER(MATCH($X205,Settings!$AK$28:$AK$36,0)),INDEX(Settings!$AO$14:$AO$36,MATCH($X205,Settings!$AK$14:$AK$36,0))/2,INDEX(Settings!$AM$14:$AM$36,MATCH($X205,Settings!$AK$14:$AK$36,0))/2),"")</f>
        <v>0.3125</v>
      </c>
      <c r="V205" s="162">
        <f t="shared" si="1318"/>
        <v>0.52</v>
      </c>
      <c r="W205" s="75">
        <v>6.1239999999999997</v>
      </c>
      <c r="X205" s="882">
        <f t="shared" si="1314"/>
        <v>1613</v>
      </c>
      <c r="AE205">
        <v>-3.7205635827157058</v>
      </c>
      <c r="AF205">
        <v>2.8005934507214802</v>
      </c>
      <c r="AG205">
        <v>-1.8942057129244305</v>
      </c>
      <c r="AH205">
        <v>-0.92297348593687389</v>
      </c>
      <c r="AI205">
        <v>-0.38265645082097782</v>
      </c>
      <c r="AJ205">
        <v>4.1158047847629983E-2</v>
      </c>
      <c r="AK205" s="82">
        <v>0.314</v>
      </c>
      <c r="AL205" s="419">
        <v>0.52</v>
      </c>
      <c r="AM205">
        <v>6.1239999999999997</v>
      </c>
    </row>
    <row r="206" spans="2:39" x14ac:dyDescent="0.25">
      <c r="B206" s="650">
        <v>-3.7905017029477457</v>
      </c>
      <c r="C206" s="651">
        <v>2.863616048418876</v>
      </c>
      <c r="D206" s="652">
        <v>-2.5459075821466182</v>
      </c>
      <c r="E206" s="653">
        <v>-0.93043621249346975</v>
      </c>
      <c r="F206" s="651">
        <v>-0.36408091964547185</v>
      </c>
      <c r="G206" s="654">
        <v>4.1635783058741119E-2</v>
      </c>
      <c r="H206" s="653">
        <v>0.26600000000000001</v>
      </c>
      <c r="I206" s="887">
        <v>0.52</v>
      </c>
      <c r="J206" s="891">
        <v>6.1269999999999998</v>
      </c>
      <c r="K206" s="876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683"/>
      <c r="M206" s="879"/>
      <c r="N206" s="31" t="str">
        <f t="shared" si="1312"/>
        <v>Y</v>
      </c>
      <c r="O206" s="162">
        <f t="shared" si="1315"/>
        <v>-3.7905017029477457</v>
      </c>
      <c r="P206" s="162">
        <f t="shared" si="1316"/>
        <v>2.863616048418876</v>
      </c>
      <c r="Q206" s="162">
        <f t="shared" si="1317"/>
        <v>-2.5459075821466182</v>
      </c>
      <c r="R206" s="162">
        <f t="shared" si="1313"/>
        <v>-0.93043621249346975</v>
      </c>
      <c r="S206" s="162">
        <f t="shared" si="1309"/>
        <v>-0.36408091964547185</v>
      </c>
      <c r="T206" s="162">
        <f t="shared" si="1310"/>
        <v>4.1635783058741119E-2</v>
      </c>
      <c r="U206" s="162">
        <f>IFERROR(IF(ISNUMBER(MATCH($X206,Settings!$AK$28:$AK$36,0)),INDEX(Settings!$AO$14:$AO$36,MATCH($X206,Settings!$AK$14:$AK$36,0))/2,INDEX(Settings!$AM$14:$AM$36,MATCH($X206,Settings!$AK$14:$AK$36,0))/2),"")</f>
        <v>0.26450000000000001</v>
      </c>
      <c r="V206" s="162">
        <f t="shared" si="1318"/>
        <v>0.52</v>
      </c>
      <c r="W206" s="75">
        <v>6.1269999999999998</v>
      </c>
      <c r="X206" s="882">
        <f t="shared" si="1314"/>
        <v>1313</v>
      </c>
      <c r="AE206">
        <v>-3.7905017029477457</v>
      </c>
      <c r="AF206">
        <v>2.863616048418876</v>
      </c>
      <c r="AG206">
        <v>-2.5459075821466182</v>
      </c>
      <c r="AH206">
        <v>-0.93043621249346975</v>
      </c>
      <c r="AI206">
        <v>-0.36408091964547185</v>
      </c>
      <c r="AJ206">
        <v>4.1635783058741119E-2</v>
      </c>
      <c r="AK206" s="82">
        <v>0.26600000000000001</v>
      </c>
      <c r="AL206" s="419">
        <v>0.52</v>
      </c>
      <c r="AM206">
        <v>6.1269999999999998</v>
      </c>
    </row>
    <row r="207" spans="2:39" x14ac:dyDescent="0.25">
      <c r="B207" s="650">
        <v>0.81952143883640483</v>
      </c>
      <c r="C207" s="651">
        <v>3.2820404442665807</v>
      </c>
      <c r="D207" s="652">
        <v>-0.12270037006431612</v>
      </c>
      <c r="E207" s="653">
        <v>-0.86290356730527107</v>
      </c>
      <c r="F207" s="651">
        <v>0.38124334239896435</v>
      </c>
      <c r="G207" s="654">
        <v>0.33173927625215516</v>
      </c>
      <c r="H207" s="653">
        <v>0.26600000000000001</v>
      </c>
      <c r="I207" s="887">
        <v>0.52</v>
      </c>
      <c r="J207" s="891">
        <v>1.2150000000000001</v>
      </c>
      <c r="K207" s="876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683"/>
      <c r="M207" s="879" t="s">
        <v>9</v>
      </c>
      <c r="N207" s="31" t="str">
        <f t="shared" si="1312"/>
        <v>N</v>
      </c>
      <c r="O207" s="162" t="str">
        <f t="shared" si="1315"/>
        <v/>
      </c>
      <c r="P207" s="162" t="str">
        <f t="shared" si="1316"/>
        <v/>
      </c>
      <c r="Q207" s="162" t="str">
        <f t="shared" si="1317"/>
        <v/>
      </c>
      <c r="R207" s="162" t="str">
        <f t="shared" si="1313"/>
        <v/>
      </c>
      <c r="S207" s="162" t="str">
        <f t="shared" si="1309"/>
        <v/>
      </c>
      <c r="T207" s="162" t="str">
        <f t="shared" si="1310"/>
        <v/>
      </c>
      <c r="U207" s="162" t="str">
        <f>IFERROR(IF(ISNUMBER(MATCH($X207,Settings!$AK$28:$AK$36,0)),INDEX(Settings!$AO$14:$AO$36,MATCH($X207,Settings!$AK$14:$AK$36,0))/2,INDEX(Settings!$AM$14:$AM$36,MATCH($X207,Settings!$AK$14:$AK$36,0))/2),"")</f>
        <v/>
      </c>
      <c r="V207" s="162" t="str">
        <f t="shared" si="1318"/>
        <v/>
      </c>
      <c r="W207" s="75"/>
      <c r="X207" s="882" t="str">
        <f t="shared" si="1314"/>
        <v/>
      </c>
      <c r="AE207">
        <v>0.81952143883640483</v>
      </c>
      <c r="AF207">
        <v>3.2820404442665807</v>
      </c>
      <c r="AG207">
        <v>-0.12270037006431612</v>
      </c>
      <c r="AH207">
        <v>-0.86290356730527107</v>
      </c>
      <c r="AI207">
        <v>0.38124334239896435</v>
      </c>
      <c r="AJ207">
        <v>0.33173927625215516</v>
      </c>
      <c r="AK207" s="82">
        <v>0.26600000000000001</v>
      </c>
      <c r="AL207" s="419">
        <v>0.52</v>
      </c>
      <c r="AM207">
        <v>1.2150000000000001</v>
      </c>
    </row>
    <row r="208" spans="2:39" x14ac:dyDescent="0.25">
      <c r="B208" s="650">
        <v>0.90327550907446341</v>
      </c>
      <c r="C208" s="651">
        <v>3.9629744094136181</v>
      </c>
      <c r="D208" s="652">
        <v>-0.49870150408373642</v>
      </c>
      <c r="E208" s="653">
        <v>-0.81235712070265476</v>
      </c>
      <c r="F208" s="651">
        <v>0.50733154795845337</v>
      </c>
      <c r="G208" s="654">
        <v>0.28755974838243953</v>
      </c>
      <c r="H208" s="653">
        <v>0.26600000000000001</v>
      </c>
      <c r="I208" s="887">
        <v>0.52</v>
      </c>
      <c r="J208" s="891">
        <v>1.218</v>
      </c>
      <c r="K208" s="876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683"/>
      <c r="M208" s="879" t="s">
        <v>9</v>
      </c>
      <c r="N208" s="31" t="str">
        <f t="shared" si="1312"/>
        <v>N</v>
      </c>
      <c r="O208" s="162" t="str">
        <f t="shared" si="1315"/>
        <v/>
      </c>
      <c r="P208" s="162" t="str">
        <f t="shared" si="1316"/>
        <v/>
      </c>
      <c r="Q208" s="162" t="str">
        <f t="shared" si="1317"/>
        <v/>
      </c>
      <c r="R208" s="162" t="str">
        <f t="shared" si="1313"/>
        <v/>
      </c>
      <c r="S208" s="162" t="str">
        <f t="shared" si="1309"/>
        <v/>
      </c>
      <c r="T208" s="162" t="str">
        <f t="shared" si="1310"/>
        <v/>
      </c>
      <c r="U208" s="162" t="str">
        <f>IFERROR(IF(ISNUMBER(MATCH($X208,Settings!$AK$28:$AK$36,0)),INDEX(Settings!$AO$14:$AO$36,MATCH($X208,Settings!$AK$14:$AK$36,0))/2,INDEX(Settings!$AM$14:$AM$36,MATCH($X208,Settings!$AK$14:$AK$36,0))/2),"")</f>
        <v/>
      </c>
      <c r="V208" s="162" t="str">
        <f t="shared" si="1318"/>
        <v/>
      </c>
      <c r="W208" s="75"/>
      <c r="X208" s="882" t="str">
        <f t="shared" si="1314"/>
        <v/>
      </c>
      <c r="AE208">
        <v>0.90327550907446341</v>
      </c>
      <c r="AF208">
        <v>3.9629744094136181</v>
      </c>
      <c r="AG208">
        <v>-0.49870150408373642</v>
      </c>
      <c r="AH208">
        <v>-0.81235712070265476</v>
      </c>
      <c r="AI208">
        <v>0.50733154795845337</v>
      </c>
      <c r="AJ208">
        <v>0.28755974838243953</v>
      </c>
      <c r="AK208" s="82">
        <v>0.26600000000000001</v>
      </c>
      <c r="AL208" s="419">
        <v>0.52</v>
      </c>
      <c r="AM208">
        <v>1.218</v>
      </c>
    </row>
    <row r="209" spans="2:39" x14ac:dyDescent="0.25">
      <c r="B209" s="650">
        <v>0.98056533009873081</v>
      </c>
      <c r="C209" s="651">
        <v>4.4084778669075355</v>
      </c>
      <c r="D209" s="652">
        <v>-1.135703425281531</v>
      </c>
      <c r="E209" s="653">
        <v>-0.77197316698370511</v>
      </c>
      <c r="F209" s="651">
        <v>0.61022372305156358</v>
      </c>
      <c r="G209" s="654">
        <v>0.17800122831665294</v>
      </c>
      <c r="H209" s="653">
        <v>0.26600000000000001</v>
      </c>
      <c r="I209" s="887">
        <v>0.52</v>
      </c>
      <c r="J209" s="891">
        <v>1.2210000000000001</v>
      </c>
      <c r="K209" s="876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683"/>
      <c r="M209" s="879" t="s">
        <v>9</v>
      </c>
      <c r="N209" s="31" t="str">
        <f t="shared" si="1312"/>
        <v>N</v>
      </c>
      <c r="O209" s="162" t="str">
        <f t="shared" si="1315"/>
        <v/>
      </c>
      <c r="P209" s="162" t="str">
        <f t="shared" si="1316"/>
        <v/>
      </c>
      <c r="Q209" s="162" t="str">
        <f t="shared" si="1317"/>
        <v/>
      </c>
      <c r="R209" s="162" t="str">
        <f t="shared" si="1313"/>
        <v/>
      </c>
      <c r="S209" s="162" t="str">
        <f t="shared" si="1309"/>
        <v/>
      </c>
      <c r="T209" s="162" t="str">
        <f t="shared" si="1310"/>
        <v/>
      </c>
      <c r="U209" s="162" t="str">
        <f>IFERROR(IF(ISNUMBER(MATCH($X209,Settings!$AK$28:$AK$36,0)),INDEX(Settings!$AO$14:$AO$36,MATCH($X209,Settings!$AK$14:$AK$36,0))/2,INDEX(Settings!$AM$14:$AM$36,MATCH($X209,Settings!$AK$14:$AK$36,0))/2),"")</f>
        <v/>
      </c>
      <c r="V209" s="162" t="str">
        <f t="shared" si="1318"/>
        <v/>
      </c>
      <c r="W209" s="75"/>
      <c r="X209" s="882" t="str">
        <f t="shared" si="1314"/>
        <v/>
      </c>
      <c r="AE209">
        <v>0.98056533009873081</v>
      </c>
      <c r="AF209">
        <v>4.4084778669075355</v>
      </c>
      <c r="AG209">
        <v>-1.135703425281531</v>
      </c>
      <c r="AH209">
        <v>-0.77197316698370511</v>
      </c>
      <c r="AI209">
        <v>0.61022372305156358</v>
      </c>
      <c r="AJ209">
        <v>0.17800122831665294</v>
      </c>
      <c r="AK209" s="82">
        <v>0.26600000000000001</v>
      </c>
      <c r="AL209" s="419">
        <v>0.52</v>
      </c>
      <c r="AM209">
        <v>1.2210000000000001</v>
      </c>
    </row>
    <row r="210" spans="2:39" x14ac:dyDescent="0.25">
      <c r="B210" s="650">
        <v>3.5535059907514608</v>
      </c>
      <c r="C210" s="651">
        <v>0.73395288775143008</v>
      </c>
      <c r="D210" s="652">
        <v>-0.21210063969552892</v>
      </c>
      <c r="E210" s="653">
        <v>2.5277569868563957E-2</v>
      </c>
      <c r="F210" s="651">
        <v>0.94297600905241263</v>
      </c>
      <c r="G210" s="654">
        <v>0.33189951915169164</v>
      </c>
      <c r="H210" s="653">
        <v>0.26600000000000001</v>
      </c>
      <c r="I210" s="887">
        <v>0.52</v>
      </c>
      <c r="J210" s="891">
        <v>2.2130000000000001</v>
      </c>
      <c r="K210" s="876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683"/>
      <c r="M210" s="879" t="s">
        <v>9</v>
      </c>
      <c r="N210" s="31" t="str">
        <f t="shared" si="1312"/>
        <v>N</v>
      </c>
      <c r="O210" s="162" t="str">
        <f t="shared" si="1315"/>
        <v/>
      </c>
      <c r="P210" s="162" t="str">
        <f t="shared" si="1316"/>
        <v/>
      </c>
      <c r="Q210" s="162" t="str">
        <f t="shared" si="1317"/>
        <v/>
      </c>
      <c r="R210" s="162" t="str">
        <f t="shared" si="1313"/>
        <v/>
      </c>
      <c r="S210" s="162" t="str">
        <f t="shared" si="1309"/>
        <v/>
      </c>
      <c r="T210" s="162" t="str">
        <f t="shared" si="1310"/>
        <v/>
      </c>
      <c r="U210" s="162" t="str">
        <f>IFERROR(IF(ISNUMBER(MATCH($X210,Settings!$AK$28:$AK$36,0)),INDEX(Settings!$AO$14:$AO$36,MATCH($X210,Settings!$AK$14:$AK$36,0))/2,INDEX(Settings!$AM$14:$AM$36,MATCH($X210,Settings!$AK$14:$AK$36,0))/2),"")</f>
        <v/>
      </c>
      <c r="V210" s="162" t="str">
        <f t="shared" si="1318"/>
        <v/>
      </c>
      <c r="W210" s="75"/>
      <c r="X210" s="882" t="str">
        <f t="shared" si="1314"/>
        <v/>
      </c>
      <c r="AE210">
        <v>3.5535059907514608</v>
      </c>
      <c r="AF210">
        <v>0.73395288775143008</v>
      </c>
      <c r="AG210">
        <v>-0.21210063969552892</v>
      </c>
      <c r="AH210">
        <v>2.5277569868563957E-2</v>
      </c>
      <c r="AI210">
        <v>0.94297600905241263</v>
      </c>
      <c r="AJ210">
        <v>0.33189951915169164</v>
      </c>
      <c r="AK210" s="82">
        <v>0.26600000000000001</v>
      </c>
      <c r="AL210" s="419">
        <v>0.52</v>
      </c>
      <c r="AM210">
        <v>2.2130000000000001</v>
      </c>
    </row>
    <row r="211" spans="2:39" x14ac:dyDescent="0.25">
      <c r="B211" s="650">
        <v>4.144772569561546</v>
      </c>
      <c r="C211" s="651">
        <v>0.91659426616775352</v>
      </c>
      <c r="D211" s="652">
        <v>-0.68490206566463008</v>
      </c>
      <c r="E211" s="653">
        <v>0.15745827832334655</v>
      </c>
      <c r="F211" s="651">
        <v>0.95251663988531732</v>
      </c>
      <c r="G211" s="654">
        <v>0.2606126269562401</v>
      </c>
      <c r="H211" s="653">
        <v>0.26600000000000001</v>
      </c>
      <c r="I211" s="887">
        <v>0.52</v>
      </c>
      <c r="J211" s="891">
        <v>2.2160000000000002</v>
      </c>
      <c r="K211" s="876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683"/>
      <c r="M211" s="879" t="s">
        <v>9</v>
      </c>
      <c r="N211" s="31" t="str">
        <f t="shared" si="1312"/>
        <v>N</v>
      </c>
      <c r="O211" s="162" t="str">
        <f t="shared" si="1315"/>
        <v/>
      </c>
      <c r="P211" s="162" t="str">
        <f t="shared" si="1316"/>
        <v/>
      </c>
      <c r="Q211" s="162" t="str">
        <f t="shared" si="1317"/>
        <v/>
      </c>
      <c r="R211" s="162" t="str">
        <f t="shared" si="1313"/>
        <v/>
      </c>
      <c r="S211" s="162" t="str">
        <f t="shared" si="1309"/>
        <v/>
      </c>
      <c r="T211" s="162" t="str">
        <f t="shared" si="1310"/>
        <v/>
      </c>
      <c r="U211" s="162" t="str">
        <f>IFERROR(IF(ISNUMBER(MATCH($X211,Settings!$AK$28:$AK$36,0)),INDEX(Settings!$AO$14:$AO$36,MATCH($X211,Settings!$AK$14:$AK$36,0))/2,INDEX(Settings!$AM$14:$AM$36,MATCH($X211,Settings!$AK$14:$AK$36,0))/2),"")</f>
        <v/>
      </c>
      <c r="V211" s="162" t="str">
        <f t="shared" si="1318"/>
        <v/>
      </c>
      <c r="W211" s="75"/>
      <c r="X211" s="882" t="str">
        <f t="shared" si="1314"/>
        <v/>
      </c>
      <c r="AE211">
        <v>4.144772569561546</v>
      </c>
      <c r="AF211">
        <v>0.91659426616775352</v>
      </c>
      <c r="AG211">
        <v>-0.68490206566463008</v>
      </c>
      <c r="AH211">
        <v>0.15745827832334655</v>
      </c>
      <c r="AI211">
        <v>0.95251663988531732</v>
      </c>
      <c r="AJ211">
        <v>0.2606126269562401</v>
      </c>
      <c r="AK211" s="82">
        <v>0.26600000000000001</v>
      </c>
      <c r="AL211" s="419">
        <v>0.52</v>
      </c>
      <c r="AM211">
        <v>2.2160000000000002</v>
      </c>
    </row>
    <row r="212" spans="2:39" x14ac:dyDescent="0.25">
      <c r="B212" s="650">
        <v>4.5285399714513366</v>
      </c>
      <c r="C212" s="651">
        <v>0.79850378018361279</v>
      </c>
      <c r="D212" s="652">
        <v>-1.3813000000000006</v>
      </c>
      <c r="E212" s="653">
        <v>0.77709612452374655</v>
      </c>
      <c r="F212" s="651">
        <v>0.13702301335752134</v>
      </c>
      <c r="G212" s="654">
        <v>0.61428520009894305</v>
      </c>
      <c r="H212" s="1431">
        <v>0.26250000000000001</v>
      </c>
      <c r="I212" s="1432">
        <v>0.40699999999999997</v>
      </c>
      <c r="J212" s="891">
        <v>2.3220000000000001</v>
      </c>
      <c r="K212" s="876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CPS-32106r1</v>
      </c>
      <c r="L212" s="683"/>
      <c r="M212" s="879" t="s">
        <v>9</v>
      </c>
      <c r="N212" s="31" t="str">
        <f t="shared" si="1312"/>
        <v>N</v>
      </c>
      <c r="O212" s="162" t="str">
        <f t="shared" si="1315"/>
        <v/>
      </c>
      <c r="P212" s="162" t="str">
        <f t="shared" si="1316"/>
        <v/>
      </c>
      <c r="Q212" s="162" t="str">
        <f t="shared" si="1317"/>
        <v/>
      </c>
      <c r="R212" s="162" t="str">
        <f t="shared" si="1313"/>
        <v/>
      </c>
      <c r="S212" s="162" t="str">
        <f t="shared" si="1309"/>
        <v/>
      </c>
      <c r="T212" s="162" t="str">
        <f t="shared" si="1310"/>
        <v/>
      </c>
      <c r="U212" s="162" t="str">
        <f>IFERROR(IF(ISNUMBER(MATCH($X212,Settings!$AK$28:$AK$36,0)),INDEX(Settings!$AO$14:$AO$36,MATCH($X212,Settings!$AK$14:$AK$36,0))/2,INDEX(Settings!$AM$14:$AM$36,MATCH($X212,Settings!$AK$14:$AK$36,0))/2),"")</f>
        <v/>
      </c>
      <c r="V212" s="162" t="str">
        <f t="shared" si="1318"/>
        <v/>
      </c>
      <c r="W212" s="75"/>
      <c r="X212" s="882" t="str">
        <f t="shared" si="1314"/>
        <v/>
      </c>
      <c r="Y212" s="779"/>
      <c r="AE212">
        <v>4.5285399714513366</v>
      </c>
      <c r="AF212">
        <v>0.79850378018361279</v>
      </c>
      <c r="AG212">
        <v>-1.3813000000000006</v>
      </c>
      <c r="AH212">
        <v>0.77709612452374655</v>
      </c>
      <c r="AI212">
        <v>0.13702301335752134</v>
      </c>
      <c r="AJ212">
        <v>0.61428520009894305</v>
      </c>
      <c r="AK212" s="82">
        <v>0.26250000000000001</v>
      </c>
      <c r="AL212" s="419">
        <v>0.40699999999999997</v>
      </c>
      <c r="AM212">
        <v>2.3220000000000001</v>
      </c>
    </row>
    <row r="213" spans="2:39" x14ac:dyDescent="0.25">
      <c r="B213" s="650">
        <v>1.9926231333688744</v>
      </c>
      <c r="C213" s="651">
        <v>-2.3772451908089982</v>
      </c>
      <c r="D213" s="652">
        <v>-6.6000199056600178E-2</v>
      </c>
      <c r="E213" s="653">
        <v>0.79144453477807308</v>
      </c>
      <c r="F213" s="651">
        <v>0.53224281475664592</v>
      </c>
      <c r="G213" s="654">
        <v>0.300554711341949</v>
      </c>
      <c r="H213" s="653">
        <v>0.26600000000000001</v>
      </c>
      <c r="I213" s="887">
        <v>0.52</v>
      </c>
      <c r="J213" s="891">
        <v>3.214</v>
      </c>
      <c r="K213" s="876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683"/>
      <c r="M213" s="879" t="s">
        <v>9</v>
      </c>
      <c r="N213" s="31" t="str">
        <f t="shared" si="1312"/>
        <v>N</v>
      </c>
      <c r="O213" s="162" t="str">
        <f t="shared" si="1315"/>
        <v/>
      </c>
      <c r="P213" s="162" t="str">
        <f t="shared" si="1316"/>
        <v/>
      </c>
      <c r="Q213" s="162" t="str">
        <f t="shared" si="1317"/>
        <v/>
      </c>
      <c r="R213" s="162" t="str">
        <f t="shared" si="1313"/>
        <v/>
      </c>
      <c r="S213" s="162" t="str">
        <f t="shared" si="1309"/>
        <v/>
      </c>
      <c r="T213" s="162" t="str">
        <f t="shared" si="1310"/>
        <v/>
      </c>
      <c r="U213" s="162" t="str">
        <f>IFERROR(IF(ISNUMBER(MATCH($X213,Settings!$AK$28:$AK$36,0)),INDEX(Settings!$AO$14:$AO$36,MATCH($X213,Settings!$AK$14:$AK$36,0))/2,INDEX(Settings!$AM$14:$AM$36,MATCH($X213,Settings!$AK$14:$AK$36,0))/2),"")</f>
        <v/>
      </c>
      <c r="V213" s="162" t="str">
        <f t="shared" si="1318"/>
        <v/>
      </c>
      <c r="W213" s="75"/>
      <c r="X213" s="882" t="str">
        <f t="shared" si="1314"/>
        <v/>
      </c>
      <c r="AE213">
        <v>1.9926231333688744</v>
      </c>
      <c r="AF213">
        <v>-2.3772451908089982</v>
      </c>
      <c r="AG213">
        <v>-6.6000199056600178E-2</v>
      </c>
      <c r="AH213">
        <v>0.79144453477807308</v>
      </c>
      <c r="AI213">
        <v>0.53224281475664592</v>
      </c>
      <c r="AJ213">
        <v>0.300554711341949</v>
      </c>
      <c r="AK213" s="82">
        <v>0.26600000000000001</v>
      </c>
      <c r="AL213" s="419">
        <v>0.52</v>
      </c>
      <c r="AM213">
        <v>3.214</v>
      </c>
    </row>
    <row r="214" spans="2:39" x14ac:dyDescent="0.25">
      <c r="B214" s="650">
        <v>2.5572532605839053</v>
      </c>
      <c r="C214" s="651">
        <v>-2.8691929918833634</v>
      </c>
      <c r="D214" s="652">
        <v>-0.3310009982990107</v>
      </c>
      <c r="E214" s="653">
        <v>0.85770631290459864</v>
      </c>
      <c r="F214" s="651">
        <v>0.43005998111418053</v>
      </c>
      <c r="G214" s="654">
        <v>0.28175928280656415</v>
      </c>
      <c r="H214" s="653">
        <v>0.26600000000000001</v>
      </c>
      <c r="I214" s="887">
        <v>0.52</v>
      </c>
      <c r="J214" s="891">
        <v>3.2170000000000001</v>
      </c>
      <c r="K214" s="876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683"/>
      <c r="M214" s="879" t="s">
        <v>9</v>
      </c>
      <c r="N214" s="31" t="str">
        <f t="shared" si="1312"/>
        <v>N</v>
      </c>
      <c r="O214" s="162" t="str">
        <f t="shared" si="1315"/>
        <v/>
      </c>
      <c r="P214" s="162" t="str">
        <f t="shared" si="1316"/>
        <v/>
      </c>
      <c r="Q214" s="162" t="str">
        <f t="shared" si="1317"/>
        <v/>
      </c>
      <c r="R214" s="162" t="str">
        <f t="shared" si="1313"/>
        <v/>
      </c>
      <c r="S214" s="162" t="str">
        <f t="shared" si="1309"/>
        <v/>
      </c>
      <c r="T214" s="162" t="str">
        <f t="shared" si="1310"/>
        <v/>
      </c>
      <c r="U214" s="162" t="str">
        <f>IFERROR(IF(ISNUMBER(MATCH($X214,Settings!$AK$28:$AK$36,0)),INDEX(Settings!$AO$14:$AO$36,MATCH($X214,Settings!$AK$14:$AK$36,0))/2,INDEX(Settings!$AM$14:$AM$36,MATCH($X214,Settings!$AK$14:$AK$36,0))/2),"")</f>
        <v/>
      </c>
      <c r="V214" s="162" t="str">
        <f t="shared" si="1318"/>
        <v/>
      </c>
      <c r="W214" s="75"/>
      <c r="X214" s="882" t="str">
        <f t="shared" si="1314"/>
        <v/>
      </c>
      <c r="AE214">
        <v>2.5572532605839053</v>
      </c>
      <c r="AF214">
        <v>-2.8691929918833634</v>
      </c>
      <c r="AG214">
        <v>-0.3310009982990107</v>
      </c>
      <c r="AH214">
        <v>0.85770631290459864</v>
      </c>
      <c r="AI214">
        <v>0.43005998111418053</v>
      </c>
      <c r="AJ214">
        <v>0.28175928280656415</v>
      </c>
      <c r="AK214" s="82">
        <v>0.26600000000000001</v>
      </c>
      <c r="AL214" s="419">
        <v>0.52</v>
      </c>
      <c r="AM214">
        <v>3.2170000000000001</v>
      </c>
    </row>
    <row r="215" spans="2:39" x14ac:dyDescent="0.25">
      <c r="B215" s="650">
        <v>2.9589446235617034</v>
      </c>
      <c r="C215" s="651">
        <v>-3.2529817270884878</v>
      </c>
      <c r="D215" s="652">
        <v>-0.90150271893220069</v>
      </c>
      <c r="E215" s="653">
        <v>0.92216061231756319</v>
      </c>
      <c r="F215" s="651">
        <v>0.33656776710108138</v>
      </c>
      <c r="G215" s="654">
        <v>0.19063562951003998</v>
      </c>
      <c r="H215" s="653">
        <v>0.26600000000000001</v>
      </c>
      <c r="I215" s="887">
        <v>0.52</v>
      </c>
      <c r="J215" s="891">
        <v>3.22</v>
      </c>
      <c r="K215" s="876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683"/>
      <c r="M215" s="879" t="s">
        <v>9</v>
      </c>
      <c r="N215" s="31" t="str">
        <f t="shared" si="1312"/>
        <v>N</v>
      </c>
      <c r="O215" s="162" t="str">
        <f t="shared" si="1315"/>
        <v/>
      </c>
      <c r="P215" s="162" t="str">
        <f t="shared" si="1316"/>
        <v/>
      </c>
      <c r="Q215" s="162" t="str">
        <f t="shared" si="1317"/>
        <v/>
      </c>
      <c r="R215" s="162" t="str">
        <f t="shared" si="1313"/>
        <v/>
      </c>
      <c r="S215" s="162" t="str">
        <f t="shared" si="1309"/>
        <v/>
      </c>
      <c r="T215" s="162" t="str">
        <f t="shared" si="1310"/>
        <v/>
      </c>
      <c r="U215" s="162" t="str">
        <f>IFERROR(IF(ISNUMBER(MATCH($X215,Settings!$AK$28:$AK$36,0)),INDEX(Settings!$AO$14:$AO$36,MATCH($X215,Settings!$AK$14:$AK$36,0))/2,INDEX(Settings!$AM$14:$AM$36,MATCH($X215,Settings!$AK$14:$AK$36,0))/2),"")</f>
        <v/>
      </c>
      <c r="V215" s="162" t="str">
        <f t="shared" si="1318"/>
        <v/>
      </c>
      <c r="W215" s="75"/>
      <c r="X215" s="882" t="str">
        <f t="shared" si="1314"/>
        <v/>
      </c>
      <c r="AE215">
        <v>2.9589446235617034</v>
      </c>
      <c r="AF215">
        <v>-3.2529817270884878</v>
      </c>
      <c r="AG215">
        <v>-0.90150271893220069</v>
      </c>
      <c r="AH215">
        <v>0.92216061231756319</v>
      </c>
      <c r="AI215">
        <v>0.33656776710108138</v>
      </c>
      <c r="AJ215">
        <v>0.19063562951003998</v>
      </c>
      <c r="AK215" s="82">
        <v>0.26600000000000001</v>
      </c>
      <c r="AL215" s="419">
        <v>0.52</v>
      </c>
      <c r="AM215">
        <v>3.22</v>
      </c>
    </row>
    <row r="216" spans="2:39" x14ac:dyDescent="0.25">
      <c r="B216" s="650">
        <v>2.9821461944047267</v>
      </c>
      <c r="C216" s="651">
        <v>-3.5539888062847651</v>
      </c>
      <c r="D216" s="652">
        <v>-1.6396999999999997</v>
      </c>
      <c r="E216" s="653">
        <v>0.54511432569406837</v>
      </c>
      <c r="F216" s="651">
        <v>-0.64964293678730944</v>
      </c>
      <c r="G216" s="654">
        <v>0.5299192642332049</v>
      </c>
      <c r="H216" s="653">
        <v>0.26250000000000001</v>
      </c>
      <c r="I216" s="887">
        <v>0.40699999999999997</v>
      </c>
      <c r="J216" s="891">
        <v>3.323</v>
      </c>
      <c r="K216" s="876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CPS-32106r1</v>
      </c>
      <c r="L216" s="683"/>
      <c r="M216" s="879" t="s">
        <v>9</v>
      </c>
      <c r="N216" s="31" t="str">
        <f t="shared" si="1312"/>
        <v>N</v>
      </c>
      <c r="O216" s="162" t="str">
        <f t="shared" si="1315"/>
        <v/>
      </c>
      <c r="P216" s="162" t="str">
        <f t="shared" si="1316"/>
        <v/>
      </c>
      <c r="Q216" s="162" t="str">
        <f t="shared" si="1317"/>
        <v/>
      </c>
      <c r="R216" s="162" t="str">
        <f t="shared" si="1313"/>
        <v/>
      </c>
      <c r="S216" s="162" t="str">
        <f t="shared" si="1309"/>
        <v/>
      </c>
      <c r="T216" s="162" t="str">
        <f t="shared" si="1310"/>
        <v/>
      </c>
      <c r="U216" s="162" t="str">
        <f>IFERROR(IF(ISNUMBER(MATCH($X216,Settings!$AK$28:$AK$36,0)),INDEX(Settings!$AO$14:$AO$36,MATCH($X216,Settings!$AK$14:$AK$36,0))/2,INDEX(Settings!$AM$14:$AM$36,MATCH($X216,Settings!$AK$14:$AK$36,0))/2),"")</f>
        <v/>
      </c>
      <c r="V216" s="162" t="str">
        <f t="shared" si="1318"/>
        <v/>
      </c>
      <c r="W216" s="75"/>
      <c r="X216" s="882" t="str">
        <f t="shared" si="1314"/>
        <v/>
      </c>
      <c r="AE216">
        <v>2.9821461944047267</v>
      </c>
      <c r="AF216">
        <v>-3.5539888062847651</v>
      </c>
      <c r="AG216">
        <v>-1.6396999999999997</v>
      </c>
      <c r="AH216">
        <v>0.54511432569406837</v>
      </c>
      <c r="AI216">
        <v>-0.64964293678730944</v>
      </c>
      <c r="AJ216">
        <v>0.5299192642332049</v>
      </c>
      <c r="AK216" s="82">
        <v>0.26250000000000001</v>
      </c>
      <c r="AL216" s="419">
        <v>0.40699999999999997</v>
      </c>
      <c r="AM216">
        <v>3.323</v>
      </c>
    </row>
    <row r="217" spans="2:39" x14ac:dyDescent="0.25">
      <c r="B217" s="650">
        <v>-1.376992732572464</v>
      </c>
      <c r="C217" s="651">
        <v>-3.0898698809103085</v>
      </c>
      <c r="D217" s="652">
        <v>-0.12270037006431622</v>
      </c>
      <c r="E217" s="653">
        <v>0.78359168649835009</v>
      </c>
      <c r="F217" s="651">
        <v>-0.5252933670268144</v>
      </c>
      <c r="G217" s="654">
        <v>0.33173927625215521</v>
      </c>
      <c r="H217" s="653">
        <v>0.26600000000000001</v>
      </c>
      <c r="I217" s="887">
        <v>0.52</v>
      </c>
      <c r="J217" s="891">
        <v>4.2149999999999999</v>
      </c>
      <c r="K217" s="876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683"/>
      <c r="M217" s="879" t="s">
        <v>9</v>
      </c>
      <c r="N217" s="31" t="str">
        <f t="shared" si="1312"/>
        <v>N</v>
      </c>
      <c r="O217" s="162" t="str">
        <f t="shared" si="1315"/>
        <v/>
      </c>
      <c r="P217" s="162" t="str">
        <f t="shared" si="1316"/>
        <v/>
      </c>
      <c r="Q217" s="162" t="str">
        <f t="shared" si="1317"/>
        <v/>
      </c>
      <c r="R217" s="162" t="str">
        <f t="shared" si="1313"/>
        <v/>
      </c>
      <c r="S217" s="162" t="str">
        <f t="shared" si="1309"/>
        <v/>
      </c>
      <c r="T217" s="162" t="str">
        <f t="shared" si="1310"/>
        <v/>
      </c>
      <c r="U217" s="162" t="str">
        <f>IFERROR(IF(ISNUMBER(MATCH($X217,Settings!$AK$28:$AK$36,0)),INDEX(Settings!$AO$14:$AO$36,MATCH($X217,Settings!$AK$14:$AK$36,0))/2,INDEX(Settings!$AM$14:$AM$36,MATCH($X217,Settings!$AK$14:$AK$36,0))/2),"")</f>
        <v/>
      </c>
      <c r="V217" s="162" t="str">
        <f t="shared" si="1318"/>
        <v/>
      </c>
      <c r="W217" s="75"/>
      <c r="X217" s="882" t="str">
        <f t="shared" si="1314"/>
        <v/>
      </c>
      <c r="AE217">
        <v>-1.376992732572464</v>
      </c>
      <c r="AF217">
        <v>-3.0898698809103085</v>
      </c>
      <c r="AG217">
        <v>-0.12270037006431622</v>
      </c>
      <c r="AH217">
        <v>0.78359168649835009</v>
      </c>
      <c r="AI217">
        <v>-0.5252933670268144</v>
      </c>
      <c r="AJ217">
        <v>0.33173927625215521</v>
      </c>
      <c r="AK217" s="82">
        <v>0.26600000000000001</v>
      </c>
      <c r="AL217" s="419">
        <v>0.52</v>
      </c>
      <c r="AM217">
        <v>4.2149999999999999</v>
      </c>
    </row>
    <row r="218" spans="2:39" x14ac:dyDescent="0.25">
      <c r="B218" s="650">
        <v>-1.5777176134920003</v>
      </c>
      <c r="C218" s="651">
        <v>-3.7459151014188836</v>
      </c>
      <c r="D218" s="652">
        <v>-0.49870150408373654</v>
      </c>
      <c r="E218" s="653">
        <v>0.71191811744193079</v>
      </c>
      <c r="F218" s="651">
        <v>-0.64068868038085824</v>
      </c>
      <c r="G218" s="654">
        <v>0.28755974838243936</v>
      </c>
      <c r="H218" s="653">
        <v>0.26600000000000001</v>
      </c>
      <c r="I218" s="887">
        <v>0.52</v>
      </c>
      <c r="J218" s="891">
        <v>4.218</v>
      </c>
      <c r="K218" s="876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1313</v>
      </c>
      <c r="L218" s="683"/>
      <c r="M218" s="879" t="s">
        <v>9</v>
      </c>
      <c r="N218" s="31" t="str">
        <f t="shared" si="1312"/>
        <v>N</v>
      </c>
      <c r="O218" s="162" t="str">
        <f t="shared" si="1315"/>
        <v/>
      </c>
      <c r="P218" s="162" t="str">
        <f t="shared" si="1316"/>
        <v/>
      </c>
      <c r="Q218" s="162" t="str">
        <f t="shared" si="1317"/>
        <v/>
      </c>
      <c r="R218" s="162" t="str">
        <f t="shared" si="1313"/>
        <v/>
      </c>
      <c r="S218" s="162" t="str">
        <f t="shared" si="1309"/>
        <v/>
      </c>
      <c r="T218" s="162" t="str">
        <f t="shared" si="1310"/>
        <v/>
      </c>
      <c r="U218" s="162" t="str">
        <f>IFERROR(IF(ISNUMBER(MATCH($X218,Settings!$AK$28:$AK$36,0)),INDEX(Settings!$AO$14:$AO$36,MATCH($X218,Settings!$AK$14:$AK$36,0))/2,INDEX(Settings!$AM$14:$AM$36,MATCH($X218,Settings!$AK$14:$AK$36,0))/2),"")</f>
        <v/>
      </c>
      <c r="V218" s="162" t="str">
        <f t="shared" si="1318"/>
        <v/>
      </c>
      <c r="W218" s="75"/>
      <c r="X218" s="882" t="str">
        <f t="shared" si="1314"/>
        <v/>
      </c>
      <c r="AE218">
        <v>-1.5777176134920003</v>
      </c>
      <c r="AF218">
        <v>-3.7459151014188836</v>
      </c>
      <c r="AG218">
        <v>-0.49870150408373654</v>
      </c>
      <c r="AH218">
        <v>0.71191811744193079</v>
      </c>
      <c r="AI218">
        <v>-0.64068868038085824</v>
      </c>
      <c r="AJ218">
        <v>0.28755974838243936</v>
      </c>
      <c r="AK218" s="82">
        <v>0.26600000000000001</v>
      </c>
      <c r="AL218" s="419">
        <v>0.52</v>
      </c>
      <c r="AM218">
        <v>4.218</v>
      </c>
    </row>
    <row r="219" spans="2:39" x14ac:dyDescent="0.25">
      <c r="B219" s="650">
        <v>-1.7311942742041728</v>
      </c>
      <c r="C219" s="651">
        <v>-4.1712290580316864</v>
      </c>
      <c r="D219" s="652">
        <v>-1.135703425281531</v>
      </c>
      <c r="E219" s="653">
        <v>0.65428060761688123</v>
      </c>
      <c r="F219" s="651">
        <v>-0.73500506747521666</v>
      </c>
      <c r="G219" s="654">
        <v>0.1780012283166528</v>
      </c>
      <c r="H219" s="653">
        <v>0.26600000000000001</v>
      </c>
      <c r="I219" s="887">
        <v>0.52</v>
      </c>
      <c r="J219" s="891">
        <v>4.2210000000000001</v>
      </c>
      <c r="K219" s="876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683"/>
      <c r="M219" s="879" t="s">
        <v>9</v>
      </c>
      <c r="N219" s="31" t="str">
        <f t="shared" si="1312"/>
        <v>N</v>
      </c>
      <c r="O219" s="162" t="str">
        <f t="shared" si="1315"/>
        <v/>
      </c>
      <c r="P219" s="162" t="str">
        <f t="shared" si="1316"/>
        <v/>
      </c>
      <c r="Q219" s="162" t="str">
        <f t="shared" si="1317"/>
        <v/>
      </c>
      <c r="R219" s="162" t="str">
        <f t="shared" si="1313"/>
        <v/>
      </c>
      <c r="S219" s="162" t="str">
        <f t="shared" si="1309"/>
        <v/>
      </c>
      <c r="T219" s="162" t="str">
        <f t="shared" si="1310"/>
        <v/>
      </c>
      <c r="U219" s="162" t="str">
        <f>IFERROR(IF(ISNUMBER(MATCH($X219,Settings!$AK$28:$AK$36,0)),INDEX(Settings!$AO$14:$AO$36,MATCH($X219,Settings!$AK$14:$AK$36,0))/2,INDEX(Settings!$AM$14:$AM$36,MATCH($X219,Settings!$AK$14:$AK$36,0))/2),"")</f>
        <v/>
      </c>
      <c r="V219" s="162" t="str">
        <f t="shared" si="1318"/>
        <v/>
      </c>
      <c r="W219" s="75"/>
      <c r="X219" s="882" t="str">
        <f t="shared" si="1314"/>
        <v/>
      </c>
      <c r="AE219">
        <v>-1.7311942742041728</v>
      </c>
      <c r="AF219">
        <v>-4.1712290580316864</v>
      </c>
      <c r="AG219">
        <v>-1.135703425281531</v>
      </c>
      <c r="AH219">
        <v>0.65428060761688123</v>
      </c>
      <c r="AI219">
        <v>-0.73500506747521666</v>
      </c>
      <c r="AJ219">
        <v>0.1780012283166528</v>
      </c>
      <c r="AK219" s="82">
        <v>0.26600000000000001</v>
      </c>
      <c r="AL219" s="419">
        <v>0.52</v>
      </c>
      <c r="AM219">
        <v>4.2210000000000001</v>
      </c>
    </row>
    <row r="220" spans="2:39" x14ac:dyDescent="0.25">
      <c r="B220" s="650">
        <v>-2.8253860807654427</v>
      </c>
      <c r="C220" s="651">
        <v>-0.4748347153000595</v>
      </c>
      <c r="D220" s="652">
        <v>-5.3000159848482026E-2</v>
      </c>
      <c r="E220" s="653">
        <v>9.8367813934077938E-2</v>
      </c>
      <c r="F220" s="651">
        <v>-0.93473972520435156</v>
      </c>
      <c r="G220" s="654">
        <v>0.34144607086145262</v>
      </c>
      <c r="H220" s="653">
        <v>0.26600000000000001</v>
      </c>
      <c r="I220" s="887">
        <v>0.52</v>
      </c>
      <c r="J220" s="891">
        <v>5.21</v>
      </c>
      <c r="K220" s="876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683"/>
      <c r="M220" s="879" t="s">
        <v>9</v>
      </c>
      <c r="N220" s="31" t="str">
        <f t="shared" si="1312"/>
        <v>N</v>
      </c>
      <c r="O220" s="162" t="str">
        <f t="shared" si="1315"/>
        <v/>
      </c>
      <c r="P220" s="162" t="str">
        <f t="shared" si="1316"/>
        <v/>
      </c>
      <c r="Q220" s="162" t="str">
        <f t="shared" si="1317"/>
        <v/>
      </c>
      <c r="R220" s="162" t="str">
        <f t="shared" si="1313"/>
        <v/>
      </c>
      <c r="S220" s="162" t="str">
        <f t="shared" si="1309"/>
        <v/>
      </c>
      <c r="T220" s="162" t="str">
        <f t="shared" si="1310"/>
        <v/>
      </c>
      <c r="U220" s="162" t="str">
        <f>IFERROR(IF(ISNUMBER(MATCH($X220,Settings!$AK$28:$AK$36,0)),INDEX(Settings!$AO$14:$AO$36,MATCH($X220,Settings!$AK$14:$AK$36,0))/2,INDEX(Settings!$AM$14:$AM$36,MATCH($X220,Settings!$AK$14:$AK$36,0))/2),"")</f>
        <v/>
      </c>
      <c r="V220" s="162" t="str">
        <f t="shared" si="1318"/>
        <v/>
      </c>
      <c r="W220" s="75"/>
      <c r="X220" s="882" t="str">
        <f t="shared" si="1314"/>
        <v/>
      </c>
      <c r="AE220">
        <v>-2.8253860807654427</v>
      </c>
      <c r="AF220">
        <v>-0.4748347153000595</v>
      </c>
      <c r="AG220">
        <v>-5.3000159848482026E-2</v>
      </c>
      <c r="AH220">
        <v>9.8367813934077938E-2</v>
      </c>
      <c r="AI220">
        <v>-0.93473972520435156</v>
      </c>
      <c r="AJ220">
        <v>0.34144607086145262</v>
      </c>
      <c r="AK220" s="82">
        <v>0.26600000000000001</v>
      </c>
      <c r="AL220" s="419">
        <v>0.52</v>
      </c>
      <c r="AM220">
        <v>5.21</v>
      </c>
    </row>
    <row r="221" spans="2:39" x14ac:dyDescent="0.25">
      <c r="B221" s="650">
        <v>-3.5535056578375568</v>
      </c>
      <c r="C221" s="651">
        <v>-0.73395449958540071</v>
      </c>
      <c r="D221" s="652">
        <v>-0.21210063969552928</v>
      </c>
      <c r="E221" s="653">
        <v>-2.5277142144268516E-2</v>
      </c>
      <c r="F221" s="651">
        <v>-0.94297602051796336</v>
      </c>
      <c r="G221" s="654">
        <v>0.33189951915169169</v>
      </c>
      <c r="H221" s="653">
        <v>0.26600000000000001</v>
      </c>
      <c r="I221" s="887">
        <v>0.52</v>
      </c>
      <c r="J221" s="891">
        <v>5.2130000000000001</v>
      </c>
      <c r="K221" s="876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683"/>
      <c r="M221" s="879" t="s">
        <v>9</v>
      </c>
      <c r="N221" s="31" t="str">
        <f t="shared" si="1312"/>
        <v>N</v>
      </c>
      <c r="O221" s="162" t="str">
        <f t="shared" si="1315"/>
        <v/>
      </c>
      <c r="P221" s="162" t="str">
        <f t="shared" si="1316"/>
        <v/>
      </c>
      <c r="Q221" s="162" t="str">
        <f t="shared" si="1317"/>
        <v/>
      </c>
      <c r="R221" s="162" t="str">
        <f t="shared" si="1313"/>
        <v/>
      </c>
      <c r="S221" s="162" t="str">
        <f t="shared" si="1309"/>
        <v/>
      </c>
      <c r="T221" s="162" t="str">
        <f t="shared" si="1310"/>
        <v/>
      </c>
      <c r="U221" s="162" t="str">
        <f>IFERROR(IF(ISNUMBER(MATCH($X221,Settings!$AK$28:$AK$36,0)),INDEX(Settings!$AO$14:$AO$36,MATCH($X221,Settings!$AK$14:$AK$36,0))/2,INDEX(Settings!$AM$14:$AM$36,MATCH($X221,Settings!$AK$14:$AK$36,0))/2),"")</f>
        <v/>
      </c>
      <c r="V221" s="162" t="str">
        <f t="shared" si="1318"/>
        <v/>
      </c>
      <c r="W221" s="75"/>
      <c r="X221" s="882" t="str">
        <f t="shared" si="1314"/>
        <v/>
      </c>
      <c r="AE221">
        <v>-3.5535056578375568</v>
      </c>
      <c r="AF221">
        <v>-0.73395449958540071</v>
      </c>
      <c r="AG221">
        <v>-0.21210063969552928</v>
      </c>
      <c r="AH221">
        <v>-2.5277142144268516E-2</v>
      </c>
      <c r="AI221">
        <v>-0.94297602051796336</v>
      </c>
      <c r="AJ221">
        <v>0.33189951915169169</v>
      </c>
      <c r="AK221" s="82">
        <v>0.26600000000000001</v>
      </c>
      <c r="AL221" s="419">
        <v>0.52</v>
      </c>
      <c r="AM221">
        <v>5.2130000000000001</v>
      </c>
    </row>
    <row r="222" spans="2:39" x14ac:dyDescent="0.25">
      <c r="B222" s="650">
        <v>-4.1447721538033164</v>
      </c>
      <c r="C222" s="651">
        <v>-0.91659614619419127</v>
      </c>
      <c r="D222" s="652">
        <v>-0.6849020656646303</v>
      </c>
      <c r="E222" s="653">
        <v>-0.15745784627150508</v>
      </c>
      <c r="F222" s="651">
        <v>-0.95251671130668725</v>
      </c>
      <c r="G222" s="654">
        <v>0.26061262695623988</v>
      </c>
      <c r="H222" s="653">
        <v>0.26600000000000001</v>
      </c>
      <c r="I222" s="887">
        <v>0.52</v>
      </c>
      <c r="J222" s="891">
        <v>5.2160000000000002</v>
      </c>
      <c r="K222" s="876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683"/>
      <c r="M222" s="879" t="s">
        <v>9</v>
      </c>
      <c r="N222" s="31" t="str">
        <f t="shared" si="1312"/>
        <v>N</v>
      </c>
      <c r="O222" s="162" t="str">
        <f t="shared" si="1315"/>
        <v/>
      </c>
      <c r="P222" s="162" t="str">
        <f t="shared" si="1316"/>
        <v/>
      </c>
      <c r="Q222" s="162" t="str">
        <f t="shared" si="1317"/>
        <v/>
      </c>
      <c r="R222" s="162" t="str">
        <f t="shared" si="1313"/>
        <v/>
      </c>
      <c r="S222" s="162" t="str">
        <f t="shared" si="1309"/>
        <v/>
      </c>
      <c r="T222" s="162" t="str">
        <f t="shared" si="1310"/>
        <v/>
      </c>
      <c r="U222" s="162" t="str">
        <f>IFERROR(IF(ISNUMBER(MATCH($X222,Settings!$AK$28:$AK$36,0)),INDEX(Settings!$AO$14:$AO$36,MATCH($X222,Settings!$AK$14:$AK$36,0))/2,INDEX(Settings!$AM$14:$AM$36,MATCH($X222,Settings!$AK$14:$AK$36,0))/2),"")</f>
        <v/>
      </c>
      <c r="V222" s="162" t="str">
        <f t="shared" si="1318"/>
        <v/>
      </c>
      <c r="W222" s="75"/>
      <c r="X222" s="882" t="str">
        <f t="shared" si="1314"/>
        <v/>
      </c>
      <c r="AE222">
        <v>-4.1447721538033164</v>
      </c>
      <c r="AF222">
        <v>-0.91659614619419127</v>
      </c>
      <c r="AG222">
        <v>-0.6849020656646303</v>
      </c>
      <c r="AH222">
        <v>-0.15745784627150508</v>
      </c>
      <c r="AI222">
        <v>-0.95251671130668725</v>
      </c>
      <c r="AJ222">
        <v>0.26061262695623988</v>
      </c>
      <c r="AK222" s="82">
        <v>0.26600000000000001</v>
      </c>
      <c r="AL222" s="419">
        <v>0.52</v>
      </c>
      <c r="AM222">
        <v>5.2160000000000002</v>
      </c>
    </row>
    <row r="223" spans="2:39" x14ac:dyDescent="0.25">
      <c r="B223" s="650">
        <v>-4.5285403135222442</v>
      </c>
      <c r="C223" s="651">
        <v>-0.79850184020066928</v>
      </c>
      <c r="D223" s="652">
        <v>-1.3812999999999995</v>
      </c>
      <c r="E223" s="653">
        <v>-0.77709618322301321</v>
      </c>
      <c r="F223" s="651">
        <v>-0.13702268045702024</v>
      </c>
      <c r="G223" s="654">
        <v>0.61428520009894305</v>
      </c>
      <c r="H223" s="653">
        <v>0.26250000000000001</v>
      </c>
      <c r="I223" s="887">
        <v>0.40699999999999997</v>
      </c>
      <c r="J223" s="891">
        <v>5.3220000000000001</v>
      </c>
      <c r="K223" s="876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CPS-32106r1</v>
      </c>
      <c r="L223" s="683"/>
      <c r="M223" s="879" t="s">
        <v>9</v>
      </c>
      <c r="N223" s="31" t="str">
        <f t="shared" si="1312"/>
        <v>N</v>
      </c>
      <c r="O223" s="162" t="str">
        <f t="shared" si="1315"/>
        <v/>
      </c>
      <c r="P223" s="162" t="str">
        <f t="shared" si="1316"/>
        <v/>
      </c>
      <c r="Q223" s="162" t="str">
        <f t="shared" si="1317"/>
        <v/>
      </c>
      <c r="R223" s="162" t="str">
        <f t="shared" si="1313"/>
        <v/>
      </c>
      <c r="S223" s="162" t="str">
        <f t="shared" si="1309"/>
        <v/>
      </c>
      <c r="T223" s="162" t="str">
        <f t="shared" si="1310"/>
        <v/>
      </c>
      <c r="U223" s="162" t="str">
        <f>IFERROR(IF(ISNUMBER(MATCH($X223,Settings!$AK$28:$AK$36,0)),INDEX(Settings!$AO$14:$AO$36,MATCH($X223,Settings!$AK$14:$AK$36,0))/2,INDEX(Settings!$AM$14:$AM$36,MATCH($X223,Settings!$AK$14:$AK$36,0))/2),"")</f>
        <v/>
      </c>
      <c r="V223" s="162" t="str">
        <f t="shared" si="1318"/>
        <v/>
      </c>
      <c r="W223" s="75"/>
      <c r="X223" s="882" t="str">
        <f t="shared" si="1314"/>
        <v/>
      </c>
      <c r="AE223">
        <v>-4.5285403135222442</v>
      </c>
      <c r="AF223">
        <v>-0.79850184020066928</v>
      </c>
      <c r="AG223">
        <v>-1.3812999999999995</v>
      </c>
      <c r="AH223">
        <v>-0.77709618322301321</v>
      </c>
      <c r="AI223">
        <v>-0.13702268045702024</v>
      </c>
      <c r="AJ223">
        <v>0.61428520009894305</v>
      </c>
      <c r="AK223" s="82">
        <v>0.26250000000000001</v>
      </c>
      <c r="AL223" s="419">
        <v>0.40699999999999997</v>
      </c>
      <c r="AM223">
        <v>5.3220000000000001</v>
      </c>
    </row>
    <row r="224" spans="2:39" x14ac:dyDescent="0.25">
      <c r="B224" s="650">
        <v>-1.9926242116628226</v>
      </c>
      <c r="C224" s="651">
        <v>2.3772442869752393</v>
      </c>
      <c r="D224" s="652">
        <v>-6.6000199056600178E-2</v>
      </c>
      <c r="E224" s="653">
        <v>-0.79144429335808353</v>
      </c>
      <c r="F224" s="651">
        <v>-0.53224317374775376</v>
      </c>
      <c r="G224" s="654">
        <v>0.30055471134194889</v>
      </c>
      <c r="H224" s="653">
        <v>0.26600000000000001</v>
      </c>
      <c r="I224" s="887">
        <v>0.52</v>
      </c>
      <c r="J224" s="891">
        <v>6.2140000000000004</v>
      </c>
      <c r="K224" s="876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683"/>
      <c r="M224" s="879" t="s">
        <v>9</v>
      </c>
      <c r="N224" s="31" t="str">
        <f t="shared" si="1312"/>
        <v>N</v>
      </c>
      <c r="O224" s="162" t="str">
        <f t="shared" si="1315"/>
        <v/>
      </c>
      <c r="P224" s="162" t="str">
        <f t="shared" si="1316"/>
        <v/>
      </c>
      <c r="Q224" s="162" t="str">
        <f t="shared" si="1317"/>
        <v/>
      </c>
      <c r="R224" s="162" t="str">
        <f t="shared" si="1313"/>
        <v/>
      </c>
      <c r="S224" s="162" t="str">
        <f t="shared" si="1309"/>
        <v/>
      </c>
      <c r="T224" s="162" t="str">
        <f t="shared" si="1310"/>
        <v/>
      </c>
      <c r="U224" s="162" t="str">
        <f>IFERROR(IF(ISNUMBER(MATCH($X224,Settings!$AK$28:$AK$36,0)),INDEX(Settings!$AO$14:$AO$36,MATCH($X224,Settings!$AK$14:$AK$36,0))/2,INDEX(Settings!$AM$14:$AM$36,MATCH($X224,Settings!$AK$14:$AK$36,0))/2),"")</f>
        <v/>
      </c>
      <c r="V224" s="162" t="str">
        <f t="shared" si="1318"/>
        <v/>
      </c>
      <c r="W224" s="75"/>
      <c r="X224" s="882" t="str">
        <f t="shared" si="1314"/>
        <v/>
      </c>
      <c r="AE224">
        <v>-1.9926242116628226</v>
      </c>
      <c r="AF224">
        <v>2.3772442869752393</v>
      </c>
      <c r="AG224">
        <v>-6.6000199056600178E-2</v>
      </c>
      <c r="AH224">
        <v>-0.79144429335808353</v>
      </c>
      <c r="AI224">
        <v>-0.53224317374775376</v>
      </c>
      <c r="AJ224">
        <v>0.30055471134194889</v>
      </c>
      <c r="AK224" s="82">
        <v>0.26600000000000001</v>
      </c>
      <c r="AL224" s="419">
        <v>0.52</v>
      </c>
      <c r="AM224">
        <v>6.2140000000000004</v>
      </c>
    </row>
    <row r="225" spans="2:39" x14ac:dyDescent="0.25">
      <c r="B225" s="650">
        <v>-2.5572545620202969</v>
      </c>
      <c r="C225" s="651">
        <v>2.8691918319390912</v>
      </c>
      <c r="D225" s="652">
        <v>-0.33100099829901103</v>
      </c>
      <c r="E225" s="653">
        <v>-0.85770611783369277</v>
      </c>
      <c r="F225" s="651">
        <v>-0.43006037016096493</v>
      </c>
      <c r="G225" s="654">
        <v>0.2817592828065642</v>
      </c>
      <c r="H225" s="653">
        <v>0.26600000000000001</v>
      </c>
      <c r="I225" s="887">
        <v>0.52</v>
      </c>
      <c r="J225" s="891">
        <v>6.2169999999999996</v>
      </c>
      <c r="K225" s="876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683"/>
      <c r="M225" s="879" t="s">
        <v>9</v>
      </c>
      <c r="N225" s="31" t="str">
        <f t="shared" si="1312"/>
        <v>N</v>
      </c>
      <c r="O225" s="162" t="str">
        <f t="shared" si="1315"/>
        <v/>
      </c>
      <c r="P225" s="162" t="str">
        <f t="shared" si="1316"/>
        <v/>
      </c>
      <c r="Q225" s="162" t="str">
        <f t="shared" si="1317"/>
        <v/>
      </c>
      <c r="R225" s="162" t="str">
        <f t="shared" si="1313"/>
        <v/>
      </c>
      <c r="S225" s="162" t="str">
        <f t="shared" si="1309"/>
        <v/>
      </c>
      <c r="T225" s="162" t="str">
        <f t="shared" si="1310"/>
        <v/>
      </c>
      <c r="U225" s="162" t="str">
        <f>IFERROR(IF(ISNUMBER(MATCH($X225,Settings!$AK$28:$AK$36,0)),INDEX(Settings!$AO$14:$AO$36,MATCH($X225,Settings!$AK$14:$AK$36,0))/2,INDEX(Settings!$AM$14:$AM$36,MATCH($X225,Settings!$AK$14:$AK$36,0))/2),"")</f>
        <v/>
      </c>
      <c r="V225" s="162" t="str">
        <f t="shared" si="1318"/>
        <v/>
      </c>
      <c r="W225" s="75"/>
      <c r="X225" s="882" t="str">
        <f t="shared" si="1314"/>
        <v/>
      </c>
      <c r="AE225">
        <v>-2.5572545620202969</v>
      </c>
      <c r="AF225">
        <v>2.8691918319390912</v>
      </c>
      <c r="AG225">
        <v>-0.33100099829901103</v>
      </c>
      <c r="AH225">
        <v>-0.85770611783369277</v>
      </c>
      <c r="AI225">
        <v>-0.43006037016096493</v>
      </c>
      <c r="AJ225">
        <v>0.2817592828065642</v>
      </c>
      <c r="AK225" s="82">
        <v>0.26600000000000001</v>
      </c>
      <c r="AL225" s="419">
        <v>0.52</v>
      </c>
      <c r="AM225">
        <v>6.2169999999999996</v>
      </c>
    </row>
    <row r="226" spans="2:39" x14ac:dyDescent="0.25">
      <c r="B226" s="650">
        <v>-2.9589460990807068</v>
      </c>
      <c r="C226" s="651">
        <v>3.2529803849410732</v>
      </c>
      <c r="D226" s="652">
        <v>-0.90150271893220069</v>
      </c>
      <c r="E226" s="653">
        <v>-0.92216045965376481</v>
      </c>
      <c r="F226" s="651">
        <v>-0.33656818538368766</v>
      </c>
      <c r="G226" s="654">
        <v>0.19063562951003934</v>
      </c>
      <c r="H226" s="653">
        <v>0.26600000000000001</v>
      </c>
      <c r="I226" s="887">
        <v>0.52</v>
      </c>
      <c r="J226" s="891">
        <v>6.22</v>
      </c>
      <c r="K226" s="876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1313</v>
      </c>
      <c r="L226" s="683"/>
      <c r="M226" s="879" t="s">
        <v>9</v>
      </c>
      <c r="N226" s="31" t="str">
        <f t="shared" si="1312"/>
        <v>N</v>
      </c>
      <c r="O226" s="162" t="str">
        <f t="shared" si="1315"/>
        <v/>
      </c>
      <c r="P226" s="162" t="str">
        <f t="shared" si="1316"/>
        <v/>
      </c>
      <c r="Q226" s="162" t="str">
        <f t="shared" si="1317"/>
        <v/>
      </c>
      <c r="R226" s="162" t="str">
        <f t="shared" si="1313"/>
        <v/>
      </c>
      <c r="S226" s="162" t="str">
        <f t="shared" si="1309"/>
        <v/>
      </c>
      <c r="T226" s="162" t="str">
        <f t="shared" si="1310"/>
        <v/>
      </c>
      <c r="U226" s="162" t="str">
        <f>IFERROR(IF(ISNUMBER(MATCH($X226,Settings!$AK$28:$AK$36,0)),INDEX(Settings!$AO$14:$AO$36,MATCH($X226,Settings!$AK$14:$AK$36,0))/2,INDEX(Settings!$AM$14:$AM$36,MATCH($X226,Settings!$AK$14:$AK$36,0))/2),"")</f>
        <v/>
      </c>
      <c r="V226" s="162" t="str">
        <f t="shared" si="1318"/>
        <v/>
      </c>
      <c r="W226" s="75"/>
      <c r="X226" s="882" t="str">
        <f t="shared" si="1314"/>
        <v/>
      </c>
      <c r="AE226">
        <v>-2.9589460990807068</v>
      </c>
      <c r="AF226">
        <v>3.2529803849410732</v>
      </c>
      <c r="AG226">
        <v>-0.90150271893220069</v>
      </c>
      <c r="AH226">
        <v>-0.92216045965376481</v>
      </c>
      <c r="AI226">
        <v>-0.33656818538368766</v>
      </c>
      <c r="AJ226">
        <v>0.19063562951003934</v>
      </c>
      <c r="AK226" s="82">
        <v>0.26600000000000001</v>
      </c>
      <c r="AL226" s="419">
        <v>0.52</v>
      </c>
      <c r="AM226">
        <v>6.22</v>
      </c>
    </row>
    <row r="227" spans="2:39" x14ac:dyDescent="0.25">
      <c r="B227" s="650">
        <v>-2.9821478064574669</v>
      </c>
      <c r="C227" s="651">
        <v>3.5539874536133249</v>
      </c>
      <c r="D227" s="652">
        <v>-1.6396999999999999</v>
      </c>
      <c r="E227" s="653">
        <v>-0.54511462036541736</v>
      </c>
      <c r="F227" s="651">
        <v>0.64964268952894855</v>
      </c>
      <c r="G227" s="654">
        <v>0.5299192642332049</v>
      </c>
      <c r="H227" s="653">
        <v>0.26250000000000001</v>
      </c>
      <c r="I227" s="887">
        <v>0.40699999999999997</v>
      </c>
      <c r="J227" s="891">
        <v>6.3230000000000004</v>
      </c>
      <c r="K227" s="876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CPS-32106r1</v>
      </c>
      <c r="L227" s="683"/>
      <c r="M227" s="879" t="s">
        <v>9</v>
      </c>
      <c r="N227" s="31" t="str">
        <f t="shared" si="1312"/>
        <v>N</v>
      </c>
      <c r="O227" s="162" t="str">
        <f t="shared" si="1315"/>
        <v/>
      </c>
      <c r="P227" s="162" t="str">
        <f t="shared" si="1316"/>
        <v/>
      </c>
      <c r="Q227" s="162" t="str">
        <f t="shared" si="1317"/>
        <v/>
      </c>
      <c r="R227" s="162" t="str">
        <f t="shared" si="1313"/>
        <v/>
      </c>
      <c r="S227" s="162" t="str">
        <f t="shared" si="1309"/>
        <v/>
      </c>
      <c r="T227" s="162" t="str">
        <f t="shared" si="1310"/>
        <v/>
      </c>
      <c r="U227" s="162" t="str">
        <f>IFERROR(IF(ISNUMBER(MATCH($X227,Settings!$AK$28:$AK$36,0)),INDEX(Settings!$AO$14:$AO$36,MATCH($X227,Settings!$AK$14:$AK$36,0))/2,INDEX(Settings!$AM$14:$AM$36,MATCH($X227,Settings!$AK$14:$AK$36,0))/2),"")</f>
        <v/>
      </c>
      <c r="V227" s="162" t="str">
        <f t="shared" si="1318"/>
        <v/>
      </c>
      <c r="W227" s="75"/>
      <c r="X227" s="882" t="str">
        <f t="shared" si="1314"/>
        <v/>
      </c>
      <c r="AE227">
        <v>-2.9821478064574669</v>
      </c>
      <c r="AF227">
        <v>3.5539874536133249</v>
      </c>
      <c r="AG227">
        <v>-1.6396999999999999</v>
      </c>
      <c r="AH227">
        <v>-0.54511462036541736</v>
      </c>
      <c r="AI227">
        <v>0.64964268952894855</v>
      </c>
      <c r="AJ227">
        <v>0.5299192642332049</v>
      </c>
      <c r="AK227" s="82">
        <v>0.26250000000000001</v>
      </c>
      <c r="AL227" s="419">
        <v>0.40699999999999997</v>
      </c>
      <c r="AM227">
        <v>6.3230000000000004</v>
      </c>
    </row>
    <row r="228" spans="2:39" x14ac:dyDescent="0.25">
      <c r="B228" s="650"/>
      <c r="C228" s="651"/>
      <c r="D228" s="652"/>
      <c r="E228" s="653"/>
      <c r="F228" s="651"/>
      <c r="G228" s="654"/>
      <c r="H228" s="653"/>
      <c r="I228" s="887"/>
      <c r="J228" s="891"/>
      <c r="K228" s="876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683"/>
      <c r="M228" s="879"/>
      <c r="N228" s="31" t="str">
        <f t="shared" si="1312"/>
        <v>Y</v>
      </c>
      <c r="O228" s="162" t="str">
        <f t="shared" ref="O228:O259" si="1319">IFERROR(INDEX(B$164:B$305,MATCH($W228,$J$164:$J$305,0)),"")</f>
        <v/>
      </c>
      <c r="P228" s="162" t="str">
        <f t="shared" ref="P228:P259" si="1320">IFERROR(INDEX(C$164:C$305,MATCH($W228,$J$164:$J$305,0)),"")</f>
        <v/>
      </c>
      <c r="Q228" s="162" t="str">
        <f t="shared" ref="Q228:Q259" si="1321">IFERROR(INDEX(D$164:D$305,MATCH($W228,$J$164:$J$305,0)),"")</f>
        <v/>
      </c>
      <c r="R228" s="162" t="str">
        <f t="shared" si="1313"/>
        <v/>
      </c>
      <c r="S228" s="162" t="str">
        <f t="shared" ref="S228:S291" si="1322">IFERROR(IF($L228="Y",-1*INDEX(F$164:F$305,MATCH($W228,$J$164:$J$305,0)),INDEX(F$164:F$305,MATCH($W228,$J$164:$J$305,0))),"")</f>
        <v/>
      </c>
      <c r="T228" s="162" t="str">
        <f t="shared" ref="T228:T291" si="1323">IFERROR(IF($L228="Y",-1*INDEX(G$164:G$305,MATCH($W228,$J$164:$J$305,0)),INDEX(G$164:G$305,MATCH($W228,$J$164:$J$305,0))),"")</f>
        <v/>
      </c>
      <c r="U228" s="162" t="str">
        <f>IFERROR(IF(ISNUMBER(MATCH($X228,Settings!$AK$28:$AK$36,0)),INDEX(Settings!$AO$14:$AO$36,MATCH($X228,Settings!$AK$14:$AK$36,0))/2,INDEX(Settings!$AM$14:$AM$36,MATCH($X228,Settings!$AK$14:$AK$36,0))/2),"")</f>
        <v/>
      </c>
      <c r="V228" s="162" t="str">
        <f t="shared" ref="V228:V259" si="1324">IFERROR(INDEX(I$164:I$305,MATCH($W228,$J$164:$J$305,0)),"")</f>
        <v/>
      </c>
      <c r="W228" s="75"/>
      <c r="X228" s="882" t="str">
        <f t="shared" si="1314"/>
        <v/>
      </c>
      <c r="AK228" s="82"/>
      <c r="AL228" s="419"/>
    </row>
    <row r="229" spans="2:39" x14ac:dyDescent="0.25">
      <c r="B229" s="650"/>
      <c r="C229" s="651"/>
      <c r="D229" s="652"/>
      <c r="E229" s="653"/>
      <c r="F229" s="651"/>
      <c r="G229" s="654"/>
      <c r="H229" s="653"/>
      <c r="I229" s="887"/>
      <c r="J229" s="891"/>
      <c r="K229" s="876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683"/>
      <c r="M229" s="879"/>
      <c r="N229" s="31" t="str">
        <f t="shared" ref="N229:N247" si="1325">IF(M229="Y","N","Y")</f>
        <v>Y</v>
      </c>
      <c r="O229" s="162" t="str">
        <f t="shared" si="1319"/>
        <v/>
      </c>
      <c r="P229" s="162" t="str">
        <f t="shared" si="1320"/>
        <v/>
      </c>
      <c r="Q229" s="162" t="str">
        <f t="shared" si="1321"/>
        <v/>
      </c>
      <c r="R229" s="162" t="str">
        <f t="shared" ref="R229:R292" si="1326">IFERROR(IF($L229="Y",-1*INDEX(E$164:E$305,MATCH($W229,$J$164:$J$305,0)),INDEX(E$164:E$305,MATCH($W229,$J$164:$J$305,0))),"")</f>
        <v/>
      </c>
      <c r="S229" s="162" t="str">
        <f t="shared" si="1322"/>
        <v/>
      </c>
      <c r="T229" s="162" t="str">
        <f t="shared" si="1323"/>
        <v/>
      </c>
      <c r="U229" s="162" t="str">
        <f>IFERROR(IF(ISNUMBER(MATCH($X229,Settings!$AK$28:$AK$36,0)),INDEX(Settings!$AO$14:$AO$36,MATCH($X229,Settings!$AK$14:$AK$36,0))/2,INDEX(Settings!$AM$14:$AM$36,MATCH($X229,Settings!$AK$14:$AK$36,0))/2),"")</f>
        <v/>
      </c>
      <c r="V229" s="162" t="str">
        <f t="shared" si="1324"/>
        <v/>
      </c>
      <c r="W229" s="75"/>
      <c r="X229" s="882" t="str">
        <f t="shared" ref="X229:X292" si="1327">IFERROR(INDEX(K$164:K$305,MATCH($W229,$J$164:$J$305,0)),"")</f>
        <v/>
      </c>
      <c r="AK229" s="82"/>
      <c r="AL229" s="419"/>
    </row>
    <row r="230" spans="2:39" x14ac:dyDescent="0.25">
      <c r="B230" s="650"/>
      <c r="C230" s="651"/>
      <c r="D230" s="652"/>
      <c r="E230" s="653"/>
      <c r="F230" s="651"/>
      <c r="G230" s="654"/>
      <c r="H230" s="653"/>
      <c r="I230" s="887"/>
      <c r="J230" s="891"/>
      <c r="K230" s="876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683"/>
      <c r="M230" s="879"/>
      <c r="N230" s="31" t="str">
        <f t="shared" si="1325"/>
        <v>Y</v>
      </c>
      <c r="O230" s="162" t="str">
        <f t="shared" si="1319"/>
        <v/>
      </c>
      <c r="P230" s="162" t="str">
        <f t="shared" si="1320"/>
        <v/>
      </c>
      <c r="Q230" s="162" t="str">
        <f t="shared" si="1321"/>
        <v/>
      </c>
      <c r="R230" s="162" t="str">
        <f t="shared" si="1326"/>
        <v/>
      </c>
      <c r="S230" s="162" t="str">
        <f t="shared" si="1322"/>
        <v/>
      </c>
      <c r="T230" s="162" t="str">
        <f t="shared" si="1323"/>
        <v/>
      </c>
      <c r="U230" s="162" t="str">
        <f>IFERROR(IF(ISNUMBER(MATCH($X230,Settings!$AK$28:$AK$36,0)),INDEX(Settings!$AO$14:$AO$36,MATCH($X230,Settings!$AK$14:$AK$36,0))/2,INDEX(Settings!$AM$14:$AM$36,MATCH($X230,Settings!$AK$14:$AK$36,0))/2),"")</f>
        <v/>
      </c>
      <c r="V230" s="162" t="str">
        <f t="shared" si="1324"/>
        <v/>
      </c>
      <c r="W230" s="75"/>
      <c r="X230" s="882" t="str">
        <f t="shared" si="1327"/>
        <v/>
      </c>
      <c r="AK230" s="82"/>
      <c r="AL230" s="419"/>
    </row>
    <row r="231" spans="2:39" x14ac:dyDescent="0.25">
      <c r="B231" s="650"/>
      <c r="C231" s="651"/>
      <c r="D231" s="652"/>
      <c r="E231" s="653"/>
      <c r="F231" s="651"/>
      <c r="G231" s="654"/>
      <c r="H231" s="653"/>
      <c r="I231" s="887"/>
      <c r="J231" s="891"/>
      <c r="K231" s="876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683"/>
      <c r="M231" s="879"/>
      <c r="N231" s="31" t="str">
        <f t="shared" si="1325"/>
        <v>Y</v>
      </c>
      <c r="O231" s="162" t="str">
        <f t="shared" si="1319"/>
        <v/>
      </c>
      <c r="P231" s="162" t="str">
        <f t="shared" si="1320"/>
        <v/>
      </c>
      <c r="Q231" s="162" t="str">
        <f t="shared" si="1321"/>
        <v/>
      </c>
      <c r="R231" s="162" t="str">
        <f t="shared" si="1326"/>
        <v/>
      </c>
      <c r="S231" s="162" t="str">
        <f t="shared" si="1322"/>
        <v/>
      </c>
      <c r="T231" s="162" t="str">
        <f t="shared" si="1323"/>
        <v/>
      </c>
      <c r="U231" s="162" t="str">
        <f>IFERROR(IF(ISNUMBER(MATCH($X231,Settings!$AK$28:$AK$36,0)),INDEX(Settings!$AO$14:$AO$36,MATCH($X231,Settings!$AK$14:$AK$36,0))/2,INDEX(Settings!$AM$14:$AM$36,MATCH($X231,Settings!$AK$14:$AK$36,0))/2),"")</f>
        <v/>
      </c>
      <c r="V231" s="162" t="str">
        <f t="shared" si="1324"/>
        <v/>
      </c>
      <c r="W231" s="75"/>
      <c r="X231" s="882" t="str">
        <f t="shared" si="1327"/>
        <v/>
      </c>
      <c r="AK231" s="82"/>
      <c r="AL231" s="419"/>
    </row>
    <row r="232" spans="2:39" x14ac:dyDescent="0.25">
      <c r="B232" s="650"/>
      <c r="C232" s="651"/>
      <c r="D232" s="652"/>
      <c r="E232" s="653"/>
      <c r="F232" s="651"/>
      <c r="G232" s="654"/>
      <c r="H232" s="653"/>
      <c r="I232" s="887"/>
      <c r="J232" s="891"/>
      <c r="K232" s="876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683"/>
      <c r="M232" s="879"/>
      <c r="N232" s="31" t="str">
        <f t="shared" si="1325"/>
        <v>Y</v>
      </c>
      <c r="O232" s="162" t="str">
        <f t="shared" si="1319"/>
        <v/>
      </c>
      <c r="P232" s="162" t="str">
        <f t="shared" si="1320"/>
        <v/>
      </c>
      <c r="Q232" s="162" t="str">
        <f t="shared" si="1321"/>
        <v/>
      </c>
      <c r="R232" s="162" t="str">
        <f t="shared" si="1326"/>
        <v/>
      </c>
      <c r="S232" s="162" t="str">
        <f t="shared" si="1322"/>
        <v/>
      </c>
      <c r="T232" s="162" t="str">
        <f t="shared" si="1323"/>
        <v/>
      </c>
      <c r="U232" s="162" t="str">
        <f>IFERROR(IF(ISNUMBER(MATCH($X232,Settings!$AK$28:$AK$36,0)),INDEX(Settings!$AO$14:$AO$36,MATCH($X232,Settings!$AK$14:$AK$36,0))/2,INDEX(Settings!$AM$14:$AM$36,MATCH($X232,Settings!$AK$14:$AK$36,0))/2),"")</f>
        <v/>
      </c>
      <c r="V232" s="162" t="str">
        <f t="shared" si="1324"/>
        <v/>
      </c>
      <c r="W232" s="75"/>
      <c r="X232" s="882" t="str">
        <f t="shared" si="1327"/>
        <v/>
      </c>
      <c r="AK232" s="82"/>
      <c r="AL232" s="419"/>
    </row>
    <row r="233" spans="2:39" x14ac:dyDescent="0.25">
      <c r="B233" s="650"/>
      <c r="C233" s="651"/>
      <c r="D233" s="652"/>
      <c r="E233" s="653"/>
      <c r="F233" s="651"/>
      <c r="G233" s="654"/>
      <c r="H233" s="653"/>
      <c r="I233" s="887"/>
      <c r="J233" s="891"/>
      <c r="K233" s="876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683"/>
      <c r="M233" s="879"/>
      <c r="N233" s="31" t="str">
        <f t="shared" si="1325"/>
        <v>Y</v>
      </c>
      <c r="O233" s="162" t="str">
        <f t="shared" si="1319"/>
        <v/>
      </c>
      <c r="P233" s="162" t="str">
        <f t="shared" si="1320"/>
        <v/>
      </c>
      <c r="Q233" s="162" t="str">
        <f t="shared" si="1321"/>
        <v/>
      </c>
      <c r="R233" s="162" t="str">
        <f t="shared" si="1326"/>
        <v/>
      </c>
      <c r="S233" s="162" t="str">
        <f t="shared" si="1322"/>
        <v/>
      </c>
      <c r="T233" s="162" t="str">
        <f t="shared" si="1323"/>
        <v/>
      </c>
      <c r="U233" s="162" t="str">
        <f>IFERROR(IF(ISNUMBER(MATCH($X233,Settings!$AK$28:$AK$36,0)),INDEX(Settings!$AO$14:$AO$36,MATCH($X233,Settings!$AK$14:$AK$36,0))/2,INDEX(Settings!$AM$14:$AM$36,MATCH($X233,Settings!$AK$14:$AK$36,0))/2),"")</f>
        <v/>
      </c>
      <c r="V233" s="162" t="str">
        <f t="shared" si="1324"/>
        <v/>
      </c>
      <c r="W233" s="75"/>
      <c r="X233" s="882" t="str">
        <f t="shared" si="1327"/>
        <v/>
      </c>
      <c r="AK233" s="82"/>
      <c r="AL233" s="419"/>
    </row>
    <row r="234" spans="2:39" x14ac:dyDescent="0.25">
      <c r="B234" s="650"/>
      <c r="C234" s="651"/>
      <c r="D234" s="652"/>
      <c r="E234" s="653"/>
      <c r="F234" s="651"/>
      <c r="G234" s="654"/>
      <c r="H234" s="653"/>
      <c r="I234" s="887"/>
      <c r="J234" s="891"/>
      <c r="K234" s="876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683"/>
      <c r="M234" s="879"/>
      <c r="N234" s="31" t="str">
        <f t="shared" si="1325"/>
        <v>Y</v>
      </c>
      <c r="O234" s="162" t="str">
        <f t="shared" si="1319"/>
        <v/>
      </c>
      <c r="P234" s="162" t="str">
        <f t="shared" si="1320"/>
        <v/>
      </c>
      <c r="Q234" s="162" t="str">
        <f t="shared" si="1321"/>
        <v/>
      </c>
      <c r="R234" s="162" t="str">
        <f t="shared" si="1326"/>
        <v/>
      </c>
      <c r="S234" s="162" t="str">
        <f t="shared" si="1322"/>
        <v/>
      </c>
      <c r="T234" s="162" t="str">
        <f t="shared" si="1323"/>
        <v/>
      </c>
      <c r="U234" s="162" t="str">
        <f>IFERROR(IF(ISNUMBER(MATCH($X234,Settings!$AK$28:$AK$36,0)),INDEX(Settings!$AO$14:$AO$36,MATCH($X234,Settings!$AK$14:$AK$36,0))/2,INDEX(Settings!$AM$14:$AM$36,MATCH($X234,Settings!$AK$14:$AK$36,0))/2),"")</f>
        <v/>
      </c>
      <c r="V234" s="162" t="str">
        <f t="shared" si="1324"/>
        <v/>
      </c>
      <c r="W234" s="75"/>
      <c r="X234" s="882" t="str">
        <f t="shared" si="1327"/>
        <v/>
      </c>
      <c r="AK234" s="82"/>
      <c r="AL234" s="419"/>
    </row>
    <row r="235" spans="2:39" x14ac:dyDescent="0.25">
      <c r="B235" s="650"/>
      <c r="C235" s="651"/>
      <c r="D235" s="652"/>
      <c r="E235" s="653"/>
      <c r="F235" s="651"/>
      <c r="G235" s="654"/>
      <c r="H235" s="653"/>
      <c r="I235" s="887"/>
      <c r="J235" s="891"/>
      <c r="K235" s="876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683"/>
      <c r="M235" s="879"/>
      <c r="N235" s="31" t="str">
        <f t="shared" si="1325"/>
        <v>Y</v>
      </c>
      <c r="O235" s="162" t="str">
        <f t="shared" si="1319"/>
        <v/>
      </c>
      <c r="P235" s="162" t="str">
        <f t="shared" si="1320"/>
        <v/>
      </c>
      <c r="Q235" s="162" t="str">
        <f t="shared" si="1321"/>
        <v/>
      </c>
      <c r="R235" s="162" t="str">
        <f t="shared" si="1326"/>
        <v/>
      </c>
      <c r="S235" s="162" t="str">
        <f t="shared" si="1322"/>
        <v/>
      </c>
      <c r="T235" s="162" t="str">
        <f t="shared" si="1323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4"/>
        <v/>
      </c>
      <c r="W235" s="75"/>
      <c r="X235" s="882" t="str">
        <f t="shared" si="1327"/>
        <v/>
      </c>
      <c r="AK235" s="82"/>
      <c r="AL235" s="419"/>
    </row>
    <row r="236" spans="2:39" x14ac:dyDescent="0.25">
      <c r="B236" s="650"/>
      <c r="C236" s="651"/>
      <c r="D236" s="652"/>
      <c r="E236" s="653"/>
      <c r="F236" s="651"/>
      <c r="G236" s="654"/>
      <c r="H236" s="653"/>
      <c r="I236" s="887"/>
      <c r="J236" s="891"/>
      <c r="K236" s="876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683"/>
      <c r="M236" s="879"/>
      <c r="N236" s="31" t="str">
        <f t="shared" si="1325"/>
        <v>Y</v>
      </c>
      <c r="O236" s="162" t="str">
        <f t="shared" si="1319"/>
        <v/>
      </c>
      <c r="P236" s="162" t="str">
        <f t="shared" si="1320"/>
        <v/>
      </c>
      <c r="Q236" s="162" t="str">
        <f t="shared" si="1321"/>
        <v/>
      </c>
      <c r="R236" s="162" t="str">
        <f t="shared" si="1326"/>
        <v/>
      </c>
      <c r="S236" s="162" t="str">
        <f t="shared" si="1322"/>
        <v/>
      </c>
      <c r="T236" s="162" t="str">
        <f t="shared" si="1323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4"/>
        <v/>
      </c>
      <c r="W236" s="75"/>
      <c r="X236" s="882" t="str">
        <f t="shared" si="1327"/>
        <v/>
      </c>
      <c r="AK236" s="82"/>
      <c r="AL236" s="419"/>
    </row>
    <row r="237" spans="2:39" x14ac:dyDescent="0.25">
      <c r="B237" s="650"/>
      <c r="C237" s="651"/>
      <c r="D237" s="652"/>
      <c r="E237" s="653"/>
      <c r="F237" s="651"/>
      <c r="G237" s="654"/>
      <c r="H237" s="653"/>
      <c r="I237" s="887"/>
      <c r="J237" s="891"/>
      <c r="K237" s="876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683"/>
      <c r="M237" s="879"/>
      <c r="N237" s="31" t="str">
        <f t="shared" si="1325"/>
        <v>Y</v>
      </c>
      <c r="O237" s="162" t="str">
        <f t="shared" si="1319"/>
        <v/>
      </c>
      <c r="P237" s="162" t="str">
        <f t="shared" si="1320"/>
        <v/>
      </c>
      <c r="Q237" s="162" t="str">
        <f t="shared" si="1321"/>
        <v/>
      </c>
      <c r="R237" s="162" t="str">
        <f t="shared" si="1326"/>
        <v/>
      </c>
      <c r="S237" s="162" t="str">
        <f t="shared" si="1322"/>
        <v/>
      </c>
      <c r="T237" s="162" t="str">
        <f t="shared" si="1323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4"/>
        <v/>
      </c>
      <c r="W237" s="75"/>
      <c r="X237" s="882" t="str">
        <f t="shared" si="1327"/>
        <v/>
      </c>
      <c r="AK237" s="82"/>
      <c r="AL237" s="419"/>
    </row>
    <row r="238" spans="2:39" x14ac:dyDescent="0.25">
      <c r="B238" s="650"/>
      <c r="C238" s="651"/>
      <c r="D238" s="652"/>
      <c r="E238" s="653"/>
      <c r="F238" s="651"/>
      <c r="G238" s="654"/>
      <c r="H238" s="653"/>
      <c r="I238" s="887"/>
      <c r="J238" s="891"/>
      <c r="K238" s="876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683"/>
      <c r="M238" s="879"/>
      <c r="N238" s="31" t="str">
        <f t="shared" si="1325"/>
        <v>Y</v>
      </c>
      <c r="O238" s="162" t="str">
        <f t="shared" si="1319"/>
        <v/>
      </c>
      <c r="P238" s="162" t="str">
        <f t="shared" si="1320"/>
        <v/>
      </c>
      <c r="Q238" s="162" t="str">
        <f t="shared" si="1321"/>
        <v/>
      </c>
      <c r="R238" s="162" t="str">
        <f t="shared" si="1326"/>
        <v/>
      </c>
      <c r="S238" s="162" t="str">
        <f t="shared" si="1322"/>
        <v/>
      </c>
      <c r="T238" s="162" t="str">
        <f t="shared" si="1323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4"/>
        <v/>
      </c>
      <c r="W238" s="75"/>
      <c r="X238" s="882" t="str">
        <f t="shared" si="1327"/>
        <v/>
      </c>
      <c r="AK238" s="82"/>
      <c r="AL238" s="419"/>
    </row>
    <row r="239" spans="2:39" x14ac:dyDescent="0.25">
      <c r="B239" s="650"/>
      <c r="C239" s="651"/>
      <c r="D239" s="652"/>
      <c r="E239" s="653"/>
      <c r="F239" s="651"/>
      <c r="G239" s="654"/>
      <c r="H239" s="653"/>
      <c r="I239" s="887"/>
      <c r="J239" s="891"/>
      <c r="K239" s="876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683"/>
      <c r="M239" s="879"/>
      <c r="N239" s="31" t="str">
        <f t="shared" si="1325"/>
        <v>Y</v>
      </c>
      <c r="O239" s="162" t="str">
        <f t="shared" si="1319"/>
        <v/>
      </c>
      <c r="P239" s="162" t="str">
        <f t="shared" si="1320"/>
        <v/>
      </c>
      <c r="Q239" s="162" t="str">
        <f t="shared" si="1321"/>
        <v/>
      </c>
      <c r="R239" s="162" t="str">
        <f t="shared" si="1326"/>
        <v/>
      </c>
      <c r="S239" s="162" t="str">
        <f t="shared" si="1322"/>
        <v/>
      </c>
      <c r="T239" s="162" t="str">
        <f t="shared" si="1323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4"/>
        <v/>
      </c>
      <c r="W239" s="75"/>
      <c r="X239" s="882" t="str">
        <f t="shared" si="1327"/>
        <v/>
      </c>
      <c r="AK239" s="82"/>
      <c r="AL239" s="419"/>
    </row>
    <row r="240" spans="2:39" x14ac:dyDescent="0.25">
      <c r="B240" s="650"/>
      <c r="C240" s="651"/>
      <c r="D240" s="652"/>
      <c r="E240" s="653"/>
      <c r="F240" s="651"/>
      <c r="G240" s="654"/>
      <c r="H240" s="653"/>
      <c r="I240" s="887"/>
      <c r="J240" s="891"/>
      <c r="K240" s="876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683"/>
      <c r="M240" s="879"/>
      <c r="N240" s="31" t="str">
        <f t="shared" si="1325"/>
        <v>Y</v>
      </c>
      <c r="O240" s="162" t="str">
        <f t="shared" si="1319"/>
        <v/>
      </c>
      <c r="P240" s="162" t="str">
        <f t="shared" si="1320"/>
        <v/>
      </c>
      <c r="Q240" s="162" t="str">
        <f t="shared" si="1321"/>
        <v/>
      </c>
      <c r="R240" s="162" t="str">
        <f t="shared" si="1326"/>
        <v/>
      </c>
      <c r="S240" s="162" t="str">
        <f t="shared" si="1322"/>
        <v/>
      </c>
      <c r="T240" s="162" t="str">
        <f t="shared" si="1323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4"/>
        <v/>
      </c>
      <c r="W240" s="75"/>
      <c r="X240" s="882" t="str">
        <f t="shared" si="1327"/>
        <v/>
      </c>
      <c r="AK240" s="82"/>
      <c r="AL240" s="419"/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887"/>
      <c r="J241" s="891"/>
      <c r="K241" s="876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683"/>
      <c r="M241" s="879"/>
      <c r="N241" s="31" t="str">
        <f t="shared" si="1325"/>
        <v>Y</v>
      </c>
      <c r="O241" s="162" t="str">
        <f t="shared" si="1319"/>
        <v/>
      </c>
      <c r="P241" s="162" t="str">
        <f t="shared" si="1320"/>
        <v/>
      </c>
      <c r="Q241" s="162" t="str">
        <f t="shared" si="1321"/>
        <v/>
      </c>
      <c r="R241" s="162" t="str">
        <f t="shared" si="1326"/>
        <v/>
      </c>
      <c r="S241" s="162" t="str">
        <f t="shared" si="1322"/>
        <v/>
      </c>
      <c r="T241" s="162" t="str">
        <f t="shared" si="1323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4"/>
        <v/>
      </c>
      <c r="W241" s="75"/>
      <c r="X241" s="882" t="str">
        <f t="shared" si="1327"/>
        <v/>
      </c>
      <c r="AK241" s="82"/>
      <c r="AL241" s="419"/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887"/>
      <c r="J242" s="891"/>
      <c r="K242" s="876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683"/>
      <c r="M242" s="879"/>
      <c r="N242" s="31" t="str">
        <f t="shared" si="1325"/>
        <v>Y</v>
      </c>
      <c r="O242" s="162" t="str">
        <f t="shared" si="1319"/>
        <v/>
      </c>
      <c r="P242" s="162" t="str">
        <f t="shared" si="1320"/>
        <v/>
      </c>
      <c r="Q242" s="162" t="str">
        <f t="shared" si="1321"/>
        <v/>
      </c>
      <c r="R242" s="162" t="str">
        <f t="shared" si="1326"/>
        <v/>
      </c>
      <c r="S242" s="162" t="str">
        <f t="shared" si="1322"/>
        <v/>
      </c>
      <c r="T242" s="162" t="str">
        <f t="shared" si="1323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4"/>
        <v/>
      </c>
      <c r="W242" s="75"/>
      <c r="X242" s="882" t="str">
        <f t="shared" si="1327"/>
        <v/>
      </c>
      <c r="AK242" s="82"/>
      <c r="AL242" s="419"/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887"/>
      <c r="J243" s="891"/>
      <c r="K243" s="876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683"/>
      <c r="M243" s="879"/>
      <c r="N243" s="31" t="str">
        <f t="shared" si="1325"/>
        <v>Y</v>
      </c>
      <c r="O243" s="162" t="str">
        <f t="shared" si="1319"/>
        <v/>
      </c>
      <c r="P243" s="162" t="str">
        <f t="shared" si="1320"/>
        <v/>
      </c>
      <c r="Q243" s="162" t="str">
        <f t="shared" si="1321"/>
        <v/>
      </c>
      <c r="R243" s="162" t="str">
        <f t="shared" si="1326"/>
        <v/>
      </c>
      <c r="S243" s="162" t="str">
        <f t="shared" si="1322"/>
        <v/>
      </c>
      <c r="T243" s="162" t="str">
        <f t="shared" si="1323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4"/>
        <v/>
      </c>
      <c r="W243" s="75"/>
      <c r="X243" s="882" t="str">
        <f t="shared" si="1327"/>
        <v/>
      </c>
      <c r="AK243" s="82"/>
      <c r="AL243" s="419"/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887"/>
      <c r="J244" s="891"/>
      <c r="K244" s="876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683"/>
      <c r="M244" s="879"/>
      <c r="N244" s="31" t="str">
        <f t="shared" si="1325"/>
        <v>Y</v>
      </c>
      <c r="O244" s="162" t="str">
        <f t="shared" si="1319"/>
        <v/>
      </c>
      <c r="P244" s="162" t="str">
        <f t="shared" si="1320"/>
        <v/>
      </c>
      <c r="Q244" s="162" t="str">
        <f t="shared" si="1321"/>
        <v/>
      </c>
      <c r="R244" s="162" t="str">
        <f t="shared" si="1326"/>
        <v/>
      </c>
      <c r="S244" s="162" t="str">
        <f t="shared" si="1322"/>
        <v/>
      </c>
      <c r="T244" s="162" t="str">
        <f t="shared" si="1323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4"/>
        <v/>
      </c>
      <c r="W244" s="75"/>
      <c r="X244" s="882" t="str">
        <f t="shared" si="1327"/>
        <v/>
      </c>
      <c r="AK244" s="82"/>
      <c r="AL244" s="419"/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887"/>
      <c r="J245" s="891"/>
      <c r="K245" s="876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683"/>
      <c r="M245" s="879"/>
      <c r="N245" s="31" t="str">
        <f t="shared" si="1325"/>
        <v>Y</v>
      </c>
      <c r="O245" s="162" t="str">
        <f t="shared" si="1319"/>
        <v/>
      </c>
      <c r="P245" s="162" t="str">
        <f t="shared" si="1320"/>
        <v/>
      </c>
      <c r="Q245" s="162" t="str">
        <f t="shared" si="1321"/>
        <v/>
      </c>
      <c r="R245" s="162" t="str">
        <f t="shared" si="1326"/>
        <v/>
      </c>
      <c r="S245" s="162" t="str">
        <f t="shared" si="1322"/>
        <v/>
      </c>
      <c r="T245" s="162" t="str">
        <f t="shared" si="1323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4"/>
        <v/>
      </c>
      <c r="W245" s="75"/>
      <c r="X245" s="882" t="str">
        <f t="shared" si="1327"/>
        <v/>
      </c>
      <c r="AK245" s="82"/>
      <c r="AL245" s="419"/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887"/>
      <c r="J246" s="891"/>
      <c r="K246" s="876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683"/>
      <c r="M246" s="879"/>
      <c r="N246" s="31" t="str">
        <f t="shared" si="1325"/>
        <v>Y</v>
      </c>
      <c r="O246" s="162" t="str">
        <f t="shared" si="1319"/>
        <v/>
      </c>
      <c r="P246" s="162" t="str">
        <f t="shared" si="1320"/>
        <v/>
      </c>
      <c r="Q246" s="162" t="str">
        <f t="shared" si="1321"/>
        <v/>
      </c>
      <c r="R246" s="162" t="str">
        <f t="shared" si="1326"/>
        <v/>
      </c>
      <c r="S246" s="162" t="str">
        <f t="shared" si="1322"/>
        <v/>
      </c>
      <c r="T246" s="162" t="str">
        <f t="shared" si="1323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4"/>
        <v/>
      </c>
      <c r="W246" s="75"/>
      <c r="X246" s="882" t="str">
        <f t="shared" si="1327"/>
        <v/>
      </c>
      <c r="AK246" s="82"/>
      <c r="AL246" s="419"/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887"/>
      <c r="J247" s="891"/>
      <c r="K247" s="876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683"/>
      <c r="M247" s="879"/>
      <c r="N247" s="31" t="str">
        <f t="shared" si="1325"/>
        <v>Y</v>
      </c>
      <c r="O247" s="162" t="str">
        <f t="shared" si="1319"/>
        <v/>
      </c>
      <c r="P247" s="162" t="str">
        <f t="shared" si="1320"/>
        <v/>
      </c>
      <c r="Q247" s="162" t="str">
        <f t="shared" si="1321"/>
        <v/>
      </c>
      <c r="R247" s="162" t="str">
        <f t="shared" si="1326"/>
        <v/>
      </c>
      <c r="S247" s="162" t="str">
        <f t="shared" si="1322"/>
        <v/>
      </c>
      <c r="T247" s="162" t="str">
        <f t="shared" si="1323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4"/>
        <v/>
      </c>
      <c r="W247" s="75"/>
      <c r="X247" s="882" t="str">
        <f t="shared" si="1327"/>
        <v/>
      </c>
      <c r="AK247" s="82"/>
      <c r="AL247" s="419"/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887"/>
      <c r="J248" s="891"/>
      <c r="K248" s="876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683"/>
      <c r="M248" s="879"/>
      <c r="N248" s="31"/>
      <c r="O248" s="162" t="str">
        <f t="shared" si="1319"/>
        <v/>
      </c>
      <c r="P248" s="162" t="str">
        <f t="shared" si="1320"/>
        <v/>
      </c>
      <c r="Q248" s="162" t="str">
        <f t="shared" si="1321"/>
        <v/>
      </c>
      <c r="R248" s="162" t="str">
        <f t="shared" si="1326"/>
        <v/>
      </c>
      <c r="S248" s="162" t="str">
        <f t="shared" si="1322"/>
        <v/>
      </c>
      <c r="T248" s="162" t="str">
        <f t="shared" si="1323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4"/>
        <v/>
      </c>
      <c r="W248" s="75"/>
      <c r="X248" s="882" t="str">
        <f t="shared" si="1327"/>
        <v/>
      </c>
      <c r="AK248" s="82"/>
      <c r="AL248" s="419"/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887"/>
      <c r="J249" s="891"/>
      <c r="K249" s="876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683"/>
      <c r="M249" s="879"/>
      <c r="O249" s="162" t="str">
        <f t="shared" si="1319"/>
        <v/>
      </c>
      <c r="P249" s="162" t="str">
        <f t="shared" si="1320"/>
        <v/>
      </c>
      <c r="Q249" s="162" t="str">
        <f t="shared" si="1321"/>
        <v/>
      </c>
      <c r="R249" s="162" t="str">
        <f t="shared" si="1326"/>
        <v/>
      </c>
      <c r="S249" s="162" t="str">
        <f t="shared" si="1322"/>
        <v/>
      </c>
      <c r="T249" s="162" t="str">
        <f t="shared" si="1323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4"/>
        <v/>
      </c>
      <c r="W249" s="75"/>
      <c r="X249" s="882" t="str">
        <f t="shared" si="1327"/>
        <v/>
      </c>
      <c r="AK249" s="82"/>
      <c r="AL249" s="419"/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887"/>
      <c r="J250" s="891"/>
      <c r="K250" s="876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683"/>
      <c r="M250" s="879"/>
      <c r="O250" s="162" t="str">
        <f t="shared" si="1319"/>
        <v/>
      </c>
      <c r="P250" s="162" t="str">
        <f t="shared" si="1320"/>
        <v/>
      </c>
      <c r="Q250" s="162" t="str">
        <f t="shared" si="1321"/>
        <v/>
      </c>
      <c r="R250" s="162" t="str">
        <f t="shared" si="1326"/>
        <v/>
      </c>
      <c r="S250" s="162" t="str">
        <f t="shared" si="1322"/>
        <v/>
      </c>
      <c r="T250" s="162" t="str">
        <f t="shared" si="1323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4"/>
        <v/>
      </c>
      <c r="W250" s="75"/>
      <c r="X250" s="882" t="str">
        <f t="shared" si="1327"/>
        <v/>
      </c>
      <c r="AK250" s="82"/>
      <c r="AL250" s="419"/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887"/>
      <c r="J251" s="891"/>
      <c r="K251" s="876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683"/>
      <c r="M251" s="879"/>
      <c r="O251" s="162" t="str">
        <f t="shared" si="1319"/>
        <v/>
      </c>
      <c r="P251" s="162" t="str">
        <f t="shared" si="1320"/>
        <v/>
      </c>
      <c r="Q251" s="162" t="str">
        <f t="shared" si="1321"/>
        <v/>
      </c>
      <c r="R251" s="162" t="str">
        <f t="shared" si="1326"/>
        <v/>
      </c>
      <c r="S251" s="162" t="str">
        <f t="shared" si="1322"/>
        <v/>
      </c>
      <c r="T251" s="162" t="str">
        <f t="shared" si="1323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4"/>
        <v/>
      </c>
      <c r="W251" s="75"/>
      <c r="X251" s="882" t="str">
        <f t="shared" si="1327"/>
        <v/>
      </c>
      <c r="AK251" s="82"/>
      <c r="AL251" s="419"/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887"/>
      <c r="J252" s="891"/>
      <c r="K252" s="876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683"/>
      <c r="M252" s="879"/>
      <c r="O252" s="162" t="str">
        <f t="shared" si="1319"/>
        <v/>
      </c>
      <c r="P252" s="162" t="str">
        <f t="shared" si="1320"/>
        <v/>
      </c>
      <c r="Q252" s="162" t="str">
        <f t="shared" si="1321"/>
        <v/>
      </c>
      <c r="R252" s="162" t="str">
        <f t="shared" si="1326"/>
        <v/>
      </c>
      <c r="S252" s="162" t="str">
        <f t="shared" si="1322"/>
        <v/>
      </c>
      <c r="T252" s="162" t="str">
        <f t="shared" si="1323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4"/>
        <v/>
      </c>
      <c r="W252" s="75"/>
      <c r="X252" s="882" t="str">
        <f t="shared" si="1327"/>
        <v/>
      </c>
      <c r="AK252" s="82"/>
      <c r="AL252" s="419"/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887"/>
      <c r="J253" s="891"/>
      <c r="K253" s="876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683"/>
      <c r="M253" s="879"/>
      <c r="O253" s="162" t="str">
        <f t="shared" si="1319"/>
        <v/>
      </c>
      <c r="P253" s="162" t="str">
        <f t="shared" si="1320"/>
        <v/>
      </c>
      <c r="Q253" s="162" t="str">
        <f t="shared" si="1321"/>
        <v/>
      </c>
      <c r="R253" s="162" t="str">
        <f t="shared" si="1326"/>
        <v/>
      </c>
      <c r="S253" s="162" t="str">
        <f t="shared" si="1322"/>
        <v/>
      </c>
      <c r="T253" s="162" t="str">
        <f t="shared" si="1323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4"/>
        <v/>
      </c>
      <c r="W253" s="75"/>
      <c r="X253" s="882" t="str">
        <f t="shared" si="1327"/>
        <v/>
      </c>
      <c r="AK253" s="82"/>
      <c r="AL253" s="419"/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887"/>
      <c r="J254" s="891"/>
      <c r="K254" s="876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683"/>
      <c r="M254" s="879"/>
      <c r="O254" s="162" t="str">
        <f t="shared" si="1319"/>
        <v/>
      </c>
      <c r="P254" s="162" t="str">
        <f t="shared" si="1320"/>
        <v/>
      </c>
      <c r="Q254" s="162" t="str">
        <f t="shared" si="1321"/>
        <v/>
      </c>
      <c r="R254" s="162" t="str">
        <f t="shared" si="1326"/>
        <v/>
      </c>
      <c r="S254" s="162" t="str">
        <f t="shared" si="1322"/>
        <v/>
      </c>
      <c r="T254" s="162" t="str">
        <f t="shared" si="1323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4"/>
        <v/>
      </c>
      <c r="W254" s="75"/>
      <c r="X254" s="882" t="str">
        <f t="shared" si="1327"/>
        <v/>
      </c>
      <c r="AK254" s="82"/>
      <c r="AL254" s="419"/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887"/>
      <c r="J255" s="891"/>
      <c r="K255" s="876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879"/>
      <c r="O255" s="162" t="str">
        <f t="shared" si="1319"/>
        <v/>
      </c>
      <c r="P255" s="162" t="str">
        <f t="shared" si="1320"/>
        <v/>
      </c>
      <c r="Q255" s="162" t="str">
        <f t="shared" si="1321"/>
        <v/>
      </c>
      <c r="R255" s="162" t="str">
        <f t="shared" si="1326"/>
        <v/>
      </c>
      <c r="S255" s="162" t="str">
        <f t="shared" si="1322"/>
        <v/>
      </c>
      <c r="T255" s="162" t="str">
        <f t="shared" si="1323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4"/>
        <v/>
      </c>
      <c r="W255" s="75"/>
      <c r="X255" s="882" t="str">
        <f t="shared" si="1327"/>
        <v/>
      </c>
      <c r="AK255" s="82"/>
      <c r="AL255" s="419"/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887"/>
      <c r="J256" s="891"/>
      <c r="K256" s="876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879"/>
      <c r="O256" s="162" t="str">
        <f t="shared" si="1319"/>
        <v/>
      </c>
      <c r="P256" s="162" t="str">
        <f t="shared" si="1320"/>
        <v/>
      </c>
      <c r="Q256" s="162" t="str">
        <f t="shared" si="1321"/>
        <v/>
      </c>
      <c r="R256" s="162" t="str">
        <f t="shared" si="1326"/>
        <v/>
      </c>
      <c r="S256" s="162" t="str">
        <f t="shared" si="1322"/>
        <v/>
      </c>
      <c r="T256" s="162" t="str">
        <f t="shared" si="1323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4"/>
        <v/>
      </c>
      <c r="W256" s="75"/>
      <c r="X256" s="882" t="str">
        <f t="shared" si="1327"/>
        <v/>
      </c>
      <c r="AK256" s="82"/>
      <c r="AL256" s="419"/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887"/>
      <c r="J257" s="891"/>
      <c r="K257" s="876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879"/>
      <c r="O257" s="162" t="str">
        <f t="shared" si="1319"/>
        <v/>
      </c>
      <c r="P257" s="162" t="str">
        <f t="shared" si="1320"/>
        <v/>
      </c>
      <c r="Q257" s="162" t="str">
        <f t="shared" si="1321"/>
        <v/>
      </c>
      <c r="R257" s="162" t="str">
        <f t="shared" si="1326"/>
        <v/>
      </c>
      <c r="S257" s="162" t="str">
        <f t="shared" si="1322"/>
        <v/>
      </c>
      <c r="T257" s="162" t="str">
        <f t="shared" si="1323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4"/>
        <v/>
      </c>
      <c r="W257" s="75"/>
      <c r="X257" s="882" t="str">
        <f t="shared" si="1327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887"/>
      <c r="J258" s="891"/>
      <c r="K258" s="876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879"/>
      <c r="O258" s="162" t="str">
        <f t="shared" si="1319"/>
        <v/>
      </c>
      <c r="P258" s="162" t="str">
        <f t="shared" si="1320"/>
        <v/>
      </c>
      <c r="Q258" s="162" t="str">
        <f t="shared" si="1321"/>
        <v/>
      </c>
      <c r="R258" s="162" t="str">
        <f t="shared" si="1326"/>
        <v/>
      </c>
      <c r="S258" s="162" t="str">
        <f t="shared" si="1322"/>
        <v/>
      </c>
      <c r="T258" s="162" t="str">
        <f t="shared" si="1323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4"/>
        <v/>
      </c>
      <c r="W258" s="75"/>
      <c r="X258" s="882" t="str">
        <f t="shared" si="1327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887"/>
      <c r="J259" s="891"/>
      <c r="K259" s="876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879"/>
      <c r="O259" s="162" t="str">
        <f t="shared" si="1319"/>
        <v/>
      </c>
      <c r="P259" s="162" t="str">
        <f t="shared" si="1320"/>
        <v/>
      </c>
      <c r="Q259" s="162" t="str">
        <f t="shared" si="1321"/>
        <v/>
      </c>
      <c r="R259" s="162" t="str">
        <f t="shared" si="1326"/>
        <v/>
      </c>
      <c r="S259" s="162" t="str">
        <f t="shared" si="1322"/>
        <v/>
      </c>
      <c r="T259" s="162" t="str">
        <f t="shared" si="1323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4"/>
        <v/>
      </c>
      <c r="W259" s="75"/>
      <c r="X259" s="882" t="str">
        <f t="shared" si="1327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887"/>
      <c r="J260" s="891"/>
      <c r="K260" s="876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879"/>
      <c r="O260" s="162" t="str">
        <f t="shared" ref="O260:O291" si="1328">IFERROR(INDEX(B$164:B$305,MATCH($W260,$J$164:$J$305,0)),"")</f>
        <v/>
      </c>
      <c r="P260" s="162" t="str">
        <f t="shared" ref="P260:P291" si="1329">IFERROR(INDEX(C$164:C$305,MATCH($W260,$J$164:$J$305,0)),"")</f>
        <v/>
      </c>
      <c r="Q260" s="162" t="str">
        <f t="shared" ref="Q260:Q291" si="1330">IFERROR(INDEX(D$164:D$305,MATCH($W260,$J$164:$J$305,0)),"")</f>
        <v/>
      </c>
      <c r="R260" s="162" t="str">
        <f t="shared" si="1326"/>
        <v/>
      </c>
      <c r="S260" s="162" t="str">
        <f t="shared" si="1322"/>
        <v/>
      </c>
      <c r="T260" s="162" t="str">
        <f t="shared" si="1323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1">IFERROR(INDEX(I$164:I$305,MATCH($W260,$J$164:$J$305,0)),"")</f>
        <v/>
      </c>
      <c r="W260" s="75"/>
      <c r="X260" s="882" t="str">
        <f t="shared" si="1327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887"/>
      <c r="J261" s="891"/>
      <c r="K261" s="876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879"/>
      <c r="O261" s="162" t="str">
        <f t="shared" si="1328"/>
        <v/>
      </c>
      <c r="P261" s="162" t="str">
        <f t="shared" si="1329"/>
        <v/>
      </c>
      <c r="Q261" s="162" t="str">
        <f t="shared" si="1330"/>
        <v/>
      </c>
      <c r="R261" s="162" t="str">
        <f t="shared" si="1326"/>
        <v/>
      </c>
      <c r="S261" s="162" t="str">
        <f t="shared" si="1322"/>
        <v/>
      </c>
      <c r="T261" s="162" t="str">
        <f t="shared" si="1323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1"/>
        <v/>
      </c>
      <c r="W261" s="75"/>
      <c r="X261" s="882" t="str">
        <f t="shared" si="1327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887"/>
      <c r="J262" s="891"/>
      <c r="K262" s="876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879"/>
      <c r="O262" s="162" t="str">
        <f t="shared" si="1328"/>
        <v/>
      </c>
      <c r="P262" s="162" t="str">
        <f t="shared" si="1329"/>
        <v/>
      </c>
      <c r="Q262" s="162" t="str">
        <f t="shared" si="1330"/>
        <v/>
      </c>
      <c r="R262" s="162" t="str">
        <f t="shared" si="1326"/>
        <v/>
      </c>
      <c r="S262" s="162" t="str">
        <f t="shared" si="1322"/>
        <v/>
      </c>
      <c r="T262" s="162" t="str">
        <f t="shared" si="1323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1"/>
        <v/>
      </c>
      <c r="W262" s="75"/>
      <c r="X262" s="882" t="str">
        <f t="shared" si="1327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887"/>
      <c r="J263" s="891"/>
      <c r="K263" s="876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879"/>
      <c r="O263" s="162" t="str">
        <f t="shared" si="1328"/>
        <v/>
      </c>
      <c r="P263" s="162" t="str">
        <f t="shared" si="1329"/>
        <v/>
      </c>
      <c r="Q263" s="162" t="str">
        <f t="shared" si="1330"/>
        <v/>
      </c>
      <c r="R263" s="162" t="str">
        <f t="shared" si="1326"/>
        <v/>
      </c>
      <c r="S263" s="162" t="str">
        <f t="shared" si="1322"/>
        <v/>
      </c>
      <c r="T263" s="162" t="str">
        <f t="shared" si="1323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1"/>
        <v/>
      </c>
      <c r="W263" s="75"/>
      <c r="X263" s="882" t="str">
        <f t="shared" si="1327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887"/>
      <c r="J264" s="891"/>
      <c r="K264" s="876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879"/>
      <c r="O264" s="162" t="str">
        <f t="shared" si="1328"/>
        <v/>
      </c>
      <c r="P264" s="162" t="str">
        <f t="shared" si="1329"/>
        <v/>
      </c>
      <c r="Q264" s="162" t="str">
        <f t="shared" si="1330"/>
        <v/>
      </c>
      <c r="R264" s="162" t="str">
        <f t="shared" si="1326"/>
        <v/>
      </c>
      <c r="S264" s="162" t="str">
        <f t="shared" si="1322"/>
        <v/>
      </c>
      <c r="T264" s="162" t="str">
        <f t="shared" si="1323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1"/>
        <v/>
      </c>
      <c r="W264" s="75"/>
      <c r="X264" s="882" t="str">
        <f t="shared" si="1327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887"/>
      <c r="J265" s="891"/>
      <c r="K265" s="876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879"/>
      <c r="O265" s="162" t="str">
        <f t="shared" si="1328"/>
        <v/>
      </c>
      <c r="P265" s="162" t="str">
        <f t="shared" si="1329"/>
        <v/>
      </c>
      <c r="Q265" s="162" t="str">
        <f t="shared" si="1330"/>
        <v/>
      </c>
      <c r="R265" s="162" t="str">
        <f t="shared" si="1326"/>
        <v/>
      </c>
      <c r="S265" s="162" t="str">
        <f t="shared" si="1322"/>
        <v/>
      </c>
      <c r="T265" s="162" t="str">
        <f t="shared" si="1323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1"/>
        <v/>
      </c>
      <c r="W265" s="75"/>
      <c r="X265" s="882" t="str">
        <f t="shared" si="1327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887"/>
      <c r="J266" s="891"/>
      <c r="K266" s="876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879"/>
      <c r="O266" s="162" t="str">
        <f t="shared" si="1328"/>
        <v/>
      </c>
      <c r="P266" s="162" t="str">
        <f t="shared" si="1329"/>
        <v/>
      </c>
      <c r="Q266" s="162" t="str">
        <f t="shared" si="1330"/>
        <v/>
      </c>
      <c r="R266" s="162" t="str">
        <f t="shared" si="1326"/>
        <v/>
      </c>
      <c r="S266" s="162" t="str">
        <f t="shared" si="1322"/>
        <v/>
      </c>
      <c r="T266" s="162" t="str">
        <f t="shared" si="1323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1"/>
        <v/>
      </c>
      <c r="W266" s="75"/>
      <c r="X266" s="882" t="str">
        <f t="shared" si="1327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887"/>
      <c r="J267" s="891"/>
      <c r="K267" s="876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879"/>
      <c r="O267" s="162" t="str">
        <f t="shared" si="1328"/>
        <v/>
      </c>
      <c r="P267" s="162" t="str">
        <f t="shared" si="1329"/>
        <v/>
      </c>
      <c r="Q267" s="162" t="str">
        <f t="shared" si="1330"/>
        <v/>
      </c>
      <c r="R267" s="162" t="str">
        <f t="shared" si="1326"/>
        <v/>
      </c>
      <c r="S267" s="162" t="str">
        <f t="shared" si="1322"/>
        <v/>
      </c>
      <c r="T267" s="162" t="str">
        <f t="shared" si="1323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1"/>
        <v/>
      </c>
      <c r="W267" s="75"/>
      <c r="X267" s="882" t="str">
        <f t="shared" si="1327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887"/>
      <c r="J268" s="891"/>
      <c r="K268" s="876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879"/>
      <c r="O268" s="162" t="str">
        <f t="shared" si="1328"/>
        <v/>
      </c>
      <c r="P268" s="162" t="str">
        <f t="shared" si="1329"/>
        <v/>
      </c>
      <c r="Q268" s="162" t="str">
        <f t="shared" si="1330"/>
        <v/>
      </c>
      <c r="R268" s="162" t="str">
        <f t="shared" si="1326"/>
        <v/>
      </c>
      <c r="S268" s="162" t="str">
        <f t="shared" si="1322"/>
        <v/>
      </c>
      <c r="T268" s="162" t="str">
        <f t="shared" si="1323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1"/>
        <v/>
      </c>
      <c r="W268" s="75"/>
      <c r="X268" s="882" t="str">
        <f t="shared" si="1327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887"/>
      <c r="J269" s="891"/>
      <c r="K269" s="876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879"/>
      <c r="O269" s="162" t="str">
        <f t="shared" si="1328"/>
        <v/>
      </c>
      <c r="P269" s="162" t="str">
        <f t="shared" si="1329"/>
        <v/>
      </c>
      <c r="Q269" s="162" t="str">
        <f t="shared" si="1330"/>
        <v/>
      </c>
      <c r="R269" s="162" t="str">
        <f t="shared" si="1326"/>
        <v/>
      </c>
      <c r="S269" s="162" t="str">
        <f t="shared" si="1322"/>
        <v/>
      </c>
      <c r="T269" s="162" t="str">
        <f t="shared" si="1323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1"/>
        <v/>
      </c>
      <c r="W269" s="75"/>
      <c r="X269" s="882" t="str">
        <f t="shared" si="1327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887"/>
      <c r="J270" s="891"/>
      <c r="K270" s="876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879"/>
      <c r="O270" s="162" t="str">
        <f t="shared" si="1328"/>
        <v/>
      </c>
      <c r="P270" s="162" t="str">
        <f t="shared" si="1329"/>
        <v/>
      </c>
      <c r="Q270" s="162" t="str">
        <f t="shared" si="1330"/>
        <v/>
      </c>
      <c r="R270" s="162" t="str">
        <f t="shared" si="1326"/>
        <v/>
      </c>
      <c r="S270" s="162" t="str">
        <f t="shared" si="1322"/>
        <v/>
      </c>
      <c r="T270" s="162" t="str">
        <f t="shared" si="1323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1"/>
        <v/>
      </c>
      <c r="W270" s="75"/>
      <c r="X270" s="882" t="str">
        <f t="shared" si="1327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887"/>
      <c r="J271" s="891"/>
      <c r="K271" s="876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879"/>
      <c r="O271" s="162" t="str">
        <f t="shared" si="1328"/>
        <v/>
      </c>
      <c r="P271" s="162" t="str">
        <f t="shared" si="1329"/>
        <v/>
      </c>
      <c r="Q271" s="162" t="str">
        <f t="shared" si="1330"/>
        <v/>
      </c>
      <c r="R271" s="162" t="str">
        <f t="shared" si="1326"/>
        <v/>
      </c>
      <c r="S271" s="162" t="str">
        <f t="shared" si="1322"/>
        <v/>
      </c>
      <c r="T271" s="162" t="str">
        <f t="shared" si="1323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1"/>
        <v/>
      </c>
      <c r="W271" s="75"/>
      <c r="X271" s="882" t="str">
        <f t="shared" si="1327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887"/>
      <c r="J272" s="891"/>
      <c r="K272" s="876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879"/>
      <c r="O272" s="162" t="str">
        <f t="shared" si="1328"/>
        <v/>
      </c>
      <c r="P272" s="162" t="str">
        <f t="shared" si="1329"/>
        <v/>
      </c>
      <c r="Q272" s="162" t="str">
        <f t="shared" si="1330"/>
        <v/>
      </c>
      <c r="R272" s="162" t="str">
        <f t="shared" si="1326"/>
        <v/>
      </c>
      <c r="S272" s="162" t="str">
        <f t="shared" si="1322"/>
        <v/>
      </c>
      <c r="T272" s="162" t="str">
        <f t="shared" si="1323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1"/>
        <v/>
      </c>
      <c r="W272" s="75"/>
      <c r="X272" s="882" t="str">
        <f t="shared" si="1327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887"/>
      <c r="J273" s="891"/>
      <c r="K273" s="876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879"/>
      <c r="O273" s="162" t="str">
        <f t="shared" si="1328"/>
        <v/>
      </c>
      <c r="P273" s="162" t="str">
        <f t="shared" si="1329"/>
        <v/>
      </c>
      <c r="Q273" s="162" t="str">
        <f t="shared" si="1330"/>
        <v/>
      </c>
      <c r="R273" s="162" t="str">
        <f t="shared" si="1326"/>
        <v/>
      </c>
      <c r="S273" s="162" t="str">
        <f t="shared" si="1322"/>
        <v/>
      </c>
      <c r="T273" s="162" t="str">
        <f t="shared" si="1323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1"/>
        <v/>
      </c>
      <c r="W273" s="75"/>
      <c r="X273" s="882" t="str">
        <f t="shared" si="1327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887"/>
      <c r="J274" s="891"/>
      <c r="K274" s="876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879"/>
      <c r="O274" s="162" t="str">
        <f t="shared" si="1328"/>
        <v/>
      </c>
      <c r="P274" s="162" t="str">
        <f t="shared" si="1329"/>
        <v/>
      </c>
      <c r="Q274" s="162" t="str">
        <f t="shared" si="1330"/>
        <v/>
      </c>
      <c r="R274" s="162" t="str">
        <f t="shared" si="1326"/>
        <v/>
      </c>
      <c r="S274" s="162" t="str">
        <f t="shared" si="1322"/>
        <v/>
      </c>
      <c r="T274" s="162" t="str">
        <f t="shared" si="1323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1"/>
        <v/>
      </c>
      <c r="W274" s="75"/>
      <c r="X274" s="882" t="str">
        <f t="shared" si="1327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887"/>
      <c r="J275" s="891"/>
      <c r="K275" s="876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879"/>
      <c r="O275" s="162" t="str">
        <f t="shared" si="1328"/>
        <v/>
      </c>
      <c r="P275" s="162" t="str">
        <f t="shared" si="1329"/>
        <v/>
      </c>
      <c r="Q275" s="162" t="str">
        <f t="shared" si="1330"/>
        <v/>
      </c>
      <c r="R275" s="162" t="str">
        <f t="shared" si="1326"/>
        <v/>
      </c>
      <c r="S275" s="162" t="str">
        <f t="shared" si="1322"/>
        <v/>
      </c>
      <c r="T275" s="162" t="str">
        <f t="shared" si="1323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1"/>
        <v/>
      </c>
      <c r="W275" s="75"/>
      <c r="X275" s="882" t="str">
        <f t="shared" si="1327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887"/>
      <c r="J276" s="891"/>
      <c r="K276" s="876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879"/>
      <c r="O276" s="162" t="str">
        <f t="shared" si="1328"/>
        <v/>
      </c>
      <c r="P276" s="162" t="str">
        <f t="shared" si="1329"/>
        <v/>
      </c>
      <c r="Q276" s="162" t="str">
        <f t="shared" si="1330"/>
        <v/>
      </c>
      <c r="R276" s="162" t="str">
        <f t="shared" si="1326"/>
        <v/>
      </c>
      <c r="S276" s="162" t="str">
        <f t="shared" si="1322"/>
        <v/>
      </c>
      <c r="T276" s="162" t="str">
        <f t="shared" si="1323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1"/>
        <v/>
      </c>
      <c r="W276" s="75"/>
      <c r="X276" s="882" t="str">
        <f t="shared" si="1327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887"/>
      <c r="J277" s="891"/>
      <c r="K277" s="876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879"/>
      <c r="O277" s="162" t="str">
        <f t="shared" si="1328"/>
        <v/>
      </c>
      <c r="P277" s="162" t="str">
        <f t="shared" si="1329"/>
        <v/>
      </c>
      <c r="Q277" s="162" t="str">
        <f t="shared" si="1330"/>
        <v/>
      </c>
      <c r="R277" s="162" t="str">
        <f t="shared" si="1326"/>
        <v/>
      </c>
      <c r="S277" s="162" t="str">
        <f t="shared" si="1322"/>
        <v/>
      </c>
      <c r="T277" s="162" t="str">
        <f t="shared" si="1323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1"/>
        <v/>
      </c>
      <c r="W277" s="75"/>
      <c r="X277" s="882" t="str">
        <f t="shared" si="1327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887"/>
      <c r="J278" s="891"/>
      <c r="K278" s="876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879"/>
      <c r="O278" s="162" t="str">
        <f t="shared" si="1328"/>
        <v/>
      </c>
      <c r="P278" s="162" t="str">
        <f t="shared" si="1329"/>
        <v/>
      </c>
      <c r="Q278" s="162" t="str">
        <f t="shared" si="1330"/>
        <v/>
      </c>
      <c r="R278" s="162" t="str">
        <f t="shared" si="1326"/>
        <v/>
      </c>
      <c r="S278" s="162" t="str">
        <f t="shared" si="1322"/>
        <v/>
      </c>
      <c r="T278" s="162" t="str">
        <f t="shared" si="1323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1"/>
        <v/>
      </c>
      <c r="W278" s="75"/>
      <c r="X278" s="882" t="str">
        <f t="shared" si="1327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887"/>
      <c r="J279" s="891"/>
      <c r="K279" s="876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879"/>
      <c r="O279" s="162" t="str">
        <f t="shared" si="1328"/>
        <v/>
      </c>
      <c r="P279" s="162" t="str">
        <f t="shared" si="1329"/>
        <v/>
      </c>
      <c r="Q279" s="162" t="str">
        <f t="shared" si="1330"/>
        <v/>
      </c>
      <c r="R279" s="162" t="str">
        <f t="shared" si="1326"/>
        <v/>
      </c>
      <c r="S279" s="162" t="str">
        <f t="shared" si="1322"/>
        <v/>
      </c>
      <c r="T279" s="162" t="str">
        <f t="shared" si="1323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1"/>
        <v/>
      </c>
      <c r="W279" s="75"/>
      <c r="X279" s="882" t="str">
        <f t="shared" si="1327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887"/>
      <c r="J280" s="891"/>
      <c r="K280" s="876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879"/>
      <c r="O280" s="162" t="str">
        <f t="shared" si="1328"/>
        <v/>
      </c>
      <c r="P280" s="162" t="str">
        <f t="shared" si="1329"/>
        <v/>
      </c>
      <c r="Q280" s="162" t="str">
        <f t="shared" si="1330"/>
        <v/>
      </c>
      <c r="R280" s="162" t="str">
        <f t="shared" si="1326"/>
        <v/>
      </c>
      <c r="S280" s="162" t="str">
        <f t="shared" si="1322"/>
        <v/>
      </c>
      <c r="T280" s="162" t="str">
        <f t="shared" si="1323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1"/>
        <v/>
      </c>
      <c r="W280" s="75"/>
      <c r="X280" s="882" t="str">
        <f t="shared" si="1327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887"/>
      <c r="J281" s="891"/>
      <c r="K281" s="876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879"/>
      <c r="O281" s="162" t="str">
        <f t="shared" si="1328"/>
        <v/>
      </c>
      <c r="P281" s="162" t="str">
        <f t="shared" si="1329"/>
        <v/>
      </c>
      <c r="Q281" s="162" t="str">
        <f t="shared" si="1330"/>
        <v/>
      </c>
      <c r="R281" s="162" t="str">
        <f t="shared" si="1326"/>
        <v/>
      </c>
      <c r="S281" s="162" t="str">
        <f t="shared" si="1322"/>
        <v/>
      </c>
      <c r="T281" s="162" t="str">
        <f t="shared" si="1323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1"/>
        <v/>
      </c>
      <c r="W281" s="75"/>
      <c r="X281" s="882" t="str">
        <f t="shared" si="1327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887"/>
      <c r="J282" s="891"/>
      <c r="K282" s="876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879"/>
      <c r="O282" s="162" t="str">
        <f t="shared" si="1328"/>
        <v/>
      </c>
      <c r="P282" s="162" t="str">
        <f t="shared" si="1329"/>
        <v/>
      </c>
      <c r="Q282" s="162" t="str">
        <f t="shared" si="1330"/>
        <v/>
      </c>
      <c r="R282" s="162" t="str">
        <f t="shared" si="1326"/>
        <v/>
      </c>
      <c r="S282" s="162" t="str">
        <f t="shared" si="1322"/>
        <v/>
      </c>
      <c r="T282" s="162" t="str">
        <f t="shared" si="1323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1"/>
        <v/>
      </c>
      <c r="W282" s="75"/>
      <c r="X282" s="882" t="str">
        <f t="shared" si="1327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887"/>
      <c r="J283" s="891"/>
      <c r="K283" s="876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879"/>
      <c r="O283" s="162" t="str">
        <f t="shared" si="1328"/>
        <v/>
      </c>
      <c r="P283" s="162" t="str">
        <f t="shared" si="1329"/>
        <v/>
      </c>
      <c r="Q283" s="162" t="str">
        <f t="shared" si="1330"/>
        <v/>
      </c>
      <c r="R283" s="162" t="str">
        <f t="shared" si="1326"/>
        <v/>
      </c>
      <c r="S283" s="162" t="str">
        <f t="shared" si="1322"/>
        <v/>
      </c>
      <c r="T283" s="162" t="str">
        <f t="shared" si="1323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1"/>
        <v/>
      </c>
      <c r="W283" s="75"/>
      <c r="X283" s="882" t="str">
        <f t="shared" si="1327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887"/>
      <c r="J284" s="891"/>
      <c r="K284" s="876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879"/>
      <c r="O284" s="162" t="str">
        <f t="shared" si="1328"/>
        <v/>
      </c>
      <c r="P284" s="162" t="str">
        <f t="shared" si="1329"/>
        <v/>
      </c>
      <c r="Q284" s="162" t="str">
        <f t="shared" si="1330"/>
        <v/>
      </c>
      <c r="R284" s="162" t="str">
        <f t="shared" si="1326"/>
        <v/>
      </c>
      <c r="S284" s="162" t="str">
        <f t="shared" si="1322"/>
        <v/>
      </c>
      <c r="T284" s="162" t="str">
        <f t="shared" si="1323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1"/>
        <v/>
      </c>
      <c r="W284" s="75"/>
      <c r="X284" s="882" t="str">
        <f t="shared" si="1327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888"/>
      <c r="J285" s="892"/>
      <c r="K285" s="877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879"/>
      <c r="O285" s="162" t="str">
        <f t="shared" si="1328"/>
        <v/>
      </c>
      <c r="P285" s="162" t="str">
        <f t="shared" si="1329"/>
        <v/>
      </c>
      <c r="Q285" s="162" t="str">
        <f t="shared" si="1330"/>
        <v/>
      </c>
      <c r="R285" s="162" t="str">
        <f t="shared" si="1326"/>
        <v/>
      </c>
      <c r="S285" s="162" t="str">
        <f t="shared" si="1322"/>
        <v/>
      </c>
      <c r="T285" s="162" t="str">
        <f t="shared" si="1323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1"/>
        <v/>
      </c>
      <c r="W285" s="75"/>
      <c r="X285" s="882" t="str">
        <f t="shared" si="1327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888"/>
      <c r="J286" s="892"/>
      <c r="K286" s="877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879"/>
      <c r="O286" s="162" t="str">
        <f t="shared" si="1328"/>
        <v/>
      </c>
      <c r="P286" s="162" t="str">
        <f t="shared" si="1329"/>
        <v/>
      </c>
      <c r="Q286" s="162" t="str">
        <f t="shared" si="1330"/>
        <v/>
      </c>
      <c r="R286" s="162" t="str">
        <f t="shared" si="1326"/>
        <v/>
      </c>
      <c r="S286" s="162" t="str">
        <f t="shared" si="1322"/>
        <v/>
      </c>
      <c r="T286" s="162" t="str">
        <f t="shared" si="1323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1"/>
        <v/>
      </c>
      <c r="W286" s="75"/>
      <c r="X286" s="882" t="str">
        <f t="shared" si="1327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888"/>
      <c r="J287" s="892"/>
      <c r="K287" s="877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879"/>
      <c r="O287" s="162" t="str">
        <f t="shared" si="1328"/>
        <v/>
      </c>
      <c r="P287" s="162" t="str">
        <f t="shared" si="1329"/>
        <v/>
      </c>
      <c r="Q287" s="162" t="str">
        <f t="shared" si="1330"/>
        <v/>
      </c>
      <c r="R287" s="162" t="str">
        <f t="shared" si="1326"/>
        <v/>
      </c>
      <c r="S287" s="162" t="str">
        <f t="shared" si="1322"/>
        <v/>
      </c>
      <c r="T287" s="162" t="str">
        <f t="shared" si="1323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1"/>
        <v/>
      </c>
      <c r="W287" s="75"/>
      <c r="X287" s="882" t="str">
        <f t="shared" si="1327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888"/>
      <c r="J288" s="892"/>
      <c r="K288" s="877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879"/>
      <c r="O288" s="162" t="str">
        <f t="shared" si="1328"/>
        <v/>
      </c>
      <c r="P288" s="162" t="str">
        <f t="shared" si="1329"/>
        <v/>
      </c>
      <c r="Q288" s="162" t="str">
        <f t="shared" si="1330"/>
        <v/>
      </c>
      <c r="R288" s="162" t="str">
        <f t="shared" si="1326"/>
        <v/>
      </c>
      <c r="S288" s="162" t="str">
        <f t="shared" si="1322"/>
        <v/>
      </c>
      <c r="T288" s="162" t="str">
        <f t="shared" si="1323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1"/>
        <v/>
      </c>
      <c r="W288" s="75"/>
      <c r="X288" s="882" t="str">
        <f t="shared" si="1327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888"/>
      <c r="J289" s="892"/>
      <c r="K289" s="877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879"/>
      <c r="O289" s="162" t="str">
        <f t="shared" si="1328"/>
        <v/>
      </c>
      <c r="P289" s="162" t="str">
        <f t="shared" si="1329"/>
        <v/>
      </c>
      <c r="Q289" s="162" t="str">
        <f t="shared" si="1330"/>
        <v/>
      </c>
      <c r="R289" s="162" t="str">
        <f t="shared" si="1326"/>
        <v/>
      </c>
      <c r="S289" s="162" t="str">
        <f t="shared" si="1322"/>
        <v/>
      </c>
      <c r="T289" s="162" t="str">
        <f t="shared" si="1323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1"/>
        <v/>
      </c>
      <c r="W289" s="75"/>
      <c r="X289" s="882" t="str">
        <f t="shared" si="1327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888"/>
      <c r="J290" s="892"/>
      <c r="K290" s="877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879"/>
      <c r="O290" s="162" t="str">
        <f t="shared" si="1328"/>
        <v/>
      </c>
      <c r="P290" s="162" t="str">
        <f t="shared" si="1329"/>
        <v/>
      </c>
      <c r="Q290" s="162" t="str">
        <f t="shared" si="1330"/>
        <v/>
      </c>
      <c r="R290" s="162" t="str">
        <f t="shared" si="1326"/>
        <v/>
      </c>
      <c r="S290" s="162" t="str">
        <f t="shared" si="1322"/>
        <v/>
      </c>
      <c r="T290" s="162" t="str">
        <f t="shared" si="1323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1"/>
        <v/>
      </c>
      <c r="W290" s="75"/>
      <c r="X290" s="882" t="str">
        <f t="shared" si="1327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888"/>
      <c r="J291" s="892"/>
      <c r="K291" s="877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879"/>
      <c r="O291" s="162" t="str">
        <f t="shared" si="1328"/>
        <v/>
      </c>
      <c r="P291" s="162" t="str">
        <f t="shared" si="1329"/>
        <v/>
      </c>
      <c r="Q291" s="162" t="str">
        <f t="shared" si="1330"/>
        <v/>
      </c>
      <c r="R291" s="162" t="str">
        <f t="shared" si="1326"/>
        <v/>
      </c>
      <c r="S291" s="162" t="str">
        <f t="shared" si="1322"/>
        <v/>
      </c>
      <c r="T291" s="162" t="str">
        <f t="shared" si="1323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1"/>
        <v/>
      </c>
      <c r="W291" s="75"/>
      <c r="X291" s="882" t="str">
        <f t="shared" si="1327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888"/>
      <c r="J292" s="892"/>
      <c r="K292" s="877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879"/>
      <c r="O292" s="162" t="str">
        <f t="shared" ref="O292:O305" si="1332">IFERROR(INDEX(B$164:B$305,MATCH($W292,$J$164:$J$305,0)),"")</f>
        <v/>
      </c>
      <c r="P292" s="162" t="str">
        <f t="shared" ref="P292:P305" si="1333">IFERROR(INDEX(C$164:C$305,MATCH($W292,$J$164:$J$305,0)),"")</f>
        <v/>
      </c>
      <c r="Q292" s="162" t="str">
        <f t="shared" ref="Q292:Q305" si="1334">IFERROR(INDEX(D$164:D$305,MATCH($W292,$J$164:$J$305,0)),"")</f>
        <v/>
      </c>
      <c r="R292" s="162" t="str">
        <f t="shared" si="1326"/>
        <v/>
      </c>
      <c r="S292" s="162" t="str">
        <f t="shared" ref="S292:S305" si="1335">IFERROR(IF($L292="Y",-1*INDEX(F$164:F$305,MATCH($W292,$J$164:$J$305,0)),INDEX(F$164:F$305,MATCH($W292,$J$164:$J$305,0))),"")</f>
        <v/>
      </c>
      <c r="T292" s="162" t="str">
        <f t="shared" ref="T292:T305" si="133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7">IFERROR(INDEX(I$164:I$305,MATCH($W292,$J$164:$J$305,0)),"")</f>
        <v/>
      </c>
      <c r="W292" s="75"/>
      <c r="X292" s="882" t="str">
        <f t="shared" si="1327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888"/>
      <c r="J293" s="892"/>
      <c r="K293" s="877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879"/>
      <c r="O293" s="162" t="str">
        <f t="shared" si="1332"/>
        <v/>
      </c>
      <c r="P293" s="162" t="str">
        <f t="shared" si="1333"/>
        <v/>
      </c>
      <c r="Q293" s="162" t="str">
        <f t="shared" si="1334"/>
        <v/>
      </c>
      <c r="R293" s="162" t="str">
        <f t="shared" ref="R293:R305" si="1338">IFERROR(IF($L293="Y",-1*INDEX(E$164:E$305,MATCH($W293,$J$164:$J$305,0)),INDEX(E$164:E$305,MATCH($W293,$J$164:$J$305,0))),"")</f>
        <v/>
      </c>
      <c r="S293" s="162" t="str">
        <f t="shared" si="1335"/>
        <v/>
      </c>
      <c r="T293" s="162" t="str">
        <f t="shared" si="133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7"/>
        <v/>
      </c>
      <c r="W293" s="75"/>
      <c r="X293" s="882" t="str">
        <f t="shared" ref="X293:X305" si="133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888"/>
      <c r="J294" s="892"/>
      <c r="K294" s="877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879"/>
      <c r="O294" s="162" t="str">
        <f t="shared" si="1332"/>
        <v/>
      </c>
      <c r="P294" s="162" t="str">
        <f t="shared" si="1333"/>
        <v/>
      </c>
      <c r="Q294" s="162" t="str">
        <f t="shared" si="1334"/>
        <v/>
      </c>
      <c r="R294" s="162" t="str">
        <f t="shared" si="1338"/>
        <v/>
      </c>
      <c r="S294" s="162" t="str">
        <f t="shared" si="1335"/>
        <v/>
      </c>
      <c r="T294" s="162" t="str">
        <f t="shared" si="133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7"/>
        <v/>
      </c>
      <c r="W294" s="75"/>
      <c r="X294" s="882" t="str">
        <f t="shared" si="133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888"/>
      <c r="J295" s="892"/>
      <c r="K295" s="877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879"/>
      <c r="O295" s="162" t="str">
        <f t="shared" si="1332"/>
        <v/>
      </c>
      <c r="P295" s="162" t="str">
        <f t="shared" si="1333"/>
        <v/>
      </c>
      <c r="Q295" s="162" t="str">
        <f t="shared" si="1334"/>
        <v/>
      </c>
      <c r="R295" s="162" t="str">
        <f t="shared" si="1338"/>
        <v/>
      </c>
      <c r="S295" s="162" t="str">
        <f t="shared" si="1335"/>
        <v/>
      </c>
      <c r="T295" s="162" t="str">
        <f t="shared" si="133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7"/>
        <v/>
      </c>
      <c r="W295" s="75"/>
      <c r="X295" s="882" t="str">
        <f t="shared" si="133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888"/>
      <c r="J296" s="892"/>
      <c r="K296" s="877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879"/>
      <c r="O296" s="162" t="str">
        <f t="shared" si="1332"/>
        <v/>
      </c>
      <c r="P296" s="162" t="str">
        <f t="shared" si="1333"/>
        <v/>
      </c>
      <c r="Q296" s="162" t="str">
        <f t="shared" si="1334"/>
        <v/>
      </c>
      <c r="R296" s="162" t="str">
        <f t="shared" si="1338"/>
        <v/>
      </c>
      <c r="S296" s="162" t="str">
        <f t="shared" si="1335"/>
        <v/>
      </c>
      <c r="T296" s="162" t="str">
        <f t="shared" si="133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7"/>
        <v/>
      </c>
      <c r="W296" s="75"/>
      <c r="X296" s="882" t="str">
        <f t="shared" si="133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888"/>
      <c r="J297" s="892"/>
      <c r="K297" s="877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879"/>
      <c r="O297" s="162" t="str">
        <f t="shared" si="1332"/>
        <v/>
      </c>
      <c r="P297" s="162" t="str">
        <f t="shared" si="1333"/>
        <v/>
      </c>
      <c r="Q297" s="162" t="str">
        <f t="shared" si="1334"/>
        <v/>
      </c>
      <c r="R297" s="162" t="str">
        <f t="shared" si="1338"/>
        <v/>
      </c>
      <c r="S297" s="162" t="str">
        <f t="shared" si="1335"/>
        <v/>
      </c>
      <c r="T297" s="162" t="str">
        <f t="shared" si="133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7"/>
        <v/>
      </c>
      <c r="W297" s="75"/>
      <c r="X297" s="882" t="str">
        <f t="shared" si="133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888"/>
      <c r="J298" s="892"/>
      <c r="K298" s="877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879"/>
      <c r="O298" s="162" t="str">
        <f t="shared" si="1332"/>
        <v/>
      </c>
      <c r="P298" s="162" t="str">
        <f t="shared" si="1333"/>
        <v/>
      </c>
      <c r="Q298" s="162" t="str">
        <f t="shared" si="1334"/>
        <v/>
      </c>
      <c r="R298" s="162" t="str">
        <f t="shared" si="1338"/>
        <v/>
      </c>
      <c r="S298" s="162" t="str">
        <f t="shared" si="1335"/>
        <v/>
      </c>
      <c r="T298" s="162" t="str">
        <f t="shared" si="133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7"/>
        <v/>
      </c>
      <c r="W298" s="75"/>
      <c r="X298" s="882" t="str">
        <f t="shared" si="133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888"/>
      <c r="J299" s="892"/>
      <c r="K299" s="877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879"/>
      <c r="O299" s="162" t="str">
        <f t="shared" si="1332"/>
        <v/>
      </c>
      <c r="P299" s="162" t="str">
        <f t="shared" si="1333"/>
        <v/>
      </c>
      <c r="Q299" s="162" t="str">
        <f t="shared" si="1334"/>
        <v/>
      </c>
      <c r="R299" s="162" t="str">
        <f t="shared" si="1338"/>
        <v/>
      </c>
      <c r="S299" s="162" t="str">
        <f t="shared" si="1335"/>
        <v/>
      </c>
      <c r="T299" s="162" t="str">
        <f t="shared" si="133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7"/>
        <v/>
      </c>
      <c r="W299" s="75"/>
      <c r="X299" s="882" t="str">
        <f t="shared" si="133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888"/>
      <c r="J300" s="892"/>
      <c r="K300" s="877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879"/>
      <c r="O300" s="162" t="str">
        <f t="shared" si="1332"/>
        <v/>
      </c>
      <c r="P300" s="162" t="str">
        <f t="shared" si="1333"/>
        <v/>
      </c>
      <c r="Q300" s="162" t="str">
        <f t="shared" si="1334"/>
        <v/>
      </c>
      <c r="R300" s="162" t="str">
        <f t="shared" si="1338"/>
        <v/>
      </c>
      <c r="S300" s="162" t="str">
        <f t="shared" si="1335"/>
        <v/>
      </c>
      <c r="T300" s="162" t="str">
        <f t="shared" si="133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7"/>
        <v/>
      </c>
      <c r="W300" s="75"/>
      <c r="X300" s="882" t="str">
        <f t="shared" si="133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888"/>
      <c r="J301" s="892"/>
      <c r="K301" s="877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879"/>
      <c r="O301" s="162" t="str">
        <f t="shared" si="1332"/>
        <v/>
      </c>
      <c r="P301" s="162" t="str">
        <f t="shared" si="1333"/>
        <v/>
      </c>
      <c r="Q301" s="162" t="str">
        <f t="shared" si="1334"/>
        <v/>
      </c>
      <c r="R301" s="162" t="str">
        <f t="shared" si="1338"/>
        <v/>
      </c>
      <c r="S301" s="162" t="str">
        <f t="shared" si="1335"/>
        <v/>
      </c>
      <c r="T301" s="162" t="str">
        <f t="shared" si="133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7"/>
        <v/>
      </c>
      <c r="W301" s="75"/>
      <c r="X301" s="882" t="str">
        <f t="shared" si="133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888"/>
      <c r="J302" s="892"/>
      <c r="K302" s="877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879"/>
      <c r="O302" s="162" t="str">
        <f t="shared" si="1332"/>
        <v/>
      </c>
      <c r="P302" s="162" t="str">
        <f t="shared" si="1333"/>
        <v/>
      </c>
      <c r="Q302" s="162" t="str">
        <f t="shared" si="1334"/>
        <v/>
      </c>
      <c r="R302" s="162" t="str">
        <f t="shared" si="1338"/>
        <v/>
      </c>
      <c r="S302" s="162" t="str">
        <f t="shared" si="1335"/>
        <v/>
      </c>
      <c r="T302" s="162" t="str">
        <f t="shared" si="133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7"/>
        <v/>
      </c>
      <c r="W302" s="75"/>
      <c r="X302" s="882" t="str">
        <f t="shared" si="133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888"/>
      <c r="J303" s="892"/>
      <c r="K303" s="877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879"/>
      <c r="O303" s="162" t="str">
        <f t="shared" si="1332"/>
        <v/>
      </c>
      <c r="P303" s="162" t="str">
        <f t="shared" si="1333"/>
        <v/>
      </c>
      <c r="Q303" s="162" t="str">
        <f t="shared" si="1334"/>
        <v/>
      </c>
      <c r="R303" s="162" t="str">
        <f t="shared" si="1338"/>
        <v/>
      </c>
      <c r="S303" s="162" t="str">
        <f t="shared" si="1335"/>
        <v/>
      </c>
      <c r="T303" s="162" t="str">
        <f t="shared" si="133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7"/>
        <v/>
      </c>
      <c r="W303" s="75"/>
      <c r="X303" s="882" t="str">
        <f t="shared" si="133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888"/>
      <c r="J304" s="892"/>
      <c r="K304" s="877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879"/>
      <c r="O304" s="162" t="str">
        <f t="shared" si="1332"/>
        <v/>
      </c>
      <c r="P304" s="162" t="str">
        <f t="shared" si="1333"/>
        <v/>
      </c>
      <c r="Q304" s="162" t="str">
        <f t="shared" si="1334"/>
        <v/>
      </c>
      <c r="R304" s="162" t="str">
        <f t="shared" si="1338"/>
        <v/>
      </c>
      <c r="S304" s="162" t="str">
        <f t="shared" si="1335"/>
        <v/>
      </c>
      <c r="T304" s="162" t="str">
        <f t="shared" si="133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7"/>
        <v/>
      </c>
      <c r="W304" s="75"/>
      <c r="X304" s="882" t="str">
        <f t="shared" si="133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889"/>
      <c r="J305" s="893"/>
      <c r="K305" s="878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884"/>
      <c r="O305" s="162" t="str">
        <f t="shared" si="1332"/>
        <v/>
      </c>
      <c r="P305" s="162" t="str">
        <f t="shared" si="1333"/>
        <v/>
      </c>
      <c r="Q305" s="162" t="str">
        <f t="shared" si="1334"/>
        <v/>
      </c>
      <c r="R305" s="162" t="str">
        <f t="shared" si="1338"/>
        <v/>
      </c>
      <c r="S305" s="162" t="str">
        <f t="shared" si="1335"/>
        <v/>
      </c>
      <c r="T305" s="162" t="str">
        <f t="shared" si="133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7"/>
        <v/>
      </c>
      <c r="W305" s="75"/>
      <c r="X305" s="882" t="str">
        <f t="shared" si="133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5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EC5:ED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O7:HP7"/>
    <mergeCell ref="HN6:HR6"/>
    <mergeCell ref="HA6:HD6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HW2:IE2"/>
    <mergeCell ref="HW4:IE4"/>
    <mergeCell ref="HY5:IB5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S4:EY4"/>
    <mergeCell ref="EV5:EY5"/>
    <mergeCell ref="ES5:EU6"/>
    <mergeCell ref="EZ4:FF4"/>
    <mergeCell ref="EW6:EY6"/>
    <mergeCell ref="FD6:FF6"/>
    <mergeCell ref="FJ6:FJ7"/>
    <mergeCell ref="HS5:HV6"/>
    <mergeCell ref="IF23:IF24"/>
    <mergeCell ref="IF48:IF49"/>
    <mergeCell ref="B162:D162"/>
    <mergeCell ref="E162:G162"/>
    <mergeCell ref="H162:J162"/>
    <mergeCell ref="B157:M159"/>
    <mergeCell ref="B160:M161"/>
    <mergeCell ref="L162:M162"/>
    <mergeCell ref="FG6:FI6"/>
    <mergeCell ref="FK6:FM6"/>
    <mergeCell ref="FA5:FC6"/>
    <mergeCell ref="FD5:FF5"/>
    <mergeCell ref="GF6:GF7"/>
    <mergeCell ref="EZ5:EZ7"/>
    <mergeCell ref="FO6:FO7"/>
    <mergeCell ref="FZ6:FZ7"/>
    <mergeCell ref="CY6:DA6"/>
    <mergeCell ref="FN6:FN7"/>
    <mergeCell ref="EP6:ER6"/>
    <mergeCell ref="CI5:CN5"/>
    <mergeCell ref="CF5:CH5"/>
    <mergeCell ref="T5:V5"/>
    <mergeCell ref="AK6:AM6"/>
  </mergeCells>
  <conditionalFormatting sqref="HI9:HI40 HL9:HL40 AV9:AV40 AV54:AV150 HL54:HL150 HI54:HI150 M9:M150">
    <cfRule type="cellIs" dxfId="41" priority="163" stopIfTrue="1" operator="between">
      <formula>9</formula>
      <formula>9.99</formula>
    </cfRule>
    <cfRule type="cellIs" dxfId="40" priority="164" stopIfTrue="1" operator="between">
      <formula>8</formula>
      <formula>8.99</formula>
    </cfRule>
    <cfRule type="cellIs" dxfId="39" priority="165" stopIfTrue="1" operator="between">
      <formula>7</formula>
      <formula>7.99</formula>
    </cfRule>
    <cfRule type="cellIs" dxfId="38" priority="166" stopIfTrue="1" operator="between">
      <formula>6</formula>
      <formula>6.99</formula>
    </cfRule>
    <cfRule type="cellIs" dxfId="37" priority="167" stopIfTrue="1" operator="between">
      <formula>5</formula>
      <formula>5.99</formula>
    </cfRule>
    <cfRule type="cellIs" dxfId="36" priority="168" stopIfTrue="1" operator="between">
      <formula>4</formula>
      <formula>4.99</formula>
    </cfRule>
    <cfRule type="cellIs" dxfId="35" priority="169" stopIfTrue="1" operator="between">
      <formula>3</formula>
      <formula>3.99</formula>
    </cfRule>
    <cfRule type="cellIs" dxfId="34" priority="170" stopIfTrue="1" operator="between">
      <formula>2</formula>
      <formula>2.99</formula>
    </cfRule>
    <cfRule type="cellIs" dxfId="33" priority="171" stopIfTrue="1" operator="between">
      <formula>1</formula>
      <formula>1.99</formula>
    </cfRule>
  </conditionalFormatting>
  <conditionalFormatting sqref="HI41:HI53 HL41:HL53 AV41:AV53">
    <cfRule type="cellIs" dxfId="32" priority="49" stopIfTrue="1" operator="between">
      <formula>9</formula>
      <formula>9.99</formula>
    </cfRule>
    <cfRule type="cellIs" dxfId="31" priority="50" stopIfTrue="1" operator="between">
      <formula>8</formula>
      <formula>8.99</formula>
    </cfRule>
    <cfRule type="cellIs" dxfId="30" priority="51" stopIfTrue="1" operator="between">
      <formula>7</formula>
      <formula>7.99</formula>
    </cfRule>
    <cfRule type="cellIs" dxfId="29" priority="52" stopIfTrue="1" operator="between">
      <formula>6</formula>
      <formula>6.99</formula>
    </cfRule>
    <cfRule type="cellIs" dxfId="28" priority="53" stopIfTrue="1" operator="between">
      <formula>5</formula>
      <formula>5.99</formula>
    </cfRule>
    <cfRule type="cellIs" dxfId="27" priority="54" stopIfTrue="1" operator="between">
      <formula>4</formula>
      <formula>4.99</formula>
    </cfRule>
    <cfRule type="cellIs" dxfId="26" priority="55" stopIfTrue="1" operator="between">
      <formula>3</formula>
      <formula>3.99</formula>
    </cfRule>
    <cfRule type="cellIs" dxfId="25" priority="56" stopIfTrue="1" operator="between">
      <formula>2</formula>
      <formula>2.99</formula>
    </cfRule>
    <cfRule type="cellIs" dxfId="24" priority="57" stopIfTrue="1" operator="between">
      <formula>1</formula>
      <formula>1.99</formula>
    </cfRule>
  </conditionalFormatting>
  <conditionalFormatting sqref="L5">
    <cfRule type="cellIs" dxfId="23" priority="29" operator="equal">
      <formula>"Wrong CS"</formula>
    </cfRule>
  </conditionalFormatting>
  <conditionalFormatting sqref="HM9:HM15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N9:HN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17" scale="87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0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5" t="str">
        <f>CONCATENATE(Settings!$C$19," ",Settings!$B$28)</f>
        <v>9.875 2095r02</v>
      </c>
      <c r="D1" s="1305"/>
      <c r="E1" s="1305"/>
      <c r="F1" s="1305"/>
      <c r="G1" s="1305"/>
      <c r="H1" s="1305"/>
      <c r="I1" s="1305"/>
      <c r="J1" s="1305"/>
      <c r="K1" s="1305"/>
      <c r="M1" s="103" t="s">
        <v>310</v>
      </c>
      <c r="N1" s="1377" t="s">
        <v>312</v>
      </c>
      <c r="O1" s="1377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6" t="str">
        <f>Settings!B28</f>
        <v>2095r02</v>
      </c>
      <c r="C2" s="1387"/>
      <c r="D2" s="1387"/>
      <c r="E2" s="1387"/>
      <c r="F2" s="1387"/>
      <c r="G2" s="1387"/>
      <c r="H2" s="1387"/>
      <c r="I2" s="1387"/>
      <c r="J2" s="1387"/>
      <c r="K2" s="1388"/>
      <c r="L2" s="1149" t="str" cm="1">
        <f t="array" ref="L2">IF(OR($K$9:$K$150="Undefined"),"Undefined Element","")</f>
        <v/>
      </c>
      <c r="M2" s="1383" t="s">
        <v>0</v>
      </c>
      <c r="N2" s="1267" t="s">
        <v>1</v>
      </c>
      <c r="O2" s="1268"/>
      <c r="P2" s="1268"/>
      <c r="Q2" s="1268"/>
      <c r="R2" s="1268"/>
      <c r="S2" s="1268"/>
      <c r="T2" s="1268"/>
      <c r="U2" s="1268"/>
      <c r="V2" s="1268"/>
      <c r="W2" s="1268"/>
      <c r="X2" s="1268"/>
      <c r="Y2" s="1280"/>
      <c r="Z2" s="1267" t="s">
        <v>2</v>
      </c>
      <c r="AA2" s="1268"/>
      <c r="AB2" s="1268"/>
      <c r="AC2" s="1268"/>
      <c r="AD2" s="1268"/>
      <c r="AE2" s="1268"/>
      <c r="AF2" s="1268"/>
      <c r="AG2" s="1268"/>
      <c r="AH2" s="1268"/>
      <c r="AI2" s="1268"/>
      <c r="AJ2" s="1268"/>
      <c r="AK2" s="1268"/>
      <c r="AL2" s="1268"/>
      <c r="AM2" s="1268"/>
      <c r="AN2" s="1268"/>
      <c r="AO2" s="1268"/>
      <c r="AP2" s="1268"/>
      <c r="AQ2" s="1269"/>
      <c r="AS2" s="1100" t="s">
        <v>44</v>
      </c>
      <c r="AT2" s="1102"/>
      <c r="AV2" s="1399" t="str">
        <f>M2</f>
        <v>CS-Name</v>
      </c>
      <c r="AW2" s="1082"/>
      <c r="AX2" s="1082"/>
      <c r="AY2" s="1082"/>
      <c r="AZ2" s="1082"/>
      <c r="BA2" s="1082"/>
      <c r="BB2" s="1082"/>
      <c r="BC2" s="1083"/>
      <c r="BF2" s="1406" t="s">
        <v>313</v>
      </c>
      <c r="BG2" s="1407"/>
      <c r="BH2" s="1407"/>
      <c r="BI2" s="1407"/>
      <c r="BJ2" s="1407"/>
      <c r="BK2" s="1408"/>
      <c r="BM2" s="1419" t="s">
        <v>270</v>
      </c>
      <c r="BN2" s="1349"/>
      <c r="BO2" s="1349"/>
      <c r="BP2" s="1350"/>
      <c r="BR2" s="1419" t="s">
        <v>270</v>
      </c>
      <c r="BS2" s="1349"/>
      <c r="BT2" s="1349"/>
      <c r="BU2" s="135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07"/>
      <c r="C3" s="1308"/>
      <c r="D3" s="1308"/>
      <c r="E3" s="1308"/>
      <c r="F3" s="1308"/>
      <c r="G3" s="1308"/>
      <c r="H3" s="1308"/>
      <c r="I3" s="1308"/>
      <c r="J3" s="1308"/>
      <c r="K3" s="1309"/>
      <c r="L3" s="1149"/>
      <c r="M3" s="1384"/>
      <c r="N3" s="1270"/>
      <c r="O3" s="1271"/>
      <c r="P3" s="1271"/>
      <c r="Q3" s="1271"/>
      <c r="R3" s="1271"/>
      <c r="S3" s="1271"/>
      <c r="T3" s="1271"/>
      <c r="U3" s="1271"/>
      <c r="V3" s="1271"/>
      <c r="W3" s="1271"/>
      <c r="X3" s="1271"/>
      <c r="Y3" s="1364"/>
      <c r="Z3" s="1132"/>
      <c r="AA3" s="1133"/>
      <c r="AB3" s="1133"/>
      <c r="AC3" s="1133"/>
      <c r="AD3" s="1133"/>
      <c r="AE3" s="1133"/>
      <c r="AF3" s="1133"/>
      <c r="AG3" s="1133"/>
      <c r="AH3" s="1133"/>
      <c r="AI3" s="1133"/>
      <c r="AJ3" s="1133"/>
      <c r="AK3" s="1133"/>
      <c r="AL3" s="1133"/>
      <c r="AM3" s="1133"/>
      <c r="AN3" s="1133"/>
      <c r="AO3" s="1133"/>
      <c r="AP3" s="1133"/>
      <c r="AQ3" s="1288"/>
      <c r="AS3" s="415">
        <v>100</v>
      </c>
      <c r="AT3" s="412" t="s">
        <v>45</v>
      </c>
      <c r="AV3" s="1400"/>
      <c r="AW3" s="1088"/>
      <c r="AX3" s="1088"/>
      <c r="AY3" s="1088"/>
      <c r="AZ3" s="1088"/>
      <c r="BA3" s="1088"/>
      <c r="BB3" s="1088"/>
      <c r="BC3" s="1089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73" t="s">
        <v>307</v>
      </c>
      <c r="C4" s="1007"/>
      <c r="D4" s="1007"/>
      <c r="E4" s="1007"/>
      <c r="F4" s="1007"/>
      <c r="G4" s="1007"/>
      <c r="H4" s="1007"/>
      <c r="I4" s="1007"/>
      <c r="J4" s="1007"/>
      <c r="K4" s="1389"/>
      <c r="L4" s="1149"/>
      <c r="M4" s="1384"/>
      <c r="N4" s="1322" t="s">
        <v>3</v>
      </c>
      <c r="O4" s="1319"/>
      <c r="P4" s="1319"/>
      <c r="Q4" s="1318" t="s">
        <v>4</v>
      </c>
      <c r="R4" s="1319"/>
      <c r="S4" s="1337"/>
      <c r="T4" s="1331" t="str">
        <f>N4</f>
        <v>Cartesian Coordinates</v>
      </c>
      <c r="U4" s="1292"/>
      <c r="V4" s="1332"/>
      <c r="W4" s="1292" t="str">
        <f>Q4</f>
        <v>Polar XY; Cartesian Z</v>
      </c>
      <c r="X4" s="1292"/>
      <c r="Y4" s="1306"/>
      <c r="Z4" s="1379" t="s">
        <v>3</v>
      </c>
      <c r="AA4" s="1380"/>
      <c r="AB4" s="1380"/>
      <c r="AC4" s="1380"/>
      <c r="AD4" s="1380"/>
      <c r="AE4" s="1380"/>
      <c r="AF4" s="1380"/>
      <c r="AG4" s="1415" t="s">
        <v>31</v>
      </c>
      <c r="AH4" s="1380"/>
      <c r="AI4" s="1380"/>
      <c r="AJ4" s="1416"/>
      <c r="AK4" s="1422" t="s">
        <v>32</v>
      </c>
      <c r="AL4" s="1423"/>
      <c r="AM4" s="1423"/>
      <c r="AN4" s="1423"/>
      <c r="AO4" s="1423"/>
      <c r="AP4" s="1423"/>
      <c r="AQ4" s="1424"/>
      <c r="AS4" s="416">
        <v>0</v>
      </c>
      <c r="AT4" s="413" t="s">
        <v>46</v>
      </c>
      <c r="AV4" s="1400"/>
      <c r="AW4" s="1413"/>
      <c r="AX4" s="1413"/>
      <c r="AY4" s="1413"/>
      <c r="AZ4" s="1414"/>
      <c r="BA4" s="1413" t="str">
        <f>Z2</f>
        <v>PDC Orientation</v>
      </c>
      <c r="BB4" s="1413"/>
      <c r="BC4" s="1414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4" t="s">
        <v>372</v>
      </c>
      <c r="IF4" s="994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07" t="str">
        <f>CONCATENATE(B7," ; ",E7," ; ",H8)</f>
        <v>Absolute-Point ; Incremental-Vector Point ; Radius</v>
      </c>
      <c r="C5" s="1308"/>
      <c r="D5" s="1308"/>
      <c r="E5" s="1308"/>
      <c r="F5" s="1308"/>
      <c r="G5" s="1308"/>
      <c r="H5" s="1308"/>
      <c r="I5" s="1308"/>
      <c r="J5" s="1308"/>
      <c r="K5" s="1309"/>
      <c r="L5" s="812" t="str" cm="1">
        <f t="array" ref="L5">IF(OR(IF(LEFT($K$9:$K$150,4)="&lt;&gt;CS",TRUE,FALSE)),"Wrong CS","")</f>
        <v/>
      </c>
      <c r="M5" s="1384"/>
      <c r="N5" s="1342" t="s">
        <v>5</v>
      </c>
      <c r="O5" s="1277"/>
      <c r="P5" s="1277"/>
      <c r="Q5" s="1345" t="s">
        <v>6</v>
      </c>
      <c r="R5" s="1277"/>
      <c r="S5" s="1278"/>
      <c r="T5" s="1261" t="str">
        <f>CONCATENATE("Relative to ",M8,"'s θ &amp; Z; Z Axis")</f>
        <v>Relative to 's θ &amp; Z; Z Axis</v>
      </c>
      <c r="U5" s="1262"/>
      <c r="V5" s="1263"/>
      <c r="W5" s="1262" t="str">
        <f>CONCATENATE("Relative to ",M8,"'s θ &amp; Z; Z Axis")</f>
        <v>Relative to 's θ &amp; Z; Z Axis</v>
      </c>
      <c r="X5" s="1262"/>
      <c r="Y5" s="1333"/>
      <c r="Z5" s="1323" t="str">
        <f>N5</f>
        <v>Relative to World_CS</v>
      </c>
      <c r="AA5" s="1262"/>
      <c r="AB5" s="1262"/>
      <c r="AC5" s="1262"/>
      <c r="AD5" s="1262"/>
      <c r="AE5" s="1262"/>
      <c r="AF5" s="1262"/>
      <c r="AG5" s="1261" t="str">
        <f>N5</f>
        <v>Relative to World_CS</v>
      </c>
      <c r="AH5" s="1262"/>
      <c r="AI5" s="1262"/>
      <c r="AJ5" s="1299"/>
      <c r="AK5" s="1276" t="s">
        <v>7</v>
      </c>
      <c r="AL5" s="1277"/>
      <c r="AM5" s="1277"/>
      <c r="AN5" s="1277"/>
      <c r="AO5" s="1277"/>
      <c r="AP5" s="1277"/>
      <c r="AQ5" s="1278"/>
      <c r="AS5" s="167">
        <f>(((AS4*12)/60)/AS3)</f>
        <v>0</v>
      </c>
      <c r="AT5" s="413" t="s">
        <v>47</v>
      </c>
      <c r="AV5" s="1400"/>
      <c r="AW5" s="1331" t="str">
        <f>W4</f>
        <v>Polar XY; Cartesian Z</v>
      </c>
      <c r="AX5" s="1292"/>
      <c r="AY5" s="1292"/>
      <c r="AZ5" s="1150" t="s">
        <v>104</v>
      </c>
      <c r="BA5" s="1292" t="str">
        <f>AK4</f>
        <v>Polar Z Projection → XZ Plane</v>
      </c>
      <c r="BB5" s="1292"/>
      <c r="BC5" s="1293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3"/>
      <c r="C6" s="1094"/>
      <c r="D6" s="1094"/>
      <c r="E6" s="1094"/>
      <c r="F6" s="1094"/>
      <c r="G6" s="1094"/>
      <c r="H6" s="1094"/>
      <c r="I6" s="1094"/>
      <c r="J6" s="1094"/>
      <c r="K6" s="1095"/>
      <c r="L6" s="1149" t="str" cm="1">
        <f t="array" ref="L6">IF(OR($K$9:$K$150="Inactive"),"Inactive Element","")</f>
        <v/>
      </c>
      <c r="M6" s="1384"/>
      <c r="N6" s="1338" t="s">
        <v>8</v>
      </c>
      <c r="O6" s="1340" t="s">
        <v>9</v>
      </c>
      <c r="P6" s="1343" t="s">
        <v>10</v>
      </c>
      <c r="Q6" s="1355" t="s">
        <v>11</v>
      </c>
      <c r="R6" s="1356"/>
      <c r="S6" s="1334" t="s">
        <v>10</v>
      </c>
      <c r="T6" s="1373" t="str">
        <f>N6</f>
        <v>X</v>
      </c>
      <c r="U6" s="1375" t="str">
        <f>O6</f>
        <v>Y</v>
      </c>
      <c r="V6" s="1329" t="str">
        <f>P6</f>
        <v>Z</v>
      </c>
      <c r="W6" s="1294" t="str">
        <f>Q6</f>
        <v>Projected XY</v>
      </c>
      <c r="X6" s="1295"/>
      <c r="Y6" s="1371" t="str">
        <f>S6</f>
        <v>Z</v>
      </c>
      <c r="Z6" s="1360" t="s">
        <v>12</v>
      </c>
      <c r="AA6" s="1313"/>
      <c r="AB6" s="1313"/>
      <c r="AC6" s="1361"/>
      <c r="AD6" s="1318" t="s">
        <v>13</v>
      </c>
      <c r="AE6" s="1319"/>
      <c r="AF6" s="1319"/>
      <c r="AG6" s="1359" t="s">
        <v>7</v>
      </c>
      <c r="AH6" s="1319"/>
      <c r="AI6" s="1318" t="s">
        <v>14</v>
      </c>
      <c r="AJ6" s="1337"/>
      <c r="AK6" s="1331" t="str">
        <f>AD6</f>
        <v>Unit Vector</v>
      </c>
      <c r="AL6" s="1292"/>
      <c r="AM6" s="1293"/>
      <c r="AN6" s="34" t="s">
        <v>15</v>
      </c>
      <c r="AO6" s="35" t="s">
        <v>16</v>
      </c>
      <c r="AP6" s="680" t="s">
        <v>17</v>
      </c>
      <c r="AQ6" s="1381" t="s">
        <v>108</v>
      </c>
      <c r="AS6" s="168">
        <f>(AS5/360)</f>
        <v>0</v>
      </c>
      <c r="AT6" s="414" t="s">
        <v>48</v>
      </c>
      <c r="AV6" s="1400"/>
      <c r="AW6" s="1261" t="str">
        <f>W5</f>
        <v>Relative to 's θ &amp; Z; Z Axis</v>
      </c>
      <c r="AX6" s="1262"/>
      <c r="AY6" s="1262"/>
      <c r="AZ6" s="1396"/>
      <c r="BA6" s="1262" t="str">
        <f>AK5</f>
        <v>Vector Along X Axis</v>
      </c>
      <c r="BB6" s="1262"/>
      <c r="BC6" s="1299"/>
      <c r="BD6" s="417"/>
      <c r="BF6" s="410">
        <f>SUM(AZ9:AZ150)</f>
        <v>0</v>
      </c>
      <c r="BG6" s="1378" t="s">
        <v>309</v>
      </c>
      <c r="BH6" s="1378"/>
      <c r="BI6" s="1378"/>
      <c r="BJ6" s="1378"/>
      <c r="BK6" s="137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3"/>
      <c r="IF6" s="793"/>
      <c r="IG6" s="31"/>
    </row>
    <row r="7" spans="1:265" ht="15" customHeight="1" thickBot="1" x14ac:dyDescent="0.3">
      <c r="B7" s="1324" t="s">
        <v>40</v>
      </c>
      <c r="C7" s="1325"/>
      <c r="D7" s="1326"/>
      <c r="E7" s="1327" t="s">
        <v>41</v>
      </c>
      <c r="F7" s="1325"/>
      <c r="G7" s="1328"/>
      <c r="H7" s="974" t="s">
        <v>305</v>
      </c>
      <c r="I7" s="972"/>
      <c r="J7" s="973"/>
      <c r="K7" s="488"/>
      <c r="L7" s="1149"/>
      <c r="M7" s="1385"/>
      <c r="N7" s="1339"/>
      <c r="O7" s="1341"/>
      <c r="P7" s="1344"/>
      <c r="Q7" s="36" t="s">
        <v>18</v>
      </c>
      <c r="R7" s="2" t="s">
        <v>19</v>
      </c>
      <c r="S7" s="1335"/>
      <c r="T7" s="1374"/>
      <c r="U7" s="1376"/>
      <c r="V7" s="1330"/>
      <c r="W7" s="37" t="str">
        <f>Q7</f>
        <v>&lt; θ°</v>
      </c>
      <c r="X7" s="27" t="str">
        <f>R7</f>
        <v>r</v>
      </c>
      <c r="Y7" s="1372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2"/>
      <c r="AS7" s="1417" t="s">
        <v>54</v>
      </c>
      <c r="AT7" s="1420" t="s">
        <v>53</v>
      </c>
      <c r="AV7" s="1400"/>
      <c r="AW7" s="1395" t="str">
        <f>$W$6</f>
        <v>Projected XY</v>
      </c>
      <c r="AX7" s="1295"/>
      <c r="AY7" s="1397" t="str">
        <f>$Y$6</f>
        <v>Z</v>
      </c>
      <c r="AZ7" s="1396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8"/>
      <c r="BH7" s="1378"/>
      <c r="BI7" s="1378"/>
      <c r="BJ7" s="1378"/>
      <c r="BK7" s="137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4" t="s">
        <v>359</v>
      </c>
      <c r="IF7" s="319" t="s">
        <v>377</v>
      </c>
      <c r="IG7" s="980" t="s">
        <v>33</v>
      </c>
      <c r="IH7" s="1192" t="s">
        <v>376</v>
      </c>
      <c r="II7" s="976" t="s">
        <v>324</v>
      </c>
      <c r="IJ7" s="977"/>
      <c r="IK7" s="977"/>
      <c r="IL7" s="972"/>
      <c r="IM7" s="972"/>
      <c r="IN7" s="972"/>
      <c r="IO7" s="973"/>
      <c r="IP7" s="974" t="s">
        <v>320</v>
      </c>
      <c r="IQ7" s="972"/>
      <c r="IR7" s="972"/>
      <c r="IS7" s="972"/>
      <c r="IT7" s="972"/>
      <c r="IU7" s="974" t="s">
        <v>319</v>
      </c>
      <c r="IV7" s="972"/>
      <c r="IW7" s="972"/>
      <c r="IX7" s="972"/>
      <c r="IY7" s="973"/>
      <c r="JA7" s="725"/>
      <c r="JB7" s="1425" t="s">
        <v>355</v>
      </c>
      <c r="JC7" s="1346"/>
      <c r="JD7" s="1346"/>
      <c r="JE7" s="134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49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8"/>
      <c r="AT8" s="1421"/>
      <c r="AV8" s="1401"/>
      <c r="AW8" s="46" t="str">
        <f>$W$7</f>
        <v>&lt; θ°</v>
      </c>
      <c r="AX8" s="27" t="str">
        <f>$X$7</f>
        <v>r</v>
      </c>
      <c r="AY8" s="1398"/>
      <c r="AZ8" s="115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2">
        <v>0.75</v>
      </c>
      <c r="IF8" s="798">
        <v>-0.06</v>
      </c>
      <c r="IG8" s="1194"/>
      <c r="IH8" s="1193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4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1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6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0" t="str">
        <f>IF(ISNUMBER($II9),INDEX($K$9:$K$150,MATCH($II9,$M$9:$M$150,0)),$K9)</f>
        <v/>
      </c>
      <c r="IK9" s="780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5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89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7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5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89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7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5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89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7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5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89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7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5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89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7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5" t="str">
        <f t="shared" si="66"/>
        <v/>
      </c>
      <c r="L15" s="813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89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7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5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89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7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5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89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7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5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89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7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5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89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7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48" t="s">
        <v>356</v>
      </c>
      <c r="JC19" s="1349"/>
      <c r="JD19" s="1349"/>
      <c r="JE19" s="1349"/>
      <c r="JF19" s="1349"/>
      <c r="JG19" s="1349"/>
      <c r="JH19" s="1349"/>
      <c r="JI19" s="135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5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89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7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1" t="s">
        <v>360</v>
      </c>
      <c r="JC20" s="1352"/>
      <c r="JD20" s="1352"/>
      <c r="JE20" s="1352"/>
      <c r="JF20" s="1144" t="s">
        <v>361</v>
      </c>
      <c r="JG20" s="1145"/>
      <c r="JH20" s="1145"/>
      <c r="JI20" s="1146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5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89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7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4"/>
      <c r="JC21" s="1215"/>
      <c r="JD21" s="1215"/>
      <c r="JE21" s="1215"/>
      <c r="JF21" s="1147" t="s">
        <v>349</v>
      </c>
      <c r="JG21" s="1148"/>
      <c r="JH21" s="1353" t="s">
        <v>362</v>
      </c>
      <c r="JI21" s="135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5" t="str">
        <f t="shared" si="66"/>
        <v/>
      </c>
      <c r="L22" s="813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89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7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0" t="s">
        <v>379</v>
      </c>
      <c r="JC22" s="361" t="s">
        <v>350</v>
      </c>
      <c r="JD22" s="361" t="s">
        <v>353</v>
      </c>
      <c r="JE22" s="333" t="s">
        <v>102</v>
      </c>
      <c r="JF22" s="801" t="str" cm="1">
        <f t="array" ref="JF22">IFERROR(TRANSPOSE(_xlfn._xlws.SORT(_xlfn.UNIQUE(_xlfn._xlws.FILTER($IE$9:$IE$150,$IE$9:$IE$150&lt;&gt;"")),,1)),"")</f>
        <v/>
      </c>
      <c r="JG22" s="802"/>
      <c r="JH22" s="803" t="str" cm="1">
        <f t="array" ref="JH22">IFERROR(TRANSPOSE(_xlfn._xlws.SORT(_xlfn.UNIQUE(_xlfn._xlws.FILTER($IE$9:$IE$150,$IE$9:$IE$150&lt;&gt;"")),,1)),"")</f>
        <v/>
      </c>
      <c r="JI22" s="802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5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89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7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5" t="str" cm="1">
        <f t="array" ref="JA23">IFERROR(_xlfn._xlws.SORT(_xlfn.UNIQUE(_xlfn._xlws.FILTER($IK$9:$IK$150,$IK$9:$IK$150&lt;&gt;"")),,1),"")</f>
        <v/>
      </c>
      <c r="JB23" s="799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5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89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7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5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89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7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5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89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7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5" t="str">
        <f t="shared" si="66"/>
        <v/>
      </c>
      <c r="L27" s="783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89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7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5" t="str">
        <f t="shared" si="66"/>
        <v/>
      </c>
      <c r="L28" s="783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89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7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7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5" t="str">
        <f t="shared" si="66"/>
        <v/>
      </c>
      <c r="L29" s="783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89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7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5" t="str">
        <f t="shared" si="66"/>
        <v/>
      </c>
      <c r="L30" s="783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89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7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5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89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7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5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89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7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5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89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7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5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89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7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5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89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7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5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89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7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5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89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7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5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89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7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5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89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7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5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89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7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5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89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7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5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89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7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5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89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7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5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89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7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5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89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7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5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89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7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5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89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7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5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89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7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5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89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7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5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89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7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5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89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7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5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89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7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5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89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7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5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89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7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5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89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7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5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89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7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5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89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7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5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89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7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5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89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7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5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89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7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5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89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7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5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89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7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5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89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7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5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89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7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5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89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7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5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89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7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5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89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7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5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89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7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5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89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7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5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89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7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5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89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7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5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89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7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5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89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7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5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89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7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5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89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7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5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89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7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5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89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7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5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89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7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5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89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7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5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89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7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5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89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7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5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89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7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5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89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7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5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89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7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5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89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7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5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89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7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5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89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7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5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89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7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5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89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7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5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89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7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5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89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7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5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89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7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5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89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7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5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89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7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5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89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7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5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89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7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5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89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7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5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89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7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5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89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7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5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89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7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5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89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7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5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89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7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5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89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7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5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89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7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5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89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7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5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89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7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5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89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7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5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89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7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5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89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7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5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89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7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5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89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7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5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89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7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5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89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7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5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89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7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5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89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7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5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89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7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5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89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7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5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89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7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5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89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7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5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89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7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5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89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7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5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89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7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5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89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7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5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89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7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5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89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7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5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89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7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5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89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7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5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89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7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5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89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7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6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89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7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6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89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7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6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89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7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6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89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7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6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89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7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6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89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7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6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89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7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6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89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7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6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89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7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6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89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7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6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89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7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6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89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7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6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89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7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6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89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7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6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89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7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6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89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7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6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89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7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6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89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7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6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89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7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6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89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7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7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0" t="str">
        <f>IFERROR(IF($IU150="","",IF($IU150&lt;(((Settings!$C$19/2)*-1)*$IE$8),"Taper","Nose")),"")</f>
        <v/>
      </c>
      <c r="IF150" s="781" t="str">
        <f>IFERROR(IF((((($IW150*COS(RADIANS(180-$IY150)))*COS(RADIANS($IY150)))-(($IX150*SIN(RADIANS(180-$IY150)))*SIN(RADIANS($IY150))))+$IU150)&lt;(((Settings!$C$19+$IF$8)/2)*-1),"Gage",""),"")</f>
        <v/>
      </c>
      <c r="IG150" s="788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1" t="str">
        <f t="shared" si="225"/>
        <v/>
      </c>
      <c r="IK150" s="781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3" t="str">
        <f>$W$6</f>
        <v>Projected XY</v>
      </c>
      <c r="AX152" s="1394"/>
      <c r="AY152" s="1411" t="str">
        <f>$Y$6</f>
        <v>Z</v>
      </c>
      <c r="AZ152" s="1409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2"/>
      <c r="AZ153" s="1410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1" t="s">
        <v>42</v>
      </c>
      <c r="C157" s="1310"/>
      <c r="D157" s="1310"/>
      <c r="E157" s="1310"/>
      <c r="F157" s="1310"/>
      <c r="G157" s="1310"/>
      <c r="H157" s="1310"/>
      <c r="I157" s="1310"/>
      <c r="J157" s="1310"/>
      <c r="K157" s="131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2"/>
      <c r="C158" s="1313"/>
      <c r="D158" s="1313"/>
      <c r="E158" s="1313"/>
      <c r="F158" s="1313"/>
      <c r="G158" s="1313"/>
      <c r="H158" s="1313"/>
      <c r="I158" s="1313"/>
      <c r="J158" s="1313"/>
      <c r="K158" s="131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5"/>
      <c r="C159" s="1316"/>
      <c r="D159" s="1316"/>
      <c r="E159" s="1316"/>
      <c r="F159" s="1316"/>
      <c r="G159" s="1316"/>
      <c r="H159" s="1316"/>
      <c r="I159" s="1316"/>
      <c r="J159" s="1316"/>
      <c r="K159" s="1317"/>
      <c r="AQ159" s="162"/>
      <c r="BD159" s="417"/>
    </row>
    <row r="160" spans="1:259" ht="15" customHeight="1" x14ac:dyDescent="0.25">
      <c r="B160" s="1307" t="str">
        <f>CONCATENATE(B162," ; ",E162," ; ",H163)</f>
        <v>Absolute-Point ; Incremental-Vector Point ; Radius</v>
      </c>
      <c r="C160" s="1308"/>
      <c r="D160" s="1308"/>
      <c r="E160" s="1308"/>
      <c r="F160" s="1308"/>
      <c r="G160" s="1308"/>
      <c r="H160" s="1308"/>
      <c r="I160" s="1308"/>
      <c r="J160" s="1308"/>
      <c r="K160" s="1309"/>
      <c r="AQ160" s="162"/>
      <c r="BD160" s="417"/>
    </row>
    <row r="161" spans="2:56" ht="15" customHeight="1" x14ac:dyDescent="0.25">
      <c r="B161" s="1093"/>
      <c r="C161" s="1094"/>
      <c r="D161" s="1094"/>
      <c r="E161" s="1094"/>
      <c r="F161" s="1094"/>
      <c r="G161" s="1094"/>
      <c r="H161" s="1094"/>
      <c r="I161" s="1094"/>
      <c r="J161" s="1094"/>
      <c r="K161" s="1095"/>
      <c r="AQ161" s="162"/>
      <c r="BD161" s="417"/>
    </row>
    <row r="162" spans="2:56" ht="15" customHeight="1" x14ac:dyDescent="0.25">
      <c r="B162" s="1324" t="s">
        <v>40</v>
      </c>
      <c r="C162" s="1325"/>
      <c r="D162" s="1326"/>
      <c r="E162" s="1327" t="s">
        <v>41</v>
      </c>
      <c r="F162" s="1325"/>
      <c r="G162" s="1328"/>
      <c r="H162" s="974" t="s">
        <v>305</v>
      </c>
      <c r="I162" s="972"/>
      <c r="J162" s="973"/>
      <c r="K162" s="488"/>
      <c r="M162" s="1114" t="s">
        <v>304</v>
      </c>
      <c r="N162" s="1390"/>
      <c r="O162" s="1402" t="s">
        <v>283</v>
      </c>
      <c r="P162" s="1403"/>
      <c r="Q162" s="1404"/>
      <c r="R162" s="1405" t="s">
        <v>41</v>
      </c>
      <c r="S162" s="1403"/>
      <c r="T162" s="1404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1"/>
      <c r="N163" s="13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5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8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6"/>
      <c r="K165" s="519"/>
      <c r="L165" s="162" t="str">
        <f t="shared" si="242"/>
        <v/>
      </c>
      <c r="M165" s="512">
        <f>Assy.Model!$M10</f>
        <v>1.1040000000000001</v>
      </c>
      <c r="N165" s="809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6"/>
      <c r="K166" s="519"/>
      <c r="L166" s="162" t="str">
        <f t="shared" si="242"/>
        <v/>
      </c>
      <c r="M166" s="512">
        <f>Assy.Model!$M11</f>
        <v>1.107</v>
      </c>
      <c r="N166" s="809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6"/>
      <c r="K167" s="519"/>
      <c r="L167" s="162" t="str">
        <f t="shared" si="242"/>
        <v/>
      </c>
      <c r="M167" s="512">
        <f>Assy.Model!$M12</f>
        <v>1.1100000000000001</v>
      </c>
      <c r="N167" s="809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6"/>
      <c r="K168" s="519"/>
      <c r="L168" s="162" t="str">
        <f t="shared" si="242"/>
        <v/>
      </c>
      <c r="M168" s="512">
        <f>Assy.Model!$M13</f>
        <v>1.113</v>
      </c>
      <c r="N168" s="809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6"/>
      <c r="K169" s="519"/>
      <c r="L169" s="162" t="str">
        <f t="shared" si="242"/>
        <v/>
      </c>
      <c r="M169" s="512">
        <f>Assy.Model!$M14</f>
        <v>1.1160000000000001</v>
      </c>
      <c r="N169" s="809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6"/>
      <c r="K170" s="519"/>
      <c r="L170" s="162" t="str">
        <f t="shared" si="242"/>
        <v/>
      </c>
      <c r="M170" s="512">
        <f>Assy.Model!$M15</f>
        <v>1.119</v>
      </c>
      <c r="N170" s="809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6"/>
      <c r="K171" s="519"/>
      <c r="L171" s="162" t="str">
        <f t="shared" si="242"/>
        <v/>
      </c>
      <c r="M171" s="512">
        <f>Assy.Model!$M16</f>
        <v>1.1220000000000001</v>
      </c>
      <c r="N171" s="809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6"/>
      <c r="K172" s="519"/>
      <c r="L172" s="162" t="str">
        <f t="shared" si="242"/>
        <v/>
      </c>
      <c r="M172" s="512">
        <f>Assy.Model!$M17</f>
        <v>1.125</v>
      </c>
      <c r="N172" s="809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6"/>
      <c r="K173" s="519"/>
      <c r="L173" s="162" t="str">
        <f t="shared" si="242"/>
        <v/>
      </c>
      <c r="M173" s="512">
        <f>Assy.Model!$M18</f>
        <v>2.1139999999999999</v>
      </c>
      <c r="N173" s="809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6"/>
      <c r="K174" s="519"/>
      <c r="L174" s="162" t="str">
        <f t="shared" si="242"/>
        <v/>
      </c>
      <c r="M174" s="512">
        <f>Assy.Model!$M19</f>
        <v>2.117</v>
      </c>
      <c r="N174" s="809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6"/>
      <c r="K175" s="519"/>
      <c r="L175" s="162" t="str">
        <f t="shared" si="242"/>
        <v/>
      </c>
      <c r="M175" s="512">
        <f>Assy.Model!$M20</f>
        <v>2.12</v>
      </c>
      <c r="N175" s="809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6"/>
      <c r="K176" s="519"/>
      <c r="L176" s="162" t="str">
        <f t="shared" si="242"/>
        <v/>
      </c>
      <c r="M176" s="512">
        <f>Assy.Model!$M21</f>
        <v>2.1230000000000002</v>
      </c>
      <c r="N176" s="809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6"/>
      <c r="K177" s="519"/>
      <c r="L177" s="162" t="str">
        <f t="shared" si="242"/>
        <v/>
      </c>
      <c r="M177" s="512">
        <f>Assy.Model!$M22</f>
        <v>2.125</v>
      </c>
      <c r="N177" s="809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6"/>
      <c r="K178" s="519"/>
      <c r="L178" s="162" t="str">
        <f t="shared" si="242"/>
        <v/>
      </c>
      <c r="M178" s="512">
        <f>Assy.Model!$M23</f>
        <v>3.1030000000000002</v>
      </c>
      <c r="N178" s="809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6"/>
      <c r="K179" s="519"/>
      <c r="L179" s="162" t="str">
        <f t="shared" si="242"/>
        <v/>
      </c>
      <c r="M179" s="512">
        <f>Assy.Model!$M24</f>
        <v>3.1059999999999999</v>
      </c>
      <c r="N179" s="809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6"/>
      <c r="K180" s="519"/>
      <c r="L180" s="162" t="str">
        <f t="shared" si="242"/>
        <v/>
      </c>
      <c r="M180" s="512">
        <f>Assy.Model!$M25</f>
        <v>3.109</v>
      </c>
      <c r="N180" s="809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6"/>
      <c r="K181" s="519"/>
      <c r="L181" s="162" t="str">
        <f t="shared" si="242"/>
        <v/>
      </c>
      <c r="M181" s="512">
        <f>Assy.Model!$M26</f>
        <v>3.1120000000000001</v>
      </c>
      <c r="N181" s="809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6"/>
      <c r="K182" s="519"/>
      <c r="L182" s="162" t="str">
        <f t="shared" si="242"/>
        <v/>
      </c>
      <c r="M182" s="512">
        <f>Assy.Model!$M27</f>
        <v>3.1150000000000002</v>
      </c>
      <c r="N182" s="809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6"/>
      <c r="K183" s="519"/>
      <c r="L183" s="162" t="str">
        <f t="shared" si="242"/>
        <v/>
      </c>
      <c r="M183" s="512">
        <f>Assy.Model!$M28</f>
        <v>3.1179999999999999</v>
      </c>
      <c r="N183" s="809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6"/>
      <c r="K184" s="519"/>
      <c r="L184" s="162" t="str">
        <f t="shared" si="242"/>
        <v/>
      </c>
      <c r="M184" s="512">
        <f>Assy.Model!$M29</f>
        <v>3.121</v>
      </c>
      <c r="N184" s="809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6"/>
      <c r="K185" s="519"/>
      <c r="L185" s="162" t="str">
        <f t="shared" si="242"/>
        <v/>
      </c>
      <c r="M185" s="512">
        <f>Assy.Model!$M30</f>
        <v>3.1240000000000001</v>
      </c>
      <c r="N185" s="809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6"/>
      <c r="K186" s="519"/>
      <c r="L186" s="162" t="str">
        <f t="shared" si="242"/>
        <v/>
      </c>
      <c r="M186" s="512">
        <f>Assy.Model!$M31</f>
        <v>3.1269999999999998</v>
      </c>
      <c r="N186" s="809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6"/>
      <c r="K187" s="519"/>
      <c r="L187" s="162" t="str">
        <f>IF(ISNUMBER($J187),INDEX($AZ$9:$AZ$150,MATCH($M187,$AV$9:$AV$150,0)),"")</f>
        <v/>
      </c>
      <c r="M187" s="512">
        <f>Assy.Model!$M32</f>
        <v>4.1130000000000004</v>
      </c>
      <c r="N187" s="809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6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4.1159999999999997</v>
      </c>
      <c r="N188" s="809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6"/>
      <c r="K189" s="519"/>
      <c r="L189" s="162" t="str">
        <f t="shared" si="249"/>
        <v/>
      </c>
      <c r="M189" s="512">
        <f>Assy.Model!$M34</f>
        <v>4.1189999999999998</v>
      </c>
      <c r="N189" s="809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6"/>
      <c r="K190" s="519"/>
      <c r="L190" s="162" t="str">
        <f t="shared" si="249"/>
        <v/>
      </c>
      <c r="M190" s="512">
        <f>Assy.Model!$M35</f>
        <v>4.1219999999999999</v>
      </c>
      <c r="N190" s="809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6"/>
      <c r="K191" s="519"/>
      <c r="L191" s="162" t="str">
        <f t="shared" si="249"/>
        <v/>
      </c>
      <c r="M191" s="512">
        <f>Assy.Model!$M36</f>
        <v>4.125</v>
      </c>
      <c r="N191" s="809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6"/>
      <c r="K192" s="519"/>
      <c r="L192" s="162" t="str">
        <f t="shared" si="249"/>
        <v/>
      </c>
      <c r="M192" s="512">
        <f>Assy.Model!$M37</f>
        <v>5.1020000000000003</v>
      </c>
      <c r="N192" s="809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6"/>
      <c r="K193" s="519"/>
      <c r="L193" s="162" t="str">
        <f t="shared" si="249"/>
        <v/>
      </c>
      <c r="M193" s="512">
        <f>Assy.Model!$M38</f>
        <v>5.1050000000000004</v>
      </c>
      <c r="N193" s="809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6"/>
      <c r="K194" s="519"/>
      <c r="L194" s="162" t="str">
        <f t="shared" si="249"/>
        <v/>
      </c>
      <c r="M194" s="512">
        <f>Assy.Model!$M39</f>
        <v>5.1079999999999997</v>
      </c>
      <c r="N194" s="809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6"/>
      <c r="K195" s="519"/>
      <c r="L195" s="162" t="str">
        <f t="shared" si="249"/>
        <v/>
      </c>
      <c r="M195" s="512">
        <f>Assy.Model!$M40</f>
        <v>5.1109999999999998</v>
      </c>
      <c r="N195" s="809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6"/>
      <c r="K196" s="519"/>
      <c r="L196" s="162" t="str">
        <f t="shared" si="249"/>
        <v/>
      </c>
      <c r="M196" s="512">
        <f>Assy.Model!$M41</f>
        <v>5.1139999999999999</v>
      </c>
      <c r="N196" s="809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6"/>
      <c r="K197" s="519"/>
      <c r="L197" s="162" t="str">
        <f t="shared" si="249"/>
        <v/>
      </c>
      <c r="M197" s="512">
        <f>Assy.Model!$M42</f>
        <v>5.117</v>
      </c>
      <c r="N197" s="809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6"/>
      <c r="K198" s="519"/>
      <c r="L198" s="162" t="str">
        <f t="shared" si="249"/>
        <v/>
      </c>
      <c r="M198" s="512">
        <f>Assy.Model!$M43</f>
        <v>5.12</v>
      </c>
      <c r="N198" s="809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6"/>
      <c r="K199" s="519"/>
      <c r="L199" s="162" t="str">
        <f t="shared" si="249"/>
        <v/>
      </c>
      <c r="M199" s="512">
        <f>Assy.Model!$M44</f>
        <v>5.1230000000000002</v>
      </c>
      <c r="N199" s="809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6"/>
      <c r="K200" s="519"/>
      <c r="L200" s="162" t="str">
        <f t="shared" si="249"/>
        <v/>
      </c>
      <c r="M200" s="512">
        <f>Assy.Model!$M45</f>
        <v>5.1260000000000003</v>
      </c>
      <c r="N200" s="809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6"/>
      <c r="K201" s="519"/>
      <c r="L201" s="162" t="str">
        <f t="shared" si="249"/>
        <v/>
      </c>
      <c r="M201" s="512">
        <f>Assy.Model!$M46</f>
        <v>6.1120000000000001</v>
      </c>
      <c r="N201" s="809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6"/>
      <c r="K202" s="519"/>
      <c r="L202" s="162" t="str">
        <f t="shared" si="249"/>
        <v/>
      </c>
      <c r="M202" s="512">
        <f>Assy.Model!$M47</f>
        <v>6.1150000000000002</v>
      </c>
      <c r="N202" s="809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6"/>
      <c r="K203" s="519"/>
      <c r="L203" s="162" t="str">
        <f t="shared" si="249"/>
        <v/>
      </c>
      <c r="M203" s="512">
        <f>Assy.Model!$M48</f>
        <v>6.1180000000000003</v>
      </c>
      <c r="N203" s="809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6"/>
      <c r="K204" s="519"/>
      <c r="L204" s="162" t="str">
        <f t="shared" si="249"/>
        <v/>
      </c>
      <c r="M204" s="512">
        <f>Assy.Model!$M49</f>
        <v>6.1210000000000004</v>
      </c>
      <c r="N204" s="809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6"/>
      <c r="K205" s="519"/>
      <c r="L205" s="162" t="str">
        <f t="shared" si="249"/>
        <v/>
      </c>
      <c r="M205" s="512">
        <f>Assy.Model!$M50</f>
        <v>6.1239999999999997</v>
      </c>
      <c r="N205" s="809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6"/>
      <c r="K206" s="519"/>
      <c r="L206" s="162" t="str">
        <f t="shared" si="249"/>
        <v/>
      </c>
      <c r="M206" s="512">
        <f>Assy.Model!$M51</f>
        <v>6.1269999999999998</v>
      </c>
      <c r="N206" s="809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6"/>
      <c r="K207" s="519"/>
      <c r="L207" s="162" t="str">
        <f t="shared" si="249"/>
        <v/>
      </c>
      <c r="M207" s="512" t="str">
        <f>Assy.Model!$M52</f>
        <v/>
      </c>
      <c r="N207" s="809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6"/>
      <c r="K208" s="519"/>
      <c r="L208" s="162" t="str">
        <f t="shared" si="249"/>
        <v/>
      </c>
      <c r="M208" s="512" t="str">
        <f>Assy.Model!$M53</f>
        <v/>
      </c>
      <c r="N208" s="809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6"/>
      <c r="K209" s="519"/>
      <c r="L209" s="162" t="str">
        <f t="shared" si="249"/>
        <v/>
      </c>
      <c r="M209" s="512" t="str">
        <f>Assy.Model!$M54</f>
        <v/>
      </c>
      <c r="N209" s="809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6"/>
      <c r="K210" s="519"/>
      <c r="L210" s="162" t="str">
        <f t="shared" si="249"/>
        <v/>
      </c>
      <c r="M210" s="512" t="str">
        <f>Assy.Model!$M55</f>
        <v/>
      </c>
      <c r="N210" s="809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6"/>
      <c r="K211" s="519"/>
      <c r="L211" s="162" t="str">
        <f t="shared" si="249"/>
        <v/>
      </c>
      <c r="M211" s="512" t="str">
        <f>Assy.Model!$M56</f>
        <v/>
      </c>
      <c r="N211" s="809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6"/>
      <c r="K212" s="519"/>
      <c r="L212" s="162" t="str">
        <f t="shared" si="249"/>
        <v/>
      </c>
      <c r="M212" s="512" t="str">
        <f>Assy.Model!$M57</f>
        <v/>
      </c>
      <c r="N212" s="809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6"/>
      <c r="K213" s="519"/>
      <c r="L213" s="162" t="str">
        <f t="shared" si="249"/>
        <v/>
      </c>
      <c r="M213" s="512" t="str">
        <f>Assy.Model!$M58</f>
        <v/>
      </c>
      <c r="N213" s="809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6"/>
      <c r="K214" s="519"/>
      <c r="L214" s="162" t="str">
        <f t="shared" si="249"/>
        <v/>
      </c>
      <c r="M214" s="512" t="str">
        <f>Assy.Model!$M59</f>
        <v/>
      </c>
      <c r="N214" s="809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6"/>
      <c r="K215" s="519"/>
      <c r="L215" s="162" t="str">
        <f t="shared" si="249"/>
        <v/>
      </c>
      <c r="M215" s="512" t="str">
        <f>Assy.Model!$M60</f>
        <v/>
      </c>
      <c r="N215" s="809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6"/>
      <c r="K216" s="519"/>
      <c r="L216" s="162" t="str">
        <f t="shared" si="249"/>
        <v/>
      </c>
      <c r="M216" s="512" t="str">
        <f>Assy.Model!$M61</f>
        <v/>
      </c>
      <c r="N216" s="809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6"/>
      <c r="K217" s="519"/>
      <c r="L217" s="162" t="str">
        <f t="shared" si="249"/>
        <v/>
      </c>
      <c r="M217" s="512" t="str">
        <f>Assy.Model!$M62</f>
        <v/>
      </c>
      <c r="N217" s="809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6"/>
      <c r="K218" s="519"/>
      <c r="L218" s="162" t="str">
        <f t="shared" si="249"/>
        <v/>
      </c>
      <c r="M218" s="512" t="str">
        <f>Assy.Model!$M63</f>
        <v/>
      </c>
      <c r="N218" s="809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6"/>
      <c r="K219" s="519"/>
      <c r="L219" s="162" t="str">
        <f t="shared" si="249"/>
        <v/>
      </c>
      <c r="M219" s="512" t="str">
        <f>Assy.Model!$M64</f>
        <v/>
      </c>
      <c r="N219" s="809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6"/>
      <c r="K220" s="519"/>
      <c r="L220" s="162" t="str">
        <f t="shared" si="249"/>
        <v/>
      </c>
      <c r="M220" s="512" t="str">
        <f>Assy.Model!$M65</f>
        <v/>
      </c>
      <c r="N220" s="809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6"/>
      <c r="K221" s="519"/>
      <c r="L221" s="162" t="str">
        <f t="shared" si="249"/>
        <v/>
      </c>
      <c r="M221" s="512" t="str">
        <f>Assy.Model!$M66</f>
        <v/>
      </c>
      <c r="N221" s="809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6"/>
      <c r="K222" s="519"/>
      <c r="L222" s="162" t="str">
        <f t="shared" si="249"/>
        <v/>
      </c>
      <c r="M222" s="512" t="str">
        <f>Assy.Model!$M67</f>
        <v/>
      </c>
      <c r="N222" s="809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6"/>
      <c r="K223" s="519"/>
      <c r="L223" s="162" t="str">
        <f t="shared" si="249"/>
        <v/>
      </c>
      <c r="M223" s="512" t="str">
        <f>Assy.Model!$M68</f>
        <v/>
      </c>
      <c r="N223" s="809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6"/>
      <c r="K224" s="519"/>
      <c r="L224" s="162" t="str">
        <f t="shared" si="249"/>
        <v/>
      </c>
      <c r="M224" s="512" t="str">
        <f>Assy.Model!$M69</f>
        <v/>
      </c>
      <c r="N224" s="809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6"/>
      <c r="K225" s="519"/>
      <c r="L225" s="162" t="str">
        <f t="shared" si="249"/>
        <v/>
      </c>
      <c r="M225" s="512" t="str">
        <f>Assy.Model!$M70</f>
        <v/>
      </c>
      <c r="N225" s="809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6"/>
      <c r="K226" s="519"/>
      <c r="L226" s="162" t="str">
        <f t="shared" si="249"/>
        <v/>
      </c>
      <c r="M226" s="512" t="str">
        <f>Assy.Model!$M71</f>
        <v/>
      </c>
      <c r="N226" s="809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6"/>
      <c r="K227" s="519"/>
      <c r="L227" s="162" t="str">
        <f t="shared" si="249"/>
        <v/>
      </c>
      <c r="M227" s="512" t="str">
        <f>Assy.Model!$M72</f>
        <v/>
      </c>
      <c r="N227" s="809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6"/>
      <c r="K228" s="519"/>
      <c r="L228" s="162" t="str">
        <f t="shared" si="249"/>
        <v/>
      </c>
      <c r="M228" s="512" t="str">
        <f>Assy.Model!$M73</f>
        <v/>
      </c>
      <c r="N228" s="809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6"/>
      <c r="K229" s="519"/>
      <c r="L229" s="162" t="str">
        <f t="shared" si="249"/>
        <v/>
      </c>
      <c r="M229" s="512" t="str">
        <f>Assy.Model!$M74</f>
        <v/>
      </c>
      <c r="N229" s="809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6"/>
      <c r="K230" s="519"/>
      <c r="L230" s="162" t="str">
        <f t="shared" si="249"/>
        <v/>
      </c>
      <c r="M230" s="512" t="str">
        <f>Assy.Model!$M75</f>
        <v/>
      </c>
      <c r="N230" s="809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6"/>
      <c r="K231" s="519"/>
      <c r="L231" s="162" t="str">
        <f t="shared" si="249"/>
        <v/>
      </c>
      <c r="M231" s="512" t="str">
        <f>Assy.Model!$M76</f>
        <v/>
      </c>
      <c r="N231" s="809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6"/>
      <c r="K232" s="519"/>
      <c r="L232" s="162" t="str">
        <f t="shared" si="249"/>
        <v/>
      </c>
      <c r="M232" s="512" t="str">
        <f>Assy.Model!$M77</f>
        <v/>
      </c>
      <c r="N232" s="809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6"/>
      <c r="K233" s="519"/>
      <c r="L233" s="162" t="str">
        <f t="shared" si="249"/>
        <v/>
      </c>
      <c r="M233" s="512" t="str">
        <f>Assy.Model!$M78</f>
        <v/>
      </c>
      <c r="N233" s="809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6"/>
      <c r="K234" s="519"/>
      <c r="L234" s="162" t="str">
        <f t="shared" si="249"/>
        <v/>
      </c>
      <c r="M234" s="512" t="str">
        <f>Assy.Model!$M79</f>
        <v/>
      </c>
      <c r="N234" s="809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6"/>
      <c r="K235" s="519"/>
      <c r="L235" s="162" t="str">
        <f t="shared" si="249"/>
        <v/>
      </c>
      <c r="M235" s="512" t="str">
        <f>Assy.Model!$M80</f>
        <v/>
      </c>
      <c r="N235" s="809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6"/>
      <c r="K236" s="519"/>
      <c r="L236" s="162" t="str">
        <f t="shared" si="249"/>
        <v/>
      </c>
      <c r="M236" s="512" t="str">
        <f>Assy.Model!$M81</f>
        <v/>
      </c>
      <c r="N236" s="809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6"/>
      <c r="K237" s="519"/>
      <c r="L237" s="162" t="str">
        <f t="shared" si="249"/>
        <v/>
      </c>
      <c r="M237" s="512" t="str">
        <f>Assy.Model!$M82</f>
        <v/>
      </c>
      <c r="N237" s="809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6"/>
      <c r="K238" s="519"/>
      <c r="L238" s="162" t="str">
        <f t="shared" si="249"/>
        <v/>
      </c>
      <c r="M238" s="512" t="str">
        <f>Assy.Model!$M83</f>
        <v/>
      </c>
      <c r="N238" s="809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6"/>
      <c r="K239" s="519"/>
      <c r="L239" s="162" t="str">
        <f t="shared" si="249"/>
        <v/>
      </c>
      <c r="M239" s="512" t="str">
        <f>Assy.Model!$M84</f>
        <v/>
      </c>
      <c r="N239" s="809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6"/>
      <c r="K240" s="519"/>
      <c r="L240" s="162" t="str">
        <f t="shared" si="249"/>
        <v/>
      </c>
      <c r="M240" s="512" t="str">
        <f>Assy.Model!$M85</f>
        <v/>
      </c>
      <c r="N240" s="809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6"/>
      <c r="K241" s="519"/>
      <c r="L241" s="162" t="str">
        <f t="shared" si="249"/>
        <v/>
      </c>
      <c r="M241" s="512" t="str">
        <f>Assy.Model!$M86</f>
        <v/>
      </c>
      <c r="N241" s="809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6"/>
      <c r="K242" s="519"/>
      <c r="L242" s="162" t="str">
        <f t="shared" si="249"/>
        <v/>
      </c>
      <c r="M242" s="512" t="str">
        <f>Assy.Model!$M87</f>
        <v/>
      </c>
      <c r="N242" s="809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6"/>
      <c r="K243" s="519"/>
      <c r="L243" s="162" t="str">
        <f t="shared" si="249"/>
        <v/>
      </c>
      <c r="M243" s="512" t="str">
        <f>Assy.Model!$M88</f>
        <v/>
      </c>
      <c r="N243" s="809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6"/>
      <c r="K244" s="519"/>
      <c r="L244" s="162" t="str">
        <f t="shared" si="249"/>
        <v/>
      </c>
      <c r="M244" s="512" t="str">
        <f>Assy.Model!$M89</f>
        <v/>
      </c>
      <c r="N244" s="809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6"/>
      <c r="K245" s="519"/>
      <c r="L245" s="162" t="str">
        <f t="shared" si="249"/>
        <v/>
      </c>
      <c r="M245" s="512" t="str">
        <f>Assy.Model!$M90</f>
        <v/>
      </c>
      <c r="N245" s="809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6"/>
      <c r="K246" s="519"/>
      <c r="L246" s="162" t="str">
        <f t="shared" si="249"/>
        <v/>
      </c>
      <c r="M246" s="512" t="str">
        <f>Assy.Model!$M91</f>
        <v/>
      </c>
      <c r="N246" s="809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6"/>
      <c r="K247" s="519"/>
      <c r="L247" s="162" t="str">
        <f t="shared" si="249"/>
        <v/>
      </c>
      <c r="M247" s="512" t="str">
        <f>Assy.Model!$M92</f>
        <v/>
      </c>
      <c r="N247" s="809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6"/>
      <c r="K248" s="519"/>
      <c r="L248" s="162" t="str">
        <f t="shared" si="249"/>
        <v/>
      </c>
      <c r="M248" s="512" t="str">
        <f>Assy.Model!$M93</f>
        <v/>
      </c>
      <c r="N248" s="809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6"/>
      <c r="K249" s="519"/>
      <c r="L249" s="162" t="str">
        <f t="shared" si="249"/>
        <v/>
      </c>
      <c r="M249" s="512" t="str">
        <f>Assy.Model!$M94</f>
        <v/>
      </c>
      <c r="N249" s="809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6"/>
      <c r="K250" s="519"/>
      <c r="L250" s="162" t="str">
        <f t="shared" si="249"/>
        <v/>
      </c>
      <c r="M250" s="512" t="str">
        <f>Assy.Model!$M95</f>
        <v/>
      </c>
      <c r="N250" s="809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6"/>
      <c r="K251" s="519"/>
      <c r="L251" s="162" t="str">
        <f t="shared" si="249"/>
        <v/>
      </c>
      <c r="M251" s="512" t="str">
        <f>Assy.Model!$M96</f>
        <v/>
      </c>
      <c r="N251" s="809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6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09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6"/>
      <c r="K253" s="519"/>
      <c r="L253" s="162" t="str">
        <f t="shared" si="262"/>
        <v/>
      </c>
      <c r="M253" s="512" t="str">
        <f>Assy.Model!$M98</f>
        <v/>
      </c>
      <c r="N253" s="809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6"/>
      <c r="K254" s="519"/>
      <c r="L254" s="162" t="str">
        <f t="shared" si="262"/>
        <v/>
      </c>
      <c r="M254" s="512" t="str">
        <f>Assy.Model!$M99</f>
        <v/>
      </c>
      <c r="N254" s="809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6"/>
      <c r="K255" s="519"/>
      <c r="L255" s="162" t="str">
        <f t="shared" si="262"/>
        <v/>
      </c>
      <c r="M255" s="512" t="str">
        <f>Assy.Model!$M100</f>
        <v/>
      </c>
      <c r="N255" s="809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6"/>
      <c r="K256" s="519"/>
      <c r="L256" s="162" t="str">
        <f t="shared" si="262"/>
        <v/>
      </c>
      <c r="M256" s="512" t="str">
        <f>Assy.Model!$M101</f>
        <v/>
      </c>
      <c r="N256" s="809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6"/>
      <c r="K257" s="519"/>
      <c r="L257" s="162" t="str">
        <f t="shared" si="262"/>
        <v/>
      </c>
      <c r="M257" s="512" t="str">
        <f>Assy.Model!$M102</f>
        <v/>
      </c>
      <c r="N257" s="809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6"/>
      <c r="K258" s="519"/>
      <c r="L258" s="162" t="str">
        <f t="shared" si="262"/>
        <v/>
      </c>
      <c r="M258" s="512" t="str">
        <f>Assy.Model!$M103</f>
        <v/>
      </c>
      <c r="N258" s="809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6"/>
      <c r="K259" s="519"/>
      <c r="L259" s="162" t="str">
        <f t="shared" si="262"/>
        <v/>
      </c>
      <c r="M259" s="512" t="str">
        <f>Assy.Model!$M104</f>
        <v/>
      </c>
      <c r="N259" s="809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6"/>
      <c r="K260" s="519"/>
      <c r="L260" s="162" t="str">
        <f t="shared" si="262"/>
        <v/>
      </c>
      <c r="M260" s="512" t="str">
        <f>Assy.Model!$M105</f>
        <v/>
      </c>
      <c r="N260" s="809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6"/>
      <c r="K261" s="519"/>
      <c r="L261" s="162" t="str">
        <f t="shared" si="262"/>
        <v/>
      </c>
      <c r="M261" s="512" t="str">
        <f>Assy.Model!$M106</f>
        <v/>
      </c>
      <c r="N261" s="809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6"/>
      <c r="K262" s="519"/>
      <c r="L262" s="162" t="str">
        <f t="shared" si="262"/>
        <v/>
      </c>
      <c r="M262" s="512" t="str">
        <f>Assy.Model!$M107</f>
        <v/>
      </c>
      <c r="N262" s="809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6"/>
      <c r="K263" s="519"/>
      <c r="L263" s="162" t="str">
        <f t="shared" si="262"/>
        <v/>
      </c>
      <c r="M263" s="512" t="str">
        <f>Assy.Model!$M108</f>
        <v/>
      </c>
      <c r="N263" s="809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6"/>
      <c r="K264" s="519"/>
      <c r="L264" s="162" t="str">
        <f t="shared" si="262"/>
        <v/>
      </c>
      <c r="M264" s="512" t="str">
        <f>Assy.Model!$M109</f>
        <v/>
      </c>
      <c r="N264" s="809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6"/>
      <c r="K265" s="519"/>
      <c r="L265" s="162" t="str">
        <f t="shared" si="262"/>
        <v/>
      </c>
      <c r="M265" s="512" t="str">
        <f>Assy.Model!$M110</f>
        <v/>
      </c>
      <c r="N265" s="809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6"/>
      <c r="K266" s="519"/>
      <c r="L266" s="162" t="str">
        <f t="shared" si="262"/>
        <v/>
      </c>
      <c r="M266" s="512" t="str">
        <f>Assy.Model!$M111</f>
        <v/>
      </c>
      <c r="N266" s="809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6"/>
      <c r="K267" s="519"/>
      <c r="L267" s="162" t="str">
        <f t="shared" si="262"/>
        <v/>
      </c>
      <c r="M267" s="512" t="str">
        <f>Assy.Model!$M112</f>
        <v/>
      </c>
      <c r="N267" s="809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6"/>
      <c r="K268" s="519"/>
      <c r="L268" s="162" t="str">
        <f t="shared" si="262"/>
        <v/>
      </c>
      <c r="M268" s="512" t="str">
        <f>Assy.Model!$M113</f>
        <v/>
      </c>
      <c r="N268" s="809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6"/>
      <c r="K269" s="519"/>
      <c r="L269" s="162" t="str">
        <f t="shared" si="262"/>
        <v/>
      </c>
      <c r="M269" s="512" t="str">
        <f>Assy.Model!$M114</f>
        <v/>
      </c>
      <c r="N269" s="809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6"/>
      <c r="K270" s="519"/>
      <c r="L270" s="162" t="str">
        <f t="shared" si="262"/>
        <v/>
      </c>
      <c r="M270" s="512" t="str">
        <f>Assy.Model!$M115</f>
        <v/>
      </c>
      <c r="N270" s="809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6"/>
      <c r="K271" s="519"/>
      <c r="L271" s="162" t="str">
        <f t="shared" si="262"/>
        <v/>
      </c>
      <c r="M271" s="512" t="str">
        <f>Assy.Model!$M116</f>
        <v/>
      </c>
      <c r="N271" s="809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6"/>
      <c r="K272" s="519"/>
      <c r="L272" s="162" t="str">
        <f t="shared" si="262"/>
        <v/>
      </c>
      <c r="M272" s="512" t="str">
        <f>Assy.Model!$M117</f>
        <v/>
      </c>
      <c r="N272" s="809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6"/>
      <c r="K273" s="519"/>
      <c r="L273" s="162" t="str">
        <f t="shared" si="262"/>
        <v/>
      </c>
      <c r="M273" s="512" t="str">
        <f>Assy.Model!$M118</f>
        <v/>
      </c>
      <c r="N273" s="809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6"/>
      <c r="K274" s="519"/>
      <c r="L274" s="162" t="str">
        <f t="shared" si="262"/>
        <v/>
      </c>
      <c r="M274" s="512" t="str">
        <f>Assy.Model!$M119</f>
        <v/>
      </c>
      <c r="N274" s="809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6"/>
      <c r="K275" s="519"/>
      <c r="L275" s="162" t="str">
        <f t="shared" si="262"/>
        <v/>
      </c>
      <c r="M275" s="512" t="str">
        <f>Assy.Model!$M120</f>
        <v/>
      </c>
      <c r="N275" s="809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6"/>
      <c r="K276" s="519"/>
      <c r="L276" s="162" t="str">
        <f t="shared" si="262"/>
        <v/>
      </c>
      <c r="M276" s="512" t="str">
        <f>Assy.Model!$M121</f>
        <v/>
      </c>
      <c r="N276" s="809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6"/>
      <c r="K277" s="519"/>
      <c r="L277" s="162" t="str">
        <f t="shared" si="262"/>
        <v/>
      </c>
      <c r="M277" s="512" t="str">
        <f>Assy.Model!$M122</f>
        <v/>
      </c>
      <c r="N277" s="809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6"/>
      <c r="K278" s="519"/>
      <c r="L278" s="162" t="str">
        <f t="shared" si="262"/>
        <v/>
      </c>
      <c r="M278" s="512" t="str">
        <f>Assy.Model!$M123</f>
        <v/>
      </c>
      <c r="N278" s="809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6"/>
      <c r="K279" s="519"/>
      <c r="L279" s="162" t="str">
        <f t="shared" si="262"/>
        <v/>
      </c>
      <c r="M279" s="512" t="str">
        <f>Assy.Model!$M124</f>
        <v/>
      </c>
      <c r="N279" s="809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6"/>
      <c r="K280" s="519"/>
      <c r="L280" s="162" t="str">
        <f t="shared" si="262"/>
        <v/>
      </c>
      <c r="M280" s="512" t="str">
        <f>Assy.Model!$M125</f>
        <v/>
      </c>
      <c r="N280" s="809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6"/>
      <c r="K281" s="519"/>
      <c r="L281" s="162" t="str">
        <f t="shared" si="262"/>
        <v/>
      </c>
      <c r="M281" s="512" t="str">
        <f>Assy.Model!$M126</f>
        <v/>
      </c>
      <c r="N281" s="809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6"/>
      <c r="K282" s="519"/>
      <c r="L282" s="162" t="str">
        <f t="shared" si="262"/>
        <v/>
      </c>
      <c r="M282" s="512" t="str">
        <f>Assy.Model!$M127</f>
        <v/>
      </c>
      <c r="N282" s="809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6"/>
      <c r="K283" s="519"/>
      <c r="L283" s="162" t="str">
        <f t="shared" si="262"/>
        <v/>
      </c>
      <c r="M283" s="512" t="str">
        <f>Assy.Model!$M128</f>
        <v/>
      </c>
      <c r="N283" s="809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6"/>
      <c r="K284" s="519"/>
      <c r="L284" s="162" t="str">
        <f t="shared" si="262"/>
        <v/>
      </c>
      <c r="M284" s="512" t="str">
        <f>Assy.Model!$M129</f>
        <v/>
      </c>
      <c r="N284" s="809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7"/>
      <c r="K285" s="521"/>
      <c r="L285" s="162" t="str">
        <f t="shared" si="262"/>
        <v/>
      </c>
      <c r="M285" s="513" t="str">
        <f>Assy.Model!$M130</f>
        <v/>
      </c>
      <c r="N285" s="809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7"/>
      <c r="K286" s="521"/>
      <c r="L286" s="162" t="str">
        <f t="shared" si="262"/>
        <v/>
      </c>
      <c r="M286" s="513" t="str">
        <f>Assy.Model!$M131</f>
        <v/>
      </c>
      <c r="N286" s="809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7"/>
      <c r="K287" s="521"/>
      <c r="L287" s="162" t="str">
        <f t="shared" si="262"/>
        <v/>
      </c>
      <c r="M287" s="513" t="str">
        <f>Assy.Model!$M132</f>
        <v/>
      </c>
      <c r="N287" s="809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7"/>
      <c r="K288" s="521"/>
      <c r="L288" s="162" t="str">
        <f t="shared" si="262"/>
        <v/>
      </c>
      <c r="M288" s="513" t="str">
        <f>Assy.Model!$M133</f>
        <v/>
      </c>
      <c r="N288" s="809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7"/>
      <c r="K289" s="521"/>
      <c r="L289" s="162" t="str">
        <f t="shared" si="262"/>
        <v/>
      </c>
      <c r="M289" s="513" t="str">
        <f>Assy.Model!$M134</f>
        <v/>
      </c>
      <c r="N289" s="809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7"/>
      <c r="K290" s="521"/>
      <c r="L290" s="162" t="str">
        <f t="shared" si="262"/>
        <v/>
      </c>
      <c r="M290" s="513" t="str">
        <f>Assy.Model!$M135</f>
        <v/>
      </c>
      <c r="N290" s="809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7"/>
      <c r="K291" s="521"/>
      <c r="L291" s="162" t="str">
        <f t="shared" si="262"/>
        <v/>
      </c>
      <c r="M291" s="513" t="str">
        <f>Assy.Model!$M136</f>
        <v/>
      </c>
      <c r="N291" s="809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7"/>
      <c r="K292" s="521"/>
      <c r="L292" s="162" t="str">
        <f t="shared" si="262"/>
        <v/>
      </c>
      <c r="M292" s="513" t="str">
        <f>Assy.Model!$M137</f>
        <v/>
      </c>
      <c r="N292" s="809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7"/>
      <c r="K293" s="521"/>
      <c r="L293" s="162" t="str">
        <f t="shared" si="262"/>
        <v/>
      </c>
      <c r="M293" s="513" t="str">
        <f>Assy.Model!$M138</f>
        <v/>
      </c>
      <c r="N293" s="809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7"/>
      <c r="K294" s="521"/>
      <c r="L294" s="162" t="str">
        <f t="shared" si="262"/>
        <v/>
      </c>
      <c r="M294" s="513" t="str">
        <f>Assy.Model!$M139</f>
        <v/>
      </c>
      <c r="N294" s="809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7"/>
      <c r="K295" s="521"/>
      <c r="L295" s="162" t="str">
        <f t="shared" si="262"/>
        <v/>
      </c>
      <c r="M295" s="513" t="str">
        <f>Assy.Model!$M140</f>
        <v/>
      </c>
      <c r="N295" s="809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7"/>
      <c r="K296" s="521"/>
      <c r="L296" s="162" t="str">
        <f t="shared" si="262"/>
        <v/>
      </c>
      <c r="M296" s="513" t="str">
        <f>Assy.Model!$M141</f>
        <v/>
      </c>
      <c r="N296" s="809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7"/>
      <c r="K297" s="521"/>
      <c r="L297" s="162" t="str">
        <f t="shared" si="262"/>
        <v/>
      </c>
      <c r="M297" s="513" t="str">
        <f>Assy.Model!$M142</f>
        <v/>
      </c>
      <c r="N297" s="809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7"/>
      <c r="K298" s="521"/>
      <c r="L298" s="162" t="str">
        <f t="shared" si="262"/>
        <v/>
      </c>
      <c r="M298" s="513" t="str">
        <f>Assy.Model!$M143</f>
        <v/>
      </c>
      <c r="N298" s="809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7"/>
      <c r="K299" s="521"/>
      <c r="L299" s="162" t="str">
        <f t="shared" si="262"/>
        <v/>
      </c>
      <c r="M299" s="513" t="str">
        <f>Assy.Model!$M144</f>
        <v/>
      </c>
      <c r="N299" s="809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7"/>
      <c r="K300" s="521"/>
      <c r="L300" s="162" t="str">
        <f t="shared" si="262"/>
        <v/>
      </c>
      <c r="M300" s="513" t="str">
        <f>Assy.Model!$M145</f>
        <v/>
      </c>
      <c r="N300" s="809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7"/>
      <c r="K301" s="521"/>
      <c r="L301" s="162" t="str">
        <f t="shared" si="262"/>
        <v/>
      </c>
      <c r="M301" s="513" t="str">
        <f>Assy.Model!$M146</f>
        <v/>
      </c>
      <c r="N301" s="809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7"/>
      <c r="K302" s="521"/>
      <c r="L302" s="162" t="str">
        <f t="shared" si="262"/>
        <v/>
      </c>
      <c r="M302" s="513" t="str">
        <f>Assy.Model!$M147</f>
        <v/>
      </c>
      <c r="N302" s="809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7"/>
      <c r="K303" s="521"/>
      <c r="L303" s="162" t="str">
        <f t="shared" si="262"/>
        <v/>
      </c>
      <c r="M303" s="513" t="str">
        <f>Assy.Model!$M148</f>
        <v/>
      </c>
      <c r="N303" s="809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7"/>
      <c r="K304" s="521"/>
      <c r="L304" s="162" t="str">
        <f t="shared" si="262"/>
        <v/>
      </c>
      <c r="M304" s="513" t="str">
        <f>Assy.Model!$M149</f>
        <v/>
      </c>
      <c r="N304" s="809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8"/>
      <c r="K305" s="523"/>
      <c r="L305" s="162" t="str">
        <f t="shared" si="262"/>
        <v/>
      </c>
      <c r="M305" s="514" t="str">
        <f>Assy.Model!$M150</f>
        <v/>
      </c>
      <c r="N305" s="810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E10" sqref="E10"/>
    </sheetView>
  </sheetViews>
  <sheetFormatPr defaultRowHeight="15" x14ac:dyDescent="0.25"/>
  <cols>
    <col min="2" max="5" width="10.7109375" style="31" customWidth="1"/>
  </cols>
  <sheetData>
    <row r="7" spans="1:5" x14ac:dyDescent="0.25">
      <c r="B7" s="1419" t="s">
        <v>33</v>
      </c>
      <c r="C7" s="1426" t="s">
        <v>105</v>
      </c>
      <c r="D7" s="1404"/>
      <c r="E7" s="1428" t="s">
        <v>110</v>
      </c>
    </row>
    <row r="8" spans="1:5" ht="15.75" thickBot="1" x14ac:dyDescent="0.3">
      <c r="B8" s="1427"/>
      <c r="C8" s="838" t="s">
        <v>8</v>
      </c>
      <c r="D8" s="837" t="s">
        <v>9</v>
      </c>
      <c r="E8" s="1429"/>
    </row>
    <row r="9" spans="1:5" ht="15.75" thickTop="1" x14ac:dyDescent="0.25">
      <c r="A9">
        <f t="shared" ref="A9:A55" si="0">MOD((B9*1000),100)</f>
        <v>1</v>
      </c>
      <c r="B9" s="907">
        <v>1.101</v>
      </c>
      <c r="C9" s="910">
        <v>0.18390000000000001</v>
      </c>
      <c r="D9" s="911">
        <v>-0.22520000000000001</v>
      </c>
      <c r="E9" s="912">
        <v>5.3900000000000003E-2</v>
      </c>
    </row>
    <row r="10" spans="1:5" x14ac:dyDescent="0.25">
      <c r="A10">
        <f t="shared" si="0"/>
        <v>2</v>
      </c>
      <c r="B10" s="908">
        <v>5.1020000000000003</v>
      </c>
      <c r="C10" s="913">
        <v>0.42709999999999998</v>
      </c>
      <c r="D10" s="914">
        <v>-1.5299999999999999E-2</v>
      </c>
      <c r="E10" s="915">
        <v>4.0099999999999997E-2</v>
      </c>
    </row>
    <row r="11" spans="1:5" x14ac:dyDescent="0.25">
      <c r="A11">
        <f t="shared" si="0"/>
        <v>3</v>
      </c>
      <c r="B11" s="908">
        <v>3.1030000000000002</v>
      </c>
      <c r="C11" s="913">
        <v>0.63829999999999998</v>
      </c>
      <c r="D11" s="914">
        <v>-3.1300000000000001E-2</v>
      </c>
      <c r="E11" s="915">
        <v>4.02E-2</v>
      </c>
    </row>
    <row r="12" spans="1:5" x14ac:dyDescent="0.25">
      <c r="A12">
        <f t="shared" si="0"/>
        <v>4</v>
      </c>
      <c r="B12" s="908">
        <v>1.1040000000000001</v>
      </c>
      <c r="C12" s="913">
        <v>0.84560000000000002</v>
      </c>
      <c r="D12" s="914">
        <v>-5.0099999999999999E-2</v>
      </c>
      <c r="E12" s="915">
        <v>3.8800000000000001E-2</v>
      </c>
    </row>
    <row r="13" spans="1:5" x14ac:dyDescent="0.25">
      <c r="A13">
        <f t="shared" si="0"/>
        <v>5</v>
      </c>
      <c r="B13" s="908">
        <v>5.1050000000000004</v>
      </c>
      <c r="C13" s="913">
        <v>1.0539000000000001</v>
      </c>
      <c r="D13" s="914">
        <v>0.1236</v>
      </c>
      <c r="E13" s="915">
        <v>4.0099999999999997E-2</v>
      </c>
    </row>
    <row r="14" spans="1:5" x14ac:dyDescent="0.25">
      <c r="A14">
        <f t="shared" si="0"/>
        <v>6</v>
      </c>
      <c r="B14" s="908">
        <v>3.1059999999999999</v>
      </c>
      <c r="C14" s="913">
        <v>1.2650999999999999</v>
      </c>
      <c r="D14" s="914">
        <v>0.1076</v>
      </c>
      <c r="E14" s="915">
        <v>4.0099999999999997E-2</v>
      </c>
    </row>
    <row r="15" spans="1:5" x14ac:dyDescent="0.25">
      <c r="A15">
        <f t="shared" si="0"/>
        <v>7</v>
      </c>
      <c r="B15" s="908">
        <v>1.107</v>
      </c>
      <c r="C15" s="913">
        <v>1.4723999999999999</v>
      </c>
      <c r="D15" s="914">
        <v>8.8800000000000004E-2</v>
      </c>
      <c r="E15" s="915">
        <v>3.8800000000000001E-2</v>
      </c>
    </row>
    <row r="16" spans="1:5" x14ac:dyDescent="0.25">
      <c r="A16">
        <f t="shared" si="0"/>
        <v>8</v>
      </c>
      <c r="B16" s="908">
        <v>5.1079999999999997</v>
      </c>
      <c r="C16" s="913">
        <v>1.6807000000000001</v>
      </c>
      <c r="D16" s="914">
        <v>0.2626</v>
      </c>
      <c r="E16" s="915">
        <v>4.0099999999999997E-2</v>
      </c>
    </row>
    <row r="17" spans="1:5" x14ac:dyDescent="0.25">
      <c r="A17">
        <f t="shared" si="0"/>
        <v>9</v>
      </c>
      <c r="B17" s="908">
        <v>3.109</v>
      </c>
      <c r="C17" s="913">
        <v>1.8919999999999999</v>
      </c>
      <c r="D17" s="914">
        <v>0.2467</v>
      </c>
      <c r="E17" s="915">
        <v>4.0099999999999997E-2</v>
      </c>
    </row>
    <row r="18" spans="1:5" x14ac:dyDescent="0.25">
      <c r="A18">
        <f t="shared" si="0"/>
        <v>10</v>
      </c>
      <c r="B18" s="908">
        <v>1.1100000000000001</v>
      </c>
      <c r="C18" s="913">
        <v>2.0992999999999999</v>
      </c>
      <c r="D18" s="914">
        <v>0.22770000000000001</v>
      </c>
      <c r="E18" s="915">
        <v>3.8800000000000001E-2</v>
      </c>
    </row>
    <row r="19" spans="1:5" x14ac:dyDescent="0.25">
      <c r="A19">
        <f t="shared" si="0"/>
        <v>11</v>
      </c>
      <c r="B19" s="908">
        <v>5.1109999999999998</v>
      </c>
      <c r="C19" s="913">
        <v>2.3075999999999999</v>
      </c>
      <c r="D19" s="914">
        <v>0.40160000000000001</v>
      </c>
      <c r="E19" s="915">
        <v>4.0099999999999997E-2</v>
      </c>
    </row>
    <row r="20" spans="1:5" x14ac:dyDescent="0.25">
      <c r="A20">
        <f t="shared" si="0"/>
        <v>12</v>
      </c>
      <c r="B20" s="908">
        <v>3.1120000000000001</v>
      </c>
      <c r="C20" s="913">
        <v>2.5447000000000002</v>
      </c>
      <c r="D20" s="914">
        <v>0.40839999999999999</v>
      </c>
      <c r="E20" s="915">
        <v>3.3099999999999997E-2</v>
      </c>
    </row>
    <row r="21" spans="1:5" x14ac:dyDescent="0.25">
      <c r="A21">
        <f t="shared" si="0"/>
        <v>12</v>
      </c>
      <c r="B21" s="908">
        <v>6.1120000000000001</v>
      </c>
      <c r="C21" s="913">
        <v>2.5842000000000001</v>
      </c>
      <c r="D21" s="914">
        <v>0.52139999999999997</v>
      </c>
      <c r="E21" s="915">
        <v>2.4400000000000002E-2</v>
      </c>
    </row>
    <row r="22" spans="1:5" x14ac:dyDescent="0.25">
      <c r="A22">
        <f t="shared" si="0"/>
        <v>13</v>
      </c>
      <c r="B22" s="908">
        <v>1.113</v>
      </c>
      <c r="C22" s="913">
        <v>2.8643999999999998</v>
      </c>
      <c r="D22" s="914">
        <v>0.38290000000000002</v>
      </c>
      <c r="E22" s="915">
        <v>2.6599999999999999E-2</v>
      </c>
    </row>
    <row r="23" spans="1:5" x14ac:dyDescent="0.25">
      <c r="A23">
        <f t="shared" si="0"/>
        <v>13</v>
      </c>
      <c r="B23" s="908">
        <v>4.1130000000000004</v>
      </c>
      <c r="C23" s="913">
        <v>2.8645</v>
      </c>
      <c r="D23" s="914">
        <v>0.4788</v>
      </c>
      <c r="E23" s="915">
        <v>2.9700000000000001E-2</v>
      </c>
    </row>
    <row r="24" spans="1:5" x14ac:dyDescent="0.25">
      <c r="A24">
        <f t="shared" si="0"/>
        <v>14</v>
      </c>
      <c r="B24" s="908">
        <v>2.1139999999999999</v>
      </c>
      <c r="C24" s="913">
        <v>3.1553</v>
      </c>
      <c r="D24" s="914">
        <v>0.39589999999999997</v>
      </c>
      <c r="E24" s="915">
        <v>2.81E-2</v>
      </c>
    </row>
    <row r="25" spans="1:5" x14ac:dyDescent="0.25">
      <c r="A25">
        <f t="shared" si="0"/>
        <v>14</v>
      </c>
      <c r="B25" s="908">
        <v>5.1139999999999999</v>
      </c>
      <c r="C25" s="913">
        <v>3.1585999999999999</v>
      </c>
      <c r="D25" s="914">
        <v>0.49080000000000001</v>
      </c>
      <c r="E25" s="915">
        <v>2.7400000000000001E-2</v>
      </c>
    </row>
    <row r="26" spans="1:5" x14ac:dyDescent="0.25">
      <c r="A26">
        <f t="shared" si="0"/>
        <v>15</v>
      </c>
      <c r="B26" s="908">
        <v>6.1150000000000002</v>
      </c>
      <c r="C26" s="913">
        <v>3.4542999999999999</v>
      </c>
      <c r="D26" s="914">
        <v>0.4587</v>
      </c>
      <c r="E26" s="915">
        <v>2.86E-2</v>
      </c>
    </row>
    <row r="27" spans="1:5" x14ac:dyDescent="0.25">
      <c r="A27">
        <f t="shared" si="0"/>
        <v>15</v>
      </c>
      <c r="B27" s="908">
        <v>3.1150000000000002</v>
      </c>
      <c r="C27" s="913">
        <v>3.4567000000000001</v>
      </c>
      <c r="D27" s="914">
        <v>0.3624</v>
      </c>
      <c r="E27" s="915">
        <v>2.9000000000000001E-2</v>
      </c>
    </row>
    <row r="28" spans="1:5" x14ac:dyDescent="0.25">
      <c r="A28">
        <f t="shared" si="0"/>
        <v>16</v>
      </c>
      <c r="B28" s="908">
        <v>4.1159999999999997</v>
      </c>
      <c r="C28" s="913">
        <v>3.7391000000000001</v>
      </c>
      <c r="D28" s="914">
        <v>0.29139999999999999</v>
      </c>
      <c r="E28" s="915">
        <v>2.6499999999999999E-2</v>
      </c>
    </row>
    <row r="29" spans="1:5" x14ac:dyDescent="0.25">
      <c r="A29">
        <f t="shared" si="0"/>
        <v>16</v>
      </c>
      <c r="B29" s="908">
        <v>1.1160000000000001</v>
      </c>
      <c r="C29" s="913">
        <v>3.7395999999999998</v>
      </c>
      <c r="D29" s="914">
        <v>0.1953</v>
      </c>
      <c r="E29" s="915">
        <v>2.3800000000000002E-2</v>
      </c>
    </row>
    <row r="30" spans="1:5" x14ac:dyDescent="0.25">
      <c r="A30">
        <f t="shared" si="0"/>
        <v>17</v>
      </c>
      <c r="B30" s="908">
        <v>2.117</v>
      </c>
      <c r="C30" s="913">
        <v>3.9918</v>
      </c>
      <c r="D30" s="914">
        <v>8.72E-2</v>
      </c>
      <c r="E30" s="915">
        <v>2.3300000000000001E-2</v>
      </c>
    </row>
    <row r="31" spans="1:5" x14ac:dyDescent="0.25">
      <c r="A31">
        <f t="shared" si="0"/>
        <v>17</v>
      </c>
      <c r="B31" s="908">
        <v>5.117</v>
      </c>
      <c r="C31" s="913">
        <v>3.9941</v>
      </c>
      <c r="D31" s="914">
        <v>0.18110000000000001</v>
      </c>
      <c r="E31" s="915">
        <v>2.29E-2</v>
      </c>
    </row>
    <row r="32" spans="1:5" x14ac:dyDescent="0.25">
      <c r="A32">
        <f t="shared" si="0"/>
        <v>18</v>
      </c>
      <c r="B32" s="908">
        <v>6.1180000000000003</v>
      </c>
      <c r="C32" s="913">
        <v>4.2300000000000004</v>
      </c>
      <c r="D32" s="914">
        <v>3.1600000000000003E-2</v>
      </c>
      <c r="E32" s="915">
        <v>2.18E-2</v>
      </c>
    </row>
    <row r="33" spans="1:5" x14ac:dyDescent="0.25">
      <c r="A33">
        <f t="shared" si="0"/>
        <v>18</v>
      </c>
      <c r="B33" s="908">
        <v>3.1179999999999999</v>
      </c>
      <c r="C33" s="913">
        <v>4.2309999999999999</v>
      </c>
      <c r="D33" s="914">
        <v>-6.4799999999999996E-2</v>
      </c>
      <c r="E33" s="915">
        <v>2.1999999999999999E-2</v>
      </c>
    </row>
    <row r="34" spans="1:5" x14ac:dyDescent="0.25">
      <c r="A34">
        <f t="shared" si="0"/>
        <v>19</v>
      </c>
      <c r="B34" s="908">
        <v>4.1189999999999998</v>
      </c>
      <c r="C34" s="913">
        <v>4.4397000000000002</v>
      </c>
      <c r="D34" s="914">
        <v>-0.24490000000000001</v>
      </c>
      <c r="E34" s="915">
        <v>1.89E-2</v>
      </c>
    </row>
    <row r="35" spans="1:5" x14ac:dyDescent="0.25">
      <c r="A35">
        <f t="shared" si="0"/>
        <v>19</v>
      </c>
      <c r="B35" s="908">
        <v>1.119</v>
      </c>
      <c r="C35" s="913">
        <v>4.4401000000000002</v>
      </c>
      <c r="D35" s="914">
        <v>-0.34089999999999998</v>
      </c>
      <c r="E35" s="915">
        <v>1.6899999999999998E-2</v>
      </c>
    </row>
    <row r="36" spans="1:5" x14ac:dyDescent="0.25">
      <c r="A36">
        <f t="shared" si="0"/>
        <v>20</v>
      </c>
      <c r="B36" s="908">
        <v>2.12</v>
      </c>
      <c r="C36" s="913">
        <v>4.6100000000000003</v>
      </c>
      <c r="D36" s="914">
        <v>-0.54600000000000004</v>
      </c>
      <c r="E36" s="915">
        <v>1.4500000000000001E-2</v>
      </c>
    </row>
    <row r="37" spans="1:5" x14ac:dyDescent="0.25">
      <c r="A37">
        <f t="shared" si="0"/>
        <v>20</v>
      </c>
      <c r="B37" s="908">
        <v>5.12</v>
      </c>
      <c r="C37" s="913">
        <v>4.6105</v>
      </c>
      <c r="D37" s="914">
        <v>-0.4516</v>
      </c>
      <c r="E37" s="915">
        <v>1.44E-2</v>
      </c>
    </row>
    <row r="38" spans="1:5" x14ac:dyDescent="0.25">
      <c r="A38">
        <f t="shared" si="0"/>
        <v>21</v>
      </c>
      <c r="B38" s="908">
        <v>6.1210000000000004</v>
      </c>
      <c r="C38" s="913">
        <v>4.7435999999999998</v>
      </c>
      <c r="D38" s="914">
        <v>-0.67349999999999999</v>
      </c>
      <c r="E38" s="915">
        <v>1.09E-2</v>
      </c>
    </row>
    <row r="39" spans="1:5" x14ac:dyDescent="0.25">
      <c r="A39">
        <f t="shared" si="0"/>
        <v>21</v>
      </c>
      <c r="B39" s="908">
        <v>3.121</v>
      </c>
      <c r="C39" s="913">
        <v>4.7435999999999998</v>
      </c>
      <c r="D39" s="914">
        <v>-0.76849999999999996</v>
      </c>
      <c r="E39" s="915">
        <v>1.09E-2</v>
      </c>
    </row>
    <row r="40" spans="1:5" x14ac:dyDescent="0.25">
      <c r="A40">
        <f t="shared" si="0"/>
        <v>22</v>
      </c>
      <c r="B40" s="908">
        <v>4.1219999999999999</v>
      </c>
      <c r="C40" s="913">
        <v>4.8395999999999999</v>
      </c>
      <c r="D40" s="914">
        <v>-1.0056</v>
      </c>
      <c r="E40" s="915">
        <v>7.7999999999999996E-3</v>
      </c>
    </row>
    <row r="41" spans="1:5" x14ac:dyDescent="0.25">
      <c r="A41">
        <f t="shared" si="0"/>
        <v>22</v>
      </c>
      <c r="B41" s="908">
        <v>1.1220000000000001</v>
      </c>
      <c r="C41" s="913">
        <v>4.8396999999999997</v>
      </c>
      <c r="D41" s="914">
        <v>-1.101</v>
      </c>
      <c r="E41" s="915">
        <v>7.0000000000000001E-3</v>
      </c>
    </row>
    <row r="42" spans="1:5" x14ac:dyDescent="0.25">
      <c r="A42">
        <f t="shared" si="0"/>
        <v>23</v>
      </c>
      <c r="B42" s="908">
        <v>2.1230000000000002</v>
      </c>
      <c r="C42" s="913">
        <v>4.8981000000000003</v>
      </c>
      <c r="D42" s="914">
        <v>-1.3608</v>
      </c>
      <c r="E42" s="915">
        <v>3.7000000000000002E-3</v>
      </c>
    </row>
    <row r="43" spans="1:5" x14ac:dyDescent="0.25">
      <c r="A43">
        <f t="shared" si="0"/>
        <v>23</v>
      </c>
      <c r="B43" s="908">
        <v>5.1230000000000002</v>
      </c>
      <c r="C43" s="913">
        <v>4.8981000000000003</v>
      </c>
      <c r="D43" s="914">
        <v>-1.2657</v>
      </c>
      <c r="E43" s="915">
        <v>3.7000000000000002E-3</v>
      </c>
    </row>
    <row r="44" spans="1:5" x14ac:dyDescent="0.25">
      <c r="A44">
        <f t="shared" si="0"/>
        <v>24</v>
      </c>
      <c r="B44" s="908">
        <v>3.1240000000000001</v>
      </c>
      <c r="C44" s="913">
        <v>4.9214000000000002</v>
      </c>
      <c r="D44" s="914">
        <v>-1.6316999999999999</v>
      </c>
      <c r="E44" s="915">
        <v>6.9999999999999999E-4</v>
      </c>
    </row>
    <row r="45" spans="1:5" x14ac:dyDescent="0.25">
      <c r="A45">
        <f t="shared" si="0"/>
        <v>24</v>
      </c>
      <c r="B45" s="908">
        <v>6.1239999999999997</v>
      </c>
      <c r="C45" s="913">
        <v>4.9214000000000002</v>
      </c>
      <c r="D45" s="914">
        <v>-1.5367</v>
      </c>
      <c r="E45" s="915">
        <v>6.9999999999999999E-4</v>
      </c>
    </row>
    <row r="46" spans="1:5" x14ac:dyDescent="0.25">
      <c r="A46">
        <f t="shared" si="0"/>
        <v>25</v>
      </c>
      <c r="B46" s="908">
        <v>4.125</v>
      </c>
      <c r="C46" s="913">
        <v>4.9313000000000002</v>
      </c>
      <c r="D46" s="914">
        <v>-1.6751</v>
      </c>
      <c r="E46" s="915">
        <v>1.1999999999999999E-3</v>
      </c>
    </row>
    <row r="47" spans="1:5" x14ac:dyDescent="0.25">
      <c r="A47">
        <f t="shared" si="0"/>
        <v>25</v>
      </c>
      <c r="B47" s="908">
        <v>1.125</v>
      </c>
      <c r="C47" s="913">
        <v>4.9313000000000002</v>
      </c>
      <c r="D47" s="914">
        <v>-1.7703</v>
      </c>
      <c r="E47" s="915">
        <v>1.1000000000000001E-3</v>
      </c>
    </row>
    <row r="48" spans="1:5" x14ac:dyDescent="0.25">
      <c r="A48">
        <f t="shared" si="0"/>
        <v>0</v>
      </c>
      <c r="B48" s="908"/>
      <c r="C48" s="913"/>
      <c r="D48" s="914"/>
      <c r="E48" s="915"/>
    </row>
    <row r="49" spans="1:5" x14ac:dyDescent="0.25">
      <c r="A49">
        <f t="shared" si="0"/>
        <v>0</v>
      </c>
      <c r="B49" s="908"/>
      <c r="C49" s="913"/>
      <c r="D49" s="914"/>
      <c r="E49" s="915"/>
    </row>
    <row r="50" spans="1:5" x14ac:dyDescent="0.25">
      <c r="A50">
        <f t="shared" si="0"/>
        <v>0</v>
      </c>
      <c r="B50" s="908"/>
      <c r="C50" s="913"/>
      <c r="D50" s="914"/>
      <c r="E50" s="915"/>
    </row>
    <row r="51" spans="1:5" x14ac:dyDescent="0.25">
      <c r="A51">
        <f t="shared" si="0"/>
        <v>0</v>
      </c>
      <c r="B51" s="908"/>
      <c r="C51" s="913"/>
      <c r="D51" s="914"/>
      <c r="E51" s="915"/>
    </row>
    <row r="52" spans="1:5" x14ac:dyDescent="0.25">
      <c r="A52">
        <f t="shared" si="0"/>
        <v>0</v>
      </c>
      <c r="B52" s="908"/>
      <c r="C52" s="913"/>
      <c r="D52" s="914"/>
      <c r="E52" s="915"/>
    </row>
    <row r="53" spans="1:5" x14ac:dyDescent="0.25">
      <c r="A53">
        <f t="shared" si="0"/>
        <v>0</v>
      </c>
      <c r="B53" s="908"/>
      <c r="C53" s="913"/>
      <c r="D53" s="914"/>
      <c r="E53" s="915"/>
    </row>
    <row r="54" spans="1:5" x14ac:dyDescent="0.25">
      <c r="A54">
        <f t="shared" si="0"/>
        <v>0</v>
      </c>
      <c r="B54" s="908"/>
      <c r="C54" s="913"/>
      <c r="D54" s="914"/>
      <c r="E54" s="915"/>
    </row>
    <row r="55" spans="1:5" x14ac:dyDescent="0.25">
      <c r="A55">
        <f t="shared" si="0"/>
        <v>0</v>
      </c>
      <c r="B55" s="908"/>
      <c r="C55" s="913"/>
      <c r="D55" s="914"/>
      <c r="E55" s="915"/>
    </row>
    <row r="56" spans="1:5" x14ac:dyDescent="0.25">
      <c r="B56" s="908"/>
      <c r="C56" s="913"/>
      <c r="D56" s="914"/>
      <c r="E56" s="915"/>
    </row>
    <row r="57" spans="1:5" x14ac:dyDescent="0.25">
      <c r="B57" s="908"/>
      <c r="C57" s="913"/>
      <c r="D57" s="914"/>
      <c r="E57" s="915"/>
    </row>
    <row r="58" spans="1:5" x14ac:dyDescent="0.25">
      <c r="B58" s="908"/>
      <c r="C58" s="913"/>
      <c r="D58" s="914"/>
      <c r="E58" s="915"/>
    </row>
    <row r="59" spans="1:5" x14ac:dyDescent="0.25">
      <c r="B59" s="908"/>
      <c r="C59" s="913"/>
      <c r="D59" s="914"/>
      <c r="E59" s="915"/>
    </row>
    <row r="60" spans="1:5" x14ac:dyDescent="0.25">
      <c r="B60" s="908"/>
      <c r="C60" s="913"/>
      <c r="D60" s="914"/>
      <c r="E60" s="915"/>
    </row>
    <row r="61" spans="1:5" x14ac:dyDescent="0.25">
      <c r="B61" s="908"/>
      <c r="C61" s="913"/>
      <c r="D61" s="914"/>
      <c r="E61" s="915"/>
    </row>
    <row r="62" spans="1:5" x14ac:dyDescent="0.25">
      <c r="B62" s="908"/>
      <c r="C62" s="913"/>
      <c r="D62" s="914"/>
      <c r="E62" s="915"/>
    </row>
    <row r="63" spans="1:5" x14ac:dyDescent="0.25">
      <c r="B63" s="908"/>
      <c r="C63" s="913"/>
      <c r="D63" s="914"/>
      <c r="E63" s="915"/>
    </row>
    <row r="64" spans="1:5" x14ac:dyDescent="0.25">
      <c r="B64" s="908"/>
      <c r="C64" s="913"/>
      <c r="D64" s="914"/>
      <c r="E64" s="915"/>
    </row>
    <row r="65" spans="2:5" x14ac:dyDescent="0.25">
      <c r="B65" s="908"/>
      <c r="C65" s="913"/>
      <c r="D65" s="914"/>
      <c r="E65" s="915"/>
    </row>
    <row r="66" spans="2:5" x14ac:dyDescent="0.25">
      <c r="B66" s="908"/>
      <c r="C66" s="913"/>
      <c r="D66" s="914"/>
      <c r="E66" s="915"/>
    </row>
    <row r="67" spans="2:5" x14ac:dyDescent="0.25">
      <c r="B67" s="908"/>
      <c r="C67" s="913"/>
      <c r="D67" s="914"/>
      <c r="E67" s="915"/>
    </row>
    <row r="68" spans="2:5" x14ac:dyDescent="0.25">
      <c r="B68" s="908"/>
      <c r="C68" s="913"/>
      <c r="D68" s="914"/>
      <c r="E68" s="915"/>
    </row>
    <row r="69" spans="2:5" x14ac:dyDescent="0.25">
      <c r="B69" s="908"/>
      <c r="C69" s="913"/>
      <c r="D69" s="914"/>
      <c r="E69" s="915"/>
    </row>
    <row r="70" spans="2:5" x14ac:dyDescent="0.25">
      <c r="B70" s="908"/>
      <c r="C70" s="913"/>
      <c r="D70" s="914"/>
      <c r="E70" s="915"/>
    </row>
    <row r="71" spans="2:5" x14ac:dyDescent="0.25">
      <c r="B71" s="908"/>
      <c r="C71" s="913"/>
      <c r="D71" s="914"/>
      <c r="E71" s="915"/>
    </row>
    <row r="72" spans="2:5" x14ac:dyDescent="0.25">
      <c r="B72" s="908"/>
      <c r="C72" s="913"/>
      <c r="D72" s="914"/>
      <c r="E72" s="915"/>
    </row>
    <row r="73" spans="2:5" x14ac:dyDescent="0.25">
      <c r="B73" s="908"/>
      <c r="C73" s="913"/>
      <c r="D73" s="914"/>
      <c r="E73" s="915"/>
    </row>
    <row r="74" spans="2:5" x14ac:dyDescent="0.25">
      <c r="B74" s="908"/>
      <c r="C74" s="913"/>
      <c r="D74" s="914"/>
      <c r="E74" s="915"/>
    </row>
    <row r="75" spans="2:5" x14ac:dyDescent="0.25">
      <c r="B75" s="908"/>
      <c r="C75" s="913"/>
      <c r="D75" s="914"/>
      <c r="E75" s="915"/>
    </row>
    <row r="76" spans="2:5" x14ac:dyDescent="0.25">
      <c r="B76" s="908"/>
      <c r="C76" s="913"/>
      <c r="D76" s="914"/>
      <c r="E76" s="915"/>
    </row>
    <row r="77" spans="2:5" x14ac:dyDescent="0.25">
      <c r="B77" s="908"/>
      <c r="C77" s="913"/>
      <c r="D77" s="914"/>
      <c r="E77" s="915"/>
    </row>
    <row r="78" spans="2:5" x14ac:dyDescent="0.25">
      <c r="B78" s="908"/>
      <c r="C78" s="913"/>
      <c r="D78" s="914"/>
      <c r="E78" s="915"/>
    </row>
    <row r="79" spans="2:5" x14ac:dyDescent="0.25">
      <c r="B79" s="908"/>
      <c r="C79" s="913"/>
      <c r="D79" s="914"/>
      <c r="E79" s="915"/>
    </row>
    <row r="80" spans="2:5" x14ac:dyDescent="0.25">
      <c r="B80" s="908"/>
      <c r="C80" s="913"/>
      <c r="D80" s="914"/>
      <c r="E80" s="915"/>
    </row>
    <row r="81" spans="2:5" x14ac:dyDescent="0.25">
      <c r="B81" s="908"/>
      <c r="C81" s="913"/>
      <c r="D81" s="914"/>
      <c r="E81" s="915"/>
    </row>
    <row r="82" spans="2:5" x14ac:dyDescent="0.25">
      <c r="B82" s="908"/>
      <c r="C82" s="913"/>
      <c r="D82" s="914"/>
      <c r="E82" s="915"/>
    </row>
    <row r="83" spans="2:5" x14ac:dyDescent="0.25">
      <c r="B83" s="908"/>
      <c r="C83" s="913"/>
      <c r="D83" s="914"/>
      <c r="E83" s="915"/>
    </row>
    <row r="84" spans="2:5" x14ac:dyDescent="0.25">
      <c r="B84" s="908"/>
      <c r="C84" s="913"/>
      <c r="D84" s="914"/>
      <c r="E84" s="915"/>
    </row>
    <row r="85" spans="2:5" x14ac:dyDescent="0.25">
      <c r="B85" s="908"/>
      <c r="C85" s="913"/>
      <c r="D85" s="914"/>
      <c r="E85" s="915"/>
    </row>
    <row r="86" spans="2:5" x14ac:dyDescent="0.25">
      <c r="B86" s="908"/>
      <c r="C86" s="913"/>
      <c r="D86" s="914"/>
      <c r="E86" s="915"/>
    </row>
    <row r="87" spans="2:5" x14ac:dyDescent="0.25">
      <c r="B87" s="908"/>
      <c r="C87" s="913"/>
      <c r="D87" s="914"/>
      <c r="E87" s="915"/>
    </row>
    <row r="88" spans="2:5" x14ac:dyDescent="0.25">
      <c r="B88" s="908"/>
      <c r="C88" s="913"/>
      <c r="D88" s="914"/>
      <c r="E88" s="915"/>
    </row>
    <row r="89" spans="2:5" x14ac:dyDescent="0.25">
      <c r="B89" s="908"/>
      <c r="C89" s="913"/>
      <c r="D89" s="914"/>
      <c r="E89" s="915"/>
    </row>
    <row r="90" spans="2:5" x14ac:dyDescent="0.25">
      <c r="B90" s="908"/>
      <c r="C90" s="913"/>
      <c r="D90" s="914"/>
      <c r="E90" s="915"/>
    </row>
    <row r="91" spans="2:5" x14ac:dyDescent="0.25">
      <c r="B91" s="908"/>
      <c r="C91" s="913"/>
      <c r="D91" s="914"/>
      <c r="E91" s="915"/>
    </row>
    <row r="92" spans="2:5" x14ac:dyDescent="0.25">
      <c r="B92" s="908"/>
      <c r="C92" s="913"/>
      <c r="D92" s="914"/>
      <c r="E92" s="915"/>
    </row>
    <row r="93" spans="2:5" x14ac:dyDescent="0.25">
      <c r="B93" s="908"/>
      <c r="C93" s="913"/>
      <c r="D93" s="914"/>
      <c r="E93" s="915"/>
    </row>
    <row r="94" spans="2:5" x14ac:dyDescent="0.25">
      <c r="B94" s="908"/>
      <c r="C94" s="913"/>
      <c r="D94" s="914"/>
      <c r="E94" s="915"/>
    </row>
    <row r="95" spans="2:5" x14ac:dyDescent="0.25">
      <c r="B95" s="908"/>
      <c r="C95" s="913"/>
      <c r="D95" s="914"/>
      <c r="E95" s="915"/>
    </row>
    <row r="96" spans="2:5" x14ac:dyDescent="0.25">
      <c r="B96" s="908"/>
      <c r="C96" s="913"/>
      <c r="D96" s="914"/>
      <c r="E96" s="915"/>
    </row>
    <row r="97" spans="2:5" x14ac:dyDescent="0.25">
      <c r="B97" s="908"/>
      <c r="C97" s="913"/>
      <c r="D97" s="914"/>
      <c r="E97" s="915"/>
    </row>
    <row r="98" spans="2:5" x14ac:dyDescent="0.25">
      <c r="B98" s="908"/>
      <c r="C98" s="913"/>
      <c r="D98" s="914"/>
      <c r="E98" s="915"/>
    </row>
    <row r="99" spans="2:5" x14ac:dyDescent="0.25">
      <c r="B99" s="908"/>
      <c r="C99" s="913"/>
      <c r="D99" s="914"/>
      <c r="E99" s="915"/>
    </row>
    <row r="100" spans="2:5" x14ac:dyDescent="0.25">
      <c r="B100" s="908"/>
      <c r="C100" s="913"/>
      <c r="D100" s="914"/>
      <c r="E100" s="915"/>
    </row>
    <row r="101" spans="2:5" x14ac:dyDescent="0.25">
      <c r="B101" s="908"/>
      <c r="C101" s="913"/>
      <c r="D101" s="914"/>
      <c r="E101" s="915"/>
    </row>
    <row r="102" spans="2:5" x14ac:dyDescent="0.25">
      <c r="B102" s="908"/>
      <c r="C102" s="913"/>
      <c r="D102" s="914"/>
      <c r="E102" s="915"/>
    </row>
    <row r="103" spans="2:5" x14ac:dyDescent="0.25">
      <c r="B103" s="908"/>
      <c r="C103" s="913"/>
      <c r="D103" s="914"/>
      <c r="E103" s="915"/>
    </row>
    <row r="104" spans="2:5" x14ac:dyDescent="0.25">
      <c r="B104" s="908"/>
      <c r="C104" s="913"/>
      <c r="D104" s="914"/>
      <c r="E104" s="915"/>
    </row>
    <row r="105" spans="2:5" x14ac:dyDescent="0.25">
      <c r="B105" s="908"/>
      <c r="C105" s="913"/>
      <c r="D105" s="914"/>
      <c r="E105" s="915"/>
    </row>
    <row r="106" spans="2:5" x14ac:dyDescent="0.25">
      <c r="B106" s="908"/>
      <c r="C106" s="913"/>
      <c r="D106" s="914"/>
      <c r="E106" s="915"/>
    </row>
    <row r="107" spans="2:5" x14ac:dyDescent="0.25">
      <c r="B107" s="908"/>
      <c r="C107" s="913"/>
      <c r="D107" s="914"/>
      <c r="E107" s="915"/>
    </row>
    <row r="108" spans="2:5" x14ac:dyDescent="0.25">
      <c r="B108" s="908"/>
      <c r="C108" s="913"/>
      <c r="D108" s="914"/>
      <c r="E108" s="915"/>
    </row>
    <row r="109" spans="2:5" x14ac:dyDescent="0.25">
      <c r="B109" s="908"/>
      <c r="C109" s="913"/>
      <c r="D109" s="914"/>
      <c r="E109" s="915"/>
    </row>
    <row r="110" spans="2:5" x14ac:dyDescent="0.25">
      <c r="B110" s="908"/>
      <c r="C110" s="913"/>
      <c r="D110" s="914"/>
      <c r="E110" s="915"/>
    </row>
    <row r="111" spans="2:5" x14ac:dyDescent="0.25">
      <c r="B111" s="908"/>
      <c r="C111" s="913"/>
      <c r="D111" s="914"/>
      <c r="E111" s="915"/>
    </row>
    <row r="112" spans="2:5" x14ac:dyDescent="0.25">
      <c r="B112" s="908"/>
      <c r="C112" s="913"/>
      <c r="D112" s="914"/>
      <c r="E112" s="915"/>
    </row>
    <row r="113" spans="2:5" x14ac:dyDescent="0.25">
      <c r="B113" s="908"/>
      <c r="C113" s="913"/>
      <c r="D113" s="914"/>
      <c r="E113" s="915"/>
    </row>
    <row r="114" spans="2:5" x14ac:dyDescent="0.25">
      <c r="B114" s="908"/>
      <c r="C114" s="913"/>
      <c r="D114" s="914"/>
      <c r="E114" s="915"/>
    </row>
    <row r="115" spans="2:5" x14ac:dyDescent="0.25">
      <c r="B115" s="908"/>
      <c r="C115" s="913"/>
      <c r="D115" s="914"/>
      <c r="E115" s="915"/>
    </row>
    <row r="116" spans="2:5" x14ac:dyDescent="0.25">
      <c r="B116" s="908"/>
      <c r="C116" s="913"/>
      <c r="D116" s="914"/>
      <c r="E116" s="915"/>
    </row>
    <row r="117" spans="2:5" x14ac:dyDescent="0.25">
      <c r="B117" s="908"/>
      <c r="C117" s="913"/>
      <c r="D117" s="914"/>
      <c r="E117" s="915"/>
    </row>
    <row r="118" spans="2:5" x14ac:dyDescent="0.25">
      <c r="B118" s="908"/>
      <c r="C118" s="913"/>
      <c r="D118" s="914"/>
      <c r="E118" s="915"/>
    </row>
    <row r="119" spans="2:5" x14ac:dyDescent="0.25">
      <c r="B119" s="908"/>
      <c r="C119" s="913"/>
      <c r="D119" s="914"/>
      <c r="E119" s="915"/>
    </row>
    <row r="120" spans="2:5" x14ac:dyDescent="0.25">
      <c r="B120" s="908"/>
      <c r="C120" s="913"/>
      <c r="D120" s="914"/>
      <c r="E120" s="915"/>
    </row>
    <row r="121" spans="2:5" x14ac:dyDescent="0.25">
      <c r="B121" s="908"/>
      <c r="C121" s="913"/>
      <c r="D121" s="914"/>
      <c r="E121" s="915"/>
    </row>
    <row r="122" spans="2:5" x14ac:dyDescent="0.25">
      <c r="B122" s="908"/>
      <c r="C122" s="913"/>
      <c r="D122" s="914"/>
      <c r="E122" s="915"/>
    </row>
    <row r="123" spans="2:5" x14ac:dyDescent="0.25">
      <c r="B123" s="908"/>
      <c r="C123" s="913"/>
      <c r="D123" s="914"/>
      <c r="E123" s="915"/>
    </row>
    <row r="124" spans="2:5" x14ac:dyDescent="0.25">
      <c r="B124" s="908"/>
      <c r="C124" s="913"/>
      <c r="D124" s="914"/>
      <c r="E124" s="915"/>
    </row>
    <row r="125" spans="2:5" x14ac:dyDescent="0.25">
      <c r="B125" s="908"/>
      <c r="C125" s="913"/>
      <c r="D125" s="914"/>
      <c r="E125" s="915"/>
    </row>
    <row r="126" spans="2:5" x14ac:dyDescent="0.25">
      <c r="B126" s="908"/>
      <c r="C126" s="913"/>
      <c r="D126" s="914"/>
      <c r="E126" s="915"/>
    </row>
    <row r="127" spans="2:5" x14ac:dyDescent="0.25">
      <c r="B127" s="908"/>
      <c r="C127" s="913"/>
      <c r="D127" s="914"/>
      <c r="E127" s="915"/>
    </row>
    <row r="128" spans="2:5" x14ac:dyDescent="0.25">
      <c r="B128" s="908"/>
      <c r="C128" s="913"/>
      <c r="D128" s="914"/>
      <c r="E128" s="915"/>
    </row>
    <row r="129" spans="2:5" x14ac:dyDescent="0.25">
      <c r="B129" s="908"/>
      <c r="C129" s="913"/>
      <c r="D129" s="914"/>
      <c r="E129" s="915"/>
    </row>
    <row r="130" spans="2:5" x14ac:dyDescent="0.25">
      <c r="B130" s="908"/>
      <c r="C130" s="913"/>
      <c r="D130" s="914"/>
      <c r="E130" s="915"/>
    </row>
    <row r="131" spans="2:5" x14ac:dyDescent="0.25">
      <c r="B131" s="908"/>
      <c r="C131" s="913"/>
      <c r="D131" s="914"/>
      <c r="E131" s="915"/>
    </row>
    <row r="132" spans="2:5" x14ac:dyDescent="0.25">
      <c r="B132" s="908"/>
      <c r="C132" s="913"/>
      <c r="D132" s="914"/>
      <c r="E132" s="915"/>
    </row>
    <row r="133" spans="2:5" x14ac:dyDescent="0.25">
      <c r="B133" s="908"/>
      <c r="C133" s="913"/>
      <c r="D133" s="914"/>
      <c r="E133" s="915"/>
    </row>
    <row r="134" spans="2:5" x14ac:dyDescent="0.25">
      <c r="B134" s="908"/>
      <c r="C134" s="913"/>
      <c r="D134" s="914"/>
      <c r="E134" s="915"/>
    </row>
    <row r="135" spans="2:5" x14ac:dyDescent="0.25">
      <c r="B135" s="908"/>
      <c r="C135" s="913"/>
      <c r="D135" s="914"/>
      <c r="E135" s="915"/>
    </row>
    <row r="136" spans="2:5" x14ac:dyDescent="0.25">
      <c r="B136" s="908"/>
      <c r="C136" s="913"/>
      <c r="D136" s="914"/>
      <c r="E136" s="915"/>
    </row>
    <row r="137" spans="2:5" x14ac:dyDescent="0.25">
      <c r="B137" s="908"/>
      <c r="C137" s="913"/>
      <c r="D137" s="914"/>
      <c r="E137" s="915"/>
    </row>
    <row r="138" spans="2:5" x14ac:dyDescent="0.25">
      <c r="B138" s="908"/>
      <c r="C138" s="913"/>
      <c r="D138" s="914"/>
      <c r="E138" s="915"/>
    </row>
    <row r="139" spans="2:5" x14ac:dyDescent="0.25">
      <c r="B139" s="908"/>
      <c r="C139" s="913"/>
      <c r="D139" s="914"/>
      <c r="E139" s="915"/>
    </row>
    <row r="140" spans="2:5" x14ac:dyDescent="0.25">
      <c r="B140" s="908"/>
      <c r="C140" s="913"/>
      <c r="D140" s="914"/>
      <c r="E140" s="915"/>
    </row>
    <row r="141" spans="2:5" x14ac:dyDescent="0.25">
      <c r="B141" s="908"/>
      <c r="C141" s="913"/>
      <c r="D141" s="914"/>
      <c r="E141" s="915"/>
    </row>
    <row r="142" spans="2:5" x14ac:dyDescent="0.25">
      <c r="B142" s="908"/>
      <c r="C142" s="913"/>
      <c r="D142" s="914"/>
      <c r="E142" s="915"/>
    </row>
    <row r="143" spans="2:5" x14ac:dyDescent="0.25">
      <c r="B143" s="908"/>
      <c r="C143" s="913"/>
      <c r="D143" s="914"/>
      <c r="E143" s="915"/>
    </row>
    <row r="144" spans="2:5" x14ac:dyDescent="0.25">
      <c r="B144" s="908"/>
      <c r="C144" s="913"/>
      <c r="D144" s="914"/>
      <c r="E144" s="915"/>
    </row>
    <row r="145" spans="2:5" x14ac:dyDescent="0.25">
      <c r="B145" s="908"/>
      <c r="C145" s="913"/>
      <c r="D145" s="914"/>
      <c r="E145" s="915"/>
    </row>
    <row r="146" spans="2:5" x14ac:dyDescent="0.25">
      <c r="B146" s="908"/>
      <c r="C146" s="913"/>
      <c r="D146" s="914"/>
      <c r="E146" s="915"/>
    </row>
    <row r="147" spans="2:5" x14ac:dyDescent="0.25">
      <c r="B147" s="908"/>
      <c r="C147" s="913"/>
      <c r="D147" s="914"/>
      <c r="E147" s="915"/>
    </row>
    <row r="148" spans="2:5" x14ac:dyDescent="0.25">
      <c r="B148" s="908"/>
      <c r="C148" s="913"/>
      <c r="D148" s="914"/>
      <c r="E148" s="915"/>
    </row>
    <row r="149" spans="2:5" x14ac:dyDescent="0.25">
      <c r="B149" s="908"/>
      <c r="C149" s="913"/>
      <c r="D149" s="914"/>
      <c r="E149" s="915"/>
    </row>
    <row r="150" spans="2:5" x14ac:dyDescent="0.25">
      <c r="B150" s="909"/>
      <c r="C150" s="916"/>
      <c r="D150" s="917"/>
      <c r="E150" s="918"/>
    </row>
  </sheetData>
  <sortState xmlns:xlrd2="http://schemas.microsoft.com/office/spreadsheetml/2017/richdata2" ref="A9:E55">
    <sortCondition ref="A9:A55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2024-01-08T13:11:42Z</cp:lastPrinted>
  <dcterms:created xsi:type="dcterms:W3CDTF">2012-04-19T16:28:10Z</dcterms:created>
  <dcterms:modified xsi:type="dcterms:W3CDTF">2024-01-08T17:18:09Z</dcterms:modified>
</cp:coreProperties>
</file>