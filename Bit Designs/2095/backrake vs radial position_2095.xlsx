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40" yWindow="1560" windowWidth="21075" windowHeight="8250"/>
  </bookViews>
  <sheets>
    <sheet name="Graph" sheetId="7" r:id="rId1"/>
    <sheet name="Data" sheetId="1" r:id="rId2"/>
  </sheets>
  <calcPr calcId="125725"/>
</workbook>
</file>

<file path=xl/calcChain.xml><?xml version="1.0" encoding="utf-8"?>
<calcChain xmlns="http://schemas.openxmlformats.org/spreadsheetml/2006/main">
  <c r="B29" i="1"/>
  <c r="D29" s="1"/>
  <c r="D28"/>
  <c r="B28"/>
  <c r="B27"/>
  <c r="D27" s="1"/>
  <c r="D26"/>
  <c r="D25"/>
  <c r="D24"/>
  <c r="D23"/>
  <c r="D22"/>
  <c r="D21"/>
  <c r="D20"/>
  <c r="D19"/>
  <c r="D18"/>
  <c r="D17"/>
  <c r="D16"/>
  <c r="D15"/>
  <c r="D14"/>
  <c r="D13"/>
  <c r="D12"/>
  <c r="D11"/>
  <c r="D10"/>
  <c r="D9"/>
  <c r="D8"/>
  <c r="D7"/>
  <c r="D6"/>
  <c r="D5"/>
  <c r="D4"/>
  <c r="D3"/>
</calcChain>
</file>

<file path=xl/sharedStrings.xml><?xml version="1.0" encoding="utf-8"?>
<sst xmlns="http://schemas.openxmlformats.org/spreadsheetml/2006/main" count="3" uniqueCount="3">
  <si>
    <t>Radius</t>
  </si>
  <si>
    <t>Backrake</t>
  </si>
  <si>
    <t>%Rad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</si>
</sst>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8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Cutter Backrake vs Radial</a:t>
            </a:r>
            <a:r>
              <a:rPr lang="en-US" baseline="0"/>
              <a:t> Position</a:t>
            </a:r>
          </a:p>
        </c:rich>
      </c:tx>
      <c:layout/>
      <c:overlay val="1"/>
    </c:title>
    <c:plotArea>
      <c:layout>
        <c:manualLayout>
          <c:layoutTarget val="inner"/>
          <c:xMode val="edge"/>
          <c:yMode val="edge"/>
          <c:x val="9.9352490852794045E-2"/>
          <c:y val="0.11314794485002024"/>
          <c:w val="0.86192924378449298"/>
          <c:h val="0.77385703825088692"/>
        </c:manualLayout>
      </c:layout>
      <c:scatterChart>
        <c:scatterStyle val="lineMarker"/>
        <c:ser>
          <c:idx val="0"/>
          <c:order val="0"/>
          <c:tx>
            <c:strRef>
              <c:f>Data!$B$1</c:f>
              <c:strCache>
                <c:ptCount val="1"/>
                <c:pt idx="0">
                  <c:v>2095</c:v>
                </c:pt>
              </c:strCache>
            </c:strRef>
          </c:tx>
          <c:spPr>
            <a:ln w="12700"/>
          </c:spPr>
          <c:marker>
            <c:symbol val="diamond"/>
            <c:size val="4"/>
          </c:marker>
          <c:xVal>
            <c:numRef>
              <c:f>Data!$D$3:$D$29</c:f>
              <c:numCache>
                <c:formatCode>0.00%</c:formatCode>
                <c:ptCount val="27"/>
                <c:pt idx="0">
                  <c:v>5.9908860759493671E-2</c:v>
                </c:pt>
                <c:pt idx="1">
                  <c:v>0.10252151898734177</c:v>
                </c:pt>
                <c:pt idx="2">
                  <c:v>0.14485063291139239</c:v>
                </c:pt>
                <c:pt idx="3">
                  <c:v>0.18715949367088608</c:v>
                </c:pt>
                <c:pt idx="4">
                  <c:v>0.22948860759493669</c:v>
                </c:pt>
                <c:pt idx="5">
                  <c:v>0.27179746835443042</c:v>
                </c:pt>
                <c:pt idx="6">
                  <c:v>0.314126582278481</c:v>
                </c:pt>
                <c:pt idx="7">
                  <c:v>0.3564354430379747</c:v>
                </c:pt>
                <c:pt idx="8">
                  <c:v>0.39876455696202534</c:v>
                </c:pt>
                <c:pt idx="9">
                  <c:v>0.44107341772151898</c:v>
                </c:pt>
                <c:pt idx="10">
                  <c:v>0.48340253164556962</c:v>
                </c:pt>
                <c:pt idx="11">
                  <c:v>0.52571139240506326</c:v>
                </c:pt>
                <c:pt idx="12">
                  <c:v>0.58025316455696208</c:v>
                </c:pt>
                <c:pt idx="13">
                  <c:v>0.63898734177215188</c:v>
                </c:pt>
                <c:pt idx="14">
                  <c:v>0.69693164556962028</c:v>
                </c:pt>
                <c:pt idx="15">
                  <c:v>0.75226329113924051</c:v>
                </c:pt>
                <c:pt idx="16">
                  <c:v>0.80109367088607597</c:v>
                </c:pt>
                <c:pt idx="17">
                  <c:v>0.85154430379746837</c:v>
                </c:pt>
                <c:pt idx="18">
                  <c:v>0.89284050632911394</c:v>
                </c:pt>
                <c:pt idx="19">
                  <c:v>0.92832405063291135</c:v>
                </c:pt>
                <c:pt idx="20">
                  <c:v>0.95641518987341767</c:v>
                </c:pt>
                <c:pt idx="21">
                  <c:v>0.976546835443038</c:v>
                </c:pt>
                <c:pt idx="22">
                  <c:v>0.9882329113924051</c:v>
                </c:pt>
                <c:pt idx="23">
                  <c:v>0.99331645569620242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</c:numCache>
            </c:numRef>
          </c:xVal>
          <c:yVal>
            <c:numRef>
              <c:f>Data!$C$3:$C$29</c:f>
              <c:numCache>
                <c:formatCode>General</c:formatCode>
                <c:ptCount val="27"/>
                <c:pt idx="0">
                  <c:v>20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17.5</c:v>
                </c:pt>
                <c:pt idx="13">
                  <c:v>18</c:v>
                </c:pt>
                <c:pt idx="14">
                  <c:v>19</c:v>
                </c:pt>
                <c:pt idx="15">
                  <c:v>20</c:v>
                </c:pt>
                <c:pt idx="16">
                  <c:v>21</c:v>
                </c:pt>
                <c:pt idx="17">
                  <c:v>22</c:v>
                </c:pt>
                <c:pt idx="18">
                  <c:v>22.5</c:v>
                </c:pt>
                <c:pt idx="19">
                  <c:v>23</c:v>
                </c:pt>
                <c:pt idx="20">
                  <c:v>24</c:v>
                </c:pt>
                <c:pt idx="21">
                  <c:v>25</c:v>
                </c:pt>
                <c:pt idx="22">
                  <c:v>27</c:v>
                </c:pt>
                <c:pt idx="23">
                  <c:v>29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</c:numCache>
            </c:numRef>
          </c:yVal>
        </c:ser>
        <c:axId val="129723392"/>
        <c:axId val="57905536"/>
      </c:scatterChart>
      <c:valAx>
        <c:axId val="129723392"/>
        <c:scaling>
          <c:orientation val="minMax"/>
          <c:max val="1"/>
          <c:min val="0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800"/>
                  <a:t>Percentage of Radius</a:t>
                </a:r>
              </a:p>
            </c:rich>
          </c:tx>
          <c:layout/>
        </c:title>
        <c:numFmt formatCode="0%" sourceLinked="0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57905536"/>
        <c:crosses val="autoZero"/>
        <c:crossBetween val="midCat"/>
        <c:majorUnit val="0.1"/>
      </c:valAx>
      <c:valAx>
        <c:axId val="57905536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sz="1800"/>
                  <a:t>Backrake Angle</a:t>
                </a:r>
              </a:p>
            </c:rich>
          </c:tx>
          <c:layout>
            <c:manualLayout>
              <c:xMode val="edge"/>
              <c:yMode val="edge"/>
              <c:x val="1.6528059017786055E-2"/>
              <c:y val="0.37917397626805993"/>
            </c:manualLayout>
          </c:layout>
        </c:title>
        <c:numFmt formatCode="0\°" sourceLinked="0"/>
        <c:tickLblPos val="nextTo"/>
        <c:txPr>
          <a:bodyPr/>
          <a:lstStyle/>
          <a:p>
            <a:pPr>
              <a:defRPr sz="1100" b="1"/>
            </a:pPr>
            <a:endParaRPr lang="en-US"/>
          </a:p>
        </c:txPr>
        <c:crossAx val="129723392"/>
        <c:crosses val="autoZero"/>
        <c:crossBetween val="midCat"/>
      </c:valAx>
      <c:spPr>
        <a:ln>
          <a:solidFill>
            <a:schemeClr val="tx1"/>
          </a:solidFill>
        </a:ln>
      </c:spPr>
    </c:plotArea>
    <c:legend>
      <c:legendPos val="r"/>
      <c:layout>
        <c:manualLayout>
          <c:xMode val="edge"/>
          <c:yMode val="edge"/>
          <c:x val="0.38641948862759706"/>
          <c:y val="0.1408410846736497"/>
          <c:w val="0.2008975686920518"/>
          <c:h val="8.5876428816326525E-2"/>
        </c:manualLayout>
      </c:layout>
      <c:spPr>
        <a:solidFill>
          <a:schemeClr val="bg1"/>
        </a:solidFill>
        <a:ln>
          <a:solidFill>
            <a:sysClr val="windowText" lastClr="000000"/>
          </a:solidFill>
        </a:ln>
      </c:spPr>
      <c:txPr>
        <a:bodyPr/>
        <a:lstStyle/>
        <a:p>
          <a:pPr>
            <a:defRPr b="1"/>
          </a:pPr>
          <a:endParaRPr lang="en-US"/>
        </a:p>
      </c:txPr>
    </c:legend>
    <c:plotVisOnly val="1"/>
  </c:chart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tabSelected="1" zoomScale="120" workbookViewId="0"/>
  </sheetViews>
  <pageMargins left="0.7" right="0.7" top="0.75" bottom="0.75" header="0.3" footer="0.3"/>
  <pageSetup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8333" cy="629708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BF0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workbookViewId="0">
      <selection activeCell="F12" sqref="F12"/>
    </sheetView>
  </sheetViews>
  <sheetFormatPr defaultRowHeight="15"/>
  <sheetData>
    <row r="1" spans="1:4">
      <c r="A1">
        <v>9.875</v>
      </c>
      <c r="B1">
        <v>2095</v>
      </c>
    </row>
    <row r="2" spans="1:4">
      <c r="B2" t="s">
        <v>0</v>
      </c>
      <c r="C2" t="s">
        <v>1</v>
      </c>
      <c r="D2" s="1" t="s">
        <v>2</v>
      </c>
    </row>
    <row r="3" spans="1:4">
      <c r="A3">
        <v>1</v>
      </c>
      <c r="B3">
        <v>0.29580000000000001</v>
      </c>
      <c r="C3">
        <v>20</v>
      </c>
      <c r="D3" s="2">
        <f>B3/$A$1*2</f>
        <v>5.9908860759493671E-2</v>
      </c>
    </row>
    <row r="4" spans="1:4">
      <c r="A4">
        <v>2</v>
      </c>
      <c r="B4">
        <v>0.50619999999999998</v>
      </c>
      <c r="C4">
        <v>15</v>
      </c>
      <c r="D4" s="2">
        <f t="shared" ref="D4:D29" si="0">B4/$A$1*2</f>
        <v>0.10252151898734177</v>
      </c>
    </row>
    <row r="5" spans="1:4">
      <c r="A5">
        <v>3</v>
      </c>
      <c r="B5">
        <v>0.71519999999999995</v>
      </c>
      <c r="C5">
        <v>15</v>
      </c>
      <c r="D5" s="2">
        <f t="shared" si="0"/>
        <v>0.14485063291139239</v>
      </c>
    </row>
    <row r="6" spans="1:4">
      <c r="A6">
        <v>4</v>
      </c>
      <c r="B6">
        <v>0.92410000000000003</v>
      </c>
      <c r="C6">
        <v>15</v>
      </c>
      <c r="D6" s="2">
        <f t="shared" si="0"/>
        <v>0.18715949367088608</v>
      </c>
    </row>
    <row r="7" spans="1:4">
      <c r="A7">
        <v>5</v>
      </c>
      <c r="B7">
        <v>1.1331</v>
      </c>
      <c r="C7">
        <v>15</v>
      </c>
      <c r="D7" s="2">
        <f t="shared" si="0"/>
        <v>0.22948860759493669</v>
      </c>
    </row>
    <row r="8" spans="1:4">
      <c r="A8">
        <v>6</v>
      </c>
      <c r="B8">
        <v>1.3420000000000001</v>
      </c>
      <c r="C8">
        <v>15</v>
      </c>
      <c r="D8" s="2">
        <f t="shared" si="0"/>
        <v>0.27179746835443042</v>
      </c>
    </row>
    <row r="9" spans="1:4">
      <c r="A9">
        <v>7</v>
      </c>
      <c r="B9">
        <v>1.5509999999999999</v>
      </c>
      <c r="C9">
        <v>15</v>
      </c>
      <c r="D9" s="2">
        <f t="shared" si="0"/>
        <v>0.314126582278481</v>
      </c>
    </row>
    <row r="10" spans="1:4">
      <c r="A10">
        <v>8</v>
      </c>
      <c r="B10">
        <v>1.7599</v>
      </c>
      <c r="C10">
        <v>15</v>
      </c>
      <c r="D10" s="2">
        <f t="shared" si="0"/>
        <v>0.3564354430379747</v>
      </c>
    </row>
    <row r="11" spans="1:4">
      <c r="A11">
        <v>9</v>
      </c>
      <c r="B11">
        <v>1.9689000000000001</v>
      </c>
      <c r="C11">
        <v>15</v>
      </c>
      <c r="D11" s="2">
        <f t="shared" si="0"/>
        <v>0.39876455696202534</v>
      </c>
    </row>
    <row r="12" spans="1:4">
      <c r="A12">
        <v>10</v>
      </c>
      <c r="B12">
        <v>2.1778</v>
      </c>
      <c r="C12">
        <v>15</v>
      </c>
      <c r="D12" s="2">
        <f t="shared" si="0"/>
        <v>0.44107341772151898</v>
      </c>
    </row>
    <row r="13" spans="1:4">
      <c r="A13">
        <v>11</v>
      </c>
      <c r="B13">
        <v>2.3868</v>
      </c>
      <c r="C13">
        <v>15</v>
      </c>
      <c r="D13" s="2">
        <f t="shared" si="0"/>
        <v>0.48340253164556962</v>
      </c>
    </row>
    <row r="14" spans="1:4">
      <c r="A14">
        <v>12</v>
      </c>
      <c r="B14">
        <v>2.5956999999999999</v>
      </c>
      <c r="C14">
        <v>15</v>
      </c>
      <c r="D14" s="2">
        <f t="shared" si="0"/>
        <v>0.52571139240506326</v>
      </c>
    </row>
    <row r="15" spans="1:4">
      <c r="A15">
        <v>13</v>
      </c>
      <c r="B15">
        <v>2.8650000000000002</v>
      </c>
      <c r="C15">
        <v>17.5</v>
      </c>
      <c r="D15" s="2">
        <f t="shared" si="0"/>
        <v>0.58025316455696208</v>
      </c>
    </row>
    <row r="16" spans="1:4">
      <c r="A16">
        <v>14</v>
      </c>
      <c r="B16">
        <v>3.1549999999999998</v>
      </c>
      <c r="C16">
        <v>18</v>
      </c>
      <c r="D16" s="2">
        <f t="shared" si="0"/>
        <v>0.63898734177215188</v>
      </c>
    </row>
    <row r="17" spans="1:4">
      <c r="A17">
        <v>15</v>
      </c>
      <c r="B17">
        <v>3.4411</v>
      </c>
      <c r="C17">
        <v>19</v>
      </c>
      <c r="D17" s="2">
        <f t="shared" si="0"/>
        <v>0.69693164556962028</v>
      </c>
    </row>
    <row r="18" spans="1:4">
      <c r="A18">
        <v>16</v>
      </c>
      <c r="B18">
        <v>3.7143000000000002</v>
      </c>
      <c r="C18">
        <v>20</v>
      </c>
      <c r="D18" s="2">
        <f t="shared" si="0"/>
        <v>0.75226329113924051</v>
      </c>
    </row>
    <row r="19" spans="1:4">
      <c r="A19">
        <v>17</v>
      </c>
      <c r="B19">
        <v>3.9554</v>
      </c>
      <c r="C19">
        <v>21</v>
      </c>
      <c r="D19" s="2">
        <f t="shared" si="0"/>
        <v>0.80109367088607597</v>
      </c>
    </row>
    <row r="20" spans="1:4">
      <c r="A20">
        <v>18</v>
      </c>
      <c r="B20">
        <v>4.2045000000000003</v>
      </c>
      <c r="C20">
        <v>22</v>
      </c>
      <c r="D20" s="2">
        <f t="shared" si="0"/>
        <v>0.85154430379746837</v>
      </c>
    </row>
    <row r="21" spans="1:4">
      <c r="A21">
        <v>19</v>
      </c>
      <c r="B21">
        <v>4.4084000000000003</v>
      </c>
      <c r="C21">
        <v>22.5</v>
      </c>
      <c r="D21" s="2">
        <f t="shared" si="0"/>
        <v>0.89284050632911394</v>
      </c>
    </row>
    <row r="22" spans="1:4">
      <c r="A22">
        <v>20</v>
      </c>
      <c r="B22">
        <v>4.5835999999999997</v>
      </c>
      <c r="C22">
        <v>23</v>
      </c>
      <c r="D22" s="2">
        <f t="shared" si="0"/>
        <v>0.92832405063291135</v>
      </c>
    </row>
    <row r="23" spans="1:4">
      <c r="A23">
        <v>21</v>
      </c>
      <c r="B23">
        <v>4.7222999999999997</v>
      </c>
      <c r="C23">
        <v>24</v>
      </c>
      <c r="D23" s="2">
        <f t="shared" si="0"/>
        <v>0.95641518987341767</v>
      </c>
    </row>
    <row r="24" spans="1:4">
      <c r="A24">
        <v>22</v>
      </c>
      <c r="B24">
        <v>4.8216999999999999</v>
      </c>
      <c r="C24">
        <v>25</v>
      </c>
      <c r="D24" s="2">
        <f t="shared" si="0"/>
        <v>0.976546835443038</v>
      </c>
    </row>
    <row r="25" spans="1:4">
      <c r="A25">
        <v>23</v>
      </c>
      <c r="B25">
        <v>4.8794000000000004</v>
      </c>
      <c r="C25">
        <v>27</v>
      </c>
      <c r="D25" s="2">
        <f t="shared" si="0"/>
        <v>0.9882329113924051</v>
      </c>
    </row>
    <row r="26" spans="1:4">
      <c r="A26">
        <v>24</v>
      </c>
      <c r="B26">
        <v>4.9044999999999996</v>
      </c>
      <c r="C26">
        <v>29</v>
      </c>
      <c r="D26" s="2">
        <f t="shared" si="0"/>
        <v>0.99331645569620242</v>
      </c>
    </row>
    <row r="27" spans="1:4">
      <c r="A27">
        <v>25</v>
      </c>
      <c r="B27">
        <f>9.875/2</f>
        <v>4.9375</v>
      </c>
      <c r="C27">
        <v>30</v>
      </c>
      <c r="D27" s="2">
        <f t="shared" si="0"/>
        <v>1</v>
      </c>
    </row>
    <row r="28" spans="1:4">
      <c r="A28">
        <v>26</v>
      </c>
      <c r="B28">
        <f t="shared" ref="B28:B29" si="1">9.875/2</f>
        <v>4.9375</v>
      </c>
      <c r="C28">
        <v>30</v>
      </c>
      <c r="D28" s="2">
        <f t="shared" si="0"/>
        <v>1</v>
      </c>
    </row>
    <row r="29" spans="1:4">
      <c r="A29">
        <v>27</v>
      </c>
      <c r="B29">
        <f t="shared" si="1"/>
        <v>4.9375</v>
      </c>
      <c r="C29">
        <v>30</v>
      </c>
      <c r="D29" s="2">
        <f t="shared" si="0"/>
        <v>1</v>
      </c>
    </row>
    <row r="30" spans="1:4">
      <c r="D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Graph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victor.rodriguez</dc:creator>
  <cp:lastModifiedBy>Levi Lunt</cp:lastModifiedBy>
  <cp:lastPrinted>2015-05-06T13:02:57Z</cp:lastPrinted>
  <dcterms:created xsi:type="dcterms:W3CDTF">2015-03-17T18:24:41Z</dcterms:created>
  <dcterms:modified xsi:type="dcterms:W3CDTF">2015-08-24T15:34:09Z</dcterms:modified>
</cp:coreProperties>
</file>