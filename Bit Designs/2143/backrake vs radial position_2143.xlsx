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hartsheets/sheet1.xml" ContentType="application/vnd.openxmlformats-officedocument.spreadsheetml.chart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840" yWindow="1560" windowWidth="21075" windowHeight="8250"/>
  </bookViews>
  <sheets>
    <sheet name="Graph" sheetId="7" r:id="rId1"/>
    <sheet name="Data" sheetId="1" r:id="rId2"/>
  </sheets>
  <calcPr calcId="125725"/>
</workbook>
</file>

<file path=xl/calcChain.xml><?xml version="1.0" encoding="utf-8"?>
<calcChain xmlns="http://schemas.openxmlformats.org/spreadsheetml/2006/main">
  <c r="T5" i="1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T33"/>
  <c r="T34"/>
  <c r="T35"/>
  <c r="T4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S33"/>
  <c r="S34"/>
  <c r="S35"/>
  <c r="S3"/>
  <c r="L27" l="1"/>
  <c r="N27" s="1"/>
  <c r="L28"/>
  <c r="N28" s="1"/>
  <c r="L29"/>
  <c r="N29" s="1"/>
  <c r="L30"/>
  <c r="N30" s="1"/>
  <c r="L26"/>
  <c r="N26" s="1"/>
  <c r="N4"/>
  <c r="N5"/>
  <c r="N6"/>
  <c r="N7"/>
  <c r="N8"/>
  <c r="N9"/>
  <c r="N10"/>
  <c r="N11"/>
  <c r="N12"/>
  <c r="N13"/>
  <c r="N14"/>
  <c r="N15"/>
  <c r="N16"/>
  <c r="N17"/>
  <c r="N18"/>
  <c r="N19"/>
  <c r="N20"/>
  <c r="N21"/>
  <c r="N22"/>
  <c r="N23"/>
  <c r="N24"/>
  <c r="N25"/>
  <c r="N3"/>
  <c r="G26"/>
  <c r="G25"/>
  <c r="I25" s="1"/>
  <c r="G24"/>
  <c r="I24" s="1"/>
  <c r="G23"/>
  <c r="I23" s="1"/>
  <c r="G22"/>
  <c r="I22" s="1"/>
  <c r="I4"/>
  <c r="I5"/>
  <c r="I6"/>
  <c r="I7"/>
  <c r="I8"/>
  <c r="I9"/>
  <c r="I10"/>
  <c r="I11"/>
  <c r="I12"/>
  <c r="I13"/>
  <c r="I14"/>
  <c r="I15"/>
  <c r="I16"/>
  <c r="I17"/>
  <c r="I18"/>
  <c r="I19"/>
  <c r="I20"/>
  <c r="I21"/>
  <c r="I26"/>
  <c r="I3"/>
  <c r="B30"/>
  <c r="D30" s="1"/>
  <c r="B29"/>
  <c r="B28"/>
  <c r="B27"/>
  <c r="B26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D9"/>
  <c r="D8"/>
  <c r="D7"/>
  <c r="D6"/>
  <c r="D5"/>
  <c r="D4"/>
  <c r="D3"/>
</calcChain>
</file>

<file path=xl/sharedStrings.xml><?xml version="1.0" encoding="utf-8"?>
<sst xmlns="http://schemas.openxmlformats.org/spreadsheetml/2006/main" count="12" uniqueCount="3">
  <si>
    <t>Radius</t>
  </si>
  <si>
    <t>Backrake</t>
  </si>
  <si>
    <t>%Rad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</si>
</sst>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Cutter Backrake vs Radial</a:t>
            </a:r>
            <a:r>
              <a:rPr lang="en-US" baseline="0"/>
              <a:t> Position</a:t>
            </a:r>
          </a:p>
        </c:rich>
      </c:tx>
      <c:layout/>
      <c:overlay val="1"/>
    </c:title>
    <c:plotArea>
      <c:layout>
        <c:manualLayout>
          <c:layoutTarget val="inner"/>
          <c:xMode val="edge"/>
          <c:yMode val="edge"/>
          <c:x val="9.9352490852794045E-2"/>
          <c:y val="0.11314794485002024"/>
          <c:w val="0.86192924378449443"/>
          <c:h val="0.7738570382508887"/>
        </c:manualLayout>
      </c:layout>
      <c:scatterChart>
        <c:scatterStyle val="lineMarker"/>
        <c:ser>
          <c:idx val="2"/>
          <c:order val="0"/>
          <c:tx>
            <c:strRef>
              <c:f>Data!$L$1</c:f>
              <c:strCache>
                <c:ptCount val="1"/>
                <c:pt idx="0">
                  <c:v>2126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Data!$N$3:$N$30</c:f>
              <c:numCache>
                <c:formatCode>0.00%</c:formatCode>
                <c:ptCount val="28"/>
                <c:pt idx="0">
                  <c:v>6.0888888888888888E-2</c:v>
                </c:pt>
                <c:pt idx="1">
                  <c:v>0.11771851851851851</c:v>
                </c:pt>
                <c:pt idx="2">
                  <c:v>0.17466666666666666</c:v>
                </c:pt>
                <c:pt idx="3">
                  <c:v>0.23182222222222221</c:v>
                </c:pt>
                <c:pt idx="4">
                  <c:v>0.28912592592592595</c:v>
                </c:pt>
                <c:pt idx="5">
                  <c:v>0.34642962962962964</c:v>
                </c:pt>
                <c:pt idx="6">
                  <c:v>0.4104888888888889</c:v>
                </c:pt>
                <c:pt idx="7">
                  <c:v>0.46986666666666671</c:v>
                </c:pt>
                <c:pt idx="8">
                  <c:v>0.52767407407407407</c:v>
                </c:pt>
                <c:pt idx="9">
                  <c:v>0.58414814814814819</c:v>
                </c:pt>
                <c:pt idx="10">
                  <c:v>0.63291851851851844</c:v>
                </c:pt>
                <c:pt idx="11">
                  <c:v>0.6803851851851852</c:v>
                </c:pt>
                <c:pt idx="12">
                  <c:v>0.72607407407407409</c:v>
                </c:pt>
                <c:pt idx="13">
                  <c:v>0.76945185185185194</c:v>
                </c:pt>
                <c:pt idx="14">
                  <c:v>0.81010370370370377</c:v>
                </c:pt>
                <c:pt idx="15">
                  <c:v>0.84764444444444442</c:v>
                </c:pt>
                <c:pt idx="16">
                  <c:v>0.88145185185185182</c:v>
                </c:pt>
                <c:pt idx="17">
                  <c:v>0.91128888888888893</c:v>
                </c:pt>
                <c:pt idx="18">
                  <c:v>0.93688888888888888</c:v>
                </c:pt>
                <c:pt idx="19">
                  <c:v>0.95798518518518516</c:v>
                </c:pt>
                <c:pt idx="20">
                  <c:v>0.97437037037037033</c:v>
                </c:pt>
                <c:pt idx="21">
                  <c:v>0.98583703703703707</c:v>
                </c:pt>
                <c:pt idx="22">
                  <c:v>0.99232592592592594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</c:numCache>
            </c:numRef>
          </c:xVal>
          <c:yVal>
            <c:numRef>
              <c:f>Data!$M$3:$M$30</c:f>
              <c:numCache>
                <c:formatCode>General</c:formatCode>
                <c:ptCount val="28"/>
                <c:pt idx="0">
                  <c:v>25</c:v>
                </c:pt>
                <c:pt idx="1">
                  <c:v>20</c:v>
                </c:pt>
                <c:pt idx="2">
                  <c:v>15</c:v>
                </c:pt>
                <c:pt idx="3">
                  <c:v>12.5</c:v>
                </c:pt>
                <c:pt idx="4">
                  <c:v>12.5</c:v>
                </c:pt>
                <c:pt idx="5">
                  <c:v>12.5</c:v>
                </c:pt>
                <c:pt idx="6">
                  <c:v>12.5</c:v>
                </c:pt>
                <c:pt idx="7">
                  <c:v>12.5</c:v>
                </c:pt>
                <c:pt idx="8">
                  <c:v>12.5</c:v>
                </c:pt>
                <c:pt idx="9">
                  <c:v>12.5</c:v>
                </c:pt>
                <c:pt idx="10">
                  <c:v>12.5</c:v>
                </c:pt>
                <c:pt idx="11">
                  <c:v>12.5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18</c:v>
                </c:pt>
                <c:pt idx="17">
                  <c:v>20</c:v>
                </c:pt>
                <c:pt idx="18">
                  <c:v>22</c:v>
                </c:pt>
                <c:pt idx="19">
                  <c:v>24</c:v>
                </c:pt>
                <c:pt idx="20">
                  <c:v>26</c:v>
                </c:pt>
                <c:pt idx="21">
                  <c:v>28</c:v>
                </c:pt>
                <c:pt idx="22">
                  <c:v>30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</c:numCache>
            </c:numRef>
          </c:yVal>
        </c:ser>
        <c:ser>
          <c:idx val="0"/>
          <c:order val="1"/>
          <c:tx>
            <c:strRef>
              <c:f>Data!$Q$1</c:f>
              <c:strCache>
                <c:ptCount val="1"/>
                <c:pt idx="0">
                  <c:v>2143</c:v>
                </c:pt>
              </c:strCache>
            </c:strRef>
          </c:tx>
          <c:xVal>
            <c:numRef>
              <c:f>Data!$S$3:$S$35</c:f>
              <c:numCache>
                <c:formatCode>0.00%</c:formatCode>
                <c:ptCount val="33"/>
                <c:pt idx="0">
                  <c:v>5.2494117647058823E-2</c:v>
                </c:pt>
                <c:pt idx="1">
                  <c:v>9.8964705882352941E-2</c:v>
                </c:pt>
                <c:pt idx="2">
                  <c:v>0.14543529411764705</c:v>
                </c:pt>
                <c:pt idx="3">
                  <c:v>0.19190588235294118</c:v>
                </c:pt>
                <c:pt idx="4">
                  <c:v>0.23571764705882353</c:v>
                </c:pt>
                <c:pt idx="5">
                  <c:v>0.27952941176470586</c:v>
                </c:pt>
                <c:pt idx="6">
                  <c:v>0.32334117647058824</c:v>
                </c:pt>
                <c:pt idx="7">
                  <c:v>0.36715294117647057</c:v>
                </c:pt>
                <c:pt idx="8">
                  <c:v>0.41098823529411765</c:v>
                </c:pt>
                <c:pt idx="9">
                  <c:v>0.45480000000000004</c:v>
                </c:pt>
                <c:pt idx="10">
                  <c:v>0.50077647058823527</c:v>
                </c:pt>
                <c:pt idx="11">
                  <c:v>0.54677647058823531</c:v>
                </c:pt>
                <c:pt idx="12">
                  <c:v>0.58054117647058823</c:v>
                </c:pt>
                <c:pt idx="13">
                  <c:v>0.61367058823529408</c:v>
                </c:pt>
                <c:pt idx="14">
                  <c:v>0.64527058823529415</c:v>
                </c:pt>
                <c:pt idx="15">
                  <c:v>0.6764</c:v>
                </c:pt>
                <c:pt idx="16">
                  <c:v>0.70682352941176474</c:v>
                </c:pt>
                <c:pt idx="17">
                  <c:v>0.7367058823529411</c:v>
                </c:pt>
                <c:pt idx="18">
                  <c:v>0.76541176470588235</c:v>
                </c:pt>
                <c:pt idx="19">
                  <c:v>0.7930588235294117</c:v>
                </c:pt>
                <c:pt idx="20">
                  <c:v>0.81814117647058826</c:v>
                </c:pt>
                <c:pt idx="21">
                  <c:v>0.84183529411764701</c:v>
                </c:pt>
                <c:pt idx="22">
                  <c:v>0.8640941176470589</c:v>
                </c:pt>
                <c:pt idx="23">
                  <c:v>0.88489411764705883</c:v>
                </c:pt>
                <c:pt idx="24">
                  <c:v>0.90400000000000003</c:v>
                </c:pt>
                <c:pt idx="25">
                  <c:v>0.92256470588235295</c:v>
                </c:pt>
                <c:pt idx="26">
                  <c:v>0.93682352941176472</c:v>
                </c:pt>
                <c:pt idx="27">
                  <c:v>0.95028235294117658</c:v>
                </c:pt>
                <c:pt idx="28">
                  <c:v>0.96199999999999997</c:v>
                </c:pt>
                <c:pt idx="29">
                  <c:v>0.97159999999999991</c:v>
                </c:pt>
                <c:pt idx="30">
                  <c:v>0.97901176470588236</c:v>
                </c:pt>
                <c:pt idx="31">
                  <c:v>0.98894117647058832</c:v>
                </c:pt>
                <c:pt idx="32">
                  <c:v>1</c:v>
                </c:pt>
              </c:numCache>
            </c:numRef>
          </c:xVal>
          <c:yVal>
            <c:numRef>
              <c:f>Data!$R$3:$R$35</c:f>
              <c:numCache>
                <c:formatCode>General</c:formatCode>
                <c:ptCount val="33"/>
                <c:pt idx="0">
                  <c:v>25</c:v>
                </c:pt>
                <c:pt idx="1">
                  <c:v>22</c:v>
                </c:pt>
                <c:pt idx="2">
                  <c:v>17.5</c:v>
                </c:pt>
                <c:pt idx="3">
                  <c:v>14</c:v>
                </c:pt>
                <c:pt idx="4">
                  <c:v>12.5</c:v>
                </c:pt>
                <c:pt idx="5">
                  <c:v>12.5</c:v>
                </c:pt>
                <c:pt idx="6">
                  <c:v>12.5</c:v>
                </c:pt>
                <c:pt idx="7">
                  <c:v>12.5</c:v>
                </c:pt>
                <c:pt idx="8">
                  <c:v>12.5</c:v>
                </c:pt>
                <c:pt idx="9">
                  <c:v>12.5</c:v>
                </c:pt>
                <c:pt idx="10">
                  <c:v>12.5</c:v>
                </c:pt>
                <c:pt idx="11">
                  <c:v>12.5</c:v>
                </c:pt>
                <c:pt idx="12">
                  <c:v>12.5</c:v>
                </c:pt>
                <c:pt idx="13">
                  <c:v>12.5</c:v>
                </c:pt>
                <c:pt idx="14">
                  <c:v>12.5</c:v>
                </c:pt>
                <c:pt idx="15">
                  <c:v>12.5</c:v>
                </c:pt>
                <c:pt idx="16">
                  <c:v>13</c:v>
                </c:pt>
                <c:pt idx="17">
                  <c:v>13</c:v>
                </c:pt>
                <c:pt idx="18">
                  <c:v>14</c:v>
                </c:pt>
                <c:pt idx="19">
                  <c:v>15</c:v>
                </c:pt>
                <c:pt idx="20">
                  <c:v>15</c:v>
                </c:pt>
                <c:pt idx="21">
                  <c:v>16</c:v>
                </c:pt>
                <c:pt idx="22">
                  <c:v>17</c:v>
                </c:pt>
                <c:pt idx="23">
                  <c:v>18</c:v>
                </c:pt>
                <c:pt idx="24">
                  <c:v>19</c:v>
                </c:pt>
                <c:pt idx="25">
                  <c:v>21</c:v>
                </c:pt>
                <c:pt idx="26">
                  <c:v>22</c:v>
                </c:pt>
                <c:pt idx="27">
                  <c:v>23</c:v>
                </c:pt>
                <c:pt idx="28">
                  <c:v>25</c:v>
                </c:pt>
                <c:pt idx="29">
                  <c:v>26</c:v>
                </c:pt>
                <c:pt idx="30">
                  <c:v>27</c:v>
                </c:pt>
                <c:pt idx="31">
                  <c:v>28</c:v>
                </c:pt>
                <c:pt idx="32">
                  <c:v>30</c:v>
                </c:pt>
              </c:numCache>
            </c:numRef>
          </c:yVal>
        </c:ser>
        <c:axId val="166270848"/>
        <c:axId val="177979776"/>
      </c:scatterChart>
      <c:valAx>
        <c:axId val="166270848"/>
        <c:scaling>
          <c:orientation val="minMax"/>
          <c:max val="1"/>
          <c:min val="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800"/>
                  <a:t>Percentage of Radius</a:t>
                </a:r>
              </a:p>
            </c:rich>
          </c:tx>
          <c:layout/>
        </c:title>
        <c:numFmt formatCode="0%" sourceLinked="0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177979776"/>
        <c:crosses val="autoZero"/>
        <c:crossBetween val="midCat"/>
        <c:majorUnit val="0.1"/>
      </c:valAx>
      <c:valAx>
        <c:axId val="177979776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800"/>
                  <a:t>Backrake Angle</a:t>
                </a:r>
              </a:p>
            </c:rich>
          </c:tx>
          <c:layout>
            <c:manualLayout>
              <c:xMode val="edge"/>
              <c:yMode val="edge"/>
              <c:x val="1.6528059017786093E-2"/>
              <c:y val="0.37917397626806065"/>
            </c:manualLayout>
          </c:layout>
        </c:title>
        <c:numFmt formatCode="0\°" sourceLinked="0"/>
        <c:tickLblPos val="nextTo"/>
        <c:txPr>
          <a:bodyPr/>
          <a:lstStyle/>
          <a:p>
            <a:pPr>
              <a:defRPr sz="1100" b="1"/>
            </a:pPr>
            <a:endParaRPr lang="en-US"/>
          </a:p>
        </c:txPr>
        <c:crossAx val="166270848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38641948862759751"/>
          <c:y val="0.1408410846736497"/>
          <c:w val="7.3580490631092399E-2"/>
          <c:h val="7.2939486425699016E-2"/>
        </c:manualLayout>
      </c:layout>
      <c:spPr>
        <a:solidFill>
          <a:schemeClr val="bg1"/>
        </a:solidFill>
        <a:ln>
          <a:solidFill>
            <a:sysClr val="windowText" lastClr="000000"/>
          </a:solidFill>
        </a:ln>
      </c:spPr>
      <c:txPr>
        <a:bodyPr/>
        <a:lstStyle/>
        <a:p>
          <a:pPr>
            <a:defRPr b="1"/>
          </a:pPr>
          <a:endParaRPr lang="en-US"/>
        </a:p>
      </c:txPr>
    </c:legend>
    <c:plotVisOnly val="1"/>
  </c:chart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>
  <sheetPr codeName="Chart1"/>
  <sheetViews>
    <sheetView tabSelected="1" zoomScale="120" workbookViewId="0"/>
  </sheetViews>
  <pageMargins left="0.7" right="0.7" top="0.75" bottom="0.7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8333" cy="629708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2"/>
  <dimension ref="A1:T35"/>
  <sheetViews>
    <sheetView workbookViewId="0">
      <selection activeCell="T4" sqref="T4:T35"/>
    </sheetView>
  </sheetViews>
  <sheetFormatPr defaultRowHeight="15"/>
  <cols>
    <col min="19" max="19" width="10.140625" bestFit="1" customWidth="1"/>
  </cols>
  <sheetData>
    <row r="1" spans="1:20">
      <c r="A1">
        <v>6.75</v>
      </c>
      <c r="B1">
        <v>2096</v>
      </c>
      <c r="F1">
        <v>6.75</v>
      </c>
      <c r="G1">
        <v>2117</v>
      </c>
      <c r="K1">
        <v>6.75</v>
      </c>
      <c r="L1">
        <v>2126</v>
      </c>
      <c r="P1">
        <v>8.5</v>
      </c>
      <c r="Q1">
        <v>2143</v>
      </c>
    </row>
    <row r="2" spans="1:20">
      <c r="B2" t="s">
        <v>0</v>
      </c>
      <c r="C2" t="s">
        <v>1</v>
      </c>
      <c r="D2" s="1" t="s">
        <v>2</v>
      </c>
      <c r="G2" t="s">
        <v>0</v>
      </c>
      <c r="H2" t="s">
        <v>1</v>
      </c>
      <c r="I2" s="1" t="s">
        <v>2</v>
      </c>
      <c r="L2" t="s">
        <v>0</v>
      </c>
      <c r="M2" t="s">
        <v>1</v>
      </c>
      <c r="N2" s="1" t="s">
        <v>2</v>
      </c>
      <c r="Q2" t="s">
        <v>0</v>
      </c>
      <c r="R2" t="s">
        <v>1</v>
      </c>
      <c r="S2" s="1" t="s">
        <v>2</v>
      </c>
    </row>
    <row r="3" spans="1:20">
      <c r="A3">
        <v>1</v>
      </c>
      <c r="B3">
        <v>0.22789999999999999</v>
      </c>
      <c r="C3">
        <v>25</v>
      </c>
      <c r="D3" s="2">
        <f>B3/$A$1*2</f>
        <v>6.752592592592592E-2</v>
      </c>
      <c r="F3">
        <v>1</v>
      </c>
      <c r="G3">
        <v>0.29320000000000002</v>
      </c>
      <c r="H3">
        <v>25</v>
      </c>
      <c r="I3" s="2">
        <f>G3/$F$1*2</f>
        <v>8.6874074074074076E-2</v>
      </c>
      <c r="K3">
        <v>1</v>
      </c>
      <c r="L3">
        <v>0.20549999999999999</v>
      </c>
      <c r="M3">
        <v>25</v>
      </c>
      <c r="N3" s="2">
        <f>L3/$K$1*2</f>
        <v>6.0888888888888888E-2</v>
      </c>
      <c r="P3">
        <v>1</v>
      </c>
      <c r="Q3">
        <v>0.22309999999999999</v>
      </c>
      <c r="R3">
        <v>25</v>
      </c>
      <c r="S3" s="2">
        <f>Q3/$P$1*2</f>
        <v>5.2494117647058823E-2</v>
      </c>
    </row>
    <row r="4" spans="1:20">
      <c r="A4">
        <v>2</v>
      </c>
      <c r="B4">
        <v>0.4577</v>
      </c>
      <c r="C4">
        <v>25</v>
      </c>
      <c r="D4" s="2">
        <f t="shared" ref="D4:D30" si="0">B4/$A$1*2</f>
        <v>0.13561481481481483</v>
      </c>
      <c r="F4">
        <v>2</v>
      </c>
      <c r="G4">
        <v>0.55810000000000004</v>
      </c>
      <c r="H4">
        <v>20</v>
      </c>
      <c r="I4" s="2">
        <f t="shared" ref="I4:I26" si="1">G4/$F$1*2</f>
        <v>0.16536296296296296</v>
      </c>
      <c r="K4">
        <v>2</v>
      </c>
      <c r="L4">
        <v>0.39729999999999999</v>
      </c>
      <c r="M4">
        <v>20</v>
      </c>
      <c r="N4" s="2">
        <f t="shared" ref="N4:N26" si="2">L4/$K$1*2</f>
        <v>0.11771851851851851</v>
      </c>
      <c r="P4">
        <v>2</v>
      </c>
      <c r="Q4">
        <v>0.42059999999999997</v>
      </c>
      <c r="R4">
        <v>22</v>
      </c>
      <c r="S4" s="2">
        <f t="shared" ref="S4:S35" si="3">Q4/$P$1*2</f>
        <v>9.8964705882352941E-2</v>
      </c>
      <c r="T4" s="2">
        <f>S4-S3</f>
        <v>4.6470588235294118E-2</v>
      </c>
    </row>
    <row r="5" spans="1:20">
      <c r="A5">
        <v>3</v>
      </c>
      <c r="B5">
        <v>0.70330000000000004</v>
      </c>
      <c r="C5">
        <v>25</v>
      </c>
      <c r="D5" s="2">
        <f t="shared" si="0"/>
        <v>0.2083851851851852</v>
      </c>
      <c r="F5">
        <v>3</v>
      </c>
      <c r="G5">
        <v>0.82340000000000002</v>
      </c>
      <c r="H5">
        <v>15</v>
      </c>
      <c r="I5" s="2">
        <f t="shared" si="1"/>
        <v>0.24397037037037037</v>
      </c>
      <c r="K5">
        <v>3</v>
      </c>
      <c r="L5">
        <v>0.58950000000000002</v>
      </c>
      <c r="M5">
        <v>15</v>
      </c>
      <c r="N5" s="2">
        <f t="shared" si="2"/>
        <v>0.17466666666666666</v>
      </c>
      <c r="P5">
        <v>3</v>
      </c>
      <c r="Q5">
        <v>0.61809999999999998</v>
      </c>
      <c r="R5">
        <v>17.5</v>
      </c>
      <c r="S5" s="2">
        <f t="shared" si="3"/>
        <v>0.14543529411764705</v>
      </c>
      <c r="T5" s="2">
        <f t="shared" ref="T5:T35" si="4">S5-S4</f>
        <v>4.6470588235294111E-2</v>
      </c>
    </row>
    <row r="6" spans="1:20">
      <c r="A6">
        <v>4</v>
      </c>
      <c r="B6">
        <v>0.86919999999999997</v>
      </c>
      <c r="C6">
        <v>15</v>
      </c>
      <c r="D6" s="2">
        <f t="shared" si="0"/>
        <v>0.25754074074074074</v>
      </c>
      <c r="F6">
        <v>4</v>
      </c>
      <c r="G6">
        <v>1.0894999999999999</v>
      </c>
      <c r="H6">
        <v>12.5</v>
      </c>
      <c r="I6" s="2">
        <f t="shared" si="1"/>
        <v>0.32281481481481478</v>
      </c>
      <c r="K6">
        <v>4</v>
      </c>
      <c r="L6">
        <v>0.78239999999999998</v>
      </c>
      <c r="M6">
        <v>12.5</v>
      </c>
      <c r="N6" s="2">
        <f t="shared" si="2"/>
        <v>0.23182222222222221</v>
      </c>
      <c r="P6">
        <v>4</v>
      </c>
      <c r="Q6">
        <v>0.81559999999999999</v>
      </c>
      <c r="R6">
        <v>14</v>
      </c>
      <c r="S6" s="2">
        <f t="shared" si="3"/>
        <v>0.19190588235294118</v>
      </c>
      <c r="T6" s="2">
        <f t="shared" si="4"/>
        <v>4.6470588235294125E-2</v>
      </c>
    </row>
    <row r="7" spans="1:20">
      <c r="A7">
        <v>5</v>
      </c>
      <c r="B7">
        <v>1.0943000000000001</v>
      </c>
      <c r="C7">
        <v>15</v>
      </c>
      <c r="D7" s="2">
        <f t="shared" si="0"/>
        <v>0.32423703703703705</v>
      </c>
      <c r="F7">
        <v>5</v>
      </c>
      <c r="G7">
        <v>1.3827</v>
      </c>
      <c r="H7">
        <v>12.5</v>
      </c>
      <c r="I7" s="2">
        <f t="shared" si="1"/>
        <v>0.40968888888888888</v>
      </c>
      <c r="K7">
        <v>5</v>
      </c>
      <c r="L7">
        <v>0.9758</v>
      </c>
      <c r="M7">
        <v>12.5</v>
      </c>
      <c r="N7" s="2">
        <f t="shared" si="2"/>
        <v>0.28912592592592595</v>
      </c>
      <c r="P7">
        <v>5</v>
      </c>
      <c r="Q7">
        <v>1.0018</v>
      </c>
      <c r="R7">
        <v>12.5</v>
      </c>
      <c r="S7" s="2">
        <f t="shared" si="3"/>
        <v>0.23571764705882353</v>
      </c>
      <c r="T7" s="2">
        <f t="shared" si="4"/>
        <v>4.3811764705882356E-2</v>
      </c>
    </row>
    <row r="8" spans="1:20">
      <c r="A8">
        <v>6</v>
      </c>
      <c r="B8">
        <v>1.3219000000000001</v>
      </c>
      <c r="C8">
        <v>15</v>
      </c>
      <c r="D8" s="2">
        <f t="shared" si="0"/>
        <v>0.39167407407407412</v>
      </c>
      <c r="F8">
        <v>6</v>
      </c>
      <c r="G8">
        <v>1.6781999999999999</v>
      </c>
      <c r="H8">
        <v>12.5</v>
      </c>
      <c r="I8" s="2">
        <f t="shared" si="1"/>
        <v>0.49724444444444443</v>
      </c>
      <c r="K8">
        <v>6</v>
      </c>
      <c r="L8">
        <v>1.1692</v>
      </c>
      <c r="M8">
        <v>12.5</v>
      </c>
      <c r="N8" s="2">
        <f t="shared" si="2"/>
        <v>0.34642962962962964</v>
      </c>
      <c r="P8">
        <v>6</v>
      </c>
      <c r="Q8">
        <v>1.1879999999999999</v>
      </c>
      <c r="R8">
        <v>12.5</v>
      </c>
      <c r="S8" s="2">
        <f t="shared" si="3"/>
        <v>0.27952941176470586</v>
      </c>
      <c r="T8" s="2">
        <f t="shared" si="4"/>
        <v>4.3811764705882328E-2</v>
      </c>
    </row>
    <row r="9" spans="1:20">
      <c r="A9">
        <v>7</v>
      </c>
      <c r="B9">
        <v>1.54</v>
      </c>
      <c r="C9">
        <v>15</v>
      </c>
      <c r="D9" s="2">
        <f t="shared" si="0"/>
        <v>0.45629629629629631</v>
      </c>
      <c r="F9">
        <v>7</v>
      </c>
      <c r="G9">
        <v>1.8695999999999999</v>
      </c>
      <c r="H9">
        <v>12.5</v>
      </c>
      <c r="I9" s="2">
        <f t="shared" si="1"/>
        <v>0.55395555555555553</v>
      </c>
      <c r="K9">
        <v>7</v>
      </c>
      <c r="L9">
        <v>1.3854</v>
      </c>
      <c r="M9">
        <v>12.5</v>
      </c>
      <c r="N9" s="2">
        <f t="shared" si="2"/>
        <v>0.4104888888888889</v>
      </c>
      <c r="P9">
        <v>7</v>
      </c>
      <c r="Q9">
        <v>1.3742000000000001</v>
      </c>
      <c r="R9">
        <v>12.5</v>
      </c>
      <c r="S9" s="2">
        <f t="shared" si="3"/>
        <v>0.32334117647058824</v>
      </c>
      <c r="T9" s="2">
        <f t="shared" si="4"/>
        <v>4.3811764705882383E-2</v>
      </c>
    </row>
    <row r="10" spans="1:20">
      <c r="A10">
        <v>8</v>
      </c>
      <c r="B10">
        <v>1.698</v>
      </c>
      <c r="C10">
        <v>15</v>
      </c>
      <c r="D10" s="2">
        <f t="shared" si="0"/>
        <v>0.50311111111111106</v>
      </c>
      <c r="F10">
        <v>8</v>
      </c>
      <c r="G10">
        <v>2.0590999999999999</v>
      </c>
      <c r="H10">
        <v>12.5</v>
      </c>
      <c r="I10" s="2">
        <f t="shared" si="1"/>
        <v>0.6101037037037037</v>
      </c>
      <c r="K10">
        <v>8</v>
      </c>
      <c r="L10">
        <v>1.5858000000000001</v>
      </c>
      <c r="M10">
        <v>12.5</v>
      </c>
      <c r="N10" s="2">
        <f t="shared" si="2"/>
        <v>0.46986666666666671</v>
      </c>
      <c r="P10">
        <v>8</v>
      </c>
      <c r="Q10">
        <v>1.5604</v>
      </c>
      <c r="R10">
        <v>12.5</v>
      </c>
      <c r="S10" s="2">
        <f t="shared" si="3"/>
        <v>0.36715294117647057</v>
      </c>
      <c r="T10" s="2">
        <f t="shared" si="4"/>
        <v>4.3811764705882328E-2</v>
      </c>
    </row>
    <row r="11" spans="1:20">
      <c r="A11">
        <v>9</v>
      </c>
      <c r="B11">
        <v>1.8566</v>
      </c>
      <c r="C11">
        <v>15</v>
      </c>
      <c r="D11" s="2">
        <f t="shared" si="0"/>
        <v>0.55010370370370376</v>
      </c>
      <c r="F11">
        <v>9</v>
      </c>
      <c r="G11">
        <v>2.2442000000000002</v>
      </c>
      <c r="H11">
        <v>12.5</v>
      </c>
      <c r="I11" s="2">
        <f t="shared" si="1"/>
        <v>0.66494814814814818</v>
      </c>
      <c r="K11">
        <v>9</v>
      </c>
      <c r="L11">
        <v>1.7808999999999999</v>
      </c>
      <c r="M11">
        <v>12.5</v>
      </c>
      <c r="N11" s="2">
        <f t="shared" si="2"/>
        <v>0.52767407407407407</v>
      </c>
      <c r="P11">
        <v>9</v>
      </c>
      <c r="Q11">
        <v>1.7466999999999999</v>
      </c>
      <c r="R11">
        <v>12.5</v>
      </c>
      <c r="S11" s="2">
        <f t="shared" si="3"/>
        <v>0.41098823529411765</v>
      </c>
      <c r="T11" s="2">
        <f t="shared" si="4"/>
        <v>4.3835294117647083E-2</v>
      </c>
    </row>
    <row r="12" spans="1:20">
      <c r="A12">
        <v>10</v>
      </c>
      <c r="B12">
        <v>2.0142000000000002</v>
      </c>
      <c r="C12">
        <v>15</v>
      </c>
      <c r="D12" s="2">
        <f t="shared" si="0"/>
        <v>0.59680000000000011</v>
      </c>
      <c r="F12">
        <v>10</v>
      </c>
      <c r="G12">
        <v>2.4211999999999998</v>
      </c>
      <c r="H12">
        <v>13</v>
      </c>
      <c r="I12" s="2">
        <f t="shared" si="1"/>
        <v>0.71739259259259258</v>
      </c>
      <c r="K12">
        <v>10</v>
      </c>
      <c r="L12">
        <v>1.9715</v>
      </c>
      <c r="M12">
        <v>12.5</v>
      </c>
      <c r="N12" s="2">
        <f t="shared" si="2"/>
        <v>0.58414814814814819</v>
      </c>
      <c r="P12">
        <v>10</v>
      </c>
      <c r="Q12">
        <v>1.9329000000000001</v>
      </c>
      <c r="R12">
        <v>12.5</v>
      </c>
      <c r="S12" s="2">
        <f t="shared" si="3"/>
        <v>0.45480000000000004</v>
      </c>
      <c r="T12" s="2">
        <f t="shared" si="4"/>
        <v>4.3811764705882383E-2</v>
      </c>
    </row>
    <row r="13" spans="1:20">
      <c r="A13">
        <v>11</v>
      </c>
      <c r="B13">
        <v>2.1695000000000002</v>
      </c>
      <c r="C13">
        <v>15</v>
      </c>
      <c r="D13" s="2">
        <f t="shared" si="0"/>
        <v>0.64281481481481484</v>
      </c>
      <c r="F13">
        <v>11</v>
      </c>
      <c r="G13">
        <v>2.5897000000000001</v>
      </c>
      <c r="H13">
        <v>14</v>
      </c>
      <c r="I13" s="2">
        <f t="shared" si="1"/>
        <v>0.76731851851851851</v>
      </c>
      <c r="K13">
        <v>11</v>
      </c>
      <c r="L13">
        <v>2.1360999999999999</v>
      </c>
      <c r="M13">
        <v>12.5</v>
      </c>
      <c r="N13" s="2">
        <f t="shared" si="2"/>
        <v>0.63291851851851844</v>
      </c>
      <c r="P13">
        <v>11</v>
      </c>
      <c r="Q13">
        <v>2.1282999999999999</v>
      </c>
      <c r="R13">
        <v>12.5</v>
      </c>
      <c r="S13" s="2">
        <f t="shared" si="3"/>
        <v>0.50077647058823527</v>
      </c>
      <c r="T13" s="2">
        <f t="shared" si="4"/>
        <v>4.597647058823523E-2</v>
      </c>
    </row>
    <row r="14" spans="1:20">
      <c r="A14">
        <v>12</v>
      </c>
      <c r="B14">
        <v>2.3210999999999999</v>
      </c>
      <c r="C14">
        <v>15</v>
      </c>
      <c r="D14" s="2">
        <f t="shared" si="0"/>
        <v>0.68773333333333331</v>
      </c>
      <c r="F14">
        <v>12</v>
      </c>
      <c r="G14">
        <v>2.7467000000000001</v>
      </c>
      <c r="H14">
        <v>15</v>
      </c>
      <c r="I14" s="2">
        <f t="shared" si="1"/>
        <v>0.81383703703703703</v>
      </c>
      <c r="K14">
        <v>12</v>
      </c>
      <c r="L14">
        <v>2.2963</v>
      </c>
      <c r="M14">
        <v>12.5</v>
      </c>
      <c r="N14" s="2">
        <f t="shared" si="2"/>
        <v>0.6803851851851852</v>
      </c>
      <c r="P14">
        <v>12</v>
      </c>
      <c r="Q14">
        <v>2.3237999999999999</v>
      </c>
      <c r="R14">
        <v>12.5</v>
      </c>
      <c r="S14" s="2">
        <f t="shared" si="3"/>
        <v>0.54677647058823531</v>
      </c>
      <c r="T14" s="2">
        <f t="shared" si="4"/>
        <v>4.6000000000000041E-2</v>
      </c>
    </row>
    <row r="15" spans="1:20">
      <c r="A15">
        <v>13</v>
      </c>
      <c r="B15">
        <v>2.4619</v>
      </c>
      <c r="C15">
        <v>15</v>
      </c>
      <c r="D15" s="2">
        <f t="shared" si="0"/>
        <v>0.7294518518518518</v>
      </c>
      <c r="F15">
        <v>13</v>
      </c>
      <c r="G15">
        <v>2.8892000000000002</v>
      </c>
      <c r="H15">
        <v>16</v>
      </c>
      <c r="I15" s="2">
        <f t="shared" si="1"/>
        <v>0.8560592592592593</v>
      </c>
      <c r="K15">
        <v>13</v>
      </c>
      <c r="L15">
        <v>2.4504999999999999</v>
      </c>
      <c r="M15">
        <v>13</v>
      </c>
      <c r="N15" s="2">
        <f t="shared" si="2"/>
        <v>0.72607407407407409</v>
      </c>
      <c r="P15">
        <v>13</v>
      </c>
      <c r="Q15">
        <v>2.4672999999999998</v>
      </c>
      <c r="R15">
        <v>12.5</v>
      </c>
      <c r="S15" s="2">
        <f t="shared" si="3"/>
        <v>0.58054117647058823</v>
      </c>
      <c r="T15" s="2">
        <f t="shared" si="4"/>
        <v>3.3764705882352919E-2</v>
      </c>
    </row>
    <row r="16" spans="1:20">
      <c r="A16">
        <v>14</v>
      </c>
      <c r="B16">
        <v>2.5971000000000002</v>
      </c>
      <c r="C16">
        <v>15</v>
      </c>
      <c r="D16" s="2">
        <f t="shared" si="0"/>
        <v>0.76951111111111115</v>
      </c>
      <c r="F16">
        <v>14</v>
      </c>
      <c r="G16">
        <v>3.0158</v>
      </c>
      <c r="H16">
        <v>17</v>
      </c>
      <c r="I16" s="2">
        <f t="shared" si="1"/>
        <v>0.89357037037037035</v>
      </c>
      <c r="K16">
        <v>14</v>
      </c>
      <c r="L16">
        <v>2.5969000000000002</v>
      </c>
      <c r="M16">
        <v>14</v>
      </c>
      <c r="N16" s="2">
        <f t="shared" si="2"/>
        <v>0.76945185185185194</v>
      </c>
      <c r="P16">
        <v>14</v>
      </c>
      <c r="Q16">
        <v>2.6080999999999999</v>
      </c>
      <c r="R16">
        <v>12.5</v>
      </c>
      <c r="S16" s="2">
        <f t="shared" si="3"/>
        <v>0.61367058823529408</v>
      </c>
      <c r="T16" s="2">
        <f t="shared" si="4"/>
        <v>3.3129411764705852E-2</v>
      </c>
    </row>
    <row r="17" spans="1:20">
      <c r="A17">
        <v>15</v>
      </c>
      <c r="B17">
        <v>2.7259000000000002</v>
      </c>
      <c r="C17">
        <v>15</v>
      </c>
      <c r="D17" s="2">
        <f t="shared" si="0"/>
        <v>0.8076740740740741</v>
      </c>
      <c r="F17">
        <v>15</v>
      </c>
      <c r="G17">
        <v>3.1236999999999999</v>
      </c>
      <c r="H17">
        <v>19</v>
      </c>
      <c r="I17" s="2">
        <f t="shared" si="1"/>
        <v>0.92554074074074066</v>
      </c>
      <c r="K17">
        <v>15</v>
      </c>
      <c r="L17">
        <v>2.7341000000000002</v>
      </c>
      <c r="M17">
        <v>15</v>
      </c>
      <c r="N17" s="2">
        <f t="shared" si="2"/>
        <v>0.81010370370370377</v>
      </c>
      <c r="P17">
        <v>15</v>
      </c>
      <c r="Q17">
        <v>2.7423999999999999</v>
      </c>
      <c r="R17">
        <v>12.5</v>
      </c>
      <c r="S17" s="2">
        <f t="shared" si="3"/>
        <v>0.64527058823529415</v>
      </c>
      <c r="T17" s="2">
        <f t="shared" si="4"/>
        <v>3.1600000000000072E-2</v>
      </c>
    </row>
    <row r="18" spans="1:20">
      <c r="A18">
        <v>16</v>
      </c>
      <c r="B18">
        <v>2.8466</v>
      </c>
      <c r="C18">
        <v>16</v>
      </c>
      <c r="D18" s="2">
        <f t="shared" si="0"/>
        <v>0.8434370370370371</v>
      </c>
      <c r="F18">
        <v>16</v>
      </c>
      <c r="G18">
        <v>3.2122000000000002</v>
      </c>
      <c r="H18">
        <v>21</v>
      </c>
      <c r="I18" s="2">
        <f t="shared" si="1"/>
        <v>0.95176296296296303</v>
      </c>
      <c r="K18">
        <v>16</v>
      </c>
      <c r="L18">
        <v>2.8607999999999998</v>
      </c>
      <c r="M18">
        <v>16</v>
      </c>
      <c r="N18" s="2">
        <f t="shared" si="2"/>
        <v>0.84764444444444442</v>
      </c>
      <c r="P18">
        <v>16</v>
      </c>
      <c r="Q18">
        <v>2.8746999999999998</v>
      </c>
      <c r="R18">
        <v>12.5</v>
      </c>
      <c r="S18" s="2">
        <f t="shared" si="3"/>
        <v>0.6764</v>
      </c>
      <c r="T18" s="2">
        <f t="shared" si="4"/>
        <v>3.112941176470585E-2</v>
      </c>
    </row>
    <row r="19" spans="1:20">
      <c r="A19">
        <v>17</v>
      </c>
      <c r="B19">
        <v>2.9596</v>
      </c>
      <c r="C19">
        <v>16</v>
      </c>
      <c r="D19" s="2">
        <f t="shared" si="0"/>
        <v>0.87691851851851854</v>
      </c>
      <c r="F19">
        <v>17</v>
      </c>
      <c r="G19">
        <v>3.2783000000000002</v>
      </c>
      <c r="H19">
        <v>24</v>
      </c>
      <c r="I19" s="2">
        <f t="shared" si="1"/>
        <v>0.97134814814814818</v>
      </c>
      <c r="K19">
        <v>17</v>
      </c>
      <c r="L19">
        <v>2.9748999999999999</v>
      </c>
      <c r="M19">
        <v>18</v>
      </c>
      <c r="N19" s="2">
        <f t="shared" si="2"/>
        <v>0.88145185185185182</v>
      </c>
      <c r="P19">
        <v>17</v>
      </c>
      <c r="Q19">
        <v>3.004</v>
      </c>
      <c r="R19">
        <v>13</v>
      </c>
      <c r="S19" s="2">
        <f t="shared" si="3"/>
        <v>0.70682352941176474</v>
      </c>
      <c r="T19" s="2">
        <f t="shared" si="4"/>
        <v>3.0423529411764738E-2</v>
      </c>
    </row>
    <row r="20" spans="1:20">
      <c r="A20">
        <v>18</v>
      </c>
      <c r="B20">
        <v>3.0634999999999999</v>
      </c>
      <c r="C20">
        <v>16</v>
      </c>
      <c r="D20" s="2">
        <f t="shared" si="0"/>
        <v>0.90770370370370368</v>
      </c>
      <c r="F20">
        <v>18</v>
      </c>
      <c r="G20">
        <v>3.3224</v>
      </c>
      <c r="H20">
        <v>27</v>
      </c>
      <c r="I20" s="2">
        <f t="shared" si="1"/>
        <v>0.98441481481481485</v>
      </c>
      <c r="K20">
        <v>18</v>
      </c>
      <c r="L20">
        <v>3.0756000000000001</v>
      </c>
      <c r="M20">
        <v>20</v>
      </c>
      <c r="N20" s="2">
        <f t="shared" si="2"/>
        <v>0.91128888888888893</v>
      </c>
      <c r="P20">
        <v>18</v>
      </c>
      <c r="Q20">
        <v>3.1309999999999998</v>
      </c>
      <c r="R20">
        <v>13</v>
      </c>
      <c r="S20" s="2">
        <f t="shared" si="3"/>
        <v>0.7367058823529411</v>
      </c>
      <c r="T20" s="2">
        <f t="shared" si="4"/>
        <v>2.988235294117636E-2</v>
      </c>
    </row>
    <row r="21" spans="1:20">
      <c r="A21">
        <v>19</v>
      </c>
      <c r="B21">
        <v>3.1576</v>
      </c>
      <c r="C21">
        <v>16</v>
      </c>
      <c r="D21" s="2">
        <f t="shared" si="0"/>
        <v>0.93558518518518519</v>
      </c>
      <c r="F21">
        <v>19</v>
      </c>
      <c r="G21">
        <v>3.3439000000000001</v>
      </c>
      <c r="H21">
        <v>30</v>
      </c>
      <c r="I21" s="2">
        <f t="shared" si="1"/>
        <v>0.99078518518518521</v>
      </c>
      <c r="K21">
        <v>19</v>
      </c>
      <c r="L21">
        <v>3.1619999999999999</v>
      </c>
      <c r="M21">
        <v>22</v>
      </c>
      <c r="N21" s="2">
        <f t="shared" si="2"/>
        <v>0.93688888888888888</v>
      </c>
      <c r="P21">
        <v>19</v>
      </c>
      <c r="Q21">
        <v>3.2530000000000001</v>
      </c>
      <c r="R21">
        <v>14</v>
      </c>
      <c r="S21" s="2">
        <f t="shared" si="3"/>
        <v>0.76541176470588235</v>
      </c>
      <c r="T21" s="2">
        <f t="shared" si="4"/>
        <v>2.8705882352941248E-2</v>
      </c>
    </row>
    <row r="22" spans="1:20">
      <c r="A22">
        <v>20</v>
      </c>
      <c r="B22">
        <v>3.2410000000000001</v>
      </c>
      <c r="C22">
        <v>16</v>
      </c>
      <c r="D22" s="2">
        <f t="shared" si="0"/>
        <v>0.96029629629629631</v>
      </c>
      <c r="F22">
        <v>20</v>
      </c>
      <c r="G22">
        <f>6.75/2</f>
        <v>3.375</v>
      </c>
      <c r="H22">
        <v>35</v>
      </c>
      <c r="I22" s="2">
        <f t="shared" si="1"/>
        <v>1</v>
      </c>
      <c r="K22">
        <v>20</v>
      </c>
      <c r="L22">
        <v>3.2332000000000001</v>
      </c>
      <c r="M22">
        <v>24</v>
      </c>
      <c r="N22" s="2">
        <f t="shared" si="2"/>
        <v>0.95798518518518516</v>
      </c>
      <c r="P22">
        <v>20</v>
      </c>
      <c r="Q22">
        <v>3.3704999999999998</v>
      </c>
      <c r="R22">
        <v>15</v>
      </c>
      <c r="S22" s="2">
        <f t="shared" si="3"/>
        <v>0.7930588235294117</v>
      </c>
      <c r="T22" s="2">
        <f t="shared" si="4"/>
        <v>2.7647058823529358E-2</v>
      </c>
    </row>
    <row r="23" spans="1:20">
      <c r="A23">
        <v>21</v>
      </c>
      <c r="B23">
        <v>3.3037999999999998</v>
      </c>
      <c r="C23">
        <v>17</v>
      </c>
      <c r="D23" s="2">
        <f t="shared" si="0"/>
        <v>0.97890370370370361</v>
      </c>
      <c r="F23">
        <v>21</v>
      </c>
      <c r="G23">
        <f t="shared" ref="G23:G26" si="5">6.75/2</f>
        <v>3.375</v>
      </c>
      <c r="H23">
        <v>35</v>
      </c>
      <c r="I23" s="2">
        <f t="shared" si="1"/>
        <v>1</v>
      </c>
      <c r="K23">
        <v>21</v>
      </c>
      <c r="L23">
        <v>3.2885</v>
      </c>
      <c r="M23">
        <v>26</v>
      </c>
      <c r="N23" s="2">
        <f t="shared" si="2"/>
        <v>0.97437037037037033</v>
      </c>
      <c r="P23">
        <v>21</v>
      </c>
      <c r="Q23">
        <v>3.4771000000000001</v>
      </c>
      <c r="R23">
        <v>15</v>
      </c>
      <c r="S23" s="2">
        <f t="shared" si="3"/>
        <v>0.81814117647058826</v>
      </c>
      <c r="T23" s="2">
        <f t="shared" si="4"/>
        <v>2.5082352941176556E-2</v>
      </c>
    </row>
    <row r="24" spans="1:20">
      <c r="A24">
        <v>22</v>
      </c>
      <c r="B24">
        <v>3.3405999999999998</v>
      </c>
      <c r="C24">
        <v>17</v>
      </c>
      <c r="D24" s="2">
        <f t="shared" si="0"/>
        <v>0.98980740740740736</v>
      </c>
      <c r="F24">
        <v>22</v>
      </c>
      <c r="G24">
        <f t="shared" si="5"/>
        <v>3.375</v>
      </c>
      <c r="H24">
        <v>35</v>
      </c>
      <c r="I24" s="2">
        <f t="shared" si="1"/>
        <v>1</v>
      </c>
      <c r="K24">
        <v>22</v>
      </c>
      <c r="L24">
        <v>3.3271999999999999</v>
      </c>
      <c r="M24">
        <v>28</v>
      </c>
      <c r="N24" s="2">
        <f t="shared" si="2"/>
        <v>0.98583703703703707</v>
      </c>
      <c r="P24">
        <v>22</v>
      </c>
      <c r="Q24">
        <v>3.5777999999999999</v>
      </c>
      <c r="R24">
        <v>16</v>
      </c>
      <c r="S24" s="2">
        <f t="shared" si="3"/>
        <v>0.84183529411764701</v>
      </c>
      <c r="T24" s="2">
        <f t="shared" si="4"/>
        <v>2.3694117647058754E-2</v>
      </c>
    </row>
    <row r="25" spans="1:20">
      <c r="A25">
        <v>23</v>
      </c>
      <c r="B25">
        <v>3.3656999999999999</v>
      </c>
      <c r="C25">
        <v>22.5</v>
      </c>
      <c r="D25" s="2">
        <f t="shared" si="0"/>
        <v>0.99724444444444438</v>
      </c>
      <c r="F25">
        <v>23</v>
      </c>
      <c r="G25">
        <f t="shared" si="5"/>
        <v>3.375</v>
      </c>
      <c r="H25">
        <v>35</v>
      </c>
      <c r="I25" s="2">
        <f t="shared" si="1"/>
        <v>1</v>
      </c>
      <c r="K25">
        <v>23</v>
      </c>
      <c r="L25">
        <v>3.3491</v>
      </c>
      <c r="M25">
        <v>30</v>
      </c>
      <c r="N25" s="2">
        <f t="shared" si="2"/>
        <v>0.99232592592592594</v>
      </c>
      <c r="P25">
        <v>23</v>
      </c>
      <c r="Q25">
        <v>3.6724000000000001</v>
      </c>
      <c r="R25">
        <v>17</v>
      </c>
      <c r="S25" s="2">
        <f t="shared" si="3"/>
        <v>0.8640941176470589</v>
      </c>
      <c r="T25" s="2">
        <f t="shared" si="4"/>
        <v>2.2258823529411886E-2</v>
      </c>
    </row>
    <row r="26" spans="1:20">
      <c r="A26">
        <v>24</v>
      </c>
      <c r="B26">
        <f>6.75/2</f>
        <v>3.375</v>
      </c>
      <c r="C26">
        <v>35</v>
      </c>
      <c r="D26" s="2">
        <f t="shared" si="0"/>
        <v>1</v>
      </c>
      <c r="F26">
        <v>24</v>
      </c>
      <c r="G26">
        <f t="shared" si="5"/>
        <v>3.375</v>
      </c>
      <c r="H26">
        <v>35</v>
      </c>
      <c r="I26" s="2">
        <f t="shared" si="1"/>
        <v>1</v>
      </c>
      <c r="K26">
        <v>24</v>
      </c>
      <c r="L26">
        <f>6.75/2</f>
        <v>3.375</v>
      </c>
      <c r="M26">
        <v>35</v>
      </c>
      <c r="N26" s="2">
        <f t="shared" si="2"/>
        <v>1</v>
      </c>
      <c r="P26">
        <v>24</v>
      </c>
      <c r="Q26">
        <v>3.7608000000000001</v>
      </c>
      <c r="R26">
        <v>18</v>
      </c>
      <c r="S26" s="2">
        <f t="shared" si="3"/>
        <v>0.88489411764705883</v>
      </c>
      <c r="T26" s="2">
        <f t="shared" si="4"/>
        <v>2.079999999999993E-2</v>
      </c>
    </row>
    <row r="27" spans="1:20">
      <c r="A27">
        <v>25</v>
      </c>
      <c r="B27">
        <f t="shared" ref="B27:B30" si="6">6.75/2</f>
        <v>3.375</v>
      </c>
      <c r="C27">
        <v>35</v>
      </c>
      <c r="D27" s="2">
        <f t="shared" si="0"/>
        <v>1</v>
      </c>
      <c r="I27" s="2"/>
      <c r="K27">
        <v>25</v>
      </c>
      <c r="L27">
        <f t="shared" ref="L27:L30" si="7">6.75/2</f>
        <v>3.375</v>
      </c>
      <c r="M27">
        <v>35</v>
      </c>
      <c r="N27" s="2">
        <f t="shared" ref="N27:N30" si="8">L27/$K$1*2</f>
        <v>1</v>
      </c>
      <c r="P27">
        <v>25</v>
      </c>
      <c r="Q27">
        <v>3.8420000000000001</v>
      </c>
      <c r="R27">
        <v>19</v>
      </c>
      <c r="S27" s="2">
        <f t="shared" si="3"/>
        <v>0.90400000000000003</v>
      </c>
      <c r="T27" s="2">
        <f t="shared" si="4"/>
        <v>1.9105882352941195E-2</v>
      </c>
    </row>
    <row r="28" spans="1:20">
      <c r="A28">
        <v>26</v>
      </c>
      <c r="B28">
        <f t="shared" si="6"/>
        <v>3.375</v>
      </c>
      <c r="C28">
        <v>35</v>
      </c>
      <c r="D28" s="2">
        <f t="shared" si="0"/>
        <v>1</v>
      </c>
      <c r="I28" s="2"/>
      <c r="K28">
        <v>26</v>
      </c>
      <c r="L28">
        <f t="shared" si="7"/>
        <v>3.375</v>
      </c>
      <c r="M28">
        <v>35</v>
      </c>
      <c r="N28" s="2">
        <f t="shared" si="8"/>
        <v>1</v>
      </c>
      <c r="P28">
        <v>26</v>
      </c>
      <c r="Q28">
        <v>3.9209000000000001</v>
      </c>
      <c r="R28">
        <v>21</v>
      </c>
      <c r="S28" s="2">
        <f t="shared" si="3"/>
        <v>0.92256470588235295</v>
      </c>
      <c r="T28" s="2">
        <f t="shared" si="4"/>
        <v>1.8564705882352928E-2</v>
      </c>
    </row>
    <row r="29" spans="1:20">
      <c r="A29">
        <v>27</v>
      </c>
      <c r="B29">
        <f t="shared" si="6"/>
        <v>3.375</v>
      </c>
      <c r="C29">
        <v>35</v>
      </c>
      <c r="D29" s="2">
        <f t="shared" si="0"/>
        <v>1</v>
      </c>
      <c r="I29" s="2"/>
      <c r="K29">
        <v>27</v>
      </c>
      <c r="L29">
        <f t="shared" si="7"/>
        <v>3.375</v>
      </c>
      <c r="M29">
        <v>35</v>
      </c>
      <c r="N29" s="2">
        <f t="shared" si="8"/>
        <v>1</v>
      </c>
      <c r="P29">
        <v>27</v>
      </c>
      <c r="Q29">
        <v>3.9815</v>
      </c>
      <c r="R29">
        <v>22</v>
      </c>
      <c r="S29" s="2">
        <f t="shared" si="3"/>
        <v>0.93682352941176472</v>
      </c>
      <c r="T29" s="2">
        <f t="shared" si="4"/>
        <v>1.4258823529411768E-2</v>
      </c>
    </row>
    <row r="30" spans="1:20">
      <c r="A30">
        <v>28</v>
      </c>
      <c r="B30">
        <f t="shared" si="6"/>
        <v>3.375</v>
      </c>
      <c r="C30">
        <v>35</v>
      </c>
      <c r="D30" s="2">
        <f t="shared" si="0"/>
        <v>1</v>
      </c>
      <c r="I30" s="2"/>
      <c r="K30">
        <v>28</v>
      </c>
      <c r="L30">
        <f t="shared" si="7"/>
        <v>3.375</v>
      </c>
      <c r="M30">
        <v>35</v>
      </c>
      <c r="N30" s="2">
        <f t="shared" si="8"/>
        <v>1</v>
      </c>
      <c r="P30">
        <v>28</v>
      </c>
      <c r="Q30">
        <v>4.0387000000000004</v>
      </c>
      <c r="R30">
        <v>23</v>
      </c>
      <c r="S30" s="2">
        <f t="shared" si="3"/>
        <v>0.95028235294117658</v>
      </c>
      <c r="T30" s="2">
        <f t="shared" si="4"/>
        <v>1.3458823529411856E-2</v>
      </c>
    </row>
    <row r="31" spans="1:20">
      <c r="I31" s="2"/>
      <c r="P31">
        <v>29</v>
      </c>
      <c r="Q31">
        <v>4.0884999999999998</v>
      </c>
      <c r="R31">
        <v>25</v>
      </c>
      <c r="S31" s="2">
        <f t="shared" si="3"/>
        <v>0.96199999999999997</v>
      </c>
      <c r="T31" s="2">
        <f t="shared" si="4"/>
        <v>1.1717647058823388E-2</v>
      </c>
    </row>
    <row r="32" spans="1:20">
      <c r="I32" s="2"/>
      <c r="P32">
        <v>30</v>
      </c>
      <c r="Q32">
        <v>4.1292999999999997</v>
      </c>
      <c r="R32">
        <v>26</v>
      </c>
      <c r="S32" s="2">
        <f t="shared" si="3"/>
        <v>0.97159999999999991</v>
      </c>
      <c r="T32" s="2">
        <f t="shared" si="4"/>
        <v>9.5999999999999419E-3</v>
      </c>
    </row>
    <row r="33" spans="9:20">
      <c r="I33" s="2"/>
      <c r="P33">
        <v>31</v>
      </c>
      <c r="Q33">
        <v>4.1608000000000001</v>
      </c>
      <c r="R33">
        <v>27</v>
      </c>
      <c r="S33" s="2">
        <f t="shared" si="3"/>
        <v>0.97901176470588236</v>
      </c>
      <c r="T33" s="2">
        <f t="shared" si="4"/>
        <v>7.411764705882451E-3</v>
      </c>
    </row>
    <row r="34" spans="9:20">
      <c r="I34" s="2"/>
      <c r="P34">
        <v>32</v>
      </c>
      <c r="Q34">
        <v>4.2030000000000003</v>
      </c>
      <c r="R34">
        <v>28</v>
      </c>
      <c r="S34" s="2">
        <f t="shared" si="3"/>
        <v>0.98894117647058832</v>
      </c>
      <c r="T34" s="2">
        <f t="shared" si="4"/>
        <v>9.9294117647059643E-3</v>
      </c>
    </row>
    <row r="35" spans="9:20">
      <c r="I35" s="2"/>
      <c r="P35">
        <v>33</v>
      </c>
      <c r="Q35">
        <v>4.25</v>
      </c>
      <c r="R35">
        <v>30</v>
      </c>
      <c r="S35" s="2">
        <f t="shared" si="3"/>
        <v>1</v>
      </c>
      <c r="T35" s="2">
        <f t="shared" si="4"/>
        <v>1.1058823529411677E-2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Data</vt:lpstr>
      <vt:lpstr>Graph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victor.rodriguez</dc:creator>
  <cp:lastModifiedBy>victor.rodriguez</cp:lastModifiedBy>
  <cp:lastPrinted>2016-12-21T16:01:30Z</cp:lastPrinted>
  <dcterms:created xsi:type="dcterms:W3CDTF">2015-03-17T18:24:41Z</dcterms:created>
  <dcterms:modified xsi:type="dcterms:W3CDTF">2016-12-28T18:45:20Z</dcterms:modified>
</cp:coreProperties>
</file>