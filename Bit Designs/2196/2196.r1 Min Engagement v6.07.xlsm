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96\"/>
    </mc:Choice>
  </mc:AlternateContent>
  <xr:revisionPtr revIDLastSave="0" documentId="13_ncr:1_{C058B8C3-4F3A-4C73-BDE8-7B94092F14E3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37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V52" i="1" l="1"/>
  <c r="IQ20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Q19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2" i="1" l="1"/>
  <c r="IQ54" i="1"/>
  <c r="IV50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4" i="1" l="1"/>
  <c r="IU50" i="1"/>
  <c r="IE50" i="1" s="1"/>
  <c r="AQ10" i="1"/>
  <c r="IP50" i="1"/>
  <c r="IP52" i="1"/>
  <c r="IU52" i="1"/>
  <c r="IE52" i="1" s="1"/>
  <c r="IP20" i="1"/>
  <c r="V10" i="1"/>
  <c r="IQ50" i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IL50" i="1" s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2" i="1" l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Y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8" i="1" l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IS50" i="1" s="1"/>
  <c r="AP10" i="1"/>
  <c r="AN10" i="1"/>
  <c r="IT50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30" i="1" l="1"/>
  <c r="IS54" i="1"/>
  <c r="IX50" i="1"/>
  <c r="IF50" i="1" s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<sst xmlns="http://schemas.openxmlformats.org/spreadsheetml/2006/main" count="734" uniqueCount="391">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</sst>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/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4.375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8.75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47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1.111's θ about Z Axis</v>
      </c>
      <c r="U5" s="1136"/>
      <c r="V5" s="1137"/>
      <c r="W5" s="1136" t="str">
        <f>CONCATENATE("Relative to ",M8,"'s θ about Z Axis")</f>
        <v>Relative to 1.111's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>Inactive Element</v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89.650000050533748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-7.7200232835902244E-2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0.34310103479272097</v>
      </c>
      <c r="D9" s="704">
        <v>-0.25100075701828317</v>
      </c>
      <c r="E9" s="705">
        <v>-0.96592583607220739</v>
      </c>
      <c r="F9" s="703">
        <v>-2.2557559682354438E-2</v>
      </c>
      <c r="G9" s="706">
        <v>0.25783412440827969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0.34310103479272097</v>
      </c>
      <c r="P9" s="625">
        <f t="shared" ref="P9:P40" si="4">IF(M9="","",D9)</f>
        <v>-0.25100075701828317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0.34310103479272097</v>
      </c>
      <c r="S9" s="626">
        <f>IF(M9="","",P9)</f>
        <v>-0.25100075701828317</v>
      </c>
      <c r="T9" s="627">
        <f>IF(M9="","",X9*COS(RADIANS(W9)))</f>
        <v>0.34309463329816919</v>
      </c>
      <c r="U9" s="624">
        <f>IF(M9="","",X9*SIN(RADIANS(W9)))</f>
        <v>2.0958716159887483E-3</v>
      </c>
      <c r="V9" s="628">
        <f>IF(M9="","",Y9)</f>
        <v>-0.25100075701828317</v>
      </c>
      <c r="W9" s="583">
        <f t="shared" ref="W9:W14" si="5">IF(M9="","",IF(Q9-$Q$8&lt;0,360+Q9-$Q$8,Q9-$Q$8))</f>
        <v>0.34999994946625179</v>
      </c>
      <c r="X9" s="629">
        <f>IF(M9="","",R9)</f>
        <v>0.34310103479272097</v>
      </c>
      <c r="Y9" s="630">
        <f>IF(M9="","",S9)</f>
        <v>-0.25100075701828317</v>
      </c>
      <c r="Z9" s="623">
        <f t="shared" ref="Z9:Z40" si="6">IF(M9="","",-E9)</f>
        <v>0.96592583607220739</v>
      </c>
      <c r="AA9" s="624">
        <f t="shared" ref="AA9:AA40" si="7">IF(M9="","",-F9)</f>
        <v>2.2557559682354438E-2</v>
      </c>
      <c r="AB9" s="624">
        <f t="shared" ref="AB9:AB40" si="8">IF(M9="","",-G9)</f>
        <v>-0.25783412440827969</v>
      </c>
      <c r="AC9" s="628">
        <f>IF(M9="","",SQRT(Z9^2+AA9^2+AB9^2))</f>
        <v>1</v>
      </c>
      <c r="AD9" s="631">
        <f>IF(M9="","",Z9*(1/SQRT(Z9^2+AA9^2+AB9^2)))</f>
        <v>0.96592583607220739</v>
      </c>
      <c r="AE9" s="624">
        <f>IF(M9="","",AA9*(1/SQRT(Z9^2+AA9^2+AB9^2)))</f>
        <v>2.2557559682354438E-2</v>
      </c>
      <c r="AF9" s="625">
        <f>IF(M9="","",AB9*(1/SQRT(Z9^2+AA9^2+AB9^2)))</f>
        <v>-0.25783412440827969</v>
      </c>
      <c r="AG9" s="599">
        <f>IF(M9="","",DEGREES(ATAN2(-AF9,AE9)))</f>
        <v>4.9999992780894278</v>
      </c>
      <c r="AH9" s="600">
        <f>IF(M9="","",DEGREES(ACOS(AD9)))</f>
        <v>14.999997834268255</v>
      </c>
      <c r="AI9" s="583">
        <f>IF(M9="","",DEGREES(-ACOS(-AF9)))</f>
        <v>-75.058414528502141</v>
      </c>
      <c r="AJ9" s="601">
        <f>IF(M9="","",DEGREES(ATAN2(-AE9,AD9)))</f>
        <v>91.337802589549781</v>
      </c>
      <c r="AK9" s="627">
        <f>IF(M9="","",(COS(RADIANS((90-$Q$8)-W9))*AD9)+(-SIN(RADIANS((90-$Q$8)-W9))*AE9))</f>
        <v>0.96592583607220739</v>
      </c>
      <c r="AL9" s="624">
        <f>IF(M9="","",(SIN(RADIANS((90-$Q$8)-W9))*AD9)+(COS(RADIANS((90-$Q$8)-W9))*AE9))</f>
        <v>2.2557559682354438E-2</v>
      </c>
      <c r="AM9" s="626">
        <f>IF(M9="","",AF9)</f>
        <v>-0.25783412440827969</v>
      </c>
      <c r="AN9" s="581">
        <f>IF(M9="","",DEGREES(ATAN2(-AM9,AL9)))</f>
        <v>4.9999992780894278</v>
      </c>
      <c r="AO9" s="582">
        <f>IF(ROUND(IF(M9="",0,DEGREES(ACOS(AK9))),4)=90,0,IF(M9="","",DEGREES(ACOS(AK9))))</f>
        <v>14.999997834268255</v>
      </c>
      <c r="AP9" s="781">
        <f>IF(M9="","",DEGREES(ATAN2(AK9,AL9)))</f>
        <v>1.3378025895497818</v>
      </c>
      <c r="AQ9" s="584">
        <f t="shared" ref="AQ9:AQ40" si="9">IF(M9="","",DEGREES(ATAN(($AS$5*SIN(RADIANS(90)))/(($X9*2*PI())-($AS$5*COS(RADIANS(90)))))))</f>
        <v>6.6149279410673314</v>
      </c>
      <c r="AS9" s="51">
        <f>IF(M9="","",W9)</f>
        <v>0.34999994946625179</v>
      </c>
      <c r="AT9" s="71">
        <f t="shared" ref="AT9:AT40" si="10">IF(M9="","",Y9+(((AS9-$AS$9)*$AS$6)*-1))</f>
        <v>-0.25100075701828317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27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1.0776032500514021</v>
      </c>
      <c r="D10" s="709">
        <v>-0.18670056308889832</v>
      </c>
      <c r="E10" s="710">
        <v>-0.96592583607220739</v>
      </c>
      <c r="F10" s="708">
        <v>-2.2557559682354435E-2</v>
      </c>
      <c r="G10" s="711">
        <v>0.25783412440827969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1.0776032500514021</v>
      </c>
      <c r="P10" s="633">
        <f t="shared" si="4"/>
        <v>-0.18670056308889832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1.0776032500514021</v>
      </c>
      <c r="S10" s="634">
        <f t="shared" ref="S10:S105" si="80">IF(M10="","",P10)</f>
        <v>-0.18670056308889832</v>
      </c>
      <c r="T10" s="635">
        <f t="shared" ref="T10:T105" si="81">IF(M10="","",X10*COS(RADIANS(W10)))</f>
        <v>1.0775831443955322</v>
      </c>
      <c r="U10" s="629">
        <f t="shared" ref="U10:U105" si="82">IF(M10="","",X10*SIN(RADIANS(W10)))</f>
        <v>6.5826617702986739E-3</v>
      </c>
      <c r="V10" s="636">
        <f>IF(M10="","",Y10)</f>
        <v>-0.18670056308889832</v>
      </c>
      <c r="W10" s="585">
        <f t="shared" si="5"/>
        <v>0.34999994946625179</v>
      </c>
      <c r="X10" s="629">
        <f t="shared" ref="X10:X105" si="83">IF(M10="","",R10)</f>
        <v>1.0776032500514021</v>
      </c>
      <c r="Y10" s="630">
        <f>IF(M10="","",S10)</f>
        <v>-0.18670056308889832</v>
      </c>
      <c r="Z10" s="632">
        <f t="shared" si="6"/>
        <v>0.96592583607220739</v>
      </c>
      <c r="AA10" s="629">
        <f t="shared" si="7"/>
        <v>2.2557559682354435E-2</v>
      </c>
      <c r="AB10" s="629">
        <f t="shared" si="8"/>
        <v>-0.25783412440827969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2.2557559682354435E-2</v>
      </c>
      <c r="AF10" s="633">
        <f t="shared" ref="AF10:AF105" si="86">IF(M10="","",AB10*(1/SQRT(Z10^2+AA10^2+AB10^2)))</f>
        <v>-0.25783412440827969</v>
      </c>
      <c r="AG10" s="602">
        <f t="shared" ref="AG10:AG105" si="87">IF(M10="","",DEGREES(ATAN2(-AF10,AE10)))</f>
        <v>4.9999992780894269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-75.058414528502141</v>
      </c>
      <c r="AJ10" s="586">
        <f t="shared" ref="AJ10:AJ105" si="90">IF(M10="","",DEGREES(ATAN2(-AE10,AD10)))</f>
        <v>91.337802589549781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2.2557559682354435E-2</v>
      </c>
      <c r="AM10" s="634">
        <f t="shared" ref="AM10:AM105" si="92">IF(M10="","",AF10)</f>
        <v>-0.25783412440827969</v>
      </c>
      <c r="AN10" s="581">
        <f t="shared" ref="AN10:AN105" si="93">IF(M10="","",DEGREES(ATAN2(-AM10,AL10)))</f>
        <v>4.9999992780894269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1.3378025895497816</v>
      </c>
      <c r="AQ10" s="586">
        <f t="shared" si="9"/>
        <v>2.1145922382091711</v>
      </c>
      <c r="AS10" s="52">
        <f>IF($M10="","",IF(AND($W10&lt;($AS$9+180),$W10&gt;($AS$9-180)),$W10,IF($W10&gt;($AS$9+180),$W10-360,IF($W10&lt;($AS$9-180),$W10+360,"Error"))))</f>
        <v>0.34999994946625179</v>
      </c>
      <c r="AT10" s="72">
        <f t="shared" si="10"/>
        <v>-0.18670056308889832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10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1.8122054656116844</v>
      </c>
      <c r="D11" s="709">
        <v>-0.1224003691595134</v>
      </c>
      <c r="E11" s="710">
        <v>-0.96592583607220739</v>
      </c>
      <c r="F11" s="708">
        <v>-2.2557559682354407E-2</v>
      </c>
      <c r="G11" s="711">
        <v>0.25783412440827969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1.8122054656116844</v>
      </c>
      <c r="P11" s="633">
        <f t="shared" si="4"/>
        <v>-0.1224003691595134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1.8122054656116844</v>
      </c>
      <c r="S11" s="634">
        <f t="shared" si="80"/>
        <v>-0.1224003691595134</v>
      </c>
      <c r="T11" s="635">
        <f t="shared" si="81"/>
        <v>1.8121716539287154</v>
      </c>
      <c r="U11" s="629">
        <f t="shared" si="82"/>
        <v>1.1070062787801836E-2</v>
      </c>
      <c r="V11" s="636">
        <f t="shared" ref="V11:V105" si="114">IF(M11="","",Y11)</f>
        <v>-0.1224003691595134</v>
      </c>
      <c r="W11" s="585">
        <f t="shared" si="5"/>
        <v>0.34999994946625179</v>
      </c>
      <c r="X11" s="629">
        <f>IF(M11="","",R11)</f>
        <v>1.8122054656116844</v>
      </c>
      <c r="Y11" s="630">
        <f>IF(M11="","",S11)</f>
        <v>-0.1224003691595134</v>
      </c>
      <c r="Z11" s="632">
        <f t="shared" si="6"/>
        <v>0.96592583607220739</v>
      </c>
      <c r="AA11" s="629">
        <f t="shared" si="7"/>
        <v>2.2557559682354407E-2</v>
      </c>
      <c r="AB11" s="629">
        <f t="shared" si="8"/>
        <v>-0.25783412440827969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2.2557559682354407E-2</v>
      </c>
      <c r="AF11" s="633">
        <f t="shared" si="86"/>
        <v>-0.25783412440827969</v>
      </c>
      <c r="AG11" s="602">
        <f>IF(M11="","",DEGREES(ATAN2(-AF11,AE11)))</f>
        <v>4.9999992780894198</v>
      </c>
      <c r="AH11" s="603">
        <f t="shared" si="88"/>
        <v>14.999997834268255</v>
      </c>
      <c r="AI11" s="585">
        <f t="shared" si="89"/>
        <v>-75.058414528502141</v>
      </c>
      <c r="AJ11" s="586">
        <f t="shared" si="90"/>
        <v>91.337802589549781</v>
      </c>
      <c r="AK11" s="635">
        <f>IF(M11="","",(COS(RADIANS((90-$Q$8)-W11))*AD11)+(-SIN(RADIANS((90-$Q$8)-W11))*AE11))</f>
        <v>0.96592583607220739</v>
      </c>
      <c r="AL11" s="629">
        <f t="shared" si="91"/>
        <v>2.2557559682354407E-2</v>
      </c>
      <c r="AM11" s="634">
        <f t="shared" si="92"/>
        <v>-0.25783412440827969</v>
      </c>
      <c r="AN11" s="581">
        <f>IF(M11="","",DEGREES(ATAN2(-AM11,AL11)))</f>
        <v>4.9999992780894198</v>
      </c>
      <c r="AO11" s="582">
        <f>IF(ROUND(IF(M11="",0,DEGREES(ACOS(AK11))),4)=90,0,IF(M11="","",DEGREES(ACOS(AK11))))</f>
        <v>14.999997834268255</v>
      </c>
      <c r="AP11" s="585">
        <f t="shared" si="95"/>
        <v>1.33780258954978</v>
      </c>
      <c r="AQ11" s="586">
        <f t="shared" si="9"/>
        <v>1.2577825504965128</v>
      </c>
      <c r="AS11" s="52">
        <f t="shared" ref="AS11:AS42" si="116">IF(G11="","",IF(AND(W11&lt;(AS10+180),W11&gt;(AS10-180)),W11,IF(W11&gt;(AS10+180),W11-360,IF(W11&lt;(AS10-180),W11+360,"Error"))))</f>
        <v>0.34999994946625179</v>
      </c>
      <c r="AT11" s="72">
        <f t="shared" si="10"/>
        <v>-0.1224003691595134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1.5994230988468264E-2</v>
      </c>
      <c r="C12" s="708">
        <v>2.6182590450731462</v>
      </c>
      <c r="D12" s="709">
        <v>-7.7200232835902244E-2</v>
      </c>
      <c r="E12" s="710">
        <v>-0.96463637474779951</v>
      </c>
      <c r="F12" s="708">
        <v>5.1256528705608519E-2</v>
      </c>
      <c r="G12" s="711">
        <v>0.25855257256208874</v>
      </c>
      <c r="H12" s="710">
        <v>0.314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1.5994230988468264E-2</v>
      </c>
      <c r="O12" s="629">
        <f t="shared" si="3"/>
        <v>2.6182590450731462</v>
      </c>
      <c r="P12" s="633">
        <f t="shared" si="4"/>
        <v>-7.7200232835902244E-2</v>
      </c>
      <c r="Q12" s="585">
        <f>IF(M12="","",IF(DEGREES(ATAN2(N12,O12))&lt;0,DEGREES(ATAN2(N12,O12))+360,IF(DEGREES(ATAN2(N12,O12))&gt;360,DEGREES(ATAN2(N12,O12))-360,DEGREES(ATAN2(N12,O12)))))</f>
        <v>89.650000050533748</v>
      </c>
      <c r="R12" s="629">
        <f t="shared" si="79"/>
        <v>2.6183078968166171</v>
      </c>
      <c r="S12" s="634">
        <f t="shared" si="80"/>
        <v>-7.7200232835902244E-2</v>
      </c>
      <c r="T12" s="635">
        <f>IF(M12="","",X12*COS(RADIANS(W12)))</f>
        <v>2.6183078968166171</v>
      </c>
      <c r="U12" s="629">
        <f t="shared" si="82"/>
        <v>0</v>
      </c>
      <c r="V12" s="636">
        <f t="shared" si="114"/>
        <v>-7.7200232835902244E-2</v>
      </c>
      <c r="W12" s="585">
        <f>IF(M12="","",IF(Q12-$Q$8&lt;0,360+Q12-$Q$8,Q12-$Q$8))</f>
        <v>0</v>
      </c>
      <c r="X12" s="629">
        <f t="shared" si="83"/>
        <v>2.6183078968166171</v>
      </c>
      <c r="Y12" s="630">
        <f>IF(M12="","",S12)</f>
        <v>-7.7200232835902244E-2</v>
      </c>
      <c r="Z12" s="632">
        <f t="shared" si="6"/>
        <v>0.96463637474779951</v>
      </c>
      <c r="AA12" s="629">
        <f t="shared" si="7"/>
        <v>-5.1256528705608519E-2</v>
      </c>
      <c r="AB12" s="629">
        <f t="shared" si="8"/>
        <v>-0.25855257256208874</v>
      </c>
      <c r="AC12" s="636">
        <f t="shared" si="84"/>
        <v>1</v>
      </c>
      <c r="AD12" s="637">
        <f t="shared" si="115"/>
        <v>0.96463637474779951</v>
      </c>
      <c r="AE12" s="629">
        <f t="shared" si="85"/>
        <v>-5.1256528705608519E-2</v>
      </c>
      <c r="AF12" s="633">
        <f t="shared" si="86"/>
        <v>-0.25855257256208874</v>
      </c>
      <c r="AG12" s="602">
        <f t="shared" si="87"/>
        <v>-11.213165098038267</v>
      </c>
      <c r="AH12" s="603">
        <f t="shared" si="88"/>
        <v>15.282846527956337</v>
      </c>
      <c r="AI12" s="585">
        <f t="shared" si="89"/>
        <v>-75.015805755936597</v>
      </c>
      <c r="AJ12" s="586">
        <f t="shared" si="90"/>
        <v>86.958414983150774</v>
      </c>
      <c r="AK12" s="635">
        <f t="shared" ref="AK12:AK105" si="211">IF(M12="","",(COS(RADIANS((90-$Q$8)-W12))*AD12)+(-SIN(RADIANS((90-$Q$8)-W12))*AE12))</f>
        <v>0.9649314831237098</v>
      </c>
      <c r="AL12" s="629">
        <f>IF(M12="","",(SIN(RADIANS((90-$Q$8)-W12))*AD12)+(COS(RADIANS((90-$Q$8)-W12))*AE12))</f>
        <v>-4.5362981584146006E-2</v>
      </c>
      <c r="AM12" s="634">
        <f t="shared" si="92"/>
        <v>-0.25855257256208874</v>
      </c>
      <c r="AN12" s="581">
        <f>IF(M12="","",DEGREES(ATAN2(-AM12,AL12)))</f>
        <v>-9.9512460877587046</v>
      </c>
      <c r="AO12" s="582">
        <f t="shared" si="94"/>
        <v>15.218566321783943</v>
      </c>
      <c r="AP12" s="585">
        <f t="shared" si="95"/>
        <v>-2.6915850673829764</v>
      </c>
      <c r="AQ12" s="586">
        <f t="shared" si="9"/>
        <v>0.87061998089926995</v>
      </c>
      <c r="AS12" s="52">
        <f t="shared" si="116"/>
        <v>0</v>
      </c>
      <c r="AT12" s="72">
        <f>IF(M12="","",Y12+(((AS12-$AS$9)*$AS$6)*-1))</f>
        <v>-7.6957177315439565E-2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7.7388395957355249E-2</v>
      </c>
      <c r="C13" s="708">
        <v>3.3585186423522297</v>
      </c>
      <c r="D13" s="709">
        <v>-0.33310100463263004</v>
      </c>
      <c r="E13" s="710">
        <v>-0.94771674331158506</v>
      </c>
      <c r="F13" s="708">
        <v>0.21418147892026074</v>
      </c>
      <c r="G13" s="711">
        <v>0.23655711474063368</v>
      </c>
      <c r="H13" s="710">
        <v>0.314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1.1160000000000001</v>
      </c>
      <c r="N13" s="632">
        <f t="shared" si="2"/>
        <v>7.7388395957355249E-2</v>
      </c>
      <c r="O13" s="629">
        <f t="shared" si="3"/>
        <v>3.3585186423522297</v>
      </c>
      <c r="P13" s="633">
        <f t="shared" si="4"/>
        <v>-0.33310100463263004</v>
      </c>
      <c r="Q13" s="585">
        <f t="shared" si="113"/>
        <v>88.680000190584408</v>
      </c>
      <c r="R13" s="629">
        <f t="shared" si="79"/>
        <v>3.3594101319809577</v>
      </c>
      <c r="S13" s="634">
        <f t="shared" si="80"/>
        <v>-0.33310100463263004</v>
      </c>
      <c r="T13" s="635">
        <f>IF(M13="","",X13*COS(RADIANS(W13)))</f>
        <v>3.3589287157400527</v>
      </c>
      <c r="U13" s="629">
        <f t="shared" si="82"/>
        <v>-5.6871059715792253E-2</v>
      </c>
      <c r="V13" s="636">
        <f t="shared" si="114"/>
        <v>-0.33310100463263004</v>
      </c>
      <c r="W13" s="585">
        <f t="shared" si="5"/>
        <v>359.03000014005067</v>
      </c>
      <c r="X13" s="629">
        <f t="shared" si="83"/>
        <v>3.3594101319809577</v>
      </c>
      <c r="Y13" s="630">
        <f>IF(M13="","",S13)</f>
        <v>-0.33310100463263004</v>
      </c>
      <c r="Z13" s="632">
        <f t="shared" si="6"/>
        <v>0.94771674331158506</v>
      </c>
      <c r="AA13" s="629">
        <f t="shared" si="7"/>
        <v>-0.21418147892026074</v>
      </c>
      <c r="AB13" s="629">
        <f t="shared" si="8"/>
        <v>-0.23655711474063368</v>
      </c>
      <c r="AC13" s="636">
        <f t="shared" si="84"/>
        <v>1</v>
      </c>
      <c r="AD13" s="637">
        <f>IF(M13="","",Z13*(1/SQRT(Z13^2+AA13^2+AB13^2)))</f>
        <v>0.94771674331158506</v>
      </c>
      <c r="AE13" s="629">
        <f t="shared" si="85"/>
        <v>-0.21418147892026074</v>
      </c>
      <c r="AF13" s="633">
        <f t="shared" si="86"/>
        <v>-0.23655711474063368</v>
      </c>
      <c r="AG13" s="602">
        <f>IF(M13="","",DEGREES(ATAN2(-AF13,AE13)))</f>
        <v>-42.158046929152292</v>
      </c>
      <c r="AH13" s="603">
        <f t="shared" si="88"/>
        <v>18.60927883767744</v>
      </c>
      <c r="AI13" s="585">
        <f t="shared" si="89"/>
        <v>-76.316572853660986</v>
      </c>
      <c r="AJ13" s="586">
        <f t="shared" si="90"/>
        <v>77.265237342107881</v>
      </c>
      <c r="AK13" s="635">
        <f t="shared" si="211"/>
        <v>0.95239919672804318</v>
      </c>
      <c r="AL13" s="629">
        <f t="shared" si="91"/>
        <v>-0.19229274957045334</v>
      </c>
      <c r="AM13" s="634">
        <f t="shared" si="92"/>
        <v>-0.23655711474063368</v>
      </c>
      <c r="AN13" s="581">
        <f t="shared" si="93"/>
        <v>-39.107000594391998</v>
      </c>
      <c r="AO13" s="582">
        <f t="shared" si="94"/>
        <v>17.749361545421511</v>
      </c>
      <c r="AP13" s="585">
        <f t="shared" si="95"/>
        <v>-11.414762848476578</v>
      </c>
      <c r="AQ13" s="586">
        <f t="shared" si="9"/>
        <v>0.67857747393839152</v>
      </c>
      <c r="AS13" s="52">
        <f t="shared" si="116"/>
        <v>-0.96999985994932558</v>
      </c>
      <c r="AT13" s="72">
        <f t="shared" si="10"/>
        <v>-0.33218433809831366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0.15018096895189001</v>
      </c>
      <c r="C14" s="708">
        <v>3.891615013732503</v>
      </c>
      <c r="D14" s="709">
        <v>-0.90620273310744359</v>
      </c>
      <c r="E14" s="710">
        <v>-0.92610460584623566</v>
      </c>
      <c r="F14" s="708">
        <v>0.34577449782694214</v>
      </c>
      <c r="G14" s="711">
        <v>0.15089816328542427</v>
      </c>
      <c r="H14" s="710">
        <v>0.314</v>
      </c>
      <c r="I14" s="708">
        <v>0.52</v>
      </c>
      <c r="J14" s="570">
        <v>1.121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1.121</v>
      </c>
      <c r="N14" s="632">
        <f t="shared" si="2"/>
        <v>0.15018096895189001</v>
      </c>
      <c r="O14" s="629">
        <f t="shared" si="3"/>
        <v>3.891615013732503</v>
      </c>
      <c r="P14" s="633">
        <f t="shared" si="4"/>
        <v>-0.90620273310744359</v>
      </c>
      <c r="Q14" s="585">
        <f t="shared" si="113"/>
        <v>87.79000031908447</v>
      </c>
      <c r="R14" s="629">
        <f t="shared" si="79"/>
        <v>3.8945117458474248</v>
      </c>
      <c r="S14" s="634">
        <f t="shared" si="80"/>
        <v>-0.90620273310744359</v>
      </c>
      <c r="T14" s="635">
        <f t="shared" si="81"/>
        <v>3.8924598024343355</v>
      </c>
      <c r="U14" s="629">
        <f t="shared" si="82"/>
        <v>-0.12640579486878389</v>
      </c>
      <c r="V14" s="636">
        <f t="shared" si="114"/>
        <v>-0.90620273310744359</v>
      </c>
      <c r="W14" s="585">
        <f t="shared" si="5"/>
        <v>358.14000026855069</v>
      </c>
      <c r="X14" s="629">
        <f t="shared" si="83"/>
        <v>3.8945117458474248</v>
      </c>
      <c r="Y14" s="630">
        <f t="shared" ref="Y14:Y75" si="223">IF(M14="","",S14)</f>
        <v>-0.90620273310744359</v>
      </c>
      <c r="Z14" s="632">
        <f t="shared" si="6"/>
        <v>0.92610460584623566</v>
      </c>
      <c r="AA14" s="629">
        <f t="shared" si="7"/>
        <v>-0.34577449782694214</v>
      </c>
      <c r="AB14" s="629">
        <f t="shared" si="8"/>
        <v>-0.15089816328542427</v>
      </c>
      <c r="AC14" s="636">
        <f t="shared" si="84"/>
        <v>1</v>
      </c>
      <c r="AD14" s="637">
        <f>IF(M14="","",Z14*(1/SQRT(Z14^2+AA14^2+AB14^2)))</f>
        <v>0.92610460584623566</v>
      </c>
      <c r="AE14" s="629">
        <f t="shared" si="85"/>
        <v>-0.34577449782694214</v>
      </c>
      <c r="AF14" s="633">
        <f t="shared" si="86"/>
        <v>-0.15089816328542427</v>
      </c>
      <c r="AG14" s="602">
        <f t="shared" si="87"/>
        <v>-66.423241214281973</v>
      </c>
      <c r="AH14" s="603">
        <f t="shared" si="88"/>
        <v>22.164486075857983</v>
      </c>
      <c r="AI14" s="585">
        <f t="shared" si="89"/>
        <v>-81.32101998893134</v>
      </c>
      <c r="AJ14" s="586">
        <f t="shared" si="90"/>
        <v>69.526157851821779</v>
      </c>
      <c r="AK14" s="635">
        <f>IF(M14="","",(COS(RADIANS((90-$Q$8)-W14))*AD14)+(-SIN(RADIANS((90-$Q$8)-W14))*AE14))</f>
        <v>0.93874959843650863</v>
      </c>
      <c r="AL14" s="629">
        <f t="shared" si="91"/>
        <v>-0.3098046735483172</v>
      </c>
      <c r="AM14" s="634">
        <f t="shared" si="92"/>
        <v>-0.15089816328542427</v>
      </c>
      <c r="AN14" s="581">
        <f t="shared" si="93"/>
        <v>-64.030436803317258</v>
      </c>
      <c r="AO14" s="582">
        <f t="shared" si="94"/>
        <v>20.157382982629123</v>
      </c>
      <c r="AP14" s="585">
        <f>IF(M14="","",DEGREES(ATAN2(AK14,AL14)))</f>
        <v>-18.263842467262691</v>
      </c>
      <c r="AQ14" s="586">
        <f t="shared" si="9"/>
        <v>0.5853486821855205</v>
      </c>
      <c r="AS14" s="52">
        <f t="shared" si="116"/>
        <v>-1.8599997314493066</v>
      </c>
      <c r="AT14" s="72">
        <f t="shared" si="10"/>
        <v>-0.90466801110680783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0.18450505604237516</v>
      </c>
      <c r="C15" s="708">
        <v>4.0946575758330592</v>
      </c>
      <c r="D15" s="709">
        <v>-1.663105015924728</v>
      </c>
      <c r="E15" s="710">
        <v>-0.88589972156725527</v>
      </c>
      <c r="F15" s="708">
        <v>0.46140522193831368</v>
      </c>
      <c r="G15" s="711">
        <v>4.7821590261254446E-2</v>
      </c>
      <c r="H15" s="710">
        <v>0.314</v>
      </c>
      <c r="I15" s="708">
        <v>0.52</v>
      </c>
      <c r="J15" s="570">
        <v>1.1259999999999999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0</v>
      </c>
      <c r="M15" s="168">
        <f t="shared" si="1"/>
        <v>1.1259999999999999</v>
      </c>
      <c r="N15" s="632">
        <f t="shared" si="2"/>
        <v>0.18450505604237516</v>
      </c>
      <c r="O15" s="629">
        <f t="shared" si="3"/>
        <v>4.0946575758330592</v>
      </c>
      <c r="P15" s="633">
        <f t="shared" si="4"/>
        <v>-1.663105015924728</v>
      </c>
      <c r="Q15" s="585">
        <f t="shared" si="113"/>
        <v>87.420000372505854</v>
      </c>
      <c r="R15" s="629">
        <f t="shared" si="79"/>
        <v>4.0988123620180845</v>
      </c>
      <c r="S15" s="634">
        <f t="shared" si="80"/>
        <v>-1.663105015924728</v>
      </c>
      <c r="T15" s="635">
        <f t="shared" si="81"/>
        <v>4.095708248798883</v>
      </c>
      <c r="U15" s="629">
        <f t="shared" si="82"/>
        <v>-0.15948893301121622</v>
      </c>
      <c r="V15" s="636">
        <f t="shared" si="114"/>
        <v>-1.663105015924728</v>
      </c>
      <c r="W15" s="585">
        <f t="shared" ref="W15:W78" si="224">IF(M15="","",IF(Q15-$Q$8&lt;0,360+Q15-$Q$8,Q15-$Q$8))</f>
        <v>357.77000032197213</v>
      </c>
      <c r="X15" s="629">
        <f>IF(M15="","",R15)</f>
        <v>4.0988123620180845</v>
      </c>
      <c r="Y15" s="630">
        <f>IF(M15="","",S15)</f>
        <v>-1.663105015924728</v>
      </c>
      <c r="Z15" s="632">
        <f t="shared" si="6"/>
        <v>0.88589972156725527</v>
      </c>
      <c r="AA15" s="629">
        <f t="shared" si="7"/>
        <v>-0.46140522193831368</v>
      </c>
      <c r="AB15" s="629">
        <f t="shared" si="8"/>
        <v>-4.7821590261254446E-2</v>
      </c>
      <c r="AC15" s="636">
        <f t="shared" si="84"/>
        <v>1</v>
      </c>
      <c r="AD15" s="637">
        <f t="shared" si="115"/>
        <v>0.88589972156725527</v>
      </c>
      <c r="AE15" s="629">
        <f t="shared" si="85"/>
        <v>-0.46140522193831368</v>
      </c>
      <c r="AF15" s="633">
        <f t="shared" si="86"/>
        <v>-4.7821590261254446E-2</v>
      </c>
      <c r="AG15" s="602">
        <f t="shared" si="87"/>
        <v>-84.08279962302295</v>
      </c>
      <c r="AH15" s="603">
        <f t="shared" si="88"/>
        <v>27.637554510832064</v>
      </c>
      <c r="AI15" s="585">
        <f t="shared" si="89"/>
        <v>-87.258979288584428</v>
      </c>
      <c r="AJ15" s="586">
        <f t="shared" si="90"/>
        <v>62.488042300726136</v>
      </c>
      <c r="AK15" s="635">
        <f t="shared" si="211"/>
        <v>0.90577154423526918</v>
      </c>
      <c r="AL15" s="629">
        <f t="shared" si="91"/>
        <v>-0.42105938436109053</v>
      </c>
      <c r="AM15" s="634">
        <f t="shared" si="92"/>
        <v>-4.7821590261254446E-2</v>
      </c>
      <c r="AN15" s="581">
        <f>IF(M15="","",DEGREES(ATAN2(-AM15,AL15)))</f>
        <v>-83.52042819293419</v>
      </c>
      <c r="AO15" s="582">
        <f t="shared" si="94"/>
        <v>25.072601616790489</v>
      </c>
      <c r="AP15" s="585">
        <f t="shared" si="95"/>
        <v>-24.931958071779757</v>
      </c>
      <c r="AQ15" s="586">
        <f t="shared" si="9"/>
        <v>0.55617452714754012</v>
      </c>
      <c r="AS15" s="52">
        <f t="shared" si="116"/>
        <v>-2.2299996780278661</v>
      </c>
      <c r="AT15" s="72">
        <f t="shared" si="10"/>
        <v>-1.661313349516746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1.1259999999999999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37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0.19709999180144269</v>
      </c>
      <c r="C16" s="708">
        <v>4.1640504449588684</v>
      </c>
      <c r="D16" s="709">
        <v>-2.3758071654344106</v>
      </c>
      <c r="E16" s="710">
        <v>-0.84222675291816373</v>
      </c>
      <c r="F16" s="708">
        <v>0.53910883638256579</v>
      </c>
      <c r="G16" s="711">
        <v>3.969786286740995E-3</v>
      </c>
      <c r="H16" s="710">
        <v>0.26600000000000001</v>
      </c>
      <c r="I16" s="708">
        <v>0.52</v>
      </c>
      <c r="J16" s="570">
        <v>1.131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1.131</v>
      </c>
      <c r="N16" s="632">
        <f t="shared" si="2"/>
        <v>0.19709999180144269</v>
      </c>
      <c r="O16" s="629">
        <f t="shared" si="3"/>
        <v>4.1640504449588684</v>
      </c>
      <c r="P16" s="633">
        <f t="shared" si="4"/>
        <v>-2.3758071654344106</v>
      </c>
      <c r="Q16" s="585">
        <f>IF(M16="","",IF(DEGREES(ATAN2(N16,O16))&lt;0,DEGREES(ATAN2(N16,O16))+360,IF(DEGREES(ATAN2(N16,O16))&gt;360,DEGREES(ATAN2(N16,O16))-360,DEGREES(ATAN2(N16,O16)))))</f>
        <v>87.290000391275541</v>
      </c>
      <c r="R16" s="629">
        <f t="shared" si="79"/>
        <v>4.1687125728371202</v>
      </c>
      <c r="S16" s="634">
        <f t="shared" si="80"/>
        <v>-2.3758071654344106</v>
      </c>
      <c r="T16" s="635">
        <f t="shared" si="81"/>
        <v>4.1651767608043606</v>
      </c>
      <c r="U16" s="629">
        <f t="shared" si="82"/>
        <v>-0.17165973955932384</v>
      </c>
      <c r="V16" s="636">
        <f t="shared" si="114"/>
        <v>-2.3758071654344106</v>
      </c>
      <c r="W16" s="585">
        <f>IF(M16="","",IF(Q16-$Q$8&lt;0,360+Q16-$Q$8,Q16-$Q$8))</f>
        <v>357.64000034074184</v>
      </c>
      <c r="X16" s="629">
        <f t="shared" si="83"/>
        <v>4.1687125728371202</v>
      </c>
      <c r="Y16" s="630">
        <f t="shared" si="223"/>
        <v>-2.3758071654344106</v>
      </c>
      <c r="Z16" s="632">
        <f t="shared" si="6"/>
        <v>0.84222675291816373</v>
      </c>
      <c r="AA16" s="629">
        <f t="shared" si="7"/>
        <v>-0.53910883638256579</v>
      </c>
      <c r="AB16" s="629">
        <f t="shared" si="8"/>
        <v>-3.969786286740995E-3</v>
      </c>
      <c r="AC16" s="636">
        <f t="shared" si="84"/>
        <v>1</v>
      </c>
      <c r="AD16" s="637">
        <f t="shared" si="115"/>
        <v>0.84222675291816373</v>
      </c>
      <c r="AE16" s="629">
        <f t="shared" si="85"/>
        <v>-0.53910883638256579</v>
      </c>
      <c r="AF16" s="633">
        <f t="shared" si="86"/>
        <v>-3.969786286740995E-3</v>
      </c>
      <c r="AG16" s="602">
        <f t="shared" si="87"/>
        <v>-89.578103949405559</v>
      </c>
      <c r="AH16" s="603">
        <f t="shared" si="88"/>
        <v>32.62398835309849</v>
      </c>
      <c r="AI16" s="585">
        <f t="shared" si="89"/>
        <v>-89.772547402786216</v>
      </c>
      <c r="AJ16" s="586">
        <f t="shared" si="90"/>
        <v>57.376716951975709</v>
      </c>
      <c r="AK16" s="635">
        <f t="shared" si="211"/>
        <v>0.86677432644800612</v>
      </c>
      <c r="AL16" s="629">
        <f t="shared" si="91"/>
        <v>-0.49868477799852984</v>
      </c>
      <c r="AM16" s="634">
        <f t="shared" si="92"/>
        <v>-3.969786286740995E-3</v>
      </c>
      <c r="AN16" s="581">
        <f t="shared" si="93"/>
        <v>-89.543905879042796</v>
      </c>
      <c r="AO16" s="582">
        <f t="shared" si="94"/>
        <v>29.914068138771864</v>
      </c>
      <c r="AP16" s="585">
        <f t="shared" si="95"/>
        <v>-29.913283439299899</v>
      </c>
      <c r="AQ16" s="586">
        <f t="shared" si="9"/>
        <v>0.54684926545679469</v>
      </c>
      <c r="AS16" s="52">
        <f t="shared" si="116"/>
        <v>-2.3599996592581647</v>
      </c>
      <c r="AT16" s="72">
        <f t="shared" si="10"/>
        <v>-2.3739252212616853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0.20018375041986081</v>
      </c>
      <c r="C17" s="708">
        <v>4.1828251222900459</v>
      </c>
      <c r="D17" s="709">
        <v>-3.002009054059307</v>
      </c>
      <c r="E17" s="710">
        <v>-0.79079647198351588</v>
      </c>
      <c r="F17" s="708">
        <v>0.61207919413945744</v>
      </c>
      <c r="G17" s="711">
        <v>1.3008419217277772E-7</v>
      </c>
      <c r="H17" s="710">
        <v>0.26600000000000001</v>
      </c>
      <c r="I17" s="708">
        <v>0.52</v>
      </c>
      <c r="J17" s="570">
        <v>1.1359999999999999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1.1359999999999999</v>
      </c>
      <c r="N17" s="632">
        <f t="shared" si="2"/>
        <v>0.20018375041986081</v>
      </c>
      <c r="O17" s="629">
        <f t="shared" si="3"/>
        <v>4.1828251222900459</v>
      </c>
      <c r="P17" s="633">
        <f t="shared" si="4"/>
        <v>-3.002009054059307</v>
      </c>
      <c r="Q17" s="585">
        <f>IF(M17="","",IF(DEGREES(ATAN2(N17,O17))&lt;0,DEGREES(ATAN2(N17,O17))+360,IF(DEGREES(ATAN2(N17,O17))&gt;360,DEGREES(ATAN2(N17,O17))-360,DEGREES(ATAN2(N17,O17)))))</f>
        <v>87.260000395607008</v>
      </c>
      <c r="R17" s="629">
        <f>IF(M17="","",SQRT(N17^2+O17^2))</f>
        <v>4.1876126298396921</v>
      </c>
      <c r="S17" s="634">
        <f>IF(M17="","",P17)</f>
        <v>-3.002009054059307</v>
      </c>
      <c r="T17" s="635">
        <f>IF(M17="","",X17*COS(RADIANS(W17)))</f>
        <v>4.1839699253317892</v>
      </c>
      <c r="U17" s="629">
        <f>IF(M17="","",X17*SIN(RADIANS(W17)))</f>
        <v>-0.17462875339417039</v>
      </c>
      <c r="V17" s="636">
        <f>IF(M17="","",Y17)</f>
        <v>-3.002009054059307</v>
      </c>
      <c r="W17" s="585">
        <f t="shared" si="224"/>
        <v>357.61000034507322</v>
      </c>
      <c r="X17" s="629">
        <f>IF(M17="","",R17)</f>
        <v>4.1876126298396921</v>
      </c>
      <c r="Y17" s="630">
        <f t="shared" si="223"/>
        <v>-3.002009054059307</v>
      </c>
      <c r="Z17" s="632">
        <f t="shared" si="6"/>
        <v>0.79079647198351588</v>
      </c>
      <c r="AA17" s="629">
        <f t="shared" si="7"/>
        <v>-0.61207919413945744</v>
      </c>
      <c r="AB17" s="629">
        <f t="shared" si="8"/>
        <v>-1.3008419217277772E-7</v>
      </c>
      <c r="AC17" s="636">
        <f>IF(M17="","",SQRT(Z17^2+AA17^2+AB17^2))</f>
        <v>1</v>
      </c>
      <c r="AD17" s="637">
        <f>IF(M17="","",Z17*(1/SQRT(Z17^2+AA17^2+AB17^2)))</f>
        <v>0.79079647198351588</v>
      </c>
      <c r="AE17" s="629">
        <f>IF(M17="","",AA17*(1/SQRT(Z17^2+AA17^2+AB17^2)))</f>
        <v>-0.61207919413945744</v>
      </c>
      <c r="AF17" s="633">
        <f>IF(M17="","",AB17*(1/SQRT(Z17^2+AA17^2+AB17^2)))</f>
        <v>-1.3008419217277772E-7</v>
      </c>
      <c r="AG17" s="602">
        <f>IF(M17="","",DEGREES(ATAN2(-AF17,AE17)))</f>
        <v>-89.999987823021499</v>
      </c>
      <c r="AH17" s="603">
        <f>IF(M17="","",DEGREES(ACOS(AD17)))</f>
        <v>37.739994551018889</v>
      </c>
      <c r="AI17" s="585">
        <f>IF(M17="","",DEGREES(-ACOS(-AF17)))</f>
        <v>-89.999992546724812</v>
      </c>
      <c r="AJ17" s="586">
        <f>IF(M17="","",DEGREES(ATAN2(-AE17,AD17)))</f>
        <v>52.26000544898173</v>
      </c>
      <c r="AK17" s="635">
        <f>IF(M17="","",(COS(RADIANS((90-$Q$8)-W17))*AD17)+(-SIN(RADIANS((90-$Q$8)-W17))*AE17))</f>
        <v>0.81915209487729179</v>
      </c>
      <c r="AL17" s="629">
        <f>IF(M17="","",(SIN(RADIANS((90-$Q$8)-W17))*AD17)+(COS(RADIANS((90-$Q$8)-W17))*AE17))</f>
        <v>-0.57357636410344481</v>
      </c>
      <c r="AM17" s="634">
        <f>IF(M17="","",AF17)</f>
        <v>-1.3008419217277772E-7</v>
      </c>
      <c r="AN17" s="581">
        <f>IF(M17="","",DEGREES(ATAN2(-AM17,AL17)))</f>
        <v>-89.999987005609626</v>
      </c>
      <c r="AO17" s="582">
        <f t="shared" si="94"/>
        <v>34.999994946625968</v>
      </c>
      <c r="AP17" s="585">
        <f>IF(M17="","",DEGREES(ATAN2(AK17,AL17)))</f>
        <v>-34.999994946625293</v>
      </c>
      <c r="AQ17" s="586">
        <f t="shared" si="9"/>
        <v>0.54438130583656053</v>
      </c>
      <c r="AS17" s="52">
        <f t="shared" si="116"/>
        <v>-2.3899996549267826</v>
      </c>
      <c r="AT17" s="72">
        <f t="shared" si="10"/>
        <v>-3.0001062765562563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1.1359999999999999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0.93031376143554023</v>
      </c>
      <c r="C18" s="708">
        <v>1.2572471333792117</v>
      </c>
      <c r="D18" s="709">
        <v>-0.12615473600819052</v>
      </c>
      <c r="E18" s="710">
        <v>-5.184239018306927E-2</v>
      </c>
      <c r="F18" s="708">
        <v>-7.0060601525648969E-2</v>
      </c>
      <c r="G18" s="711">
        <v>0.99619469918985759</v>
      </c>
      <c r="H18" s="710">
        <v>0.26250000000000001</v>
      </c>
      <c r="I18" s="708">
        <v>0.40699999999999997</v>
      </c>
      <c r="J18" s="570">
        <v>1.206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Inactive</v>
      </c>
      <c r="L18" s="779" t="s">
        <v>331</v>
      </c>
      <c r="M18" s="168">
        <f t="shared" si="1"/>
        <v>1.206</v>
      </c>
      <c r="N18" s="632">
        <f t="shared" si="2"/>
        <v>0.93031376143554023</v>
      </c>
      <c r="O18" s="629">
        <f t="shared" si="3"/>
        <v>1.2572471333792117</v>
      </c>
      <c r="P18" s="633">
        <f t="shared" si="4"/>
        <v>-0.12615473600819052</v>
      </c>
      <c r="Q18" s="585">
        <f t="shared" si="113"/>
        <v>53.500005269947209</v>
      </c>
      <c r="R18" s="629">
        <f>IF(M18="","",SQRT(N18^2+O18^2))</f>
        <v>1.5640185577884262</v>
      </c>
      <c r="S18" s="634">
        <f>IF(M18="","",P18)</f>
        <v>-0.12615473600819052</v>
      </c>
      <c r="T18" s="635">
        <f>IF(M18="","",X18*COS(RADIANS(W18)))</f>
        <v>1.2629066031824867</v>
      </c>
      <c r="U18" s="629">
        <f>IF(M18="","",X18*SIN(RADIANS(W18)))</f>
        <v>-0.92261636704789796</v>
      </c>
      <c r="V18" s="636">
        <f>IF(M18="","",Y18)</f>
        <v>-0.12615473600819052</v>
      </c>
      <c r="W18" s="585">
        <f t="shared" si="224"/>
        <v>323.85000521941345</v>
      </c>
      <c r="X18" s="629">
        <f>IF(M18="","",R18)</f>
        <v>1.5640185577884262</v>
      </c>
      <c r="Y18" s="630">
        <f t="shared" si="223"/>
        <v>-0.12615473600819052</v>
      </c>
      <c r="Z18" s="632">
        <f t="shared" si="6"/>
        <v>5.184239018306927E-2</v>
      </c>
      <c r="AA18" s="629">
        <f t="shared" si="7"/>
        <v>7.0060601525648969E-2</v>
      </c>
      <c r="AB18" s="629">
        <f t="shared" si="8"/>
        <v>-0.99619469918985759</v>
      </c>
      <c r="AC18" s="636">
        <f>IF(M18="","",SQRT(Z18^2+AA18^2+AB18^2))</f>
        <v>1</v>
      </c>
      <c r="AD18" s="637">
        <f>IF(M18="","",Z18*(1/SQRT(Z18^2+AA18^2+AB18^2)))</f>
        <v>5.184239018306927E-2</v>
      </c>
      <c r="AE18" s="629">
        <f>IF(M18="","",AA18*(1/SQRT(Z18^2+AA18^2+AB18^2)))</f>
        <v>7.0060601525648969E-2</v>
      </c>
      <c r="AF18" s="633">
        <f>IF(M18="","",AB18*(1/SQRT(Z18^2+AA18^2+AB18^2)))</f>
        <v>-0.99619469918985759</v>
      </c>
      <c r="AG18" s="602">
        <f>IF(M18="","",DEGREES(ATAN2(-AF18,AE18)))</f>
        <v>4.0228865238995075</v>
      </c>
      <c r="AH18" s="603">
        <f>IF(M18="","",DEGREES(ACOS(AD18)))</f>
        <v>87.028317695472523</v>
      </c>
      <c r="AI18" s="585">
        <f>IF(M18="","",DEGREES(-ACOS(-AF18)))</f>
        <v>-4.9999992781061904</v>
      </c>
      <c r="AJ18" s="586">
        <f>IF(M18="","",DEGREES(ATAN2(-AE18,AD18)))</f>
        <v>143.49985617601646</v>
      </c>
      <c r="AK18" s="635">
        <f>IF(M18="","",(COS(RADIANS((90-$Q$8)-W18))*AD18)+(-SIN(RADIANS((90-$Q$8)-W18))*AE18))</f>
        <v>2.2679489680710319E-7</v>
      </c>
      <c r="AL18" s="629">
        <f>IF(M18="","",(SIN(RADIANS((90-$Q$8)-W18))*AD18)+(COS(RADIANS((90-$Q$8)-W18))*AE18))</f>
        <v>8.7155730195885156E-2</v>
      </c>
      <c r="AM18" s="634">
        <f>IF(M18="","",AF18)</f>
        <v>-0.99619469918985759</v>
      </c>
      <c r="AN18" s="581">
        <f>IF(M18="","",DEGREES(ATAN2(-AM18,AL18)))</f>
        <v>4.9999992780894207</v>
      </c>
      <c r="AO18" s="582">
        <f t="shared" si="94"/>
        <v>0</v>
      </c>
      <c r="AP18" s="585">
        <f>IF(M18="","",DEGREES(ATAN2(AK18,AL18)))</f>
        <v>89.999850906069256</v>
      </c>
      <c r="AQ18" s="586">
        <f t="shared" si="9"/>
        <v>1.457294097163194</v>
      </c>
      <c r="AS18" s="52">
        <f t="shared" si="116"/>
        <v>-36.149994780586553</v>
      </c>
      <c r="AT18" s="72">
        <f t="shared" si="10"/>
        <v>-0.10080751744565385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Nose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1.206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3.1059999999999999</v>
      </c>
      <c r="II18" s="734" cm="1">
        <f t="array" ref="II18">IFERROR(ROUND(VALUE(IF($IH18&lt;1,$IH18+LARGE((IF($M$9:$M$150="",0,$M$9:$M$150)-MOD(IF($M$9:$M$150="",0,$M$9:$M$150),1)),1),$IH18)),4),"")</f>
        <v>3.1059999999999999</v>
      </c>
      <c r="IJ18" s="533">
        <f t="shared" si="112"/>
        <v>1613</v>
      </c>
      <c r="IK18" s="533" t="str">
        <f t="shared" si="66"/>
        <v>Inactive</v>
      </c>
      <c r="IL18" s="727">
        <f t="shared" si="225"/>
        <v>251.499963687898</v>
      </c>
      <c r="IM18" s="759">
        <v>2.2788064375521298E-2</v>
      </c>
      <c r="IN18" s="5">
        <f t="shared" si="226"/>
        <v>0.04</v>
      </c>
      <c r="IO18" s="771">
        <v>20</v>
      </c>
      <c r="IP18" s="9">
        <f t="shared" si="227"/>
        <v>-1.5674047272926577</v>
      </c>
      <c r="IQ18" s="5">
        <f t="shared" si="228"/>
        <v>-0.14390043400370894</v>
      </c>
      <c r="IR18" s="5">
        <f t="shared" si="71"/>
        <v>0.314</v>
      </c>
      <c r="IS18" s="5">
        <f t="shared" si="229"/>
        <v>0.30330071252667312</v>
      </c>
      <c r="IT18" s="727">
        <f t="shared" si="230"/>
        <v>-4.9999992780894313</v>
      </c>
      <c r="IU18" s="9">
        <f t="shared" si="231"/>
        <v>-1.5640185577884262</v>
      </c>
      <c r="IV18" s="5">
        <f t="shared" si="232"/>
        <v>-0.12615473600819052</v>
      </c>
      <c r="IW18" s="5">
        <f t="shared" si="76"/>
        <v>0.26250000000000001</v>
      </c>
      <c r="IX18" s="5">
        <f t="shared" si="233"/>
        <v>0.26250000000000001</v>
      </c>
      <c r="IY18" s="762">
        <f t="shared" si="234"/>
        <v>-4.9999992780894207</v>
      </c>
    </row>
    <row r="19" spans="1:269" ht="15" customHeight="1" thickBot="1" x14ac:dyDescent="0.3">
      <c r="A19" s="79"/>
      <c r="B19" s="707">
        <v>0.93085944351515004</v>
      </c>
      <c r="C19" s="708">
        <v>2.1015942616375165</v>
      </c>
      <c r="D19" s="709">
        <v>-6.0796205553529346E-2</v>
      </c>
      <c r="E19" s="710">
        <v>-3.5296705642820447E-2</v>
      </c>
      <c r="F19" s="708">
        <v>-7.9688542945604623E-2</v>
      </c>
      <c r="G19" s="711">
        <v>0.99619469918985748</v>
      </c>
      <c r="H19" s="710">
        <v>0.26250000000000001</v>
      </c>
      <c r="I19" s="708">
        <v>0.40699999999999997</v>
      </c>
      <c r="J19" s="570">
        <v>1.2090000000000001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Inactive</v>
      </c>
      <c r="L19" s="775" t="s">
        <v>366</v>
      </c>
      <c r="M19" s="168">
        <f t="shared" si="1"/>
        <v>1.2090000000000001</v>
      </c>
      <c r="N19" s="632">
        <f t="shared" si="2"/>
        <v>0.93085944351515004</v>
      </c>
      <c r="O19" s="629">
        <f t="shared" si="3"/>
        <v>2.1015942616375165</v>
      </c>
      <c r="P19" s="633">
        <f t="shared" si="4"/>
        <v>-6.0796205553529346E-2</v>
      </c>
      <c r="Q19" s="585">
        <f t="shared" si="113"/>
        <v>66.11000344928874</v>
      </c>
      <c r="R19" s="629">
        <f>IF(M19="","",SQRT(N19^2+O19^2))</f>
        <v>2.2985207730471076</v>
      </c>
      <c r="S19" s="634">
        <f>IF(M19="","",P19)</f>
        <v>-6.0796205553529346E-2</v>
      </c>
      <c r="T19" s="635">
        <f>IF(M19="","",X19*COS(RADIANS(W19)))</f>
        <v>2.107241311181081</v>
      </c>
      <c r="U19" s="629">
        <f>IF(M19="","",X19*SIN(RADIANS(W19)))</f>
        <v>-0.91800424867258179</v>
      </c>
      <c r="V19" s="636">
        <f>IF(M19="","",Y19)</f>
        <v>-6.0796205553529346E-2</v>
      </c>
      <c r="W19" s="585">
        <f t="shared" si="224"/>
        <v>336.46000339875502</v>
      </c>
      <c r="X19" s="629">
        <f>IF(M19="","",R19)</f>
        <v>2.2985207730471076</v>
      </c>
      <c r="Y19" s="630">
        <f t="shared" si="223"/>
        <v>-6.0796205553529346E-2</v>
      </c>
      <c r="Z19" s="632">
        <f t="shared" si="6"/>
        <v>3.5296705642820447E-2</v>
      </c>
      <c r="AA19" s="629">
        <f t="shared" si="7"/>
        <v>7.9688542945604623E-2</v>
      </c>
      <c r="AB19" s="629">
        <f t="shared" si="8"/>
        <v>-0.99619469918985748</v>
      </c>
      <c r="AC19" s="636">
        <f>IF(M19="","",SQRT(Z19^2+AA19^2+AB19^2))</f>
        <v>1</v>
      </c>
      <c r="AD19" s="637">
        <f>IF(M19="","",Z19*(1/SQRT(Z19^2+AA19^2+AB19^2)))</f>
        <v>3.5296705642820447E-2</v>
      </c>
      <c r="AE19" s="629">
        <f>IF(M19="","",AA19*(1/SQRT(Z19^2+AA19^2+AB19^2)))</f>
        <v>7.9688542945604623E-2</v>
      </c>
      <c r="AF19" s="633">
        <f>IF(M19="","",AB19*(1/SQRT(Z19^2+AA19^2+AB19^2)))</f>
        <v>-0.99619469918985748</v>
      </c>
      <c r="AG19" s="602">
        <f>IF(M19="","",DEGREES(ATAN2(-AF19,AE19)))</f>
        <v>4.5735193321473053</v>
      </c>
      <c r="AH19" s="603">
        <f>IF(M19="","",DEGREES(ACOS(AD19)))</f>
        <v>87.977227573251085</v>
      </c>
      <c r="AI19" s="585">
        <f>IF(M19="","",DEGREES(-ACOS(-AF19)))</f>
        <v>-4.9999992781062668</v>
      </c>
      <c r="AJ19" s="586">
        <f>IF(M19="","",DEGREES(ATAN2(-AE19,AD19)))</f>
        <v>156.10985435535804</v>
      </c>
      <c r="AK19" s="635">
        <f>IF(M19="","",(COS(RADIANS((90-$Q$8)-W19))*AD19)+(-SIN(RADIANS((90-$Q$8)-W19))*AE19))</f>
        <v>2.2679489682791987E-7</v>
      </c>
      <c r="AL19" s="629">
        <f>IF(M19="","",(SIN(RADIANS((90-$Q$8)-W19))*AD19)+(COS(RADIANS((90-$Q$8)-W19))*AE19))</f>
        <v>8.7155730195885281E-2</v>
      </c>
      <c r="AM19" s="634">
        <f>IF(M19="","",AF19)</f>
        <v>-0.99619469918985748</v>
      </c>
      <c r="AN19" s="581">
        <f>IF(M19="","",DEGREES(ATAN2(-AM19,AL19)))</f>
        <v>4.9999992780894287</v>
      </c>
      <c r="AO19" s="582">
        <f t="shared" si="94"/>
        <v>0</v>
      </c>
      <c r="AP19" s="585">
        <f>IF(M19="","",DEGREES(ATAN2(AK19,AL19)))</f>
        <v>89.999850906069241</v>
      </c>
      <c r="AQ19" s="586">
        <f t="shared" si="9"/>
        <v>0.99172432467497151</v>
      </c>
      <c r="AS19" s="52">
        <f t="shared" si="116"/>
        <v>-23.53999660124498</v>
      </c>
      <c r="AT19" s="72">
        <f t="shared" si="10"/>
        <v>-4.4205930171090993E-2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Nose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1.2090000000000001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3.109</v>
      </c>
      <c r="II19" s="734" cm="1">
        <f t="array" ref="II19">IFERROR(ROUND(VALUE(IF($IH19&lt;1,$IH19+LARGE((IF($M$9:$M$150="",0,$M$9:$M$150)-MOD(IF($M$9:$M$150="",0,$M$9:$M$150),1)),1),$IH19)),4),"")</f>
        <v>3.109</v>
      </c>
      <c r="IJ19" s="533">
        <f t="shared" si="112"/>
        <v>1613</v>
      </c>
      <c r="IK19" s="533" t="str">
        <f t="shared" si="66"/>
        <v>Inactive</v>
      </c>
      <c r="IL19" s="727">
        <f t="shared" si="225"/>
        <v>238.7999655215508</v>
      </c>
      <c r="IM19" s="759">
        <v>2.1782841423578399E-2</v>
      </c>
      <c r="IN19" s="5">
        <f t="shared" si="226"/>
        <v>0.04</v>
      </c>
      <c r="IO19" s="771">
        <v>20</v>
      </c>
      <c r="IP19" s="9">
        <f t="shared" si="227"/>
        <v>-2.3019069425513381</v>
      </c>
      <c r="IQ19" s="5">
        <f t="shared" si="228"/>
        <v>-7.9600240074324147E-2</v>
      </c>
      <c r="IR19" s="5">
        <f t="shared" si="71"/>
        <v>0.314</v>
      </c>
      <c r="IS19" s="5">
        <f t="shared" si="229"/>
        <v>0.30321652543832595</v>
      </c>
      <c r="IT19" s="727">
        <f t="shared" si="230"/>
        <v>0.20261951482251062</v>
      </c>
      <c r="IU19" s="9">
        <f t="shared" si="231"/>
        <v>-2.2985207730471076</v>
      </c>
      <c r="IV19" s="5">
        <f t="shared" si="232"/>
        <v>-6.0796205553529346E-2</v>
      </c>
      <c r="IW19" s="5">
        <f t="shared" si="76"/>
        <v>0.26250000000000001</v>
      </c>
      <c r="IX19" s="5">
        <f t="shared" si="233"/>
        <v>0.26250000000000001</v>
      </c>
      <c r="IY19" s="762">
        <f t="shared" si="234"/>
        <v>-4.9999992780894287</v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1.2552574910957843</v>
      </c>
      <c r="C20" s="708">
        <v>3.8632853152614062</v>
      </c>
      <c r="D20" s="709">
        <v>-1.1692000000000002</v>
      </c>
      <c r="E20" s="710">
        <v>-0.65974736343130969</v>
      </c>
      <c r="F20" s="708">
        <v>0.72124216062567814</v>
      </c>
      <c r="G20" s="711">
        <v>0.21105251048362106</v>
      </c>
      <c r="H20" s="710">
        <v>0.26600000000000001</v>
      </c>
      <c r="I20" s="708">
        <v>0.52</v>
      </c>
      <c r="J20" s="570">
        <v>1.2230000000000001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20</v>
      </c>
      <c r="M20" s="168">
        <f t="shared" si="1"/>
        <v>1.2230000000000001</v>
      </c>
      <c r="N20" s="632">
        <f t="shared" si="2"/>
        <v>1.2552574910957843</v>
      </c>
      <c r="O20" s="629">
        <f t="shared" si="3"/>
        <v>3.8632853152614062</v>
      </c>
      <c r="P20" s="633">
        <f t="shared" si="4"/>
        <v>-1.1692000000000002</v>
      </c>
      <c r="Q20" s="585">
        <f t="shared" si="113"/>
        <v>72</v>
      </c>
      <c r="R20" s="629">
        <f>IF(M20="","",SQRT(N20^2+O20^2))</f>
        <v>4.062098570451794</v>
      </c>
      <c r="S20" s="634">
        <f>IF(M20="","",P20)</f>
        <v>-1.1692000000000002</v>
      </c>
      <c r="T20" s="635">
        <f>IF(M20="","",X20*COS(RADIANS(W20)))</f>
        <v>3.8708811179031022</v>
      </c>
      <c r="U20" s="629">
        <f>IF(M20="","",X20*SIN(RADIANS(W20)))</f>
        <v>-1.2316347539460464</v>
      </c>
      <c r="V20" s="636">
        <f>IF(M20="","",Y20)</f>
        <v>-1.1692000000000002</v>
      </c>
      <c r="W20" s="585">
        <f t="shared" si="224"/>
        <v>342.34999994946622</v>
      </c>
      <c r="X20" s="629">
        <f>IF(M20="","",R20)</f>
        <v>4.062098570451794</v>
      </c>
      <c r="Y20" s="630">
        <f t="shared" si="223"/>
        <v>-1.1692000000000002</v>
      </c>
      <c r="Z20" s="632">
        <f t="shared" si="6"/>
        <v>0.65974736343130969</v>
      </c>
      <c r="AA20" s="629">
        <f t="shared" si="7"/>
        <v>-0.72124216062567814</v>
      </c>
      <c r="AB20" s="629">
        <f t="shared" si="8"/>
        <v>-0.21105251048362106</v>
      </c>
      <c r="AC20" s="636">
        <f>IF(M20="","",SQRT(Z20^2+AA20^2+AB20^2))</f>
        <v>1</v>
      </c>
      <c r="AD20" s="637">
        <f>IF(M20="","",Z20*(1/SQRT(Z20^2+AA20^2+AB20^2)))</f>
        <v>0.65974736343130969</v>
      </c>
      <c r="AE20" s="629">
        <f>IF(M20="","",AA20*(1/SQRT(Z20^2+AA20^2+AB20^2)))</f>
        <v>-0.72124216062567814</v>
      </c>
      <c r="AF20" s="633">
        <f>IF(M20="","",AB20*(1/SQRT(Z20^2+AA20^2+AB20^2)))</f>
        <v>-0.21105251048362106</v>
      </c>
      <c r="AG20" s="602">
        <f>IF(M20="","",DEGREES(ATAN2(-AF20,AE20)))</f>
        <v>-73.68927617917987</v>
      </c>
      <c r="AH20" s="603">
        <f>IF(M20="","",DEGREES(ACOS(AD20)))</f>
        <v>48.719391862358179</v>
      </c>
      <c r="AI20" s="585">
        <f>IF(M20="","",DEGREES(-ACOS(-AF20)))</f>
        <v>-77.815960828446251</v>
      </c>
      <c r="AJ20" s="586">
        <f>IF(M20="","",DEGREES(ATAN2(-AE20,AD20)))</f>
        <v>42.450330920197082</v>
      </c>
      <c r="AK20" s="635">
        <f>IF(M20="","",(COS(RADIANS((90-$Q$8)-W20))*AD20)+(-SIN(RADIANS((90-$Q$8)-W20))*AE20))</f>
        <v>0.85033311379293419</v>
      </c>
      <c r="AL20" s="629">
        <f>IF(M20="","",(SIN(RADIANS((90-$Q$8)-W20))*AD20)+(COS(RADIANS((90-$Q$8)-W20))*AE20))</f>
        <v>-0.48206890939550739</v>
      </c>
      <c r="AM20" s="634">
        <f>IF(M20="","",AF20)</f>
        <v>-0.21105251048362106</v>
      </c>
      <c r="AN20" s="581">
        <f>IF(M20="","",DEGREES(ATAN2(-AM20,AL20)))</f>
        <v>-66.355923119355097</v>
      </c>
      <c r="AO20" s="582">
        <f t="shared" si="94"/>
        <v>31.752080825064816</v>
      </c>
      <c r="AP20" s="585">
        <f>IF(M20="","",DEGREES(ATAN2(AK20,AL20)))</f>
        <v>-29.549669079802904</v>
      </c>
      <c r="AQ20" s="586">
        <f t="shared" si="9"/>
        <v>0.56120098704037025</v>
      </c>
      <c r="AS20" s="52">
        <f t="shared" si="116"/>
        <v>-17.650000050533777</v>
      </c>
      <c r="AT20" s="72">
        <f t="shared" si="10"/>
        <v>-1.1567000000000003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Taper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1.2230000000000001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4.2229999999999999</v>
      </c>
      <c r="II20" s="734" cm="1">
        <f t="array" ref="II20">IFERROR(ROUND(VALUE(IF($IH20&lt;1,$IH20+LARGE((IF($M$9:$M$150="",0,$M$9:$M$150)-MOD(IF($M$9:$M$150="",0,$M$9:$M$150),1)),1),$IH20)),4),"")</f>
        <v>4.2229999999999999</v>
      </c>
      <c r="IJ20" s="533">
        <f t="shared" si="112"/>
        <v>1313</v>
      </c>
      <c r="IK20" s="533">
        <f t="shared" si="66"/>
        <v>1313</v>
      </c>
      <c r="IL20" s="727">
        <f t="shared" si="225"/>
        <v>134.99998050841441</v>
      </c>
      <c r="IM20" s="759">
        <v>5.74323932724613E-4</v>
      </c>
      <c r="IN20" s="5">
        <f t="shared" si="226"/>
        <v>0</v>
      </c>
      <c r="IO20" s="771">
        <v>0</v>
      </c>
      <c r="IP20" s="9">
        <f t="shared" si="227"/>
        <v>-4.1356000000000002</v>
      </c>
      <c r="IQ20" s="5">
        <f t="shared" si="228"/>
        <v>-1.4875999999999998</v>
      </c>
      <c r="IR20" s="5">
        <f t="shared" si="71"/>
        <v>0.26600000000000001</v>
      </c>
      <c r="IS20" s="5">
        <f t="shared" si="229"/>
        <v>0.22120820790530774</v>
      </c>
      <c r="IT20" s="727">
        <f t="shared" si="230"/>
        <v>74.733192198916186</v>
      </c>
      <c r="IU20" s="9">
        <f t="shared" si="231"/>
        <v>-4.062098570451794</v>
      </c>
      <c r="IV20" s="5">
        <f t="shared" si="232"/>
        <v>-1.1692000000000002</v>
      </c>
      <c r="IW20" s="5">
        <f t="shared" si="76"/>
        <v>0.26600000000000001</v>
      </c>
      <c r="IX20" s="5">
        <f t="shared" si="233"/>
        <v>0.22618860826892051</v>
      </c>
      <c r="IY20" s="762">
        <f t="shared" si="234"/>
        <v>66.355923119355097</v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1.2877758561025618</v>
      </c>
      <c r="C21" s="708">
        <v>3.9633665518986221</v>
      </c>
      <c r="D21" s="709">
        <v>-1.9369000000000003</v>
      </c>
      <c r="E21" s="710">
        <v>-0.59263658210281456</v>
      </c>
      <c r="F21" s="708">
        <v>0.8032909442009033</v>
      </c>
      <c r="G21" s="711">
        <v>5.9207605240502337E-2</v>
      </c>
      <c r="H21" s="710">
        <v>0.26600000000000001</v>
      </c>
      <c r="I21" s="708">
        <v>0.52</v>
      </c>
      <c r="J21" s="570">
        <v>1.228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1.228</v>
      </c>
      <c r="N21" s="632">
        <f t="shared" si="2"/>
        <v>1.2877758561025618</v>
      </c>
      <c r="O21" s="629">
        <f t="shared" si="3"/>
        <v>3.9633665518986221</v>
      </c>
      <c r="P21" s="633">
        <f t="shared" si="4"/>
        <v>-1.9369000000000003</v>
      </c>
      <c r="Q21" s="585">
        <f t="shared" si="113"/>
        <v>72</v>
      </c>
      <c r="R21" s="629">
        <f>IF(M21="","",SQRT(N21^2+O21^2))</f>
        <v>4.1673302101308769</v>
      </c>
      <c r="S21" s="634">
        <f>IF(M21="","",P21)</f>
        <v>-1.9369000000000003</v>
      </c>
      <c r="T21" s="635">
        <f>IF(M21="","",X21*COS(RADIANS(W21)))</f>
        <v>3.9711591293730306</v>
      </c>
      <c r="U21" s="629">
        <f>IF(M21="","",X21*SIN(RADIANS(W21)))</f>
        <v>-1.2635411546390929</v>
      </c>
      <c r="V21" s="636">
        <f>IF(M21="","",Y21)</f>
        <v>-1.9369000000000003</v>
      </c>
      <c r="W21" s="585">
        <f t="shared" si="224"/>
        <v>342.34999994946622</v>
      </c>
      <c r="X21" s="629">
        <f>IF(M21="","",R21)</f>
        <v>4.1673302101308769</v>
      </c>
      <c r="Y21" s="630">
        <f t="shared" si="223"/>
        <v>-1.9369000000000003</v>
      </c>
      <c r="Z21" s="632">
        <f t="shared" si="6"/>
        <v>0.59263658210281456</v>
      </c>
      <c r="AA21" s="629">
        <f t="shared" si="7"/>
        <v>-0.8032909442009033</v>
      </c>
      <c r="AB21" s="629">
        <f t="shared" si="8"/>
        <v>-5.9207605240502337E-2</v>
      </c>
      <c r="AC21" s="636">
        <f>IF(M21="","",SQRT(Z21^2+AA21^2+AB21^2))</f>
        <v>1</v>
      </c>
      <c r="AD21" s="637">
        <f>IF(M21="","",Z21*(1/SQRT(Z21^2+AA21^2+AB21^2)))</f>
        <v>0.59263658210281456</v>
      </c>
      <c r="AE21" s="629">
        <f>IF(M21="","",AA21*(1/SQRT(Z21^2+AA21^2+AB21^2)))</f>
        <v>-0.8032909442009033</v>
      </c>
      <c r="AF21" s="633">
        <f>IF(M21="","",AB21*(1/SQRT(Z21^2+AA21^2+AB21^2)))</f>
        <v>-5.9207605240502337E-2</v>
      </c>
      <c r="AG21" s="602">
        <f>IF(M21="","",DEGREES(ATAN2(-AF21,AE21)))</f>
        <v>-85.784562543964682</v>
      </c>
      <c r="AH21" s="603">
        <f>IF(M21="","",DEGREES(ACOS(AD21)))</f>
        <v>53.655667847752596</v>
      </c>
      <c r="AI21" s="585">
        <f>IF(M21="","",DEGREES(-ACOS(-AF21)))</f>
        <v>-86.605668970511701</v>
      </c>
      <c r="AJ21" s="586">
        <f>IF(M21="","",DEGREES(ATAN2(-AE21,AD21)))</f>
        <v>36.418452465956101</v>
      </c>
      <c r="AK21" s="635">
        <f>IF(M21="","",(COS(RADIANS((90-$Q$8)-W21))*AD21)+(-SIN(RADIANS((90-$Q$8)-W21))*AE21))</f>
        <v>0.81186143638934638</v>
      </c>
      <c r="AL21" s="629">
        <f>IF(M21="","",(SIN(RADIANS((90-$Q$8)-W21))*AD21)+(COS(RADIANS((90-$Q$8)-W21))*AE21))</f>
        <v>-0.58084031160510197</v>
      </c>
      <c r="AM21" s="634">
        <f>IF(M21="","",AF21)</f>
        <v>-5.9207605240502337E-2</v>
      </c>
      <c r="AN21" s="581">
        <f>IF(M21="","",DEGREES(ATAN2(-AM21,AL21)))</f>
        <v>-84.179692743537302</v>
      </c>
      <c r="AO21" s="582">
        <f>IF(ROUND(IF(M21="",0,DEGREES(ACOS(AK21))),4)=90,0,IF(M21="","",DEGREES(ACOS(AK21))))</f>
        <v>35.721800483764163</v>
      </c>
      <c r="AP21" s="585">
        <f>IF(M21="","",DEGREES(ATAN2(AK21,AL21)))</f>
        <v>-35.581547534043892</v>
      </c>
      <c r="AQ21" s="586">
        <f t="shared" si="9"/>
        <v>0.54703065211501012</v>
      </c>
      <c r="AS21" s="52">
        <f t="shared" si="116"/>
        <v>-17.650000050533777</v>
      </c>
      <c r="AT21" s="72">
        <f t="shared" si="10"/>
        <v>-1.9244000000000003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>Gage</v>
      </c>
      <c r="IG21" s="847">
        <f t="shared" si="210"/>
        <v>1.228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4.2279999999999998</v>
      </c>
      <c r="II21" s="734" cm="1">
        <f t="array" ref="II21">IFERROR(ROUND(VALUE(IF($IH21&lt;1,$IH21+LARGE((IF($M$9:$M$150="",0,$M$9:$M$150)-MOD(IF($M$9:$M$150="",0,$M$9:$M$150),1)),1),$IH21)),4),"")</f>
        <v>4.2279999999999998</v>
      </c>
      <c r="IJ21" s="533">
        <f t="shared" si="112"/>
        <v>1313</v>
      </c>
      <c r="IK21" s="533">
        <f t="shared" si="66"/>
        <v>1313</v>
      </c>
      <c r="IL21" s="727">
        <f t="shared" si="225"/>
        <v>134.99998050841441</v>
      </c>
      <c r="IM21" s="759">
        <v>7.6712040247802404E-4</v>
      </c>
      <c r="IN21" s="5">
        <f t="shared" si="226"/>
        <v>0</v>
      </c>
      <c r="IO21" s="771">
        <v>0</v>
      </c>
      <c r="IP21" s="9">
        <f t="shared" si="227"/>
        <v>-4.1710000000000003</v>
      </c>
      <c r="IQ21" s="5">
        <f t="shared" si="228"/>
        <v>-2.2366999999999999</v>
      </c>
      <c r="IR21" s="5">
        <f t="shared" si="71"/>
        <v>0.26600000000000001</v>
      </c>
      <c r="IS21" s="5">
        <f t="shared" si="229"/>
        <v>0.21594500321954646</v>
      </c>
      <c r="IT21" s="727">
        <f t="shared" si="230"/>
        <v>86.213354385318027</v>
      </c>
      <c r="IU21" s="9">
        <f t="shared" si="231"/>
        <v>-4.1673302101308769</v>
      </c>
      <c r="IV21" s="5">
        <f t="shared" si="232"/>
        <v>-1.9369000000000003</v>
      </c>
      <c r="IW21" s="5">
        <f t="shared" si="76"/>
        <v>0.26600000000000001</v>
      </c>
      <c r="IX21" s="5">
        <f t="shared" si="233"/>
        <v>0.21595514207956615</v>
      </c>
      <c r="IY21" s="762">
        <f t="shared" si="234"/>
        <v>84.179692743537302</v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0.41330699762870426</v>
      </c>
      <c r="C22" s="708">
        <v>4.1045560136700896</v>
      </c>
      <c r="D22" s="709">
        <v>-4.7893144445723648</v>
      </c>
      <c r="E22" s="710">
        <v>-0.69785183594321387</v>
      </c>
      <c r="F22" s="708">
        <v>0.71569315639582709</v>
      </c>
      <c r="G22" s="711">
        <v>-2.8037848684662883E-2</v>
      </c>
      <c r="H22" s="710">
        <v>0.26600000000000001</v>
      </c>
      <c r="I22" s="708">
        <v>0.52</v>
      </c>
      <c r="J22" s="570">
        <v>1.347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1.347</v>
      </c>
      <c r="N22" s="632">
        <f t="shared" si="2"/>
        <v>0.41330699762870426</v>
      </c>
      <c r="O22" s="629">
        <f t="shared" si="3"/>
        <v>4.1045560136700896</v>
      </c>
      <c r="P22" s="633">
        <f t="shared" si="4"/>
        <v>-4.7893144445723648</v>
      </c>
      <c r="Q22" s="585">
        <f t="shared" si="113"/>
        <v>84.250000830197166</v>
      </c>
      <c r="R22" s="629">
        <f t="shared" si="79"/>
        <v>4.1253124419423255</v>
      </c>
      <c r="S22" s="634">
        <f t="shared" si="80"/>
        <v>-4.7893144445723648</v>
      </c>
      <c r="T22" s="635">
        <f t="shared" si="81"/>
        <v>4.1070041645844944</v>
      </c>
      <c r="U22" s="629">
        <f t="shared" si="82"/>
        <v>-0.38822613993621818</v>
      </c>
      <c r="V22" s="636">
        <f t="shared" si="114"/>
        <v>-4.7893144445723648</v>
      </c>
      <c r="W22" s="585">
        <f t="shared" si="224"/>
        <v>354.60000077966345</v>
      </c>
      <c r="X22" s="629">
        <f t="shared" si="83"/>
        <v>4.1253124419423255</v>
      </c>
      <c r="Y22" s="630">
        <f t="shared" si="223"/>
        <v>-4.7893144445723648</v>
      </c>
      <c r="Z22" s="632">
        <f t="shared" si="6"/>
        <v>0.69785183594321387</v>
      </c>
      <c r="AA22" s="629">
        <f t="shared" si="7"/>
        <v>-0.71569315639582709</v>
      </c>
      <c r="AB22" s="629">
        <f t="shared" si="8"/>
        <v>2.8037848684662883E-2</v>
      </c>
      <c r="AC22" s="636">
        <f t="shared" si="84"/>
        <v>1</v>
      </c>
      <c r="AD22" s="637">
        <f t="shared" si="115"/>
        <v>0.69785183594321387</v>
      </c>
      <c r="AE22" s="629">
        <f t="shared" si="85"/>
        <v>-0.71569315639582709</v>
      </c>
      <c r="AF22" s="633">
        <f t="shared" si="86"/>
        <v>2.8037848684662883E-2</v>
      </c>
      <c r="AG22" s="602">
        <f t="shared" si="87"/>
        <v>-92.243460494747438</v>
      </c>
      <c r="AH22" s="603">
        <f t="shared" si="88"/>
        <v>45.745090424652346</v>
      </c>
      <c r="AI22" s="585">
        <f t="shared" si="89"/>
        <v>-91.606660948137417</v>
      </c>
      <c r="AJ22" s="586">
        <f t="shared" si="90"/>
        <v>44.276869083971555</v>
      </c>
      <c r="AK22" s="635">
        <f t="shared" si="211"/>
        <v>0.76604450791050649</v>
      </c>
      <c r="AL22" s="629">
        <f t="shared" si="91"/>
        <v>-0.6421757477056308</v>
      </c>
      <c r="AM22" s="634">
        <f t="shared" si="92"/>
        <v>2.8037848684662883E-2</v>
      </c>
      <c r="AN22" s="581">
        <f t="shared" si="93"/>
        <v>-92.4999866446543</v>
      </c>
      <c r="AO22" s="582">
        <f t="shared" si="94"/>
        <v>39.999994224715451</v>
      </c>
      <c r="AP22" s="585">
        <f t="shared" si="95"/>
        <v>-39.973131746225675</v>
      </c>
      <c r="AQ22" s="586">
        <f t="shared" si="9"/>
        <v>0.55260200926184078</v>
      </c>
      <c r="AS22" s="52">
        <f t="shared" si="116"/>
        <v>-5.3999992203365537</v>
      </c>
      <c r="AT22" s="72">
        <f t="shared" si="10"/>
        <v>-4.7853213895933351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1.347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1313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2.3148137775497539</v>
      </c>
      <c r="C23" s="708">
        <v>0.83292598209564783</v>
      </c>
      <c r="D23" s="709">
        <v>-7.0800213533444026E-2</v>
      </c>
      <c r="E23" s="710">
        <v>-0.30481243881166487</v>
      </c>
      <c r="F23" s="708">
        <v>0.91625598951743903</v>
      </c>
      <c r="G23" s="711">
        <v>0.25993141175914813</v>
      </c>
      <c r="H23" s="710">
        <v>0.314</v>
      </c>
      <c r="I23" s="708">
        <v>0.52</v>
      </c>
      <c r="J23" s="570">
        <v>2.11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2.11</v>
      </c>
      <c r="N23" s="632">
        <f t="shared" si="2"/>
        <v>2.3148137775497539</v>
      </c>
      <c r="O23" s="629">
        <f t="shared" si="3"/>
        <v>0.83292598209564783</v>
      </c>
      <c r="P23" s="633">
        <f t="shared" si="4"/>
        <v>-7.0800213533444026E-2</v>
      </c>
      <c r="Q23" s="585">
        <f t="shared" si="113"/>
        <v>19.789958159506746</v>
      </c>
      <c r="R23" s="629">
        <f t="shared" si="79"/>
        <v>2.4601074196839781</v>
      </c>
      <c r="S23" s="634">
        <f t="shared" si="80"/>
        <v>-7.0800213533444026E-2</v>
      </c>
      <c r="T23" s="635">
        <f t="shared" si="81"/>
        <v>0.84705074427964389</v>
      </c>
      <c r="U23" s="629">
        <f t="shared" si="82"/>
        <v>-2.3096825654187767</v>
      </c>
      <c r="V23" s="636">
        <f t="shared" si="114"/>
        <v>-7.0800213533444026E-2</v>
      </c>
      <c r="W23" s="585">
        <f t="shared" si="224"/>
        <v>290.13995810897302</v>
      </c>
      <c r="X23" s="629">
        <f t="shared" si="83"/>
        <v>2.4601074196839781</v>
      </c>
      <c r="Y23" s="630">
        <f t="shared" si="223"/>
        <v>-7.0800213533444026E-2</v>
      </c>
      <c r="Z23" s="632">
        <f t="shared" si="6"/>
        <v>0.30481243881166487</v>
      </c>
      <c r="AA23" s="629">
        <f t="shared" si="7"/>
        <v>-0.91625598951743903</v>
      </c>
      <c r="AB23" s="629">
        <f t="shared" si="8"/>
        <v>-0.25993141175914813</v>
      </c>
      <c r="AC23" s="636">
        <f t="shared" si="84"/>
        <v>1</v>
      </c>
      <c r="AD23" s="637">
        <f t="shared" si="115"/>
        <v>0.30481243881166487</v>
      </c>
      <c r="AE23" s="629">
        <f t="shared" si="85"/>
        <v>-0.91625598951743903</v>
      </c>
      <c r="AF23" s="633">
        <f t="shared" si="86"/>
        <v>-0.25993141175914813</v>
      </c>
      <c r="AG23" s="602">
        <f t="shared" si="87"/>
        <v>-74.161963271802492</v>
      </c>
      <c r="AH23" s="603">
        <f t="shared" si="88"/>
        <v>72.253119864271</v>
      </c>
      <c r="AI23" s="585">
        <f t="shared" si="89"/>
        <v>-74.934007598361092</v>
      </c>
      <c r="AJ23" s="586">
        <f t="shared" si="90"/>
        <v>18.400824200113387</v>
      </c>
      <c r="AK23" s="635">
        <f t="shared" si="211"/>
        <v>0.96534328917828138</v>
      </c>
      <c r="AL23" s="629">
        <f t="shared" si="91"/>
        <v>-2.3409297711661725E-2</v>
      </c>
      <c r="AM23" s="634">
        <f t="shared" si="92"/>
        <v>-0.25993141175914813</v>
      </c>
      <c r="AN23" s="581">
        <f t="shared" si="93"/>
        <v>-5.146147282148597</v>
      </c>
      <c r="AO23" s="582">
        <f t="shared" si="94"/>
        <v>15.128421496769427</v>
      </c>
      <c r="AP23" s="585">
        <f t="shared" si="95"/>
        <v>-1.3891339593933816</v>
      </c>
      <c r="AQ23" s="586">
        <f t="shared" si="9"/>
        <v>0.92659688941307794</v>
      </c>
      <c r="AS23" s="52">
        <f t="shared" si="116"/>
        <v>-69.860041891026981</v>
      </c>
      <c r="AT23" s="72">
        <f t="shared" si="10"/>
        <v>-2.2043240033101499E-2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2.11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10</v>
      </c>
      <c r="JC23" s="199"/>
      <c r="JD23" s="199"/>
      <c r="JE23" s="871"/>
      <c r="JF23" s="796" t="str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>
        <v>3</v>
      </c>
      <c r="JH23" s="800" t="str" cm="1">
        <f t="array" ref="JH23:JI24">IF(_xlfn.ANCHORARRAY($JF$23)="","",_xlfn.MINIFS($IO$9:$IO$150,$IK$9:$IK$150,_xlfn.ANCHORARRAY($JA$23),$IE$9:$IE$150,_xlfn.ANCHORARRAY($JH$22),$II$9:$II$150,"&lt;&gt;"&amp;"",$IF$9:$IF$150,"&lt;&gt;"&amp;"Gage"))</f>
        <v/>
      </c>
      <c r="JI23" s="801">
        <v>0</v>
      </c>
    </row>
    <row r="24" spans="1:269" ht="15" customHeight="1" x14ac:dyDescent="0.25">
      <c r="A24" s="79"/>
      <c r="B24" s="707">
        <v>3.0490467736586897</v>
      </c>
      <c r="C24" s="708">
        <v>1.0433250574745729</v>
      </c>
      <c r="D24" s="709">
        <v>-0.25340076425670505</v>
      </c>
      <c r="E24" s="710">
        <v>-0.15108287595674752</v>
      </c>
      <c r="F24" s="708">
        <v>0.95558670632769893</v>
      </c>
      <c r="G24" s="711">
        <v>0.25303756891500939</v>
      </c>
      <c r="H24" s="710">
        <v>0.314</v>
      </c>
      <c r="I24" s="708">
        <v>0.52</v>
      </c>
      <c r="J24" s="570">
        <v>2.1150000000000002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2.1150000000000002</v>
      </c>
      <c r="N24" s="632">
        <f t="shared" si="2"/>
        <v>3.0490467736586897</v>
      </c>
      <c r="O24" s="629">
        <f t="shared" si="3"/>
        <v>1.0433250574745729</v>
      </c>
      <c r="P24" s="633">
        <f t="shared" si="4"/>
        <v>-0.25340076425670505</v>
      </c>
      <c r="Q24" s="585">
        <f t="shared" si="113"/>
        <v>18.88995828945065</v>
      </c>
      <c r="R24" s="629">
        <f t="shared" si="79"/>
        <v>3.2226097193909142</v>
      </c>
      <c r="S24" s="634">
        <f t="shared" si="80"/>
        <v>-0.25340076425670505</v>
      </c>
      <c r="T24" s="635">
        <f t="shared" si="81"/>
        <v>1.0619310396830439</v>
      </c>
      <c r="U24" s="629">
        <f t="shared" si="82"/>
        <v>-3.0426166157553394</v>
      </c>
      <c r="V24" s="636">
        <f t="shared" si="114"/>
        <v>-0.25340076425670505</v>
      </c>
      <c r="W24" s="585">
        <f t="shared" si="224"/>
        <v>289.23995823891687</v>
      </c>
      <c r="X24" s="629">
        <f t="shared" si="83"/>
        <v>3.2226097193909142</v>
      </c>
      <c r="Y24" s="630">
        <f t="shared" si="223"/>
        <v>-0.25340076425670505</v>
      </c>
      <c r="Z24" s="632">
        <f t="shared" si="6"/>
        <v>0.15108287595674752</v>
      </c>
      <c r="AA24" s="629">
        <f t="shared" si="7"/>
        <v>-0.95558670632769893</v>
      </c>
      <c r="AB24" s="629">
        <f t="shared" si="8"/>
        <v>-0.25303756891500939</v>
      </c>
      <c r="AC24" s="636">
        <f t="shared" si="84"/>
        <v>1</v>
      </c>
      <c r="AD24" s="637">
        <f t="shared" si="115"/>
        <v>0.15108287595674752</v>
      </c>
      <c r="AE24" s="629">
        <f t="shared" si="85"/>
        <v>-0.95558670632769893</v>
      </c>
      <c r="AF24" s="633">
        <f t="shared" si="86"/>
        <v>-0.25303756891500939</v>
      </c>
      <c r="AG24" s="602">
        <f t="shared" si="87"/>
        <v>-75.168581057497008</v>
      </c>
      <c r="AH24" s="603">
        <f t="shared" si="88"/>
        <v>81.310313990409185</v>
      </c>
      <c r="AI24" s="585">
        <f t="shared" si="89"/>
        <v>-75.342667046300136</v>
      </c>
      <c r="AJ24" s="586">
        <f t="shared" si="90"/>
        <v>8.984371011845349</v>
      </c>
      <c r="AK24" s="635">
        <f>IF(M24="","",(COS(RADIANS((90-$Q$8)-W24))*AD24)+(-SIN(RADIANS((90-$Q$8)-W24))*AE24))</f>
        <v>0.95303414981975576</v>
      </c>
      <c r="AL24" s="629">
        <f t="shared" si="91"/>
        <v>-0.16642685478887451</v>
      </c>
      <c r="AM24" s="634">
        <f t="shared" si="92"/>
        <v>-0.25303756891500939</v>
      </c>
      <c r="AN24" s="581">
        <f t="shared" si="93"/>
        <v>-33.333558980375436</v>
      </c>
      <c r="AO24" s="582">
        <f t="shared" si="94"/>
        <v>17.629634282469233</v>
      </c>
      <c r="AP24" s="585">
        <f t="shared" si="95"/>
        <v>-9.9055872776053029</v>
      </c>
      <c r="AQ24" s="586">
        <f t="shared" si="9"/>
        <v>0.70738035286840228</v>
      </c>
      <c r="AS24" s="52">
        <f t="shared" si="116"/>
        <v>-70.76004176108313</v>
      </c>
      <c r="AT24" s="72">
        <f t="shared" si="10"/>
        <v>-0.20401879084660129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2.1150000000000002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Inactive</v>
      </c>
      <c r="JB24" s="856" cm="1">
        <f t="array" ref="JB24">IF($JA24="","",COUNT(IF(IF($II$9:$II$150&lt;&gt;"",$IK$9:$IK$150,"")=$JA24,$IG$9:$IG$150,"")))</f>
        <v>5</v>
      </c>
      <c r="JC24" s="5"/>
      <c r="JD24" s="5"/>
      <c r="JE24" s="10"/>
      <c r="JF24" s="247">
        <v>5</v>
      </c>
      <c r="JG24" s="803" t="str">
        <v/>
      </c>
      <c r="JH24" s="787">
        <v>20</v>
      </c>
      <c r="JI24" s="803" t="str">
        <v/>
      </c>
    </row>
    <row r="25" spans="1:269" ht="15" customHeight="1" x14ac:dyDescent="0.25">
      <c r="A25" s="79"/>
      <c r="B25" s="707">
        <v>3.6256242912948591</v>
      </c>
      <c r="C25" s="708">
        <v>1.1738376852259047</v>
      </c>
      <c r="D25" s="709">
        <v>-0.77170232745421974</v>
      </c>
      <c r="E25" s="710">
        <v>-9.4427391205266064E-3</v>
      </c>
      <c r="F25" s="708">
        <v>0.98417568238636233</v>
      </c>
      <c r="G25" s="711">
        <v>0.17694366582966367</v>
      </c>
      <c r="H25" s="710">
        <v>0.314</v>
      </c>
      <c r="I25" s="708">
        <v>0.52</v>
      </c>
      <c r="J25" s="570">
        <v>2.12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2.12</v>
      </c>
      <c r="N25" s="632">
        <f t="shared" si="2"/>
        <v>3.6256242912948591</v>
      </c>
      <c r="O25" s="629">
        <f t="shared" si="3"/>
        <v>1.1738376852259047</v>
      </c>
      <c r="P25" s="633">
        <f t="shared" si="4"/>
        <v>-0.77170232745421974</v>
      </c>
      <c r="Q25" s="585">
        <f t="shared" si="113"/>
        <v>17.939958426613661</v>
      </c>
      <c r="R25" s="629">
        <f>IF(M25="","",SQRT(N25^2+O25^2))</f>
        <v>3.8109114937090651</v>
      </c>
      <c r="S25" s="634">
        <f>IF(M25="","",P25)</f>
        <v>-0.77170232745421974</v>
      </c>
      <c r="T25" s="635">
        <f>IF(M25="","",X25*COS(RADIANS(W25)))</f>
        <v>1.1959633215749854</v>
      </c>
      <c r="U25" s="629">
        <f>IF(M25="","",X25*SIN(RADIANS(W25)))</f>
        <v>-3.6183861245493394</v>
      </c>
      <c r="V25" s="636">
        <f>IF(M25="","",Y25)</f>
        <v>-0.77170232745421974</v>
      </c>
      <c r="W25" s="585">
        <f t="shared" si="224"/>
        <v>288.28995837607988</v>
      </c>
      <c r="X25" s="629">
        <f>IF(M25="","",R25)</f>
        <v>3.8109114937090651</v>
      </c>
      <c r="Y25" s="630">
        <f t="shared" si="223"/>
        <v>-0.77170232745421974</v>
      </c>
      <c r="Z25" s="632">
        <f t="shared" si="6"/>
        <v>9.4427391205266064E-3</v>
      </c>
      <c r="AA25" s="629">
        <f t="shared" si="7"/>
        <v>-0.98417568238636233</v>
      </c>
      <c r="AB25" s="629">
        <f t="shared" si="8"/>
        <v>-0.17694366582966367</v>
      </c>
      <c r="AC25" s="636">
        <f>IF(M25="","",SQRT(Z25^2+AA25^2+AB25^2))</f>
        <v>1</v>
      </c>
      <c r="AD25" s="637">
        <f>IF(M25="","",Z25*(1/SQRT(Z25^2+AA25^2+AB25^2)))</f>
        <v>9.4427391205266064E-3</v>
      </c>
      <c r="AE25" s="629">
        <f>IF(M25="","",AA25*(1/SQRT(Z25^2+AA25^2+AB25^2)))</f>
        <v>-0.98417568238636233</v>
      </c>
      <c r="AF25" s="633">
        <f>IF(M25="","",AB25*(1/SQRT(Z25^2+AA25^2+AB25^2)))</f>
        <v>-0.17694366582966367</v>
      </c>
      <c r="AG25" s="602">
        <f>IF(M25="","",DEGREES(ATAN2(-AF25,AE25)))</f>
        <v>-79.807753402982939</v>
      </c>
      <c r="AH25" s="603">
        <f>IF(M25="","",DEGREES(ACOS(AD25)))</f>
        <v>89.458962860855806</v>
      </c>
      <c r="AI25" s="585">
        <f>IF(M25="","",DEGREES(-ACOS(-AF25)))</f>
        <v>-79.808212664840838</v>
      </c>
      <c r="AJ25" s="586">
        <f>IF(M25="","",DEGREES(ATAN2(-AE25,AD25)))</f>
        <v>0.54971130423458514</v>
      </c>
      <c r="AK25" s="635">
        <f>IF(M25="","",(COS(RADIANS((90-$Q$8)-W25))*AD25)+(-SIN(RADIANS((90-$Q$8)-W25))*AE25))</f>
        <v>0.93923343795881298</v>
      </c>
      <c r="AL25" s="629">
        <f>IF(M25="","",(SIN(RADIANS((90-$Q$8)-W25))*AD25)+(COS(RADIANS((90-$Q$8)-W25))*AE25))</f>
        <v>-0.2941623499750245</v>
      </c>
      <c r="AM25" s="634">
        <f>IF(M25="","",AF25)</f>
        <v>-0.17694366582966367</v>
      </c>
      <c r="AN25" s="581">
        <f>IF(M25="","",DEGREES(ATAN2(-AM25,AL25)))</f>
        <v>-58.972374513477632</v>
      </c>
      <c r="AO25" s="582">
        <f>IF(ROUND(IF(M25="",0,DEGREES(ACOS(AK25))),4)=90,0,IF(M25="","",DEGREES(ACOS(AK25))))</f>
        <v>20.076781738371345</v>
      </c>
      <c r="AP25" s="585">
        <f>IF(M25="","",DEGREES(ATAN2(AK25,AL25)))</f>
        <v>-17.390247122379048</v>
      </c>
      <c r="AQ25" s="586">
        <f t="shared" si="9"/>
        <v>0.59818859718690154</v>
      </c>
      <c r="AS25" s="52">
        <f t="shared" si="116"/>
        <v>-71.710041623920119</v>
      </c>
      <c r="AT25" s="72">
        <f t="shared" si="10"/>
        <v>-0.72166063191714591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3.899997307924842</v>
      </c>
      <c r="C26" s="708">
        <v>1.2251727261668521</v>
      </c>
      <c r="D26" s="709">
        <v>-1.5052045396968921</v>
      </c>
      <c r="E26" s="710">
        <v>0.10992654935477228</v>
      </c>
      <c r="F26" s="708">
        <v>0.99126787628750679</v>
      </c>
      <c r="G26" s="711">
        <v>7.2829603784513891E-2</v>
      </c>
      <c r="H26" s="710">
        <v>0.314</v>
      </c>
      <c r="I26" s="708">
        <v>0.52</v>
      </c>
      <c r="J26" s="570">
        <v>2.125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2.125</v>
      </c>
      <c r="N26" s="632">
        <f t="shared" si="2"/>
        <v>3.899997307924842</v>
      </c>
      <c r="O26" s="629">
        <f t="shared" si="3"/>
        <v>1.2251727261668521</v>
      </c>
      <c r="P26" s="633">
        <f t="shared" si="4"/>
        <v>-1.5052045396968921</v>
      </c>
      <c r="Q26" s="585">
        <f t="shared" si="113"/>
        <v>17.439958498804717</v>
      </c>
      <c r="R26" s="629">
        <f>IF(M26="","",SQRT(N26^2+O26^2))</f>
        <v>4.0879123291435855</v>
      </c>
      <c r="S26" s="634">
        <f>IF(M26="","",P26)</f>
        <v>-1.5052045396968921</v>
      </c>
      <c r="T26" s="635">
        <f>IF(M26="","",X26*COS(RADIANS(W26)))</f>
        <v>1.2489734434352089</v>
      </c>
      <c r="U26" s="629">
        <f>IF(M26="","",X26*SIN(RADIANS(W26)))</f>
        <v>-3.8924404360706317</v>
      </c>
      <c r="V26" s="636">
        <f>IF(M26="","",Y26)</f>
        <v>-1.5052045396968921</v>
      </c>
      <c r="W26" s="585">
        <f t="shared" si="224"/>
        <v>287.78995844827102</v>
      </c>
      <c r="X26" s="629">
        <f>IF(M26="","",R26)</f>
        <v>4.0879123291435855</v>
      </c>
      <c r="Y26" s="630">
        <f t="shared" si="223"/>
        <v>-1.5052045396968921</v>
      </c>
      <c r="Z26" s="632">
        <f t="shared" si="6"/>
        <v>-0.10992654935477228</v>
      </c>
      <c r="AA26" s="629">
        <f t="shared" si="7"/>
        <v>-0.99126787628750679</v>
      </c>
      <c r="AB26" s="629">
        <f t="shared" si="8"/>
        <v>-7.2829603784513891E-2</v>
      </c>
      <c r="AC26" s="636">
        <f>IF(M26="","",SQRT(Z26^2+AA26^2+AB26^2))</f>
        <v>1</v>
      </c>
      <c r="AD26" s="637">
        <f>IF(M26="","",Z26*(1/SQRT(Z26^2+AA26^2+AB26^2)))</f>
        <v>-0.10992654935477228</v>
      </c>
      <c r="AE26" s="629">
        <f>IF(M26="","",AA26*(1/SQRT(Z26^2+AA26^2+AB26^2)))</f>
        <v>-0.99126787628750679</v>
      </c>
      <c r="AF26" s="633">
        <f>IF(M26="","",AB26*(1/SQRT(Z26^2+AA26^2+AB26^2)))</f>
        <v>-7.2829603784513891E-2</v>
      </c>
      <c r="AG26" s="602">
        <f>IF(M26="","",DEGREES(ATAN2(-AF26,AE26)))</f>
        <v>-85.797962469918374</v>
      </c>
      <c r="AH26" s="603">
        <f>IF(M26="","",DEGREES(ACOS(AD26)))</f>
        <v>96.311081480388893</v>
      </c>
      <c r="AI26" s="585">
        <f>IF(M26="","",DEGREES(-ACOS(-AF26)))</f>
        <v>-85.823473360841447</v>
      </c>
      <c r="AJ26" s="586">
        <f>IF(M26="","",DEGREES(ATAN2(-AE26,AD26)))</f>
        <v>-6.3279543926841262</v>
      </c>
      <c r="AK26" s="635">
        <f>IF(M26="","",(COS(RADIANS((90-$Q$8)-W26))*AD26)+(-SIN(RADIANS((90-$Q$8)-W26))*AE26))</f>
        <v>0.91275515186604939</v>
      </c>
      <c r="AL26" s="629">
        <f>IF(M26="","",(SIN(RADIANS((90-$Q$8)-W26))*AD26)+(COS(RADIANS((90-$Q$8)-W26))*AE26))</f>
        <v>-0.40196253750141459</v>
      </c>
      <c r="AM26" s="634">
        <f>IF(M26="","",AF26)</f>
        <v>-7.2829603784513891E-2</v>
      </c>
      <c r="AN26" s="581">
        <f>IF(M26="","",DEGREES(ATAN2(-AM26,AL26)))</f>
        <v>-79.730272212795853</v>
      </c>
      <c r="AO26" s="582">
        <f t="shared" si="94"/>
        <v>24.111086219172236</v>
      </c>
      <c r="AP26" s="585">
        <f>IF(M26="","",DEGREES(ATAN2(AK26,AL26)))</f>
        <v>-23.767912891488901</v>
      </c>
      <c r="AQ26" s="586">
        <f t="shared" si="9"/>
        <v>0.5576574205660817</v>
      </c>
      <c r="AS26" s="52">
        <f t="shared" si="116"/>
        <v>-72.210041551728978</v>
      </c>
      <c r="AT26" s="72">
        <f t="shared" si="10"/>
        <v>-1.4548156219877286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2.125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3.9764961436359054</v>
      </c>
      <c r="C27" s="708">
        <v>1.2385374695820648</v>
      </c>
      <c r="D27" s="709">
        <v>-2.2276067184618626</v>
      </c>
      <c r="E27" s="710">
        <v>0.20185244181385917</v>
      </c>
      <c r="F27" s="708">
        <v>0.97937994907091919</v>
      </c>
      <c r="G27" s="711">
        <v>8.3968501014657932E-3</v>
      </c>
      <c r="H27" s="710">
        <v>0.26600000000000001</v>
      </c>
      <c r="I27" s="708">
        <v>0.52</v>
      </c>
      <c r="J27" s="570">
        <v>2.13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2.13</v>
      </c>
      <c r="N27" s="632">
        <f t="shared" si="2"/>
        <v>3.9764961436359054</v>
      </c>
      <c r="O27" s="629">
        <f t="shared" si="3"/>
        <v>1.2385374695820648</v>
      </c>
      <c r="P27" s="633">
        <f t="shared" si="4"/>
        <v>-2.2276067184618626</v>
      </c>
      <c r="Q27" s="585">
        <f t="shared" si="113"/>
        <v>17.299958519018212</v>
      </c>
      <c r="R27" s="629">
        <f t="shared" si="79"/>
        <v>4.1649125613762861</v>
      </c>
      <c r="S27" s="634">
        <f t="shared" si="80"/>
        <v>-2.2276067184618626</v>
      </c>
      <c r="T27" s="635">
        <f t="shared" si="81"/>
        <v>1.2628052393155536</v>
      </c>
      <c r="U27" s="629">
        <f t="shared" si="82"/>
        <v>-3.9688562044331066</v>
      </c>
      <c r="V27" s="636">
        <f t="shared" si="114"/>
        <v>-2.2276067184618626</v>
      </c>
      <c r="W27" s="585">
        <f t="shared" si="224"/>
        <v>287.64995846848444</v>
      </c>
      <c r="X27" s="629">
        <f t="shared" si="83"/>
        <v>4.1649125613762861</v>
      </c>
      <c r="Y27" s="630">
        <f t="shared" si="223"/>
        <v>-2.2276067184618626</v>
      </c>
      <c r="Z27" s="632">
        <f t="shared" si="6"/>
        <v>-0.20185244181385917</v>
      </c>
      <c r="AA27" s="629">
        <f t="shared" si="7"/>
        <v>-0.97937994907091919</v>
      </c>
      <c r="AB27" s="629">
        <f t="shared" si="8"/>
        <v>-8.3968501014657932E-3</v>
      </c>
      <c r="AC27" s="636">
        <f t="shared" si="84"/>
        <v>1</v>
      </c>
      <c r="AD27" s="637">
        <f t="shared" si="115"/>
        <v>-0.20185244181385917</v>
      </c>
      <c r="AE27" s="629">
        <f t="shared" si="85"/>
        <v>-0.97937994907091919</v>
      </c>
      <c r="AF27" s="633">
        <f t="shared" si="86"/>
        <v>-8.3968501014657932E-3</v>
      </c>
      <c r="AG27" s="602">
        <f t="shared" si="87"/>
        <v>-89.508778707613772</v>
      </c>
      <c r="AH27" s="603">
        <f t="shared" si="88"/>
        <v>101.6453057300558</v>
      </c>
      <c r="AI27" s="585">
        <f t="shared" si="89"/>
        <v>-89.518890274261139</v>
      </c>
      <c r="AJ27" s="586">
        <f t="shared" si="90"/>
        <v>-11.645722038832316</v>
      </c>
      <c r="AK27" s="635">
        <f t="shared" si="211"/>
        <v>0.87504808910500298</v>
      </c>
      <c r="AL27" s="629">
        <f t="shared" si="91"/>
        <v>-0.48396315424013064</v>
      </c>
      <c r="AM27" s="634">
        <f t="shared" si="92"/>
        <v>-8.3968501014657932E-3</v>
      </c>
      <c r="AN27" s="581">
        <f t="shared" si="93"/>
        <v>-89.006007376574743</v>
      </c>
      <c r="AO27" s="582">
        <f t="shared" si="94"/>
        <v>28.949332531966355</v>
      </c>
      <c r="AP27" s="585">
        <f t="shared" si="95"/>
        <v>-28.945680557850512</v>
      </c>
      <c r="AQ27" s="586">
        <f t="shared" si="9"/>
        <v>0.54734817319551909</v>
      </c>
      <c r="AS27" s="52">
        <f t="shared" si="116"/>
        <v>-72.350041531515558</v>
      </c>
      <c r="AT27" s="72">
        <f t="shared" si="10"/>
        <v>-2.177120578544514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2.13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3.9990376844608981</v>
      </c>
      <c r="C28" s="708">
        <v>1.2424963323304097</v>
      </c>
      <c r="D28" s="709">
        <v>-2.8537086067851583</v>
      </c>
      <c r="E28" s="710">
        <v>0.30469867541420104</v>
      </c>
      <c r="F28" s="708">
        <v>0.95244880030414991</v>
      </c>
      <c r="G28" s="711">
        <v>1.3008419232601115E-7</v>
      </c>
      <c r="H28" s="710">
        <v>0.26600000000000001</v>
      </c>
      <c r="I28" s="708">
        <v>0.52</v>
      </c>
      <c r="J28" s="570">
        <v>2.1349999999999998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2.1349999999999998</v>
      </c>
      <c r="N28" s="632">
        <f t="shared" si="2"/>
        <v>3.9990376844608981</v>
      </c>
      <c r="O28" s="629">
        <f t="shared" si="3"/>
        <v>1.2424963323304097</v>
      </c>
      <c r="P28" s="633">
        <f t="shared" si="4"/>
        <v>-2.8537086067851583</v>
      </c>
      <c r="Q28" s="585">
        <f t="shared" si="113"/>
        <v>17.259958524793493</v>
      </c>
      <c r="R28" s="629">
        <f t="shared" si="79"/>
        <v>4.1876126298396921</v>
      </c>
      <c r="S28" s="634">
        <f t="shared" si="80"/>
        <v>-2.8537086067851583</v>
      </c>
      <c r="T28" s="635">
        <f t="shared" si="81"/>
        <v>1.2669017257612072</v>
      </c>
      <c r="U28" s="629">
        <f t="shared" si="82"/>
        <v>-3.9913731415211204</v>
      </c>
      <c r="V28" s="636">
        <f t="shared" si="114"/>
        <v>-2.8537086067851583</v>
      </c>
      <c r="W28" s="585">
        <f t="shared" si="224"/>
        <v>287.60995847425977</v>
      </c>
      <c r="X28" s="629">
        <f t="shared" si="83"/>
        <v>4.1876126298396921</v>
      </c>
      <c r="Y28" s="630">
        <f t="shared" si="223"/>
        <v>-2.8537086067851583</v>
      </c>
      <c r="Z28" s="632">
        <f t="shared" si="6"/>
        <v>-0.30469867541420104</v>
      </c>
      <c r="AA28" s="629">
        <f t="shared" si="7"/>
        <v>-0.95244880030414991</v>
      </c>
      <c r="AB28" s="629">
        <f t="shared" si="8"/>
        <v>-1.3008419232601115E-7</v>
      </c>
      <c r="AC28" s="636">
        <f t="shared" si="84"/>
        <v>1</v>
      </c>
      <c r="AD28" s="637">
        <f t="shared" si="115"/>
        <v>-0.30469867541420104</v>
      </c>
      <c r="AE28" s="629">
        <f t="shared" si="85"/>
        <v>-0.95244880030414991</v>
      </c>
      <c r="AF28" s="633">
        <f t="shared" si="86"/>
        <v>-1.3008419232601115E-7</v>
      </c>
      <c r="AG28" s="602">
        <f t="shared" si="87"/>
        <v>-89.999992174618527</v>
      </c>
      <c r="AH28" s="603">
        <f t="shared" si="88"/>
        <v>107.74003642183163</v>
      </c>
      <c r="AI28" s="585">
        <f t="shared" si="89"/>
        <v>-89.999992546724798</v>
      </c>
      <c r="AJ28" s="586">
        <f t="shared" si="90"/>
        <v>-17.740036421831778</v>
      </c>
      <c r="AK28" s="635">
        <f t="shared" si="211"/>
        <v>0.81915209487729157</v>
      </c>
      <c r="AL28" s="629">
        <f t="shared" si="91"/>
        <v>-0.57357636410344515</v>
      </c>
      <c r="AM28" s="634">
        <f t="shared" si="92"/>
        <v>-1.3008419232601115E-7</v>
      </c>
      <c r="AN28" s="581">
        <f t="shared" si="93"/>
        <v>-89.999987005609597</v>
      </c>
      <c r="AO28" s="582">
        <f t="shared" si="94"/>
        <v>34.999994946625989</v>
      </c>
      <c r="AP28" s="585">
        <f t="shared" si="95"/>
        <v>-34.999994946625307</v>
      </c>
      <c r="AQ28" s="586">
        <f t="shared" si="9"/>
        <v>0.54438130583656053</v>
      </c>
      <c r="AS28" s="52">
        <f t="shared" si="116"/>
        <v>-72.39004152574023</v>
      </c>
      <c r="AT28" s="72">
        <f t="shared" si="10"/>
        <v>-2.8031946890940427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2.1349999999999998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1313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4.000171721242209</v>
      </c>
      <c r="C29" s="708">
        <v>0.13968614778046795</v>
      </c>
      <c r="D29" s="709">
        <v>-1.0173819583282095</v>
      </c>
      <c r="E29" s="710">
        <v>0.42138102949552053</v>
      </c>
      <c r="F29" s="708">
        <v>0.87467912255057867</v>
      </c>
      <c r="G29" s="711">
        <v>0.23952966529314343</v>
      </c>
      <c r="H29" s="710">
        <v>0.26600000000000001</v>
      </c>
      <c r="I29" s="708">
        <v>0.52</v>
      </c>
      <c r="J29" s="570">
        <v>2.222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2.222</v>
      </c>
      <c r="N29" s="632">
        <f t="shared" si="2"/>
        <v>4.000171721242209</v>
      </c>
      <c r="O29" s="629">
        <f t="shared" si="3"/>
        <v>0.13968614778046795</v>
      </c>
      <c r="P29" s="633">
        <f t="shared" si="4"/>
        <v>-1.0173819583282095</v>
      </c>
      <c r="Q29" s="585">
        <f t="shared" si="113"/>
        <v>1.9999581291865052</v>
      </c>
      <c r="R29" s="629">
        <f>IF(M29="","",SQRT(N29^2+O29^2))</f>
        <v>4.0026099009655693</v>
      </c>
      <c r="S29" s="634">
        <f>IF(M29="","",P29)</f>
        <v>-1.0173819583282095</v>
      </c>
      <c r="T29" s="635">
        <f>IF(M29="","",X29*COS(RADIANS(W29)))</f>
        <v>0.16411904456430573</v>
      </c>
      <c r="U29" s="629">
        <f>IF(M29="","",X29*SIN(RADIANS(W29)))</f>
        <v>-3.9992437983347431</v>
      </c>
      <c r="V29" s="636">
        <f>IF(M29="","",Y29)</f>
        <v>-1.0173819583282095</v>
      </c>
      <c r="W29" s="585">
        <f t="shared" si="224"/>
        <v>272.34995807865278</v>
      </c>
      <c r="X29" s="629">
        <f>IF(M29="","",R29)</f>
        <v>4.0026099009655693</v>
      </c>
      <c r="Y29" s="630">
        <f t="shared" si="223"/>
        <v>-1.0173819583282095</v>
      </c>
      <c r="Z29" s="632">
        <f t="shared" si="6"/>
        <v>-0.42138102949552053</v>
      </c>
      <c r="AA29" s="629">
        <f t="shared" si="7"/>
        <v>-0.87467912255057867</v>
      </c>
      <c r="AB29" s="629">
        <f t="shared" si="8"/>
        <v>-0.23952966529314343</v>
      </c>
      <c r="AC29" s="636">
        <f>IF(M29="","",SQRT(Z29^2+AA29^2+AB29^2))</f>
        <v>1</v>
      </c>
      <c r="AD29" s="637">
        <f>IF(M29="","",Z29*(1/SQRT(Z29^2+AA29^2+AB29^2)))</f>
        <v>-0.42138102949552053</v>
      </c>
      <c r="AE29" s="629">
        <f>IF(M29="","",AA29*(1/SQRT(Z29^2+AA29^2+AB29^2)))</f>
        <v>-0.87467912255057867</v>
      </c>
      <c r="AF29" s="633">
        <f>IF(M29="","",AB29*(1/SQRT(Z29^2+AA29^2+AB29^2)))</f>
        <v>-0.23952966529314343</v>
      </c>
      <c r="AG29" s="602">
        <f>IF(M29="","",DEGREES(ATAN2(-AF29,AE29)))</f>
        <v>-74.685098167242018</v>
      </c>
      <c r="AH29" s="603">
        <f>IF(M29="","",DEGREES(ACOS(AD29)))</f>
        <v>114.92180839607397</v>
      </c>
      <c r="AI29" s="585">
        <f>IF(M29="","",DEGREES(-ACOS(-AF29)))</f>
        <v>-76.141217500533898</v>
      </c>
      <c r="AJ29" s="586">
        <f>IF(M29="","",DEGREES(ATAN2(-AE29,AD29)))</f>
        <v>-25.722673977160611</v>
      </c>
      <c r="AK29" s="635">
        <f>IF(M29="","",(COS(RADIANS((90-$Q$8)-W29))*AD29)+(-SIN(RADIANS((90-$Q$8)-W29))*AE29))</f>
        <v>0.85944063587109143</v>
      </c>
      <c r="AL29" s="629">
        <f>IF(M29="","",(SIN(RADIANS((90-$Q$8)-W29))*AD29)+(COS(RADIANS((90-$Q$8)-W29))*AE29))</f>
        <v>-0.45164956864592387</v>
      </c>
      <c r="AM29" s="634">
        <f>IF(M29="","",AF29)</f>
        <v>-0.23952966529314343</v>
      </c>
      <c r="AN29" s="581">
        <f>IF(M29="","",DEGREES(ATAN2(-AM29,AL29)))</f>
        <v>-62.061022433919184</v>
      </c>
      <c r="AO29" s="582">
        <f t="shared" si="94"/>
        <v>30.746164582866548</v>
      </c>
      <c r="AP29" s="585">
        <f>IF(M29="","",DEGREES(ATAN2(AK29,AL29)))</f>
        <v>-27.722632106347159</v>
      </c>
      <c r="AQ29" s="586">
        <f t="shared" si="9"/>
        <v>0.56954127445159342</v>
      </c>
      <c r="AS29" s="52">
        <f t="shared" si="116"/>
        <v>-87.650041921347224</v>
      </c>
      <c r="AT29" s="72">
        <f t="shared" si="10"/>
        <v>-0.95627081814014459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2.222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0.122</v>
      </c>
      <c r="II29" s="734" cm="1">
        <f t="array" ref="II29">IFERROR(ROUND(VALUE(IF($IH29&lt;1,$IH29+LARGE((IF($M$9:$M$150="",0,$M$9:$M$150)-MOD(IF($M$9:$M$150="",0,$M$9:$M$150),1)),1),$IH29)),4),"")</f>
        <v>5.1219999999999999</v>
      </c>
      <c r="IJ29" s="533">
        <f t="shared" si="112"/>
        <v>1613</v>
      </c>
      <c r="IK29" s="533">
        <f t="shared" si="66"/>
        <v>1313</v>
      </c>
      <c r="IL29" s="727">
        <f t="shared" si="225"/>
        <v>150.6700328223863</v>
      </c>
      <c r="IM29" s="759">
        <v>1.5366470671916E-2</v>
      </c>
      <c r="IN29" s="5">
        <f t="shared" si="226"/>
        <v>0.04</v>
      </c>
      <c r="IO29" s="771">
        <v>20</v>
      </c>
      <c r="IP29" s="9">
        <f t="shared" si="227"/>
        <v>-3.964511956968062</v>
      </c>
      <c r="IQ29" s="5">
        <f t="shared" si="228"/>
        <v>-1.048103161079134</v>
      </c>
      <c r="IR29" s="5">
        <f t="shared" si="71"/>
        <v>0.314</v>
      </c>
      <c r="IS29" s="5">
        <f t="shared" si="229"/>
        <v>0.29281997948811772</v>
      </c>
      <c r="IT29" s="727">
        <f t="shared" si="230"/>
        <v>68.061880145583501</v>
      </c>
      <c r="IU29" s="9">
        <f t="shared" si="231"/>
        <v>-4.0026099009655693</v>
      </c>
      <c r="IV29" s="5">
        <f t="shared" si="232"/>
        <v>-1.0173819583282095</v>
      </c>
      <c r="IW29" s="5">
        <f t="shared" si="76"/>
        <v>0.26600000000000001</v>
      </c>
      <c r="IX29" s="5">
        <f t="shared" si="233"/>
        <v>0.22861120914171032</v>
      </c>
      <c r="IY29" s="762">
        <f t="shared" si="234"/>
        <v>62.061022433919184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10</v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4.1556670429603377</v>
      </c>
      <c r="C30" s="708">
        <v>0.14511605029523814</v>
      </c>
      <c r="D30" s="709">
        <v>-1.8114999999999999</v>
      </c>
      <c r="E30" s="710">
        <v>0.55032141534099321</v>
      </c>
      <c r="F30" s="708">
        <v>0.83185639889636631</v>
      </c>
      <c r="G30" s="711">
        <v>7.1841989339491472E-2</v>
      </c>
      <c r="H30" s="710">
        <v>0.26600000000000001</v>
      </c>
      <c r="I30" s="708">
        <v>0.52</v>
      </c>
      <c r="J30" s="570">
        <v>2.2269999999999999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2.2269999999999999</v>
      </c>
      <c r="N30" s="632">
        <f t="shared" si="2"/>
        <v>4.1556670429603377</v>
      </c>
      <c r="O30" s="629">
        <f t="shared" si="3"/>
        <v>0.14511605029523814</v>
      </c>
      <c r="P30" s="633">
        <f t="shared" si="4"/>
        <v>-1.8114999999999999</v>
      </c>
      <c r="Q30" s="585">
        <f t="shared" si="113"/>
        <v>1.9999581291864905</v>
      </c>
      <c r="R30" s="629">
        <f>IF(M30="","",SQRT(N30^2+O30^2))</f>
        <v>4.1582000000000008</v>
      </c>
      <c r="S30" s="634">
        <f>IF(M30="","",P30)</f>
        <v>-1.8114999999999999</v>
      </c>
      <c r="T30" s="635">
        <f>IF(M30="","",X30*COS(RADIANS(W30)))</f>
        <v>0.17049870659208333</v>
      </c>
      <c r="U30" s="629">
        <f>IF(M30="","",X30*SIN(RADIANS(W30)))</f>
        <v>-4.1547030496836275</v>
      </c>
      <c r="V30" s="636">
        <f>IF(M30="","",Y30)</f>
        <v>-1.8114999999999999</v>
      </c>
      <c r="W30" s="585">
        <f t="shared" si="224"/>
        <v>272.34995807865278</v>
      </c>
      <c r="X30" s="629">
        <f>IF(M30="","",R30)</f>
        <v>4.1582000000000008</v>
      </c>
      <c r="Y30" s="630">
        <f t="shared" si="223"/>
        <v>-1.8114999999999999</v>
      </c>
      <c r="Z30" s="632">
        <f t="shared" si="6"/>
        <v>-0.55032141534099321</v>
      </c>
      <c r="AA30" s="629">
        <f t="shared" si="7"/>
        <v>-0.83185639889636631</v>
      </c>
      <c r="AB30" s="629">
        <f t="shared" si="8"/>
        <v>-7.1841989339491472E-2</v>
      </c>
      <c r="AC30" s="636">
        <f>IF(M30="","",SQRT(Z30^2+AA30^2+AB30^2))</f>
        <v>1</v>
      </c>
      <c r="AD30" s="637">
        <f>IF(M30="","",Z30*(1/SQRT(Z30^2+AA30^2+AB30^2)))</f>
        <v>-0.55032141534099321</v>
      </c>
      <c r="AE30" s="629">
        <f>IF(M30="","",AA30*(1/SQRT(Z30^2+AA30^2+AB30^2)))</f>
        <v>-0.83185639889636631</v>
      </c>
      <c r="AF30" s="633">
        <f>IF(M30="","",AB30*(1/SQRT(Z30^2+AA30^2+AB30^2)))</f>
        <v>-7.1841989339491472E-2</v>
      </c>
      <c r="AG30" s="602">
        <f>IF(M30="","",DEGREES(ATAN2(-AF30,AE30)))</f>
        <v>-85.0639864322264</v>
      </c>
      <c r="AH30" s="603">
        <f>IF(M30="","",DEGREES(ACOS(AD30)))</f>
        <v>123.38906619808284</v>
      </c>
      <c r="AI30" s="585">
        <f>IF(M30="","",DEGREES(-ACOS(-AF30)))</f>
        <v>-85.880208128764593</v>
      </c>
      <c r="AJ30" s="586">
        <f>IF(M30="","",DEGREES(ATAN2(-AE30,AD30)))</f>
        <v>-33.486955154970417</v>
      </c>
      <c r="AK30" s="635">
        <f>IF(M30="","",(COS(RADIANS((90-$Q$8)-W30))*AD30)+(-SIN(RADIANS((90-$Q$8)-W30))*AE30))</f>
        <v>0.81214413717044009</v>
      </c>
      <c r="AL30" s="629">
        <f>IF(M30="","",(SIN(RADIANS((90-$Q$8)-W30))*AD30)+(COS(RADIANS((90-$Q$8)-W30))*AE30))</f>
        <v>-0.57901695055276725</v>
      </c>
      <c r="AM30" s="634">
        <f>IF(M30="","",AF30)</f>
        <v>-7.1841989339491472E-2</v>
      </c>
      <c r="AN30" s="581">
        <f>IF(M30="","",DEGREES(ATAN2(-AM30,AL30)))</f>
        <v>-82.927127865815592</v>
      </c>
      <c r="AO30" s="582">
        <f>IF(ROUND(IF(M30="",0,DEGREES(ACOS(AK30))),4)=90,0,IF(M30="","",DEGREES(ACOS(AK30))))</f>
        <v>35.694048468012326</v>
      </c>
      <c r="AP30" s="585">
        <f>IF(M30="","",DEGREES(ATAN2(AK30,AL30)))</f>
        <v>-35.486913284156977</v>
      </c>
      <c r="AQ30" s="586">
        <f t="shared" si="9"/>
        <v>0.54823170071602356</v>
      </c>
      <c r="AS30" s="52">
        <f t="shared" si="116"/>
        <v>-87.650041921347224</v>
      </c>
      <c r="AT30" s="72">
        <f t="shared" si="10"/>
        <v>-1.750388859811935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>Gage</v>
      </c>
      <c r="IG30" s="847">
        <f t="shared" si="210"/>
        <v>2.2269999999999999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0.127</v>
      </c>
      <c r="II30" s="734" cm="1">
        <f t="array" ref="II30">IFERROR(ROUND(VALUE(IF($IH30&lt;1,$IH30+LARGE((IF($M$9:$M$150="",0,$M$9:$M$150)-MOD(IF($M$9:$M$150="",0,$M$9:$M$150),1)),1),$IH30)),4),"")</f>
        <v>5.1269999999999998</v>
      </c>
      <c r="IJ30" s="533">
        <f t="shared" si="112"/>
        <v>1613</v>
      </c>
      <c r="IK30" s="533">
        <f t="shared" si="66"/>
        <v>1313</v>
      </c>
      <c r="IL30" s="727">
        <f t="shared" si="225"/>
        <v>150.41003285992565</v>
      </c>
      <c r="IM30" s="759">
        <v>1.2861444756510699E-2</v>
      </c>
      <c r="IN30" s="5">
        <f t="shared" si="226"/>
        <v>0.06</v>
      </c>
      <c r="IO30" s="771">
        <v>30</v>
      </c>
      <c r="IP30" s="9">
        <f t="shared" si="227"/>
        <v>-4.105712382828548</v>
      </c>
      <c r="IQ30" s="5">
        <f t="shared" si="228"/>
        <v>-1.8217054942637712</v>
      </c>
      <c r="IR30" s="5">
        <f t="shared" si="71"/>
        <v>0.314</v>
      </c>
      <c r="IS30" s="5">
        <f t="shared" si="229"/>
        <v>0.28214602725064813</v>
      </c>
      <c r="IT30" s="727">
        <f t="shared" si="230"/>
        <v>87.302655041144178</v>
      </c>
      <c r="IU30" s="9">
        <f t="shared" si="231"/>
        <v>-4.1582000000000008</v>
      </c>
      <c r="IV30" s="5">
        <f t="shared" si="232"/>
        <v>-1.8114999999999999</v>
      </c>
      <c r="IW30" s="5">
        <f t="shared" si="76"/>
        <v>0.26600000000000001</v>
      </c>
      <c r="IX30" s="5">
        <f t="shared" si="233"/>
        <v>0.21603034048733707</v>
      </c>
      <c r="IY30" s="762">
        <f t="shared" si="234"/>
        <v>82.927127865815592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5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20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0.47767552726034213</v>
      </c>
      <c r="C31" s="708">
        <v>-0.68219213877345963</v>
      </c>
      <c r="D31" s="709">
        <v>-0.20810062763149295</v>
      </c>
      <c r="E31" s="710">
        <v>0.77830194873374592</v>
      </c>
      <c r="F31" s="708">
        <v>0.57250994828724966</v>
      </c>
      <c r="G31" s="711">
        <v>0.25783412440827963</v>
      </c>
      <c r="H31" s="710">
        <v>0.314</v>
      </c>
      <c r="I31" s="708">
        <v>0.52</v>
      </c>
      <c r="J31" s="570">
        <v>3.1030000000000002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3.1030000000000002</v>
      </c>
      <c r="N31" s="632">
        <f t="shared" si="2"/>
        <v>0.47767552726034213</v>
      </c>
      <c r="O31" s="629">
        <f t="shared" si="3"/>
        <v>-0.68219213877345963</v>
      </c>
      <c r="P31" s="633">
        <f t="shared" si="4"/>
        <v>-0.20810062763149295</v>
      </c>
      <c r="Q31" s="585">
        <f t="shared" si="113"/>
        <v>304.99996895784517</v>
      </c>
      <c r="R31" s="629">
        <f>IF(M31="","",SQRT(N31^2+O31^2))</f>
        <v>0.83280251173237529</v>
      </c>
      <c r="S31" s="634">
        <f>IF(M31="","",P31)</f>
        <v>-0.20810062763149295</v>
      </c>
      <c r="T31" s="635">
        <f>IF(M31="","",X31*COS(RADIANS(W31)))</f>
        <v>-0.67926147542205217</v>
      </c>
      <c r="U31" s="629">
        <f>IF(M31="","",X31*SIN(RADIANS(W31)))</f>
        <v>-0.48183386302252557</v>
      </c>
      <c r="V31" s="636">
        <f>IF(M31="","",Y31)</f>
        <v>-0.20810062763149295</v>
      </c>
      <c r="W31" s="585">
        <f t="shared" si="224"/>
        <v>215.34996890731142</v>
      </c>
      <c r="X31" s="629">
        <f>IF(M31="","",R31)</f>
        <v>0.83280251173237529</v>
      </c>
      <c r="Y31" s="630">
        <f t="shared" si="223"/>
        <v>-0.20810062763149295</v>
      </c>
      <c r="Z31" s="632">
        <f t="shared" si="6"/>
        <v>-0.77830194873374592</v>
      </c>
      <c r="AA31" s="629">
        <f t="shared" si="7"/>
        <v>-0.57250994828724966</v>
      </c>
      <c r="AB31" s="629">
        <f t="shared" si="8"/>
        <v>-0.25783412440827963</v>
      </c>
      <c r="AC31" s="636">
        <f>IF(M31="","",SQRT(Z31^2+AA31^2+AB31^2))</f>
        <v>1</v>
      </c>
      <c r="AD31" s="637">
        <f>IF(M31="","",Z31*(1/SQRT(Z31^2+AA31^2+AB31^2)))</f>
        <v>-0.77830194873374592</v>
      </c>
      <c r="AE31" s="629">
        <f>IF(M31="","",AA31*(1/SQRT(Z31^2+AA31^2+AB31^2)))</f>
        <v>-0.57250994828724966</v>
      </c>
      <c r="AF31" s="633">
        <f>IF(M31="","",AB31*(1/SQRT(Z31^2+AA31^2+AB31^2)))</f>
        <v>-0.25783412440827963</v>
      </c>
      <c r="AG31" s="602">
        <f>IF(M31="","",DEGREES(ATAN2(-AF31,AE31)))</f>
        <v>-65.755225129782033</v>
      </c>
      <c r="AH31" s="603">
        <f>IF(M31="","",DEGREES(ACOS(AD31)))</f>
        <v>141.10536528256165</v>
      </c>
      <c r="AI31" s="585">
        <f>IF(M31="","",DEGREES(-ACOS(-AF31)))</f>
        <v>-75.058414528502141</v>
      </c>
      <c r="AJ31" s="586">
        <f>IF(M31="","",DEGREES(ATAN2(-AE31,AD31)))</f>
        <v>-53.662228452605056</v>
      </c>
      <c r="AK31" s="635">
        <f>IF(M31="","",(COS(RADIANS((90-$Q$8)-W31))*AD31)+(-SIN(RADIANS((90-$Q$8)-W31))*AE31))</f>
        <v>0.96592583607220728</v>
      </c>
      <c r="AL31" s="629">
        <f>IF(M31="","",(SIN(RADIANS((90-$Q$8)-W31))*AD31)+(COS(RADIANS((90-$Q$8)-W31))*AE31))</f>
        <v>2.2557559682354456E-2</v>
      </c>
      <c r="AM31" s="634">
        <f>IF(M31="","",AF31)</f>
        <v>-0.25783412440827963</v>
      </c>
      <c r="AN31" s="581">
        <f>IF(M31="","",DEGREES(ATAN2(-AM31,AL31)))</f>
        <v>4.9999992780894322</v>
      </c>
      <c r="AO31" s="582">
        <f t="shared" si="94"/>
        <v>14.99999783426828</v>
      </c>
      <c r="AP31" s="585">
        <f>IF(M31="","",DEGREES(ATAN2(AK31,AL31)))</f>
        <v>1.3378025895497829</v>
      </c>
      <c r="AQ31" s="586">
        <f t="shared" si="9"/>
        <v>2.7353356624579117</v>
      </c>
      <c r="AS31" s="52">
        <f t="shared" si="116"/>
        <v>-144.65003109268858</v>
      </c>
      <c r="AT31" s="72">
        <f t="shared" si="10"/>
        <v>-0.10740616162999654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3.1030000000000002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0.89902572217562482</v>
      </c>
      <c r="C32" s="708">
        <v>-1.2839432736713747</v>
      </c>
      <c r="D32" s="709">
        <v>-0.14390043400370894</v>
      </c>
      <c r="E32" s="710">
        <v>0.77830194873374603</v>
      </c>
      <c r="F32" s="708">
        <v>0.57250994828724977</v>
      </c>
      <c r="G32" s="711">
        <v>0.25783412440827969</v>
      </c>
      <c r="H32" s="710">
        <v>0.314</v>
      </c>
      <c r="I32" s="708">
        <v>0.52</v>
      </c>
      <c r="J32" s="570">
        <v>3.1059999999999999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3.1059999999999999</v>
      </c>
      <c r="N32" s="632">
        <f t="shared" si="2"/>
        <v>0.89902572217562482</v>
      </c>
      <c r="O32" s="629">
        <f t="shared" si="3"/>
        <v>-1.2839432736713747</v>
      </c>
      <c r="P32" s="633">
        <f t="shared" si="4"/>
        <v>-0.14390043400370894</v>
      </c>
      <c r="Q32" s="585">
        <f t="shared" si="113"/>
        <v>304.99996895784517</v>
      </c>
      <c r="R32" s="629">
        <f t="shared" si="79"/>
        <v>1.5674047272926577</v>
      </c>
      <c r="S32" s="634">
        <f t="shared" si="80"/>
        <v>-0.14390043400370894</v>
      </c>
      <c r="T32" s="635">
        <f t="shared" si="81"/>
        <v>-1.2784275175030317</v>
      </c>
      <c r="U32" s="629">
        <f t="shared" si="82"/>
        <v>-0.90685206160123288</v>
      </c>
      <c r="V32" s="636">
        <f t="shared" si="114"/>
        <v>-0.14390043400370894</v>
      </c>
      <c r="W32" s="585">
        <f t="shared" si="224"/>
        <v>215.34996890731142</v>
      </c>
      <c r="X32" s="629">
        <f t="shared" si="83"/>
        <v>1.5674047272926577</v>
      </c>
      <c r="Y32" s="630">
        <f t="shared" si="223"/>
        <v>-0.14390043400370894</v>
      </c>
      <c r="Z32" s="632">
        <f t="shared" si="6"/>
        <v>-0.77830194873374603</v>
      </c>
      <c r="AA32" s="629">
        <f t="shared" si="7"/>
        <v>-0.57250994828724977</v>
      </c>
      <c r="AB32" s="629">
        <f t="shared" si="8"/>
        <v>-0.25783412440827969</v>
      </c>
      <c r="AC32" s="636">
        <f t="shared" si="84"/>
        <v>1</v>
      </c>
      <c r="AD32" s="637">
        <f t="shared" si="115"/>
        <v>-0.77830194873374603</v>
      </c>
      <c r="AE32" s="629">
        <f t="shared" si="85"/>
        <v>-0.57250994828724977</v>
      </c>
      <c r="AF32" s="633">
        <f t="shared" si="86"/>
        <v>-0.25783412440827969</v>
      </c>
      <c r="AG32" s="602">
        <f t="shared" si="87"/>
        <v>-65.755225129782033</v>
      </c>
      <c r="AH32" s="603">
        <f t="shared" si="88"/>
        <v>141.10536528256165</v>
      </c>
      <c r="AI32" s="585">
        <f t="shared" si="89"/>
        <v>-75.058414528502141</v>
      </c>
      <c r="AJ32" s="586">
        <f t="shared" si="90"/>
        <v>-53.662228452605049</v>
      </c>
      <c r="AK32" s="635">
        <f t="shared" si="211"/>
        <v>0.96592583607220739</v>
      </c>
      <c r="AL32" s="629">
        <f t="shared" si="91"/>
        <v>2.2557559682354456E-2</v>
      </c>
      <c r="AM32" s="634">
        <f t="shared" si="92"/>
        <v>-0.25783412440827969</v>
      </c>
      <c r="AN32" s="581">
        <f t="shared" si="93"/>
        <v>4.9999992780894313</v>
      </c>
      <c r="AO32" s="582">
        <f t="shared" si="94"/>
        <v>14.999997834268255</v>
      </c>
      <c r="AP32" s="585">
        <f t="shared" si="95"/>
        <v>1.3378025895497827</v>
      </c>
      <c r="AQ32" s="586">
        <f t="shared" si="9"/>
        <v>1.4541471602550038</v>
      </c>
      <c r="AS32" s="52">
        <f t="shared" si="116"/>
        <v>-144.65003109268858</v>
      </c>
      <c r="AT32" s="72">
        <f t="shared" si="10"/>
        <v>-4.3205968002212533E-2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3.1059999999999999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1.3173550189095193</v>
      </c>
      <c r="C33" s="708">
        <v>-1.8876841171975647</v>
      </c>
      <c r="D33" s="709">
        <v>-7.9600240074324147E-2</v>
      </c>
      <c r="E33" s="710">
        <v>0.79241567741516816</v>
      </c>
      <c r="F33" s="708">
        <v>0.55188139935195357</v>
      </c>
      <c r="G33" s="711">
        <v>0.25981592567814255</v>
      </c>
      <c r="H33" s="710">
        <v>0.314</v>
      </c>
      <c r="I33" s="708">
        <v>0.52</v>
      </c>
      <c r="J33" s="570">
        <v>3.109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3.109</v>
      </c>
      <c r="N33" s="632">
        <f t="shared" si="2"/>
        <v>1.3173550189095193</v>
      </c>
      <c r="O33" s="629">
        <f t="shared" si="3"/>
        <v>-1.8876841171975647</v>
      </c>
      <c r="P33" s="633">
        <f t="shared" si="4"/>
        <v>-7.9600240074324147E-2</v>
      </c>
      <c r="Q33" s="585">
        <f t="shared" si="113"/>
        <v>304.90996897083954</v>
      </c>
      <c r="R33" s="629">
        <f t="shared" si="79"/>
        <v>2.3019069425513381</v>
      </c>
      <c r="S33" s="634">
        <f t="shared" si="80"/>
        <v>-7.9600240074324147E-2</v>
      </c>
      <c r="T33" s="635">
        <f t="shared" si="81"/>
        <v>-1.8796016845882324</v>
      </c>
      <c r="U33" s="629">
        <f t="shared" si="82"/>
        <v>-1.3288615727227302</v>
      </c>
      <c r="V33" s="636">
        <f t="shared" si="114"/>
        <v>-7.9600240074324147E-2</v>
      </c>
      <c r="W33" s="585">
        <f t="shared" si="224"/>
        <v>215.25996892030579</v>
      </c>
      <c r="X33" s="629">
        <f t="shared" si="83"/>
        <v>2.3019069425513381</v>
      </c>
      <c r="Y33" s="630">
        <f t="shared" si="223"/>
        <v>-7.9600240074324147E-2</v>
      </c>
      <c r="Z33" s="632">
        <f t="shared" si="6"/>
        <v>-0.79241567741516816</v>
      </c>
      <c r="AA33" s="629">
        <f t="shared" si="7"/>
        <v>-0.55188139935195357</v>
      </c>
      <c r="AB33" s="629">
        <f t="shared" si="8"/>
        <v>-0.25981592567814255</v>
      </c>
      <c r="AC33" s="636">
        <f t="shared" si="84"/>
        <v>1</v>
      </c>
      <c r="AD33" s="637">
        <f t="shared" si="115"/>
        <v>-0.79241567741516816</v>
      </c>
      <c r="AE33" s="629">
        <f t="shared" si="85"/>
        <v>-0.55188139935195357</v>
      </c>
      <c r="AF33" s="633">
        <f t="shared" si="86"/>
        <v>-0.25981592567814255</v>
      </c>
      <c r="AG33" s="602">
        <f t="shared" si="87"/>
        <v>-64.789779721909966</v>
      </c>
      <c r="AH33" s="603">
        <f t="shared" si="88"/>
        <v>142.41183683641211</v>
      </c>
      <c r="AI33" s="585">
        <f t="shared" si="89"/>
        <v>-74.940859890169605</v>
      </c>
      <c r="AJ33" s="586">
        <f t="shared" si="90"/>
        <v>-55.144547219572551</v>
      </c>
      <c r="AK33" s="635">
        <f t="shared" si="211"/>
        <v>0.96565772432587882</v>
      </c>
      <c r="AL33" s="629">
        <f t="shared" si="91"/>
        <v>-9.1881106612612395E-4</v>
      </c>
      <c r="AM33" s="634">
        <f t="shared" si="92"/>
        <v>-0.25981592567814255</v>
      </c>
      <c r="AN33" s="581">
        <f t="shared" si="93"/>
        <v>-0.20261951482251062</v>
      </c>
      <c r="AO33" s="582">
        <f t="shared" si="94"/>
        <v>15.05923650485709</v>
      </c>
      <c r="AP33" s="585">
        <f t="shared" si="95"/>
        <v>-5.4516190412089764E-2</v>
      </c>
      <c r="AQ33" s="586">
        <f t="shared" si="9"/>
        <v>0.99026576117013354</v>
      </c>
      <c r="AS33" s="52">
        <f t="shared" si="116"/>
        <v>-144.74003107969421</v>
      </c>
      <c r="AT33" s="72">
        <f t="shared" si="10"/>
        <v>2.1156725918148392E-2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3.109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1.7260431028829943</v>
      </c>
      <c r="C34" s="708">
        <v>-2.5493579722980138</v>
      </c>
      <c r="D34" s="709">
        <v>-0.18740056520010467</v>
      </c>
      <c r="E34" s="710">
        <v>0.86926341600803447</v>
      </c>
      <c r="F34" s="708">
        <v>0.42597070593380854</v>
      </c>
      <c r="G34" s="711">
        <v>0.25085866793135869</v>
      </c>
      <c r="H34" s="710">
        <v>0.314</v>
      </c>
      <c r="I34" s="708">
        <v>0.52</v>
      </c>
      <c r="J34" s="570">
        <v>3.1139999999999999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3.1139999999999999</v>
      </c>
      <c r="N34" s="632">
        <f t="shared" si="2"/>
        <v>1.7260431028829943</v>
      </c>
      <c r="O34" s="629">
        <f t="shared" si="3"/>
        <v>-2.5493579722980138</v>
      </c>
      <c r="P34" s="633">
        <f t="shared" si="4"/>
        <v>-0.18740056520010467</v>
      </c>
      <c r="Q34" s="585">
        <f t="shared" si="113"/>
        <v>304.09996908778908</v>
      </c>
      <c r="R34" s="629">
        <f>IF(M34="","",SQRT(N34^2+O34^2))</f>
        <v>3.0787092853872053</v>
      </c>
      <c r="S34" s="634">
        <f>IF(M34="","",P34)</f>
        <v>-0.18740056520010467</v>
      </c>
      <c r="T34" s="635">
        <f>IF(M34="","",X34*COS(RADIANS(W34)))</f>
        <v>-2.5387666767903476</v>
      </c>
      <c r="U34" s="629">
        <f>IF(M34="","",X34*SIN(RADIANS(W34)))</f>
        <v>-1.7415839413442842</v>
      </c>
      <c r="V34" s="636">
        <f>IF(M34="","",Y34)</f>
        <v>-0.18740056520010467</v>
      </c>
      <c r="W34" s="585">
        <f t="shared" si="224"/>
        <v>214.44996903725533</v>
      </c>
      <c r="X34" s="629">
        <f>IF(M34="","",R34)</f>
        <v>3.0787092853872053</v>
      </c>
      <c r="Y34" s="630">
        <f t="shared" si="223"/>
        <v>-0.18740056520010467</v>
      </c>
      <c r="Z34" s="632">
        <f t="shared" si="6"/>
        <v>-0.86926341600803447</v>
      </c>
      <c r="AA34" s="629">
        <f t="shared" si="7"/>
        <v>-0.42597070593380854</v>
      </c>
      <c r="AB34" s="629">
        <f t="shared" si="8"/>
        <v>-0.25085866793135869</v>
      </c>
      <c r="AC34" s="636">
        <f>IF(M34="","",SQRT(Z34^2+AA34^2+AB34^2))</f>
        <v>1</v>
      </c>
      <c r="AD34" s="637">
        <f>IF(M34="","",Z34*(1/SQRT(Z34^2+AA34^2+AB34^2)))</f>
        <v>-0.86926341600803447</v>
      </c>
      <c r="AE34" s="629">
        <f>IF(M34="","",AA34*(1/SQRT(Z34^2+AA34^2+AB34^2)))</f>
        <v>-0.42597070593380854</v>
      </c>
      <c r="AF34" s="633">
        <f>IF(M34="","",AB34*(1/SQRT(Z34^2+AA34^2+AB34^2)))</f>
        <v>-0.25085866793135869</v>
      </c>
      <c r="AG34" s="602">
        <f>IF(M34="","",DEGREES(ATAN2(-AF34,AE34)))</f>
        <v>-59.505717570746022</v>
      </c>
      <c r="AH34" s="603">
        <f>IF(M34="","",DEGREES(ACOS(AD34)))</f>
        <v>150.37315619509567</v>
      </c>
      <c r="AI34" s="585">
        <f>IF(M34="","",DEGREES(-ACOS(-AF34)))</f>
        <v>-75.471670462739439</v>
      </c>
      <c r="AJ34" s="586">
        <f>IF(M34="","",DEGREES(ATAN2(-AE34,AD34)))</f>
        <v>-63.893464725932134</v>
      </c>
      <c r="AK34" s="635">
        <f>IF(M34="","",(COS(RADIANS((90-$Q$8)-W34))*AD34)+(-SIN(RADIANS((90-$Q$8)-W34))*AE34))</f>
        <v>0.95861841604935949</v>
      </c>
      <c r="AL34" s="629">
        <f>IF(M34="","",(SIN(RADIANS((90-$Q$8)-W34))*AD34)+(COS(RADIANS((90-$Q$8)-W34))*AE34))</f>
        <v>-0.13461300507276996</v>
      </c>
      <c r="AM34" s="634">
        <f>IF(M34="","",AF34)</f>
        <v>-0.25085866793135869</v>
      </c>
      <c r="AN34" s="581">
        <f>IF(M34="","",DEGREES(ATAN2(-AM34,AL34)))</f>
        <v>-28.218404795867883</v>
      </c>
      <c r="AO34" s="582">
        <f t="shared" si="94"/>
        <v>16.540564538591447</v>
      </c>
      <c r="AP34" s="585">
        <f>IF(M34="","",DEGREES(ATAN2(AK34,AL34)))</f>
        <v>-7.9934338137212064</v>
      </c>
      <c r="AQ34" s="586">
        <f t="shared" si="9"/>
        <v>0.74044007054855321</v>
      </c>
      <c r="AS34" s="52">
        <f t="shared" si="116"/>
        <v>-145.55003096274467</v>
      </c>
      <c r="AT34" s="72">
        <f t="shared" si="10"/>
        <v>-8.6081099288847079E-2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3.1139999999999999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2.0285547914742166</v>
      </c>
      <c r="C35" s="708">
        <v>-3.111800419279263</v>
      </c>
      <c r="D35" s="709">
        <v>-0.64610194864347714</v>
      </c>
      <c r="E35" s="710">
        <v>0.93726488091608506</v>
      </c>
      <c r="F35" s="708">
        <v>0.2932242790880632</v>
      </c>
      <c r="G35" s="711">
        <v>0.18855785625277624</v>
      </c>
      <c r="H35" s="710">
        <v>0.314</v>
      </c>
      <c r="I35" s="708">
        <v>0.52</v>
      </c>
      <c r="J35" s="570">
        <v>3.1190000000000002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3.1190000000000002</v>
      </c>
      <c r="N35" s="632">
        <f t="shared" si="2"/>
        <v>2.0285547914742166</v>
      </c>
      <c r="O35" s="629">
        <f t="shared" si="3"/>
        <v>-3.111800419279263</v>
      </c>
      <c r="P35" s="633">
        <f t="shared" si="4"/>
        <v>-0.64610194864347714</v>
      </c>
      <c r="Q35" s="585">
        <f t="shared" si="113"/>
        <v>303.09996923217119</v>
      </c>
      <c r="R35" s="629">
        <f>IF(M35="","",SQRT(N35^2+O35^2))</f>
        <v>3.7146112032673888</v>
      </c>
      <c r="S35" s="634">
        <f>IF(M35="","",P35)</f>
        <v>-0.64610194864347714</v>
      </c>
      <c r="T35" s="635">
        <f>IF(M35="","",X35*COS(RADIANS(W35)))</f>
        <v>-3.0993507028715603</v>
      </c>
      <c r="U35" s="629">
        <f>IF(M35="","",X35*SIN(RADIANS(W35)))</f>
        <v>-2.0475257292764759</v>
      </c>
      <c r="V35" s="636">
        <f>IF(M35="","",Y35)</f>
        <v>-0.64610194864347714</v>
      </c>
      <c r="W35" s="585">
        <f t="shared" si="224"/>
        <v>213.44996918163744</v>
      </c>
      <c r="X35" s="629">
        <f>IF(M35="","",R35)</f>
        <v>3.7146112032673888</v>
      </c>
      <c r="Y35" s="630">
        <f t="shared" si="223"/>
        <v>-0.64610194864347714</v>
      </c>
      <c r="Z35" s="632">
        <f t="shared" si="6"/>
        <v>-0.93726488091608506</v>
      </c>
      <c r="AA35" s="629">
        <f t="shared" si="7"/>
        <v>-0.2932242790880632</v>
      </c>
      <c r="AB35" s="629">
        <f t="shared" si="8"/>
        <v>-0.18855785625277624</v>
      </c>
      <c r="AC35" s="636">
        <f>IF(M35="","",SQRT(Z35^2+AA35^2+AB35^2))</f>
        <v>1</v>
      </c>
      <c r="AD35" s="637">
        <f>IF(M35="","",Z35*(1/SQRT(Z35^2+AA35^2+AB35^2)))</f>
        <v>-0.93726488091608506</v>
      </c>
      <c r="AE35" s="629">
        <f>IF(M35="","",AA35*(1/SQRT(Z35^2+AA35^2+AB35^2)))</f>
        <v>-0.2932242790880632</v>
      </c>
      <c r="AF35" s="633">
        <f>IF(M35="","",AB35*(1/SQRT(Z35^2+AA35^2+AB35^2)))</f>
        <v>-0.18855785625277624</v>
      </c>
      <c r="AG35" s="602">
        <f>IF(M35="","",DEGREES(ATAN2(-AF35,AE35)))</f>
        <v>-57.256957980864819</v>
      </c>
      <c r="AH35" s="603">
        <f>IF(M35="","",DEGREES(ACOS(AD35)))</f>
        <v>159.5971880002474</v>
      </c>
      <c r="AI35" s="585">
        <f>IF(M35="","",DEGREES(-ACOS(-AF35)))</f>
        <v>-79.131365706979608</v>
      </c>
      <c r="AJ35" s="586">
        <f>IF(M35="","",DEGREES(ATAN2(-AE35,AD35)))</f>
        <v>-72.627654268364736</v>
      </c>
      <c r="AK35" s="635">
        <f>IF(M35="","",(COS(RADIANS((90-$Q$8)-W35))*AD35)+(-SIN(RADIANS((90-$Q$8)-W35))*AE35))</f>
        <v>0.9452948299521684</v>
      </c>
      <c r="AL35" s="629">
        <f>IF(M35="","",(SIN(RADIANS((90-$Q$8)-W35))*AD35)+(COS(RADIANS((90-$Q$8)-W35))*AE35))</f>
        <v>-0.26620221507541725</v>
      </c>
      <c r="AM35" s="634">
        <f>IF(M35="","",AF35)</f>
        <v>-0.18855785625277624</v>
      </c>
      <c r="AN35" s="581">
        <f>IF(M35="","",DEGREES(ATAN2(-AM35,AL35)))</f>
        <v>-54.689079814499593</v>
      </c>
      <c r="AO35" s="582">
        <f t="shared" si="94"/>
        <v>19.039337122212849</v>
      </c>
      <c r="AP35" s="585">
        <f>IF(M35="","",DEGREES(ATAN2(AK35,AL35)))</f>
        <v>-15.7276235005359</v>
      </c>
      <c r="AQ35" s="586">
        <f t="shared" si="9"/>
        <v>0.61369530363751068</v>
      </c>
      <c r="AS35" s="52">
        <f t="shared" si="116"/>
        <v>-146.55003081836256</v>
      </c>
      <c r="AT35" s="72">
        <f t="shared" si="10"/>
        <v>-0.54408803838804043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3.1190000000000002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2.1817566511588873</v>
      </c>
      <c r="C36" s="708">
        <v>-3.4259953762275446</v>
      </c>
      <c r="D36" s="709">
        <v>-1.3491040688978719</v>
      </c>
      <c r="E36" s="710">
        <v>0.98038939140761217</v>
      </c>
      <c r="F36" s="708">
        <v>0.17235287206903738</v>
      </c>
      <c r="G36" s="711">
        <v>9.5556939596065538E-2</v>
      </c>
      <c r="H36" s="710">
        <v>0.314</v>
      </c>
      <c r="I36" s="708">
        <v>0.52</v>
      </c>
      <c r="J36" s="570">
        <v>3.1240000000000001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3.1240000000000001</v>
      </c>
      <c r="N36" s="632">
        <f t="shared" si="2"/>
        <v>2.1817566511588873</v>
      </c>
      <c r="O36" s="629">
        <f t="shared" si="3"/>
        <v>-3.4259953762275446</v>
      </c>
      <c r="P36" s="633">
        <f t="shared" si="4"/>
        <v>-1.3491040688978719</v>
      </c>
      <c r="Q36" s="585">
        <f t="shared" si="113"/>
        <v>302.48996932024431</v>
      </c>
      <c r="R36" s="629">
        <f>IF(M36="","",SQRT(N36^2+O36^2))</f>
        <v>4.0617122501241463</v>
      </c>
      <c r="S36" s="634">
        <f>IF(M36="","",P36)</f>
        <v>-1.3491040688978719</v>
      </c>
      <c r="T36" s="635">
        <f>IF(M36="","",X36*COS(RADIANS(W36)))</f>
        <v>-3.4126039466981348</v>
      </c>
      <c r="U36" s="629">
        <f>IF(M36="","",X36*SIN(RADIANS(W36)))</f>
        <v>-2.2026440261169915</v>
      </c>
      <c r="V36" s="636">
        <f>IF(M36="","",Y36)</f>
        <v>-1.3491040688978719</v>
      </c>
      <c r="W36" s="585">
        <f t="shared" si="224"/>
        <v>212.83996926971056</v>
      </c>
      <c r="X36" s="629">
        <f>IF(M36="","",R36)</f>
        <v>4.0617122501241463</v>
      </c>
      <c r="Y36" s="630">
        <f t="shared" si="223"/>
        <v>-1.3491040688978719</v>
      </c>
      <c r="Z36" s="632">
        <f t="shared" si="6"/>
        <v>-0.98038939140761217</v>
      </c>
      <c r="AA36" s="629">
        <f t="shared" si="7"/>
        <v>-0.17235287206903738</v>
      </c>
      <c r="AB36" s="629">
        <f t="shared" si="8"/>
        <v>-9.5556939596065538E-2</v>
      </c>
      <c r="AC36" s="636">
        <f>IF(M36="","",SQRT(Z36^2+AA36^2+AB36^2))</f>
        <v>1</v>
      </c>
      <c r="AD36" s="637">
        <f>IF(M36="","",Z36*(1/SQRT(Z36^2+AA36^2+AB36^2)))</f>
        <v>-0.98038939140761217</v>
      </c>
      <c r="AE36" s="629">
        <f>IF(M36="","",AA36*(1/SQRT(Z36^2+AA36^2+AB36^2)))</f>
        <v>-0.17235287206903738</v>
      </c>
      <c r="AF36" s="633">
        <f>IF(M36="","",AB36*(1/SQRT(Z36^2+AA36^2+AB36^2)))</f>
        <v>-9.5556939596065538E-2</v>
      </c>
      <c r="AG36" s="602">
        <f>IF(M36="","",DEGREES(ATAN2(-AF36,AE36)))</f>
        <v>-60.994867872875901</v>
      </c>
      <c r="AH36" s="603">
        <f>IF(M36="","",DEGREES(ACOS(AD36)))</f>
        <v>168.63431898200076</v>
      </c>
      <c r="AI36" s="585">
        <f>IF(M36="","",DEGREES(-ACOS(-AF36)))</f>
        <v>-84.51662406460062</v>
      </c>
      <c r="AJ36" s="586">
        <f>IF(M36="","",DEGREES(ATAN2(-AE36,AD36)))</f>
        <v>-80.029262310534961</v>
      </c>
      <c r="AK36" s="635">
        <f>IF(M36="","",(COS(RADIANS((90-$Q$8)-W36))*AD36)+(-SIN(RADIANS((90-$Q$8)-W36))*AE36))</f>
        <v>0.91952391426394586</v>
      </c>
      <c r="AL36" s="629">
        <f>IF(M36="","",(SIN(RADIANS((90-$Q$8)-W36))*AD36)+(COS(RADIANS((90-$Q$8)-W36))*AE36))</f>
        <v>-0.38124092434016821</v>
      </c>
      <c r="AM36" s="634">
        <f>IF(M36="","",AF36)</f>
        <v>-9.5556939596065538E-2</v>
      </c>
      <c r="AN36" s="581">
        <f>IF(M36="","",DEGREES(ATAN2(-AM36,AL36)))</f>
        <v>-75.928865634958242</v>
      </c>
      <c r="AO36" s="582">
        <f t="shared" si="94"/>
        <v>23.143419603346317</v>
      </c>
      <c r="AP36" s="585">
        <f>IF(M36="","",DEGREES(ATAN2(AK36,AL36)))</f>
        <v>-22.519231630779277</v>
      </c>
      <c r="AQ36" s="586">
        <f t="shared" si="9"/>
        <v>0.56125436095453363</v>
      </c>
      <c r="AS36" s="52">
        <f t="shared" si="116"/>
        <v>-147.16003073028944</v>
      </c>
      <c r="AT36" s="72">
        <f t="shared" si="10"/>
        <v>-1.2466665475924861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3.1240000000000001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2.2241122240856712</v>
      </c>
      <c r="C37" s="708">
        <v>-3.5168426845306229</v>
      </c>
      <c r="D37" s="709">
        <v>-2.0794062714893156</v>
      </c>
      <c r="E37" s="710">
        <v>0.99706900834530354</v>
      </c>
      <c r="F37" s="708">
        <v>7.551738363326474E-2</v>
      </c>
      <c r="G37" s="711">
        <v>1.2268551931637207E-2</v>
      </c>
      <c r="H37" s="710">
        <v>0.26600000000000001</v>
      </c>
      <c r="I37" s="708">
        <v>0.52</v>
      </c>
      <c r="J37" s="570">
        <v>3.129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3.129</v>
      </c>
      <c r="N37" s="632">
        <f t="shared" si="2"/>
        <v>2.2241122240856712</v>
      </c>
      <c r="O37" s="629">
        <f t="shared" si="3"/>
        <v>-3.5168426845306229</v>
      </c>
      <c r="P37" s="633">
        <f t="shared" si="4"/>
        <v>-2.0794062714893156</v>
      </c>
      <c r="Q37" s="585">
        <f t="shared" si="113"/>
        <v>302.30996934623306</v>
      </c>
      <c r="R37" s="629">
        <f t="shared" si="79"/>
        <v>4.1611125499154511</v>
      </c>
      <c r="S37" s="634">
        <f t="shared" si="80"/>
        <v>-2.0794062714893156</v>
      </c>
      <c r="T37" s="635">
        <f t="shared" si="81"/>
        <v>-3.5031908261695754</v>
      </c>
      <c r="U37" s="629">
        <f t="shared" si="82"/>
        <v>-2.2455537598786619</v>
      </c>
      <c r="V37" s="636">
        <f t="shared" si="114"/>
        <v>-2.0794062714893156</v>
      </c>
      <c r="W37" s="585">
        <f t="shared" si="224"/>
        <v>212.65996929569931</v>
      </c>
      <c r="X37" s="629">
        <f t="shared" si="83"/>
        <v>4.1611125499154511</v>
      </c>
      <c r="Y37" s="630">
        <f t="shared" si="223"/>
        <v>-2.0794062714893156</v>
      </c>
      <c r="Z37" s="632">
        <f t="shared" si="6"/>
        <v>-0.99706900834530354</v>
      </c>
      <c r="AA37" s="629">
        <f t="shared" si="7"/>
        <v>-7.551738363326474E-2</v>
      </c>
      <c r="AB37" s="629">
        <f t="shared" si="8"/>
        <v>-1.2268551931637207E-2</v>
      </c>
      <c r="AC37" s="636">
        <f t="shared" si="84"/>
        <v>1</v>
      </c>
      <c r="AD37" s="637">
        <f t="shared" si="115"/>
        <v>-0.99706900834530354</v>
      </c>
      <c r="AE37" s="629">
        <f t="shared" si="85"/>
        <v>-7.551738363326474E-2</v>
      </c>
      <c r="AF37" s="633">
        <f t="shared" si="86"/>
        <v>-1.2268551931637207E-2</v>
      </c>
      <c r="AG37" s="602">
        <f t="shared" si="87"/>
        <v>-80.772348276044653</v>
      </c>
      <c r="AH37" s="603">
        <f t="shared" si="88"/>
        <v>175.61215725735636</v>
      </c>
      <c r="AI37" s="585">
        <f t="shared" si="89"/>
        <v>-89.297046118366836</v>
      </c>
      <c r="AJ37" s="586">
        <f t="shared" si="90"/>
        <v>-85.668722887731747</v>
      </c>
      <c r="AK37" s="635">
        <f t="shared" si="211"/>
        <v>0.88305565878427283</v>
      </c>
      <c r="AL37" s="629">
        <f t="shared" si="91"/>
        <v>-0.46910786192790954</v>
      </c>
      <c r="AM37" s="634">
        <f t="shared" si="92"/>
        <v>-1.2268551931637207E-2</v>
      </c>
      <c r="AN37" s="581">
        <f t="shared" si="93"/>
        <v>-88.501888147197235</v>
      </c>
      <c r="AO37" s="582">
        <f t="shared" si="94"/>
        <v>27.986808439935672</v>
      </c>
      <c r="AP37" s="585">
        <f t="shared" si="95"/>
        <v>-27.978692233964818</v>
      </c>
      <c r="AQ37" s="586">
        <f t="shared" si="9"/>
        <v>0.54784799207612367</v>
      </c>
      <c r="AS37" s="52">
        <f t="shared" si="116"/>
        <v>-147.34003070430069</v>
      </c>
      <c r="AT37" s="72">
        <f t="shared" si="10"/>
        <v>-1.9768437502019773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3.129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1313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2.2351870805587537</v>
      </c>
      <c r="C38" s="708">
        <v>-3.5411916430060848</v>
      </c>
      <c r="D38" s="709">
        <v>-2.7053081592094079</v>
      </c>
      <c r="E38" s="710">
        <v>0.9988567236813406</v>
      </c>
      <c r="F38" s="708">
        <v>-4.78042420352131E-2</v>
      </c>
      <c r="G38" s="711">
        <v>1.3008419231986383E-7</v>
      </c>
      <c r="H38" s="710">
        <v>0.26600000000000001</v>
      </c>
      <c r="I38" s="708">
        <v>0.52</v>
      </c>
      <c r="J38" s="570">
        <v>3.1339999999999999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3.1339999999999999</v>
      </c>
      <c r="N38" s="632">
        <f t="shared" si="2"/>
        <v>2.2351870805587537</v>
      </c>
      <c r="O38" s="629">
        <f t="shared" si="3"/>
        <v>-3.5411916430060848</v>
      </c>
      <c r="P38" s="633">
        <f t="shared" si="4"/>
        <v>-2.7053081592094079</v>
      </c>
      <c r="Q38" s="585">
        <f t="shared" si="113"/>
        <v>302.25996935345216</v>
      </c>
      <c r="R38" s="629">
        <f t="shared" si="79"/>
        <v>4.1876126298396921</v>
      </c>
      <c r="S38" s="634">
        <f t="shared" si="80"/>
        <v>-2.7053081592094079</v>
      </c>
      <c r="T38" s="635">
        <f t="shared" si="81"/>
        <v>-3.5274716783303117</v>
      </c>
      <c r="U38" s="629">
        <f t="shared" si="82"/>
        <v>-2.2567771480964698</v>
      </c>
      <c r="V38" s="636">
        <f t="shared" si="114"/>
        <v>-2.7053081592094079</v>
      </c>
      <c r="W38" s="585">
        <f t="shared" si="224"/>
        <v>212.60996930291842</v>
      </c>
      <c r="X38" s="629">
        <f t="shared" si="83"/>
        <v>4.1876126298396921</v>
      </c>
      <c r="Y38" s="630">
        <f t="shared" si="223"/>
        <v>-2.7053081592094079</v>
      </c>
      <c r="Z38" s="632">
        <f t="shared" si="6"/>
        <v>-0.9988567236813406</v>
      </c>
      <c r="AA38" s="629">
        <f t="shared" si="7"/>
        <v>4.78042420352131E-2</v>
      </c>
      <c r="AB38" s="629">
        <f t="shared" si="8"/>
        <v>-1.3008419231986383E-7</v>
      </c>
      <c r="AC38" s="636">
        <f t="shared" si="84"/>
        <v>1</v>
      </c>
      <c r="AD38" s="637">
        <f t="shared" si="115"/>
        <v>-0.9988567236813406</v>
      </c>
      <c r="AE38" s="629">
        <f t="shared" si="85"/>
        <v>4.78042420352131E-2</v>
      </c>
      <c r="AF38" s="633">
        <f t="shared" si="86"/>
        <v>-1.3008419231986383E-7</v>
      </c>
      <c r="AG38" s="602">
        <f t="shared" si="87"/>
        <v>89.999844087577088</v>
      </c>
      <c r="AH38" s="603">
        <f t="shared" si="88"/>
        <v>177.25997440681687</v>
      </c>
      <c r="AI38" s="585">
        <f t="shared" si="89"/>
        <v>-89.999992546724798</v>
      </c>
      <c r="AJ38" s="586">
        <f t="shared" si="90"/>
        <v>-92.740025593173115</v>
      </c>
      <c r="AK38" s="635">
        <f t="shared" si="211"/>
        <v>0.8191520948772919</v>
      </c>
      <c r="AL38" s="629">
        <f t="shared" si="91"/>
        <v>-0.57357636410344481</v>
      </c>
      <c r="AM38" s="634">
        <f t="shared" si="92"/>
        <v>-1.3008419231986383E-7</v>
      </c>
      <c r="AN38" s="581">
        <f t="shared" si="93"/>
        <v>-89.999987005609597</v>
      </c>
      <c r="AO38" s="582">
        <f t="shared" si="94"/>
        <v>34.999994946625968</v>
      </c>
      <c r="AP38" s="585">
        <f t="shared" si="95"/>
        <v>-34.999994946625286</v>
      </c>
      <c r="AQ38" s="586">
        <f t="shared" si="9"/>
        <v>0.54438130583656053</v>
      </c>
      <c r="AS38" s="52">
        <f t="shared" si="116"/>
        <v>-147.39003069708158</v>
      </c>
      <c r="AT38" s="72">
        <f t="shared" si="10"/>
        <v>-2.6027109157048609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3.1339999999999999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1313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0.28795118559041549</v>
      </c>
      <c r="C39" s="708">
        <v>-2.0334330812103421</v>
      </c>
      <c r="D39" s="709">
        <v>-8.7874620555362326E-2</v>
      </c>
      <c r="E39" s="710">
        <v>-1.2219842161680379E-2</v>
      </c>
      <c r="F39" s="708">
        <v>8.6294824662739689E-2</v>
      </c>
      <c r="G39" s="711">
        <v>0.99619469918985748</v>
      </c>
      <c r="H39" s="710">
        <v>0.26250000000000001</v>
      </c>
      <c r="I39" s="708">
        <v>0.40699999999999997</v>
      </c>
      <c r="J39" s="570">
        <v>3.2080000000000002</v>
      </c>
      <c r="K39" s="865" t="str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Inactive</v>
      </c>
      <c r="L39" s="320"/>
      <c r="M39" s="168">
        <f t="shared" si="1"/>
        <v>3.2080000000000002</v>
      </c>
      <c r="N39" s="632">
        <f t="shared" si="2"/>
        <v>0.28795118559041549</v>
      </c>
      <c r="O39" s="629">
        <f t="shared" si="3"/>
        <v>-2.0334330812103421</v>
      </c>
      <c r="P39" s="633">
        <f t="shared" si="4"/>
        <v>-8.7874620555362326E-2</v>
      </c>
      <c r="Q39" s="585">
        <f t="shared" si="113"/>
        <v>278.05997284749935</v>
      </c>
      <c r="R39" s="629">
        <f t="shared" si="79"/>
        <v>2.0537200347280811</v>
      </c>
      <c r="S39" s="634">
        <f t="shared" si="80"/>
        <v>-8.7874620555362326E-2</v>
      </c>
      <c r="T39" s="635">
        <f t="shared" si="81"/>
        <v>-2.0316361594148935</v>
      </c>
      <c r="U39" s="629">
        <f t="shared" si="82"/>
        <v>-0.30036726985710727</v>
      </c>
      <c r="V39" s="636">
        <f t="shared" si="114"/>
        <v>-8.7874620555362326E-2</v>
      </c>
      <c r="W39" s="585">
        <f t="shared" si="224"/>
        <v>188.4099727969656</v>
      </c>
      <c r="X39" s="629">
        <f t="shared" si="83"/>
        <v>2.0537200347280811</v>
      </c>
      <c r="Y39" s="630">
        <f t="shared" si="223"/>
        <v>-8.7874620555362326E-2</v>
      </c>
      <c r="Z39" s="632">
        <f t="shared" si="6"/>
        <v>1.2219842161680379E-2</v>
      </c>
      <c r="AA39" s="629">
        <f t="shared" si="7"/>
        <v>-8.6294824662739689E-2</v>
      </c>
      <c r="AB39" s="629">
        <f t="shared" si="8"/>
        <v>-0.99619469918985748</v>
      </c>
      <c r="AC39" s="636">
        <f t="shared" si="84"/>
        <v>1</v>
      </c>
      <c r="AD39" s="637">
        <f t="shared" si="115"/>
        <v>1.2219842161680379E-2</v>
      </c>
      <c r="AE39" s="629">
        <f t="shared" si="85"/>
        <v>-8.6294824662739689E-2</v>
      </c>
      <c r="AF39" s="633">
        <f t="shared" si="86"/>
        <v>-0.99619469918985748</v>
      </c>
      <c r="AG39" s="602">
        <f t="shared" si="87"/>
        <v>-4.9508570504815346</v>
      </c>
      <c r="AH39" s="603">
        <f t="shared" si="88"/>
        <v>89.299837191833902</v>
      </c>
      <c r="AI39" s="585">
        <f t="shared" si="89"/>
        <v>-4.9999992781062668</v>
      </c>
      <c r="AJ39" s="586">
        <f t="shared" si="90"/>
        <v>8.0598237535686668</v>
      </c>
      <c r="AK39" s="635">
        <f t="shared" si="211"/>
        <v>2.2679489670128505E-7</v>
      </c>
      <c r="AL39" s="629">
        <f t="shared" si="91"/>
        <v>8.715573019588517E-2</v>
      </c>
      <c r="AM39" s="634">
        <f t="shared" si="92"/>
        <v>-0.99619469918985748</v>
      </c>
      <c r="AN39" s="581">
        <f t="shared" si="93"/>
        <v>4.9999992780894225</v>
      </c>
      <c r="AO39" s="582">
        <f t="shared" si="94"/>
        <v>0</v>
      </c>
      <c r="AP39" s="585">
        <f t="shared" si="95"/>
        <v>89.999850906069327</v>
      </c>
      <c r="AQ39" s="586">
        <f t="shared" si="9"/>
        <v>1.1099085683169483</v>
      </c>
      <c r="AS39" s="52">
        <f t="shared" si="116"/>
        <v>-171.5900272030344</v>
      </c>
      <c r="AT39" s="72">
        <f t="shared" si="10"/>
        <v>3.152817607831869E-2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Nose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3.2080000000000002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4.1079999999999997</v>
      </c>
      <c r="II39" s="734" cm="1">
        <f t="array" ref="II39">IFERROR(ROUND(VALUE(IF($IH39&lt;1,$IH39+LARGE((IF($M$9:$M$150="",0,$M$9:$M$150)-MOD(IF($M$9:$M$150="",0,$M$9:$M$150),1)),1),$IH39)),4),"")</f>
        <v>4.1079999999999997</v>
      </c>
      <c r="IJ39" s="533">
        <f t="shared" si="112"/>
        <v>1613</v>
      </c>
      <c r="IK39" s="533" t="str">
        <f t="shared" si="66"/>
        <v>Inactive</v>
      </c>
      <c r="IL39" s="727">
        <f t="shared" si="225"/>
        <v>306.94000766091506</v>
      </c>
      <c r="IM39" s="759">
        <v>2.73918148341128E-2</v>
      </c>
      <c r="IN39" s="5">
        <f t="shared" si="226"/>
        <v>0.04</v>
      </c>
      <c r="IO39" s="771">
        <v>20</v>
      </c>
      <c r="IP39" s="9">
        <f t="shared" si="227"/>
        <v>-2.0571062042323121</v>
      </c>
      <c r="IQ39" s="5">
        <f t="shared" si="228"/>
        <v>-0.10100030461691874</v>
      </c>
      <c r="IR39" s="5">
        <f t="shared" si="71"/>
        <v>0.314</v>
      </c>
      <c r="IS39" s="5">
        <f t="shared" si="229"/>
        <v>0.30329734489357446</v>
      </c>
      <c r="IT39" s="727">
        <f t="shared" si="230"/>
        <v>-3.9569069219971569</v>
      </c>
      <c r="IU39" s="9">
        <f t="shared" si="231"/>
        <v>-2.0537200347280811</v>
      </c>
      <c r="IV39" s="5">
        <f t="shared" si="232"/>
        <v>-8.7874620555362326E-2</v>
      </c>
      <c r="IW39" s="5">
        <f t="shared" si="76"/>
        <v>0.26250000000000001</v>
      </c>
      <c r="IX39" s="5">
        <f t="shared" si="233"/>
        <v>0.26250000000000001</v>
      </c>
      <c r="IY39" s="762">
        <f t="shared" si="234"/>
        <v>-4.9999992780894225</v>
      </c>
    </row>
    <row r="40" spans="1:267" ht="15" customHeight="1" x14ac:dyDescent="0.25">
      <c r="A40" s="79"/>
      <c r="B40" s="707">
        <v>1.2130820782850629</v>
      </c>
      <c r="C40" s="708">
        <v>-3.9678203808344881</v>
      </c>
      <c r="D40" s="709">
        <v>-1.6489896580272896</v>
      </c>
      <c r="E40" s="710">
        <v>0.9494286014362453</v>
      </c>
      <c r="F40" s="708">
        <v>-0.29401127015514666</v>
      </c>
      <c r="G40" s="711">
        <v>0.11019393720424367</v>
      </c>
      <c r="H40" s="710">
        <v>0.26600000000000001</v>
      </c>
      <c r="I40" s="708">
        <v>0.52</v>
      </c>
      <c r="J40" s="570">
        <v>3.226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3.226</v>
      </c>
      <c r="N40" s="632">
        <f t="shared" si="2"/>
        <v>1.2130820782850629</v>
      </c>
      <c r="O40" s="629">
        <f t="shared" si="3"/>
        <v>-3.9678203808344881</v>
      </c>
      <c r="P40" s="633">
        <f t="shared" si="4"/>
        <v>-1.6489896580272896</v>
      </c>
      <c r="Q40" s="585">
        <f t="shared" si="113"/>
        <v>286.99996895784517</v>
      </c>
      <c r="R40" s="629">
        <f t="shared" si="79"/>
        <v>4.1491163761964964</v>
      </c>
      <c r="S40" s="634">
        <f t="shared" si="80"/>
        <v>-1.6489896580272896</v>
      </c>
      <c r="T40" s="635">
        <f t="shared" si="81"/>
        <v>-3.9603361006490791</v>
      </c>
      <c r="U40" s="629">
        <f t="shared" si="82"/>
        <v>-1.2372973260771216</v>
      </c>
      <c r="V40" s="636">
        <f t="shared" si="114"/>
        <v>-1.6489896580272896</v>
      </c>
      <c r="W40" s="585">
        <f t="shared" si="224"/>
        <v>197.34996890731142</v>
      </c>
      <c r="X40" s="629">
        <f t="shared" si="83"/>
        <v>4.1491163761964964</v>
      </c>
      <c r="Y40" s="630">
        <f t="shared" si="223"/>
        <v>-1.6489896580272896</v>
      </c>
      <c r="Z40" s="632">
        <f t="shared" si="6"/>
        <v>-0.9494286014362453</v>
      </c>
      <c r="AA40" s="629">
        <f t="shared" si="7"/>
        <v>0.29401127015514666</v>
      </c>
      <c r="AB40" s="629">
        <f t="shared" si="8"/>
        <v>-0.11019393720424367</v>
      </c>
      <c r="AC40" s="636">
        <f t="shared" si="84"/>
        <v>1</v>
      </c>
      <c r="AD40" s="637">
        <f t="shared" si="115"/>
        <v>-0.9494286014362453</v>
      </c>
      <c r="AE40" s="629">
        <f t="shared" si="85"/>
        <v>0.29401127015514666</v>
      </c>
      <c r="AF40" s="633">
        <f t="shared" si="86"/>
        <v>-0.11019393720424367</v>
      </c>
      <c r="AG40" s="602">
        <f t="shared" si="87"/>
        <v>69.454255886787834</v>
      </c>
      <c r="AH40" s="603">
        <f t="shared" si="88"/>
        <v>161.70057002300709</v>
      </c>
      <c r="AI40" s="585">
        <f t="shared" si="89"/>
        <v>-83.67350468398179</v>
      </c>
      <c r="AJ40" s="586">
        <f t="shared" si="90"/>
        <v>-107.20627913696572</v>
      </c>
      <c r="AK40" s="635">
        <f t="shared" si="211"/>
        <v>0.82198281346191027</v>
      </c>
      <c r="AL40" s="629">
        <f t="shared" si="91"/>
        <v>-0.55874998933035314</v>
      </c>
      <c r="AM40" s="634">
        <f t="shared" si="92"/>
        <v>-0.11019393720424367</v>
      </c>
      <c r="AN40" s="581">
        <f t="shared" si="93"/>
        <v>-78.843575132926361</v>
      </c>
      <c r="AO40" s="582">
        <f t="shared" si="94"/>
        <v>34.716223613521244</v>
      </c>
      <c r="AP40" s="585">
        <f t="shared" si="95"/>
        <v>-34.206248094810896</v>
      </c>
      <c r="AQ40" s="586">
        <f t="shared" si="9"/>
        <v>0.54943186603381144</v>
      </c>
      <c r="AS40" s="52">
        <f t="shared" si="116"/>
        <v>-162.65003109268858</v>
      </c>
      <c r="AT40" s="72">
        <f t="shared" si="10"/>
        <v>-1.5357951920257933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>Gage</v>
      </c>
      <c r="IG40" s="847">
        <f t="shared" si="210"/>
        <v>3.226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1.1259999999999999</v>
      </c>
      <c r="II40" s="734" cm="1">
        <f t="array" ref="II40">IFERROR(ROUND(VALUE(IF($IH40&lt;1,$IH40+LARGE((IF($M$9:$M$150="",0,$M$9:$M$150)-MOD(IF($M$9:$M$150="",0,$M$9:$M$150),1)),1),$IH40)),4),"")</f>
        <v>1.1259999999999999</v>
      </c>
      <c r="IJ40" s="533">
        <f t="shared" si="112"/>
        <v>1613</v>
      </c>
      <c r="IK40" s="533">
        <f t="shared" si="66"/>
        <v>1313</v>
      </c>
      <c r="IL40" s="727">
        <f t="shared" si="225"/>
        <v>160.42003141466071</v>
      </c>
      <c r="IM40" s="759">
        <v>1.38431347984822E-2</v>
      </c>
      <c r="IN40" s="5">
        <f t="shared" si="226"/>
        <v>0.06</v>
      </c>
      <c r="IO40" s="771">
        <v>30</v>
      </c>
      <c r="IP40" s="9">
        <f t="shared" si="227"/>
        <v>-4.0988123620180845</v>
      </c>
      <c r="IQ40" s="5">
        <f t="shared" si="228"/>
        <v>-1.663105015924728</v>
      </c>
      <c r="IR40" s="5">
        <f t="shared" si="71"/>
        <v>0.314</v>
      </c>
      <c r="IS40" s="5">
        <f t="shared" si="229"/>
        <v>0.28441226488987453</v>
      </c>
      <c r="IT40" s="727">
        <f t="shared" si="230"/>
        <v>83.52042819293419</v>
      </c>
      <c r="IU40" s="9">
        <f t="shared" si="231"/>
        <v>-4.1491163761964964</v>
      </c>
      <c r="IV40" s="5">
        <f t="shared" si="232"/>
        <v>-1.6489896580272896</v>
      </c>
      <c r="IW40" s="5">
        <f t="shared" si="76"/>
        <v>0.26600000000000001</v>
      </c>
      <c r="IX40" s="5">
        <f t="shared" si="233"/>
        <v>0.21864742838086815</v>
      </c>
      <c r="IY40" s="762">
        <f t="shared" si="234"/>
        <v>78.843575132926361</v>
      </c>
    </row>
    <row r="41" spans="1:267" ht="15" customHeight="1" x14ac:dyDescent="0.25">
      <c r="A41" s="79"/>
      <c r="B41" s="707">
        <v>1.220011003080091</v>
      </c>
      <c r="C41" s="708">
        <v>-3.9904839165598287</v>
      </c>
      <c r="D41" s="709">
        <v>-2.3849540964556688</v>
      </c>
      <c r="E41" s="710">
        <v>0.94685713822669482</v>
      </c>
      <c r="F41" s="708">
        <v>-0.32041428956787454</v>
      </c>
      <c r="G41" s="711">
        <v>2.8217775069415175E-2</v>
      </c>
      <c r="H41" s="710">
        <v>0.26600000000000001</v>
      </c>
      <c r="I41" s="708">
        <v>0.52</v>
      </c>
      <c r="J41" s="570">
        <v>3.2309999999999999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3.2309999999999999</v>
      </c>
      <c r="N41" s="632">
        <f t="shared" ref="N41:N72" si="240">IF(M41="","",B41)</f>
        <v>1.220011003080091</v>
      </c>
      <c r="O41" s="629">
        <f t="shared" ref="O41:O72" si="241">IF(M41="","",C41)</f>
        <v>-3.9904839165598287</v>
      </c>
      <c r="P41" s="633">
        <f t="shared" ref="P41:P72" si="242">IF(M41="","",D41)</f>
        <v>-2.3849540964556688</v>
      </c>
      <c r="Q41" s="585">
        <f t="shared" si="113"/>
        <v>286.99996895784517</v>
      </c>
      <c r="R41" s="629">
        <f t="shared" si="79"/>
        <v>4.1728154447517998</v>
      </c>
      <c r="S41" s="634">
        <f t="shared" si="80"/>
        <v>-2.3849540964556688</v>
      </c>
      <c r="T41" s="635">
        <f t="shared" si="81"/>
        <v>-3.9829568874001522</v>
      </c>
      <c r="U41" s="629">
        <f t="shared" si="82"/>
        <v>-1.2443645643744661</v>
      </c>
      <c r="V41" s="636">
        <f t="shared" si="114"/>
        <v>-2.3849540964556688</v>
      </c>
      <c r="W41" s="585">
        <f t="shared" si="224"/>
        <v>197.34996890731142</v>
      </c>
      <c r="X41" s="629">
        <f t="shared" si="83"/>
        <v>4.1728154447517998</v>
      </c>
      <c r="Y41" s="630">
        <f t="shared" si="223"/>
        <v>-2.3849540964556688</v>
      </c>
      <c r="Z41" s="632">
        <f t="shared" ref="Z41:Z72" si="243">IF(M41="","",-E41)</f>
        <v>-0.94685713822669482</v>
      </c>
      <c r="AA41" s="629">
        <f t="shared" ref="AA41:AA72" si="244">IF(M41="","",-F41)</f>
        <v>0.32041428956787454</v>
      </c>
      <c r="AB41" s="629">
        <f t="shared" ref="AB41:AB72" si="245">IF(M41="","",-G41)</f>
        <v>-2.8217775069415175E-2</v>
      </c>
      <c r="AC41" s="636">
        <f t="shared" si="84"/>
        <v>1</v>
      </c>
      <c r="AD41" s="637">
        <f t="shared" si="115"/>
        <v>-0.94685713822669482</v>
      </c>
      <c r="AE41" s="629">
        <f t="shared" si="85"/>
        <v>0.32041428956787454</v>
      </c>
      <c r="AF41" s="633">
        <f t="shared" si="86"/>
        <v>-2.8217775069415175E-2</v>
      </c>
      <c r="AG41" s="602">
        <f t="shared" si="87"/>
        <v>84.967143769036653</v>
      </c>
      <c r="AH41" s="603">
        <f t="shared" si="88"/>
        <v>161.23699383788062</v>
      </c>
      <c r="AI41" s="585">
        <f t="shared" si="89"/>
        <v>-88.383025948843553</v>
      </c>
      <c r="AJ41" s="586">
        <f t="shared" si="90"/>
        <v>-108.69570164758117</v>
      </c>
      <c r="AK41" s="635">
        <f t="shared" si="211"/>
        <v>0.81180422844176015</v>
      </c>
      <c r="AL41" s="629">
        <f t="shared" si="91"/>
        <v>-0.58324750479895782</v>
      </c>
      <c r="AM41" s="634">
        <f t="shared" si="92"/>
        <v>-2.8217775069415175E-2</v>
      </c>
      <c r="AN41" s="581">
        <f t="shared" si="93"/>
        <v>-87.230164309542658</v>
      </c>
      <c r="AO41" s="582">
        <f t="shared" si="94"/>
        <v>35.72741416843806</v>
      </c>
      <c r="AP41" s="585">
        <f t="shared" si="95"/>
        <v>-35.695670605426344</v>
      </c>
      <c r="AQ41" s="586">
        <f t="shared" ref="AQ41:AQ72" si="246">IF(M41="","",DEGREES(ATAN(($AS$5*SIN(RADIANS(90)))/(($X41*2*PI())-($AS$5*COS(RADIANS(90)))))))</f>
        <v>0.5463116149255709</v>
      </c>
      <c r="AS41" s="52">
        <f t="shared" si="116"/>
        <v>-162.65003109268858</v>
      </c>
      <c r="AT41" s="72">
        <f t="shared" ref="AT41:AT72" si="247">IF(M41="","",Y41+(((AS41-$AS$9)*$AS$6)*-1))</f>
        <v>-2.2717596304541723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>Gage</v>
      </c>
      <c r="IG41" s="847">
        <f t="shared" si="210"/>
        <v>3.2309999999999999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1.131</v>
      </c>
      <c r="II41" s="734" cm="1">
        <f t="array" ref="II41">IFERROR(ROUND(VALUE(IF($IH41&lt;1,$IH41+LARGE((IF($M$9:$M$150="",0,$M$9:$M$150)-MOD(IF($M$9:$M$150="",0,$M$9:$M$150),1)),1),$IH41)),4),"")</f>
        <v>1.131</v>
      </c>
      <c r="IJ41" s="533">
        <f t="shared" si="112"/>
        <v>1313</v>
      </c>
      <c r="IK41" s="533">
        <f t="shared" ref="IK41:IK72" si="382">IF(ISNUMBER($II41),INDEX($K$9:$K$150,MATCH($IG41,$M$9:$M$150,0)),"")</f>
        <v>1313</v>
      </c>
      <c r="IL41" s="727">
        <f t="shared" si="225"/>
        <v>160.29003143343041</v>
      </c>
      <c r="IM41" s="759">
        <v>2.6187758591404302E-4</v>
      </c>
      <c r="IN41" s="5">
        <f t="shared" si="226"/>
        <v>0</v>
      </c>
      <c r="IO41" s="771">
        <v>0</v>
      </c>
      <c r="IP41" s="9">
        <f t="shared" si="227"/>
        <v>-4.1687125728371202</v>
      </c>
      <c r="IQ41" s="5">
        <f t="shared" si="228"/>
        <v>-2.3758071654344106</v>
      </c>
      <c r="IR41" s="5">
        <f t="shared" ref="IR41:IR72" si="383">IF(ISNUMBER($II41),INDEX($H$9:$H$150,MATCH($II41,$M$9:$M$150,0)),"")</f>
        <v>0.26600000000000001</v>
      </c>
      <c r="IS41" s="5">
        <f t="shared" si="229"/>
        <v>0.23056197083516963</v>
      </c>
      <c r="IT41" s="727">
        <f t="shared" si="230"/>
        <v>89.543905879042796</v>
      </c>
      <c r="IU41" s="9">
        <f t="shared" si="231"/>
        <v>-4.1728154447517998</v>
      </c>
      <c r="IV41" s="5">
        <f t="shared" si="232"/>
        <v>-2.3849540964556688</v>
      </c>
      <c r="IW41" s="5">
        <f t="shared" ref="IW41:IW72" si="384">IF(ISNUMBER($II41),$H41,"")</f>
        <v>0.26600000000000001</v>
      </c>
      <c r="IX41" s="5">
        <f t="shared" si="233"/>
        <v>0.21593992476550822</v>
      </c>
      <c r="IY41" s="762">
        <f t="shared" si="234"/>
        <v>87.230164309542658</v>
      </c>
    </row>
    <row r="42" spans="1:267" ht="15" customHeight="1" x14ac:dyDescent="0.25">
      <c r="A42" s="79"/>
      <c r="B42" s="707">
        <v>-0.41570947186001983</v>
      </c>
      <c r="C42" s="708">
        <v>-0.41570918901775589</v>
      </c>
      <c r="D42" s="709">
        <v>-0.22960069247568851</v>
      </c>
      <c r="E42" s="710">
        <v>0.69896308529889406</v>
      </c>
      <c r="F42" s="708">
        <v>-0.66706234317346003</v>
      </c>
      <c r="G42" s="711">
        <v>0.25783412440827957</v>
      </c>
      <c r="H42" s="710">
        <v>0.314</v>
      </c>
      <c r="I42" s="708">
        <v>0.52</v>
      </c>
      <c r="J42" s="570">
        <v>4.1020000000000003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4.1020000000000003</v>
      </c>
      <c r="N42" s="632">
        <f t="shared" si="240"/>
        <v>-0.41570947186001983</v>
      </c>
      <c r="O42" s="629">
        <f t="shared" si="241"/>
        <v>-0.41570918901775589</v>
      </c>
      <c r="P42" s="633">
        <f t="shared" si="242"/>
        <v>-0.22960069247568851</v>
      </c>
      <c r="Q42" s="585">
        <f t="shared" si="113"/>
        <v>224.99998050841441</v>
      </c>
      <c r="R42" s="629">
        <f t="shared" ref="R42:R47" si="385">IF(M42="","",SQRT(N42^2+O42^2))</f>
        <v>0.58790177311174774</v>
      </c>
      <c r="S42" s="634">
        <f t="shared" ref="S42:S47" si="386">IF(M42="","",P42)</f>
        <v>-0.22960069247568851</v>
      </c>
      <c r="T42" s="635">
        <f t="shared" ref="T42:T47" si="387">IF(M42="","",X42*COS(RADIANS(W42)))</f>
        <v>-0.41824084131366129</v>
      </c>
      <c r="U42" s="629">
        <f t="shared" ref="U42:U47" si="388">IF(M42="","",X42*SIN(RADIANS(W42)))</f>
        <v>0.41316230888741262</v>
      </c>
      <c r="V42" s="636">
        <f t="shared" ref="V42:V47" si="389">IF(M42="","",Y42)</f>
        <v>-0.22960069247568851</v>
      </c>
      <c r="W42" s="585">
        <f t="shared" si="224"/>
        <v>135.34998045788066</v>
      </c>
      <c r="X42" s="629">
        <f t="shared" ref="X42:X47" si="390">IF(M42="","",R42)</f>
        <v>0.58790177311174774</v>
      </c>
      <c r="Y42" s="630">
        <f t="shared" si="223"/>
        <v>-0.22960069247568851</v>
      </c>
      <c r="Z42" s="632">
        <f t="shared" si="243"/>
        <v>-0.69896308529889406</v>
      </c>
      <c r="AA42" s="629">
        <f t="shared" si="244"/>
        <v>0.66706234317346003</v>
      </c>
      <c r="AB42" s="629">
        <f t="shared" si="245"/>
        <v>-0.25783412440827957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-0.69896308529889406</v>
      </c>
      <c r="AE42" s="629">
        <f t="shared" ref="AE42:AE47" si="393">IF(M42="","",AA42*(1/SQRT(Z42^2+AA42^2+AB42^2)))</f>
        <v>0.66706234317346003</v>
      </c>
      <c r="AF42" s="633">
        <f t="shared" ref="AF42:AF47" si="394">IF(M42="","",AB42*(1/SQRT(Z42^2+AA42^2+AB42^2)))</f>
        <v>-0.25783412440827957</v>
      </c>
      <c r="AG42" s="602">
        <f t="shared" ref="AG42:AG47" si="395">IF(M42="","",DEGREES(ATAN2(-AF42,AE42)))</f>
        <v>68.867397205780918</v>
      </c>
      <c r="AH42" s="603">
        <f t="shared" ref="AH42:AH47" si="396">IF(M42="","",DEGREES(ACOS(AD42)))</f>
        <v>134.34387127698164</v>
      </c>
      <c r="AI42" s="585">
        <f t="shared" ref="AI42:AI47" si="397">IF(M42="","",DEGREES(-ACOS(-AF42)))</f>
        <v>-75.058414528502141</v>
      </c>
      <c r="AJ42" s="586">
        <f t="shared" ref="AJ42:AJ47" si="398">IF(M42="","",DEGREES(ATAN2(-AE42,AD42)))</f>
        <v>-133.66221690203579</v>
      </c>
      <c r="AK42" s="635">
        <f t="shared" ref="AK42:AK47" si="399">IF(M42="","",(COS(RADIANS((90-$Q$8)-W42))*AD42)+(-SIN(RADIANS((90-$Q$8)-W42))*AE42))</f>
        <v>0.9659258360722075</v>
      </c>
      <c r="AL42" s="629">
        <f t="shared" ref="AL42:AL47" si="400">IF(M42="","",(SIN(RADIANS((90-$Q$8)-W42))*AD42)+(COS(RADIANS((90-$Q$8)-W42))*AE42))</f>
        <v>2.2557559682354344E-2</v>
      </c>
      <c r="AM42" s="634">
        <f t="shared" ref="AM42:AM47" si="401">IF(M42="","",AF42)</f>
        <v>-0.25783412440827957</v>
      </c>
      <c r="AN42" s="581">
        <f t="shared" ref="AN42:AN47" si="402">IF(M42="","",DEGREES(ATAN2(-AM42,AL42)))</f>
        <v>4.9999992780894091</v>
      </c>
      <c r="AO42" s="582">
        <f t="shared" si="94"/>
        <v>14.99999783426823</v>
      </c>
      <c r="AP42" s="585">
        <f t="shared" ref="AP42:AP47" si="403">IF(M42="","",DEGREES(ATAN2(AK42,AL42)))</f>
        <v>1.337802589549776</v>
      </c>
      <c r="AQ42" s="586">
        <f t="shared" si="246"/>
        <v>3.8718294884484799</v>
      </c>
      <c r="AS42" s="52">
        <f t="shared" si="116"/>
        <v>-224.65001954211934</v>
      </c>
      <c r="AT42" s="72">
        <f t="shared" si="247"/>
        <v>-7.3350678939865188E-2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4.1020000000000003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-0.93515185666759004</v>
      </c>
      <c r="C43" s="708">
        <v>-0.93515122040480025</v>
      </c>
      <c r="D43" s="709">
        <v>-0.16530049854630363</v>
      </c>
      <c r="E43" s="710">
        <v>0.69896308529889406</v>
      </c>
      <c r="F43" s="708">
        <v>-0.66706234317345992</v>
      </c>
      <c r="G43" s="711">
        <v>0.25783412440827957</v>
      </c>
      <c r="H43" s="710">
        <v>0.314</v>
      </c>
      <c r="I43" s="708">
        <v>0.52</v>
      </c>
      <c r="J43" s="570">
        <v>4.1050000000000004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4.1050000000000004</v>
      </c>
      <c r="N43" s="632">
        <f t="shared" si="240"/>
        <v>-0.93515185666759004</v>
      </c>
      <c r="O43" s="629">
        <f t="shared" si="241"/>
        <v>-0.93515122040480025</v>
      </c>
      <c r="P43" s="633">
        <f t="shared" si="242"/>
        <v>-0.16530049854630363</v>
      </c>
      <c r="Q43" s="585">
        <f t="shared" si="113"/>
        <v>224.99998050841441</v>
      </c>
      <c r="R43" s="629">
        <f t="shared" si="385"/>
        <v>1.3225039886720298</v>
      </c>
      <c r="S43" s="634">
        <f t="shared" si="386"/>
        <v>-0.16530049854630363</v>
      </c>
      <c r="T43" s="635">
        <f t="shared" si="387"/>
        <v>-0.94084625384813225</v>
      </c>
      <c r="U43" s="629">
        <f t="shared" si="388"/>
        <v>0.92942193145705576</v>
      </c>
      <c r="V43" s="636">
        <f t="shared" si="389"/>
        <v>-0.16530049854630363</v>
      </c>
      <c r="W43" s="585">
        <f t="shared" si="224"/>
        <v>135.34998045788066</v>
      </c>
      <c r="X43" s="629">
        <f t="shared" si="390"/>
        <v>1.3225039886720298</v>
      </c>
      <c r="Y43" s="630">
        <f t="shared" si="223"/>
        <v>-0.16530049854630363</v>
      </c>
      <c r="Z43" s="632">
        <f t="shared" si="243"/>
        <v>-0.69896308529889406</v>
      </c>
      <c r="AA43" s="629">
        <f t="shared" si="244"/>
        <v>0.66706234317345992</v>
      </c>
      <c r="AB43" s="629">
        <f t="shared" si="245"/>
        <v>-0.25783412440827957</v>
      </c>
      <c r="AC43" s="636">
        <f t="shared" si="391"/>
        <v>1</v>
      </c>
      <c r="AD43" s="637">
        <f t="shared" si="392"/>
        <v>-0.69896308529889406</v>
      </c>
      <c r="AE43" s="629">
        <f t="shared" si="393"/>
        <v>0.66706234317345992</v>
      </c>
      <c r="AF43" s="633">
        <f t="shared" si="394"/>
        <v>-0.25783412440827957</v>
      </c>
      <c r="AG43" s="602">
        <f t="shared" si="395"/>
        <v>68.867397205780918</v>
      </c>
      <c r="AH43" s="603">
        <f t="shared" si="396"/>
        <v>134.34387127698164</v>
      </c>
      <c r="AI43" s="585">
        <f t="shared" si="397"/>
        <v>-75.058414528502141</v>
      </c>
      <c r="AJ43" s="586">
        <f t="shared" si="398"/>
        <v>-133.66221690203579</v>
      </c>
      <c r="AK43" s="635">
        <f t="shared" si="399"/>
        <v>0.96592583607220739</v>
      </c>
      <c r="AL43" s="629">
        <f t="shared" si="400"/>
        <v>2.2557559682354456E-2</v>
      </c>
      <c r="AM43" s="634">
        <f t="shared" si="401"/>
        <v>-0.25783412440827957</v>
      </c>
      <c r="AN43" s="581">
        <f t="shared" si="402"/>
        <v>4.999999278089434</v>
      </c>
      <c r="AO43" s="582">
        <f t="shared" si="94"/>
        <v>14.999997834268255</v>
      </c>
      <c r="AP43" s="585">
        <f t="shared" si="403"/>
        <v>1.3378025895497827</v>
      </c>
      <c r="AQ43" s="586">
        <f t="shared" si="246"/>
        <v>1.7232758344620749</v>
      </c>
      <c r="AS43" s="52">
        <f t="shared" ref="AS43:AS74" si="406">IF(G43="","",IF(AND(W43&lt;(AS42+180),W43&gt;(AS42-180)),W43,IF(W43&gt;(AS42+180),W43-360,IF(W43&lt;(AS42-180),W43+360,"Error"))))</f>
        <v>-224.65001954211934</v>
      </c>
      <c r="AT43" s="72">
        <f t="shared" si="247"/>
        <v>-9.0504850104803081E-3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4.1050000000000004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-1.4545942414751605</v>
      </c>
      <c r="C44" s="708">
        <v>-1.454593251791845</v>
      </c>
      <c r="D44" s="709">
        <v>-0.10100030461691874</v>
      </c>
      <c r="E44" s="710">
        <v>0.69563585382686366</v>
      </c>
      <c r="F44" s="708">
        <v>-0.67037440502251833</v>
      </c>
      <c r="G44" s="711">
        <v>0.25824197172666352</v>
      </c>
      <c r="H44" s="710">
        <v>0.314</v>
      </c>
      <c r="I44" s="708">
        <v>0.52</v>
      </c>
      <c r="J44" s="570">
        <v>4.1079999999999997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4.1079999999999997</v>
      </c>
      <c r="N44" s="632">
        <f t="shared" si="240"/>
        <v>-1.4545942414751605</v>
      </c>
      <c r="O44" s="629">
        <f t="shared" si="241"/>
        <v>-1.454593251791845</v>
      </c>
      <c r="P44" s="633">
        <f t="shared" si="242"/>
        <v>-0.10100030461691874</v>
      </c>
      <c r="Q44" s="585">
        <f t="shared" si="113"/>
        <v>224.99998050841441</v>
      </c>
      <c r="R44" s="629">
        <f t="shared" si="385"/>
        <v>2.0571062042323121</v>
      </c>
      <c r="S44" s="634">
        <f t="shared" si="386"/>
        <v>-0.10100030461691874</v>
      </c>
      <c r="T44" s="635">
        <f t="shared" si="387"/>
        <v>-1.4634516663826034</v>
      </c>
      <c r="U44" s="629">
        <f t="shared" si="388"/>
        <v>1.4456815540266992</v>
      </c>
      <c r="V44" s="636">
        <f t="shared" si="389"/>
        <v>-0.10100030461691874</v>
      </c>
      <c r="W44" s="585">
        <f t="shared" si="224"/>
        <v>135.34998045788066</v>
      </c>
      <c r="X44" s="629">
        <f t="shared" si="390"/>
        <v>2.0571062042323121</v>
      </c>
      <c r="Y44" s="630">
        <f t="shared" si="223"/>
        <v>-0.10100030461691874</v>
      </c>
      <c r="Z44" s="632">
        <f t="shared" si="243"/>
        <v>-0.69563585382686366</v>
      </c>
      <c r="AA44" s="629">
        <f t="shared" si="244"/>
        <v>0.67037440502251833</v>
      </c>
      <c r="AB44" s="629">
        <f t="shared" si="245"/>
        <v>-0.25824197172666352</v>
      </c>
      <c r="AC44" s="636">
        <f t="shared" si="391"/>
        <v>1</v>
      </c>
      <c r="AD44" s="637">
        <f t="shared" si="392"/>
        <v>-0.69563585382686366</v>
      </c>
      <c r="AE44" s="629">
        <f t="shared" si="393"/>
        <v>0.67037440502251833</v>
      </c>
      <c r="AF44" s="633">
        <f t="shared" si="394"/>
        <v>-0.25824197172666352</v>
      </c>
      <c r="AG44" s="602">
        <f t="shared" si="395"/>
        <v>68.93229178427768</v>
      </c>
      <c r="AH44" s="603">
        <f t="shared" si="396"/>
        <v>134.07790822008732</v>
      </c>
      <c r="AI44" s="585">
        <f t="shared" si="397"/>
        <v>-75.034227498579881</v>
      </c>
      <c r="AJ44" s="586">
        <f t="shared" si="398"/>
        <v>-133.94055741432365</v>
      </c>
      <c r="AK44" s="635">
        <f t="shared" si="399"/>
        <v>0.96591511112603323</v>
      </c>
      <c r="AL44" s="629">
        <f t="shared" si="400"/>
        <v>1.7862870349077187E-2</v>
      </c>
      <c r="AM44" s="634">
        <f t="shared" si="401"/>
        <v>-0.25824197172666352</v>
      </c>
      <c r="AN44" s="581">
        <f t="shared" si="402"/>
        <v>3.9569069219971569</v>
      </c>
      <c r="AO44" s="582">
        <f t="shared" si="94"/>
        <v>15.002371874130157</v>
      </c>
      <c r="AP44" s="585">
        <f t="shared" si="403"/>
        <v>1.0594620772619643</v>
      </c>
      <c r="AQ44" s="586">
        <f t="shared" si="246"/>
        <v>1.1080820215399998</v>
      </c>
      <c r="AS44" s="52">
        <f t="shared" si="406"/>
        <v>-224.65001954211934</v>
      </c>
      <c r="AT44" s="72">
        <f t="shared" si="247"/>
        <v>5.5249708918904586E-2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4.1079999999999997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-2.0963426011932729</v>
      </c>
      <c r="C45" s="708">
        <v>-2.0457336730291344</v>
      </c>
      <c r="D45" s="709">
        <v>-0.13570040927243435</v>
      </c>
      <c r="E45" s="710">
        <v>0.59384355773547792</v>
      </c>
      <c r="F45" s="708">
        <v>-0.76075255655981211</v>
      </c>
      <c r="G45" s="711">
        <v>0.2619262808955603</v>
      </c>
      <c r="H45" s="710">
        <v>0.314</v>
      </c>
      <c r="I45" s="708">
        <v>0.52</v>
      </c>
      <c r="J45" s="570">
        <v>4.1130000000000004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4.1130000000000004</v>
      </c>
      <c r="N45" s="632">
        <f t="shared" si="240"/>
        <v>-2.0963426011932729</v>
      </c>
      <c r="O45" s="629">
        <f t="shared" si="241"/>
        <v>-2.0457336730291344</v>
      </c>
      <c r="P45" s="633">
        <f t="shared" si="242"/>
        <v>-0.13570040927243435</v>
      </c>
      <c r="Q45" s="585">
        <f t="shared" si="113"/>
        <v>224.29998060948191</v>
      </c>
      <c r="R45" s="629">
        <f t="shared" si="385"/>
        <v>2.9291088341922449</v>
      </c>
      <c r="S45" s="634">
        <f t="shared" si="386"/>
        <v>-0.13570040927243435</v>
      </c>
      <c r="T45" s="635">
        <f t="shared" si="387"/>
        <v>-2.0585012509669669</v>
      </c>
      <c r="U45" s="629">
        <f t="shared" si="388"/>
        <v>2.0838068917993544</v>
      </c>
      <c r="V45" s="636">
        <f t="shared" si="389"/>
        <v>-0.13570040927243435</v>
      </c>
      <c r="W45" s="585">
        <f t="shared" si="224"/>
        <v>134.64998055894816</v>
      </c>
      <c r="X45" s="629">
        <f t="shared" si="390"/>
        <v>2.9291088341922449</v>
      </c>
      <c r="Y45" s="630">
        <f t="shared" si="223"/>
        <v>-0.13570040927243435</v>
      </c>
      <c r="Z45" s="632">
        <f t="shared" si="243"/>
        <v>-0.59384355773547792</v>
      </c>
      <c r="AA45" s="629">
        <f t="shared" si="244"/>
        <v>0.76075255655981211</v>
      </c>
      <c r="AB45" s="629">
        <f t="shared" si="245"/>
        <v>-0.2619262808955603</v>
      </c>
      <c r="AC45" s="636">
        <f t="shared" si="391"/>
        <v>1</v>
      </c>
      <c r="AD45" s="637">
        <f t="shared" si="392"/>
        <v>-0.59384355773547792</v>
      </c>
      <c r="AE45" s="629">
        <f t="shared" si="393"/>
        <v>0.76075255655981211</v>
      </c>
      <c r="AF45" s="633">
        <f t="shared" si="394"/>
        <v>-0.2619262808955603</v>
      </c>
      <c r="AG45" s="602">
        <f t="shared" si="395"/>
        <v>71.001469944576698</v>
      </c>
      <c r="AH45" s="603">
        <f t="shared" si="396"/>
        <v>126.43023578886174</v>
      </c>
      <c r="AI45" s="585">
        <f t="shared" si="397"/>
        <v>-74.815608410950404</v>
      </c>
      <c r="AJ45" s="586">
        <f t="shared" si="398"/>
        <v>-142.02439639243323</v>
      </c>
      <c r="AK45" s="635">
        <f t="shared" si="399"/>
        <v>0.9592145307324258</v>
      </c>
      <c r="AL45" s="629">
        <f t="shared" si="400"/>
        <v>-0.10631137007861402</v>
      </c>
      <c r="AM45" s="634">
        <f t="shared" si="401"/>
        <v>-0.2619262808955603</v>
      </c>
      <c r="AN45" s="581">
        <f t="shared" si="402"/>
        <v>-22.091386986934602</v>
      </c>
      <c r="AO45" s="582">
        <f t="shared" si="94"/>
        <v>16.420168151978519</v>
      </c>
      <c r="AP45" s="585">
        <f t="shared" si="403"/>
        <v>-6.3243770019151047</v>
      </c>
      <c r="AQ45" s="586">
        <f t="shared" si="246"/>
        <v>0.77825255265367632</v>
      </c>
      <c r="AS45" s="52">
        <f t="shared" si="406"/>
        <v>-225.35001944105184</v>
      </c>
      <c r="AT45" s="72">
        <f t="shared" si="247"/>
        <v>2.1035715304314334E-2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4.1130000000000004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-2.6252256384968642</v>
      </c>
      <c r="C46" s="708">
        <v>-2.4730208994177718</v>
      </c>
      <c r="D46" s="709">
        <v>-0.53030159938962373</v>
      </c>
      <c r="E46" s="710">
        <v>0.46947151570626827</v>
      </c>
      <c r="F46" s="708">
        <v>-0.85725005800073062</v>
      </c>
      <c r="G46" s="711">
        <v>0.21146828130526621</v>
      </c>
      <c r="H46" s="710">
        <v>0.314</v>
      </c>
      <c r="I46" s="708">
        <v>0.52</v>
      </c>
      <c r="J46" s="570">
        <v>4.1180000000000003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4.1180000000000003</v>
      </c>
      <c r="N46" s="632">
        <f t="shared" si="240"/>
        <v>-2.6252256384968642</v>
      </c>
      <c r="O46" s="629">
        <f t="shared" si="241"/>
        <v>-2.4730208994177718</v>
      </c>
      <c r="P46" s="633">
        <f t="shared" si="242"/>
        <v>-0.53030159938962373</v>
      </c>
      <c r="Q46" s="585">
        <f t="shared" si="113"/>
        <v>223.28998075530782</v>
      </c>
      <c r="R46" s="629">
        <f t="shared" si="385"/>
        <v>3.6066108775384063</v>
      </c>
      <c r="S46" s="634">
        <f t="shared" si="386"/>
        <v>-0.53030159938962373</v>
      </c>
      <c r="T46" s="635">
        <f t="shared" si="387"/>
        <v>-2.4890112472020385</v>
      </c>
      <c r="U46" s="629">
        <f t="shared" si="388"/>
        <v>2.6100699288103577</v>
      </c>
      <c r="V46" s="636">
        <f t="shared" si="389"/>
        <v>-0.53030159938962373</v>
      </c>
      <c r="W46" s="585">
        <f t="shared" si="224"/>
        <v>133.63998070477408</v>
      </c>
      <c r="X46" s="629">
        <f t="shared" si="390"/>
        <v>3.6066108775384063</v>
      </c>
      <c r="Y46" s="630">
        <f t="shared" si="223"/>
        <v>-0.53030159938962373</v>
      </c>
      <c r="Z46" s="632">
        <f t="shared" si="243"/>
        <v>-0.46947151570626827</v>
      </c>
      <c r="AA46" s="629">
        <f t="shared" si="244"/>
        <v>0.85725005800073062</v>
      </c>
      <c r="AB46" s="629">
        <f t="shared" si="245"/>
        <v>-0.21146828130526621</v>
      </c>
      <c r="AC46" s="636">
        <f t="shared" si="391"/>
        <v>1</v>
      </c>
      <c r="AD46" s="637">
        <f t="shared" si="392"/>
        <v>-0.46947151570626827</v>
      </c>
      <c r="AE46" s="629">
        <f t="shared" si="393"/>
        <v>0.85725005800073062</v>
      </c>
      <c r="AF46" s="633">
        <f t="shared" si="394"/>
        <v>-0.21146828130526621</v>
      </c>
      <c r="AG46" s="602">
        <f t="shared" si="395"/>
        <v>76.142812636425276</v>
      </c>
      <c r="AH46" s="603">
        <f t="shared" si="396"/>
        <v>117.99999694493349</v>
      </c>
      <c r="AI46" s="585">
        <f t="shared" si="397"/>
        <v>-77.791588834528383</v>
      </c>
      <c r="AJ46" s="586">
        <f t="shared" si="398"/>
        <v>-151.29275919176419</v>
      </c>
      <c r="AK46" s="635">
        <f t="shared" si="399"/>
        <v>0.94589846721080151</v>
      </c>
      <c r="AL46" s="629">
        <f t="shared" si="400"/>
        <v>-0.24608383882338392</v>
      </c>
      <c r="AM46" s="634">
        <f t="shared" si="401"/>
        <v>-0.21146828130526621</v>
      </c>
      <c r="AN46" s="581">
        <f t="shared" si="402"/>
        <v>-49.326402070267292</v>
      </c>
      <c r="AO46" s="582">
        <f t="shared" si="94"/>
        <v>18.933030313845382</v>
      </c>
      <c r="AP46" s="585">
        <f t="shared" si="403"/>
        <v>-14.582739947072008</v>
      </c>
      <c r="AQ46" s="586">
        <f t="shared" si="246"/>
        <v>0.63207100199373201</v>
      </c>
      <c r="AS46" s="52">
        <f t="shared" si="406"/>
        <v>-226.36001929522592</v>
      </c>
      <c r="AT46" s="72">
        <f t="shared" si="247"/>
        <v>-0.37286408602525417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4.1180000000000003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-2.9609126828940409</v>
      </c>
      <c r="C47" s="708">
        <v>-2.7198370977875266</v>
      </c>
      <c r="D47" s="709">
        <v>-1.1962036077500811</v>
      </c>
      <c r="E47" s="710">
        <v>0.36230940132507305</v>
      </c>
      <c r="F47" s="708">
        <v>-0.92475620728350272</v>
      </c>
      <c r="G47" s="711">
        <v>0.11643820164404159</v>
      </c>
      <c r="H47" s="710">
        <v>0.314</v>
      </c>
      <c r="I47" s="708">
        <v>0.52</v>
      </c>
      <c r="J47" s="570">
        <v>4.1230000000000002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4.1230000000000002</v>
      </c>
      <c r="N47" s="632">
        <f t="shared" si="240"/>
        <v>-2.9609126828940409</v>
      </c>
      <c r="O47" s="629">
        <f t="shared" si="241"/>
        <v>-2.7198370977875266</v>
      </c>
      <c r="P47" s="633">
        <f t="shared" si="242"/>
        <v>-1.1962036077500811</v>
      </c>
      <c r="Q47" s="585">
        <f t="shared" si="113"/>
        <v>222.56998085926296</v>
      </c>
      <c r="R47" s="629">
        <f t="shared" si="385"/>
        <v>4.0205121258645722</v>
      </c>
      <c r="S47" s="634">
        <f t="shared" si="386"/>
        <v>-1.1962036077500811</v>
      </c>
      <c r="T47" s="635">
        <f t="shared" si="387"/>
        <v>-2.7378734229500967</v>
      </c>
      <c r="U47" s="629">
        <f t="shared" si="388"/>
        <v>2.9442430052778565</v>
      </c>
      <c r="V47" s="636">
        <f t="shared" si="389"/>
        <v>-1.1962036077500811</v>
      </c>
      <c r="W47" s="585">
        <f t="shared" si="224"/>
        <v>132.91998080872921</v>
      </c>
      <c r="X47" s="629">
        <f t="shared" si="390"/>
        <v>4.0205121258645722</v>
      </c>
      <c r="Y47" s="630">
        <f t="shared" si="223"/>
        <v>-1.1962036077500811</v>
      </c>
      <c r="Z47" s="632">
        <f t="shared" si="243"/>
        <v>-0.36230940132507305</v>
      </c>
      <c r="AA47" s="629">
        <f t="shared" si="244"/>
        <v>0.92475620728350272</v>
      </c>
      <c r="AB47" s="629">
        <f t="shared" si="245"/>
        <v>-0.11643820164404159</v>
      </c>
      <c r="AC47" s="636">
        <f t="shared" si="391"/>
        <v>1</v>
      </c>
      <c r="AD47" s="637">
        <f t="shared" si="392"/>
        <v>-0.36230940132507305</v>
      </c>
      <c r="AE47" s="629">
        <f t="shared" si="393"/>
        <v>0.92475620728350272</v>
      </c>
      <c r="AF47" s="633">
        <f t="shared" si="394"/>
        <v>-0.11643820164404159</v>
      </c>
      <c r="AG47" s="602">
        <f t="shared" si="395"/>
        <v>82.823521412590111</v>
      </c>
      <c r="AH47" s="603">
        <f t="shared" si="396"/>
        <v>111.24209217293206</v>
      </c>
      <c r="AI47" s="585">
        <f t="shared" si="397"/>
        <v>-83.31341473097612</v>
      </c>
      <c r="AJ47" s="586">
        <f t="shared" si="398"/>
        <v>-158.60529554194997</v>
      </c>
      <c r="AK47" s="635">
        <f t="shared" si="399"/>
        <v>0.92613697378940851</v>
      </c>
      <c r="AL47" s="629">
        <f t="shared" si="400"/>
        <v>-0.35876517525827101</v>
      </c>
      <c r="AM47" s="634">
        <f t="shared" si="401"/>
        <v>-0.11643820164404159</v>
      </c>
      <c r="AN47" s="581">
        <f t="shared" si="402"/>
        <v>-72.019022126446131</v>
      </c>
      <c r="AO47" s="582">
        <f t="shared" si="94"/>
        <v>22.159569815702721</v>
      </c>
      <c r="AP47" s="585">
        <f t="shared" si="403"/>
        <v>-21.17527640121294</v>
      </c>
      <c r="AQ47" s="586">
        <f t="shared" si="246"/>
        <v>0.56700543113044843</v>
      </c>
      <c r="AS47" s="52">
        <f t="shared" si="406"/>
        <v>-227.08001919127079</v>
      </c>
      <c r="AT47" s="72">
        <f t="shared" si="247"/>
        <v>-1.0382660944579025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4.1230000000000002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-3.0739756513277467</v>
      </c>
      <c r="C48" s="708">
        <v>-2.7990628275284508</v>
      </c>
      <c r="D48" s="709">
        <v>-1.9312058245167669</v>
      </c>
      <c r="E48" s="710">
        <v>0.26395689786482951</v>
      </c>
      <c r="F48" s="708">
        <v>-0.96440862393609506</v>
      </c>
      <c r="G48" s="711">
        <v>1.5580826270251993E-2</v>
      </c>
      <c r="H48" s="710">
        <v>0.26600000000000001</v>
      </c>
      <c r="I48" s="708">
        <v>0.52</v>
      </c>
      <c r="J48" s="570">
        <v>4.1280000000000001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4.1280000000000001</v>
      </c>
      <c r="N48" s="632">
        <f t="shared" si="240"/>
        <v>-3.0739756513277467</v>
      </c>
      <c r="O48" s="629">
        <f t="shared" si="241"/>
        <v>-2.7990628275284508</v>
      </c>
      <c r="P48" s="633">
        <f t="shared" si="242"/>
        <v>-1.9312058245167669</v>
      </c>
      <c r="Q48" s="585">
        <f t="shared" si="113"/>
        <v>222.3199808953585</v>
      </c>
      <c r="R48" s="629">
        <f t="shared" si="79"/>
        <v>4.1574125387562164</v>
      </c>
      <c r="S48" s="634">
        <f t="shared" si="80"/>
        <v>-1.9312058245167669</v>
      </c>
      <c r="T48" s="635">
        <f t="shared" si="81"/>
        <v>-2.8177883324931901</v>
      </c>
      <c r="U48" s="629">
        <f t="shared" si="82"/>
        <v>3.0568199048476274</v>
      </c>
      <c r="V48" s="636">
        <f t="shared" si="114"/>
        <v>-1.9312058245167669</v>
      </c>
      <c r="W48" s="585">
        <f t="shared" si="224"/>
        <v>132.66998084482475</v>
      </c>
      <c r="X48" s="629">
        <f t="shared" si="83"/>
        <v>4.1574125387562164</v>
      </c>
      <c r="Y48" s="630">
        <f t="shared" si="223"/>
        <v>-1.9312058245167669</v>
      </c>
      <c r="Z48" s="632">
        <f t="shared" si="243"/>
        <v>-0.26395689786482951</v>
      </c>
      <c r="AA48" s="629">
        <f t="shared" si="244"/>
        <v>0.96440862393609506</v>
      </c>
      <c r="AB48" s="629">
        <f t="shared" si="245"/>
        <v>-1.5580826270251993E-2</v>
      </c>
      <c r="AC48" s="636">
        <f t="shared" si="84"/>
        <v>1</v>
      </c>
      <c r="AD48" s="637">
        <f t="shared" si="115"/>
        <v>-0.26395689786482951</v>
      </c>
      <c r="AE48" s="629">
        <f t="shared" si="85"/>
        <v>0.96440862393609506</v>
      </c>
      <c r="AF48" s="633">
        <f t="shared" si="86"/>
        <v>-1.5580826270251993E-2</v>
      </c>
      <c r="AG48" s="602">
        <f t="shared" si="87"/>
        <v>89.074419382934664</v>
      </c>
      <c r="AH48" s="603">
        <f t="shared" si="88"/>
        <v>105.30498071737257</v>
      </c>
      <c r="AI48" s="585">
        <f t="shared" si="89"/>
        <v>-89.107248289849508</v>
      </c>
      <c r="AJ48" s="586">
        <f t="shared" si="90"/>
        <v>-164.69311570793255</v>
      </c>
      <c r="AK48" s="635">
        <f t="shared" si="211"/>
        <v>0.89079458299348313</v>
      </c>
      <c r="AL48" s="629">
        <f t="shared" si="91"/>
        <v>-0.45413901920249389</v>
      </c>
      <c r="AM48" s="634">
        <f t="shared" si="92"/>
        <v>-1.5580826270251993E-2</v>
      </c>
      <c r="AN48" s="581">
        <f t="shared" si="93"/>
        <v>-88.035038760622044</v>
      </c>
      <c r="AO48" s="582">
        <f t="shared" si="94"/>
        <v>27.026735754357254</v>
      </c>
      <c r="AP48" s="585">
        <f t="shared" si="95"/>
        <v>-27.013096603291043</v>
      </c>
      <c r="AQ48" s="586">
        <f t="shared" si="246"/>
        <v>0.54833553569887117</v>
      </c>
      <c r="AS48" s="52">
        <f t="shared" si="406"/>
        <v>-227.33001915517525</v>
      </c>
      <c r="AT48" s="72">
        <f t="shared" si="247"/>
        <v>-1.7730947001385435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4.1280000000000001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1313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-3.0992562539273991</v>
      </c>
      <c r="C49" s="708">
        <v>-2.8161516667404118</v>
      </c>
      <c r="D49" s="709">
        <v>-2.5569077116336585</v>
      </c>
      <c r="E49" s="710">
        <v>0.1263718616137387</v>
      </c>
      <c r="F49" s="708">
        <v>-0.99198293966794671</v>
      </c>
      <c r="G49" s="711">
        <v>1.3008419252451062E-7</v>
      </c>
      <c r="H49" s="710">
        <v>0.26600000000000001</v>
      </c>
      <c r="I49" s="708">
        <v>0.52</v>
      </c>
      <c r="J49" s="570">
        <v>4.133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1313</v>
      </c>
      <c r="L49" s="320"/>
      <c r="M49" s="168">
        <f t="shared" si="239"/>
        <v>4.133</v>
      </c>
      <c r="N49" s="632">
        <f t="shared" si="240"/>
        <v>-3.0992562539273991</v>
      </c>
      <c r="O49" s="629">
        <f t="shared" si="241"/>
        <v>-2.8161516667404118</v>
      </c>
      <c r="P49" s="633">
        <f t="shared" si="242"/>
        <v>-2.5569077116336585</v>
      </c>
      <c r="Q49" s="585">
        <f t="shared" si="113"/>
        <v>222.2599809040214</v>
      </c>
      <c r="R49" s="629">
        <f t="shared" si="79"/>
        <v>4.1876126298396912</v>
      </c>
      <c r="S49" s="634">
        <f t="shared" si="80"/>
        <v>-2.5569077116336585</v>
      </c>
      <c r="T49" s="635">
        <f t="shared" si="81"/>
        <v>-2.8350312822963493</v>
      </c>
      <c r="U49" s="629">
        <f t="shared" si="82"/>
        <v>3.0819956466539682</v>
      </c>
      <c r="V49" s="636">
        <f t="shared" si="114"/>
        <v>-2.5569077116336585</v>
      </c>
      <c r="W49" s="585">
        <f t="shared" si="224"/>
        <v>132.60998085348766</v>
      </c>
      <c r="X49" s="629">
        <f t="shared" si="83"/>
        <v>4.1876126298396912</v>
      </c>
      <c r="Y49" s="630">
        <f t="shared" si="223"/>
        <v>-2.5569077116336585</v>
      </c>
      <c r="Z49" s="632">
        <f t="shared" si="243"/>
        <v>-0.1263718616137387</v>
      </c>
      <c r="AA49" s="629">
        <f t="shared" si="244"/>
        <v>0.99198293966794671</v>
      </c>
      <c r="AB49" s="629">
        <f t="shared" si="245"/>
        <v>-1.3008419252451062E-7</v>
      </c>
      <c r="AC49" s="636">
        <f t="shared" si="84"/>
        <v>1</v>
      </c>
      <c r="AD49" s="637">
        <f t="shared" si="115"/>
        <v>-0.1263718616137387</v>
      </c>
      <c r="AE49" s="629">
        <f t="shared" si="85"/>
        <v>0.99198293966794671</v>
      </c>
      <c r="AF49" s="633">
        <f t="shared" si="86"/>
        <v>-1.3008419252451062E-7</v>
      </c>
      <c r="AG49" s="602">
        <f t="shared" si="87"/>
        <v>89.999992486488509</v>
      </c>
      <c r="AH49" s="603">
        <f t="shared" si="88"/>
        <v>97.259985957396069</v>
      </c>
      <c r="AI49" s="585">
        <f t="shared" si="89"/>
        <v>-89.999992546724783</v>
      </c>
      <c r="AJ49" s="586">
        <f t="shared" si="90"/>
        <v>-172.74001404260389</v>
      </c>
      <c r="AK49" s="635">
        <f t="shared" si="211"/>
        <v>0.81915209487729179</v>
      </c>
      <c r="AL49" s="629">
        <f t="shared" si="91"/>
        <v>-0.57357636410344481</v>
      </c>
      <c r="AM49" s="634">
        <f t="shared" si="92"/>
        <v>-1.3008419252451062E-7</v>
      </c>
      <c r="AN49" s="581">
        <f t="shared" si="93"/>
        <v>-89.999987005609583</v>
      </c>
      <c r="AO49" s="582">
        <f t="shared" si="94"/>
        <v>34.999994946625968</v>
      </c>
      <c r="AP49" s="585">
        <f t="shared" si="95"/>
        <v>-34.999994946625293</v>
      </c>
      <c r="AQ49" s="586">
        <f t="shared" si="246"/>
        <v>0.54438130583656075</v>
      </c>
      <c r="AS49" s="52">
        <f t="shared" si="406"/>
        <v>-227.39001914651234</v>
      </c>
      <c r="AT49" s="72">
        <f t="shared" si="247"/>
        <v>-2.3987549205947847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4.133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1313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-1.0376139685952592</v>
      </c>
      <c r="C50" s="708">
        <v>0.27802803512466867</v>
      </c>
      <c r="D50" s="709">
        <v>-0.17174654017973856</v>
      </c>
      <c r="E50" s="710">
        <v>8.4185907743122346E-2</v>
      </c>
      <c r="F50" s="708">
        <v>-2.2557797842338832E-2</v>
      </c>
      <c r="G50" s="711">
        <v>0.99619469918985748</v>
      </c>
      <c r="H50" s="710">
        <v>0.26250000000000001</v>
      </c>
      <c r="I50" s="708">
        <v>0.40699999999999997</v>
      </c>
      <c r="J50" s="570">
        <v>4.2039999999999997</v>
      </c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Inactive</v>
      </c>
      <c r="L50" s="320"/>
      <c r="M50" s="168">
        <f t="shared" si="239"/>
        <v>4.2039999999999997</v>
      </c>
      <c r="N50" s="632">
        <f t="shared" si="240"/>
        <v>-1.0376139685952592</v>
      </c>
      <c r="O50" s="629">
        <f t="shared" si="241"/>
        <v>0.27802803512466867</v>
      </c>
      <c r="P50" s="633">
        <f t="shared" si="242"/>
        <v>-0.17174654017973856</v>
      </c>
      <c r="Q50" s="585">
        <f t="shared" si="113"/>
        <v>164.99998917134133</v>
      </c>
      <c r="R50" s="629">
        <f t="shared" si="79"/>
        <v>1.0742170805471711</v>
      </c>
      <c r="S50" s="634">
        <f t="shared" si="80"/>
        <v>-0.17174654017973856</v>
      </c>
      <c r="T50" s="635">
        <f t="shared" si="81"/>
        <v>0.27168446504071625</v>
      </c>
      <c r="U50" s="629">
        <f t="shared" si="82"/>
        <v>1.0392929748607114</v>
      </c>
      <c r="V50" s="636">
        <f t="shared" si="114"/>
        <v>-0.17174654017973856</v>
      </c>
      <c r="W50" s="585">
        <f t="shared" si="224"/>
        <v>75.349989120807578</v>
      </c>
      <c r="X50" s="629">
        <f t="shared" si="83"/>
        <v>1.0742170805471711</v>
      </c>
      <c r="Y50" s="630">
        <f t="shared" si="223"/>
        <v>-0.17174654017973856</v>
      </c>
      <c r="Z50" s="632">
        <f t="shared" si="243"/>
        <v>-8.4185907743122346E-2</v>
      </c>
      <c r="AA50" s="629">
        <f t="shared" si="244"/>
        <v>2.2557797842338832E-2</v>
      </c>
      <c r="AB50" s="629">
        <f t="shared" si="245"/>
        <v>-0.99619469918985748</v>
      </c>
      <c r="AC50" s="636">
        <f t="shared" si="84"/>
        <v>1</v>
      </c>
      <c r="AD50" s="637">
        <f t="shared" si="115"/>
        <v>-8.4185907743122346E-2</v>
      </c>
      <c r="AE50" s="629">
        <f t="shared" si="85"/>
        <v>2.2557797842338832E-2</v>
      </c>
      <c r="AF50" s="633">
        <f t="shared" si="86"/>
        <v>-0.99619469918985748</v>
      </c>
      <c r="AG50" s="602">
        <f t="shared" si="87"/>
        <v>1.2971819431926506</v>
      </c>
      <c r="AH50" s="603">
        <f t="shared" si="88"/>
        <v>94.829213025088308</v>
      </c>
      <c r="AI50" s="585">
        <f t="shared" si="89"/>
        <v>-4.9999992781062668</v>
      </c>
      <c r="AJ50" s="586">
        <f t="shared" si="90"/>
        <v>-105.00015992258935</v>
      </c>
      <c r="AK50" s="635">
        <f t="shared" si="211"/>
        <v>2.2679489669261144E-7</v>
      </c>
      <c r="AL50" s="629">
        <f t="shared" si="91"/>
        <v>8.7155730195884989E-2</v>
      </c>
      <c r="AM50" s="634">
        <f t="shared" si="92"/>
        <v>-0.99619469918985748</v>
      </c>
      <c r="AN50" s="581">
        <f t="shared" si="93"/>
        <v>4.9999992780894127</v>
      </c>
      <c r="AO50" s="582">
        <f t="shared" si="94"/>
        <v>0</v>
      </c>
      <c r="AP50" s="585">
        <f t="shared" si="95"/>
        <v>89.999850906069341</v>
      </c>
      <c r="AQ50" s="586">
        <f t="shared" si="246"/>
        <v>2.1212518201883306</v>
      </c>
      <c r="AS50" s="52">
        <f t="shared" si="406"/>
        <v>-284.65001087919245</v>
      </c>
      <c r="AT50" s="72">
        <f t="shared" si="247"/>
        <v>2.6170134006829965E-2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Nose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4.2039999999999997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1.1040000000000001</v>
      </c>
      <c r="II50" s="734" cm="1">
        <f t="array" ref="II50">IFERROR(ROUND(VALUE(IF($IH50&lt;1,$IH50+LARGE((IF($M$9:$M$150="",0,$M$9:$M$150)-MOD(IF($M$9:$M$150="",0,$M$9:$M$150),1)),1),$IH50)),4),"")</f>
        <v>1.1040000000000001</v>
      </c>
      <c r="IJ50" s="533">
        <f t="shared" si="112"/>
        <v>1613</v>
      </c>
      <c r="IK50" s="533" t="str">
        <f t="shared" si="382"/>
        <v>Inactive</v>
      </c>
      <c r="IL50" s="727">
        <f t="shared" si="225"/>
        <v>285.00001082865867</v>
      </c>
      <c r="IM50" s="759">
        <v>2.55544763262056E-2</v>
      </c>
      <c r="IN50" s="5">
        <f t="shared" si="226"/>
        <v>0.04</v>
      </c>
      <c r="IO50" s="771">
        <v>20</v>
      </c>
      <c r="IP50" s="9">
        <f t="shared" si="227"/>
        <v>-1.0776032500514021</v>
      </c>
      <c r="IQ50" s="5">
        <f t="shared" si="228"/>
        <v>-0.18670056308889832</v>
      </c>
      <c r="IR50" s="5">
        <f t="shared" si="383"/>
        <v>0.314</v>
      </c>
      <c r="IS50" s="5">
        <f t="shared" si="229"/>
        <v>0.30330071252667312</v>
      </c>
      <c r="IT50" s="727">
        <f t="shared" si="230"/>
        <v>-4.9999992780894269</v>
      </c>
      <c r="IU50" s="9">
        <f t="shared" si="231"/>
        <v>-1.0742170805471711</v>
      </c>
      <c r="IV50" s="5">
        <f t="shared" si="232"/>
        <v>-0.17174654017973856</v>
      </c>
      <c r="IW50" s="5">
        <f t="shared" si="384"/>
        <v>0.26250000000000001</v>
      </c>
      <c r="IX50" s="5">
        <f t="shared" si="233"/>
        <v>0.26250000000000001</v>
      </c>
      <c r="IY50" s="762">
        <f t="shared" si="234"/>
        <v>-4.9999992780894127</v>
      </c>
    </row>
    <row r="51" spans="1:259" ht="15" customHeight="1" x14ac:dyDescent="0.25">
      <c r="A51" s="79"/>
      <c r="B51" s="707">
        <v>-1.7547072075914463</v>
      </c>
      <c r="C51" s="708">
        <v>-0.43912397064757497</v>
      </c>
      <c r="D51" s="709">
        <v>-0.10502550561576499</v>
      </c>
      <c r="E51" s="710">
        <v>8.4548460909168455E-2</v>
      </c>
      <c r="F51" s="708">
        <v>2.1158427727980395E-2</v>
      </c>
      <c r="G51" s="711">
        <v>0.99619469918985759</v>
      </c>
      <c r="H51" s="710">
        <v>0.26250000000000001</v>
      </c>
      <c r="I51" s="708">
        <v>0.40699999999999997</v>
      </c>
      <c r="J51" s="570">
        <v>4.2069999999999999</v>
      </c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Inactive</v>
      </c>
      <c r="L51" s="320"/>
      <c r="M51" s="168">
        <f t="shared" si="239"/>
        <v>4.2069999999999999</v>
      </c>
      <c r="N51" s="632">
        <f t="shared" si="240"/>
        <v>-1.7547072075914463</v>
      </c>
      <c r="O51" s="629">
        <f t="shared" si="241"/>
        <v>-0.43912397064757497</v>
      </c>
      <c r="P51" s="633">
        <f t="shared" si="242"/>
        <v>-0.10502550561576499</v>
      </c>
      <c r="Q51" s="585">
        <f t="shared" si="113"/>
        <v>194.04998497704088</v>
      </c>
      <c r="R51" s="629">
        <f t="shared" si="79"/>
        <v>1.8088192961074534</v>
      </c>
      <c r="S51" s="634">
        <f t="shared" si="80"/>
        <v>-0.10502550561576499</v>
      </c>
      <c r="T51" s="635">
        <f t="shared" si="81"/>
        <v>-0.44983460573288231</v>
      </c>
      <c r="U51" s="629">
        <f t="shared" si="82"/>
        <v>1.7519920300777072</v>
      </c>
      <c r="V51" s="636">
        <f t="shared" si="114"/>
        <v>-0.10502550561576499</v>
      </c>
      <c r="W51" s="585">
        <f t="shared" si="224"/>
        <v>104.39998492650713</v>
      </c>
      <c r="X51" s="629">
        <f t="shared" si="83"/>
        <v>1.8088192961074534</v>
      </c>
      <c r="Y51" s="630">
        <f t="shared" si="223"/>
        <v>-0.10502550561576499</v>
      </c>
      <c r="Z51" s="632">
        <f t="shared" si="243"/>
        <v>-8.4548460909168455E-2</v>
      </c>
      <c r="AA51" s="629">
        <f t="shared" si="244"/>
        <v>-2.1158427727980395E-2</v>
      </c>
      <c r="AB51" s="629">
        <f t="shared" si="245"/>
        <v>-0.99619469918985759</v>
      </c>
      <c r="AC51" s="636">
        <f t="shared" si="84"/>
        <v>1</v>
      </c>
      <c r="AD51" s="637">
        <f t="shared" si="115"/>
        <v>-8.4548460909168455E-2</v>
      </c>
      <c r="AE51" s="629">
        <f t="shared" si="85"/>
        <v>-2.1158427727980395E-2</v>
      </c>
      <c r="AF51" s="633">
        <f t="shared" si="86"/>
        <v>-0.99619469918985759</v>
      </c>
      <c r="AG51" s="602">
        <f t="shared" si="87"/>
        <v>-1.2167364172356565</v>
      </c>
      <c r="AH51" s="603">
        <f t="shared" si="88"/>
        <v>94.850060116906107</v>
      </c>
      <c r="AI51" s="585">
        <f t="shared" si="89"/>
        <v>-4.9999992781061904</v>
      </c>
      <c r="AJ51" s="586">
        <f t="shared" si="90"/>
        <v>-75.950164116889809</v>
      </c>
      <c r="AK51" s="635">
        <f t="shared" si="211"/>
        <v>2.2679489670301978E-7</v>
      </c>
      <c r="AL51" s="629">
        <f t="shared" si="91"/>
        <v>8.7155730195885114E-2</v>
      </c>
      <c r="AM51" s="634">
        <f t="shared" si="92"/>
        <v>-0.99619469918985759</v>
      </c>
      <c r="AN51" s="581">
        <f t="shared" si="93"/>
        <v>4.9999992780894189</v>
      </c>
      <c r="AO51" s="582">
        <f t="shared" si="94"/>
        <v>0</v>
      </c>
      <c r="AP51" s="585">
        <f t="shared" si="95"/>
        <v>89.999850906069327</v>
      </c>
      <c r="AQ51" s="586">
        <f t="shared" si="246"/>
        <v>1.2601364024760153</v>
      </c>
      <c r="AS51" s="52">
        <f t="shared" si="406"/>
        <v>-255.60001507349287</v>
      </c>
      <c r="AT51" s="72">
        <f t="shared" si="247"/>
        <v>7.2717560372401069E-2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Nose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4.2069999999999999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1.107</v>
      </c>
      <c r="II51" s="734" cm="1">
        <f t="array" ref="II51">IFERROR(ROUND(VALUE(IF($IH51&lt;1,$IH51+LARGE((IF($M$9:$M$150="",0,$M$9:$M$150)-MOD(IF($M$9:$M$150="",0,$M$9:$M$150),1)),1),$IH51)),4),"")</f>
        <v>1.107</v>
      </c>
      <c r="IJ51" s="533">
        <f t="shared" si="112"/>
        <v>1613</v>
      </c>
      <c r="IK51" s="533" t="str">
        <f t="shared" si="382"/>
        <v>Inactive</v>
      </c>
      <c r="IL51" s="727">
        <f t="shared" si="225"/>
        <v>255.95001502295909</v>
      </c>
      <c r="IM51" s="759">
        <v>2.3156033625514199E-2</v>
      </c>
      <c r="IN51" s="5">
        <f t="shared" si="226"/>
        <v>0.04</v>
      </c>
      <c r="IO51" s="771">
        <v>20</v>
      </c>
      <c r="IP51" s="9">
        <f t="shared" si="227"/>
        <v>-1.8122054656116844</v>
      </c>
      <c r="IQ51" s="5">
        <f t="shared" si="228"/>
        <v>-0.1224003691595134</v>
      </c>
      <c r="IR51" s="5">
        <f t="shared" si="383"/>
        <v>0.314</v>
      </c>
      <c r="IS51" s="5">
        <f t="shared" si="229"/>
        <v>0.30330071252667312</v>
      </c>
      <c r="IT51" s="727">
        <f t="shared" si="230"/>
        <v>-4.9999992780894198</v>
      </c>
      <c r="IU51" s="9">
        <f t="shared" si="231"/>
        <v>-1.8088192961074534</v>
      </c>
      <c r="IV51" s="5">
        <f t="shared" si="232"/>
        <v>-0.10502550561576499</v>
      </c>
      <c r="IW51" s="5">
        <f t="shared" si="384"/>
        <v>0.26250000000000001</v>
      </c>
      <c r="IX51" s="5">
        <f t="shared" si="233"/>
        <v>0.26250000000000001</v>
      </c>
      <c r="IY51" s="762">
        <f t="shared" si="234"/>
        <v>-4.9999992780894189</v>
      </c>
    </row>
    <row r="52" spans="1:259" ht="15" customHeight="1" x14ac:dyDescent="0.25">
      <c r="A52" s="79"/>
      <c r="B52" s="707">
        <v>-3.6848472201521907</v>
      </c>
      <c r="C52" s="708">
        <v>-1.8775218571661614</v>
      </c>
      <c r="D52" s="709">
        <v>-1.4875999999999998</v>
      </c>
      <c r="E52" s="710">
        <v>-9.9824611483474976E-2</v>
      </c>
      <c r="F52" s="708">
        <v>-0.98420047815664524</v>
      </c>
      <c r="G52" s="711">
        <v>0.14623428373129285</v>
      </c>
      <c r="H52" s="710">
        <v>0.26600000000000001</v>
      </c>
      <c r="I52" s="708">
        <v>0.52</v>
      </c>
      <c r="J52" s="570">
        <v>4.2229999999999999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4.2229999999999999</v>
      </c>
      <c r="N52" s="632">
        <f t="shared" si="240"/>
        <v>-3.6848472201521907</v>
      </c>
      <c r="O52" s="629">
        <f t="shared" si="241"/>
        <v>-1.8775218571661614</v>
      </c>
      <c r="P52" s="633">
        <f t="shared" si="242"/>
        <v>-1.4875999999999998</v>
      </c>
      <c r="Q52" s="585">
        <f t="shared" si="113"/>
        <v>206.99998050841441</v>
      </c>
      <c r="R52" s="629">
        <f t="shared" si="79"/>
        <v>4.1356000000000002</v>
      </c>
      <c r="S52" s="634">
        <f t="shared" si="80"/>
        <v>-1.4875999999999998</v>
      </c>
      <c r="T52" s="635">
        <f t="shared" si="81"/>
        <v>-1.899996134332627</v>
      </c>
      <c r="U52" s="629">
        <f t="shared" si="82"/>
        <v>3.6733094138012761</v>
      </c>
      <c r="V52" s="636">
        <f t="shared" si="114"/>
        <v>-1.4875999999999998</v>
      </c>
      <c r="W52" s="585">
        <f t="shared" si="224"/>
        <v>117.34998045788066</v>
      </c>
      <c r="X52" s="629">
        <f t="shared" si="83"/>
        <v>4.1356000000000002</v>
      </c>
      <c r="Y52" s="630">
        <f t="shared" si="223"/>
        <v>-1.4875999999999998</v>
      </c>
      <c r="Z52" s="632">
        <f t="shared" si="243"/>
        <v>9.9824611483474976E-2</v>
      </c>
      <c r="AA52" s="629">
        <f t="shared" si="244"/>
        <v>0.98420047815664524</v>
      </c>
      <c r="AB52" s="629">
        <f t="shared" si="245"/>
        <v>-0.14623428373129285</v>
      </c>
      <c r="AC52" s="636">
        <f t="shared" si="84"/>
        <v>1</v>
      </c>
      <c r="AD52" s="637">
        <f t="shared" si="115"/>
        <v>9.9824611483474976E-2</v>
      </c>
      <c r="AE52" s="629">
        <f t="shared" si="85"/>
        <v>0.98420047815664524</v>
      </c>
      <c r="AF52" s="633">
        <f t="shared" si="86"/>
        <v>-0.14623428373129285</v>
      </c>
      <c r="AG52" s="602">
        <f t="shared" si="87"/>
        <v>81.548719409862599</v>
      </c>
      <c r="AH52" s="603">
        <f t="shared" si="88"/>
        <v>84.270929080211531</v>
      </c>
      <c r="AI52" s="585">
        <f t="shared" si="89"/>
        <v>-81.591239641112267</v>
      </c>
      <c r="AJ52" s="586">
        <f t="shared" si="90"/>
        <v>174.2084604757745</v>
      </c>
      <c r="AK52" s="635">
        <f t="shared" si="211"/>
        <v>0.83160980415529218</v>
      </c>
      <c r="AL52" s="629">
        <f t="shared" si="91"/>
        <v>-0.53576176412132304</v>
      </c>
      <c r="AM52" s="634">
        <f t="shared" si="92"/>
        <v>-0.14623428373129285</v>
      </c>
      <c r="AN52" s="581">
        <f t="shared" si="93"/>
        <v>-74.733192198916186</v>
      </c>
      <c r="AO52" s="582">
        <f t="shared" si="94"/>
        <v>33.735539328081906</v>
      </c>
      <c r="AP52" s="585">
        <f t="shared" si="95"/>
        <v>-32.79152003263988</v>
      </c>
      <c r="AQ52" s="586">
        <f t="shared" si="246"/>
        <v>0.55122746287678992</v>
      </c>
      <c r="AS52" s="52">
        <f t="shared" si="406"/>
        <v>-242.65001954211934</v>
      </c>
      <c r="AT52" s="72">
        <f t="shared" si="247"/>
        <v>-1.3188499864641765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>Gage</v>
      </c>
      <c r="IG52" s="847">
        <f t="shared" si="210"/>
        <v>4.2229999999999999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4.1230000000000002</v>
      </c>
      <c r="II52" s="734" cm="1">
        <f t="array" ref="II52">IFERROR(ROUND(VALUE(IF($IH52&lt;1,$IH52+LARGE((IF($M$9:$M$150="",0,$M$9:$M$150)-MOD(IF($M$9:$M$150="",0,$M$9:$M$150),1)),1),$IH52)),4),"")</f>
        <v>4.1230000000000002</v>
      </c>
      <c r="IJ52" s="533">
        <f t="shared" si="112"/>
        <v>1613</v>
      </c>
      <c r="IK52" s="533">
        <f t="shared" si="382"/>
        <v>1313</v>
      </c>
      <c r="IL52" s="727">
        <f t="shared" si="225"/>
        <v>15.570000350848545</v>
      </c>
      <c r="IM52" s="759">
        <v>7.9375090062524004E-4</v>
      </c>
      <c r="IN52" s="5">
        <f t="shared" si="226"/>
        <v>0</v>
      </c>
      <c r="IO52" s="771">
        <v>0</v>
      </c>
      <c r="IP52" s="9">
        <f t="shared" si="227"/>
        <v>-4.0205121258645722</v>
      </c>
      <c r="IQ52" s="5">
        <f t="shared" si="228"/>
        <v>-1.1962036077500811</v>
      </c>
      <c r="IR52" s="5">
        <f t="shared" si="383"/>
        <v>0.314</v>
      </c>
      <c r="IS52" s="5">
        <f t="shared" si="229"/>
        <v>0.29080700976987428</v>
      </c>
      <c r="IT52" s="727">
        <f t="shared" si="230"/>
        <v>72.019022126446131</v>
      </c>
      <c r="IU52" s="9">
        <f t="shared" si="231"/>
        <v>-4.1356000000000002</v>
      </c>
      <c r="IV52" s="5">
        <f t="shared" si="232"/>
        <v>-1.4875999999999998</v>
      </c>
      <c r="IW52" s="5">
        <f t="shared" si="384"/>
        <v>0.26600000000000001</v>
      </c>
      <c r="IX52" s="5">
        <f t="shared" si="233"/>
        <v>0.22120820790530774</v>
      </c>
      <c r="IY52" s="762">
        <f t="shared" si="234"/>
        <v>74.733192198916186</v>
      </c>
    </row>
    <row r="53" spans="1:259" ht="15" customHeight="1" x14ac:dyDescent="0.25">
      <c r="A53" s="79"/>
      <c r="B53" s="707">
        <v>-3.7163888565757781</v>
      </c>
      <c r="C53" s="708">
        <v>-1.8935931101267194</v>
      </c>
      <c r="D53" s="709">
        <v>-2.2366999999999999</v>
      </c>
      <c r="E53" s="710">
        <v>-0.15056599424530523</v>
      </c>
      <c r="F53" s="708">
        <v>-0.9878475962243175</v>
      </c>
      <c r="G53" s="711">
        <v>3.8561742838732246E-2</v>
      </c>
      <c r="H53" s="710">
        <v>0.26600000000000001</v>
      </c>
      <c r="I53" s="708">
        <v>0.52</v>
      </c>
      <c r="J53" s="570">
        <v>4.2279999999999998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4.2279999999999998</v>
      </c>
      <c r="N53" s="632">
        <f t="shared" si="240"/>
        <v>-3.7163888565757781</v>
      </c>
      <c r="O53" s="629">
        <f t="shared" si="241"/>
        <v>-1.8935931101267194</v>
      </c>
      <c r="P53" s="633">
        <f t="shared" si="242"/>
        <v>-2.2366999999999999</v>
      </c>
      <c r="Q53" s="585">
        <f t="shared" si="113"/>
        <v>206.99998050841441</v>
      </c>
      <c r="R53" s="629">
        <f t="shared" ref="R53:R58" si="410">IF(M53="","",SQRT(N53^2+O53^2))</f>
        <v>4.1710000000000003</v>
      </c>
      <c r="S53" s="634">
        <f t="shared" ref="S53:S58" si="411">IF(M53="","",P53)</f>
        <v>-2.2366999999999999</v>
      </c>
      <c r="T53" s="635">
        <f t="shared" ref="T53:T58" si="412">IF(M53="","",X53*COS(RADIANS(W53)))</f>
        <v>-1.9162597631060518</v>
      </c>
      <c r="U53" s="629">
        <f t="shared" ref="U53:U58" si="413">IF(M53="","",X53*SIN(RADIANS(W53)))</f>
        <v>3.7047522886558477</v>
      </c>
      <c r="V53" s="636">
        <f t="shared" ref="V53:V58" si="414">IF(M53="","",Y53)</f>
        <v>-2.2366999999999999</v>
      </c>
      <c r="W53" s="585">
        <f t="shared" si="224"/>
        <v>117.34998045788066</v>
      </c>
      <c r="X53" s="629">
        <f t="shared" ref="X53:X58" si="415">IF(M53="","",R53)</f>
        <v>4.1710000000000003</v>
      </c>
      <c r="Y53" s="630">
        <f t="shared" si="223"/>
        <v>-2.2366999999999999</v>
      </c>
      <c r="Z53" s="632">
        <f t="shared" si="243"/>
        <v>0.15056599424530523</v>
      </c>
      <c r="AA53" s="629">
        <f t="shared" si="244"/>
        <v>0.9878475962243175</v>
      </c>
      <c r="AB53" s="629">
        <f t="shared" si="245"/>
        <v>-3.8561742838732246E-2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0.15056599424530523</v>
      </c>
      <c r="AE53" s="629">
        <f t="shared" ref="AE53:AE58" si="418">IF(M53="","",AA53*(1/SQRT(Z53^2+AA53^2+AB53^2)))</f>
        <v>0.9878475962243175</v>
      </c>
      <c r="AF53" s="633">
        <f t="shared" ref="AF53:AF58" si="419">IF(M53="","",AB53*(1/SQRT(Z53^2+AA53^2+AB53^2)))</f>
        <v>-3.8561742838732246E-2</v>
      </c>
      <c r="AG53" s="602">
        <f t="shared" ref="AG53:AG58" si="420">IF(M53="","",DEGREES(ATAN2(-AF53,AE53)))</f>
        <v>87.764529777680821</v>
      </c>
      <c r="AH53" s="603">
        <f t="shared" ref="AH53:AH58" si="421">IF(M53="","",DEGREES(ACOS(AD53)))</f>
        <v>81.340271832140047</v>
      </c>
      <c r="AI53" s="585">
        <f t="shared" ref="AI53:AI58" si="422">IF(M53="","",DEGREES(-ACOS(-AF53)))</f>
        <v>-87.790026945796356</v>
      </c>
      <c r="AJ53" s="586">
        <f t="shared" ref="AJ53:AJ58" si="423">IF(M53="","",DEGREES(ATAN2(-AE53,AD53)))</f>
        <v>171.33377651018614</v>
      </c>
      <c r="AK53" s="635">
        <f t="shared" ref="AK53:AK58" si="424">IF(M53="","",(COS(RADIANS((90-$Q$8)-W53))*AD53)+(-SIN(RADIANS((90-$Q$8)-W53))*AE53))</f>
        <v>0.81182332037423466</v>
      </c>
      <c r="AL53" s="629">
        <f t="shared" ref="AL53:AL58" si="425">IF(M53="","",(SIN(RADIANS((90-$Q$8)-W53))*AD53)+(COS(RADIANS((90-$Q$8)-W53))*AE53))</f>
        <v>-0.58262843089381777</v>
      </c>
      <c r="AM53" s="634">
        <f t="shared" ref="AM53:AM58" si="426">IF(M53="","",AF53)</f>
        <v>-3.8561742838732246E-2</v>
      </c>
      <c r="AN53" s="581">
        <f t="shared" ref="AN53:AN58" si="427">IF(M53="","",DEGREES(ATAN2(-AM53,AL53)))</f>
        <v>-86.213354385318027</v>
      </c>
      <c r="AO53" s="582">
        <f t="shared" si="94"/>
        <v>35.725540805915372</v>
      </c>
      <c r="AP53" s="585">
        <f t="shared" ref="AP53:AP58" si="428">IF(M53="","",DEGREES(ATAN2(AK53,AL53)))</f>
        <v>-35.666203998228262</v>
      </c>
      <c r="AQ53" s="586">
        <f t="shared" si="246"/>
        <v>0.54654938486157878</v>
      </c>
      <c r="AS53" s="52">
        <f t="shared" si="406"/>
        <v>-242.65001954211934</v>
      </c>
      <c r="AT53" s="72">
        <f t="shared" si="247"/>
        <v>-2.0679499864641766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>Gage</v>
      </c>
      <c r="IG53" s="847">
        <f t="shared" si="210"/>
        <v>4.2279999999999998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4.1280000000000001</v>
      </c>
      <c r="II53" s="734" cm="1">
        <f t="array" ref="II53">IFERROR(ROUND(VALUE(IF($IH53&lt;1,$IH53+LARGE((IF($M$9:$M$150="",0,$M$9:$M$150)-MOD(IF($M$9:$M$150="",0,$M$9:$M$150),1)),1),$IH53)),4),"")</f>
        <v>4.1280000000000001</v>
      </c>
      <c r="IJ53" s="533">
        <f t="shared" si="112"/>
        <v>1313</v>
      </c>
      <c r="IK53" s="533">
        <f t="shared" si="382"/>
        <v>1313</v>
      </c>
      <c r="IL53" s="727">
        <f t="shared" si="225"/>
        <v>15.320000386944088</v>
      </c>
      <c r="IM53" s="759">
        <v>9.31216216268745E-4</v>
      </c>
      <c r="IN53" s="5">
        <f t="shared" si="226"/>
        <v>0</v>
      </c>
      <c r="IO53" s="771">
        <v>0</v>
      </c>
      <c r="IP53" s="9">
        <f t="shared" si="227"/>
        <v>-4.1574125387562164</v>
      </c>
      <c r="IQ53" s="5">
        <f t="shared" si="228"/>
        <v>-1.9312058245167669</v>
      </c>
      <c r="IR53" s="5">
        <f t="shared" si="383"/>
        <v>0.26600000000000001</v>
      </c>
      <c r="IS53" s="5">
        <f t="shared" si="229"/>
        <v>0.23695135907626652</v>
      </c>
      <c r="IT53" s="727">
        <f t="shared" si="230"/>
        <v>88.035038760622044</v>
      </c>
      <c r="IU53" s="9">
        <f t="shared" si="231"/>
        <v>-4.1710000000000003</v>
      </c>
      <c r="IV53" s="5">
        <f t="shared" si="232"/>
        <v>-2.2366999999999999</v>
      </c>
      <c r="IW53" s="5">
        <f t="shared" si="384"/>
        <v>0.26600000000000001</v>
      </c>
      <c r="IX53" s="5">
        <f t="shared" si="233"/>
        <v>0.21594500321954646</v>
      </c>
      <c r="IY53" s="762">
        <f t="shared" si="234"/>
        <v>86.213354385318027</v>
      </c>
    </row>
    <row r="54" spans="1:259" ht="15" customHeight="1" x14ac:dyDescent="0.25">
      <c r="A54" s="79"/>
      <c r="B54" s="707">
        <v>-2.5043545959448306</v>
      </c>
      <c r="C54" s="708">
        <v>1.1955896124916709</v>
      </c>
      <c r="D54" s="709">
        <v>-9.8900298283299645E-2</v>
      </c>
      <c r="E54" s="710">
        <v>-0.48253388109804085</v>
      </c>
      <c r="F54" s="708">
        <v>-0.83317252300403133</v>
      </c>
      <c r="G54" s="711">
        <v>0.27015662217232189</v>
      </c>
      <c r="H54" s="710">
        <v>0.314</v>
      </c>
      <c r="I54" s="708">
        <v>0.52</v>
      </c>
      <c r="J54" s="570">
        <v>5.1120000000000001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5.1120000000000001</v>
      </c>
      <c r="N54" s="632">
        <f t="shared" si="240"/>
        <v>-2.5043545959448306</v>
      </c>
      <c r="O54" s="629">
        <f t="shared" si="241"/>
        <v>1.1955896124916709</v>
      </c>
      <c r="P54" s="633">
        <f t="shared" si="242"/>
        <v>-9.8900298283299645E-2</v>
      </c>
      <c r="Q54" s="585">
        <f t="shared" si="113"/>
        <v>154.47999069024121</v>
      </c>
      <c r="R54" s="629">
        <f t="shared" si="410"/>
        <v>2.7751083697268437</v>
      </c>
      <c r="S54" s="634">
        <f t="shared" si="411"/>
        <v>-9.8900298283299645E-2</v>
      </c>
      <c r="T54" s="635">
        <f t="shared" si="412"/>
        <v>1.1802691711599276</v>
      </c>
      <c r="U54" s="629">
        <f t="shared" si="413"/>
        <v>2.5116112651717102</v>
      </c>
      <c r="V54" s="636">
        <f t="shared" si="414"/>
        <v>-9.8900298283299645E-2</v>
      </c>
      <c r="W54" s="585">
        <f t="shared" si="224"/>
        <v>64.829990639707461</v>
      </c>
      <c r="X54" s="629">
        <f t="shared" si="415"/>
        <v>2.7751083697268437</v>
      </c>
      <c r="Y54" s="630">
        <f t="shared" si="223"/>
        <v>-9.8900298283299645E-2</v>
      </c>
      <c r="Z54" s="632">
        <f t="shared" si="243"/>
        <v>0.48253388109804085</v>
      </c>
      <c r="AA54" s="629">
        <f t="shared" si="244"/>
        <v>0.83317252300403133</v>
      </c>
      <c r="AB54" s="629">
        <f t="shared" si="245"/>
        <v>-0.27015662217232189</v>
      </c>
      <c r="AC54" s="636">
        <f t="shared" si="416"/>
        <v>1</v>
      </c>
      <c r="AD54" s="637">
        <f t="shared" si="417"/>
        <v>0.48253388109804085</v>
      </c>
      <c r="AE54" s="629">
        <f t="shared" si="418"/>
        <v>0.83317252300403133</v>
      </c>
      <c r="AF54" s="633">
        <f t="shared" si="419"/>
        <v>-0.27015662217232189</v>
      </c>
      <c r="AG54" s="602">
        <f t="shared" si="420"/>
        <v>72.034686657492131</v>
      </c>
      <c r="AH54" s="603">
        <f t="shared" si="421"/>
        <v>61.148975032918237</v>
      </c>
      <c r="AI54" s="585">
        <f t="shared" si="422"/>
        <v>-74.326413007422062</v>
      </c>
      <c r="AJ54" s="586">
        <f t="shared" si="423"/>
        <v>149.92261880196227</v>
      </c>
      <c r="AK54" s="635">
        <f t="shared" si="424"/>
        <v>0.95977222445492194</v>
      </c>
      <c r="AL54" s="629">
        <f t="shared" si="425"/>
        <v>-7.6502788585072645E-2</v>
      </c>
      <c r="AM54" s="634">
        <f t="shared" si="426"/>
        <v>-0.27015662217232189</v>
      </c>
      <c r="AN54" s="581">
        <f t="shared" si="427"/>
        <v>-15.811028989098242</v>
      </c>
      <c r="AO54" s="582">
        <f t="shared" si="94"/>
        <v>16.30674910051648</v>
      </c>
      <c r="AP54" s="585">
        <f t="shared" si="428"/>
        <v>-4.5573718882789445</v>
      </c>
      <c r="AQ54" s="586">
        <f t="shared" si="246"/>
        <v>0.82143474517365289</v>
      </c>
      <c r="AS54" s="52">
        <f t="shared" si="406"/>
        <v>-295.17000936029251</v>
      </c>
      <c r="AT54" s="72">
        <f t="shared" si="247"/>
        <v>0.10632193040403283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5.1120000000000001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-3.1208178062209706</v>
      </c>
      <c r="C55" s="708">
        <v>1.5573433913145467</v>
      </c>
      <c r="D55" s="709">
        <v>-0.42570128391507234</v>
      </c>
      <c r="E55" s="710">
        <v>-0.61842652364550366</v>
      </c>
      <c r="F55" s="708">
        <v>-0.75505490720753687</v>
      </c>
      <c r="G55" s="711">
        <v>0.21780891155679447</v>
      </c>
      <c r="H55" s="710">
        <v>0.314</v>
      </c>
      <c r="I55" s="708">
        <v>0.52</v>
      </c>
      <c r="J55" s="570">
        <v>5.117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5.117</v>
      </c>
      <c r="N55" s="632">
        <f t="shared" si="240"/>
        <v>-3.1208178062209706</v>
      </c>
      <c r="O55" s="629">
        <f t="shared" si="241"/>
        <v>1.5573433913145467</v>
      </c>
      <c r="P55" s="633">
        <f t="shared" si="242"/>
        <v>-0.42570128391507234</v>
      </c>
      <c r="Q55" s="585">
        <f t="shared" si="113"/>
        <v>153.47999083462329</v>
      </c>
      <c r="R55" s="629">
        <f t="shared" si="410"/>
        <v>3.4878105192365259</v>
      </c>
      <c r="S55" s="634">
        <f t="shared" si="411"/>
        <v>-0.42570128391507234</v>
      </c>
      <c r="T55" s="635">
        <f t="shared" si="412"/>
        <v>1.5382504649760329</v>
      </c>
      <c r="U55" s="629">
        <f t="shared" si="413"/>
        <v>3.1302727876493419</v>
      </c>
      <c r="V55" s="636">
        <f t="shared" si="414"/>
        <v>-0.42570128391507234</v>
      </c>
      <c r="W55" s="585">
        <f t="shared" si="224"/>
        <v>63.829990784089546</v>
      </c>
      <c r="X55" s="629">
        <f t="shared" si="415"/>
        <v>3.4878105192365259</v>
      </c>
      <c r="Y55" s="630">
        <f t="shared" si="223"/>
        <v>-0.42570128391507234</v>
      </c>
      <c r="Z55" s="632">
        <f t="shared" si="243"/>
        <v>0.61842652364550366</v>
      </c>
      <c r="AA55" s="629">
        <f t="shared" si="244"/>
        <v>0.75505490720753687</v>
      </c>
      <c r="AB55" s="629">
        <f t="shared" si="245"/>
        <v>-0.21780891155679447</v>
      </c>
      <c r="AC55" s="636">
        <f t="shared" si="416"/>
        <v>1</v>
      </c>
      <c r="AD55" s="637">
        <f t="shared" si="417"/>
        <v>0.61842652364550366</v>
      </c>
      <c r="AE55" s="629">
        <f t="shared" si="418"/>
        <v>0.75505490720753687</v>
      </c>
      <c r="AF55" s="633">
        <f t="shared" si="419"/>
        <v>-0.21780891155679447</v>
      </c>
      <c r="AG55" s="602">
        <f t="shared" si="420"/>
        <v>73.908860605737388</v>
      </c>
      <c r="AH55" s="603">
        <f t="shared" si="421"/>
        <v>51.798678278671289</v>
      </c>
      <c r="AI55" s="585">
        <f t="shared" si="422"/>
        <v>-77.419627653228147</v>
      </c>
      <c r="AJ55" s="586">
        <f t="shared" si="423"/>
        <v>140.6808635843723</v>
      </c>
      <c r="AK55" s="635">
        <f t="shared" si="424"/>
        <v>0.95174070964938418</v>
      </c>
      <c r="AL55" s="629">
        <f t="shared" si="425"/>
        <v>-0.21621493852768681</v>
      </c>
      <c r="AM55" s="634">
        <f t="shared" si="426"/>
        <v>-0.21780891155679447</v>
      </c>
      <c r="AN55" s="581">
        <f t="shared" si="427"/>
        <v>-44.789579497502622</v>
      </c>
      <c r="AO55" s="582">
        <f>IF(ROUND(IF(M55="",0,DEGREES(ACOS(AK55))),4)=90,0,IF(M55="","",DEGREES(ACOS(AK55))))</f>
        <v>17.872706331488853</v>
      </c>
      <c r="AP55" s="585">
        <f t="shared" si="428"/>
        <v>-12.799127250250992</v>
      </c>
      <c r="AQ55" s="586">
        <f t="shared" si="246"/>
        <v>0.65359850591498281</v>
      </c>
      <c r="AS55" s="52">
        <f t="shared" si="406"/>
        <v>-296.17000921591045</v>
      </c>
      <c r="AT55" s="72">
        <f t="shared" si="247"/>
        <v>-0.21978461088356074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5.117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-3.5219808027204986</v>
      </c>
      <c r="C56" s="708">
        <v>1.8201665534260882</v>
      </c>
      <c r="D56" s="709">
        <v>-1.048103161079134</v>
      </c>
      <c r="E56" s="710">
        <v>-0.72566630626153084</v>
      </c>
      <c r="F56" s="708">
        <v>-0.67469504290482296</v>
      </c>
      <c r="G56" s="711">
        <v>0.13488888403573271</v>
      </c>
      <c r="H56" s="710">
        <v>0.314</v>
      </c>
      <c r="I56" s="708">
        <v>0.52</v>
      </c>
      <c r="J56" s="570">
        <v>5.1219999999999999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5.1219999999999999</v>
      </c>
      <c r="N56" s="632">
        <f t="shared" si="240"/>
        <v>-3.5219808027204986</v>
      </c>
      <c r="O56" s="629">
        <f t="shared" si="241"/>
        <v>1.8201665534260882</v>
      </c>
      <c r="P56" s="633">
        <f t="shared" si="242"/>
        <v>-1.048103161079134</v>
      </c>
      <c r="Q56" s="585">
        <f t="shared" si="113"/>
        <v>152.66999095157283</v>
      </c>
      <c r="R56" s="629">
        <f t="shared" si="410"/>
        <v>3.964511956968062</v>
      </c>
      <c r="S56" s="634">
        <f t="shared" si="411"/>
        <v>-1.048103161079134</v>
      </c>
      <c r="T56" s="635">
        <f t="shared" si="412"/>
        <v>1.798618173698173</v>
      </c>
      <c r="U56" s="629">
        <f t="shared" si="413"/>
        <v>3.5330337844670239</v>
      </c>
      <c r="V56" s="636">
        <f t="shared" si="414"/>
        <v>-1.048103161079134</v>
      </c>
      <c r="W56" s="585">
        <f t="shared" si="224"/>
        <v>63.01999090103908</v>
      </c>
      <c r="X56" s="629">
        <f t="shared" si="415"/>
        <v>3.964511956968062</v>
      </c>
      <c r="Y56" s="630">
        <f t="shared" si="223"/>
        <v>-1.048103161079134</v>
      </c>
      <c r="Z56" s="632">
        <f t="shared" si="243"/>
        <v>0.72566630626153084</v>
      </c>
      <c r="AA56" s="629">
        <f t="shared" si="244"/>
        <v>0.67469504290482296</v>
      </c>
      <c r="AB56" s="629">
        <f t="shared" si="245"/>
        <v>-0.13488888403573271</v>
      </c>
      <c r="AC56" s="636">
        <f t="shared" si="416"/>
        <v>1</v>
      </c>
      <c r="AD56" s="637">
        <f t="shared" si="417"/>
        <v>0.72566630626153084</v>
      </c>
      <c r="AE56" s="629">
        <f t="shared" si="418"/>
        <v>0.67469504290482296</v>
      </c>
      <c r="AF56" s="633">
        <f t="shared" si="419"/>
        <v>-0.13488888403573271</v>
      </c>
      <c r="AG56" s="602">
        <f t="shared" si="420"/>
        <v>78.69416049467722</v>
      </c>
      <c r="AH56" s="603">
        <f t="shared" si="421"/>
        <v>43.475695087780672</v>
      </c>
      <c r="AI56" s="585">
        <f t="shared" si="422"/>
        <v>-82.247805357865218</v>
      </c>
      <c r="AJ56" s="586">
        <f t="shared" si="423"/>
        <v>132.91543120843633</v>
      </c>
      <c r="AK56" s="635">
        <f t="shared" si="424"/>
        <v>0.93254770537617115</v>
      </c>
      <c r="AL56" s="629">
        <f t="shared" si="425"/>
        <v>-0.33490262190856696</v>
      </c>
      <c r="AM56" s="634">
        <f t="shared" si="426"/>
        <v>-0.13488888403573271</v>
      </c>
      <c r="AN56" s="581">
        <f t="shared" si="427"/>
        <v>-68.061880145583501</v>
      </c>
      <c r="AO56" s="582">
        <f t="shared" ref="AO56:AO119" si="461">IF(ROUND(IF(M56="",0,DEGREES(ACOS(AK56))),4)=90,0,IF(M56="","",DEGREES(ACOS(AK56))))</f>
        <v>21.164496273408556</v>
      </c>
      <c r="AP56" s="585">
        <f t="shared" si="428"/>
        <v>-19.754559743136504</v>
      </c>
      <c r="AQ56" s="586">
        <f t="shared" si="246"/>
        <v>0.57501405440983655</v>
      </c>
      <c r="AS56" s="52">
        <f t="shared" si="406"/>
        <v>-296.98000909896092</v>
      </c>
      <c r="AT56" s="72">
        <f t="shared" si="247"/>
        <v>-0.84162398812883743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5.1219999999999999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-3.6388286440809705</v>
      </c>
      <c r="C57" s="708">
        <v>1.9015257740897216</v>
      </c>
      <c r="D57" s="709">
        <v>-1.8217054942637712</v>
      </c>
      <c r="E57" s="710">
        <v>-0.80468378087975667</v>
      </c>
      <c r="F57" s="708">
        <v>-0.59334430882212408</v>
      </c>
      <c r="G57" s="711">
        <v>2.0652941133301822E-2</v>
      </c>
      <c r="H57" s="710">
        <v>0.314</v>
      </c>
      <c r="I57" s="708">
        <v>0.52</v>
      </c>
      <c r="J57" s="570">
        <v>5.1269999999999998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5.1269999999999998</v>
      </c>
      <c r="N57" s="632">
        <f t="shared" si="240"/>
        <v>-3.6388286440809705</v>
      </c>
      <c r="O57" s="629">
        <f t="shared" si="241"/>
        <v>1.9015257740897216</v>
      </c>
      <c r="P57" s="633">
        <f t="shared" si="242"/>
        <v>-1.8217054942637712</v>
      </c>
      <c r="Q57" s="585">
        <f t="shared" si="113"/>
        <v>152.40999098911217</v>
      </c>
      <c r="R57" s="629">
        <f t="shared" si="410"/>
        <v>4.105712382828548</v>
      </c>
      <c r="S57" s="634">
        <f t="shared" si="411"/>
        <v>-1.8217054942637712</v>
      </c>
      <c r="T57" s="635">
        <f t="shared" si="412"/>
        <v>1.8792620980793187</v>
      </c>
      <c r="U57" s="629">
        <f t="shared" si="413"/>
        <v>3.6503764377436734</v>
      </c>
      <c r="V57" s="636">
        <f t="shared" si="414"/>
        <v>-1.8217054942637712</v>
      </c>
      <c r="W57" s="585">
        <f t="shared" si="224"/>
        <v>62.759990938578426</v>
      </c>
      <c r="X57" s="629">
        <f t="shared" si="415"/>
        <v>4.105712382828548</v>
      </c>
      <c r="Y57" s="630">
        <f t="shared" si="223"/>
        <v>-1.8217054942637712</v>
      </c>
      <c r="Z57" s="632">
        <f t="shared" si="243"/>
        <v>0.80468378087975667</v>
      </c>
      <c r="AA57" s="629">
        <f t="shared" si="244"/>
        <v>0.59334430882212408</v>
      </c>
      <c r="AB57" s="629">
        <f t="shared" si="245"/>
        <v>-2.0652941133301822E-2</v>
      </c>
      <c r="AC57" s="636">
        <f t="shared" si="416"/>
        <v>1</v>
      </c>
      <c r="AD57" s="637">
        <f t="shared" si="417"/>
        <v>0.80468378087975667</v>
      </c>
      <c r="AE57" s="629">
        <f t="shared" si="418"/>
        <v>0.59334430882212408</v>
      </c>
      <c r="AF57" s="633">
        <f t="shared" si="419"/>
        <v>-2.0652941133301822E-2</v>
      </c>
      <c r="AG57" s="602">
        <f t="shared" si="420"/>
        <v>88.00647146213214</v>
      </c>
      <c r="AH57" s="603">
        <f t="shared" si="421"/>
        <v>36.420272646355144</v>
      </c>
      <c r="AI57" s="585">
        <f t="shared" si="422"/>
        <v>-88.816589498923037</v>
      </c>
      <c r="AJ57" s="586">
        <f t="shared" si="423"/>
        <v>126.40370212849557</v>
      </c>
      <c r="AK57" s="635">
        <f t="shared" si="424"/>
        <v>0.89855422691289211</v>
      </c>
      <c r="AL57" s="629">
        <f t="shared" si="425"/>
        <v>-0.43837627367310755</v>
      </c>
      <c r="AM57" s="634">
        <f t="shared" si="426"/>
        <v>-2.0652941133301822E-2</v>
      </c>
      <c r="AN57" s="581">
        <f t="shared" si="427"/>
        <v>-87.302655041144178</v>
      </c>
      <c r="AO57" s="582">
        <f t="shared" si="461"/>
        <v>26.031327202861071</v>
      </c>
      <c r="AP57" s="585">
        <f t="shared" si="428"/>
        <v>-26.00628886061661</v>
      </c>
      <c r="AQ57" s="586">
        <f t="shared" si="246"/>
        <v>0.55523988414447401</v>
      </c>
      <c r="AS57" s="52">
        <f t="shared" si="406"/>
        <v>-297.24000906142157</v>
      </c>
      <c r="AT57" s="72">
        <f t="shared" si="247"/>
        <v>-1.6150457657839881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5.1269999999999998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-3.6938886362393788</v>
      </c>
      <c r="C58" s="708">
        <v>1.9401581157608545</v>
      </c>
      <c r="D58" s="709">
        <v>-2.5239076121053579</v>
      </c>
      <c r="E58" s="710">
        <v>-0.85348660703896517</v>
      </c>
      <c r="F58" s="708">
        <v>-0.52111344636516044</v>
      </c>
      <c r="G58" s="711">
        <v>-1.1779739132558727E-3</v>
      </c>
      <c r="H58" s="710">
        <v>0.26600000000000001</v>
      </c>
      <c r="I58" s="708">
        <v>0.52</v>
      </c>
      <c r="J58" s="570">
        <v>5.1319999999999997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5.1319999999999997</v>
      </c>
      <c r="N58" s="632">
        <f t="shared" si="240"/>
        <v>-3.6938886362393788</v>
      </c>
      <c r="O58" s="629">
        <f t="shared" si="241"/>
        <v>1.9401581157608545</v>
      </c>
      <c r="P58" s="633">
        <f t="shared" si="242"/>
        <v>-2.5239076121053579</v>
      </c>
      <c r="Q58" s="585">
        <f t="shared" si="113"/>
        <v>152.28999100643804</v>
      </c>
      <c r="R58" s="629">
        <f t="shared" si="410"/>
        <v>4.172412583996354</v>
      </c>
      <c r="S58" s="634">
        <f t="shared" si="411"/>
        <v>-2.5239076121053579</v>
      </c>
      <c r="T58" s="635">
        <f t="shared" si="412"/>
        <v>1.9175573787458529</v>
      </c>
      <c r="U58" s="629">
        <f t="shared" si="413"/>
        <v>3.7056713926505229</v>
      </c>
      <c r="V58" s="636">
        <f t="shared" si="414"/>
        <v>-2.5239076121053579</v>
      </c>
      <c r="W58" s="585">
        <f t="shared" si="224"/>
        <v>62.639990955904295</v>
      </c>
      <c r="X58" s="629">
        <f t="shared" si="415"/>
        <v>4.172412583996354</v>
      </c>
      <c r="Y58" s="630">
        <f t="shared" si="223"/>
        <v>-2.5239076121053579</v>
      </c>
      <c r="Z58" s="632">
        <f t="shared" si="243"/>
        <v>0.85348660703896517</v>
      </c>
      <c r="AA58" s="629">
        <f t="shared" si="244"/>
        <v>0.52111344636516044</v>
      </c>
      <c r="AB58" s="629">
        <f t="shared" si="245"/>
        <v>1.1779739132558727E-3</v>
      </c>
      <c r="AC58" s="636">
        <f t="shared" si="416"/>
        <v>1</v>
      </c>
      <c r="AD58" s="637">
        <f t="shared" si="417"/>
        <v>0.85348660703896517</v>
      </c>
      <c r="AE58" s="629">
        <f t="shared" si="418"/>
        <v>0.52111344636516044</v>
      </c>
      <c r="AF58" s="633">
        <f t="shared" si="419"/>
        <v>1.1779739132558727E-3</v>
      </c>
      <c r="AG58" s="602">
        <f t="shared" si="420"/>
        <v>90.129516555594492</v>
      </c>
      <c r="AH58" s="603">
        <f t="shared" si="421"/>
        <v>31.407058331214493</v>
      </c>
      <c r="AI58" s="585">
        <f t="shared" si="422"/>
        <v>-90.067492949215193</v>
      </c>
      <c r="AJ58" s="586">
        <f t="shared" si="423"/>
        <v>121.40699322414318</v>
      </c>
      <c r="AK58" s="635">
        <f t="shared" si="424"/>
        <v>0.85821666313495548</v>
      </c>
      <c r="AL58" s="629">
        <f t="shared" si="425"/>
        <v>-0.51328624713210669</v>
      </c>
      <c r="AM58" s="634">
        <f t="shared" si="426"/>
        <v>1.1779739132558727E-3</v>
      </c>
      <c r="AN58" s="581">
        <f t="shared" si="427"/>
        <v>-90.131491571207135</v>
      </c>
      <c r="AO58" s="582">
        <f t="shared" si="461"/>
        <v>30.88306424852188</v>
      </c>
      <c r="AP58" s="585">
        <f t="shared" si="428"/>
        <v>-30.882997782294872</v>
      </c>
      <c r="AQ58" s="586">
        <f t="shared" si="246"/>
        <v>0.54636435998955302</v>
      </c>
      <c r="AS58" s="52">
        <f t="shared" si="406"/>
        <v>-297.3600090440957</v>
      </c>
      <c r="AT58" s="72">
        <f t="shared" si="247"/>
        <v>-2.3171645503042733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5.1319999999999997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1313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-3.0033159977550996</v>
      </c>
      <c r="C59" s="708">
        <v>2.8006383960539103</v>
      </c>
      <c r="D59" s="709">
        <v>-1.326974180973127</v>
      </c>
      <c r="E59" s="710">
        <v>-0.94675882552769086</v>
      </c>
      <c r="F59" s="708">
        <v>-0.26711276636478642</v>
      </c>
      <c r="G59" s="711">
        <v>0.1797178241866359</v>
      </c>
      <c r="H59" s="710">
        <v>0.26600000000000001</v>
      </c>
      <c r="I59" s="708">
        <v>0.52</v>
      </c>
      <c r="J59" s="570">
        <v>5.2240000000000002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5.2240000000000002</v>
      </c>
      <c r="N59" s="632">
        <f t="shared" si="240"/>
        <v>-3.0033159977550996</v>
      </c>
      <c r="O59" s="629">
        <f t="shared" si="241"/>
        <v>2.8006383960539103</v>
      </c>
      <c r="P59" s="633">
        <f t="shared" si="242"/>
        <v>-1.326974180973127</v>
      </c>
      <c r="Q59" s="585">
        <f t="shared" si="113"/>
        <v>136.99999061516249</v>
      </c>
      <c r="R59" s="629">
        <f t="shared" si="79"/>
        <v>4.1065170653271528</v>
      </c>
      <c r="S59" s="634">
        <f t="shared" si="80"/>
        <v>-1.326974180973127</v>
      </c>
      <c r="T59" s="635">
        <f t="shared" si="81"/>
        <v>2.7822400457580949</v>
      </c>
      <c r="U59" s="629">
        <f t="shared" si="82"/>
        <v>3.0203679801645236</v>
      </c>
      <c r="V59" s="636">
        <f t="shared" si="114"/>
        <v>-1.326974180973127</v>
      </c>
      <c r="W59" s="585">
        <f t="shared" si="224"/>
        <v>47.34999056462874</v>
      </c>
      <c r="X59" s="629">
        <f t="shared" si="83"/>
        <v>4.1065170653271528</v>
      </c>
      <c r="Y59" s="630">
        <f t="shared" si="223"/>
        <v>-1.326974180973127</v>
      </c>
      <c r="Z59" s="632">
        <f t="shared" si="243"/>
        <v>0.94675882552769086</v>
      </c>
      <c r="AA59" s="629">
        <f t="shared" si="244"/>
        <v>0.26711276636478642</v>
      </c>
      <c r="AB59" s="629">
        <f t="shared" si="245"/>
        <v>-0.1797178241866359</v>
      </c>
      <c r="AC59" s="636">
        <f t="shared" si="84"/>
        <v>1</v>
      </c>
      <c r="AD59" s="637">
        <f t="shared" si="115"/>
        <v>0.94675882552769086</v>
      </c>
      <c r="AE59" s="629">
        <f t="shared" si="85"/>
        <v>0.26711276636478642</v>
      </c>
      <c r="AF59" s="633">
        <f t="shared" si="86"/>
        <v>-0.1797178241866359</v>
      </c>
      <c r="AG59" s="602">
        <f t="shared" si="87"/>
        <v>56.066690920995633</v>
      </c>
      <c r="AH59" s="603">
        <f t="shared" si="88"/>
        <v>18.780510573202587</v>
      </c>
      <c r="AI59" s="585">
        <f t="shared" si="89"/>
        <v>-79.646675701154564</v>
      </c>
      <c r="AJ59" s="586">
        <f t="shared" si="90"/>
        <v>105.75555876992622</v>
      </c>
      <c r="AK59" s="635">
        <f t="shared" si="211"/>
        <v>0.84104196039146162</v>
      </c>
      <c r="AL59" s="629">
        <f t="shared" si="91"/>
        <v>-0.51024496521818685</v>
      </c>
      <c r="AM59" s="634">
        <f t="shared" si="92"/>
        <v>-0.1797178241866359</v>
      </c>
      <c r="AN59" s="581">
        <f t="shared" si="93"/>
        <v>-70.596782506681777</v>
      </c>
      <c r="AO59" s="582">
        <f t="shared" si="461"/>
        <v>32.749687830284692</v>
      </c>
      <c r="AP59" s="585">
        <f t="shared" si="95"/>
        <v>-31.244431845236246</v>
      </c>
      <c r="AQ59" s="586">
        <f t="shared" si="246"/>
        <v>0.55513109028181129</v>
      </c>
      <c r="AS59" s="52">
        <f t="shared" si="406"/>
        <v>-312.65000943537126</v>
      </c>
      <c r="AT59" s="72">
        <f t="shared" si="247"/>
        <v>-1.1096130633447676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5.2240000000000002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3.1240000000000001</v>
      </c>
      <c r="II59" s="734" cm="1">
        <f t="array" ref="II59">IFERROR(ROUND(VALUE(IF($IH59&lt;1,$IH59+LARGE((IF($M$9:$M$150="",0,$M$9:$M$150)-MOD(IF($M$9:$M$150="",0,$M$9:$M$150),1)),1),$IH59)),4),"")</f>
        <v>3.1240000000000001</v>
      </c>
      <c r="IJ59" s="533">
        <f t="shared" si="112"/>
        <v>1613</v>
      </c>
      <c r="IK59" s="533">
        <f>IF(ISNUMBER($II59),INDEX($K$9:$K$150,MATCH($IG59,$M$9:$M$150,0)),"")</f>
        <v>1313</v>
      </c>
      <c r="IL59" s="727">
        <f t="shared" si="225"/>
        <v>165.48997870508182</v>
      </c>
      <c r="IM59" s="759">
        <v>1.5555286083064199E-2</v>
      </c>
      <c r="IN59" s="5">
        <f t="shared" si="226"/>
        <v>0.06</v>
      </c>
      <c r="IO59" s="771">
        <v>30</v>
      </c>
      <c r="IP59" s="9">
        <f t="shared" si="227"/>
        <v>-4.0617122501241463</v>
      </c>
      <c r="IQ59" s="5">
        <f t="shared" si="228"/>
        <v>-1.3491040688978719</v>
      </c>
      <c r="IR59" s="5">
        <f t="shared" si="383"/>
        <v>0.314</v>
      </c>
      <c r="IS59" s="5">
        <f t="shared" si="229"/>
        <v>0.28873050907887898</v>
      </c>
      <c r="IT59" s="727">
        <f t="shared" si="230"/>
        <v>75.928865634958242</v>
      </c>
      <c r="IU59" s="9">
        <f t="shared" si="231"/>
        <v>-4.1065170653271528</v>
      </c>
      <c r="IV59" s="5">
        <f t="shared" si="232"/>
        <v>-1.326974180973127</v>
      </c>
      <c r="IW59" s="5">
        <f t="shared" si="384"/>
        <v>0.26600000000000001</v>
      </c>
      <c r="IX59" s="5">
        <f t="shared" si="233"/>
        <v>0.22371716146412879</v>
      </c>
      <c r="IY59" s="762">
        <f t="shared" si="234"/>
        <v>70.596782506681777</v>
      </c>
    </row>
    <row r="60" spans="1:259" ht="15" customHeight="1" x14ac:dyDescent="0.25">
      <c r="A60" s="79"/>
      <c r="B60" s="707">
        <v>-3.0491505291469592</v>
      </c>
      <c r="C60" s="708">
        <v>2.8433798020788275</v>
      </c>
      <c r="D60" s="709">
        <v>-2.0871424359320749</v>
      </c>
      <c r="E60" s="710">
        <v>-0.97919576145711718</v>
      </c>
      <c r="F60" s="708">
        <v>-0.19693944624834858</v>
      </c>
      <c r="G60" s="711">
        <v>4.8892895760125947E-2</v>
      </c>
      <c r="H60" s="710">
        <v>0.26600000000000001</v>
      </c>
      <c r="I60" s="708">
        <v>0.52</v>
      </c>
      <c r="J60" s="570">
        <v>5.2290000000000001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5.2290000000000001</v>
      </c>
      <c r="N60" s="632">
        <f t="shared" si="240"/>
        <v>-3.0491505291469592</v>
      </c>
      <c r="O60" s="629">
        <f t="shared" si="241"/>
        <v>2.8433798020788275</v>
      </c>
      <c r="P60" s="633">
        <f t="shared" si="242"/>
        <v>-2.0871424359320749</v>
      </c>
      <c r="Q60" s="585">
        <f t="shared" si="113"/>
        <v>136.99999061516249</v>
      </c>
      <c r="R60" s="629">
        <f t="shared" si="79"/>
        <v>4.1691878883383291</v>
      </c>
      <c r="S60" s="634">
        <f t="shared" si="80"/>
        <v>-2.0871424359320749</v>
      </c>
      <c r="T60" s="635">
        <f t="shared" si="81"/>
        <v>2.824700668886766</v>
      </c>
      <c r="U60" s="629">
        <f t="shared" si="82"/>
        <v>3.0664627471172174</v>
      </c>
      <c r="V60" s="636">
        <f t="shared" si="114"/>
        <v>-2.0871424359320749</v>
      </c>
      <c r="W60" s="585">
        <f t="shared" si="224"/>
        <v>47.34999056462874</v>
      </c>
      <c r="X60" s="629">
        <f t="shared" si="83"/>
        <v>4.1691878883383291</v>
      </c>
      <c r="Y60" s="630">
        <f t="shared" si="223"/>
        <v>-2.0871424359320749</v>
      </c>
      <c r="Z60" s="632">
        <f t="shared" si="243"/>
        <v>0.97919576145711718</v>
      </c>
      <c r="AA60" s="629">
        <f t="shared" si="244"/>
        <v>0.19693944624834858</v>
      </c>
      <c r="AB60" s="629">
        <f t="shared" si="245"/>
        <v>-4.8892895760125947E-2</v>
      </c>
      <c r="AC60" s="636">
        <f t="shared" si="84"/>
        <v>1</v>
      </c>
      <c r="AD60" s="637">
        <f t="shared" si="115"/>
        <v>0.97919576145711718</v>
      </c>
      <c r="AE60" s="629">
        <f t="shared" si="85"/>
        <v>0.19693944624834858</v>
      </c>
      <c r="AF60" s="633">
        <f t="shared" si="86"/>
        <v>-4.8892895760125947E-2</v>
      </c>
      <c r="AG60" s="602">
        <f t="shared" si="87"/>
        <v>76.057430894306066</v>
      </c>
      <c r="AH60" s="603">
        <f t="shared" si="88"/>
        <v>11.7076400456058</v>
      </c>
      <c r="AI60" s="585">
        <f t="shared" si="89"/>
        <v>-87.197526108149134</v>
      </c>
      <c r="AJ60" s="586">
        <f t="shared" si="90"/>
        <v>101.37182447021615</v>
      </c>
      <c r="AK60" s="635">
        <f t="shared" si="211"/>
        <v>0.811842391803417</v>
      </c>
      <c r="AL60" s="629">
        <f t="shared" si="91"/>
        <v>-0.58182593240169078</v>
      </c>
      <c r="AM60" s="634">
        <f t="shared" si="92"/>
        <v>-4.8892895760125947E-2</v>
      </c>
      <c r="AN60" s="581">
        <f t="shared" si="93"/>
        <v>-85.196518126508849</v>
      </c>
      <c r="AO60" s="582">
        <f t="shared" si="461"/>
        <v>35.723669370214495</v>
      </c>
      <c r="AP60" s="585">
        <f t="shared" si="95"/>
        <v>-35.62816614494632</v>
      </c>
      <c r="AQ60" s="586">
        <f t="shared" si="246"/>
        <v>0.54678692474260593</v>
      </c>
      <c r="AS60" s="52">
        <f t="shared" si="406"/>
        <v>-312.65000943537126</v>
      </c>
      <c r="AT60" s="72">
        <f t="shared" si="247"/>
        <v>-1.8697813183037155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>Gage</v>
      </c>
      <c r="IG60" s="847">
        <f t="shared" si="210"/>
        <v>5.2290000000000001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3.129</v>
      </c>
      <c r="II60" s="734" cm="1">
        <f t="array" ref="II60">IFERROR(ROUND(VALUE(IF($IH60&lt;1,$IH60+LARGE((IF($M$9:$M$150="",0,$M$9:$M$150)-MOD(IF($M$9:$M$150="",0,$M$9:$M$150),1)),1),$IH60)),4),"")</f>
        <v>3.129</v>
      </c>
      <c r="IJ60" s="533">
        <f t="shared" si="112"/>
        <v>1313</v>
      </c>
      <c r="IK60" s="533">
        <f t="shared" si="382"/>
        <v>1313</v>
      </c>
      <c r="IL60" s="727">
        <f t="shared" si="225"/>
        <v>165.30997873107057</v>
      </c>
      <c r="IM60" s="759">
        <v>5.09867254761262E-4</v>
      </c>
      <c r="IN60" s="5">
        <f t="shared" si="226"/>
        <v>0</v>
      </c>
      <c r="IO60" s="771">
        <v>0</v>
      </c>
      <c r="IP60" s="9">
        <f t="shared" si="227"/>
        <v>-4.1611125499154511</v>
      </c>
      <c r="IQ60" s="5">
        <f t="shared" si="228"/>
        <v>-2.0794062714893156</v>
      </c>
      <c r="IR60" s="5">
        <f t="shared" si="383"/>
        <v>0.26600000000000001</v>
      </c>
      <c r="IS60" s="5">
        <f t="shared" si="229"/>
        <v>0.23489280523661663</v>
      </c>
      <c r="IT60" s="727">
        <f t="shared" si="230"/>
        <v>88.501888147197235</v>
      </c>
      <c r="IU60" s="9">
        <f t="shared" si="231"/>
        <v>-4.1691878883383291</v>
      </c>
      <c r="IV60" s="5">
        <f t="shared" si="232"/>
        <v>-2.0871424359320749</v>
      </c>
      <c r="IW60" s="5">
        <f t="shared" si="384"/>
        <v>0.26600000000000001</v>
      </c>
      <c r="IX60" s="5">
        <f t="shared" si="233"/>
        <v>0.21595007621970896</v>
      </c>
      <c r="IY60" s="762">
        <f t="shared" si="234"/>
        <v>85.196518126508849</v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0.96592583607220739</v>
      </c>
      <c r="F154" s="170">
        <f t="shared" si="929"/>
        <v>2.2557559682354438E-2</v>
      </c>
      <c r="G154" s="170">
        <f t="shared" si="929"/>
        <v>-0.25783412440827969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2.2557559682354435E-2</v>
      </c>
      <c r="G155" s="170">
        <f t="shared" si="929"/>
        <v>-0.25783412440827969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2.2557559682354407E-2</v>
      </c>
      <c r="G156" s="170">
        <f t="shared" si="929"/>
        <v>-0.25783412440827969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0.96463637474779951</v>
      </c>
      <c r="F157" s="170">
        <f t="shared" si="929"/>
        <v>-5.1256528705608519E-2</v>
      </c>
      <c r="G157" s="170">
        <f t="shared" si="929"/>
        <v>-0.25855257256208874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0.94771674331158506</v>
      </c>
      <c r="F158" s="170">
        <f t="shared" si="929"/>
        <v>-0.21418147892026074</v>
      </c>
      <c r="G158" s="170">
        <f t="shared" si="929"/>
        <v>-0.23655711474063368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0.92610460584623566</v>
      </c>
      <c r="F159" s="170">
        <f t="shared" si="929"/>
        <v>-0.34577449782694214</v>
      </c>
      <c r="G159" s="170">
        <f t="shared" si="929"/>
        <v>-0.15089816328542427</v>
      </c>
      <c r="H159" s="139"/>
      <c r="I159" s="86"/>
      <c r="J159" s="79">
        <f t="shared" si="930"/>
        <v>1.121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0.88589972156725527</v>
      </c>
      <c r="F160" s="170">
        <f t="shared" si="929"/>
        <v>-0.46140522193831368</v>
      </c>
      <c r="G160" s="170">
        <f t="shared" si="929"/>
        <v>-4.7821590261254446E-2</v>
      </c>
      <c r="H160" s="139"/>
      <c r="I160" s="86"/>
      <c r="J160" s="79">
        <f t="shared" si="930"/>
        <v>1.1259999999999999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0.84222675291816373</v>
      </c>
      <c r="F161" s="170">
        <f t="shared" si="929"/>
        <v>-0.53910883638256579</v>
      </c>
      <c r="G161" s="170">
        <f t="shared" si="929"/>
        <v>-3.969786286740995E-3</v>
      </c>
      <c r="H161" s="139"/>
      <c r="I161" s="86"/>
      <c r="J161" s="79">
        <f t="shared" si="930"/>
        <v>1.131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0.79079647198351588</v>
      </c>
      <c r="F162" s="170">
        <f t="shared" si="929"/>
        <v>-0.61207919413945744</v>
      </c>
      <c r="G162" s="170">
        <f t="shared" si="929"/>
        <v>-1.3008419217277772E-7</v>
      </c>
      <c r="H162" s="139"/>
      <c r="I162" s="86"/>
      <c r="J162" s="79">
        <f t="shared" si="930"/>
        <v>1.1359999999999999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5.184239018306927E-2</v>
      </c>
      <c r="F163" s="170">
        <f t="shared" si="929"/>
        <v>7.0060601525648969E-2</v>
      </c>
      <c r="G163" s="170">
        <f t="shared" si="929"/>
        <v>-0.99619469918985759</v>
      </c>
      <c r="H163" s="139"/>
      <c r="I163" s="86"/>
      <c r="J163" s="79">
        <f t="shared" si="930"/>
        <v>1.206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3.5296705642820447E-2</v>
      </c>
      <c r="F164" s="170">
        <f t="shared" si="929"/>
        <v>7.9688542945604623E-2</v>
      </c>
      <c r="G164" s="170">
        <f t="shared" si="929"/>
        <v>-0.99619469918985748</v>
      </c>
      <c r="H164" s="139"/>
      <c r="I164" s="86"/>
      <c r="J164" s="79">
        <f t="shared" si="930"/>
        <v>1.2090000000000001</v>
      </c>
    </row>
    <row r="165" spans="5:16" x14ac:dyDescent="0.25">
      <c r="E165" s="170">
        <f t="shared" si="929"/>
        <v>0.65974736343130969</v>
      </c>
      <c r="F165" s="170">
        <f t="shared" si="929"/>
        <v>-0.72124216062567814</v>
      </c>
      <c r="G165" s="170">
        <f t="shared" si="929"/>
        <v>-0.21105251048362106</v>
      </c>
      <c r="H165" s="139"/>
      <c r="I165" s="86"/>
      <c r="J165" s="79">
        <f t="shared" si="930"/>
        <v>1.2230000000000001</v>
      </c>
    </row>
    <row r="166" spans="5:16" x14ac:dyDescent="0.25">
      <c r="E166" s="170">
        <f t="shared" si="929"/>
        <v>0.59263658210281456</v>
      </c>
      <c r="F166" s="170">
        <f t="shared" si="929"/>
        <v>-0.8032909442009033</v>
      </c>
      <c r="G166" s="170">
        <f t="shared" si="929"/>
        <v>-5.9207605240502337E-2</v>
      </c>
      <c r="H166" s="139"/>
      <c r="I166" s="86"/>
      <c r="J166" s="79">
        <f t="shared" si="930"/>
        <v>1.228</v>
      </c>
    </row>
    <row r="167" spans="5:16" x14ac:dyDescent="0.25">
      <c r="E167" s="170">
        <f t="shared" si="929"/>
        <v>0.69785183594321387</v>
      </c>
      <c r="F167" s="170">
        <f t="shared" si="929"/>
        <v>-0.71569315639582709</v>
      </c>
      <c r="G167" s="170">
        <f t="shared" si="929"/>
        <v>2.8037848684662883E-2</v>
      </c>
      <c r="H167" s="139"/>
      <c r="I167" s="86"/>
      <c r="J167" s="79">
        <f t="shared" si="930"/>
        <v>1.347</v>
      </c>
    </row>
    <row r="168" spans="5:16" x14ac:dyDescent="0.25">
      <c r="E168" s="170">
        <f t="shared" si="929"/>
        <v>0.30481243881166487</v>
      </c>
      <c r="F168" s="170">
        <f t="shared" si="929"/>
        <v>-0.91625598951743903</v>
      </c>
      <c r="G168" s="170">
        <f t="shared" si="929"/>
        <v>-0.25993141175914813</v>
      </c>
      <c r="H168" s="139"/>
      <c r="I168" s="86"/>
      <c r="J168" s="79">
        <f t="shared" si="930"/>
        <v>2.11</v>
      </c>
    </row>
    <row r="169" spans="5:16" x14ac:dyDescent="0.25">
      <c r="E169" s="170">
        <f t="shared" si="929"/>
        <v>0.15108287595674752</v>
      </c>
      <c r="F169" s="170">
        <f t="shared" si="929"/>
        <v>-0.95558670632769893</v>
      </c>
      <c r="G169" s="170">
        <f t="shared" si="929"/>
        <v>-0.25303756891500939</v>
      </c>
      <c r="H169" s="139"/>
      <c r="I169" s="86"/>
      <c r="J169" s="79">
        <f t="shared" si="930"/>
        <v>2.1150000000000002</v>
      </c>
    </row>
    <row r="170" spans="5:16" x14ac:dyDescent="0.25">
      <c r="E170" s="170">
        <f t="shared" si="929"/>
        <v>9.4427391205266064E-3</v>
      </c>
      <c r="F170" s="170">
        <f t="shared" si="929"/>
        <v>-0.98417568238636233</v>
      </c>
      <c r="G170" s="170">
        <f t="shared" si="929"/>
        <v>-0.17694366582966367</v>
      </c>
      <c r="H170" s="139"/>
      <c r="I170" s="86"/>
      <c r="J170" s="79">
        <f t="shared" si="930"/>
        <v>2.12</v>
      </c>
    </row>
    <row r="171" spans="5:16" x14ac:dyDescent="0.25">
      <c r="E171" s="170">
        <f t="shared" si="929"/>
        <v>-0.10992654935477228</v>
      </c>
      <c r="F171" s="170">
        <f t="shared" si="929"/>
        <v>-0.99126787628750679</v>
      </c>
      <c r="G171" s="170">
        <f t="shared" si="929"/>
        <v>-7.2829603784513891E-2</v>
      </c>
      <c r="H171" s="139"/>
      <c r="I171" s="86"/>
      <c r="J171" s="79">
        <f t="shared" si="930"/>
        <v>2.125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-0.20185244181385917</v>
      </c>
      <c r="F172" s="170">
        <f t="shared" si="929"/>
        <v>-0.97937994907091919</v>
      </c>
      <c r="G172" s="170">
        <f t="shared" si="929"/>
        <v>-8.3968501014657932E-3</v>
      </c>
      <c r="H172" s="139"/>
      <c r="I172" s="86"/>
      <c r="J172" s="79">
        <f t="shared" si="930"/>
        <v>2.13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-0.30469867541420104</v>
      </c>
      <c r="F173" s="170">
        <f t="shared" si="929"/>
        <v>-0.95244880030414991</v>
      </c>
      <c r="G173" s="170">
        <f t="shared" si="929"/>
        <v>-1.3008419232601115E-7</v>
      </c>
      <c r="H173" s="139"/>
      <c r="I173" s="86"/>
      <c r="J173" s="79">
        <f t="shared" si="930"/>
        <v>2.1349999999999998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-0.42138102949552053</v>
      </c>
      <c r="F174" s="170">
        <f t="shared" si="933"/>
        <v>-0.87467912255057867</v>
      </c>
      <c r="G174" s="170">
        <f t="shared" si="933"/>
        <v>-0.23952966529314343</v>
      </c>
      <c r="H174" s="139"/>
      <c r="I174" s="86"/>
      <c r="J174" s="79">
        <f t="shared" si="930"/>
        <v>2.222</v>
      </c>
    </row>
    <row r="175" spans="5:16" x14ac:dyDescent="0.25">
      <c r="E175" s="170">
        <f t="shared" si="933"/>
        <v>-0.55032141534099321</v>
      </c>
      <c r="F175" s="170">
        <f t="shared" si="933"/>
        <v>-0.83185639889636631</v>
      </c>
      <c r="G175" s="170">
        <f t="shared" si="933"/>
        <v>-7.1841989339491472E-2</v>
      </c>
      <c r="H175" s="139"/>
      <c r="I175" s="86"/>
      <c r="J175" s="79">
        <f t="shared" si="930"/>
        <v>2.2269999999999999</v>
      </c>
    </row>
    <row r="176" spans="5:16" x14ac:dyDescent="0.25">
      <c r="E176" s="170">
        <f t="shared" si="933"/>
        <v>-0.77830194873374592</v>
      </c>
      <c r="F176" s="170">
        <f t="shared" si="933"/>
        <v>-0.57250994828724966</v>
      </c>
      <c r="G176" s="170">
        <f t="shared" si="933"/>
        <v>-0.25783412440827963</v>
      </c>
      <c r="H176" s="139"/>
      <c r="I176" s="86"/>
      <c r="J176" s="79">
        <f t="shared" si="930"/>
        <v>3.1030000000000002</v>
      </c>
    </row>
    <row r="177" spans="5:10" x14ac:dyDescent="0.25">
      <c r="E177" s="170">
        <f t="shared" si="933"/>
        <v>-0.77830194873374603</v>
      </c>
      <c r="F177" s="170">
        <f t="shared" si="933"/>
        <v>-0.57250994828724977</v>
      </c>
      <c r="G177" s="170">
        <f t="shared" si="933"/>
        <v>-0.25783412440827969</v>
      </c>
      <c r="H177" s="139"/>
      <c r="I177" s="86"/>
      <c r="J177" s="79">
        <f t="shared" si="930"/>
        <v>3.1059999999999999</v>
      </c>
    </row>
    <row r="178" spans="5:10" x14ac:dyDescent="0.25">
      <c r="E178" s="170">
        <f t="shared" si="933"/>
        <v>-0.79241567741516816</v>
      </c>
      <c r="F178" s="170">
        <f t="shared" si="933"/>
        <v>-0.55188139935195357</v>
      </c>
      <c r="G178" s="170">
        <f t="shared" si="933"/>
        <v>-0.25981592567814255</v>
      </c>
      <c r="H178" s="139"/>
      <c r="I178" s="86"/>
      <c r="J178" s="79">
        <f t="shared" si="930"/>
        <v>3.109</v>
      </c>
    </row>
    <row r="179" spans="5:10" x14ac:dyDescent="0.25">
      <c r="E179" s="170">
        <f t="shared" si="933"/>
        <v>-0.86926341600803447</v>
      </c>
      <c r="F179" s="170">
        <f t="shared" si="933"/>
        <v>-0.42597070593380854</v>
      </c>
      <c r="G179" s="170">
        <f t="shared" si="933"/>
        <v>-0.25085866793135869</v>
      </c>
      <c r="H179" s="139"/>
      <c r="I179" s="86"/>
      <c r="J179" s="79">
        <f t="shared" si="930"/>
        <v>3.1139999999999999</v>
      </c>
    </row>
    <row r="180" spans="5:10" x14ac:dyDescent="0.25">
      <c r="E180" s="170">
        <f t="shared" si="933"/>
        <v>-0.93726488091608506</v>
      </c>
      <c r="F180" s="170">
        <f t="shared" si="933"/>
        <v>-0.2932242790880632</v>
      </c>
      <c r="G180" s="170">
        <f t="shared" si="933"/>
        <v>-0.18855785625277624</v>
      </c>
      <c r="H180" s="139"/>
      <c r="I180" s="86"/>
      <c r="J180" s="79">
        <f t="shared" si="930"/>
        <v>3.1190000000000002</v>
      </c>
    </row>
    <row r="181" spans="5:10" x14ac:dyDescent="0.25">
      <c r="E181" s="170">
        <f t="shared" si="933"/>
        <v>-0.98038939140761217</v>
      </c>
      <c r="F181" s="170">
        <f t="shared" si="933"/>
        <v>-0.17235287206903738</v>
      </c>
      <c r="G181" s="170">
        <f t="shared" si="933"/>
        <v>-9.5556939596065538E-2</v>
      </c>
      <c r="H181" s="139"/>
      <c r="I181" s="86"/>
      <c r="J181" s="79">
        <f t="shared" si="930"/>
        <v>3.1240000000000001</v>
      </c>
    </row>
    <row r="182" spans="5:10" x14ac:dyDescent="0.25">
      <c r="E182" s="170">
        <f t="shared" si="933"/>
        <v>-0.99706900834530354</v>
      </c>
      <c r="F182" s="170">
        <f t="shared" si="933"/>
        <v>-7.551738363326474E-2</v>
      </c>
      <c r="G182" s="170">
        <f t="shared" si="933"/>
        <v>-1.2268551931637207E-2</v>
      </c>
      <c r="H182" s="139"/>
      <c r="I182" s="86"/>
      <c r="J182" s="79">
        <f t="shared" si="930"/>
        <v>3.129</v>
      </c>
    </row>
    <row r="183" spans="5:10" x14ac:dyDescent="0.25">
      <c r="E183" s="170">
        <f t="shared" si="933"/>
        <v>-0.9988567236813406</v>
      </c>
      <c r="F183" s="170">
        <f t="shared" si="933"/>
        <v>4.78042420352131E-2</v>
      </c>
      <c r="G183" s="170">
        <f t="shared" si="933"/>
        <v>-1.3008419231986383E-7</v>
      </c>
      <c r="H183" s="139"/>
      <c r="I183" s="86"/>
      <c r="J183" s="79">
        <f t="shared" si="930"/>
        <v>3.1339999999999999</v>
      </c>
    </row>
    <row r="184" spans="5:10" x14ac:dyDescent="0.25">
      <c r="E184" s="170">
        <f t="shared" si="933"/>
        <v>1.2219842161680379E-2</v>
      </c>
      <c r="F184" s="170">
        <f t="shared" si="933"/>
        <v>-8.6294824662739689E-2</v>
      </c>
      <c r="G184" s="170">
        <f t="shared" si="933"/>
        <v>-0.99619469918985748</v>
      </c>
      <c r="H184" s="139"/>
      <c r="I184" s="86"/>
      <c r="J184" s="79">
        <f t="shared" si="930"/>
        <v>3.2080000000000002</v>
      </c>
    </row>
    <row r="185" spans="5:10" x14ac:dyDescent="0.25">
      <c r="E185" s="170">
        <f t="shared" si="933"/>
        <v>-0.9494286014362453</v>
      </c>
      <c r="F185" s="170">
        <f t="shared" si="933"/>
        <v>0.29401127015514666</v>
      </c>
      <c r="G185" s="170">
        <f t="shared" si="933"/>
        <v>-0.11019393720424367</v>
      </c>
      <c r="H185" s="139"/>
      <c r="I185" s="86"/>
      <c r="J185" s="79">
        <f t="shared" si="930"/>
        <v>3.226</v>
      </c>
    </row>
    <row r="186" spans="5:10" x14ac:dyDescent="0.25">
      <c r="E186" s="170">
        <f t="shared" si="933"/>
        <v>-0.94685713822669482</v>
      </c>
      <c r="F186" s="170">
        <f t="shared" si="933"/>
        <v>0.32041428956787454</v>
      </c>
      <c r="G186" s="170">
        <f t="shared" si="933"/>
        <v>-2.8217775069415175E-2</v>
      </c>
      <c r="H186" s="139"/>
      <c r="I186" s="86"/>
      <c r="J186" s="79">
        <f t="shared" si="930"/>
        <v>3.2309999999999999</v>
      </c>
    </row>
    <row r="187" spans="5:10" x14ac:dyDescent="0.25">
      <c r="E187" s="170">
        <f t="shared" si="933"/>
        <v>-0.69896308529889406</v>
      </c>
      <c r="F187" s="170">
        <f t="shared" si="933"/>
        <v>0.66706234317346003</v>
      </c>
      <c r="G187" s="170">
        <f t="shared" si="933"/>
        <v>-0.25783412440827957</v>
      </c>
      <c r="H187" s="139"/>
      <c r="I187" s="86"/>
      <c r="J187" s="79">
        <f t="shared" si="930"/>
        <v>4.1020000000000003</v>
      </c>
    </row>
    <row r="188" spans="5:10" x14ac:dyDescent="0.25">
      <c r="E188" s="170">
        <f t="shared" si="933"/>
        <v>-0.69896308529889406</v>
      </c>
      <c r="F188" s="170">
        <f t="shared" si="933"/>
        <v>0.66706234317345992</v>
      </c>
      <c r="G188" s="170">
        <f t="shared" si="933"/>
        <v>-0.25783412440827957</v>
      </c>
      <c r="H188" s="139"/>
      <c r="I188" s="86"/>
      <c r="J188" s="79">
        <f t="shared" si="930"/>
        <v>4.1050000000000004</v>
      </c>
    </row>
    <row r="189" spans="5:10" x14ac:dyDescent="0.25">
      <c r="E189" s="170">
        <f t="shared" si="933"/>
        <v>-0.69563585382686366</v>
      </c>
      <c r="F189" s="170">
        <f t="shared" si="933"/>
        <v>0.67037440502251833</v>
      </c>
      <c r="G189" s="170">
        <f t="shared" si="933"/>
        <v>-0.25824197172666352</v>
      </c>
      <c r="H189" s="139"/>
      <c r="I189" s="86"/>
      <c r="J189" s="79">
        <f t="shared" si="930"/>
        <v>4.1079999999999997</v>
      </c>
    </row>
    <row r="190" spans="5:10" x14ac:dyDescent="0.25">
      <c r="E190" s="170">
        <f t="shared" si="933"/>
        <v>-0.59384355773547792</v>
      </c>
      <c r="F190" s="170">
        <f t="shared" si="933"/>
        <v>0.76075255655981211</v>
      </c>
      <c r="G190" s="170">
        <f t="shared" si="933"/>
        <v>-0.2619262808955603</v>
      </c>
      <c r="H190" s="139"/>
      <c r="I190" s="86"/>
      <c r="J190" s="79">
        <f t="shared" si="930"/>
        <v>4.1130000000000004</v>
      </c>
    </row>
    <row r="191" spans="5:10" x14ac:dyDescent="0.25">
      <c r="E191" s="170">
        <f t="shared" si="933"/>
        <v>-0.46947151570626827</v>
      </c>
      <c r="F191" s="170">
        <f t="shared" si="933"/>
        <v>0.85725005800073062</v>
      </c>
      <c r="G191" s="170">
        <f t="shared" si="933"/>
        <v>-0.21146828130526621</v>
      </c>
      <c r="H191" s="139"/>
      <c r="I191" s="86"/>
      <c r="J191" s="79">
        <f t="shared" si="930"/>
        <v>4.1180000000000003</v>
      </c>
    </row>
    <row r="192" spans="5:10" x14ac:dyDescent="0.25">
      <c r="E192" s="170">
        <f t="shared" si="933"/>
        <v>-0.36230940132507305</v>
      </c>
      <c r="F192" s="170">
        <f t="shared" si="933"/>
        <v>0.92475620728350272</v>
      </c>
      <c r="G192" s="170">
        <f t="shared" si="933"/>
        <v>-0.11643820164404159</v>
      </c>
      <c r="H192" s="139"/>
      <c r="I192" s="86"/>
      <c r="J192" s="79">
        <f t="shared" si="930"/>
        <v>4.1230000000000002</v>
      </c>
    </row>
    <row r="193" spans="5:10" x14ac:dyDescent="0.25">
      <c r="E193" s="170">
        <f t="shared" si="933"/>
        <v>-0.26395689786482951</v>
      </c>
      <c r="F193" s="170">
        <f t="shared" si="933"/>
        <v>0.96440862393609506</v>
      </c>
      <c r="G193" s="170">
        <f t="shared" si="933"/>
        <v>-1.5580826270251993E-2</v>
      </c>
      <c r="H193" s="139"/>
      <c r="I193" s="86"/>
      <c r="J193" s="79">
        <f t="shared" si="930"/>
        <v>4.1280000000000001</v>
      </c>
    </row>
    <row r="194" spans="5:10" x14ac:dyDescent="0.25">
      <c r="E194" s="170">
        <f t="shared" ref="E194:G213" si="934">E49*-1</f>
        <v>-0.1263718616137387</v>
      </c>
      <c r="F194" s="170">
        <f t="shared" si="934"/>
        <v>0.99198293966794671</v>
      </c>
      <c r="G194" s="170">
        <f t="shared" si="934"/>
        <v>-1.3008419252451062E-7</v>
      </c>
      <c r="H194" s="139"/>
      <c r="I194" s="86"/>
      <c r="J194" s="79">
        <f t="shared" si="930"/>
        <v>4.133</v>
      </c>
    </row>
    <row r="195" spans="5:10" x14ac:dyDescent="0.25">
      <c r="E195" s="170">
        <f t="shared" si="934"/>
        <v>-8.4185907743122346E-2</v>
      </c>
      <c r="F195" s="170">
        <f t="shared" si="934"/>
        <v>2.2557797842338832E-2</v>
      </c>
      <c r="G195" s="170">
        <f t="shared" si="934"/>
        <v>-0.99619469918985748</v>
      </c>
      <c r="H195" s="139"/>
      <c r="I195" s="86"/>
      <c r="J195" s="79">
        <f t="shared" si="930"/>
        <v>4.2039999999999997</v>
      </c>
    </row>
    <row r="196" spans="5:10" x14ac:dyDescent="0.25">
      <c r="E196" s="170">
        <f t="shared" si="934"/>
        <v>-8.4548460909168455E-2</v>
      </c>
      <c r="F196" s="170">
        <f t="shared" si="934"/>
        <v>-2.1158427727980395E-2</v>
      </c>
      <c r="G196" s="170">
        <f t="shared" si="934"/>
        <v>-0.99619469918985759</v>
      </c>
      <c r="H196" s="139"/>
      <c r="I196" s="86"/>
      <c r="J196" s="79">
        <f t="shared" si="930"/>
        <v>4.2069999999999999</v>
      </c>
    </row>
    <row r="197" spans="5:10" x14ac:dyDescent="0.25">
      <c r="E197" s="170">
        <f t="shared" si="934"/>
        <v>9.9824611483474976E-2</v>
      </c>
      <c r="F197" s="170">
        <f t="shared" si="934"/>
        <v>0.98420047815664524</v>
      </c>
      <c r="G197" s="170">
        <f t="shared" si="934"/>
        <v>-0.14623428373129285</v>
      </c>
      <c r="H197" s="139"/>
      <c r="I197" s="86"/>
      <c r="J197" s="79">
        <f t="shared" si="930"/>
        <v>4.2229999999999999</v>
      </c>
    </row>
    <row r="198" spans="5:10" x14ac:dyDescent="0.25">
      <c r="E198" s="170">
        <f t="shared" si="934"/>
        <v>0.15056599424530523</v>
      </c>
      <c r="F198" s="170">
        <f t="shared" si="934"/>
        <v>0.9878475962243175</v>
      </c>
      <c r="G198" s="170">
        <f t="shared" si="934"/>
        <v>-3.8561742838732246E-2</v>
      </c>
      <c r="H198" s="139"/>
      <c r="I198" s="86"/>
      <c r="J198" s="79">
        <f t="shared" si="930"/>
        <v>4.2279999999999998</v>
      </c>
    </row>
    <row r="199" spans="5:10" x14ac:dyDescent="0.25">
      <c r="E199" s="170">
        <f t="shared" si="934"/>
        <v>0.48253388109804085</v>
      </c>
      <c r="F199" s="170">
        <f t="shared" si="934"/>
        <v>0.83317252300403133</v>
      </c>
      <c r="G199" s="170">
        <f t="shared" si="934"/>
        <v>-0.27015662217232189</v>
      </c>
      <c r="H199" s="139"/>
      <c r="I199" s="86"/>
      <c r="J199" s="79">
        <f t="shared" si="930"/>
        <v>5.1120000000000001</v>
      </c>
    </row>
    <row r="200" spans="5:10" x14ac:dyDescent="0.25">
      <c r="E200" s="170">
        <f t="shared" si="934"/>
        <v>0.61842652364550366</v>
      </c>
      <c r="F200" s="170">
        <f t="shared" si="934"/>
        <v>0.75505490720753687</v>
      </c>
      <c r="G200" s="170">
        <f t="shared" si="934"/>
        <v>-0.21780891155679447</v>
      </c>
      <c r="H200" s="139"/>
      <c r="I200" s="86"/>
      <c r="J200" s="79">
        <f t="shared" si="930"/>
        <v>5.117</v>
      </c>
    </row>
    <row r="201" spans="5:10" x14ac:dyDescent="0.25">
      <c r="E201" s="170">
        <f t="shared" si="934"/>
        <v>0.72566630626153084</v>
      </c>
      <c r="F201" s="170">
        <f t="shared" si="934"/>
        <v>0.67469504290482296</v>
      </c>
      <c r="G201" s="170">
        <f t="shared" si="934"/>
        <v>-0.13488888403573271</v>
      </c>
      <c r="H201" s="139"/>
      <c r="I201" s="86"/>
      <c r="J201" s="79">
        <f t="shared" si="930"/>
        <v>5.1219999999999999</v>
      </c>
    </row>
    <row r="202" spans="5:10" x14ac:dyDescent="0.25">
      <c r="E202" s="170">
        <f t="shared" si="934"/>
        <v>0.80468378087975667</v>
      </c>
      <c r="F202" s="170">
        <f t="shared" si="934"/>
        <v>0.59334430882212408</v>
      </c>
      <c r="G202" s="170">
        <f t="shared" si="934"/>
        <v>-2.0652941133301822E-2</v>
      </c>
      <c r="H202" s="139"/>
      <c r="I202" s="86"/>
      <c r="J202" s="79">
        <f t="shared" si="930"/>
        <v>5.1269999999999998</v>
      </c>
    </row>
    <row r="203" spans="5:10" x14ac:dyDescent="0.25">
      <c r="E203" s="170">
        <f t="shared" si="934"/>
        <v>0.85348660703896517</v>
      </c>
      <c r="F203" s="170">
        <f t="shared" si="934"/>
        <v>0.52111344636516044</v>
      </c>
      <c r="G203" s="170">
        <f t="shared" si="934"/>
        <v>1.1779739132558727E-3</v>
      </c>
      <c r="H203" s="139"/>
      <c r="I203" s="86"/>
      <c r="J203" s="79">
        <f t="shared" si="930"/>
        <v>5.1319999999999997</v>
      </c>
    </row>
    <row r="204" spans="5:10" x14ac:dyDescent="0.25">
      <c r="E204" s="170">
        <f t="shared" si="934"/>
        <v>0.94675882552769086</v>
      </c>
      <c r="F204" s="170">
        <f t="shared" si="934"/>
        <v>0.26711276636478642</v>
      </c>
      <c r="G204" s="170">
        <f t="shared" si="934"/>
        <v>-0.1797178241866359</v>
      </c>
      <c r="H204" s="139"/>
      <c r="I204" s="86"/>
      <c r="J204" s="79">
        <f t="shared" si="930"/>
        <v>5.2240000000000002</v>
      </c>
    </row>
    <row r="205" spans="5:10" x14ac:dyDescent="0.25">
      <c r="E205" s="170">
        <f t="shared" si="934"/>
        <v>0.97919576145711718</v>
      </c>
      <c r="F205" s="170">
        <f t="shared" si="934"/>
        <v>0.19693944624834858</v>
      </c>
      <c r="G205" s="170">
        <f t="shared" si="934"/>
        <v>-4.8892895760125947E-2</v>
      </c>
      <c r="H205" s="139"/>
      <c r="I205" s="86"/>
      <c r="J205" s="79">
        <f t="shared" si="930"/>
        <v>5.2290000000000001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C5C18FD3-341E-43A7-9D86-7E0BABF46BE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F80730BB-E45B-4F2B-901C-B108C6693063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8.75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1.1259999999999999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1.131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1.1359999999999999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1.206</v>
      </c>
      <c r="N173" s="869" t="str">
        <f>Assy.Model!K18</f>
        <v>Inactive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1.2090000000000001</v>
      </c>
      <c r="N174" s="869" t="str">
        <f>Assy.Model!K19</f>
        <v>Inactive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1.2230000000000001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1.228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1.347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2.11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2.1150000000000002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2.12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2.125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2.13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2.1349999999999998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2.222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2.2269999999999999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3.1030000000000002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3.1059999999999999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3.109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3.1139999999999999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3.1190000000000002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3.1240000000000001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3.129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3.1339999999999999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3.2080000000000002</v>
      </c>
      <c r="N194" s="869" t="str">
        <f>Assy.Model!K39</f>
        <v>Inactive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3.226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3.2309999999999999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4.1020000000000003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4.1050000000000004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4.1079999999999997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4.1130000000000004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4.1180000000000003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4.1230000000000002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4.1280000000000001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4.133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4.2039999999999997</v>
      </c>
      <c r="N205" s="869" t="str">
        <f>Assy.Model!K50</f>
        <v>Inactive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4.2069999999999999</v>
      </c>
      <c r="N206" s="869" t="str">
        <f>Assy.Model!K51</f>
        <v>Inactive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4.2229999999999999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4.2279999999999998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5.1120000000000001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5.117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5.1219999999999999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5.1269999999999998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5.1319999999999997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5.2240000000000002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5.2290000000000001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2023-03-28T19:11:02Z</dcterms:modified>
</cp:coreProperties>
</file>