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customXml/itemProps1.xml" ContentType="application/vnd.openxmlformats-officedocument.customXmlProperti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customXml/itemProps4.xml" ContentType="application/vnd.openxmlformats-officedocument.customXm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5020" yWindow="30" windowWidth="28650" windowHeight="12255" tabRatio="731"/>
  </bookViews>
  <sheets>
    <sheet name="List" sheetId="1" r:id="rId1"/>
    <sheet name="Tilt" sheetId="4" r:id="rId2"/>
    <sheet name="Sheet1" sheetId="3" r:id="rId3"/>
    <sheet name="CutType" sheetId="2" r:id="rId4"/>
    <sheet name="Helix Depth" sheetId="7" r:id="rId5"/>
    <sheet name="elipse #s" sheetId="6" r:id="rId6"/>
    <sheet name="Sheet2" sheetId="8" r:id="rId7"/>
  </sheets>
  <externalReferences>
    <externalReference r:id="rId8"/>
    <externalReference r:id="rId9"/>
  </externalReferences>
  <definedNames>
    <definedName name="CutterName" localSheetId="1">[1]Cutters!$C$5:$C$21</definedName>
    <definedName name="CutterName">[2]Cutters!$C$5:$C$21</definedName>
    <definedName name="_xlnm.Print_Area" localSheetId="0">List!$A$1:$P$208</definedName>
    <definedName name="_xlnm.Print_Area" localSheetId="1">Tilt!$A$1:$D$35</definedName>
    <definedName name="_xlnm.Print_Titles" localSheetId="0">List!$1:$1</definedName>
  </definedNames>
  <calcPr calcId="125725"/>
</workbook>
</file>

<file path=xl/calcChain.xml><?xml version="1.0" encoding="utf-8"?>
<calcChain xmlns="http://schemas.openxmlformats.org/spreadsheetml/2006/main">
  <c r="H197" i="1"/>
  <c r="G197"/>
  <c r="K196"/>
  <c r="H195"/>
  <c r="G195"/>
  <c r="K194"/>
  <c r="H193"/>
  <c r="G193"/>
  <c r="K192"/>
  <c r="H191"/>
  <c r="G191"/>
  <c r="K190"/>
  <c r="H189"/>
  <c r="G189"/>
  <c r="K188"/>
  <c r="H187"/>
  <c r="G187"/>
  <c r="K186"/>
  <c r="H185"/>
  <c r="G185"/>
  <c r="K184"/>
  <c r="H183"/>
  <c r="G183"/>
  <c r="K182"/>
  <c r="H181"/>
  <c r="G181"/>
  <c r="K180"/>
  <c r="H179"/>
  <c r="G179"/>
  <c r="K178"/>
  <c r="H177"/>
  <c r="G177"/>
  <c r="K176"/>
  <c r="H175"/>
  <c r="G175"/>
  <c r="K174"/>
  <c r="H173"/>
  <c r="G173"/>
  <c r="K172"/>
  <c r="H171"/>
  <c r="G171"/>
  <c r="K170"/>
  <c r="H169"/>
  <c r="G169"/>
  <c r="K168"/>
  <c r="K166"/>
  <c r="H167"/>
  <c r="G167"/>
  <c r="K164"/>
  <c r="H165"/>
  <c r="G165"/>
  <c r="K162"/>
  <c r="H163"/>
  <c r="G163"/>
  <c r="K160"/>
  <c r="H161"/>
  <c r="G161"/>
  <c r="K158"/>
  <c r="H159"/>
  <c r="G159"/>
  <c r="E197"/>
  <c r="D196"/>
  <c r="D197" s="1"/>
  <c r="E187"/>
  <c r="D187"/>
  <c r="D186"/>
  <c r="E177"/>
  <c r="D177"/>
  <c r="D176"/>
  <c r="D167"/>
  <c r="D166"/>
  <c r="E167" s="1"/>
  <c r="A95"/>
  <c r="M94"/>
  <c r="N94" s="1"/>
  <c r="K94" s="1"/>
  <c r="D94"/>
  <c r="D95" s="1"/>
  <c r="A94"/>
  <c r="A93"/>
  <c r="M92"/>
  <c r="N92" s="1"/>
  <c r="K92" s="1"/>
  <c r="D92"/>
  <c r="D93" s="1"/>
  <c r="A92"/>
  <c r="A87"/>
  <c r="M86"/>
  <c r="N86" s="1"/>
  <c r="K86" s="1"/>
  <c r="D86"/>
  <c r="E87" s="1"/>
  <c r="A86"/>
  <c r="A59"/>
  <c r="M58"/>
  <c r="N58" s="1"/>
  <c r="K58" s="1"/>
  <c r="D58"/>
  <c r="E59" s="1"/>
  <c r="A58"/>
  <c r="A41"/>
  <c r="M40"/>
  <c r="N40" s="1"/>
  <c r="K40" s="1"/>
  <c r="D40"/>
  <c r="D41" s="1"/>
  <c r="A40"/>
  <c r="B10" i="4"/>
  <c r="B11" s="1"/>
  <c r="B12" s="1"/>
  <c r="B13" s="1"/>
  <c r="B14" s="1"/>
  <c r="B15" s="1"/>
  <c r="B16" s="1"/>
  <c r="B17" s="1"/>
  <c r="B18" s="1"/>
  <c r="B19" s="1"/>
  <c r="B20" s="1"/>
  <c r="B21" s="1"/>
  <c r="B22" s="1"/>
  <c r="A85" i="1"/>
  <c r="M84"/>
  <c r="N84" s="1"/>
  <c r="K84" s="1"/>
  <c r="D84"/>
  <c r="E85" s="1"/>
  <c r="A84"/>
  <c r="A83"/>
  <c r="M82"/>
  <c r="N82" s="1"/>
  <c r="K82" s="1"/>
  <c r="D82"/>
  <c r="E83" s="1"/>
  <c r="A82"/>
  <c r="A81"/>
  <c r="M80"/>
  <c r="N80" s="1"/>
  <c r="K80" s="1"/>
  <c r="D80"/>
  <c r="E81" s="1"/>
  <c r="A80"/>
  <c r="A79"/>
  <c r="M78"/>
  <c r="N78" s="1"/>
  <c r="K78" s="1"/>
  <c r="D78"/>
  <c r="E79" s="1"/>
  <c r="A78"/>
  <c r="A77"/>
  <c r="M76"/>
  <c r="N76" s="1"/>
  <c r="K76" s="1"/>
  <c r="D76"/>
  <c r="E77" s="1"/>
  <c r="A76"/>
  <c r="A75"/>
  <c r="M74"/>
  <c r="N74" s="1"/>
  <c r="K74" s="1"/>
  <c r="D74"/>
  <c r="E75" s="1"/>
  <c r="A74"/>
  <c r="A73"/>
  <c r="M72"/>
  <c r="N72" s="1"/>
  <c r="K72" s="1"/>
  <c r="D72"/>
  <c r="E73" s="1"/>
  <c r="A72"/>
  <c r="A71"/>
  <c r="M70"/>
  <c r="N70" s="1"/>
  <c r="K70" s="1"/>
  <c r="D70"/>
  <c r="E71" s="1"/>
  <c r="A70"/>
  <c r="D35" i="4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A29" i="1"/>
  <c r="M28"/>
  <c r="N28" s="1"/>
  <c r="K28" s="1"/>
  <c r="D28"/>
  <c r="D29" s="1"/>
  <c r="A28"/>
  <c r="A27"/>
  <c r="M26"/>
  <c r="N26" s="1"/>
  <c r="K26" s="1"/>
  <c r="D26"/>
  <c r="D27" s="1"/>
  <c r="A26"/>
  <c r="E93" l="1"/>
  <c r="E95"/>
  <c r="D87"/>
  <c r="D77"/>
  <c r="D75"/>
  <c r="D59"/>
  <c r="E41"/>
  <c r="D79"/>
  <c r="D85"/>
  <c r="D83"/>
  <c r="D81"/>
  <c r="D73"/>
  <c r="D71"/>
  <c r="B23" i="4"/>
  <c r="B24" s="1"/>
  <c r="B25" s="1"/>
  <c r="B26" s="1"/>
  <c r="B27" s="1"/>
  <c r="B28" s="1"/>
  <c r="B29" s="1"/>
  <c r="B30" s="1"/>
  <c r="B31" s="1"/>
  <c r="B32" s="1"/>
  <c r="B33" s="1"/>
  <c r="B34" s="1"/>
  <c r="B35" s="1"/>
  <c r="E29" i="1"/>
  <c r="E27"/>
  <c r="AH101"/>
  <c r="AH103"/>
  <c r="AH105"/>
  <c r="AH107"/>
  <c r="AH109"/>
  <c r="AH111"/>
  <c r="AH113"/>
  <c r="AH115"/>
  <c r="AH117"/>
  <c r="AH119"/>
  <c r="AH121"/>
  <c r="AH123"/>
  <c r="AH125"/>
  <c r="AH127"/>
  <c r="AH129"/>
  <c r="AH131"/>
  <c r="AH133"/>
  <c r="AH135"/>
  <c r="AH137"/>
  <c r="AH139"/>
  <c r="AH141"/>
  <c r="AH143"/>
  <c r="AH145"/>
  <c r="AG103"/>
  <c r="AG105"/>
  <c r="AG107"/>
  <c r="AG109"/>
  <c r="AG111"/>
  <c r="AG113"/>
  <c r="AG115"/>
  <c r="AG117"/>
  <c r="AG119"/>
  <c r="AG121"/>
  <c r="AG123"/>
  <c r="AG125"/>
  <c r="AG127"/>
  <c r="AG129"/>
  <c r="AG131"/>
  <c r="AG133"/>
  <c r="AG135"/>
  <c r="AG137"/>
  <c r="AG139"/>
  <c r="AG141"/>
  <c r="AG143"/>
  <c r="AG145"/>
  <c r="AG101"/>
  <c r="AF101"/>
  <c r="E3" i="7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K202" i="1"/>
  <c r="K204" s="1"/>
  <c r="K206" s="1"/>
  <c r="K208" s="1"/>
  <c r="J202"/>
  <c r="J204" s="1"/>
  <c r="J206" s="1"/>
  <c r="J208" s="1"/>
  <c r="I202"/>
  <c r="I204" s="1"/>
  <c r="I206" s="1"/>
  <c r="I208" s="1"/>
  <c r="H202"/>
  <c r="H204" s="1"/>
  <c r="H206" s="1"/>
  <c r="H208" s="1"/>
  <c r="G202"/>
  <c r="G204" s="1"/>
  <c r="G206" s="1"/>
  <c r="G208" s="1"/>
  <c r="K201"/>
  <c r="K203" s="1"/>
  <c r="K205" s="1"/>
  <c r="K207" s="1"/>
  <c r="B201"/>
  <c r="B203" s="1"/>
  <c r="B205" s="1"/>
  <c r="D199"/>
  <c r="E200" s="1"/>
  <c r="D194"/>
  <c r="E195" s="1"/>
  <c r="D192"/>
  <c r="D193" s="1"/>
  <c r="D190"/>
  <c r="D191" s="1"/>
  <c r="D188"/>
  <c r="E189" s="1"/>
  <c r="D184"/>
  <c r="E185" s="1"/>
  <c r="D182"/>
  <c r="D183" s="1"/>
  <c r="D180"/>
  <c r="D181" s="1"/>
  <c r="D178"/>
  <c r="D179" s="1"/>
  <c r="D174"/>
  <c r="E175" s="1"/>
  <c r="D172"/>
  <c r="D173" s="1"/>
  <c r="D170"/>
  <c r="D171" s="1"/>
  <c r="D168"/>
  <c r="E169" s="1"/>
  <c r="D164"/>
  <c r="E165" s="1"/>
  <c r="D162"/>
  <c r="D163" s="1"/>
  <c r="D160"/>
  <c r="D161" s="1"/>
  <c r="D158"/>
  <c r="E159" s="1"/>
  <c r="D156"/>
  <c r="D157" s="1"/>
  <c r="D152"/>
  <c r="D153" s="1"/>
  <c r="D150"/>
  <c r="D151" s="1"/>
  <c r="D148"/>
  <c r="D149" s="1"/>
  <c r="D195" l="1"/>
  <c r="D159"/>
  <c r="D175"/>
  <c r="D169"/>
  <c r="D201"/>
  <c r="E202" s="1"/>
  <c r="E153"/>
  <c r="D189"/>
  <c r="D185"/>
  <c r="E157"/>
  <c r="E179"/>
  <c r="D165"/>
  <c r="D203"/>
  <c r="D204" s="1"/>
  <c r="D200"/>
  <c r="D205"/>
  <c r="B207"/>
  <c r="D207" s="1"/>
  <c r="E163"/>
  <c r="E173"/>
  <c r="E183"/>
  <c r="E193"/>
  <c r="E149"/>
  <c r="E151"/>
  <c r="E161"/>
  <c r="E171"/>
  <c r="E181"/>
  <c r="E191"/>
  <c r="E204" l="1"/>
  <c r="D202"/>
  <c r="D206"/>
  <c r="E206"/>
  <c r="E208"/>
  <c r="D208"/>
  <c r="AD121" l="1"/>
  <c r="C4" i="7"/>
  <c r="S48" l="1"/>
  <c r="S49"/>
  <c r="S34"/>
  <c r="S35"/>
  <c r="Z35" s="1"/>
  <c r="S36"/>
  <c r="S37"/>
  <c r="Z37" s="1"/>
  <c r="S38"/>
  <c r="S39"/>
  <c r="Z39" s="1"/>
  <c r="S40"/>
  <c r="S41"/>
  <c r="Z41" s="1"/>
  <c r="S42"/>
  <c r="S43"/>
  <c r="Z43" s="1"/>
  <c r="S44"/>
  <c r="S45"/>
  <c r="Z45" s="1"/>
  <c r="S46"/>
  <c r="S47"/>
  <c r="Z47" s="1"/>
  <c r="S33"/>
  <c r="V33" s="1"/>
  <c r="S32"/>
  <c r="W32" s="1"/>
  <c r="S31"/>
  <c r="X31" s="1"/>
  <c r="S30"/>
  <c r="T30" s="1"/>
  <c r="S29"/>
  <c r="Z29" s="1"/>
  <c r="S28"/>
  <c r="U28" s="1"/>
  <c r="S27"/>
  <c r="T27" s="1"/>
  <c r="S26"/>
  <c r="U26" s="1"/>
  <c r="S25"/>
  <c r="V25" s="1"/>
  <c r="S24"/>
  <c r="W24" s="1"/>
  <c r="S23"/>
  <c r="X23" s="1"/>
  <c r="S22"/>
  <c r="T22" s="1"/>
  <c r="S21"/>
  <c r="Z21" s="1"/>
  <c r="S20"/>
  <c r="U20" s="1"/>
  <c r="S19"/>
  <c r="T19" s="1"/>
  <c r="S18"/>
  <c r="U18" s="1"/>
  <c r="U17"/>
  <c r="S17"/>
  <c r="V17" s="1"/>
  <c r="S16"/>
  <c r="W16" s="1"/>
  <c r="S15"/>
  <c r="X15" s="1"/>
  <c r="S14"/>
  <c r="W14" s="1"/>
  <c r="S13"/>
  <c r="Z13" s="1"/>
  <c r="S12"/>
  <c r="U12" s="1"/>
  <c r="S11"/>
  <c r="T11" s="1"/>
  <c r="S10"/>
  <c r="U10" s="1"/>
  <c r="S9"/>
  <c r="V9" s="1"/>
  <c r="S8"/>
  <c r="W8" s="1"/>
  <c r="S7"/>
  <c r="X7" s="1"/>
  <c r="S6"/>
  <c r="S5"/>
  <c r="Z5" s="1"/>
  <c r="S4"/>
  <c r="Z1"/>
  <c r="AA2"/>
  <c r="F38" i="6"/>
  <c r="E38"/>
  <c r="D38"/>
  <c r="C38"/>
  <c r="B38"/>
  <c r="F37"/>
  <c r="E37"/>
  <c r="D37"/>
  <c r="C37"/>
  <c r="B37"/>
  <c r="F36"/>
  <c r="E36"/>
  <c r="D36"/>
  <c r="C36"/>
  <c r="B36"/>
  <c r="F35"/>
  <c r="E35"/>
  <c r="D35"/>
  <c r="C35"/>
  <c r="B35"/>
  <c r="F34"/>
  <c r="E34"/>
  <c r="D34"/>
  <c r="C34"/>
  <c r="B34"/>
  <c r="F33"/>
  <c r="E33"/>
  <c r="D33"/>
  <c r="C33"/>
  <c r="B33"/>
  <c r="F32"/>
  <c r="E32"/>
  <c r="D32"/>
  <c r="C32"/>
  <c r="B32"/>
  <c r="F31"/>
  <c r="E31"/>
  <c r="D31"/>
  <c r="C31"/>
  <c r="B31"/>
  <c r="F30"/>
  <c r="E30"/>
  <c r="D30"/>
  <c r="C30"/>
  <c r="B30"/>
  <c r="F29"/>
  <c r="E29"/>
  <c r="D29"/>
  <c r="C29"/>
  <c r="B29"/>
  <c r="F28"/>
  <c r="E28"/>
  <c r="D28"/>
  <c r="C28"/>
  <c r="B28"/>
  <c r="F27"/>
  <c r="E27"/>
  <c r="D27"/>
  <c r="C27"/>
  <c r="B27"/>
  <c r="F26"/>
  <c r="E26"/>
  <c r="D26"/>
  <c r="C26"/>
  <c r="B26"/>
  <c r="F25"/>
  <c r="E25"/>
  <c r="D25"/>
  <c r="C25"/>
  <c r="B25"/>
  <c r="F24"/>
  <c r="E24"/>
  <c r="D24"/>
  <c r="C24"/>
  <c r="B24"/>
  <c r="F23"/>
  <c r="E23"/>
  <c r="D23"/>
  <c r="C23"/>
  <c r="B23"/>
  <c r="F22"/>
  <c r="E22"/>
  <c r="D22"/>
  <c r="C22"/>
  <c r="B22"/>
  <c r="F21"/>
  <c r="E21"/>
  <c r="D21"/>
  <c r="C21"/>
  <c r="B21"/>
  <c r="F20"/>
  <c r="E20"/>
  <c r="D20"/>
  <c r="C20"/>
  <c r="B20"/>
  <c r="F19"/>
  <c r="E19"/>
  <c r="D19"/>
  <c r="C19"/>
  <c r="B19"/>
  <c r="F18"/>
  <c r="E18"/>
  <c r="D18"/>
  <c r="C18"/>
  <c r="B18"/>
  <c r="F17"/>
  <c r="E17"/>
  <c r="D17"/>
  <c r="C17"/>
  <c r="B17"/>
  <c r="F16"/>
  <c r="E16"/>
  <c r="D16"/>
  <c r="C16"/>
  <c r="B16"/>
  <c r="F15"/>
  <c r="E15"/>
  <c r="D15"/>
  <c r="C15"/>
  <c r="B15"/>
  <c r="F14"/>
  <c r="E14"/>
  <c r="D14"/>
  <c r="C14"/>
  <c r="B14"/>
  <c r="F13"/>
  <c r="E13"/>
  <c r="D13"/>
  <c r="C13"/>
  <c r="B13"/>
  <c r="F12"/>
  <c r="E12"/>
  <c r="D12"/>
  <c r="C12"/>
  <c r="B12"/>
  <c r="F11"/>
  <c r="E11"/>
  <c r="D11"/>
  <c r="C11"/>
  <c r="B11"/>
  <c r="F10"/>
  <c r="E10"/>
  <c r="D10"/>
  <c r="C10"/>
  <c r="B10"/>
  <c r="F9"/>
  <c r="E9"/>
  <c r="D9"/>
  <c r="C9"/>
  <c r="B9"/>
  <c r="F8"/>
  <c r="E8"/>
  <c r="D8"/>
  <c r="C8"/>
  <c r="B8"/>
  <c r="F7"/>
  <c r="E7"/>
  <c r="D7"/>
  <c r="C7"/>
  <c r="B7"/>
  <c r="F6"/>
  <c r="E6"/>
  <c r="D6"/>
  <c r="C6"/>
  <c r="B6"/>
  <c r="F5"/>
  <c r="E5"/>
  <c r="D5"/>
  <c r="C5"/>
  <c r="B5"/>
  <c r="F4"/>
  <c r="E4"/>
  <c r="D4"/>
  <c r="C4"/>
  <c r="B4"/>
  <c r="D3"/>
  <c r="C3"/>
  <c r="B3"/>
  <c r="U4" i="7" l="1"/>
  <c r="T17"/>
  <c r="T15"/>
  <c r="T28"/>
  <c r="V28" s="1"/>
  <c r="U14"/>
  <c r="U29"/>
  <c r="W12"/>
  <c r="T23"/>
  <c r="Y9"/>
  <c r="U9"/>
  <c r="W9"/>
  <c r="T9"/>
  <c r="Z17"/>
  <c r="V7"/>
  <c r="T26"/>
  <c r="V26" s="1"/>
  <c r="W18"/>
  <c r="T7"/>
  <c r="Z9"/>
  <c r="W17"/>
  <c r="V23"/>
  <c r="X9"/>
  <c r="Y17"/>
  <c r="T20"/>
  <c r="W20"/>
  <c r="W4"/>
  <c r="Y21"/>
  <c r="V15"/>
  <c r="W28"/>
  <c r="Y13"/>
  <c r="X21"/>
  <c r="V30"/>
  <c r="X33"/>
  <c r="V27"/>
  <c r="T48"/>
  <c r="V48" s="1"/>
  <c r="U48"/>
  <c r="Y48" s="1"/>
  <c r="W48"/>
  <c r="T47"/>
  <c r="T46"/>
  <c r="V46" s="1"/>
  <c r="T45"/>
  <c r="T44"/>
  <c r="V44" s="1"/>
  <c r="T43"/>
  <c r="T42"/>
  <c r="V42" s="1"/>
  <c r="T41"/>
  <c r="T40"/>
  <c r="V40" s="1"/>
  <c r="T39"/>
  <c r="T38"/>
  <c r="V38" s="1"/>
  <c r="T37"/>
  <c r="T36"/>
  <c r="V36" s="1"/>
  <c r="T35"/>
  <c r="T34"/>
  <c r="V34" s="1"/>
  <c r="U47"/>
  <c r="U46"/>
  <c r="Y46" s="1"/>
  <c r="U45"/>
  <c r="U44"/>
  <c r="Y44" s="1"/>
  <c r="U43"/>
  <c r="U42"/>
  <c r="Y42" s="1"/>
  <c r="U41"/>
  <c r="U40"/>
  <c r="Y40" s="1"/>
  <c r="U39"/>
  <c r="U38"/>
  <c r="Y38" s="1"/>
  <c r="U37"/>
  <c r="U36"/>
  <c r="U35"/>
  <c r="U34"/>
  <c r="V43"/>
  <c r="V37"/>
  <c r="V35"/>
  <c r="W46"/>
  <c r="W43"/>
  <c r="W40"/>
  <c r="W37"/>
  <c r="W34"/>
  <c r="X47"/>
  <c r="X45"/>
  <c r="X43"/>
  <c r="X41"/>
  <c r="X39"/>
  <c r="X37"/>
  <c r="X35"/>
  <c r="V45"/>
  <c r="V39"/>
  <c r="W47"/>
  <c r="W44"/>
  <c r="W41"/>
  <c r="W38"/>
  <c r="W35"/>
  <c r="Y47"/>
  <c r="Y45"/>
  <c r="Y43"/>
  <c r="Y41"/>
  <c r="Y39"/>
  <c r="Y37"/>
  <c r="Y35"/>
  <c r="V47"/>
  <c r="V41"/>
  <c r="W45"/>
  <c r="W42"/>
  <c r="W39"/>
  <c r="W36"/>
  <c r="U6"/>
  <c r="X13"/>
  <c r="U33"/>
  <c r="V20"/>
  <c r="T4"/>
  <c r="V4" s="1"/>
  <c r="T6"/>
  <c r="V6" s="1"/>
  <c r="T10"/>
  <c r="V10" s="1"/>
  <c r="U13"/>
  <c r="X17"/>
  <c r="U30"/>
  <c r="T33"/>
  <c r="W7"/>
  <c r="W11"/>
  <c r="W15"/>
  <c r="W19"/>
  <c r="W23"/>
  <c r="W27"/>
  <c r="W31"/>
  <c r="W6"/>
  <c r="W22"/>
  <c r="W26"/>
  <c r="W30"/>
  <c r="Y5"/>
  <c r="T12"/>
  <c r="V12" s="1"/>
  <c r="T14"/>
  <c r="V14" s="1"/>
  <c r="T18"/>
  <c r="V18" s="1"/>
  <c r="U21"/>
  <c r="X25"/>
  <c r="V22"/>
  <c r="Z25"/>
  <c r="V11"/>
  <c r="V19"/>
  <c r="Y25"/>
  <c r="W10"/>
  <c r="X5"/>
  <c r="U25"/>
  <c r="Y29"/>
  <c r="Z33"/>
  <c r="W5"/>
  <c r="W13"/>
  <c r="W21"/>
  <c r="W25"/>
  <c r="W29"/>
  <c r="W33"/>
  <c r="V31"/>
  <c r="U5"/>
  <c r="U22"/>
  <c r="T25"/>
  <c r="X29"/>
  <c r="T31"/>
  <c r="Y33"/>
  <c r="V5"/>
  <c r="V13"/>
  <c r="V21"/>
  <c r="V29"/>
  <c r="U8"/>
  <c r="Z11"/>
  <c r="U16"/>
  <c r="Z19"/>
  <c r="U24"/>
  <c r="Z27"/>
  <c r="U32"/>
  <c r="U7"/>
  <c r="T8"/>
  <c r="V8" s="1"/>
  <c r="Y11"/>
  <c r="U15"/>
  <c r="T16"/>
  <c r="V16" s="1"/>
  <c r="Y19"/>
  <c r="U23"/>
  <c r="T24"/>
  <c r="V24" s="1"/>
  <c r="Y27"/>
  <c r="U31"/>
  <c r="T32"/>
  <c r="V32" s="1"/>
  <c r="X11"/>
  <c r="X19"/>
  <c r="X27"/>
  <c r="Y1"/>
  <c r="T5"/>
  <c r="Z7"/>
  <c r="T13"/>
  <c r="Z15"/>
  <c r="T21"/>
  <c r="Z23"/>
  <c r="T29"/>
  <c r="Z31"/>
  <c r="Y7"/>
  <c r="U11"/>
  <c r="Y15"/>
  <c r="U19"/>
  <c r="Y23"/>
  <c r="U27"/>
  <c r="Y31"/>
  <c r="X18" l="1"/>
  <c r="X20"/>
  <c r="Y20" s="1"/>
  <c r="X46"/>
  <c r="Z46" s="1"/>
  <c r="X26"/>
  <c r="Y26" s="1"/>
  <c r="X14"/>
  <c r="Z14" s="1"/>
  <c r="X12"/>
  <c r="Z12" s="1"/>
  <c r="X4"/>
  <c r="X30"/>
  <c r="Y30" s="1"/>
  <c r="X32"/>
  <c r="Y32" s="1"/>
  <c r="X42"/>
  <c r="Z42" s="1"/>
  <c r="X16"/>
  <c r="Z16" s="1"/>
  <c r="X36"/>
  <c r="Z36" s="1"/>
  <c r="X28"/>
  <c r="Z28" s="1"/>
  <c r="X40"/>
  <c r="Z40" s="1"/>
  <c r="X34"/>
  <c r="Y34" s="1"/>
  <c r="X10"/>
  <c r="Z10" s="1"/>
  <c r="X24"/>
  <c r="Z24" s="1"/>
  <c r="X6"/>
  <c r="Z6" s="1"/>
  <c r="X38"/>
  <c r="Z38" s="1"/>
  <c r="X44"/>
  <c r="Z44" s="1"/>
  <c r="X22"/>
  <c r="Z22" s="1"/>
  <c r="X48"/>
  <c r="Z48" s="1"/>
  <c r="Y18"/>
  <c r="Z18"/>
  <c r="X8"/>
  <c r="Z8" s="1"/>
  <c r="Z20" l="1"/>
  <c r="Y4"/>
  <c r="Z4"/>
  <c r="Y6"/>
  <c r="Y12"/>
  <c r="Y14"/>
  <c r="Z26"/>
  <c r="Y10"/>
  <c r="Z30"/>
  <c r="Z34"/>
  <c r="Z32"/>
  <c r="Y22"/>
  <c r="Y28"/>
  <c r="Y36"/>
  <c r="Y16"/>
  <c r="Y24"/>
  <c r="Y8"/>
  <c r="R135" i="1" l="1"/>
  <c r="Q135" s="1"/>
  <c r="AF135"/>
  <c r="Q136"/>
  <c r="S136"/>
  <c r="R137"/>
  <c r="AF137"/>
  <c r="Q138"/>
  <c r="S138"/>
  <c r="R139"/>
  <c r="AF139"/>
  <c r="Q140"/>
  <c r="S140"/>
  <c r="R141"/>
  <c r="Q141" s="1"/>
  <c r="AF141"/>
  <c r="Q142"/>
  <c r="S142"/>
  <c r="R143"/>
  <c r="AF143"/>
  <c r="Q144"/>
  <c r="S144"/>
  <c r="R145"/>
  <c r="AF145"/>
  <c r="Q146"/>
  <c r="S146"/>
  <c r="R107"/>
  <c r="Q107" s="1"/>
  <c r="AF107"/>
  <c r="Q108"/>
  <c r="S108"/>
  <c r="R109"/>
  <c r="AF109"/>
  <c r="Q110"/>
  <c r="S110"/>
  <c r="R111"/>
  <c r="AF111"/>
  <c r="Q112"/>
  <c r="S112"/>
  <c r="R113"/>
  <c r="AF113"/>
  <c r="Q114"/>
  <c r="S114"/>
  <c r="R115"/>
  <c r="AF115"/>
  <c r="Q116"/>
  <c r="S116"/>
  <c r="R117"/>
  <c r="AF117"/>
  <c r="Q118"/>
  <c r="S118"/>
  <c r="R119"/>
  <c r="AF119"/>
  <c r="Q120"/>
  <c r="S120"/>
  <c r="R121"/>
  <c r="AF121"/>
  <c r="Q122"/>
  <c r="S122"/>
  <c r="R123"/>
  <c r="AF123"/>
  <c r="Q124"/>
  <c r="S124"/>
  <c r="R125"/>
  <c r="AF125"/>
  <c r="Q126"/>
  <c r="S126"/>
  <c r="R127"/>
  <c r="AF127"/>
  <c r="Q128"/>
  <c r="S128"/>
  <c r="R129"/>
  <c r="AF129"/>
  <c r="Q130"/>
  <c r="S130"/>
  <c r="R131"/>
  <c r="AF131"/>
  <c r="Q132"/>
  <c r="S132"/>
  <c r="R133"/>
  <c r="AF133"/>
  <c r="Q134"/>
  <c r="S134"/>
  <c r="S106"/>
  <c r="S104"/>
  <c r="S102"/>
  <c r="A43"/>
  <c r="A44"/>
  <c r="A45"/>
  <c r="A46"/>
  <c r="A47"/>
  <c r="A48"/>
  <c r="A49"/>
  <c r="A50"/>
  <c r="A51"/>
  <c r="A52"/>
  <c r="A53"/>
  <c r="A54"/>
  <c r="A55"/>
  <c r="A56"/>
  <c r="A57"/>
  <c r="A60"/>
  <c r="A61"/>
  <c r="A62"/>
  <c r="A63"/>
  <c r="A64"/>
  <c r="A65"/>
  <c r="A66"/>
  <c r="A67"/>
  <c r="A68"/>
  <c r="A69"/>
  <c r="A88"/>
  <c r="A89"/>
  <c r="A90"/>
  <c r="A91"/>
  <c r="A96"/>
  <c r="A97"/>
  <c r="A98"/>
  <c r="A99"/>
  <c r="A100"/>
  <c r="Q106"/>
  <c r="AF105"/>
  <c r="R105"/>
  <c r="Q104"/>
  <c r="AF103"/>
  <c r="R103"/>
  <c r="Q102"/>
  <c r="R101"/>
  <c r="AB101" s="1"/>
  <c r="A42"/>
  <c r="A39"/>
  <c r="A38"/>
  <c r="A37"/>
  <c r="A36"/>
  <c r="A35"/>
  <c r="A34"/>
  <c r="A33"/>
  <c r="A32"/>
  <c r="A31"/>
  <c r="A30"/>
  <c r="A25"/>
  <c r="A24"/>
  <c r="A23"/>
  <c r="A22"/>
  <c r="A21"/>
  <c r="A20"/>
  <c r="A19"/>
  <c r="A18"/>
  <c r="A17"/>
  <c r="A16"/>
  <c r="A15"/>
  <c r="A14"/>
  <c r="A13"/>
  <c r="A12"/>
  <c r="A11"/>
  <c r="A10"/>
  <c r="T141" l="1"/>
  <c r="Z142" s="1"/>
  <c r="AG142" s="1"/>
  <c r="AB133"/>
  <c r="AB121"/>
  <c r="AB117"/>
  <c r="AB105"/>
  <c r="T139"/>
  <c r="Z140" s="1"/>
  <c r="AG140" s="1"/>
  <c r="AB139"/>
  <c r="AB135"/>
  <c r="AH136"/>
  <c r="Q143"/>
  <c r="AH144" s="1"/>
  <c r="AB143"/>
  <c r="T103"/>
  <c r="AB103"/>
  <c r="AB131"/>
  <c r="T127"/>
  <c r="AB127"/>
  <c r="AB123"/>
  <c r="T119"/>
  <c r="AB119"/>
  <c r="T115"/>
  <c r="AB115"/>
  <c r="T111"/>
  <c r="AB111"/>
  <c r="AB107"/>
  <c r="AH108"/>
  <c r="AB125"/>
  <c r="AB109"/>
  <c r="AB137"/>
  <c r="AB141"/>
  <c r="AH142"/>
  <c r="T129"/>
  <c r="AB129"/>
  <c r="AB113"/>
  <c r="AB145"/>
  <c r="Q119"/>
  <c r="AC119" s="1"/>
  <c r="Q131"/>
  <c r="V132" s="1"/>
  <c r="AC141"/>
  <c r="T131"/>
  <c r="Q111"/>
  <c r="W112" s="1"/>
  <c r="Y142"/>
  <c r="V136"/>
  <c r="W142"/>
  <c r="Q103"/>
  <c r="V104" s="1"/>
  <c r="X142"/>
  <c r="AF142" s="1"/>
  <c r="S141"/>
  <c r="Q121"/>
  <c r="W122" s="1"/>
  <c r="V108"/>
  <c r="T101"/>
  <c r="T121"/>
  <c r="Q115"/>
  <c r="V116" s="1"/>
  <c r="T143"/>
  <c r="Z144" s="1"/>
  <c r="AG144" s="1"/>
  <c r="Q139"/>
  <c r="Y140" s="1"/>
  <c r="Y136"/>
  <c r="T135"/>
  <c r="Z136" s="1"/>
  <c r="AG136" s="1"/>
  <c r="U136"/>
  <c r="U142"/>
  <c r="Q145"/>
  <c r="AH146" s="1"/>
  <c r="V142"/>
  <c r="Q137"/>
  <c r="Y138" s="1"/>
  <c r="S135"/>
  <c r="T145"/>
  <c r="Z146" s="1"/>
  <c r="AG146" s="1"/>
  <c r="T137"/>
  <c r="Z138" s="1"/>
  <c r="AG138" s="1"/>
  <c r="W136"/>
  <c r="X136"/>
  <c r="AF136" s="1"/>
  <c r="AC135"/>
  <c r="U108"/>
  <c r="Y108"/>
  <c r="Q101"/>
  <c r="W102" s="1"/>
  <c r="Q123"/>
  <c r="AC123" s="1"/>
  <c r="T113"/>
  <c r="W108"/>
  <c r="T107"/>
  <c r="Q129"/>
  <c r="S129" s="1"/>
  <c r="T123"/>
  <c r="Q127"/>
  <c r="V128" s="1"/>
  <c r="Q113"/>
  <c r="V114" s="1"/>
  <c r="Q133"/>
  <c r="U134" s="1"/>
  <c r="Q125"/>
  <c r="Y126" s="1"/>
  <c r="Q117"/>
  <c r="S117" s="1"/>
  <c r="Q109"/>
  <c r="S109" s="1"/>
  <c r="S107"/>
  <c r="T133"/>
  <c r="T125"/>
  <c r="T117"/>
  <c r="X108"/>
  <c r="AF108" s="1"/>
  <c r="AC107"/>
  <c r="T109"/>
  <c r="Q105"/>
  <c r="V106" s="1"/>
  <c r="T105"/>
  <c r="AH102" l="1"/>
  <c r="AC143"/>
  <c r="AH124"/>
  <c r="AH134"/>
  <c r="V144"/>
  <c r="AA107"/>
  <c r="AH112"/>
  <c r="AC111"/>
  <c r="AA111" s="1"/>
  <c r="X144"/>
  <c r="AF144" s="1"/>
  <c r="S143"/>
  <c r="Y144"/>
  <c r="AH110"/>
  <c r="W144"/>
  <c r="U144"/>
  <c r="AH120"/>
  <c r="AH104"/>
  <c r="AH114"/>
  <c r="AH132"/>
  <c r="AH118"/>
  <c r="AH140"/>
  <c r="AH122"/>
  <c r="AH130"/>
  <c r="AH126"/>
  <c r="AH128"/>
  <c r="AH138"/>
  <c r="AH116"/>
  <c r="AH106"/>
  <c r="Y120"/>
  <c r="Z120" s="1"/>
  <c r="AG120" s="1"/>
  <c r="S119"/>
  <c r="W120"/>
  <c r="V120"/>
  <c r="W140"/>
  <c r="X116"/>
  <c r="AF116" s="1"/>
  <c r="U120"/>
  <c r="X120"/>
  <c r="AF120" s="1"/>
  <c r="X124"/>
  <c r="AF124" s="1"/>
  <c r="Y112"/>
  <c r="Z112" s="1"/>
  <c r="AG112" s="1"/>
  <c r="S133"/>
  <c r="AC115"/>
  <c r="AA115" s="1"/>
  <c r="X130"/>
  <c r="AF130" s="1"/>
  <c r="AC131"/>
  <c r="W104"/>
  <c r="U112"/>
  <c r="V112"/>
  <c r="U132"/>
  <c r="V134"/>
  <c r="X112"/>
  <c r="AF112" s="1"/>
  <c r="S131"/>
  <c r="U122"/>
  <c r="X132"/>
  <c r="AF132" s="1"/>
  <c r="X128"/>
  <c r="AF128" s="1"/>
  <c r="U102"/>
  <c r="W134"/>
  <c r="S103"/>
  <c r="U104"/>
  <c r="S127"/>
  <c r="U128"/>
  <c r="S111"/>
  <c r="V122"/>
  <c r="X102"/>
  <c r="AF102" s="1"/>
  <c r="Y132"/>
  <c r="Z132" s="1"/>
  <c r="AG132" s="1"/>
  <c r="AC103"/>
  <c r="AA103" s="1"/>
  <c r="AC127"/>
  <c r="S101"/>
  <c r="W132"/>
  <c r="Y102"/>
  <c r="Z102" s="1"/>
  <c r="AG102" s="1"/>
  <c r="W106"/>
  <c r="V118"/>
  <c r="AC125"/>
  <c r="X122"/>
  <c r="AF122" s="1"/>
  <c r="Y128"/>
  <c r="Z128" s="1"/>
  <c r="AG128" s="1"/>
  <c r="V124"/>
  <c r="AC121"/>
  <c r="AA121" s="1"/>
  <c r="X104"/>
  <c r="AF104" s="1"/>
  <c r="Y124"/>
  <c r="Z124" s="1"/>
  <c r="AG124" s="1"/>
  <c r="U124"/>
  <c r="U116"/>
  <c r="Y122"/>
  <c r="Z122" s="1"/>
  <c r="AG122" s="1"/>
  <c r="S105"/>
  <c r="Y114"/>
  <c r="Z114" s="1"/>
  <c r="AG114" s="1"/>
  <c r="X106"/>
  <c r="AF106" s="1"/>
  <c r="Y116"/>
  <c r="Z116" s="1"/>
  <c r="AG116" s="1"/>
  <c r="S121"/>
  <c r="S115"/>
  <c r="AC105"/>
  <c r="AA105" s="1"/>
  <c r="W124"/>
  <c r="W116"/>
  <c r="S123"/>
  <c r="Y118"/>
  <c r="Z118" s="1"/>
  <c r="AG118" s="1"/>
  <c r="Y104"/>
  <c r="Z104" s="1"/>
  <c r="AG104" s="1"/>
  <c r="AC139"/>
  <c r="V140"/>
  <c r="X140"/>
  <c r="AF140" s="1"/>
  <c r="U140"/>
  <c r="S139"/>
  <c r="Z108"/>
  <c r="AG108" s="1"/>
  <c r="AC145"/>
  <c r="X146"/>
  <c r="AF146" s="1"/>
  <c r="S137"/>
  <c r="U146"/>
  <c r="W146"/>
  <c r="V138"/>
  <c r="X138"/>
  <c r="AF138" s="1"/>
  <c r="AC137"/>
  <c r="W138"/>
  <c r="U138"/>
  <c r="Y146"/>
  <c r="S145"/>
  <c r="V146"/>
  <c r="V110"/>
  <c r="X134"/>
  <c r="AF134" s="1"/>
  <c r="Y106"/>
  <c r="Z106" s="1"/>
  <c r="AG106" s="1"/>
  <c r="U130"/>
  <c r="Y130"/>
  <c r="Z130" s="1"/>
  <c r="AG130" s="1"/>
  <c r="W130"/>
  <c r="X110"/>
  <c r="AF110" s="1"/>
  <c r="U106"/>
  <c r="U114"/>
  <c r="W114"/>
  <c r="W110"/>
  <c r="W128"/>
  <c r="X114"/>
  <c r="AF114" s="1"/>
  <c r="V102"/>
  <c r="V126"/>
  <c r="V130"/>
  <c r="AC101"/>
  <c r="AA101" s="1"/>
  <c r="AC113"/>
  <c r="AA113" s="1"/>
  <c r="AC129"/>
  <c r="S113"/>
  <c r="AC109"/>
  <c r="AA109" s="1"/>
  <c r="AC133"/>
  <c r="U126"/>
  <c r="Y134"/>
  <c r="Z134" s="1"/>
  <c r="AG134" s="1"/>
  <c r="X126"/>
  <c r="AF126" s="1"/>
  <c r="AA123"/>
  <c r="X118"/>
  <c r="AF118" s="1"/>
  <c r="W126"/>
  <c r="U110"/>
  <c r="U118"/>
  <c r="S125"/>
  <c r="AC117"/>
  <c r="AA117" s="1"/>
  <c r="Y110"/>
  <c r="Z110" s="1"/>
  <c r="AG110" s="1"/>
  <c r="Z126"/>
  <c r="AG126" s="1"/>
  <c r="W118"/>
  <c r="AA119"/>
  <c r="AA125" l="1"/>
  <c r="AA127" l="1"/>
  <c r="AA129" l="1"/>
  <c r="D123"/>
  <c r="D124" s="1"/>
  <c r="D115"/>
  <c r="D116" s="1"/>
  <c r="AA131" l="1"/>
  <c r="E124"/>
  <c r="E116"/>
  <c r="D145"/>
  <c r="E146" s="1"/>
  <c r="D143"/>
  <c r="E144" s="1"/>
  <c r="D141"/>
  <c r="D142" s="1"/>
  <c r="D139"/>
  <c r="D140" s="1"/>
  <c r="D135"/>
  <c r="E136" s="1"/>
  <c r="D137"/>
  <c r="D138" s="1"/>
  <c r="D133"/>
  <c r="D134" s="1"/>
  <c r="D131"/>
  <c r="D132" s="1"/>
  <c r="D129"/>
  <c r="D130" s="1"/>
  <c r="D127"/>
  <c r="D128" s="1"/>
  <c r="D125"/>
  <c r="D126" s="1"/>
  <c r="D121"/>
  <c r="D122" s="1"/>
  <c r="D119"/>
  <c r="D120" s="1"/>
  <c r="D117"/>
  <c r="D118" s="1"/>
  <c r="D113"/>
  <c r="D114" s="1"/>
  <c r="D111"/>
  <c r="D112" s="1"/>
  <c r="D109"/>
  <c r="D110" s="1"/>
  <c r="D107"/>
  <c r="D108" s="1"/>
  <c r="D105"/>
  <c r="D106" s="1"/>
  <c r="D103"/>
  <c r="D104" s="1"/>
  <c r="D101"/>
  <c r="E102" s="1"/>
  <c r="M38"/>
  <c r="N38" s="1"/>
  <c r="K38" s="1"/>
  <c r="M36"/>
  <c r="N36" s="1"/>
  <c r="K36" s="1"/>
  <c r="M34"/>
  <c r="N34" s="1"/>
  <c r="K34" s="1"/>
  <c r="M32"/>
  <c r="N32" s="1"/>
  <c r="K32" s="1"/>
  <c r="M30"/>
  <c r="N30" s="1"/>
  <c r="K30" s="1"/>
  <c r="M68"/>
  <c r="N68" s="1"/>
  <c r="K68" s="1"/>
  <c r="M66"/>
  <c r="N66" s="1"/>
  <c r="K66" s="1"/>
  <c r="M64"/>
  <c r="N64" s="1"/>
  <c r="K64" s="1"/>
  <c r="M62"/>
  <c r="N62" s="1"/>
  <c r="K62" s="1"/>
  <c r="M60"/>
  <c r="N60" s="1"/>
  <c r="K60" s="1"/>
  <c r="C4" i="3"/>
  <c r="D68" i="1"/>
  <c r="D69" s="1"/>
  <c r="D66"/>
  <c r="D67" s="1"/>
  <c r="D64"/>
  <c r="D65" s="1"/>
  <c r="D62"/>
  <c r="E63" s="1"/>
  <c r="D60"/>
  <c r="D61" s="1"/>
  <c r="D38"/>
  <c r="D39" s="1"/>
  <c r="D36"/>
  <c r="D37" s="1"/>
  <c r="D34"/>
  <c r="D35" s="1"/>
  <c r="D32"/>
  <c r="E33" s="1"/>
  <c r="D30"/>
  <c r="D31" s="1"/>
  <c r="D9" i="4"/>
  <c r="C12" i="2"/>
  <c r="C11"/>
  <c r="AA133" i="1" l="1"/>
  <c r="D136"/>
  <c r="D146"/>
  <c r="D144"/>
  <c r="E140"/>
  <c r="E142"/>
  <c r="E138"/>
  <c r="E110"/>
  <c r="E118"/>
  <c r="D102"/>
  <c r="E134"/>
  <c r="E112"/>
  <c r="E114"/>
  <c r="E122"/>
  <c r="E132"/>
  <c r="E104"/>
  <c r="E120"/>
  <c r="E126"/>
  <c r="E106"/>
  <c r="E108"/>
  <c r="E128"/>
  <c r="E130"/>
  <c r="E65"/>
  <c r="D63"/>
  <c r="E67"/>
  <c r="E61"/>
  <c r="E69"/>
  <c r="E35"/>
  <c r="D33"/>
  <c r="E37"/>
  <c r="E31"/>
  <c r="E39"/>
  <c r="E10" i="2"/>
  <c r="E9"/>
  <c r="C6"/>
  <c r="C10"/>
  <c r="C9"/>
  <c r="C5"/>
  <c r="C4"/>
  <c r="C3"/>
  <c r="M98" i="1"/>
  <c r="N98" s="1"/>
  <c r="K98" s="1"/>
  <c r="D98"/>
  <c r="D99" s="1"/>
  <c r="M96"/>
  <c r="N96" s="1"/>
  <c r="K96" s="1"/>
  <c r="D96"/>
  <c r="E97" s="1"/>
  <c r="M90"/>
  <c r="N90" s="1"/>
  <c r="K90" s="1"/>
  <c r="D90"/>
  <c r="D91" s="1"/>
  <c r="M88"/>
  <c r="N88" s="1"/>
  <c r="K88" s="1"/>
  <c r="D88"/>
  <c r="E89" s="1"/>
  <c r="M56"/>
  <c r="N56" s="1"/>
  <c r="K56" s="1"/>
  <c r="D56"/>
  <c r="E57" s="1"/>
  <c r="M54"/>
  <c r="N54" s="1"/>
  <c r="K54" s="1"/>
  <c r="D54"/>
  <c r="D55" s="1"/>
  <c r="M52"/>
  <c r="N52" s="1"/>
  <c r="K52" s="1"/>
  <c r="D52"/>
  <c r="D53" s="1"/>
  <c r="M50"/>
  <c r="N50" s="1"/>
  <c r="K50" s="1"/>
  <c r="D50"/>
  <c r="D51" s="1"/>
  <c r="M48"/>
  <c r="N48" s="1"/>
  <c r="K48" s="1"/>
  <c r="D48"/>
  <c r="E49" s="1"/>
  <c r="M46"/>
  <c r="N46" s="1"/>
  <c r="K46" s="1"/>
  <c r="D46"/>
  <c r="E47" s="1"/>
  <c r="M44"/>
  <c r="N44" s="1"/>
  <c r="K44" s="1"/>
  <c r="D44"/>
  <c r="D45" s="1"/>
  <c r="M42"/>
  <c r="N42" s="1"/>
  <c r="K42" s="1"/>
  <c r="D42"/>
  <c r="D43" s="1"/>
  <c r="M24"/>
  <c r="N24" s="1"/>
  <c r="K24" s="1"/>
  <c r="D24"/>
  <c r="E25" s="1"/>
  <c r="M22"/>
  <c r="N22" s="1"/>
  <c r="K22" s="1"/>
  <c r="D22"/>
  <c r="D23" s="1"/>
  <c r="M20"/>
  <c r="N20" s="1"/>
  <c r="K20" s="1"/>
  <c r="D20"/>
  <c r="E21" s="1"/>
  <c r="M18"/>
  <c r="N18" s="1"/>
  <c r="K18" s="1"/>
  <c r="D18"/>
  <c r="D19" s="1"/>
  <c r="M16"/>
  <c r="N16" s="1"/>
  <c r="K16" s="1"/>
  <c r="D16"/>
  <c r="E17" s="1"/>
  <c r="M14"/>
  <c r="N14" s="1"/>
  <c r="D14"/>
  <c r="D15" s="1"/>
  <c r="M12"/>
  <c r="N12" s="1"/>
  <c r="K12" s="1"/>
  <c r="D12"/>
  <c r="D13" s="1"/>
  <c r="M10"/>
  <c r="N10" s="1"/>
  <c r="K10" s="1"/>
  <c r="D10"/>
  <c r="D11" s="1"/>
  <c r="AA135" l="1"/>
  <c r="E13"/>
  <c r="E45"/>
  <c r="E99"/>
  <c r="D89"/>
  <c r="E15"/>
  <c r="E91"/>
  <c r="D47"/>
  <c r="E11"/>
  <c r="D49"/>
  <c r="D97"/>
  <c r="E23"/>
  <c r="D21"/>
  <c r="D57"/>
  <c r="E53"/>
  <c r="D25"/>
  <c r="D17"/>
  <c r="E19"/>
  <c r="E55"/>
  <c r="E43"/>
  <c r="E51"/>
  <c r="AA137" l="1"/>
  <c r="AA139" l="1"/>
  <c r="AA141" l="1"/>
  <c r="AA145" l="1"/>
  <c r="AA143"/>
</calcChain>
</file>

<file path=xl/sharedStrings.xml><?xml version="1.0" encoding="utf-8"?>
<sst xmlns="http://schemas.openxmlformats.org/spreadsheetml/2006/main" count="460" uniqueCount="184">
  <si>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</si>
  <si>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</si>
  <si>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</si>
  <si>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</si>
  <si>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</si>
  <si>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</si>
  <si>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</si>
  <si>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</si>
  <si>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</si>
  <si>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</si>
  <si>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1313 .6875Cb</t>
  </si>
  <si>
    <t>1613 .6875Cb</t>
  </si>
  <si>
    <t>R</t>
  </si>
  <si>
    <t>L</t>
  </si>
  <si>
    <t>CbL</t>
  </si>
  <si>
    <t>CbØ</t>
  </si>
  <si>
    <t>1608 .6875Cb</t>
  </si>
  <si>
    <t>1308 .6875Cb</t>
  </si>
  <si>
    <t>1913 .9375Cb</t>
  </si>
  <si>
    <t>1308 WP</t>
  </si>
  <si>
    <t>1/2" PDC Knuckle</t>
  </si>
  <si>
    <t>1108 .5000Cb</t>
  </si>
  <si>
    <t>.375 TCI Dome</t>
  </si>
  <si>
    <t>.5 TCI Dome</t>
  </si>
  <si>
    <t>Dome?</t>
  </si>
  <si>
    <t>Pockets</t>
  </si>
  <si>
    <t>1.101-1.104</t>
  </si>
  <si>
    <t>1.104-1.107</t>
  </si>
  <si>
    <t>1.107-1.110</t>
  </si>
  <si>
    <t>3.103-3.106</t>
  </si>
  <si>
    <t>3.106-3.109</t>
  </si>
  <si>
    <t>1.113-1.116</t>
  </si>
  <si>
    <t>Calculating Tilt</t>
  </si>
  <si>
    <t>Position</t>
  </si>
  <si>
    <t xml:space="preserve"># of </t>
  </si>
  <si>
    <t>Perpendicular angle</t>
  </si>
  <si>
    <t>Tilt angle</t>
  </si>
  <si>
    <t>Cutters</t>
  </si>
  <si>
    <t>1.116-1.119</t>
  </si>
  <si>
    <t>1.119-1.122</t>
  </si>
  <si>
    <t>3.109-3.112</t>
  </si>
  <si>
    <t>3.115-3.118</t>
  </si>
  <si>
    <t>3.118-3.121</t>
  </si>
  <si>
    <t>3.121-3.124</t>
  </si>
  <si>
    <t>5.111-5.114</t>
  </si>
  <si>
    <t>5.114-5.117</t>
  </si>
  <si>
    <t>5.117-5.120</t>
  </si>
  <si>
    <t>5.120-5.123</t>
  </si>
  <si>
    <t>2.114-2.117</t>
  </si>
  <si>
    <t>2.117-2.120</t>
  </si>
  <si>
    <t>2.120-2.123</t>
  </si>
  <si>
    <t>4.110-4.113</t>
  </si>
  <si>
    <t>4.113-4.116</t>
  </si>
  <si>
    <t>4.116-4.119</t>
  </si>
  <si>
    <t>.0768 in.</t>
  </si>
  <si>
    <t>.0754 in.</t>
  </si>
  <si>
    <t>.0723 in.</t>
  </si>
  <si>
    <t>.0822 in.</t>
  </si>
  <si>
    <t>.0803 in.</t>
  </si>
  <si>
    <t>.0891 in.</t>
  </si>
  <si>
    <t>.1320 in.</t>
  </si>
  <si>
    <t>.0741 in.</t>
  </si>
  <si>
    <t>.0778 in.</t>
  </si>
  <si>
    <t>RPM</t>
  </si>
  <si>
    <t>ROP</t>
  </si>
  <si>
    <t>4.1414 in.</t>
  </si>
  <si>
    <t>1.110-1.114</t>
  </si>
  <si>
    <t>row +</t>
  </si>
  <si>
    <t>col</t>
  </si>
  <si>
    <t>Cutter position</t>
  </si>
  <si>
    <t>with what dwell angle</t>
  </si>
  <si>
    <t>cutter Name</t>
  </si>
  <si>
    <t>Bakup what</t>
  </si>
  <si>
    <t>with what</t>
  </si>
  <si>
    <t>x</t>
  </si>
  <si>
    <t>y</t>
  </si>
  <si>
    <t>z</t>
  </si>
  <si>
    <t>tilt</t>
  </si>
  <si>
    <t>br</t>
  </si>
  <si>
    <t>BR of backup</t>
  </si>
  <si>
    <t>har</t>
  </si>
  <si>
    <t>back up ang</t>
  </si>
  <si>
    <t>cut ang</t>
  </si>
  <si>
    <t>dwell</t>
  </si>
  <si>
    <t>7/16" PDC Knuckle</t>
  </si>
  <si>
    <t>KN Min=</t>
  </si>
  <si>
    <t>Additional clearance=</t>
  </si>
  <si>
    <t>Pitch</t>
  </si>
  <si>
    <t>z length (axis)</t>
  </si>
  <si>
    <t>cut?</t>
  </si>
  <si>
    <t>13?</t>
  </si>
  <si>
    <t>1/2?</t>
  </si>
  <si>
    <t>cr</t>
  </si>
  <si>
    <t>r</t>
  </si>
  <si>
    <t>Ynew</t>
  </si>
  <si>
    <t>Znew</t>
  </si>
  <si>
    <t>(.004 under no-go gage)</t>
  </si>
  <si>
    <t>Max kn OD=</t>
  </si>
  <si>
    <t/>
  </si>
  <si>
    <t>1/2"PDC K</t>
  </si>
  <si>
    <t>7/16"PDC K</t>
  </si>
  <si>
    <t>2.1477 in.</t>
  </si>
  <si>
    <t>1.431-2.431</t>
  </si>
  <si>
    <t>3.4404 in.</t>
  </si>
  <si>
    <t>2.431-3.431</t>
  </si>
  <si>
    <t>3.431-4.431</t>
  </si>
  <si>
    <t>4.2983 in.</t>
  </si>
  <si>
    <t>4.431-5.431</t>
  </si>
  <si>
    <t>3.3327 in.</t>
  </si>
  <si>
    <t>1113 .6875Cb</t>
  </si>
  <si>
    <t>1111 .6875Cb</t>
  </si>
  <si>
    <t>.1230 in.</t>
  </si>
  <si>
    <t>.1229 in.</t>
  </si>
  <si>
    <t>1.114-1.120</t>
  </si>
  <si>
    <t>1.120-1.126</t>
  </si>
  <si>
    <t>1.126-1.132</t>
  </si>
  <si>
    <t>1.132-1.138</t>
  </si>
  <si>
    <t>1.138-1.144</t>
  </si>
  <si>
    <t>1.144-2.113</t>
  </si>
  <si>
    <t>2.113-2.119</t>
  </si>
  <si>
    <t>2.119-2.125</t>
  </si>
  <si>
    <t>2.125-2.131</t>
  </si>
  <si>
    <t>2.131-2.137</t>
  </si>
  <si>
    <t>2.137-2.143</t>
  </si>
  <si>
    <t>2.143-3.103</t>
  </si>
  <si>
    <t>3.112-3.118</t>
  </si>
  <si>
    <t>3.118-3.124</t>
  </si>
  <si>
    <t>3.124-3.130</t>
  </si>
  <si>
    <t>3.130-3.136</t>
  </si>
  <si>
    <t>3.136-3.142</t>
  </si>
  <si>
    <t>3.142-4.117</t>
  </si>
  <si>
    <t>4.117-4.123</t>
  </si>
  <si>
    <t>4.123-4.129</t>
  </si>
  <si>
    <t>4.129-4.135</t>
  </si>
  <si>
    <t>4.135-4.141</t>
  </si>
  <si>
    <t>4.141-5.102</t>
  </si>
  <si>
    <t>5.102-5.105</t>
  </si>
  <si>
    <t>5.105-5.108</t>
  </si>
  <si>
    <t>5.108-5.111</t>
  </si>
  <si>
    <t>5.111-5.116</t>
  </si>
  <si>
    <t>5.116-5.122</t>
  </si>
  <si>
    <t>5.122-5.128</t>
  </si>
  <si>
    <t>5.128-5.134</t>
  </si>
  <si>
    <t>6.115-6.121</t>
  </si>
  <si>
    <t>6.121-6.127</t>
  </si>
  <si>
    <t>6.127-6.133</t>
  </si>
  <si>
    <t>6.133-6.139</t>
  </si>
  <si>
    <t>6.139-6.145</t>
  </si>
  <si>
    <t>5.134-5.140</t>
  </si>
  <si>
    <t>5.140-6.115</t>
  </si>
  <si>
    <t>.0981 in.</t>
  </si>
  <si>
    <t>.0813 in.</t>
  </si>
  <si>
    <t>3.2970 in.</t>
  </si>
  <si>
    <t>.0912 in.</t>
  </si>
  <si>
    <t>.0852 in.</t>
  </si>
  <si>
    <t>.1106 in.</t>
  </si>
  <si>
    <t>.0833 in.</t>
  </si>
  <si>
    <t>.0870 in.</t>
  </si>
  <si>
    <t>.0838 in.</t>
  </si>
  <si>
    <t>.1167 in.</t>
  </si>
  <si>
    <t>.0861 in.</t>
  </si>
  <si>
    <t>.0821 in.</t>
  </si>
  <si>
    <t>3.5766 in.</t>
  </si>
  <si>
    <t>3.2437 in.</t>
  </si>
  <si>
    <t>3.4993 in.</t>
  </si>
  <si>
    <t>3.3611 in.</t>
  </si>
  <si>
    <t>.0884 in.</t>
  </si>
  <si>
    <t>.0853 in.</t>
  </si>
  <si>
    <t>.0828 in.</t>
  </si>
  <si>
    <t>.0907 in.</t>
  </si>
  <si>
    <t>.0818 in.</t>
  </si>
  <si>
    <t>.0851 in.</t>
  </si>
  <si>
    <t>.0873 in.</t>
  </si>
  <si>
    <t>.0816 in.</t>
  </si>
  <si>
    <t>.0817 in.</t>
  </si>
  <si>
    <t>.0859 in.</t>
  </si>
  <si>
    <t>.0894 in.</t>
  </si>
  <si>
    <t>.0827 in.</t>
  </si>
  <si>
    <t>.0916 in.</t>
  </si>
  <si>
    <t>.0836 in.</t>
  </si>
  <si>
    <t>.0825 in.</t>
  </si>
  <si>
    <t>.0942 in.</t>
  </si>
  <si>
    <t>.0829 in.</t>
  </si>
  <si>
    <t>.0729 in.</t>
  </si>
</sst>
</file>

<file path=xl/styles.xml><?xml version="1.0" encoding="utf-8"?>
<styleSheet xmlns="http://schemas.openxmlformats.org/spreadsheetml/2006/main">
  <numFmts count="7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</numFmts>
  <fonts count="10">
    <font>
      <sz val="10"/>
      <name val="Arial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  <font>
      <b/>
      <sz val="11"/>
      <color theme="1"/>
      <name val="Calibri"/>
      <family val="2"/>
      <scheme val="minor"/>
    </font>
    <font>
      <b/>
      <sz val="20"/>
      <name val="Arial"/>
      <family val="2"/>
    </font>
    <font>
      <sz val="10"/>
      <color indexed="12"/>
      <name val="Arial"/>
      <family val="2"/>
    </font>
    <font>
      <sz val="1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66FF"/>
        <bgColor indexed="64"/>
      </patternFill>
    </fill>
  </fills>
  <borders count="10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</borders>
  <cellStyleXfs count="12">
    <xf numFmtId="0" fontId="0" fillId="0" borderId="0"/>
    <xf numFmtId="167" fontId="3" fillId="0" borderId="0" applyFont="0" applyFill="0" applyBorder="0" applyAlignment="0" applyProtection="0"/>
    <xf numFmtId="0" fontId="3" fillId="0" borderId="0"/>
    <xf numFmtId="0" fontId="3" fillId="0" borderId="0"/>
    <xf numFmtId="0" fontId="4" fillId="0" borderId="0" applyNumberFormat="0" applyFill="0" applyBorder="0" applyProtection="0">
      <alignment horizontal="right"/>
    </xf>
    <xf numFmtId="8" fontId="4" fillId="0" borderId="0" applyFill="0" applyBorder="0" applyProtection="0">
      <alignment horizontal="right"/>
    </xf>
    <xf numFmtId="168" fontId="4" fillId="0" borderId="0" applyFill="0" applyBorder="0" applyProtection="0">
      <alignment horizontal="left"/>
    </xf>
    <xf numFmtId="0" fontId="4" fillId="0" borderId="0" applyNumberFormat="0" applyFill="0" applyBorder="0" applyAlignment="0" applyProtection="0"/>
    <xf numFmtId="49" fontId="4" fillId="0" borderId="0" applyFill="0" applyBorder="0" applyProtection="0">
      <alignment horizontal="left"/>
    </xf>
    <xf numFmtId="0" fontId="1" fillId="0" borderId="0"/>
    <xf numFmtId="0" fontId="1" fillId="0" borderId="0"/>
    <xf numFmtId="9" fontId="9" fillId="0" borderId="0" applyFont="0" applyFill="0" applyBorder="0" applyAlignment="0" applyProtection="0"/>
  </cellStyleXfs>
  <cellXfs count="737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3" fillId="0" borderId="3" xfId="0" applyNumberFormat="1" applyFont="1" applyBorder="1" applyAlignment="1">
      <alignment horizontal="center"/>
    </xf>
    <xf numFmtId="2" fontId="3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3" borderId="0" xfId="0" applyNumberFormat="1" applyFill="1" applyBorder="1"/>
    <xf numFmtId="0" fontId="0" fillId="3" borderId="0" xfId="0" applyNumberFormat="1" applyFill="1" applyBorder="1" applyAlignment="1">
      <alignment horizontal="left" vertical="center"/>
    </xf>
    <xf numFmtId="165" fontId="3" fillId="2" borderId="3" xfId="0" applyNumberFormat="1" applyFont="1" applyFill="1" applyBorder="1" applyAlignment="1">
      <alignment horizontal="center" vertical="center"/>
    </xf>
    <xf numFmtId="166" fontId="3" fillId="2" borderId="3" xfId="0" applyNumberFormat="1" applyFont="1" applyFill="1" applyBorder="1" applyAlignment="1">
      <alignment horizontal="center" vertical="center"/>
    </xf>
    <xf numFmtId="164" fontId="3" fillId="2" borderId="3" xfId="0" applyNumberFormat="1" applyFont="1" applyFill="1" applyBorder="1" applyAlignment="1">
      <alignment horizontal="center" vertical="center"/>
    </xf>
    <xf numFmtId="0" fontId="0" fillId="3" borderId="4" xfId="0" applyNumberFormat="1" applyFill="1" applyBorder="1"/>
    <xf numFmtId="0" fontId="0" fillId="0" borderId="0" xfId="0" applyBorder="1" applyAlignment="1">
      <alignment vertical="center"/>
    </xf>
    <xf numFmtId="165" fontId="3" fillId="0" borderId="5" xfId="0" applyNumberFormat="1" applyFont="1" applyBorder="1" applyAlignment="1">
      <alignment horizontal="center"/>
    </xf>
    <xf numFmtId="165" fontId="3" fillId="2" borderId="5" xfId="0" applyNumberFormat="1" applyFont="1" applyFill="1" applyBorder="1" applyAlignment="1">
      <alignment horizontal="center" vertical="center"/>
    </xf>
    <xf numFmtId="2" fontId="3" fillId="0" borderId="6" xfId="0" applyNumberFormat="1" applyFont="1" applyBorder="1" applyAlignment="1">
      <alignment horizontal="center"/>
    </xf>
    <xf numFmtId="2" fontId="3" fillId="0" borderId="5" xfId="0" applyNumberFormat="1" applyFont="1" applyBorder="1" applyAlignment="1">
      <alignment horizontal="center"/>
    </xf>
    <xf numFmtId="166" fontId="3" fillId="2" borderId="6" xfId="0" applyNumberFormat="1" applyFont="1" applyFill="1" applyBorder="1" applyAlignment="1">
      <alignment horizontal="center" vertical="center"/>
    </xf>
    <xf numFmtId="166" fontId="3" fillId="2" borderId="5" xfId="0" applyNumberFormat="1" applyFont="1" applyFill="1" applyBorder="1" applyAlignment="1">
      <alignment horizontal="center" vertical="center"/>
    </xf>
    <xf numFmtId="0" fontId="3" fillId="2" borderId="7" xfId="0" applyNumberFormat="1" applyFont="1" applyFill="1" applyBorder="1" applyAlignment="1">
      <alignment horizontal="center" vertical="center"/>
    </xf>
    <xf numFmtId="165" fontId="3" fillId="0" borderId="8" xfId="0" applyNumberFormat="1" applyFont="1" applyBorder="1" applyAlignment="1">
      <alignment horizontal="center"/>
    </xf>
    <xf numFmtId="165" fontId="3" fillId="2" borderId="8" xfId="0" applyNumberFormat="1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" fontId="3" fillId="2" borderId="6" xfId="0" applyNumberFormat="1" applyFont="1" applyFill="1" applyBorder="1" applyAlignment="1">
      <alignment horizontal="center" vertical="center"/>
    </xf>
    <xf numFmtId="165" fontId="5" fillId="0" borderId="6" xfId="0" applyNumberFormat="1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165" fontId="5" fillId="4" borderId="6" xfId="0" applyNumberFormat="1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0" fillId="0" borderId="0" xfId="0" applyFill="1"/>
    <xf numFmtId="165" fontId="0" fillId="0" borderId="0" xfId="0" applyNumberFormat="1" applyFill="1"/>
    <xf numFmtId="0" fontId="0" fillId="3" borderId="0" xfId="0" applyNumberFormat="1" applyFill="1" applyBorder="1" applyAlignment="1">
      <alignment horizontal="center" vertical="center"/>
    </xf>
    <xf numFmtId="165" fontId="5" fillId="5" borderId="14" xfId="0" applyNumberFormat="1" applyFont="1" applyFill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165" fontId="3" fillId="5" borderId="16" xfId="0" applyNumberFormat="1" applyFont="1" applyFill="1" applyBorder="1" applyAlignment="1">
      <alignment horizontal="center" vertical="center"/>
    </xf>
    <xf numFmtId="165" fontId="3" fillId="5" borderId="17" xfId="0" applyNumberFormat="1" applyFont="1" applyFill="1" applyBorder="1" applyAlignment="1">
      <alignment horizontal="center" vertical="center"/>
    </xf>
    <xf numFmtId="165" fontId="3" fillId="5" borderId="15" xfId="0" applyNumberFormat="1" applyFont="1" applyFill="1" applyBorder="1" applyAlignment="1">
      <alignment horizontal="center" vertical="center"/>
    </xf>
    <xf numFmtId="166" fontId="3" fillId="5" borderId="14" xfId="0" applyNumberFormat="1" applyFont="1" applyFill="1" applyBorder="1" applyAlignment="1">
      <alignment horizontal="center" vertical="center"/>
    </xf>
    <xf numFmtId="166" fontId="3" fillId="5" borderId="17" xfId="0" applyNumberFormat="1" applyFont="1" applyFill="1" applyBorder="1" applyAlignment="1">
      <alignment horizontal="center" vertical="center"/>
    </xf>
    <xf numFmtId="166" fontId="5" fillId="5" borderId="15" xfId="0" applyNumberFormat="1" applyFont="1" applyFill="1" applyBorder="1" applyAlignment="1">
      <alignment horizontal="center" vertical="center"/>
    </xf>
    <xf numFmtId="164" fontId="5" fillId="5" borderId="17" xfId="0" applyNumberFormat="1" applyFont="1" applyFill="1" applyBorder="1" applyAlignment="1">
      <alignment horizontal="center" vertical="center"/>
    </xf>
    <xf numFmtId="166" fontId="5" fillId="5" borderId="17" xfId="0" applyNumberFormat="1" applyFont="1" applyFill="1" applyBorder="1" applyAlignment="1">
      <alignment horizontal="center" vertical="center"/>
    </xf>
    <xf numFmtId="164" fontId="0" fillId="5" borderId="15" xfId="0" applyNumberFormat="1" applyFill="1" applyBorder="1" applyAlignment="1">
      <alignment horizontal="center" vertical="center"/>
    </xf>
    <xf numFmtId="165" fontId="5" fillId="5" borderId="6" xfId="0" applyNumberFormat="1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165" fontId="3" fillId="5" borderId="8" xfId="0" applyNumberFormat="1" applyFont="1" applyFill="1" applyBorder="1" applyAlignment="1">
      <alignment horizontal="center" vertical="center"/>
    </xf>
    <xf numFmtId="165" fontId="3" fillId="5" borderId="3" xfId="0" applyNumberFormat="1" applyFont="1" applyFill="1" applyBorder="1" applyAlignment="1">
      <alignment horizontal="center" vertical="center"/>
    </xf>
    <xf numFmtId="165" fontId="3" fillId="5" borderId="5" xfId="0" applyNumberFormat="1" applyFont="1" applyFill="1" applyBorder="1" applyAlignment="1">
      <alignment horizontal="center" vertical="center"/>
    </xf>
    <xf numFmtId="166" fontId="3" fillId="5" borderId="6" xfId="0" applyNumberFormat="1" applyFont="1" applyFill="1" applyBorder="1" applyAlignment="1">
      <alignment horizontal="center" vertical="center"/>
    </xf>
    <xf numFmtId="166" fontId="3" fillId="5" borderId="3" xfId="0" applyNumberFormat="1" applyFont="1" applyFill="1" applyBorder="1" applyAlignment="1">
      <alignment horizontal="center" vertical="center"/>
    </xf>
    <xf numFmtId="166" fontId="3" fillId="5" borderId="5" xfId="0" applyNumberFormat="1" applyFont="1" applyFill="1" applyBorder="1" applyAlignment="1">
      <alignment horizontal="center" vertical="center"/>
    </xf>
    <xf numFmtId="164" fontId="0" fillId="5" borderId="3" xfId="0" applyNumberFormat="1" applyFill="1" applyBorder="1" applyAlignment="1">
      <alignment horizontal="center" vertical="center"/>
    </xf>
    <xf numFmtId="166" fontId="0" fillId="5" borderId="3" xfId="0" applyNumberFormat="1" applyFill="1" applyBorder="1" applyAlignment="1">
      <alignment horizontal="center" vertical="center"/>
    </xf>
    <xf numFmtId="164" fontId="0" fillId="5" borderId="5" xfId="0" applyNumberFormat="1" applyFill="1" applyBorder="1" applyAlignment="1">
      <alignment horizontal="center" vertical="center"/>
    </xf>
    <xf numFmtId="165" fontId="3" fillId="0" borderId="8" xfId="0" applyNumberFormat="1" applyFont="1" applyFill="1" applyBorder="1" applyAlignment="1">
      <alignment horizontal="center" vertical="center"/>
    </xf>
    <xf numFmtId="165" fontId="3" fillId="0" borderId="3" xfId="0" applyNumberFormat="1" applyFont="1" applyFill="1" applyBorder="1" applyAlignment="1">
      <alignment horizontal="center" vertical="center"/>
    </xf>
    <xf numFmtId="165" fontId="3" fillId="0" borderId="5" xfId="0" applyNumberFormat="1" applyFont="1" applyFill="1" applyBorder="1" applyAlignment="1">
      <alignment horizontal="center" vertical="center"/>
    </xf>
    <xf numFmtId="166" fontId="3" fillId="0" borderId="6" xfId="0" applyNumberFormat="1" applyFont="1" applyFill="1" applyBorder="1" applyAlignment="1">
      <alignment horizontal="center" vertical="center"/>
    </xf>
    <xf numFmtId="166" fontId="3" fillId="0" borderId="3" xfId="0" applyNumberFormat="1" applyFont="1" applyFill="1" applyBorder="1" applyAlignment="1">
      <alignment horizontal="center" vertical="center"/>
    </xf>
    <xf numFmtId="166" fontId="5" fillId="0" borderId="5" xfId="0" applyNumberFormat="1" applyFont="1" applyFill="1" applyBorder="1" applyAlignment="1">
      <alignment horizontal="center" vertical="center"/>
    </xf>
    <xf numFmtId="164" fontId="5" fillId="0" borderId="3" xfId="0" applyNumberFormat="1" applyFont="1" applyBorder="1" applyAlignment="1">
      <alignment horizontal="center" vertical="center"/>
    </xf>
    <xf numFmtId="166" fontId="5" fillId="0" borderId="3" xfId="0" applyNumberFormat="1" applyFon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6" fontId="3" fillId="0" borderId="5" xfId="0" applyNumberFormat="1" applyFont="1" applyFill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166" fontId="5" fillId="5" borderId="5" xfId="0" applyNumberFormat="1" applyFont="1" applyFill="1" applyBorder="1" applyAlignment="1">
      <alignment horizontal="center" vertical="center"/>
    </xf>
    <xf numFmtId="164" fontId="5" fillId="5" borderId="3" xfId="0" applyNumberFormat="1" applyFont="1" applyFill="1" applyBorder="1" applyAlignment="1">
      <alignment horizontal="center" vertical="center"/>
    </xf>
    <xf numFmtId="166" fontId="5" fillId="5" borderId="3" xfId="0" applyNumberFormat="1" applyFont="1" applyFill="1" applyBorder="1" applyAlignment="1">
      <alignment horizontal="center" vertical="center"/>
    </xf>
    <xf numFmtId="165" fontId="5" fillId="6" borderId="18" xfId="0" applyNumberFormat="1" applyFont="1" applyFill="1" applyBorder="1" applyAlignment="1">
      <alignment horizontal="center" vertical="center"/>
    </xf>
    <xf numFmtId="0" fontId="5" fillId="6" borderId="19" xfId="0" applyFont="1" applyFill="1" applyBorder="1" applyAlignment="1">
      <alignment horizontal="center" vertical="center"/>
    </xf>
    <xf numFmtId="165" fontId="3" fillId="6" borderId="20" xfId="0" applyNumberFormat="1" applyFont="1" applyFill="1" applyBorder="1" applyAlignment="1">
      <alignment horizontal="center" vertical="center"/>
    </xf>
    <xf numFmtId="165" fontId="3" fillId="6" borderId="2" xfId="0" applyNumberFormat="1" applyFont="1" applyFill="1" applyBorder="1" applyAlignment="1">
      <alignment horizontal="center" vertical="center"/>
    </xf>
    <xf numFmtId="165" fontId="3" fillId="6" borderId="19" xfId="0" applyNumberFormat="1" applyFont="1" applyFill="1" applyBorder="1" applyAlignment="1">
      <alignment horizontal="center" vertical="center"/>
    </xf>
    <xf numFmtId="166" fontId="3" fillId="6" borderId="18" xfId="0" applyNumberFormat="1" applyFont="1" applyFill="1" applyBorder="1" applyAlignment="1">
      <alignment horizontal="center" vertical="center"/>
    </xf>
    <xf numFmtId="166" fontId="3" fillId="6" borderId="2" xfId="0" applyNumberFormat="1" applyFont="1" applyFill="1" applyBorder="1" applyAlignment="1">
      <alignment horizontal="center" vertical="center"/>
    </xf>
    <xf numFmtId="166" fontId="5" fillId="6" borderId="19" xfId="0" applyNumberFormat="1" applyFont="1" applyFill="1" applyBorder="1" applyAlignment="1">
      <alignment horizontal="center" vertical="center"/>
    </xf>
    <xf numFmtId="164" fontId="5" fillId="6" borderId="2" xfId="0" applyNumberFormat="1" applyFont="1" applyFill="1" applyBorder="1" applyAlignment="1">
      <alignment horizontal="center" vertical="center"/>
    </xf>
    <xf numFmtId="166" fontId="5" fillId="6" borderId="2" xfId="0" applyNumberFormat="1" applyFont="1" applyFill="1" applyBorder="1" applyAlignment="1">
      <alignment horizontal="center" vertical="center"/>
    </xf>
    <xf numFmtId="165" fontId="5" fillId="6" borderId="6" xfId="0" applyNumberFormat="1" applyFont="1" applyFill="1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165" fontId="3" fillId="6" borderId="8" xfId="0" applyNumberFormat="1" applyFont="1" applyFill="1" applyBorder="1" applyAlignment="1">
      <alignment horizontal="center" vertical="center"/>
    </xf>
    <xf numFmtId="165" fontId="3" fillId="6" borderId="3" xfId="0" applyNumberFormat="1" applyFont="1" applyFill="1" applyBorder="1" applyAlignment="1">
      <alignment horizontal="center" vertical="center"/>
    </xf>
    <xf numFmtId="165" fontId="3" fillId="6" borderId="5" xfId="0" applyNumberFormat="1" applyFont="1" applyFill="1" applyBorder="1" applyAlignment="1">
      <alignment horizontal="center" vertical="center"/>
    </xf>
    <xf numFmtId="166" fontId="3" fillId="6" borderId="6" xfId="0" applyNumberFormat="1" applyFont="1" applyFill="1" applyBorder="1" applyAlignment="1">
      <alignment horizontal="center" vertical="center"/>
    </xf>
    <xf numFmtId="166" fontId="3" fillId="6" borderId="3" xfId="0" applyNumberFormat="1" applyFont="1" applyFill="1" applyBorder="1" applyAlignment="1">
      <alignment horizontal="center" vertical="center"/>
    </xf>
    <xf numFmtId="166" fontId="3" fillId="6" borderId="5" xfId="0" applyNumberFormat="1" applyFont="1" applyFill="1" applyBorder="1" applyAlignment="1">
      <alignment horizontal="center" vertical="center"/>
    </xf>
    <xf numFmtId="164" fontId="0" fillId="6" borderId="3" xfId="0" applyNumberFormat="1" applyFill="1" applyBorder="1" applyAlignment="1">
      <alignment horizontal="center" vertical="center"/>
    </xf>
    <xf numFmtId="166" fontId="0" fillId="6" borderId="3" xfId="0" applyNumberFormat="1" applyFill="1" applyBorder="1" applyAlignment="1">
      <alignment horizontal="center" vertical="center"/>
    </xf>
    <xf numFmtId="164" fontId="5" fillId="0" borderId="3" xfId="0" applyNumberFormat="1" applyFont="1" applyFill="1" applyBorder="1" applyAlignment="1">
      <alignment horizontal="center" vertical="center"/>
    </xf>
    <xf numFmtId="166" fontId="5" fillId="0" borderId="3" xfId="0" applyNumberFormat="1" applyFont="1" applyFill="1" applyBorder="1" applyAlignment="1">
      <alignment horizontal="center" vertical="center"/>
    </xf>
    <xf numFmtId="164" fontId="0" fillId="0" borderId="3" xfId="0" applyNumberFormat="1" applyFill="1" applyBorder="1" applyAlignment="1">
      <alignment horizontal="center" vertical="center"/>
    </xf>
    <xf numFmtId="166" fontId="0" fillId="0" borderId="3" xfId="0" applyNumberFormat="1" applyFill="1" applyBorder="1" applyAlignment="1">
      <alignment horizontal="center" vertical="center"/>
    </xf>
    <xf numFmtId="165" fontId="3" fillId="4" borderId="8" xfId="0" applyNumberFormat="1" applyFont="1" applyFill="1" applyBorder="1" applyAlignment="1">
      <alignment horizontal="center" vertical="center"/>
    </xf>
    <xf numFmtId="165" fontId="3" fillId="4" borderId="3" xfId="0" applyNumberFormat="1" applyFont="1" applyFill="1" applyBorder="1" applyAlignment="1">
      <alignment horizontal="center" vertical="center"/>
    </xf>
    <xf numFmtId="165" fontId="3" fillId="4" borderId="5" xfId="0" applyNumberFormat="1" applyFont="1" applyFill="1" applyBorder="1" applyAlignment="1">
      <alignment horizontal="center" vertical="center"/>
    </xf>
    <xf numFmtId="166" fontId="3" fillId="4" borderId="6" xfId="0" applyNumberFormat="1" applyFont="1" applyFill="1" applyBorder="1" applyAlignment="1">
      <alignment horizontal="center" vertical="center"/>
    </xf>
    <xf numFmtId="166" fontId="3" fillId="4" borderId="3" xfId="0" applyNumberFormat="1" applyFont="1" applyFill="1" applyBorder="1" applyAlignment="1">
      <alignment horizontal="center" vertical="center"/>
    </xf>
    <xf numFmtId="166" fontId="3" fillId="4" borderId="5" xfId="0" applyNumberFormat="1" applyFont="1" applyFill="1" applyBorder="1" applyAlignment="1">
      <alignment horizontal="center" vertical="center"/>
    </xf>
    <xf numFmtId="164" fontId="0" fillId="4" borderId="3" xfId="0" applyNumberFormat="1" applyFill="1" applyBorder="1" applyAlignment="1">
      <alignment horizontal="center" vertical="center"/>
    </xf>
    <xf numFmtId="166" fontId="0" fillId="4" borderId="3" xfId="0" applyNumberFormat="1" applyFill="1" applyBorder="1" applyAlignment="1">
      <alignment horizontal="center" vertical="center"/>
    </xf>
    <xf numFmtId="166" fontId="5" fillId="4" borderId="5" xfId="0" applyNumberFormat="1" applyFont="1" applyFill="1" applyBorder="1" applyAlignment="1">
      <alignment horizontal="center" vertical="center"/>
    </xf>
    <xf numFmtId="164" fontId="5" fillId="4" borderId="3" xfId="0" applyNumberFormat="1" applyFont="1" applyFill="1" applyBorder="1" applyAlignment="1">
      <alignment horizontal="center" vertical="center"/>
    </xf>
    <xf numFmtId="166" fontId="5" fillId="4" borderId="3" xfId="0" applyNumberFormat="1" applyFont="1" applyFill="1" applyBorder="1" applyAlignment="1">
      <alignment horizontal="center" vertical="center"/>
    </xf>
    <xf numFmtId="165" fontId="5" fillId="7" borderId="18" xfId="0" applyNumberFormat="1" applyFont="1" applyFill="1" applyBorder="1" applyAlignment="1">
      <alignment horizontal="center" vertical="center"/>
    </xf>
    <xf numFmtId="0" fontId="5" fillId="7" borderId="19" xfId="0" applyFont="1" applyFill="1" applyBorder="1" applyAlignment="1">
      <alignment horizontal="center" vertical="center"/>
    </xf>
    <xf numFmtId="165" fontId="3" fillId="7" borderId="20" xfId="0" applyNumberFormat="1" applyFont="1" applyFill="1" applyBorder="1" applyAlignment="1">
      <alignment horizontal="center" vertical="center"/>
    </xf>
    <xf numFmtId="165" fontId="3" fillId="7" borderId="2" xfId="0" applyNumberFormat="1" applyFont="1" applyFill="1" applyBorder="1" applyAlignment="1">
      <alignment horizontal="center" vertical="center"/>
    </xf>
    <xf numFmtId="165" fontId="3" fillId="7" borderId="19" xfId="0" applyNumberFormat="1" applyFont="1" applyFill="1" applyBorder="1" applyAlignment="1">
      <alignment horizontal="center" vertical="center"/>
    </xf>
    <xf numFmtId="166" fontId="3" fillId="7" borderId="18" xfId="0" applyNumberFormat="1" applyFont="1" applyFill="1" applyBorder="1" applyAlignment="1">
      <alignment horizontal="center" vertical="center"/>
    </xf>
    <xf numFmtId="166" fontId="3" fillId="7" borderId="2" xfId="0" applyNumberFormat="1" applyFont="1" applyFill="1" applyBorder="1" applyAlignment="1">
      <alignment horizontal="center" vertical="center"/>
    </xf>
    <xf numFmtId="166" fontId="5" fillId="7" borderId="19" xfId="0" applyNumberFormat="1" applyFont="1" applyFill="1" applyBorder="1" applyAlignment="1">
      <alignment horizontal="center" vertical="center"/>
    </xf>
    <xf numFmtId="164" fontId="5" fillId="7" borderId="2" xfId="0" applyNumberFormat="1" applyFont="1" applyFill="1" applyBorder="1" applyAlignment="1">
      <alignment horizontal="center" vertical="center"/>
    </xf>
    <xf numFmtId="166" fontId="5" fillId="7" borderId="2" xfId="0" applyNumberFormat="1" applyFont="1" applyFill="1" applyBorder="1" applyAlignment="1">
      <alignment horizontal="center" vertical="center"/>
    </xf>
    <xf numFmtId="165" fontId="5" fillId="7" borderId="6" xfId="0" applyNumberFormat="1" applyFont="1" applyFill="1" applyBorder="1" applyAlignment="1">
      <alignment horizontal="center" vertical="center"/>
    </xf>
    <xf numFmtId="0" fontId="5" fillId="7" borderId="5" xfId="0" applyFont="1" applyFill="1" applyBorder="1" applyAlignment="1">
      <alignment horizontal="center" vertical="center"/>
    </xf>
    <xf numFmtId="165" fontId="3" fillId="7" borderId="8" xfId="0" applyNumberFormat="1" applyFont="1" applyFill="1" applyBorder="1" applyAlignment="1">
      <alignment horizontal="center" vertical="center"/>
    </xf>
    <xf numFmtId="165" fontId="3" fillId="7" borderId="3" xfId="0" applyNumberFormat="1" applyFont="1" applyFill="1" applyBorder="1" applyAlignment="1">
      <alignment horizontal="center" vertical="center"/>
    </xf>
    <xf numFmtId="165" fontId="3" fillId="7" borderId="5" xfId="0" applyNumberFormat="1" applyFont="1" applyFill="1" applyBorder="1" applyAlignment="1">
      <alignment horizontal="center" vertical="center"/>
    </xf>
    <xf numFmtId="166" fontId="3" fillId="7" borderId="6" xfId="0" applyNumberFormat="1" applyFont="1" applyFill="1" applyBorder="1" applyAlignment="1">
      <alignment horizontal="center" vertical="center"/>
    </xf>
    <xf numFmtId="166" fontId="3" fillId="7" borderId="3" xfId="0" applyNumberFormat="1" applyFont="1" applyFill="1" applyBorder="1" applyAlignment="1">
      <alignment horizontal="center" vertical="center"/>
    </xf>
    <xf numFmtId="166" fontId="3" fillId="7" borderId="5" xfId="0" applyNumberFormat="1" applyFont="1" applyFill="1" applyBorder="1" applyAlignment="1">
      <alignment horizontal="center" vertical="center"/>
    </xf>
    <xf numFmtId="164" fontId="0" fillId="7" borderId="3" xfId="0" applyNumberFormat="1" applyFill="1" applyBorder="1" applyAlignment="1">
      <alignment horizontal="center" vertical="center"/>
    </xf>
    <xf numFmtId="166" fontId="0" fillId="7" borderId="3" xfId="0" applyNumberFormat="1" applyFill="1" applyBorder="1" applyAlignment="1">
      <alignment horizontal="center" vertical="center"/>
    </xf>
    <xf numFmtId="165" fontId="5" fillId="8" borderId="6" xfId="0" applyNumberFormat="1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165" fontId="3" fillId="8" borderId="8" xfId="0" applyNumberFormat="1" applyFont="1" applyFill="1" applyBorder="1" applyAlignment="1">
      <alignment horizontal="center" vertical="center"/>
    </xf>
    <xf numFmtId="165" fontId="3" fillId="8" borderId="3" xfId="0" applyNumberFormat="1" applyFont="1" applyFill="1" applyBorder="1" applyAlignment="1">
      <alignment horizontal="center" vertical="center"/>
    </xf>
    <xf numFmtId="165" fontId="3" fillId="8" borderId="5" xfId="0" applyNumberFormat="1" applyFont="1" applyFill="1" applyBorder="1" applyAlignment="1">
      <alignment horizontal="center" vertical="center"/>
    </xf>
    <xf numFmtId="166" fontId="3" fillId="8" borderId="6" xfId="0" applyNumberFormat="1" applyFont="1" applyFill="1" applyBorder="1" applyAlignment="1">
      <alignment horizontal="center" vertical="center"/>
    </xf>
    <xf numFmtId="166" fontId="3" fillId="8" borderId="3" xfId="0" applyNumberFormat="1" applyFont="1" applyFill="1" applyBorder="1" applyAlignment="1">
      <alignment horizontal="center" vertical="center"/>
    </xf>
    <xf numFmtId="166" fontId="3" fillId="8" borderId="5" xfId="0" applyNumberFormat="1" applyFont="1" applyFill="1" applyBorder="1" applyAlignment="1">
      <alignment horizontal="center" vertical="center"/>
    </xf>
    <xf numFmtId="164" fontId="0" fillId="8" borderId="3" xfId="0" applyNumberFormat="1" applyFill="1" applyBorder="1" applyAlignment="1">
      <alignment horizontal="center" vertical="center"/>
    </xf>
    <xf numFmtId="166" fontId="0" fillId="8" borderId="3" xfId="0" applyNumberFormat="1" applyFill="1" applyBorder="1" applyAlignment="1">
      <alignment horizontal="center" vertical="center"/>
    </xf>
    <xf numFmtId="166" fontId="5" fillId="8" borderId="5" xfId="0" applyNumberFormat="1" applyFont="1" applyFill="1" applyBorder="1" applyAlignment="1">
      <alignment horizontal="center" vertical="center"/>
    </xf>
    <xf numFmtId="164" fontId="5" fillId="8" borderId="3" xfId="0" applyNumberFormat="1" applyFont="1" applyFill="1" applyBorder="1" applyAlignment="1">
      <alignment horizontal="center" vertical="center"/>
    </xf>
    <xf numFmtId="166" fontId="5" fillId="8" borderId="3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5" borderId="7" xfId="0" applyNumberFormat="1" applyFill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0" xfId="0" applyFill="1" applyBorder="1"/>
    <xf numFmtId="0" fontId="3" fillId="0" borderId="0" xfId="2" applyFill="1" applyBorder="1"/>
    <xf numFmtId="0" fontId="6" fillId="0" borderId="0" xfId="2" applyFont="1" applyFill="1" applyBorder="1" applyAlignment="1">
      <alignment vertical="center"/>
    </xf>
    <xf numFmtId="0" fontId="3" fillId="0" borderId="0" xfId="2" applyFill="1" applyBorder="1" applyAlignment="1"/>
    <xf numFmtId="0" fontId="3" fillId="0" borderId="0" xfId="2" applyFont="1" applyFill="1" applyBorder="1" applyAlignment="1"/>
    <xf numFmtId="0" fontId="3" fillId="0" borderId="0" xfId="2" applyFill="1" applyBorder="1" applyAlignment="1">
      <alignment horizontal="center" vertical="center"/>
    </xf>
    <xf numFmtId="0" fontId="3" fillId="0" borderId="0" xfId="2" applyFont="1" applyFill="1" applyBorder="1" applyAlignment="1">
      <alignment horizontal="center" vertical="center"/>
    </xf>
    <xf numFmtId="0" fontId="3" fillId="0" borderId="0" xfId="2" applyFont="1" applyFill="1" applyBorder="1" applyAlignment="1">
      <alignment vertical="center"/>
    </xf>
    <xf numFmtId="0" fontId="3" fillId="0" borderId="0" xfId="2" applyFont="1" applyFill="1" applyBorder="1" applyAlignment="1">
      <alignment horizontal="center"/>
    </xf>
    <xf numFmtId="165" fontId="3" fillId="0" borderId="0" xfId="2" applyNumberFormat="1" applyFill="1" applyBorder="1" applyAlignment="1">
      <alignment horizontal="center" vertical="center"/>
    </xf>
    <xf numFmtId="165" fontId="3" fillId="0" borderId="0" xfId="2" applyNumberFormat="1" applyFill="1" applyBorder="1" applyAlignment="1">
      <alignment horizontal="center"/>
    </xf>
    <xf numFmtId="164" fontId="3" fillId="0" borderId="0" xfId="2" applyNumberFormat="1" applyFont="1" applyFill="1" applyBorder="1" applyAlignment="1">
      <alignment horizontal="center"/>
    </xf>
    <xf numFmtId="0" fontId="3" fillId="0" borderId="0" xfId="2" applyFill="1" applyBorder="1" applyAlignment="1">
      <alignment vertical="center"/>
    </xf>
    <xf numFmtId="0" fontId="3" fillId="0" borderId="3" xfId="0" applyFont="1" applyBorder="1"/>
    <xf numFmtId="0" fontId="0" fillId="0" borderId="3" xfId="0" applyBorder="1"/>
    <xf numFmtId="0" fontId="0" fillId="0" borderId="24" xfId="0" applyBorder="1"/>
    <xf numFmtId="0" fontId="0" fillId="0" borderId="25" xfId="0" applyBorder="1"/>
    <xf numFmtId="0" fontId="3" fillId="0" borderId="24" xfId="0" applyFont="1" applyBorder="1"/>
    <xf numFmtId="0" fontId="0" fillId="0" borderId="26" xfId="0" applyBorder="1"/>
    <xf numFmtId="0" fontId="0" fillId="0" borderId="23" xfId="0" applyBorder="1"/>
    <xf numFmtId="0" fontId="0" fillId="0" borderId="27" xfId="0" applyBorder="1"/>
    <xf numFmtId="0" fontId="0" fillId="0" borderId="28" xfId="0" applyBorder="1"/>
    <xf numFmtId="0" fontId="0" fillId="0" borderId="2" xfId="0" applyBorder="1"/>
    <xf numFmtId="0" fontId="0" fillId="0" borderId="29" xfId="0" applyBorder="1"/>
    <xf numFmtId="0" fontId="3" fillId="9" borderId="30" xfId="0" applyFont="1" applyFill="1" applyBorder="1"/>
    <xf numFmtId="0" fontId="3" fillId="9" borderId="31" xfId="0" applyFont="1" applyFill="1" applyBorder="1"/>
    <xf numFmtId="0" fontId="3" fillId="9" borderId="32" xfId="0" applyFont="1" applyFill="1" applyBorder="1"/>
    <xf numFmtId="0" fontId="7" fillId="0" borderId="0" xfId="0" applyFont="1" applyAlignment="1"/>
    <xf numFmtId="0" fontId="0" fillId="0" borderId="0" xfId="0" applyAlignment="1">
      <alignment horizontal="center"/>
    </xf>
    <xf numFmtId="0" fontId="0" fillId="0" borderId="34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2" fontId="0" fillId="0" borderId="41" xfId="0" applyNumberFormat="1" applyBorder="1" applyAlignment="1">
      <alignment horizontal="center"/>
    </xf>
    <xf numFmtId="169" fontId="8" fillId="0" borderId="40" xfId="0" applyNumberFormat="1" applyFont="1" applyBorder="1" applyAlignment="1">
      <alignment horizontal="center"/>
    </xf>
    <xf numFmtId="0" fontId="0" fillId="10" borderId="39" xfId="0" applyFill="1" applyBorder="1" applyAlignment="1">
      <alignment horizontal="center"/>
    </xf>
    <xf numFmtId="0" fontId="0" fillId="10" borderId="40" xfId="0" applyFill="1" applyBorder="1" applyAlignment="1">
      <alignment horizontal="center"/>
    </xf>
    <xf numFmtId="2" fontId="0" fillId="10" borderId="41" xfId="0" applyNumberFormat="1" applyFill="1" applyBorder="1" applyAlignment="1">
      <alignment horizontal="center"/>
    </xf>
    <xf numFmtId="169" fontId="8" fillId="10" borderId="40" xfId="0" applyNumberFormat="1" applyFont="1" applyFill="1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2" fontId="0" fillId="0" borderId="44" xfId="0" applyNumberFormat="1" applyBorder="1" applyAlignment="1">
      <alignment horizontal="center"/>
    </xf>
    <xf numFmtId="169" fontId="8" fillId="0" borderId="43" xfId="0" applyNumberFormat="1" applyFont="1" applyBorder="1" applyAlignment="1">
      <alignment horizont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165" fontId="5" fillId="0" borderId="49" xfId="0" applyNumberFormat="1" applyFont="1" applyFill="1" applyBorder="1" applyAlignment="1">
      <alignment horizontal="center" vertical="center"/>
    </xf>
    <xf numFmtId="0" fontId="5" fillId="0" borderId="48" xfId="0" applyFont="1" applyFill="1" applyBorder="1" applyAlignment="1">
      <alignment horizontal="center" vertical="center"/>
    </xf>
    <xf numFmtId="165" fontId="3" fillId="0" borderId="50" xfId="0" applyNumberFormat="1" applyFont="1" applyFill="1" applyBorder="1" applyAlignment="1">
      <alignment horizontal="center" vertical="center"/>
    </xf>
    <xf numFmtId="165" fontId="3" fillId="0" borderId="51" xfId="0" applyNumberFormat="1" applyFont="1" applyFill="1" applyBorder="1" applyAlignment="1">
      <alignment horizontal="center" vertical="center"/>
    </xf>
    <xf numFmtId="165" fontId="3" fillId="0" borderId="48" xfId="0" applyNumberFormat="1" applyFont="1" applyFill="1" applyBorder="1" applyAlignment="1">
      <alignment horizontal="center" vertical="center"/>
    </xf>
    <xf numFmtId="166" fontId="3" fillId="0" borderId="49" xfId="0" applyNumberFormat="1" applyFont="1" applyFill="1" applyBorder="1" applyAlignment="1">
      <alignment horizontal="center" vertical="center"/>
    </xf>
    <xf numFmtId="166" fontId="3" fillId="0" borderId="51" xfId="0" applyNumberFormat="1" applyFont="1" applyFill="1" applyBorder="1" applyAlignment="1">
      <alignment horizontal="center" vertical="center"/>
    </xf>
    <xf numFmtId="166" fontId="5" fillId="0" borderId="48" xfId="0" applyNumberFormat="1" applyFont="1" applyFill="1" applyBorder="1" applyAlignment="1">
      <alignment horizontal="center" vertical="center"/>
    </xf>
    <xf numFmtId="164" fontId="5" fillId="0" borderId="51" xfId="0" applyNumberFormat="1" applyFont="1" applyFill="1" applyBorder="1" applyAlignment="1">
      <alignment horizontal="center" vertical="center"/>
    </xf>
    <xf numFmtId="166" fontId="5" fillId="0" borderId="51" xfId="0" applyNumberFormat="1" applyFont="1" applyFill="1" applyBorder="1" applyAlignment="1">
      <alignment horizontal="center" vertical="center"/>
    </xf>
    <xf numFmtId="164" fontId="0" fillId="0" borderId="52" xfId="0" applyNumberFormat="1" applyFill="1" applyBorder="1" applyAlignment="1">
      <alignment horizontal="center" vertical="center"/>
    </xf>
    <xf numFmtId="164" fontId="0" fillId="0" borderId="25" xfId="0" applyNumberFormat="1" applyFill="1" applyBorder="1" applyAlignment="1">
      <alignment horizontal="center" vertical="center"/>
    </xf>
    <xf numFmtId="164" fontId="0" fillId="6" borderId="29" xfId="0" applyNumberFormat="1" applyFill="1" applyBorder="1" applyAlignment="1">
      <alignment horizontal="center" vertical="center"/>
    </xf>
    <xf numFmtId="164" fontId="0" fillId="6" borderId="25" xfId="0" applyNumberFormat="1" applyFill="1" applyBorder="1" applyAlignment="1">
      <alignment horizontal="center" vertical="center"/>
    </xf>
    <xf numFmtId="165" fontId="5" fillId="4" borderId="49" xfId="0" applyNumberFormat="1" applyFont="1" applyFill="1" applyBorder="1" applyAlignment="1">
      <alignment horizontal="center" vertical="center"/>
    </xf>
    <xf numFmtId="0" fontId="5" fillId="4" borderId="48" xfId="0" applyFont="1" applyFill="1" applyBorder="1" applyAlignment="1">
      <alignment horizontal="center" vertical="center"/>
    </xf>
    <xf numFmtId="165" fontId="3" fillId="4" borderId="50" xfId="0" applyNumberFormat="1" applyFont="1" applyFill="1" applyBorder="1" applyAlignment="1">
      <alignment horizontal="center" vertical="center"/>
    </xf>
    <xf numFmtId="165" fontId="3" fillId="4" borderId="51" xfId="0" applyNumberFormat="1" applyFont="1" applyFill="1" applyBorder="1" applyAlignment="1">
      <alignment horizontal="center" vertical="center"/>
    </xf>
    <xf numFmtId="165" fontId="3" fillId="4" borderId="48" xfId="0" applyNumberFormat="1" applyFont="1" applyFill="1" applyBorder="1" applyAlignment="1">
      <alignment horizontal="center" vertical="center"/>
    </xf>
    <xf numFmtId="166" fontId="3" fillId="4" borderId="49" xfId="0" applyNumberFormat="1" applyFont="1" applyFill="1" applyBorder="1" applyAlignment="1">
      <alignment horizontal="center" vertical="center"/>
    </xf>
    <xf numFmtId="166" fontId="3" fillId="4" borderId="51" xfId="0" applyNumberFormat="1" applyFont="1" applyFill="1" applyBorder="1" applyAlignment="1">
      <alignment horizontal="center" vertical="center"/>
    </xf>
    <xf numFmtId="166" fontId="5" fillId="4" borderId="48" xfId="0" applyNumberFormat="1" applyFont="1" applyFill="1" applyBorder="1" applyAlignment="1">
      <alignment horizontal="center" vertical="center"/>
    </xf>
    <xf numFmtId="164" fontId="5" fillId="4" borderId="51" xfId="0" applyNumberFormat="1" applyFont="1" applyFill="1" applyBorder="1" applyAlignment="1">
      <alignment horizontal="center" vertical="center"/>
    </xf>
    <xf numFmtId="166" fontId="5" fillId="4" borderId="51" xfId="0" applyNumberFormat="1" applyFont="1" applyFill="1" applyBorder="1" applyAlignment="1">
      <alignment horizontal="center" vertical="center"/>
    </xf>
    <xf numFmtId="164" fontId="0" fillId="4" borderId="52" xfId="0" applyNumberFormat="1" applyFill="1" applyBorder="1" applyAlignment="1">
      <alignment horizontal="center" vertical="center"/>
    </xf>
    <xf numFmtId="164" fontId="0" fillId="4" borderId="25" xfId="0" applyNumberFormat="1" applyFill="1" applyBorder="1" applyAlignment="1">
      <alignment horizontal="center" vertical="center"/>
    </xf>
    <xf numFmtId="164" fontId="5" fillId="0" borderId="51" xfId="0" applyNumberFormat="1" applyFont="1" applyBorder="1" applyAlignment="1">
      <alignment horizontal="center" vertical="center"/>
    </xf>
    <xf numFmtId="166" fontId="5" fillId="0" borderId="51" xfId="0" applyNumberFormat="1" applyFont="1" applyBorder="1" applyAlignment="1">
      <alignment horizontal="center" vertical="center"/>
    </xf>
    <xf numFmtId="164" fontId="0" fillId="0" borderId="52" xfId="0" applyNumberFormat="1" applyBorder="1" applyAlignment="1">
      <alignment horizontal="center" vertical="center"/>
    </xf>
    <xf numFmtId="164" fontId="0" fillId="0" borderId="25" xfId="0" applyNumberFormat="1" applyBorder="1" applyAlignment="1">
      <alignment horizontal="center" vertical="center"/>
    </xf>
    <xf numFmtId="164" fontId="0" fillId="7" borderId="29" xfId="0" applyNumberFormat="1" applyFill="1" applyBorder="1" applyAlignment="1">
      <alignment horizontal="center" vertical="center"/>
    </xf>
    <xf numFmtId="164" fontId="0" fillId="7" borderId="25" xfId="0" applyNumberFormat="1" applyFill="1" applyBorder="1" applyAlignment="1">
      <alignment horizontal="center" vertical="center"/>
    </xf>
    <xf numFmtId="165" fontId="5" fillId="8" borderId="49" xfId="0" applyNumberFormat="1" applyFont="1" applyFill="1" applyBorder="1" applyAlignment="1">
      <alignment horizontal="center" vertical="center"/>
    </xf>
    <xf numFmtId="0" fontId="5" fillId="8" borderId="48" xfId="0" applyFont="1" applyFill="1" applyBorder="1" applyAlignment="1">
      <alignment horizontal="center" vertical="center"/>
    </xf>
    <xf numFmtId="165" fontId="3" fillId="8" borderId="50" xfId="0" applyNumberFormat="1" applyFont="1" applyFill="1" applyBorder="1" applyAlignment="1">
      <alignment horizontal="center" vertical="center"/>
    </xf>
    <xf numFmtId="165" fontId="3" fillId="8" borderId="51" xfId="0" applyNumberFormat="1" applyFont="1" applyFill="1" applyBorder="1" applyAlignment="1">
      <alignment horizontal="center" vertical="center"/>
    </xf>
    <xf numFmtId="165" fontId="3" fillId="8" borderId="48" xfId="0" applyNumberFormat="1" applyFont="1" applyFill="1" applyBorder="1" applyAlignment="1">
      <alignment horizontal="center" vertical="center"/>
    </xf>
    <xf numFmtId="166" fontId="3" fillId="8" borderId="49" xfId="0" applyNumberFormat="1" applyFont="1" applyFill="1" applyBorder="1" applyAlignment="1">
      <alignment horizontal="center" vertical="center"/>
    </xf>
    <xf numFmtId="166" fontId="3" fillId="8" borderId="51" xfId="0" applyNumberFormat="1" applyFont="1" applyFill="1" applyBorder="1" applyAlignment="1">
      <alignment horizontal="center" vertical="center"/>
    </xf>
    <xf numFmtId="166" fontId="5" fillId="8" borderId="48" xfId="0" applyNumberFormat="1" applyFont="1" applyFill="1" applyBorder="1" applyAlignment="1">
      <alignment horizontal="center" vertical="center"/>
    </xf>
    <xf numFmtId="164" fontId="5" fillId="8" borderId="51" xfId="0" applyNumberFormat="1" applyFont="1" applyFill="1" applyBorder="1" applyAlignment="1">
      <alignment horizontal="center" vertical="center"/>
    </xf>
    <xf numFmtId="166" fontId="5" fillId="8" borderId="51" xfId="0" applyNumberFormat="1" applyFont="1" applyFill="1" applyBorder="1" applyAlignment="1">
      <alignment horizontal="center" vertical="center"/>
    </xf>
    <xf numFmtId="164" fontId="0" fillId="8" borderId="52" xfId="0" applyNumberFormat="1" applyFill="1" applyBorder="1" applyAlignment="1">
      <alignment horizontal="center" vertical="center"/>
    </xf>
    <xf numFmtId="164" fontId="0" fillId="8" borderId="25" xfId="0" applyNumberFormat="1" applyFill="1" applyBorder="1" applyAlignment="1">
      <alignment horizontal="center" vertical="center"/>
    </xf>
    <xf numFmtId="0" fontId="0" fillId="0" borderId="11" xfId="0" applyNumberFormat="1" applyFill="1" applyBorder="1" applyAlignment="1">
      <alignment horizontal="center" vertical="center"/>
    </xf>
    <xf numFmtId="164" fontId="0" fillId="0" borderId="0" xfId="0" applyNumberFormat="1"/>
    <xf numFmtId="164" fontId="3" fillId="0" borderId="12" xfId="0" applyNumberFormat="1" applyFont="1" applyFill="1" applyBorder="1" applyAlignment="1">
      <alignment horizontal="center" vertical="center"/>
    </xf>
    <xf numFmtId="165" fontId="5" fillId="0" borderId="10" xfId="0" applyNumberFormat="1" applyFont="1" applyFill="1" applyBorder="1" applyAlignment="1">
      <alignment horizontal="center" vertical="center"/>
    </xf>
    <xf numFmtId="0" fontId="5" fillId="0" borderId="11" xfId="0" applyFont="1" applyFill="1" applyBorder="1" applyAlignment="1">
      <alignment horizontal="center" vertical="center"/>
    </xf>
    <xf numFmtId="165" fontId="3" fillId="0" borderId="12" xfId="0" applyNumberFormat="1" applyFont="1" applyFill="1" applyBorder="1" applyAlignment="1">
      <alignment horizontal="center" vertical="center"/>
    </xf>
    <xf numFmtId="165" fontId="3" fillId="0" borderId="1" xfId="0" applyNumberFormat="1" applyFont="1" applyFill="1" applyBorder="1" applyAlignment="1">
      <alignment horizontal="center" vertical="center"/>
    </xf>
    <xf numFmtId="165" fontId="3" fillId="0" borderId="11" xfId="0" applyNumberFormat="1" applyFont="1" applyFill="1" applyBorder="1" applyAlignment="1">
      <alignment horizontal="center" vertical="center"/>
    </xf>
    <xf numFmtId="166" fontId="3" fillId="0" borderId="10" xfId="0" applyNumberFormat="1" applyFont="1" applyFill="1" applyBorder="1" applyAlignment="1">
      <alignment horizontal="center" vertical="center"/>
    </xf>
    <xf numFmtId="166" fontId="3" fillId="0" borderId="1" xfId="0" applyNumberFormat="1" applyFont="1" applyFill="1" applyBorder="1" applyAlignment="1">
      <alignment horizontal="center" vertical="center"/>
    </xf>
    <xf numFmtId="166" fontId="3" fillId="0" borderId="11" xfId="0" applyNumberFormat="1" applyFont="1" applyFill="1" applyBorder="1" applyAlignment="1">
      <alignment horizontal="center" vertical="center"/>
    </xf>
    <xf numFmtId="164" fontId="0" fillId="0" borderId="1" xfId="0" applyNumberFormat="1" applyFill="1" applyBorder="1" applyAlignment="1">
      <alignment horizontal="center" vertical="center"/>
    </xf>
    <xf numFmtId="166" fontId="0" fillId="0" borderId="1" xfId="0" applyNumberFormat="1" applyFill="1" applyBorder="1" applyAlignment="1">
      <alignment horizontal="center" vertical="center"/>
    </xf>
    <xf numFmtId="164" fontId="0" fillId="0" borderId="9" xfId="0" applyNumberFormat="1" applyFill="1" applyBorder="1" applyAlignment="1">
      <alignment horizontal="center" vertical="center"/>
    </xf>
    <xf numFmtId="165" fontId="5" fillId="5" borderId="49" xfId="0" applyNumberFormat="1" applyFont="1" applyFill="1" applyBorder="1" applyAlignment="1">
      <alignment horizontal="center" vertical="center"/>
    </xf>
    <xf numFmtId="0" fontId="5" fillId="5" borderId="48" xfId="0" applyFont="1" applyFill="1" applyBorder="1" applyAlignment="1">
      <alignment horizontal="center" vertical="center"/>
    </xf>
    <xf numFmtId="165" fontId="3" fillId="5" borderId="50" xfId="0" applyNumberFormat="1" applyFont="1" applyFill="1" applyBorder="1" applyAlignment="1">
      <alignment horizontal="center" vertical="center"/>
    </xf>
    <xf numFmtId="165" fontId="3" fillId="5" borderId="51" xfId="0" applyNumberFormat="1" applyFont="1" applyFill="1" applyBorder="1" applyAlignment="1">
      <alignment horizontal="center" vertical="center"/>
    </xf>
    <xf numFmtId="165" fontId="3" fillId="5" borderId="48" xfId="0" applyNumberFormat="1" applyFont="1" applyFill="1" applyBorder="1" applyAlignment="1">
      <alignment horizontal="center" vertical="center"/>
    </xf>
    <xf numFmtId="166" fontId="3" fillId="5" borderId="49" xfId="0" applyNumberFormat="1" applyFont="1" applyFill="1" applyBorder="1" applyAlignment="1">
      <alignment horizontal="center" vertical="center"/>
    </xf>
    <xf numFmtId="166" fontId="3" fillId="5" borderId="51" xfId="0" applyNumberFormat="1" applyFont="1" applyFill="1" applyBorder="1" applyAlignment="1">
      <alignment horizontal="center" vertical="center"/>
    </xf>
    <xf numFmtId="166" fontId="5" fillId="5" borderId="48" xfId="0" applyNumberFormat="1" applyFont="1" applyFill="1" applyBorder="1" applyAlignment="1">
      <alignment horizontal="center" vertical="center"/>
    </xf>
    <xf numFmtId="164" fontId="5" fillId="5" borderId="51" xfId="0" applyNumberFormat="1" applyFont="1" applyFill="1" applyBorder="1" applyAlignment="1">
      <alignment horizontal="center" vertical="center"/>
    </xf>
    <xf numFmtId="166" fontId="5" fillId="5" borderId="51" xfId="0" applyNumberFormat="1" applyFont="1" applyFill="1" applyBorder="1" applyAlignment="1">
      <alignment horizontal="center" vertical="center"/>
    </xf>
    <xf numFmtId="164" fontId="0" fillId="5" borderId="48" xfId="0" applyNumberFormat="1" applyFill="1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0" borderId="61" xfId="0" applyFill="1" applyBorder="1" applyAlignment="1">
      <alignment horizontal="center" vertical="center"/>
    </xf>
    <xf numFmtId="0" fontId="3" fillId="0" borderId="0" xfId="0" applyFont="1"/>
    <xf numFmtId="165" fontId="5" fillId="6" borderId="49" xfId="0" applyNumberFormat="1" applyFont="1" applyFill="1" applyBorder="1" applyAlignment="1">
      <alignment horizontal="center" vertical="center"/>
    </xf>
    <xf numFmtId="0" fontId="5" fillId="6" borderId="48" xfId="0" applyFont="1" applyFill="1" applyBorder="1" applyAlignment="1">
      <alignment horizontal="center" vertical="center"/>
    </xf>
    <xf numFmtId="165" fontId="3" fillId="6" borderId="50" xfId="0" applyNumberFormat="1" applyFont="1" applyFill="1" applyBorder="1" applyAlignment="1">
      <alignment horizontal="center" vertical="center"/>
    </xf>
    <xf numFmtId="165" fontId="3" fillId="6" borderId="51" xfId="0" applyNumberFormat="1" applyFont="1" applyFill="1" applyBorder="1" applyAlignment="1">
      <alignment horizontal="center" vertical="center"/>
    </xf>
    <xf numFmtId="165" fontId="3" fillId="6" borderId="48" xfId="0" applyNumberFormat="1" applyFont="1" applyFill="1" applyBorder="1" applyAlignment="1">
      <alignment horizontal="center" vertical="center"/>
    </xf>
    <xf numFmtId="166" fontId="3" fillId="6" borderId="49" xfId="0" applyNumberFormat="1" applyFont="1" applyFill="1" applyBorder="1" applyAlignment="1">
      <alignment horizontal="center" vertical="center"/>
    </xf>
    <xf numFmtId="166" fontId="3" fillId="6" borderId="51" xfId="0" applyNumberFormat="1" applyFont="1" applyFill="1" applyBorder="1" applyAlignment="1">
      <alignment horizontal="center" vertical="center"/>
    </xf>
    <xf numFmtId="166" fontId="5" fillId="6" borderId="48" xfId="0" applyNumberFormat="1" applyFont="1" applyFill="1" applyBorder="1" applyAlignment="1">
      <alignment horizontal="center" vertical="center"/>
    </xf>
    <xf numFmtId="164" fontId="5" fillId="6" borderId="51" xfId="0" applyNumberFormat="1" applyFont="1" applyFill="1" applyBorder="1" applyAlignment="1">
      <alignment horizontal="center" vertical="center"/>
    </xf>
    <xf numFmtId="166" fontId="5" fillId="6" borderId="51" xfId="0" applyNumberFormat="1" applyFont="1" applyFill="1" applyBorder="1" applyAlignment="1">
      <alignment horizontal="center" vertical="center"/>
    </xf>
    <xf numFmtId="164" fontId="0" fillId="6" borderId="52" xfId="0" applyNumberFormat="1" applyFill="1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0" fontId="0" fillId="0" borderId="45" xfId="0" applyFill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5" fontId="5" fillId="6" borderId="10" xfId="0" applyNumberFormat="1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165" fontId="3" fillId="6" borderId="12" xfId="0" applyNumberFormat="1" applyFont="1" applyFill="1" applyBorder="1" applyAlignment="1">
      <alignment horizontal="center" vertical="center"/>
    </xf>
    <xf numFmtId="165" fontId="3" fillId="6" borderId="1" xfId="0" applyNumberFormat="1" applyFont="1" applyFill="1" applyBorder="1" applyAlignment="1">
      <alignment horizontal="center" vertical="center"/>
    </xf>
    <xf numFmtId="165" fontId="3" fillId="6" borderId="11" xfId="0" applyNumberFormat="1" applyFont="1" applyFill="1" applyBorder="1" applyAlignment="1">
      <alignment horizontal="center" vertical="center"/>
    </xf>
    <xf numFmtId="166" fontId="3" fillId="6" borderId="10" xfId="0" applyNumberFormat="1" applyFont="1" applyFill="1" applyBorder="1" applyAlignment="1">
      <alignment horizontal="center" vertical="center"/>
    </xf>
    <xf numFmtId="166" fontId="3" fillId="6" borderId="1" xfId="0" applyNumberFormat="1" applyFont="1" applyFill="1" applyBorder="1" applyAlignment="1">
      <alignment horizontal="center" vertical="center"/>
    </xf>
    <xf numFmtId="166" fontId="3" fillId="6" borderId="11" xfId="0" applyNumberFormat="1" applyFont="1" applyFill="1" applyBorder="1" applyAlignment="1">
      <alignment horizontal="center" vertical="center"/>
    </xf>
    <xf numFmtId="164" fontId="0" fillId="6" borderId="1" xfId="0" applyNumberFormat="1" applyFill="1" applyBorder="1" applyAlignment="1">
      <alignment horizontal="center" vertical="center"/>
    </xf>
    <xf numFmtId="166" fontId="0" fillId="6" borderId="1" xfId="0" applyNumberFormat="1" applyFill="1" applyBorder="1" applyAlignment="1">
      <alignment horizontal="center" vertical="center"/>
    </xf>
    <xf numFmtId="164" fontId="0" fillId="6" borderId="64" xfId="0" applyNumberFormat="1" applyFill="1" applyBorder="1" applyAlignment="1">
      <alignment horizontal="center" vertical="center"/>
    </xf>
    <xf numFmtId="165" fontId="5" fillId="5" borderId="10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165" fontId="3" fillId="5" borderId="12" xfId="0" applyNumberFormat="1" applyFont="1" applyFill="1" applyBorder="1" applyAlignment="1">
      <alignment horizontal="center" vertical="center"/>
    </xf>
    <xf numFmtId="165" fontId="3" fillId="5" borderId="1" xfId="0" applyNumberFormat="1" applyFont="1" applyFill="1" applyBorder="1" applyAlignment="1">
      <alignment horizontal="center" vertical="center"/>
    </xf>
    <xf numFmtId="165" fontId="3" fillId="5" borderId="11" xfId="0" applyNumberFormat="1" applyFont="1" applyFill="1" applyBorder="1" applyAlignment="1">
      <alignment horizontal="center" vertical="center"/>
    </xf>
    <xf numFmtId="166" fontId="3" fillId="5" borderId="10" xfId="0" applyNumberFormat="1" applyFont="1" applyFill="1" applyBorder="1" applyAlignment="1">
      <alignment horizontal="center" vertical="center"/>
    </xf>
    <xf numFmtId="166" fontId="3" fillId="5" borderId="1" xfId="0" applyNumberFormat="1" applyFont="1" applyFill="1" applyBorder="1" applyAlignment="1">
      <alignment horizontal="center" vertical="center"/>
    </xf>
    <xf numFmtId="166" fontId="3" fillId="5" borderId="11" xfId="0" applyNumberFormat="1" applyFont="1" applyFill="1" applyBorder="1" applyAlignment="1">
      <alignment horizontal="center" vertical="center"/>
    </xf>
    <xf numFmtId="164" fontId="0" fillId="5" borderId="1" xfId="0" applyNumberFormat="1" applyFill="1" applyBorder="1" applyAlignment="1">
      <alignment horizontal="center" vertical="center"/>
    </xf>
    <xf numFmtId="166" fontId="0" fillId="5" borderId="1" xfId="0" applyNumberFormat="1" applyFill="1" applyBorder="1" applyAlignment="1">
      <alignment horizontal="center" vertical="center"/>
    </xf>
    <xf numFmtId="164" fontId="0" fillId="5" borderId="11" xfId="0" applyNumberFormat="1" applyFill="1" applyBorder="1" applyAlignment="1">
      <alignment horizontal="center" vertical="center"/>
    </xf>
    <xf numFmtId="165" fontId="5" fillId="8" borderId="54" xfId="0" applyNumberFormat="1" applyFont="1" applyFill="1" applyBorder="1" applyAlignment="1">
      <alignment horizontal="center" vertical="center"/>
    </xf>
    <xf numFmtId="0" fontId="5" fillId="8" borderId="53" xfId="0" applyFont="1" applyFill="1" applyBorder="1" applyAlignment="1">
      <alignment horizontal="center" vertical="center"/>
    </xf>
    <xf numFmtId="165" fontId="3" fillId="8" borderId="55" xfId="0" applyNumberFormat="1" applyFont="1" applyFill="1" applyBorder="1" applyAlignment="1">
      <alignment horizontal="center" vertical="center"/>
    </xf>
    <xf numFmtId="165" fontId="3" fillId="8" borderId="23" xfId="0" applyNumberFormat="1" applyFont="1" applyFill="1" applyBorder="1" applyAlignment="1">
      <alignment horizontal="center" vertical="center"/>
    </xf>
    <xf numFmtId="165" fontId="3" fillId="8" borderId="53" xfId="0" applyNumberFormat="1" applyFont="1" applyFill="1" applyBorder="1" applyAlignment="1">
      <alignment horizontal="center" vertical="center"/>
    </xf>
    <xf numFmtId="166" fontId="3" fillId="8" borderId="54" xfId="0" applyNumberFormat="1" applyFont="1" applyFill="1" applyBorder="1" applyAlignment="1">
      <alignment horizontal="center" vertical="center"/>
    </xf>
    <xf numFmtId="166" fontId="3" fillId="8" borderId="23" xfId="0" applyNumberFormat="1" applyFont="1" applyFill="1" applyBorder="1" applyAlignment="1">
      <alignment horizontal="center" vertical="center"/>
    </xf>
    <xf numFmtId="166" fontId="3" fillId="8" borderId="53" xfId="0" applyNumberFormat="1" applyFont="1" applyFill="1" applyBorder="1" applyAlignment="1">
      <alignment horizontal="center" vertical="center"/>
    </xf>
    <xf numFmtId="164" fontId="0" fillId="8" borderId="23" xfId="0" applyNumberFormat="1" applyFill="1" applyBorder="1" applyAlignment="1">
      <alignment horizontal="center" vertical="center"/>
    </xf>
    <xf numFmtId="166" fontId="0" fillId="8" borderId="23" xfId="0" applyNumberFormat="1" applyFill="1" applyBorder="1" applyAlignment="1">
      <alignment horizontal="center" vertical="center"/>
    </xf>
    <xf numFmtId="164" fontId="0" fillId="8" borderId="27" xfId="0" applyNumberFormat="1" applyFill="1" applyBorder="1" applyAlignment="1">
      <alignment horizontal="center" vertical="center"/>
    </xf>
    <xf numFmtId="165" fontId="5" fillId="4" borderId="10" xfId="0" applyNumberFormat="1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 vertical="center"/>
    </xf>
    <xf numFmtId="165" fontId="3" fillId="4" borderId="12" xfId="0" applyNumberFormat="1" applyFont="1" applyFill="1" applyBorder="1" applyAlignment="1">
      <alignment horizontal="center" vertical="center"/>
    </xf>
    <xf numFmtId="165" fontId="3" fillId="4" borderId="1" xfId="0" applyNumberFormat="1" applyFont="1" applyFill="1" applyBorder="1" applyAlignment="1">
      <alignment horizontal="center" vertical="center"/>
    </xf>
    <xf numFmtId="165" fontId="3" fillId="4" borderId="11" xfId="0" applyNumberFormat="1" applyFont="1" applyFill="1" applyBorder="1" applyAlignment="1">
      <alignment horizontal="center" vertical="center"/>
    </xf>
    <xf numFmtId="166" fontId="3" fillId="4" borderId="10" xfId="0" applyNumberFormat="1" applyFont="1" applyFill="1" applyBorder="1" applyAlignment="1">
      <alignment horizontal="center" vertical="center"/>
    </xf>
    <xf numFmtId="166" fontId="3" fillId="4" borderId="1" xfId="0" applyNumberFormat="1" applyFont="1" applyFill="1" applyBorder="1" applyAlignment="1">
      <alignment horizontal="center" vertical="center"/>
    </xf>
    <xf numFmtId="166" fontId="3" fillId="4" borderId="11" xfId="0" applyNumberFormat="1" applyFont="1" applyFill="1" applyBorder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166" fontId="0" fillId="4" borderId="1" xfId="0" applyNumberFormat="1" applyFill="1" applyBorder="1" applyAlignment="1">
      <alignment horizontal="center" vertical="center"/>
    </xf>
    <xf numFmtId="164" fontId="0" fillId="4" borderId="64" xfId="0" applyNumberFormat="1" applyFill="1" applyBorder="1" applyAlignment="1">
      <alignment horizontal="center" vertical="center"/>
    </xf>
    <xf numFmtId="164" fontId="0" fillId="0" borderId="64" xfId="0" applyNumberFormat="1" applyFill="1" applyBorder="1" applyAlignment="1">
      <alignment horizontal="center" vertical="center"/>
    </xf>
    <xf numFmtId="165" fontId="5" fillId="7" borderId="49" xfId="0" applyNumberFormat="1" applyFont="1" applyFill="1" applyBorder="1" applyAlignment="1">
      <alignment horizontal="center" vertical="center"/>
    </xf>
    <xf numFmtId="0" fontId="5" fillId="7" borderId="48" xfId="0" applyFont="1" applyFill="1" applyBorder="1" applyAlignment="1">
      <alignment horizontal="center" vertical="center"/>
    </xf>
    <xf numFmtId="165" fontId="3" fillId="7" borderId="50" xfId="0" applyNumberFormat="1" applyFont="1" applyFill="1" applyBorder="1" applyAlignment="1">
      <alignment horizontal="center" vertical="center"/>
    </xf>
    <xf numFmtId="165" fontId="3" fillId="7" borderId="51" xfId="0" applyNumberFormat="1" applyFont="1" applyFill="1" applyBorder="1" applyAlignment="1">
      <alignment horizontal="center" vertical="center"/>
    </xf>
    <xf numFmtId="165" fontId="3" fillId="7" borderId="48" xfId="0" applyNumberFormat="1" applyFont="1" applyFill="1" applyBorder="1" applyAlignment="1">
      <alignment horizontal="center" vertical="center"/>
    </xf>
    <xf numFmtId="166" fontId="3" fillId="7" borderId="49" xfId="0" applyNumberFormat="1" applyFont="1" applyFill="1" applyBorder="1" applyAlignment="1">
      <alignment horizontal="center" vertical="center"/>
    </xf>
    <xf numFmtId="166" fontId="3" fillId="7" borderId="51" xfId="0" applyNumberFormat="1" applyFont="1" applyFill="1" applyBorder="1" applyAlignment="1">
      <alignment horizontal="center" vertical="center"/>
    </xf>
    <xf numFmtId="166" fontId="5" fillId="7" borderId="48" xfId="0" applyNumberFormat="1" applyFont="1" applyFill="1" applyBorder="1" applyAlignment="1">
      <alignment horizontal="center" vertical="center"/>
    </xf>
    <xf numFmtId="164" fontId="5" fillId="7" borderId="51" xfId="0" applyNumberFormat="1" applyFont="1" applyFill="1" applyBorder="1" applyAlignment="1">
      <alignment horizontal="center" vertical="center"/>
    </xf>
    <xf numFmtId="166" fontId="5" fillId="7" borderId="51" xfId="0" applyNumberFormat="1" applyFont="1" applyFill="1" applyBorder="1" applyAlignment="1">
      <alignment horizontal="center" vertical="center"/>
    </xf>
    <xf numFmtId="164" fontId="0" fillId="7" borderId="52" xfId="0" applyNumberFormat="1" applyFill="1" applyBorder="1" applyAlignment="1">
      <alignment horizontal="center" vertical="center"/>
    </xf>
    <xf numFmtId="0" fontId="0" fillId="0" borderId="0" xfId="0" applyNumberFormat="1" applyFill="1"/>
    <xf numFmtId="0" fontId="1" fillId="0" borderId="0" xfId="9"/>
    <xf numFmtId="0" fontId="1" fillId="0" borderId="0" xfId="9" applyAlignment="1">
      <alignment horizontal="center" vertical="center"/>
    </xf>
    <xf numFmtId="0" fontId="1" fillId="0" borderId="0" xfId="9" applyBorder="1" applyAlignment="1">
      <alignment horizontal="center" vertical="center"/>
    </xf>
    <xf numFmtId="0" fontId="1" fillId="0" borderId="0" xfId="9" applyAlignment="1">
      <alignment horizontal="center" vertical="center" wrapText="1"/>
    </xf>
    <xf numFmtId="0" fontId="1" fillId="0" borderId="66" xfId="9" applyBorder="1" applyAlignment="1">
      <alignment horizontal="center" vertical="center" wrapText="1"/>
    </xf>
    <xf numFmtId="0" fontId="3" fillId="0" borderId="0" xfId="9" applyFont="1" applyAlignment="1">
      <alignment horizontal="center" vertical="center" wrapText="1"/>
    </xf>
    <xf numFmtId="165" fontId="1" fillId="0" borderId="0" xfId="9" applyNumberFormat="1" applyAlignment="1">
      <alignment horizontal="center" vertical="center"/>
    </xf>
    <xf numFmtId="0" fontId="3" fillId="0" borderId="0" xfId="9" applyFont="1" applyAlignment="1">
      <alignment horizontal="center" vertical="center"/>
    </xf>
    <xf numFmtId="0" fontId="3" fillId="0" borderId="66" xfId="9" applyFont="1" applyBorder="1" applyAlignment="1">
      <alignment horizontal="center" vertical="center"/>
    </xf>
    <xf numFmtId="0" fontId="1" fillId="0" borderId="0" xfId="9" applyAlignment="1">
      <alignment horizontal="left" vertical="center"/>
    </xf>
    <xf numFmtId="165" fontId="1" fillId="0" borderId="69" xfId="9" applyNumberFormat="1" applyBorder="1"/>
    <xf numFmtId="165" fontId="1" fillId="0" borderId="70" xfId="9" applyNumberFormat="1" applyBorder="1"/>
    <xf numFmtId="165" fontId="1" fillId="0" borderId="0" xfId="9" applyNumberFormat="1"/>
    <xf numFmtId="0" fontId="1" fillId="0" borderId="66" xfId="9" applyBorder="1" applyAlignment="1">
      <alignment horizontal="center" vertical="center"/>
    </xf>
    <xf numFmtId="0" fontId="1" fillId="3" borderId="0" xfId="9" applyFill="1"/>
    <xf numFmtId="0" fontId="1" fillId="3" borderId="0" xfId="9" applyFill="1" applyAlignment="1">
      <alignment horizontal="center" vertical="center"/>
    </xf>
    <xf numFmtId="0" fontId="1" fillId="0" borderId="0" xfId="10"/>
    <xf numFmtId="0" fontId="1" fillId="12" borderId="71" xfId="10" applyFill="1" applyBorder="1"/>
    <xf numFmtId="0" fontId="1" fillId="13" borderId="72" xfId="10" applyFill="1" applyBorder="1"/>
    <xf numFmtId="0" fontId="1" fillId="5" borderId="73" xfId="10" applyFill="1" applyBorder="1"/>
    <xf numFmtId="0" fontId="1" fillId="0" borderId="74" xfId="10" applyBorder="1"/>
    <xf numFmtId="0" fontId="1" fillId="0" borderId="24" xfId="10" applyBorder="1"/>
    <xf numFmtId="0" fontId="1" fillId="0" borderId="25" xfId="10" applyBorder="1"/>
    <xf numFmtId="0" fontId="1" fillId="12" borderId="67" xfId="10" applyFill="1" applyBorder="1"/>
    <xf numFmtId="0" fontId="1" fillId="13" borderId="75" xfId="10" applyFill="1" applyBorder="1"/>
    <xf numFmtId="0" fontId="1" fillId="5" borderId="76" xfId="10" applyFill="1" applyBorder="1"/>
    <xf numFmtId="0" fontId="1" fillId="14" borderId="24" xfId="10" applyFill="1" applyBorder="1"/>
    <xf numFmtId="0" fontId="1" fillId="14" borderId="25" xfId="10" applyFill="1" applyBorder="1"/>
    <xf numFmtId="0" fontId="1" fillId="0" borderId="77" xfId="10" applyBorder="1"/>
    <xf numFmtId="165" fontId="1" fillId="12" borderId="78" xfId="10" applyNumberFormat="1" applyFill="1" applyBorder="1"/>
    <xf numFmtId="165" fontId="1" fillId="13" borderId="79" xfId="10" applyNumberFormat="1" applyFill="1" applyBorder="1"/>
    <xf numFmtId="165" fontId="1" fillId="5" borderId="80" xfId="10" applyNumberFormat="1" applyFill="1" applyBorder="1"/>
    <xf numFmtId="165" fontId="1" fillId="0" borderId="24" xfId="10" applyNumberFormat="1" applyBorder="1"/>
    <xf numFmtId="165" fontId="1" fillId="0" borderId="25" xfId="10" applyNumberFormat="1" applyBorder="1"/>
    <xf numFmtId="0" fontId="1" fillId="11" borderId="81" xfId="10" applyFill="1" applyBorder="1"/>
    <xf numFmtId="165" fontId="1" fillId="11" borderId="82" xfId="10" applyNumberFormat="1" applyFill="1" applyBorder="1"/>
    <xf numFmtId="165" fontId="1" fillId="11" borderId="83" xfId="10" applyNumberFormat="1" applyFill="1" applyBorder="1"/>
    <xf numFmtId="165" fontId="1" fillId="11" borderId="84" xfId="10" applyNumberFormat="1" applyFill="1" applyBorder="1"/>
    <xf numFmtId="165" fontId="1" fillId="11" borderId="24" xfId="10" applyNumberFormat="1" applyFill="1" applyBorder="1"/>
    <xf numFmtId="165" fontId="1" fillId="11" borderId="25" xfId="10" applyNumberFormat="1" applyFill="1" applyBorder="1"/>
    <xf numFmtId="0" fontId="1" fillId="0" borderId="81" xfId="10" applyBorder="1"/>
    <xf numFmtId="165" fontId="1" fillId="12" borderId="82" xfId="10" applyNumberFormat="1" applyFill="1" applyBorder="1"/>
    <xf numFmtId="165" fontId="1" fillId="13" borderId="83" xfId="10" applyNumberFormat="1" applyFill="1" applyBorder="1"/>
    <xf numFmtId="165" fontId="1" fillId="5" borderId="84" xfId="10" applyNumberFormat="1" applyFill="1" applyBorder="1"/>
    <xf numFmtId="165" fontId="1" fillId="0" borderId="0" xfId="10" applyNumberFormat="1"/>
    <xf numFmtId="0" fontId="1" fillId="11" borderId="85" xfId="10" applyFill="1" applyBorder="1"/>
    <xf numFmtId="165" fontId="1" fillId="11" borderId="86" xfId="10" applyNumberFormat="1" applyFill="1" applyBorder="1"/>
    <xf numFmtId="165" fontId="1" fillId="11" borderId="87" xfId="10" applyNumberFormat="1" applyFill="1" applyBorder="1"/>
    <xf numFmtId="165" fontId="1" fillId="11" borderId="61" xfId="10" applyNumberFormat="1" applyFill="1" applyBorder="1"/>
    <xf numFmtId="165" fontId="1" fillId="11" borderId="26" xfId="10" applyNumberFormat="1" applyFill="1" applyBorder="1"/>
    <xf numFmtId="165" fontId="1" fillId="11" borderId="27" xfId="10" applyNumberFormat="1" applyFill="1" applyBorder="1"/>
    <xf numFmtId="164" fontId="0" fillId="0" borderId="5" xfId="0" applyNumberFormat="1" applyFill="1" applyBorder="1" applyAlignment="1">
      <alignment horizontal="center" vertical="center"/>
    </xf>
    <xf numFmtId="165" fontId="5" fillId="0" borderId="18" xfId="0" applyNumberFormat="1" applyFont="1" applyFill="1" applyBorder="1" applyAlignment="1">
      <alignment horizontal="center" vertical="center"/>
    </xf>
    <xf numFmtId="0" fontId="5" fillId="0" borderId="19" xfId="0" applyFont="1" applyFill="1" applyBorder="1" applyAlignment="1">
      <alignment horizontal="center" vertical="center"/>
    </xf>
    <xf numFmtId="165" fontId="3" fillId="0" borderId="20" xfId="0" applyNumberFormat="1" applyFont="1" applyFill="1" applyBorder="1" applyAlignment="1">
      <alignment horizontal="center" vertical="center"/>
    </xf>
    <xf numFmtId="165" fontId="3" fillId="0" borderId="2" xfId="0" applyNumberFormat="1" applyFont="1" applyFill="1" applyBorder="1" applyAlignment="1">
      <alignment horizontal="center" vertical="center"/>
    </xf>
    <xf numFmtId="165" fontId="3" fillId="0" borderId="19" xfId="0" applyNumberFormat="1" applyFont="1" applyFill="1" applyBorder="1" applyAlignment="1">
      <alignment horizontal="center" vertical="center"/>
    </xf>
    <xf numFmtId="166" fontId="3" fillId="0" borderId="18" xfId="0" applyNumberFormat="1" applyFont="1" applyFill="1" applyBorder="1" applyAlignment="1">
      <alignment horizontal="center" vertical="center"/>
    </xf>
    <xf numFmtId="166" fontId="3" fillId="0" borderId="2" xfId="0" applyNumberFormat="1" applyFont="1" applyFill="1" applyBorder="1" applyAlignment="1">
      <alignment horizontal="center" vertical="center"/>
    </xf>
    <xf numFmtId="166" fontId="5" fillId="0" borderId="19" xfId="0" applyNumberFormat="1" applyFont="1" applyFill="1" applyBorder="1" applyAlignment="1">
      <alignment horizontal="center" vertical="center"/>
    </xf>
    <xf numFmtId="164" fontId="5" fillId="0" borderId="2" xfId="0" applyNumberFormat="1" applyFont="1" applyFill="1" applyBorder="1" applyAlignment="1">
      <alignment horizontal="center" vertical="center"/>
    </xf>
    <xf numFmtId="166" fontId="5" fillId="0" borderId="2" xfId="0" applyNumberFormat="1" applyFont="1" applyFill="1" applyBorder="1" applyAlignment="1">
      <alignment horizontal="center" vertical="center"/>
    </xf>
    <xf numFmtId="164" fontId="0" fillId="5" borderId="52" xfId="0" applyNumberFormat="1" applyFill="1" applyBorder="1" applyAlignment="1">
      <alignment horizontal="center" vertical="center"/>
    </xf>
    <xf numFmtId="164" fontId="0" fillId="5" borderId="25" xfId="0" applyNumberFormat="1" applyFill="1" applyBorder="1" applyAlignment="1">
      <alignment horizontal="center" vertical="center"/>
    </xf>
    <xf numFmtId="164" fontId="0" fillId="0" borderId="29" xfId="0" applyNumberFormat="1" applyFill="1" applyBorder="1" applyAlignment="1">
      <alignment horizontal="center" vertical="center"/>
    </xf>
    <xf numFmtId="165" fontId="5" fillId="0" borderId="54" xfId="0" applyNumberFormat="1" applyFont="1" applyFill="1" applyBorder="1" applyAlignment="1">
      <alignment horizontal="center" vertical="center"/>
    </xf>
    <xf numFmtId="0" fontId="5" fillId="0" borderId="53" xfId="0" applyFont="1" applyFill="1" applyBorder="1" applyAlignment="1">
      <alignment horizontal="center" vertical="center"/>
    </xf>
    <xf numFmtId="165" fontId="3" fillId="0" borderId="55" xfId="0" applyNumberFormat="1" applyFont="1" applyFill="1" applyBorder="1" applyAlignment="1">
      <alignment horizontal="center" vertical="center"/>
    </xf>
    <xf numFmtId="165" fontId="3" fillId="0" borderId="23" xfId="0" applyNumberFormat="1" applyFont="1" applyFill="1" applyBorder="1" applyAlignment="1">
      <alignment horizontal="center" vertical="center"/>
    </xf>
    <xf numFmtId="165" fontId="3" fillId="0" borderId="53" xfId="0" applyNumberFormat="1" applyFont="1" applyFill="1" applyBorder="1" applyAlignment="1">
      <alignment horizontal="center" vertical="center"/>
    </xf>
    <xf numFmtId="166" fontId="3" fillId="0" borderId="54" xfId="0" applyNumberFormat="1" applyFont="1" applyFill="1" applyBorder="1" applyAlignment="1">
      <alignment horizontal="center" vertical="center"/>
    </xf>
    <xf numFmtId="166" fontId="3" fillId="0" borderId="23" xfId="0" applyNumberFormat="1" applyFont="1" applyFill="1" applyBorder="1" applyAlignment="1">
      <alignment horizontal="center" vertical="center"/>
    </xf>
    <xf numFmtId="166" fontId="3" fillId="0" borderId="53" xfId="0" applyNumberFormat="1" applyFont="1" applyFill="1" applyBorder="1" applyAlignment="1">
      <alignment horizontal="center" vertical="center"/>
    </xf>
    <xf numFmtId="164" fontId="0" fillId="0" borderId="23" xfId="0" applyNumberFormat="1" applyFill="1" applyBorder="1" applyAlignment="1">
      <alignment horizontal="center" vertical="center"/>
    </xf>
    <xf numFmtId="166" fontId="0" fillId="0" borderId="23" xfId="0" applyNumberFormat="1" applyFill="1" applyBorder="1" applyAlignment="1">
      <alignment horizontal="center" vertical="center"/>
    </xf>
    <xf numFmtId="164" fontId="0" fillId="0" borderId="27" xfId="0" applyNumberFormat="1" applyFill="1" applyBorder="1" applyAlignment="1">
      <alignment horizontal="center" vertical="center"/>
    </xf>
    <xf numFmtId="0" fontId="1" fillId="0" borderId="0" xfId="9" applyAlignment="1">
      <alignment horizontal="right" vertical="center"/>
    </xf>
    <xf numFmtId="0" fontId="3" fillId="0" borderId="0" xfId="9" applyFont="1" applyAlignment="1">
      <alignment horizontal="right" vertical="center"/>
    </xf>
    <xf numFmtId="164" fontId="1" fillId="0" borderId="0" xfId="9" applyNumberFormat="1" applyAlignment="1">
      <alignment horizontal="right"/>
    </xf>
    <xf numFmtId="165" fontId="5" fillId="6" borderId="14" xfId="0" applyNumberFormat="1" applyFont="1" applyFill="1" applyBorder="1" applyAlignment="1">
      <alignment horizontal="center" vertical="center"/>
    </xf>
    <xf numFmtId="0" fontId="5" fillId="6" borderId="15" xfId="0" applyFont="1" applyFill="1" applyBorder="1" applyAlignment="1">
      <alignment horizontal="center" vertical="center"/>
    </xf>
    <xf numFmtId="165" fontId="3" fillId="6" borderId="16" xfId="0" applyNumberFormat="1" applyFont="1" applyFill="1" applyBorder="1" applyAlignment="1">
      <alignment horizontal="center" vertical="center"/>
    </xf>
    <xf numFmtId="165" fontId="3" fillId="6" borderId="17" xfId="0" applyNumberFormat="1" applyFont="1" applyFill="1" applyBorder="1" applyAlignment="1">
      <alignment horizontal="center" vertical="center"/>
    </xf>
    <xf numFmtId="165" fontId="3" fillId="6" borderId="15" xfId="0" applyNumberFormat="1" applyFont="1" applyFill="1" applyBorder="1" applyAlignment="1">
      <alignment horizontal="center" vertical="center"/>
    </xf>
    <xf numFmtId="166" fontId="3" fillId="6" borderId="14" xfId="0" applyNumberFormat="1" applyFont="1" applyFill="1" applyBorder="1" applyAlignment="1">
      <alignment horizontal="center" vertical="center"/>
    </xf>
    <xf numFmtId="166" fontId="3" fillId="6" borderId="17" xfId="0" applyNumberFormat="1" applyFont="1" applyFill="1" applyBorder="1" applyAlignment="1">
      <alignment horizontal="center" vertical="center"/>
    </xf>
    <xf numFmtId="166" fontId="5" fillId="6" borderId="15" xfId="0" applyNumberFormat="1" applyFont="1" applyFill="1" applyBorder="1" applyAlignment="1">
      <alignment horizontal="center" vertical="center"/>
    </xf>
    <xf numFmtId="164" fontId="5" fillId="6" borderId="17" xfId="0" applyNumberFormat="1" applyFont="1" applyFill="1" applyBorder="1" applyAlignment="1">
      <alignment horizontal="center" vertical="center"/>
    </xf>
    <xf numFmtId="166" fontId="5" fillId="6" borderId="17" xfId="0" applyNumberFormat="1" applyFont="1" applyFill="1" applyBorder="1" applyAlignment="1">
      <alignment horizontal="center" vertical="center"/>
    </xf>
    <xf numFmtId="164" fontId="0" fillId="6" borderId="15" xfId="0" applyNumberFormat="1" applyFill="1" applyBorder="1" applyAlignment="1">
      <alignment horizontal="center" vertical="center"/>
    </xf>
    <xf numFmtId="164" fontId="0" fillId="6" borderId="5" xfId="0" applyNumberFormat="1" applyFill="1" applyBorder="1" applyAlignment="1">
      <alignment horizontal="center" vertical="center"/>
    </xf>
    <xf numFmtId="166" fontId="5" fillId="6" borderId="5" xfId="0" applyNumberFormat="1" applyFont="1" applyFill="1" applyBorder="1" applyAlignment="1">
      <alignment horizontal="center" vertical="center"/>
    </xf>
    <xf numFmtId="164" fontId="5" fillId="6" borderId="3" xfId="0" applyNumberFormat="1" applyFont="1" applyFill="1" applyBorder="1" applyAlignment="1">
      <alignment horizontal="center" vertical="center"/>
    </xf>
    <xf numFmtId="166" fontId="5" fillId="6" borderId="3" xfId="0" applyNumberFormat="1" applyFont="1" applyFill="1" applyBorder="1" applyAlignment="1">
      <alignment horizontal="center" vertical="center"/>
    </xf>
    <xf numFmtId="165" fontId="5" fillId="4" borderId="14" xfId="0" applyNumberFormat="1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165" fontId="3" fillId="4" borderId="16" xfId="0" applyNumberFormat="1" applyFont="1" applyFill="1" applyBorder="1" applyAlignment="1">
      <alignment horizontal="center" vertical="center"/>
    </xf>
    <xf numFmtId="165" fontId="3" fillId="4" borderId="17" xfId="0" applyNumberFormat="1" applyFont="1" applyFill="1" applyBorder="1" applyAlignment="1">
      <alignment horizontal="center" vertical="center"/>
    </xf>
    <xf numFmtId="165" fontId="3" fillId="4" borderId="15" xfId="0" applyNumberFormat="1" applyFont="1" applyFill="1" applyBorder="1" applyAlignment="1">
      <alignment horizontal="center" vertical="center"/>
    </xf>
    <xf numFmtId="166" fontId="3" fillId="4" borderId="14" xfId="0" applyNumberFormat="1" applyFont="1" applyFill="1" applyBorder="1" applyAlignment="1">
      <alignment horizontal="center" vertical="center"/>
    </xf>
    <xf numFmtId="166" fontId="3" fillId="4" borderId="17" xfId="0" applyNumberFormat="1" applyFont="1" applyFill="1" applyBorder="1" applyAlignment="1">
      <alignment horizontal="center" vertical="center"/>
    </xf>
    <xf numFmtId="166" fontId="5" fillId="4" borderId="15" xfId="0" applyNumberFormat="1" applyFont="1" applyFill="1" applyBorder="1" applyAlignment="1">
      <alignment horizontal="center" vertical="center"/>
    </xf>
    <xf numFmtId="164" fontId="5" fillId="4" borderId="17" xfId="0" applyNumberFormat="1" applyFont="1" applyFill="1" applyBorder="1" applyAlignment="1">
      <alignment horizontal="center" vertical="center"/>
    </xf>
    <xf numFmtId="166" fontId="5" fillId="4" borderId="17" xfId="0" applyNumberFormat="1" applyFont="1" applyFill="1" applyBorder="1" applyAlignment="1">
      <alignment horizontal="center" vertical="center"/>
    </xf>
    <xf numFmtId="164" fontId="0" fillId="4" borderId="15" xfId="0" applyNumberFormat="1" applyFill="1" applyBorder="1" applyAlignment="1">
      <alignment horizontal="center" vertical="center"/>
    </xf>
    <xf numFmtId="164" fontId="0" fillId="4" borderId="5" xfId="0" applyNumberFormat="1" applyFill="1" applyBorder="1" applyAlignment="1">
      <alignment horizontal="center" vertical="center"/>
    </xf>
    <xf numFmtId="165" fontId="5" fillId="4" borderId="18" xfId="0" applyNumberFormat="1" applyFont="1" applyFill="1" applyBorder="1" applyAlignment="1">
      <alignment horizontal="center" vertical="center"/>
    </xf>
    <xf numFmtId="0" fontId="5" fillId="4" borderId="19" xfId="0" applyFont="1" applyFill="1" applyBorder="1" applyAlignment="1">
      <alignment horizontal="center" vertical="center"/>
    </xf>
    <xf numFmtId="165" fontId="3" fillId="4" borderId="20" xfId="0" applyNumberFormat="1" applyFont="1" applyFill="1" applyBorder="1" applyAlignment="1">
      <alignment horizontal="center" vertical="center"/>
    </xf>
    <xf numFmtId="165" fontId="3" fillId="4" borderId="2" xfId="0" applyNumberFormat="1" applyFont="1" applyFill="1" applyBorder="1" applyAlignment="1">
      <alignment horizontal="center" vertical="center"/>
    </xf>
    <xf numFmtId="165" fontId="3" fillId="4" borderId="19" xfId="0" applyNumberFormat="1" applyFont="1" applyFill="1" applyBorder="1" applyAlignment="1">
      <alignment horizontal="center" vertical="center"/>
    </xf>
    <xf numFmtId="166" fontId="3" fillId="4" borderId="18" xfId="0" applyNumberFormat="1" applyFont="1" applyFill="1" applyBorder="1" applyAlignment="1">
      <alignment horizontal="center" vertical="center"/>
    </xf>
    <xf numFmtId="166" fontId="3" fillId="4" borderId="2" xfId="0" applyNumberFormat="1" applyFont="1" applyFill="1" applyBorder="1" applyAlignment="1">
      <alignment horizontal="center" vertical="center"/>
    </xf>
    <xf numFmtId="166" fontId="5" fillId="4" borderId="19" xfId="0" applyNumberFormat="1" applyFont="1" applyFill="1" applyBorder="1" applyAlignment="1">
      <alignment horizontal="center" vertical="center"/>
    </xf>
    <xf numFmtId="164" fontId="5" fillId="4" borderId="2" xfId="0" applyNumberFormat="1" applyFont="1" applyFill="1" applyBorder="1" applyAlignment="1">
      <alignment horizontal="center" vertical="center"/>
    </xf>
    <xf numFmtId="166" fontId="5" fillId="4" borderId="2" xfId="0" applyNumberFormat="1" applyFont="1" applyFill="1" applyBorder="1" applyAlignment="1">
      <alignment horizontal="center" vertical="center"/>
    </xf>
    <xf numFmtId="164" fontId="0" fillId="4" borderId="19" xfId="0" applyNumberFormat="1" applyFill="1" applyBorder="1" applyAlignment="1">
      <alignment horizontal="center" vertical="center"/>
    </xf>
    <xf numFmtId="165" fontId="5" fillId="7" borderId="14" xfId="0" applyNumberFormat="1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165" fontId="3" fillId="7" borderId="16" xfId="0" applyNumberFormat="1" applyFont="1" applyFill="1" applyBorder="1" applyAlignment="1">
      <alignment horizontal="center" vertical="center"/>
    </xf>
    <xf numFmtId="165" fontId="3" fillId="7" borderId="17" xfId="0" applyNumberFormat="1" applyFont="1" applyFill="1" applyBorder="1" applyAlignment="1">
      <alignment horizontal="center" vertical="center"/>
    </xf>
    <xf numFmtId="165" fontId="3" fillId="7" borderId="15" xfId="0" applyNumberFormat="1" applyFont="1" applyFill="1" applyBorder="1" applyAlignment="1">
      <alignment horizontal="center" vertical="center"/>
    </xf>
    <xf numFmtId="166" fontId="3" fillId="7" borderId="14" xfId="0" applyNumberFormat="1" applyFont="1" applyFill="1" applyBorder="1" applyAlignment="1">
      <alignment horizontal="center" vertical="center"/>
    </xf>
    <xf numFmtId="166" fontId="3" fillId="7" borderId="17" xfId="0" applyNumberFormat="1" applyFont="1" applyFill="1" applyBorder="1" applyAlignment="1">
      <alignment horizontal="center" vertical="center"/>
    </xf>
    <xf numFmtId="166" fontId="5" fillId="7" borderId="15" xfId="0" applyNumberFormat="1" applyFont="1" applyFill="1" applyBorder="1" applyAlignment="1">
      <alignment horizontal="center" vertical="center"/>
    </xf>
    <xf numFmtId="164" fontId="5" fillId="7" borderId="17" xfId="0" applyNumberFormat="1" applyFont="1" applyFill="1" applyBorder="1" applyAlignment="1">
      <alignment horizontal="center" vertical="center"/>
    </xf>
    <xf numFmtId="166" fontId="5" fillId="7" borderId="17" xfId="0" applyNumberFormat="1" applyFont="1" applyFill="1" applyBorder="1" applyAlignment="1">
      <alignment horizontal="center" vertical="center"/>
    </xf>
    <xf numFmtId="164" fontId="0" fillId="7" borderId="15" xfId="0" applyNumberFormat="1" applyFill="1" applyBorder="1" applyAlignment="1">
      <alignment horizontal="center" vertical="center"/>
    </xf>
    <xf numFmtId="164" fontId="0" fillId="7" borderId="5" xfId="0" applyNumberFormat="1" applyFill="1" applyBorder="1" applyAlignment="1">
      <alignment horizontal="center" vertical="center"/>
    </xf>
    <xf numFmtId="166" fontId="5" fillId="7" borderId="5" xfId="0" applyNumberFormat="1" applyFont="1" applyFill="1" applyBorder="1" applyAlignment="1">
      <alignment horizontal="center" vertical="center"/>
    </xf>
    <xf numFmtId="164" fontId="5" fillId="7" borderId="3" xfId="0" applyNumberFormat="1" applyFont="1" applyFill="1" applyBorder="1" applyAlignment="1">
      <alignment horizontal="center" vertical="center"/>
    </xf>
    <xf numFmtId="166" fontId="5" fillId="7" borderId="3" xfId="0" applyNumberFormat="1" applyFont="1" applyFill="1" applyBorder="1" applyAlignment="1">
      <alignment horizontal="center" vertical="center"/>
    </xf>
    <xf numFmtId="165" fontId="5" fillId="8" borderId="14" xfId="0" applyNumberFormat="1" applyFont="1" applyFill="1" applyBorder="1" applyAlignment="1">
      <alignment horizontal="center" vertical="center"/>
    </xf>
    <xf numFmtId="0" fontId="5" fillId="8" borderId="15" xfId="0" applyFont="1" applyFill="1" applyBorder="1" applyAlignment="1">
      <alignment horizontal="center" vertical="center"/>
    </xf>
    <xf numFmtId="165" fontId="3" fillId="8" borderId="16" xfId="0" applyNumberFormat="1" applyFont="1" applyFill="1" applyBorder="1" applyAlignment="1">
      <alignment horizontal="center" vertical="center"/>
    </xf>
    <xf numFmtId="165" fontId="3" fillId="8" borderId="17" xfId="0" applyNumberFormat="1" applyFont="1" applyFill="1" applyBorder="1" applyAlignment="1">
      <alignment horizontal="center" vertical="center"/>
    </xf>
    <xf numFmtId="165" fontId="3" fillId="8" borderId="15" xfId="0" applyNumberFormat="1" applyFont="1" applyFill="1" applyBorder="1" applyAlignment="1">
      <alignment horizontal="center" vertical="center"/>
    </xf>
    <xf numFmtId="166" fontId="3" fillId="8" borderId="14" xfId="0" applyNumberFormat="1" applyFont="1" applyFill="1" applyBorder="1" applyAlignment="1">
      <alignment horizontal="center" vertical="center"/>
    </xf>
    <xf numFmtId="166" fontId="3" fillId="8" borderId="17" xfId="0" applyNumberFormat="1" applyFont="1" applyFill="1" applyBorder="1" applyAlignment="1">
      <alignment horizontal="center" vertical="center"/>
    </xf>
    <xf numFmtId="166" fontId="5" fillId="8" borderId="15" xfId="0" applyNumberFormat="1" applyFont="1" applyFill="1" applyBorder="1" applyAlignment="1">
      <alignment horizontal="center" vertical="center"/>
    </xf>
    <xf numFmtId="164" fontId="5" fillId="8" borderId="17" xfId="0" applyNumberFormat="1" applyFont="1" applyFill="1" applyBorder="1" applyAlignment="1">
      <alignment horizontal="center" vertical="center"/>
    </xf>
    <xf numFmtId="166" fontId="5" fillId="8" borderId="17" xfId="0" applyNumberFormat="1" applyFont="1" applyFill="1" applyBorder="1" applyAlignment="1">
      <alignment horizontal="center" vertical="center"/>
    </xf>
    <xf numFmtId="164" fontId="0" fillId="8" borderId="15" xfId="0" applyNumberFormat="1" applyFill="1" applyBorder="1" applyAlignment="1">
      <alignment horizontal="center" vertical="center"/>
    </xf>
    <xf numFmtId="164" fontId="0" fillId="8" borderId="5" xfId="0" applyNumberFormat="1" applyFill="1" applyBorder="1" applyAlignment="1">
      <alignment horizontal="center" vertical="center"/>
    </xf>
    <xf numFmtId="165" fontId="5" fillId="8" borderId="10" xfId="0" applyNumberFormat="1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165" fontId="3" fillId="8" borderId="12" xfId="0" applyNumberFormat="1" applyFont="1" applyFill="1" applyBorder="1" applyAlignment="1">
      <alignment horizontal="center" vertical="center"/>
    </xf>
    <xf numFmtId="165" fontId="3" fillId="8" borderId="1" xfId="0" applyNumberFormat="1" applyFont="1" applyFill="1" applyBorder="1" applyAlignment="1">
      <alignment horizontal="center" vertical="center"/>
    </xf>
    <xf numFmtId="165" fontId="3" fillId="8" borderId="11" xfId="0" applyNumberFormat="1" applyFont="1" applyFill="1" applyBorder="1" applyAlignment="1">
      <alignment horizontal="center" vertical="center"/>
    </xf>
    <xf numFmtId="166" fontId="3" fillId="8" borderId="10" xfId="0" applyNumberFormat="1" applyFont="1" applyFill="1" applyBorder="1" applyAlignment="1">
      <alignment horizontal="center" vertical="center"/>
    </xf>
    <xf numFmtId="166" fontId="3" fillId="8" borderId="1" xfId="0" applyNumberFormat="1" applyFont="1" applyFill="1" applyBorder="1" applyAlignment="1">
      <alignment horizontal="center" vertical="center"/>
    </xf>
    <xf numFmtId="166" fontId="3" fillId="8" borderId="11" xfId="0" applyNumberFormat="1" applyFont="1" applyFill="1" applyBorder="1" applyAlignment="1">
      <alignment horizontal="center" vertical="center"/>
    </xf>
    <xf numFmtId="164" fontId="0" fillId="8" borderId="1" xfId="0" applyNumberFormat="1" applyFill="1" applyBorder="1" applyAlignment="1">
      <alignment horizontal="center" vertical="center"/>
    </xf>
    <xf numFmtId="166" fontId="0" fillId="8" borderId="1" xfId="0" applyNumberFormat="1" applyFill="1" applyBorder="1" applyAlignment="1">
      <alignment horizontal="center" vertical="center"/>
    </xf>
    <xf numFmtId="164" fontId="0" fillId="8" borderId="11" xfId="0" applyNumberFormat="1" applyFill="1" applyBorder="1" applyAlignment="1">
      <alignment horizontal="center" vertical="center"/>
    </xf>
    <xf numFmtId="165" fontId="5" fillId="5" borderId="95" xfId="0" applyNumberFormat="1" applyFont="1" applyFill="1" applyBorder="1" applyAlignment="1">
      <alignment horizontal="center" vertical="center"/>
    </xf>
    <xf numFmtId="0" fontId="5" fillId="5" borderId="13" xfId="0" applyFont="1" applyFill="1" applyBorder="1" applyAlignment="1">
      <alignment horizontal="center" vertical="center"/>
    </xf>
    <xf numFmtId="165" fontId="3" fillId="5" borderId="93" xfId="0" applyNumberFormat="1" applyFont="1" applyFill="1" applyBorder="1" applyAlignment="1">
      <alignment horizontal="center" vertical="center"/>
    </xf>
    <xf numFmtId="165" fontId="3" fillId="5" borderId="94" xfId="0" applyNumberFormat="1" applyFont="1" applyFill="1" applyBorder="1" applyAlignment="1">
      <alignment horizontal="center" vertical="center"/>
    </xf>
    <xf numFmtId="165" fontId="3" fillId="5" borderId="13" xfId="0" applyNumberFormat="1" applyFont="1" applyFill="1" applyBorder="1" applyAlignment="1">
      <alignment horizontal="center" vertical="center"/>
    </xf>
    <xf numFmtId="166" fontId="3" fillId="5" borderId="95" xfId="0" applyNumberFormat="1" applyFont="1" applyFill="1" applyBorder="1" applyAlignment="1">
      <alignment horizontal="center" vertical="center"/>
    </xf>
    <xf numFmtId="166" fontId="3" fillId="5" borderId="94" xfId="0" applyNumberFormat="1" applyFont="1" applyFill="1" applyBorder="1" applyAlignment="1">
      <alignment horizontal="center" vertical="center"/>
    </xf>
    <xf numFmtId="166" fontId="3" fillId="5" borderId="13" xfId="0" applyNumberFormat="1" applyFont="1" applyFill="1" applyBorder="1" applyAlignment="1">
      <alignment horizontal="center" vertical="center"/>
    </xf>
    <xf numFmtId="164" fontId="0" fillId="5" borderId="94" xfId="0" applyNumberFormat="1" applyFill="1" applyBorder="1" applyAlignment="1">
      <alignment horizontal="center" vertical="center"/>
    </xf>
    <xf numFmtId="166" fontId="0" fillId="5" borderId="94" xfId="0" applyNumberFormat="1" applyFill="1" applyBorder="1" applyAlignment="1">
      <alignment horizontal="center" vertical="center"/>
    </xf>
    <xf numFmtId="164" fontId="0" fillId="5" borderId="13" xfId="0" applyNumberFormat="1" applyFill="1" applyBorder="1" applyAlignment="1">
      <alignment horizontal="center" vertical="center"/>
    </xf>
    <xf numFmtId="165" fontId="5" fillId="6" borderId="95" xfId="0" applyNumberFormat="1" applyFont="1" applyFill="1" applyBorder="1" applyAlignment="1">
      <alignment horizontal="center" vertical="center"/>
    </xf>
    <xf numFmtId="0" fontId="5" fillId="6" borderId="13" xfId="0" applyFont="1" applyFill="1" applyBorder="1" applyAlignment="1">
      <alignment horizontal="center" vertical="center"/>
    </xf>
    <xf numFmtId="165" fontId="3" fillId="6" borderId="93" xfId="0" applyNumberFormat="1" applyFont="1" applyFill="1" applyBorder="1" applyAlignment="1">
      <alignment horizontal="center" vertical="center"/>
    </xf>
    <xf numFmtId="165" fontId="3" fillId="6" borderId="94" xfId="0" applyNumberFormat="1" applyFont="1" applyFill="1" applyBorder="1" applyAlignment="1">
      <alignment horizontal="center" vertical="center"/>
    </xf>
    <xf numFmtId="165" fontId="3" fillId="6" borderId="13" xfId="0" applyNumberFormat="1" applyFont="1" applyFill="1" applyBorder="1" applyAlignment="1">
      <alignment horizontal="center" vertical="center"/>
    </xf>
    <xf numFmtId="166" fontId="3" fillId="6" borderId="95" xfId="0" applyNumberFormat="1" applyFont="1" applyFill="1" applyBorder="1" applyAlignment="1">
      <alignment horizontal="center" vertical="center"/>
    </xf>
    <xf numFmtId="166" fontId="3" fillId="6" borderId="94" xfId="0" applyNumberFormat="1" applyFont="1" applyFill="1" applyBorder="1" applyAlignment="1">
      <alignment horizontal="center" vertical="center"/>
    </xf>
    <xf numFmtId="166" fontId="3" fillId="6" borderId="13" xfId="0" applyNumberFormat="1" applyFont="1" applyFill="1" applyBorder="1" applyAlignment="1">
      <alignment horizontal="center" vertical="center"/>
    </xf>
    <xf numFmtId="164" fontId="0" fillId="6" borderId="94" xfId="0" applyNumberFormat="1" applyFill="1" applyBorder="1" applyAlignment="1">
      <alignment horizontal="center" vertical="center"/>
    </xf>
    <xf numFmtId="166" fontId="0" fillId="6" borderId="94" xfId="0" applyNumberFormat="1" applyFill="1" applyBorder="1" applyAlignment="1">
      <alignment horizontal="center" vertical="center"/>
    </xf>
    <xf numFmtId="164" fontId="0" fillId="6" borderId="13" xfId="0" applyNumberFormat="1" applyFill="1" applyBorder="1" applyAlignment="1">
      <alignment horizontal="center" vertical="center"/>
    </xf>
    <xf numFmtId="165" fontId="5" fillId="4" borderId="95" xfId="0" applyNumberFormat="1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horizontal="center" vertical="center"/>
    </xf>
    <xf numFmtId="165" fontId="3" fillId="4" borderId="93" xfId="0" applyNumberFormat="1" applyFont="1" applyFill="1" applyBorder="1" applyAlignment="1">
      <alignment horizontal="center" vertical="center"/>
    </xf>
    <xf numFmtId="165" fontId="3" fillId="4" borderId="94" xfId="0" applyNumberFormat="1" applyFont="1" applyFill="1" applyBorder="1" applyAlignment="1">
      <alignment horizontal="center" vertical="center"/>
    </xf>
    <xf numFmtId="165" fontId="3" fillId="4" borderId="13" xfId="0" applyNumberFormat="1" applyFont="1" applyFill="1" applyBorder="1" applyAlignment="1">
      <alignment horizontal="center" vertical="center"/>
    </xf>
    <xf numFmtId="166" fontId="3" fillId="4" borderId="95" xfId="0" applyNumberFormat="1" applyFont="1" applyFill="1" applyBorder="1" applyAlignment="1">
      <alignment horizontal="center" vertical="center"/>
    </xf>
    <xf numFmtId="166" fontId="3" fillId="4" borderId="94" xfId="0" applyNumberFormat="1" applyFont="1" applyFill="1" applyBorder="1" applyAlignment="1">
      <alignment horizontal="center" vertical="center"/>
    </xf>
    <xf numFmtId="166" fontId="3" fillId="4" borderId="13" xfId="0" applyNumberFormat="1" applyFont="1" applyFill="1" applyBorder="1" applyAlignment="1">
      <alignment horizontal="center" vertical="center"/>
    </xf>
    <xf numFmtId="164" fontId="0" fillId="4" borderId="94" xfId="0" applyNumberFormat="1" applyFill="1" applyBorder="1" applyAlignment="1">
      <alignment horizontal="center" vertical="center"/>
    </xf>
    <xf numFmtId="166" fontId="0" fillId="4" borderId="94" xfId="0" applyNumberFormat="1" applyFill="1" applyBorder="1" applyAlignment="1">
      <alignment horizontal="center" vertical="center"/>
    </xf>
    <xf numFmtId="164" fontId="0" fillId="4" borderId="13" xfId="0" applyNumberFormat="1" applyFill="1" applyBorder="1" applyAlignment="1">
      <alignment horizontal="center" vertical="center"/>
    </xf>
    <xf numFmtId="165" fontId="5" fillId="7" borderId="95" xfId="0" applyNumberFormat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165" fontId="3" fillId="7" borderId="93" xfId="0" applyNumberFormat="1" applyFont="1" applyFill="1" applyBorder="1" applyAlignment="1">
      <alignment horizontal="center" vertical="center"/>
    </xf>
    <xf numFmtId="165" fontId="3" fillId="7" borderId="94" xfId="0" applyNumberFormat="1" applyFont="1" applyFill="1" applyBorder="1" applyAlignment="1">
      <alignment horizontal="center" vertical="center"/>
    </xf>
    <xf numFmtId="165" fontId="3" fillId="7" borderId="13" xfId="0" applyNumberFormat="1" applyFont="1" applyFill="1" applyBorder="1" applyAlignment="1">
      <alignment horizontal="center" vertical="center"/>
    </xf>
    <xf numFmtId="166" fontId="3" fillId="7" borderId="95" xfId="0" applyNumberFormat="1" applyFont="1" applyFill="1" applyBorder="1" applyAlignment="1">
      <alignment horizontal="center" vertical="center"/>
    </xf>
    <xf numFmtId="166" fontId="3" fillId="7" borderId="94" xfId="0" applyNumberFormat="1" applyFont="1" applyFill="1" applyBorder="1" applyAlignment="1">
      <alignment horizontal="center" vertical="center"/>
    </xf>
    <xf numFmtId="166" fontId="3" fillId="7" borderId="13" xfId="0" applyNumberFormat="1" applyFont="1" applyFill="1" applyBorder="1" applyAlignment="1">
      <alignment horizontal="center" vertical="center"/>
    </xf>
    <xf numFmtId="164" fontId="0" fillId="7" borderId="94" xfId="0" applyNumberFormat="1" applyFill="1" applyBorder="1" applyAlignment="1">
      <alignment horizontal="center" vertical="center"/>
    </xf>
    <xf numFmtId="166" fontId="0" fillId="7" borderId="94" xfId="0" applyNumberFormat="1" applyFill="1" applyBorder="1" applyAlignment="1">
      <alignment horizontal="center" vertical="center"/>
    </xf>
    <xf numFmtId="164" fontId="0" fillId="7" borderId="13" xfId="0" applyNumberFormat="1" applyFill="1" applyBorder="1" applyAlignment="1">
      <alignment horizontal="center" vertical="center"/>
    </xf>
    <xf numFmtId="165" fontId="5" fillId="8" borderId="95" xfId="0" applyNumberFormat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165" fontId="3" fillId="8" borderId="93" xfId="0" applyNumberFormat="1" applyFont="1" applyFill="1" applyBorder="1" applyAlignment="1">
      <alignment horizontal="center" vertical="center"/>
    </xf>
    <xf numFmtId="165" fontId="3" fillId="8" borderId="94" xfId="0" applyNumberFormat="1" applyFont="1" applyFill="1" applyBorder="1" applyAlignment="1">
      <alignment horizontal="center" vertical="center"/>
    </xf>
    <xf numFmtId="165" fontId="3" fillId="8" borderId="13" xfId="0" applyNumberFormat="1" applyFont="1" applyFill="1" applyBorder="1" applyAlignment="1">
      <alignment horizontal="center" vertical="center"/>
    </xf>
    <xf numFmtId="166" fontId="3" fillId="8" borderId="95" xfId="0" applyNumberFormat="1" applyFont="1" applyFill="1" applyBorder="1" applyAlignment="1">
      <alignment horizontal="center" vertical="center"/>
    </xf>
    <xf numFmtId="166" fontId="3" fillId="8" borderId="94" xfId="0" applyNumberFormat="1" applyFont="1" applyFill="1" applyBorder="1" applyAlignment="1">
      <alignment horizontal="center" vertical="center"/>
    </xf>
    <xf numFmtId="166" fontId="3" fillId="8" borderId="13" xfId="0" applyNumberFormat="1" applyFont="1" applyFill="1" applyBorder="1" applyAlignment="1">
      <alignment horizontal="center" vertical="center"/>
    </xf>
    <xf numFmtId="164" fontId="0" fillId="8" borderId="94" xfId="0" applyNumberFormat="1" applyFill="1" applyBorder="1" applyAlignment="1">
      <alignment horizontal="center" vertical="center"/>
    </xf>
    <xf numFmtId="166" fontId="0" fillId="8" borderId="94" xfId="0" applyNumberFormat="1" applyFill="1" applyBorder="1" applyAlignment="1">
      <alignment horizontal="center" vertical="center"/>
    </xf>
    <xf numFmtId="164" fontId="0" fillId="8" borderId="13" xfId="0" applyNumberFormat="1" applyFill="1" applyBorder="1" applyAlignment="1">
      <alignment horizontal="center" vertical="center"/>
    </xf>
    <xf numFmtId="166" fontId="0" fillId="0" borderId="0" xfId="0" applyNumberFormat="1"/>
    <xf numFmtId="0" fontId="0" fillId="3" borderId="0" xfId="0" applyNumberFormat="1" applyFill="1" applyBorder="1" applyAlignment="1">
      <alignment horizontal="left" vertical="center"/>
    </xf>
    <xf numFmtId="165" fontId="5" fillId="8" borderId="18" xfId="0" applyNumberFormat="1" applyFont="1" applyFill="1" applyBorder="1" applyAlignment="1">
      <alignment horizontal="center" vertical="center"/>
    </xf>
    <xf numFmtId="0" fontId="5" fillId="8" borderId="19" xfId="0" applyFont="1" applyFill="1" applyBorder="1" applyAlignment="1">
      <alignment horizontal="center" vertical="center"/>
    </xf>
    <xf numFmtId="165" fontId="3" fillId="8" borderId="20" xfId="0" applyNumberFormat="1" applyFont="1" applyFill="1" applyBorder="1" applyAlignment="1">
      <alignment horizontal="center" vertical="center"/>
    </xf>
    <xf numFmtId="165" fontId="3" fillId="8" borderId="2" xfId="0" applyNumberFormat="1" applyFont="1" applyFill="1" applyBorder="1" applyAlignment="1">
      <alignment horizontal="center" vertical="center"/>
    </xf>
    <xf numFmtId="165" fontId="3" fillId="8" borderId="19" xfId="0" applyNumberFormat="1" applyFont="1" applyFill="1" applyBorder="1" applyAlignment="1">
      <alignment horizontal="center" vertical="center"/>
    </xf>
    <xf numFmtId="166" fontId="3" fillId="8" borderId="18" xfId="0" applyNumberFormat="1" applyFont="1" applyFill="1" applyBorder="1" applyAlignment="1">
      <alignment horizontal="center" vertical="center"/>
    </xf>
    <xf numFmtId="166" fontId="3" fillId="8" borderId="2" xfId="0" applyNumberFormat="1" applyFont="1" applyFill="1" applyBorder="1" applyAlignment="1">
      <alignment horizontal="center" vertical="center"/>
    </xf>
    <xf numFmtId="166" fontId="5" fillId="8" borderId="19" xfId="0" applyNumberFormat="1" applyFont="1" applyFill="1" applyBorder="1" applyAlignment="1">
      <alignment horizontal="center" vertical="center"/>
    </xf>
    <xf numFmtId="164" fontId="5" fillId="8" borderId="2" xfId="0" applyNumberFormat="1" applyFont="1" applyFill="1" applyBorder="1" applyAlignment="1">
      <alignment horizontal="center" vertical="center"/>
    </xf>
    <xf numFmtId="166" fontId="5" fillId="8" borderId="2" xfId="0" applyNumberFormat="1" applyFont="1" applyFill="1" applyBorder="1" applyAlignment="1">
      <alignment horizontal="center" vertical="center"/>
    </xf>
    <xf numFmtId="164" fontId="0" fillId="8" borderId="29" xfId="0" applyNumberFormat="1" applyFill="1" applyBorder="1" applyAlignment="1">
      <alignment horizontal="center" vertical="center"/>
    </xf>
    <xf numFmtId="164" fontId="0" fillId="8" borderId="64" xfId="0" applyNumberFormat="1" applyFill="1" applyBorder="1" applyAlignment="1">
      <alignment horizontal="center" vertical="center"/>
    </xf>
    <xf numFmtId="165" fontId="5" fillId="15" borderId="49" xfId="0" applyNumberFormat="1" applyFont="1" applyFill="1" applyBorder="1" applyAlignment="1">
      <alignment horizontal="center" vertical="center"/>
    </xf>
    <xf numFmtId="0" fontId="5" fillId="15" borderId="48" xfId="0" applyFont="1" applyFill="1" applyBorder="1" applyAlignment="1">
      <alignment horizontal="center" vertical="center"/>
    </xf>
    <xf numFmtId="165" fontId="3" fillId="15" borderId="50" xfId="0" applyNumberFormat="1" applyFont="1" applyFill="1" applyBorder="1" applyAlignment="1">
      <alignment horizontal="center" vertical="center"/>
    </xf>
    <xf numFmtId="165" fontId="3" fillId="15" borderId="51" xfId="0" applyNumberFormat="1" applyFont="1" applyFill="1" applyBorder="1" applyAlignment="1">
      <alignment horizontal="center" vertical="center"/>
    </xf>
    <xf numFmtId="165" fontId="3" fillId="15" borderId="48" xfId="0" applyNumberFormat="1" applyFont="1" applyFill="1" applyBorder="1" applyAlignment="1">
      <alignment horizontal="center" vertical="center"/>
    </xf>
    <xf numFmtId="166" fontId="3" fillId="15" borderId="49" xfId="0" applyNumberFormat="1" applyFont="1" applyFill="1" applyBorder="1" applyAlignment="1">
      <alignment horizontal="center" vertical="center"/>
    </xf>
    <xf numFmtId="166" fontId="3" fillId="15" borderId="51" xfId="0" applyNumberFormat="1" applyFont="1" applyFill="1" applyBorder="1" applyAlignment="1">
      <alignment horizontal="center" vertical="center"/>
    </xf>
    <xf numFmtId="166" fontId="5" fillId="15" borderId="48" xfId="0" applyNumberFormat="1" applyFont="1" applyFill="1" applyBorder="1" applyAlignment="1">
      <alignment horizontal="center" vertical="center"/>
    </xf>
    <xf numFmtId="164" fontId="5" fillId="15" borderId="51" xfId="0" applyNumberFormat="1" applyFont="1" applyFill="1" applyBorder="1" applyAlignment="1">
      <alignment horizontal="center" vertical="center"/>
    </xf>
    <xf numFmtId="166" fontId="5" fillId="15" borderId="51" xfId="0" applyNumberFormat="1" applyFont="1" applyFill="1" applyBorder="1" applyAlignment="1">
      <alignment horizontal="center" vertical="center"/>
    </xf>
    <xf numFmtId="164" fontId="0" fillId="15" borderId="52" xfId="0" applyNumberFormat="1" applyFill="1" applyBorder="1" applyAlignment="1">
      <alignment horizontal="center" vertical="center"/>
    </xf>
    <xf numFmtId="165" fontId="5" fillId="15" borderId="6" xfId="0" applyNumberFormat="1" applyFont="1" applyFill="1" applyBorder="1" applyAlignment="1">
      <alignment horizontal="center" vertical="center"/>
    </xf>
    <xf numFmtId="0" fontId="5" fillId="15" borderId="5" xfId="0" applyFont="1" applyFill="1" applyBorder="1" applyAlignment="1">
      <alignment horizontal="center" vertical="center"/>
    </xf>
    <xf numFmtId="165" fontId="3" fillId="15" borderId="8" xfId="0" applyNumberFormat="1" applyFont="1" applyFill="1" applyBorder="1" applyAlignment="1">
      <alignment horizontal="center" vertical="center"/>
    </xf>
    <xf numFmtId="165" fontId="3" fillId="15" borderId="3" xfId="0" applyNumberFormat="1" applyFont="1" applyFill="1" applyBorder="1" applyAlignment="1">
      <alignment horizontal="center" vertical="center"/>
    </xf>
    <xf numFmtId="165" fontId="3" fillId="15" borderId="5" xfId="0" applyNumberFormat="1" applyFont="1" applyFill="1" applyBorder="1" applyAlignment="1">
      <alignment horizontal="center" vertical="center"/>
    </xf>
    <xf numFmtId="166" fontId="3" fillId="15" borderId="6" xfId="0" applyNumberFormat="1" applyFont="1" applyFill="1" applyBorder="1" applyAlignment="1">
      <alignment horizontal="center" vertical="center"/>
    </xf>
    <xf numFmtId="166" fontId="3" fillId="15" borderId="3" xfId="0" applyNumberFormat="1" applyFont="1" applyFill="1" applyBorder="1" applyAlignment="1">
      <alignment horizontal="center" vertical="center"/>
    </xf>
    <xf numFmtId="166" fontId="3" fillId="15" borderId="5" xfId="0" applyNumberFormat="1" applyFont="1" applyFill="1" applyBorder="1" applyAlignment="1">
      <alignment horizontal="center" vertical="center"/>
    </xf>
    <xf numFmtId="164" fontId="0" fillId="15" borderId="3" xfId="0" applyNumberFormat="1" applyFill="1" applyBorder="1" applyAlignment="1">
      <alignment horizontal="center" vertical="center"/>
    </xf>
    <xf numFmtId="166" fontId="0" fillId="15" borderId="3" xfId="0" applyNumberFormat="1" applyFill="1" applyBorder="1" applyAlignment="1">
      <alignment horizontal="center" vertical="center"/>
    </xf>
    <xf numFmtId="164" fontId="0" fillId="15" borderId="25" xfId="0" applyNumberFormat="1" applyFill="1" applyBorder="1" applyAlignment="1">
      <alignment horizontal="center" vertical="center"/>
    </xf>
    <xf numFmtId="166" fontId="5" fillId="15" borderId="5" xfId="0" applyNumberFormat="1" applyFont="1" applyFill="1" applyBorder="1" applyAlignment="1">
      <alignment horizontal="center" vertical="center"/>
    </xf>
    <xf numFmtId="164" fontId="5" fillId="15" borderId="3" xfId="0" applyNumberFormat="1" applyFont="1" applyFill="1" applyBorder="1" applyAlignment="1">
      <alignment horizontal="center" vertical="center"/>
    </xf>
    <xf numFmtId="166" fontId="5" fillId="15" borderId="3" xfId="0" applyNumberFormat="1" applyFont="1" applyFill="1" applyBorder="1" applyAlignment="1">
      <alignment horizontal="center" vertical="center"/>
    </xf>
    <xf numFmtId="164" fontId="5" fillId="0" borderId="2" xfId="0" applyNumberFormat="1" applyFont="1" applyBorder="1" applyAlignment="1">
      <alignment horizontal="center" vertical="center"/>
    </xf>
    <xf numFmtId="166" fontId="5" fillId="0" borderId="2" xfId="0" applyNumberFormat="1" applyFont="1" applyBorder="1" applyAlignment="1">
      <alignment horizontal="center" vertical="center"/>
    </xf>
    <xf numFmtId="164" fontId="0" fillId="0" borderId="29" xfId="0" applyNumberFormat="1" applyBorder="1" applyAlignment="1">
      <alignment horizontal="center" vertical="center"/>
    </xf>
    <xf numFmtId="165" fontId="5" fillId="15" borderId="18" xfId="0" applyNumberFormat="1" applyFont="1" applyFill="1" applyBorder="1" applyAlignment="1">
      <alignment horizontal="center" vertical="center"/>
    </xf>
    <xf numFmtId="0" fontId="5" fillId="15" borderId="19" xfId="0" applyFont="1" applyFill="1" applyBorder="1" applyAlignment="1">
      <alignment horizontal="center" vertical="center"/>
    </xf>
    <xf numFmtId="165" fontId="3" fillId="15" borderId="20" xfId="0" applyNumberFormat="1" applyFont="1" applyFill="1" applyBorder="1" applyAlignment="1">
      <alignment horizontal="center" vertical="center"/>
    </xf>
    <xf numFmtId="165" fontId="3" fillId="15" borderId="2" xfId="0" applyNumberFormat="1" applyFont="1" applyFill="1" applyBorder="1" applyAlignment="1">
      <alignment horizontal="center" vertical="center"/>
    </xf>
    <xf numFmtId="165" fontId="3" fillId="15" borderId="19" xfId="0" applyNumberFormat="1" applyFont="1" applyFill="1" applyBorder="1" applyAlignment="1">
      <alignment horizontal="center" vertical="center"/>
    </xf>
    <xf numFmtId="166" fontId="3" fillId="15" borderId="18" xfId="0" applyNumberFormat="1" applyFont="1" applyFill="1" applyBorder="1" applyAlignment="1">
      <alignment horizontal="center" vertical="center"/>
    </xf>
    <xf numFmtId="166" fontId="3" fillId="15" borderId="2" xfId="0" applyNumberFormat="1" applyFont="1" applyFill="1" applyBorder="1" applyAlignment="1">
      <alignment horizontal="center" vertical="center"/>
    </xf>
    <xf numFmtId="166" fontId="5" fillId="15" borderId="19" xfId="0" applyNumberFormat="1" applyFont="1" applyFill="1" applyBorder="1" applyAlignment="1">
      <alignment horizontal="center" vertical="center"/>
    </xf>
    <xf numFmtId="164" fontId="5" fillId="15" borderId="2" xfId="0" applyNumberFormat="1" applyFont="1" applyFill="1" applyBorder="1" applyAlignment="1">
      <alignment horizontal="center" vertical="center"/>
    </xf>
    <xf numFmtId="166" fontId="5" fillId="15" borderId="2" xfId="0" applyNumberFormat="1" applyFont="1" applyFill="1" applyBorder="1" applyAlignment="1">
      <alignment horizontal="center" vertical="center"/>
    </xf>
    <xf numFmtId="164" fontId="0" fillId="15" borderId="29" xfId="0" applyNumberFormat="1" applyFill="1" applyBorder="1" applyAlignment="1">
      <alignment horizontal="center" vertical="center"/>
    </xf>
    <xf numFmtId="164" fontId="3" fillId="2" borderId="98" xfId="0" applyNumberFormat="1" applyFont="1" applyFill="1" applyBorder="1" applyAlignment="1">
      <alignment horizontal="center" vertical="center"/>
    </xf>
    <xf numFmtId="0" fontId="3" fillId="2" borderId="4" xfId="0" applyNumberFormat="1" applyFont="1" applyFill="1" applyBorder="1" applyAlignment="1">
      <alignment horizontal="center" vertical="center"/>
    </xf>
    <xf numFmtId="1" fontId="3" fillId="2" borderId="97" xfId="0" applyNumberFormat="1" applyFont="1" applyFill="1" applyBorder="1" applyAlignment="1">
      <alignment horizontal="center" vertical="center"/>
    </xf>
    <xf numFmtId="0" fontId="3" fillId="2" borderId="96" xfId="0" applyFont="1" applyFill="1" applyBorder="1" applyAlignment="1">
      <alignment horizontal="center" vertical="center"/>
    </xf>
    <xf numFmtId="165" fontId="3" fillId="2" borderId="66" xfId="0" applyNumberFormat="1" applyFont="1" applyFill="1" applyBorder="1" applyAlignment="1">
      <alignment horizontal="center" vertical="center"/>
    </xf>
    <xf numFmtId="165" fontId="3" fillId="2" borderId="98" xfId="0" applyNumberFormat="1" applyFont="1" applyFill="1" applyBorder="1" applyAlignment="1">
      <alignment horizontal="center" vertical="center"/>
    </xf>
    <xf numFmtId="165" fontId="3" fillId="2" borderId="96" xfId="0" applyNumberFormat="1" applyFont="1" applyFill="1" applyBorder="1" applyAlignment="1">
      <alignment horizontal="center" vertical="center"/>
    </xf>
    <xf numFmtId="166" fontId="3" fillId="2" borderId="97" xfId="0" applyNumberFormat="1" applyFont="1" applyFill="1" applyBorder="1" applyAlignment="1">
      <alignment horizontal="center" vertical="center"/>
    </xf>
    <xf numFmtId="166" fontId="3" fillId="2" borderId="98" xfId="0" applyNumberFormat="1" applyFont="1" applyFill="1" applyBorder="1" applyAlignment="1">
      <alignment horizontal="center" vertical="center"/>
    </xf>
    <xf numFmtId="166" fontId="3" fillId="2" borderId="96" xfId="0" applyNumberFormat="1" applyFont="1" applyFill="1" applyBorder="1" applyAlignment="1">
      <alignment horizontal="center" vertical="center"/>
    </xf>
    <xf numFmtId="9" fontId="0" fillId="0" borderId="0" xfId="11" applyFont="1"/>
    <xf numFmtId="0" fontId="0" fillId="0" borderId="99" xfId="0" applyBorder="1" applyAlignment="1">
      <alignment horizontal="center" vertical="center"/>
    </xf>
    <xf numFmtId="164" fontId="0" fillId="0" borderId="11" xfId="0" applyNumberFormat="1" applyFill="1" applyBorder="1" applyAlignment="1">
      <alignment horizontal="center" vertical="center"/>
    </xf>
    <xf numFmtId="164" fontId="3" fillId="7" borderId="3" xfId="0" applyNumberFormat="1" applyFont="1" applyFill="1" applyBorder="1" applyAlignment="1">
      <alignment horizontal="center" vertical="center"/>
    </xf>
    <xf numFmtId="164" fontId="3" fillId="7" borderId="94" xfId="0" applyNumberFormat="1" applyFont="1" applyFill="1" applyBorder="1" applyAlignment="1">
      <alignment horizontal="center" vertical="center"/>
    </xf>
    <xf numFmtId="164" fontId="3" fillId="8" borderId="3" xfId="0" applyNumberFormat="1" applyFont="1" applyFill="1" applyBorder="1" applyAlignment="1">
      <alignment horizontal="center" vertical="center"/>
    </xf>
    <xf numFmtId="164" fontId="3" fillId="8" borderId="1" xfId="0" applyNumberFormat="1" applyFont="1" applyFill="1" applyBorder="1" applyAlignment="1">
      <alignment horizontal="center" vertical="center"/>
    </xf>
    <xf numFmtId="164" fontId="3" fillId="15" borderId="28" xfId="0" applyNumberFormat="1" applyFont="1" applyFill="1" applyBorder="1" applyAlignment="1">
      <alignment horizontal="center" vertical="center"/>
    </xf>
    <xf numFmtId="164" fontId="3" fillId="15" borderId="24" xfId="0" applyNumberFormat="1" applyFont="1" applyFill="1" applyBorder="1" applyAlignment="1">
      <alignment horizontal="center" vertical="center"/>
    </xf>
    <xf numFmtId="0" fontId="3" fillId="15" borderId="19" xfId="0" applyNumberFormat="1" applyFont="1" applyFill="1" applyBorder="1" applyAlignment="1">
      <alignment horizontal="center" vertical="center"/>
    </xf>
    <xf numFmtId="0" fontId="0" fillId="15" borderId="5" xfId="0" applyNumberFormat="1" applyFill="1" applyBorder="1" applyAlignment="1">
      <alignment horizontal="center" vertical="center"/>
    </xf>
    <xf numFmtId="164" fontId="3" fillId="0" borderId="24" xfId="0" applyNumberFormat="1" applyFont="1" applyFill="1" applyBorder="1" applyAlignment="1">
      <alignment horizontal="center" vertical="center"/>
    </xf>
    <xf numFmtId="0" fontId="3" fillId="0" borderId="5" xfId="0" applyNumberFormat="1" applyFont="1" applyFill="1" applyBorder="1" applyAlignment="1">
      <alignment horizontal="center" vertical="center"/>
    </xf>
    <xf numFmtId="0" fontId="0" fillId="0" borderId="5" xfId="0" applyNumberFormat="1" applyFill="1" applyBorder="1" applyAlignment="1">
      <alignment horizontal="center" vertical="center"/>
    </xf>
    <xf numFmtId="164" fontId="3" fillId="5" borderId="3" xfId="0" applyNumberFormat="1" applyFont="1" applyFill="1" applyBorder="1" applyAlignment="1">
      <alignment horizontal="center" vertical="center"/>
    </xf>
    <xf numFmtId="164" fontId="3" fillId="6" borderId="17" xfId="0" applyNumberFormat="1" applyFont="1" applyFill="1" applyBorder="1" applyAlignment="1">
      <alignment horizontal="center" vertical="center"/>
    </xf>
    <xf numFmtId="164" fontId="3" fillId="6" borderId="3" xfId="0" applyNumberFormat="1" applyFont="1" applyFill="1" applyBorder="1" applyAlignment="1">
      <alignment horizontal="center" vertical="center"/>
    </xf>
    <xf numFmtId="164" fontId="3" fillId="0" borderId="3" xfId="0" applyNumberFormat="1" applyFont="1" applyFill="1" applyBorder="1" applyAlignment="1">
      <alignment horizontal="center" vertical="center"/>
    </xf>
    <xf numFmtId="164" fontId="3" fillId="8" borderId="17" xfId="0" applyNumberFormat="1" applyFont="1" applyFill="1" applyBorder="1" applyAlignment="1">
      <alignment horizontal="center" vertical="center"/>
    </xf>
    <xf numFmtId="164" fontId="3" fillId="7" borderId="17" xfId="0" applyNumberFormat="1" applyFont="1" applyFill="1" applyBorder="1" applyAlignment="1">
      <alignment horizontal="center" vertical="center"/>
    </xf>
    <xf numFmtId="164" fontId="3" fillId="6" borderId="28" xfId="0" applyNumberFormat="1" applyFont="1" applyFill="1" applyBorder="1" applyAlignment="1">
      <alignment horizontal="center" vertical="center"/>
    </xf>
    <xf numFmtId="164" fontId="3" fillId="6" borderId="24" xfId="0" applyNumberFormat="1" applyFont="1" applyFill="1" applyBorder="1" applyAlignment="1">
      <alignment horizontal="center" vertical="center"/>
    </xf>
    <xf numFmtId="0" fontId="3" fillId="6" borderId="19" xfId="0" applyNumberFormat="1" applyFont="1" applyFill="1" applyBorder="1" applyAlignment="1">
      <alignment horizontal="center" vertical="center"/>
    </xf>
    <xf numFmtId="0" fontId="0" fillId="6" borderId="5" xfId="0" applyNumberFormat="1" applyFill="1" applyBorder="1" applyAlignment="1">
      <alignment horizontal="center" vertical="center"/>
    </xf>
    <xf numFmtId="164" fontId="3" fillId="4" borderId="24" xfId="0" applyNumberFormat="1" applyFont="1" applyFill="1" applyBorder="1" applyAlignment="1">
      <alignment horizontal="center" vertical="center"/>
    </xf>
    <xf numFmtId="0" fontId="0" fillId="4" borderId="5" xfId="0" applyNumberFormat="1" applyFill="1" applyBorder="1" applyAlignment="1">
      <alignment horizontal="center" vertical="center"/>
    </xf>
    <xf numFmtId="164" fontId="3" fillId="0" borderId="24" xfId="0" applyNumberFormat="1" applyFont="1" applyBorder="1" applyAlignment="1">
      <alignment horizontal="center" vertical="center"/>
    </xf>
    <xf numFmtId="164" fontId="3" fillId="0" borderId="47" xfId="0" applyNumberFormat="1" applyFont="1" applyBorder="1" applyAlignment="1">
      <alignment horizontal="center" vertical="center"/>
    </xf>
    <xf numFmtId="164" fontId="3" fillId="7" borderId="28" xfId="0" applyNumberFormat="1" applyFont="1" applyFill="1" applyBorder="1" applyAlignment="1">
      <alignment horizontal="center" vertical="center"/>
    </xf>
    <xf numFmtId="164" fontId="3" fillId="7" borderId="24" xfId="0" applyNumberFormat="1" applyFont="1" applyFill="1" applyBorder="1" applyAlignment="1">
      <alignment horizontal="center" vertical="center"/>
    </xf>
    <xf numFmtId="0" fontId="3" fillId="7" borderId="19" xfId="0" applyNumberFormat="1" applyFont="1" applyFill="1" applyBorder="1" applyAlignment="1">
      <alignment horizontal="center" vertical="center"/>
    </xf>
    <xf numFmtId="0" fontId="0" fillId="7" borderId="5" xfId="0" applyNumberFormat="1" applyFill="1" applyBorder="1" applyAlignment="1">
      <alignment horizontal="center" vertical="center"/>
    </xf>
    <xf numFmtId="0" fontId="3" fillId="0" borderId="48" xfId="0" applyNumberFormat="1" applyFont="1" applyFill="1" applyBorder="1" applyAlignment="1">
      <alignment horizontal="center" vertical="center"/>
    </xf>
    <xf numFmtId="164" fontId="3" fillId="6" borderId="94" xfId="0" applyNumberFormat="1" applyFont="1" applyFill="1" applyBorder="1" applyAlignment="1">
      <alignment horizontal="center" vertical="center"/>
    </xf>
    <xf numFmtId="164" fontId="3" fillId="4" borderId="17" xfId="0" applyNumberFormat="1" applyFont="1" applyFill="1" applyBorder="1" applyAlignment="1">
      <alignment horizontal="center" vertical="center"/>
    </xf>
    <xf numFmtId="164" fontId="3" fillId="4" borderId="94" xfId="0" applyNumberFormat="1" applyFont="1" applyFill="1" applyBorder="1" applyAlignment="1">
      <alignment horizontal="center" vertical="center"/>
    </xf>
    <xf numFmtId="164" fontId="3" fillId="8" borderId="94" xfId="0" applyNumberFormat="1" applyFont="1" applyFill="1" applyBorder="1" applyAlignment="1">
      <alignment horizontal="center" vertical="center"/>
    </xf>
    <xf numFmtId="164" fontId="3" fillId="4" borderId="3" xfId="0" applyNumberFormat="1" applyFont="1" applyFill="1" applyBorder="1" applyAlignment="1">
      <alignment horizontal="center" vertical="center"/>
    </xf>
    <xf numFmtId="164" fontId="3" fillId="4" borderId="2" xfId="0" applyNumberFormat="1" applyFont="1" applyFill="1" applyBorder="1" applyAlignment="1">
      <alignment horizontal="center" vertical="center"/>
    </xf>
    <xf numFmtId="164" fontId="3" fillId="0" borderId="1" xfId="0" applyNumberFormat="1" applyFont="1" applyFill="1" applyBorder="1" applyAlignment="1">
      <alignment horizontal="center" vertical="center"/>
    </xf>
    <xf numFmtId="164" fontId="3" fillId="5" borderId="17" xfId="0" applyNumberFormat="1" applyFont="1" applyFill="1" applyBorder="1" applyAlignment="1">
      <alignment horizontal="center" vertical="center"/>
    </xf>
    <xf numFmtId="164" fontId="3" fillId="5" borderId="94" xfId="0" applyNumberFormat="1" applyFont="1" applyFill="1" applyBorder="1" applyAlignment="1">
      <alignment horizontal="center" vertical="center"/>
    </xf>
    <xf numFmtId="164" fontId="3" fillId="0" borderId="98" xfId="0" applyNumberFormat="1" applyFont="1" applyFill="1" applyBorder="1" applyAlignment="1">
      <alignment horizontal="center" vertical="center"/>
    </xf>
    <xf numFmtId="164" fontId="3" fillId="0" borderId="2" xfId="0" applyNumberFormat="1" applyFont="1" applyFill="1" applyBorder="1" applyAlignment="1">
      <alignment horizontal="center" vertical="center"/>
    </xf>
    <xf numFmtId="164" fontId="3" fillId="0" borderId="11" xfId="0" applyNumberFormat="1" applyFont="1" applyFill="1" applyBorder="1" applyAlignment="1">
      <alignment horizontal="center" vertical="center"/>
    </xf>
    <xf numFmtId="164" fontId="3" fillId="0" borderId="19" xfId="0" applyNumberFormat="1" applyFont="1" applyFill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7" borderId="47" xfId="0" applyNumberFormat="1" applyFont="1" applyFill="1" applyBorder="1" applyAlignment="1">
      <alignment horizontal="center" vertical="center"/>
    </xf>
    <xf numFmtId="0" fontId="0" fillId="7" borderId="48" xfId="0" applyNumberFormat="1" applyFill="1" applyBorder="1" applyAlignment="1">
      <alignment horizontal="center" vertical="center"/>
    </xf>
    <xf numFmtId="0" fontId="0" fillId="7" borderId="19" xfId="0" applyNumberFormat="1" applyFill="1" applyBorder="1" applyAlignment="1">
      <alignment horizontal="center" vertical="center"/>
    </xf>
    <xf numFmtId="164" fontId="3" fillId="0" borderId="63" xfId="0" applyNumberFormat="1" applyFont="1" applyBorder="1" applyAlignment="1">
      <alignment horizontal="center" vertical="center"/>
    </xf>
    <xf numFmtId="0" fontId="0" fillId="0" borderId="11" xfId="0" applyNumberFormat="1" applyFill="1" applyBorder="1" applyAlignment="1">
      <alignment horizontal="center" vertical="center"/>
    </xf>
    <xf numFmtId="0" fontId="3" fillId="8" borderId="24" xfId="0" applyNumberFormat="1" applyFont="1" applyFill="1" applyBorder="1" applyAlignment="1">
      <alignment horizontal="center" vertical="center"/>
    </xf>
    <xf numFmtId="0" fontId="0" fillId="8" borderId="24" xfId="0" applyNumberFormat="1" applyFill="1" applyBorder="1" applyAlignment="1">
      <alignment horizontal="center" vertical="center"/>
    </xf>
    <xf numFmtId="0" fontId="3" fillId="8" borderId="90" xfId="0" applyNumberFormat="1" applyFont="1" applyFill="1" applyBorder="1" applyAlignment="1">
      <alignment horizontal="center" vertical="center"/>
    </xf>
    <xf numFmtId="0" fontId="0" fillId="8" borderId="90" xfId="0" applyNumberFormat="1" applyFill="1" applyBorder="1" applyAlignment="1">
      <alignment horizontal="center" vertical="center"/>
    </xf>
    <xf numFmtId="164" fontId="3" fillId="0" borderId="26" xfId="0" applyNumberFormat="1" applyFont="1" applyFill="1" applyBorder="1" applyAlignment="1">
      <alignment horizontal="center" vertical="center"/>
    </xf>
    <xf numFmtId="0" fontId="3" fillId="0" borderId="90" xfId="0" applyNumberFormat="1" applyFont="1" applyFill="1" applyBorder="1" applyAlignment="1">
      <alignment horizontal="center" vertical="center"/>
    </xf>
    <xf numFmtId="0" fontId="0" fillId="0" borderId="92" xfId="0" applyNumberFormat="1" applyFill="1" applyBorder="1" applyAlignment="1">
      <alignment horizontal="center" vertical="center"/>
    </xf>
    <xf numFmtId="0" fontId="3" fillId="0" borderId="91" xfId="0" applyNumberFormat="1" applyFont="1" applyFill="1" applyBorder="1" applyAlignment="1">
      <alignment horizontal="center" vertical="center"/>
    </xf>
    <xf numFmtId="0" fontId="3" fillId="0" borderId="89" xfId="0" applyNumberFormat="1" applyFont="1" applyFill="1" applyBorder="1" applyAlignment="1">
      <alignment horizontal="center" vertical="center"/>
    </xf>
    <xf numFmtId="0" fontId="3" fillId="5" borderId="47" xfId="0" applyNumberFormat="1" applyFont="1" applyFill="1" applyBorder="1" applyAlignment="1">
      <alignment horizontal="center" vertical="center"/>
    </xf>
    <xf numFmtId="0" fontId="3" fillId="5" borderId="24" xfId="0" applyNumberFormat="1" applyFont="1" applyFill="1" applyBorder="1" applyAlignment="1">
      <alignment horizontal="center" vertical="center"/>
    </xf>
    <xf numFmtId="0" fontId="3" fillId="5" borderId="88" xfId="0" applyNumberFormat="1" applyFont="1" applyFill="1" applyBorder="1" applyAlignment="1">
      <alignment horizontal="center" vertical="center"/>
    </xf>
    <xf numFmtId="0" fontId="3" fillId="5" borderId="19" xfId="0" applyNumberFormat="1" applyFont="1" applyFill="1" applyBorder="1" applyAlignment="1">
      <alignment horizontal="center" vertical="center"/>
    </xf>
    <xf numFmtId="0" fontId="3" fillId="4" borderId="24" xfId="0" applyNumberFormat="1" applyFont="1" applyFill="1" applyBorder="1" applyAlignment="1">
      <alignment horizontal="center" vertical="center"/>
    </xf>
    <xf numFmtId="0" fontId="0" fillId="4" borderId="24" xfId="0" applyNumberFormat="1" applyFill="1" applyBorder="1" applyAlignment="1">
      <alignment horizontal="center" vertical="center"/>
    </xf>
    <xf numFmtId="0" fontId="3" fillId="4" borderId="90" xfId="0" applyNumberFormat="1" applyFont="1" applyFill="1" applyBorder="1" applyAlignment="1">
      <alignment horizontal="center" vertical="center"/>
    </xf>
    <xf numFmtId="0" fontId="0" fillId="4" borderId="90" xfId="0" applyNumberFormat="1" applyFill="1" applyBorder="1" applyAlignment="1">
      <alignment horizontal="center" vertical="center"/>
    </xf>
    <xf numFmtId="0" fontId="0" fillId="0" borderId="90" xfId="0" applyNumberFormat="1" applyFill="1" applyBorder="1" applyAlignment="1">
      <alignment horizontal="center" vertical="center"/>
    </xf>
    <xf numFmtId="164" fontId="3" fillId="0" borderId="47" xfId="0" applyNumberFormat="1" applyFont="1" applyFill="1" applyBorder="1" applyAlignment="1">
      <alignment horizontal="center" vertical="center"/>
    </xf>
    <xf numFmtId="164" fontId="3" fillId="0" borderId="63" xfId="0" applyNumberFormat="1" applyFont="1" applyFill="1" applyBorder="1" applyAlignment="1">
      <alignment horizontal="center" vertical="center"/>
    </xf>
    <xf numFmtId="0" fontId="0" fillId="0" borderId="48" xfId="0" applyNumberFormat="1" applyFill="1" applyBorder="1" applyAlignment="1">
      <alignment horizontal="center" vertical="center"/>
    </xf>
    <xf numFmtId="164" fontId="3" fillId="8" borderId="24" xfId="0" applyNumberFormat="1" applyFont="1" applyFill="1" applyBorder="1" applyAlignment="1">
      <alignment horizontal="center" vertical="center"/>
    </xf>
    <xf numFmtId="164" fontId="3" fillId="8" borderId="26" xfId="0" applyNumberFormat="1" applyFont="1" applyFill="1" applyBorder="1" applyAlignment="1">
      <alignment horizontal="center" vertical="center"/>
    </xf>
    <xf numFmtId="0" fontId="0" fillId="8" borderId="5" xfId="0" applyNumberFormat="1" applyFill="1" applyBorder="1" applyAlignment="1">
      <alignment horizontal="center" vertical="center"/>
    </xf>
    <xf numFmtId="0" fontId="0" fillId="8" borderId="53" xfId="0" applyNumberFormat="1" applyFill="1" applyBorder="1" applyAlignment="1">
      <alignment horizontal="center" vertical="center"/>
    </xf>
    <xf numFmtId="164" fontId="3" fillId="8" borderId="47" xfId="0" applyNumberFormat="1" applyFont="1" applyFill="1" applyBorder="1" applyAlignment="1">
      <alignment horizontal="center" vertical="center"/>
    </xf>
    <xf numFmtId="0" fontId="0" fillId="8" borderId="48" xfId="0" applyNumberFormat="1" applyFill="1" applyBorder="1" applyAlignment="1">
      <alignment horizontal="center" vertical="center"/>
    </xf>
    <xf numFmtId="164" fontId="3" fillId="4" borderId="63" xfId="0" applyNumberFormat="1" applyFont="1" applyFill="1" applyBorder="1" applyAlignment="1">
      <alignment horizontal="center" vertical="center"/>
    </xf>
    <xf numFmtId="0" fontId="0" fillId="4" borderId="11" xfId="0" applyNumberForma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0" fontId="0" fillId="5" borderId="5" xfId="0" applyNumberForma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5" fontId="3" fillId="0" borderId="8" xfId="0" applyNumberFormat="1" applyFont="1" applyBorder="1" applyAlignment="1">
      <alignment horizontal="center"/>
    </xf>
    <xf numFmtId="165" fontId="3" fillId="0" borderId="3" xfId="0" applyNumberFormat="1" applyFont="1" applyBorder="1" applyAlignment="1">
      <alignment horizontal="center"/>
    </xf>
    <xf numFmtId="165" fontId="3" fillId="0" borderId="5" xfId="0" applyNumberFormat="1" applyFont="1" applyBorder="1" applyAlignment="1">
      <alignment horizontal="center"/>
    </xf>
    <xf numFmtId="2" fontId="3" fillId="0" borderId="6" xfId="0" applyNumberFormat="1" applyFont="1" applyBorder="1" applyAlignment="1">
      <alignment horizontal="center"/>
    </xf>
    <xf numFmtId="2" fontId="3" fillId="0" borderId="3" xfId="0" applyNumberFormat="1" applyFont="1" applyBorder="1" applyAlignment="1">
      <alignment horizontal="center"/>
    </xf>
    <xf numFmtId="2" fontId="3" fillId="0" borderId="5" xfId="0" applyNumberFormat="1" applyFont="1" applyBorder="1" applyAlignment="1">
      <alignment horizontal="center"/>
    </xf>
    <xf numFmtId="0" fontId="3" fillId="5" borderId="15" xfId="0" applyNumberFormat="1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7" xfId="0" applyNumberFormat="1" applyFont="1" applyBorder="1" applyAlignment="1">
      <alignment horizontal="center" vertical="center"/>
    </xf>
    <xf numFmtId="164" fontId="3" fillId="4" borderId="47" xfId="0" applyNumberFormat="1" applyFont="1" applyFill="1" applyBorder="1" applyAlignment="1">
      <alignment horizontal="center" vertical="center"/>
    </xf>
    <xf numFmtId="0" fontId="3" fillId="4" borderId="48" xfId="0" applyNumberFormat="1" applyFont="1" applyFill="1" applyBorder="1" applyAlignment="1">
      <alignment horizontal="center" vertical="center"/>
    </xf>
    <xf numFmtId="164" fontId="3" fillId="15" borderId="47" xfId="0" applyNumberFormat="1" applyFont="1" applyFill="1" applyBorder="1" applyAlignment="1">
      <alignment horizontal="center" vertical="center"/>
    </xf>
    <xf numFmtId="0" fontId="3" fillId="15" borderId="48" xfId="0" applyNumberFormat="1" applyFont="1" applyFill="1" applyBorder="1" applyAlignment="1">
      <alignment horizontal="center" vertical="center"/>
    </xf>
    <xf numFmtId="164" fontId="3" fillId="8" borderId="28" xfId="0" applyNumberFormat="1" applyFont="1" applyFill="1" applyBorder="1" applyAlignment="1">
      <alignment horizontal="center" vertical="center"/>
    </xf>
    <xf numFmtId="0" fontId="3" fillId="8" borderId="19" xfId="0" applyNumberFormat="1" applyFont="1" applyFill="1" applyBorder="1" applyAlignment="1">
      <alignment horizontal="center" vertical="center"/>
    </xf>
    <xf numFmtId="164" fontId="3" fillId="8" borderId="63" xfId="0" applyNumberFormat="1" applyFont="1" applyFill="1" applyBorder="1" applyAlignment="1">
      <alignment horizontal="center" vertical="center"/>
    </xf>
    <xf numFmtId="0" fontId="0" fillId="8" borderId="19" xfId="0" applyNumberFormat="1" applyFill="1" applyBorder="1" applyAlignment="1">
      <alignment horizontal="center" vertical="center"/>
    </xf>
    <xf numFmtId="164" fontId="3" fillId="0" borderId="28" xfId="0" applyNumberFormat="1" applyFont="1" applyBorder="1" applyAlignment="1">
      <alignment horizontal="center" vertical="center"/>
    </xf>
    <xf numFmtId="0" fontId="0" fillId="0" borderId="19" xfId="0" applyNumberFormat="1" applyFill="1" applyBorder="1" applyAlignment="1">
      <alignment horizontal="center" vertical="center"/>
    </xf>
    <xf numFmtId="0" fontId="3" fillId="15" borderId="5" xfId="0" applyNumberFormat="1" applyFont="1" applyFill="1" applyBorder="1" applyAlignment="1">
      <alignment horizontal="center" vertical="center"/>
    </xf>
    <xf numFmtId="164" fontId="3" fillId="6" borderId="63" xfId="0" applyNumberFormat="1" applyFont="1" applyFill="1" applyBorder="1" applyAlignment="1">
      <alignment horizontal="center" vertical="center"/>
    </xf>
    <xf numFmtId="0" fontId="0" fillId="6" borderId="11" xfId="0" applyNumberFormat="1" applyFill="1" applyBorder="1" applyAlignment="1">
      <alignment horizontal="center" vertical="center"/>
    </xf>
    <xf numFmtId="164" fontId="3" fillId="6" borderId="47" xfId="0" applyNumberFormat="1" applyFont="1" applyFill="1" applyBorder="1" applyAlignment="1">
      <alignment horizontal="center" vertical="center"/>
    </xf>
    <xf numFmtId="0" fontId="3" fillId="6" borderId="48" xfId="0" applyNumberFormat="1" applyFont="1" applyFill="1" applyBorder="1" applyAlignment="1">
      <alignment horizontal="center" vertical="center"/>
    </xf>
    <xf numFmtId="164" fontId="3" fillId="5" borderId="24" xfId="0" applyNumberFormat="1" applyFont="1" applyFill="1" applyBorder="1" applyAlignment="1">
      <alignment horizontal="center" vertical="center"/>
    </xf>
    <xf numFmtId="164" fontId="3" fillId="5" borderId="63" xfId="0" applyNumberFormat="1" applyFont="1" applyFill="1" applyBorder="1" applyAlignment="1">
      <alignment horizontal="center" vertical="center"/>
    </xf>
    <xf numFmtId="0" fontId="0" fillId="5" borderId="11" xfId="0" applyNumberFormat="1" applyFill="1" applyBorder="1" applyAlignment="1">
      <alignment horizontal="center" vertical="center"/>
    </xf>
    <xf numFmtId="164" fontId="3" fillId="5" borderId="47" xfId="0" applyNumberFormat="1" applyFont="1" applyFill="1" applyBorder="1" applyAlignment="1">
      <alignment horizontal="center" vertical="center"/>
    </xf>
    <xf numFmtId="0" fontId="0" fillId="5" borderId="48" xfId="0" applyNumberForma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33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1" fillId="0" borderId="65" xfId="9" applyBorder="1" applyAlignment="1">
      <alignment horizontal="center" vertical="center"/>
    </xf>
    <xf numFmtId="165" fontId="1" fillId="0" borderId="67" xfId="9" applyNumberFormat="1" applyBorder="1" applyAlignment="1">
      <alignment horizontal="center"/>
    </xf>
    <xf numFmtId="165" fontId="1" fillId="0" borderId="68" xfId="9" applyNumberFormat="1" applyBorder="1" applyAlignment="1">
      <alignment horizontal="center"/>
    </xf>
  </cellXfs>
  <cellStyles count="12">
    <cellStyle name="DateTime" xfId="1"/>
    <cellStyle name="Normal" xfId="0" builtinId="0"/>
    <cellStyle name="Normal 2" xfId="2"/>
    <cellStyle name="Normal 2 2" xfId="3"/>
    <cellStyle name="Normal 3" xfId="9"/>
    <cellStyle name="Normal 4" xfId="10"/>
    <cellStyle name="Percent" xfId="11" builtinId="5"/>
    <cellStyle name="Style 23" xfId="4"/>
    <cellStyle name="Style 24" xfId="5"/>
    <cellStyle name="Style 25" xfId="6"/>
    <cellStyle name="Style 26" xfId="7"/>
    <cellStyle name="Style 27" xfId="8"/>
  </cellStyles>
  <dxfs count="0"/>
  <tableStyles count="0" defaultTableStyle="TableStyleMedium9" defaultPivotStyle="PivotStyleLight16"/>
  <colors>
    <mruColors>
      <color rgb="FFFF66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t-sql/levi.lunt/Documents/SharePoint%20Drafts/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levi.lunt\Documents\SharePoint%20Drafts\CDG-38395r1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H216"/>
  <sheetViews>
    <sheetView tabSelected="1" zoomScaleNormal="100" zoomScaleSheetLayoutView="100" workbookViewId="0">
      <pane ySplit="3" topLeftCell="A4" activePane="bottomLeft" state="frozen"/>
      <selection pane="bottomLeft" activeCell="J28" sqref="J28"/>
    </sheetView>
  </sheetViews>
  <sheetFormatPr defaultRowHeight="12.75"/>
  <cols>
    <col min="1" max="1" width="3.28515625" customWidth="1"/>
    <col min="2" max="2" width="11.140625" bestFit="1" customWidth="1"/>
    <col min="3" max="3" width="17.28515625" bestFit="1" customWidth="1"/>
    <col min="4" max="4" width="10" bestFit="1" customWidth="1"/>
    <col min="5" max="5" width="12.85546875" style="1" bestFit="1" customWidth="1"/>
    <col min="6" max="6" width="7.7109375" style="1" customWidth="1"/>
    <col min="7" max="7" width="7.5703125" style="1" bestFit="1" customWidth="1"/>
    <col min="8" max="8" width="10.42578125" style="2" bestFit="1" customWidth="1"/>
    <col min="9" max="9" width="8.85546875" style="2" bestFit="1" customWidth="1"/>
    <col min="10" max="10" width="7.85546875" style="2" bestFit="1" customWidth="1"/>
    <col min="11" max="11" width="8.28515625" style="2" bestFit="1" customWidth="1"/>
    <col min="12" max="12" width="8.85546875" style="2" bestFit="1" customWidth="1"/>
    <col min="13" max="13" width="8.5703125" style="2" bestFit="1" customWidth="1"/>
    <col min="14" max="14" width="6.7109375" style="2" customWidth="1"/>
    <col min="15" max="15" width="7.140625" style="2" bestFit="1" customWidth="1"/>
    <col min="16" max="16" width="14" style="140" customWidth="1"/>
    <col min="21" max="22" width="10.140625" bestFit="1" customWidth="1"/>
  </cols>
  <sheetData>
    <row r="1" spans="1:16">
      <c r="A1" s="695"/>
      <c r="B1" s="695"/>
      <c r="C1" s="695"/>
      <c r="D1" s="695"/>
      <c r="E1" s="9"/>
      <c r="F1" s="9"/>
      <c r="G1" s="9"/>
      <c r="H1" s="9"/>
      <c r="I1" s="9"/>
      <c r="J1" s="9"/>
      <c r="K1" s="9"/>
      <c r="L1" s="14"/>
      <c r="M1" s="9"/>
      <c r="N1" s="9"/>
      <c r="O1" s="9"/>
    </row>
    <row r="2" spans="1:16" s="4" customFormat="1">
      <c r="A2" s="10"/>
      <c r="B2" s="697" t="s">
        <v>2</v>
      </c>
      <c r="C2" s="707" t="s">
        <v>3</v>
      </c>
      <c r="D2" s="705" t="s">
        <v>4</v>
      </c>
      <c r="E2" s="706" t="s">
        <v>0</v>
      </c>
      <c r="F2" s="698" t="s">
        <v>5</v>
      </c>
      <c r="G2" s="699"/>
      <c r="H2" s="700"/>
      <c r="I2" s="701" t="s">
        <v>6</v>
      </c>
      <c r="J2" s="702"/>
      <c r="K2" s="703"/>
      <c r="L2" s="3"/>
      <c r="M2" s="5"/>
      <c r="N2" s="5"/>
      <c r="O2" s="5"/>
      <c r="P2" s="140"/>
    </row>
    <row r="3" spans="1:16">
      <c r="A3" s="10"/>
      <c r="B3" s="697"/>
      <c r="C3" s="707"/>
      <c r="D3" s="705"/>
      <c r="E3" s="706"/>
      <c r="F3" s="23" t="s">
        <v>7</v>
      </c>
      <c r="G3" s="6" t="s">
        <v>8</v>
      </c>
      <c r="H3" s="16" t="s">
        <v>9</v>
      </c>
      <c r="I3" s="18" t="s">
        <v>7</v>
      </c>
      <c r="J3" s="7" t="s">
        <v>8</v>
      </c>
      <c r="K3" s="19" t="s">
        <v>9</v>
      </c>
      <c r="L3" s="8"/>
      <c r="M3" s="15"/>
      <c r="N3" s="15"/>
      <c r="O3" s="15"/>
    </row>
    <row r="4" spans="1:16">
      <c r="A4" s="10"/>
      <c r="B4" s="11"/>
      <c r="C4" s="22"/>
      <c r="D4" s="25">
        <v>1</v>
      </c>
      <c r="E4" s="26" t="s">
        <v>1</v>
      </c>
      <c r="F4" s="24"/>
      <c r="G4" s="11"/>
      <c r="H4" s="17"/>
      <c r="I4" s="20"/>
      <c r="J4" s="12"/>
      <c r="K4" s="21">
        <v>0</v>
      </c>
      <c r="L4" s="8"/>
      <c r="M4" s="15"/>
      <c r="N4" s="15"/>
      <c r="O4" s="15"/>
    </row>
    <row r="5" spans="1:16">
      <c r="A5" s="10"/>
      <c r="B5" s="13"/>
      <c r="C5" s="22"/>
      <c r="D5" s="27">
        <v>2</v>
      </c>
      <c r="E5" s="26" t="s">
        <v>1</v>
      </c>
      <c r="F5" s="24"/>
      <c r="G5" s="11"/>
      <c r="H5" s="17"/>
      <c r="I5" s="20"/>
      <c r="J5" s="12"/>
      <c r="K5" s="21">
        <v>300</v>
      </c>
      <c r="L5" s="8"/>
      <c r="M5" s="15"/>
      <c r="N5" s="15"/>
      <c r="O5" s="15"/>
    </row>
    <row r="6" spans="1:16">
      <c r="A6" s="10"/>
      <c r="B6" s="13"/>
      <c r="C6" s="22"/>
      <c r="D6" s="27">
        <v>3</v>
      </c>
      <c r="E6" s="26" t="s">
        <v>1</v>
      </c>
      <c r="F6" s="24"/>
      <c r="G6" s="11"/>
      <c r="H6" s="17"/>
      <c r="I6" s="20"/>
      <c r="J6" s="12"/>
      <c r="K6" s="21">
        <v>235</v>
      </c>
      <c r="L6" s="8"/>
      <c r="M6" s="15"/>
      <c r="N6" s="15"/>
      <c r="O6" s="15"/>
    </row>
    <row r="7" spans="1:16">
      <c r="A7" s="10"/>
      <c r="B7" s="13"/>
      <c r="C7" s="22"/>
      <c r="D7" s="27">
        <v>4</v>
      </c>
      <c r="E7" s="26" t="s">
        <v>1</v>
      </c>
      <c r="F7" s="24"/>
      <c r="G7" s="11"/>
      <c r="H7" s="17"/>
      <c r="I7" s="20"/>
      <c r="J7" s="12"/>
      <c r="K7" s="21">
        <v>175</v>
      </c>
      <c r="L7" s="8"/>
      <c r="M7" s="15"/>
      <c r="N7" s="15"/>
      <c r="O7" s="15"/>
    </row>
    <row r="8" spans="1:16">
      <c r="A8" s="10"/>
      <c r="B8" s="13"/>
      <c r="C8" s="22"/>
      <c r="D8" s="27">
        <v>5</v>
      </c>
      <c r="E8" s="26" t="s">
        <v>1</v>
      </c>
      <c r="F8" s="24"/>
      <c r="G8" s="11"/>
      <c r="H8" s="17"/>
      <c r="I8" s="20"/>
      <c r="J8" s="12"/>
      <c r="K8" s="21">
        <v>120</v>
      </c>
      <c r="L8" s="8"/>
      <c r="M8" s="15"/>
      <c r="N8" s="15"/>
      <c r="O8" s="15"/>
    </row>
    <row r="9" spans="1:16" ht="13.5" thickBot="1">
      <c r="A9" s="552"/>
      <c r="B9" s="604"/>
      <c r="C9" s="605"/>
      <c r="D9" s="606">
        <v>6</v>
      </c>
      <c r="E9" s="607" t="s">
        <v>1</v>
      </c>
      <c r="F9" s="608"/>
      <c r="G9" s="609"/>
      <c r="H9" s="610"/>
      <c r="I9" s="611"/>
      <c r="J9" s="612"/>
      <c r="K9" s="613">
        <v>55</v>
      </c>
      <c r="L9" s="8"/>
      <c r="M9" s="15"/>
      <c r="N9" s="15"/>
      <c r="O9" s="15"/>
    </row>
    <row r="10" spans="1:16" ht="14.25" thickTop="1" thickBot="1">
      <c r="A10" s="34" t="str">
        <f>IF(B10="","",RIGHT(TEXT(B10,"#.000"),2))</f>
        <v>01</v>
      </c>
      <c r="B10" s="654">
        <v>1.101</v>
      </c>
      <c r="C10" s="704" t="s">
        <v>110</v>
      </c>
      <c r="D10" s="35">
        <f>B10+0.0001</f>
        <v>1.1011</v>
      </c>
      <c r="E10" s="36">
        <v>1</v>
      </c>
      <c r="F10" s="37"/>
      <c r="G10" s="38"/>
      <c r="H10" s="39"/>
      <c r="I10" s="40"/>
      <c r="J10" s="41"/>
      <c r="K10" s="42">
        <f>N10</f>
        <v>0</v>
      </c>
      <c r="L10" s="40">
        <v>0</v>
      </c>
      <c r="M10" s="43">
        <f>G11*SIN(RADIANS(L10))</f>
        <v>0</v>
      </c>
      <c r="N10" s="44">
        <f>DEGREES(ASIN((M10+O10)/G11))</f>
        <v>0</v>
      </c>
      <c r="O10" s="45">
        <v>0</v>
      </c>
    </row>
    <row r="11" spans="1:16" ht="13.5" thickTop="1">
      <c r="A11" s="34" t="str">
        <f t="shared" ref="A11:A98" si="0">IF(B11="","",RIGHT(TEXT(B11,"#.000"),2))</f>
        <v/>
      </c>
      <c r="B11" s="628"/>
      <c r="C11" s="696"/>
      <c r="D11" s="46">
        <f>D10+0.0001</f>
        <v>1.1012</v>
      </c>
      <c r="E11" s="47">
        <f>D10</f>
        <v>1.1011</v>
      </c>
      <c r="F11" s="48"/>
      <c r="G11" s="49">
        <v>0.2487</v>
      </c>
      <c r="H11" s="50">
        <v>-0.31009999999999999</v>
      </c>
      <c r="I11" s="51">
        <v>7.5</v>
      </c>
      <c r="J11" s="52">
        <v>20</v>
      </c>
      <c r="K11" s="53"/>
      <c r="L11" s="51"/>
      <c r="M11" s="54"/>
      <c r="N11" s="55"/>
      <c r="O11" s="141"/>
      <c r="P11" s="145" t="s">
        <v>26</v>
      </c>
    </row>
    <row r="12" spans="1:16" ht="13.5" thickBot="1">
      <c r="A12" s="34" t="str">
        <f t="shared" si="0"/>
        <v>04</v>
      </c>
      <c r="B12" s="660">
        <v>1.1040000000000001</v>
      </c>
      <c r="C12" s="627" t="s">
        <v>110</v>
      </c>
      <c r="D12" s="28">
        <f>B12+0.0001</f>
        <v>1.1041000000000001</v>
      </c>
      <c r="E12" s="29">
        <v>1</v>
      </c>
      <c r="F12" s="57"/>
      <c r="G12" s="58"/>
      <c r="H12" s="59"/>
      <c r="I12" s="60"/>
      <c r="J12" s="61"/>
      <c r="K12" s="62">
        <f>N12</f>
        <v>0</v>
      </c>
      <c r="L12" s="60">
        <v>0</v>
      </c>
      <c r="M12" s="63">
        <f>G13*SIN(RADIANS(L12))</f>
        <v>0</v>
      </c>
      <c r="N12" s="64">
        <f>DEGREES(ASIN((M12+O12)/G13))</f>
        <v>0</v>
      </c>
      <c r="O12" s="142">
        <v>0</v>
      </c>
      <c r="P12" s="146" t="s">
        <v>112</v>
      </c>
    </row>
    <row r="13" spans="1:16" ht="13.5" thickTop="1">
      <c r="A13" s="34" t="str">
        <f t="shared" si="0"/>
        <v/>
      </c>
      <c r="B13" s="660"/>
      <c r="C13" s="627"/>
      <c r="D13" s="28">
        <f>D12+0.0001</f>
        <v>1.1042000000000001</v>
      </c>
      <c r="E13" s="29">
        <f>D12</f>
        <v>1.1041000000000001</v>
      </c>
      <c r="F13" s="57"/>
      <c r="G13" s="58">
        <v>0.80479999999999996</v>
      </c>
      <c r="H13" s="59">
        <v>-0.23680000000000001</v>
      </c>
      <c r="I13" s="60">
        <v>7.5</v>
      </c>
      <c r="J13" s="61">
        <v>20</v>
      </c>
      <c r="K13" s="66"/>
      <c r="L13" s="60"/>
      <c r="M13" s="67"/>
      <c r="N13" s="68"/>
      <c r="O13" s="65"/>
      <c r="P13" s="143" t="s">
        <v>27</v>
      </c>
    </row>
    <row r="14" spans="1:16" ht="13.5" thickBot="1">
      <c r="A14" s="34" t="str">
        <f t="shared" si="0"/>
        <v>07</v>
      </c>
      <c r="B14" s="628">
        <v>1.107</v>
      </c>
      <c r="C14" s="696" t="s">
        <v>110</v>
      </c>
      <c r="D14" s="46">
        <f>B14+0.0001</f>
        <v>1.1071</v>
      </c>
      <c r="E14" s="47">
        <v>1</v>
      </c>
      <c r="F14" s="48"/>
      <c r="G14" s="49"/>
      <c r="H14" s="50"/>
      <c r="I14" s="51"/>
      <c r="J14" s="52"/>
      <c r="K14" s="69">
        <v>0</v>
      </c>
      <c r="L14" s="51">
        <v>0</v>
      </c>
      <c r="M14" s="70">
        <f>G15*SIN(RADIANS(L14))</f>
        <v>0</v>
      </c>
      <c r="N14" s="71">
        <f>DEGREES(ASIN((M14+O14)/G15))</f>
        <v>0</v>
      </c>
      <c r="O14" s="56">
        <v>0</v>
      </c>
      <c r="P14" s="144" t="s">
        <v>111</v>
      </c>
    </row>
    <row r="15" spans="1:16" ht="13.5" thickTop="1">
      <c r="A15" s="34" t="str">
        <f t="shared" si="0"/>
        <v/>
      </c>
      <c r="B15" s="628"/>
      <c r="C15" s="696"/>
      <c r="D15" s="46">
        <f>D14+0.0001</f>
        <v>1.1072</v>
      </c>
      <c r="E15" s="47">
        <f>D14</f>
        <v>1.1071</v>
      </c>
      <c r="F15" s="48"/>
      <c r="G15" s="49">
        <v>1.361</v>
      </c>
      <c r="H15" s="50">
        <v>-0.1636</v>
      </c>
      <c r="I15" s="51">
        <v>7.5</v>
      </c>
      <c r="J15" s="52">
        <v>20</v>
      </c>
      <c r="K15" s="53"/>
      <c r="L15" s="51"/>
      <c r="M15" s="54"/>
      <c r="N15" s="55"/>
      <c r="O15" s="56"/>
      <c r="P15" s="143" t="s">
        <v>28</v>
      </c>
    </row>
    <row r="16" spans="1:16" ht="13.5" thickBot="1">
      <c r="A16" s="34" t="str">
        <f t="shared" si="0"/>
        <v>10</v>
      </c>
      <c r="B16" s="660">
        <v>1.1100000000000001</v>
      </c>
      <c r="C16" s="626" t="s">
        <v>110</v>
      </c>
      <c r="D16" s="28">
        <f>B16+0.0001</f>
        <v>1.1101000000000001</v>
      </c>
      <c r="E16" s="29">
        <v>1</v>
      </c>
      <c r="F16" s="57"/>
      <c r="G16" s="58"/>
      <c r="H16" s="59"/>
      <c r="I16" s="60"/>
      <c r="J16" s="61"/>
      <c r="K16" s="62">
        <f>N16</f>
        <v>0</v>
      </c>
      <c r="L16" s="60">
        <v>0</v>
      </c>
      <c r="M16" s="63">
        <f>G17*SIN(RADIANS(L16))</f>
        <v>0</v>
      </c>
      <c r="N16" s="64">
        <f>DEGREES(ASIN((M16+O16)/G17))</f>
        <v>0</v>
      </c>
      <c r="O16" s="65">
        <v>0</v>
      </c>
      <c r="P16" s="144" t="s">
        <v>112</v>
      </c>
    </row>
    <row r="17" spans="1:18" ht="13.5" thickTop="1">
      <c r="A17" s="34" t="str">
        <f t="shared" si="0"/>
        <v/>
      </c>
      <c r="B17" s="660"/>
      <c r="C17" s="627"/>
      <c r="D17" s="28">
        <f>D16+0.0001</f>
        <v>1.1102000000000001</v>
      </c>
      <c r="E17" s="29">
        <f>D16</f>
        <v>1.1101000000000001</v>
      </c>
      <c r="F17" s="57"/>
      <c r="G17" s="58">
        <v>1.9171</v>
      </c>
      <c r="H17" s="59">
        <v>-9.0399999999999994E-2</v>
      </c>
      <c r="I17" s="60">
        <v>7.5</v>
      </c>
      <c r="J17" s="61">
        <v>20</v>
      </c>
      <c r="K17" s="66">
        <v>0</v>
      </c>
      <c r="L17" s="60"/>
      <c r="M17" s="67"/>
      <c r="N17" s="68"/>
      <c r="O17" s="65"/>
      <c r="P17" s="143" t="s">
        <v>66</v>
      </c>
    </row>
    <row r="18" spans="1:18" ht="13.5" thickBot="1">
      <c r="A18" s="34" t="str">
        <f t="shared" si="0"/>
        <v>14</v>
      </c>
      <c r="B18" s="628">
        <v>1.1140000000000001</v>
      </c>
      <c r="C18" s="696" t="s">
        <v>110</v>
      </c>
      <c r="D18" s="46">
        <f>B18+0.0001</f>
        <v>1.1141000000000001</v>
      </c>
      <c r="E18" s="47">
        <v>1</v>
      </c>
      <c r="F18" s="48"/>
      <c r="G18" s="49"/>
      <c r="H18" s="50"/>
      <c r="I18" s="51"/>
      <c r="J18" s="52"/>
      <c r="K18" s="69">
        <f>N18</f>
        <v>0</v>
      </c>
      <c r="L18" s="51">
        <v>0</v>
      </c>
      <c r="M18" s="70">
        <f>G19*SIN(RADIANS(L18))</f>
        <v>0</v>
      </c>
      <c r="N18" s="71">
        <f>DEGREES(ASIN((M18+O18)/G19))</f>
        <v>0</v>
      </c>
      <c r="O18" s="56">
        <v>0</v>
      </c>
      <c r="P18" s="144" t="s">
        <v>150</v>
      </c>
    </row>
    <row r="19" spans="1:18" ht="13.5" thickTop="1">
      <c r="A19" s="34" t="str">
        <f t="shared" si="0"/>
        <v/>
      </c>
      <c r="B19" s="628"/>
      <c r="C19" s="696"/>
      <c r="D19" s="46">
        <f>D18+0.0001</f>
        <v>1.1142000000000001</v>
      </c>
      <c r="E19" s="47">
        <f>D18</f>
        <v>1.1141000000000001</v>
      </c>
      <c r="F19" s="48"/>
      <c r="G19" s="49">
        <v>2.4681999999999999</v>
      </c>
      <c r="H19" s="50">
        <v>-2.7799999999999998E-2</v>
      </c>
      <c r="I19" s="51">
        <v>0</v>
      </c>
      <c r="J19" s="52">
        <v>20</v>
      </c>
      <c r="K19" s="53">
        <v>0</v>
      </c>
      <c r="L19" s="51"/>
      <c r="M19" s="54"/>
      <c r="N19" s="55"/>
      <c r="O19" s="56"/>
      <c r="P19" s="143" t="s">
        <v>113</v>
      </c>
    </row>
    <row r="20" spans="1:18" ht="13.5" thickBot="1">
      <c r="A20" s="34" t="str">
        <f t="shared" si="0"/>
        <v>20</v>
      </c>
      <c r="B20" s="660">
        <v>1.1200000000000001</v>
      </c>
      <c r="C20" s="627" t="s">
        <v>110</v>
      </c>
      <c r="D20" s="28">
        <f>B20+0.0001</f>
        <v>1.1201000000000001</v>
      </c>
      <c r="E20" s="29">
        <v>1</v>
      </c>
      <c r="F20" s="57"/>
      <c r="G20" s="58"/>
      <c r="H20" s="59"/>
      <c r="I20" s="60"/>
      <c r="J20" s="61"/>
      <c r="K20" s="62">
        <f>N20</f>
        <v>-0.45999999999999991</v>
      </c>
      <c r="L20" s="60">
        <v>-0.46</v>
      </c>
      <c r="M20" s="63">
        <f>G21*SIN(RADIANS(L20))</f>
        <v>-2.4514805845795625E-2</v>
      </c>
      <c r="N20" s="64">
        <f>DEGREES(ASIN((M20+O20)/G21))</f>
        <v>-0.45999999999999991</v>
      </c>
      <c r="O20" s="65">
        <v>0</v>
      </c>
      <c r="P20" s="144" t="s">
        <v>166</v>
      </c>
    </row>
    <row r="21" spans="1:18" ht="13.5" thickTop="1">
      <c r="A21" s="34" t="str">
        <f t="shared" si="0"/>
        <v/>
      </c>
      <c r="B21" s="660"/>
      <c r="C21" s="627"/>
      <c r="D21" s="28">
        <f>D20+0.0001</f>
        <v>1.1202000000000001</v>
      </c>
      <c r="E21" s="29">
        <f>D20</f>
        <v>1.1201000000000001</v>
      </c>
      <c r="F21" s="57"/>
      <c r="G21" s="58">
        <v>3.0535000000000001</v>
      </c>
      <c r="H21" s="59">
        <v>-0.1191</v>
      </c>
      <c r="I21" s="60">
        <v>-13.3</v>
      </c>
      <c r="J21" s="61">
        <v>20</v>
      </c>
      <c r="K21" s="66">
        <v>-4.34</v>
      </c>
      <c r="L21" s="60"/>
      <c r="M21" s="67"/>
      <c r="N21" s="68"/>
      <c r="O21" s="65"/>
      <c r="P21" s="143" t="s">
        <v>114</v>
      </c>
    </row>
    <row r="22" spans="1:18" ht="13.5" thickBot="1">
      <c r="A22" s="34" t="str">
        <f t="shared" si="0"/>
        <v>26</v>
      </c>
      <c r="B22" s="628">
        <v>1.1259999999999999</v>
      </c>
      <c r="C22" s="696" t="s">
        <v>110</v>
      </c>
      <c r="D22" s="46">
        <f>B22+0.0001</f>
        <v>1.1260999999999999</v>
      </c>
      <c r="E22" s="47">
        <v>1</v>
      </c>
      <c r="F22" s="48"/>
      <c r="G22" s="49"/>
      <c r="H22" s="50"/>
      <c r="I22" s="51"/>
      <c r="J22" s="52"/>
      <c r="K22" s="69">
        <f>N22</f>
        <v>-1.1000000000000003</v>
      </c>
      <c r="L22" s="51">
        <v>-1.1000000000000001</v>
      </c>
      <c r="M22" s="70">
        <f>G23*SIN(RADIANS(L22))</f>
        <v>-6.8321777756255558E-2</v>
      </c>
      <c r="N22" s="71">
        <f>DEGREES(ASIN((M22+O22)/G23))</f>
        <v>-1.1000000000000003</v>
      </c>
      <c r="O22" s="56">
        <v>0</v>
      </c>
      <c r="P22" s="144" t="s">
        <v>167</v>
      </c>
    </row>
    <row r="23" spans="1:18" ht="13.5" thickTop="1">
      <c r="A23" s="34" t="str">
        <f t="shared" si="0"/>
        <v/>
      </c>
      <c r="B23" s="628"/>
      <c r="C23" s="696"/>
      <c r="D23" s="46">
        <f>D22+0.0001</f>
        <v>1.1261999999999999</v>
      </c>
      <c r="E23" s="47">
        <f>D22</f>
        <v>1.1260999999999999</v>
      </c>
      <c r="F23" s="48"/>
      <c r="G23" s="49">
        <v>3.5589</v>
      </c>
      <c r="H23" s="50">
        <v>-0.39660000000000001</v>
      </c>
      <c r="I23" s="51">
        <v>-27.8</v>
      </c>
      <c r="J23" s="52">
        <v>23</v>
      </c>
      <c r="K23" s="53">
        <v>-6.42</v>
      </c>
      <c r="L23" s="51"/>
      <c r="M23" s="54"/>
      <c r="N23" s="55"/>
      <c r="O23" s="56"/>
      <c r="P23" s="143" t="s">
        <v>115</v>
      </c>
    </row>
    <row r="24" spans="1:18" ht="13.5" thickBot="1">
      <c r="A24" s="34" t="str">
        <f t="shared" si="0"/>
        <v>32</v>
      </c>
      <c r="B24" s="660">
        <v>1.1319999999999999</v>
      </c>
      <c r="C24" s="626" t="s">
        <v>110</v>
      </c>
      <c r="D24" s="28">
        <f>B24+0.0001</f>
        <v>1.1320999999999999</v>
      </c>
      <c r="E24" s="29">
        <v>1</v>
      </c>
      <c r="F24" s="57"/>
      <c r="G24" s="58"/>
      <c r="H24" s="59"/>
      <c r="I24" s="60"/>
      <c r="J24" s="61"/>
      <c r="K24" s="62">
        <f>N24</f>
        <v>-1.6700000000000002</v>
      </c>
      <c r="L24" s="60">
        <v>-1.67</v>
      </c>
      <c r="M24" s="63">
        <f>G25*SIN(RADIANS(L24))</f>
        <v>-0.11470925739104378</v>
      </c>
      <c r="N24" s="64">
        <f>DEGREES(ASIN((M24+O24)/G25))</f>
        <v>-1.6700000000000002</v>
      </c>
      <c r="O24" s="65">
        <v>0</v>
      </c>
      <c r="P24" s="144" t="s">
        <v>168</v>
      </c>
    </row>
    <row r="25" spans="1:18" ht="13.5" thickTop="1">
      <c r="A25" s="34" t="str">
        <f t="shared" si="0"/>
        <v/>
      </c>
      <c r="B25" s="660"/>
      <c r="C25" s="665"/>
      <c r="D25" s="28">
        <f>D24+0.0001</f>
        <v>1.1321999999999999</v>
      </c>
      <c r="E25" s="29">
        <f>D24</f>
        <v>1.1320999999999999</v>
      </c>
      <c r="F25" s="57"/>
      <c r="G25" s="58">
        <v>3.9361000000000002</v>
      </c>
      <c r="H25" s="59">
        <v>-0.82740000000000002</v>
      </c>
      <c r="I25" s="60">
        <v>-42.3</v>
      </c>
      <c r="J25" s="61">
        <v>26</v>
      </c>
      <c r="K25" s="66">
        <v>-7.99</v>
      </c>
      <c r="L25" s="60"/>
      <c r="M25" s="67"/>
      <c r="N25" s="68"/>
      <c r="O25" s="65"/>
      <c r="P25" s="143" t="s">
        <v>116</v>
      </c>
    </row>
    <row r="26" spans="1:18" ht="13.5" thickBot="1">
      <c r="A26" s="34" t="str">
        <f t="shared" ref="A26:A29" si="1">IF(B26="","",RIGHT(TEXT(B26,"#.000"),2))</f>
        <v>38</v>
      </c>
      <c r="B26" s="628">
        <v>1.1379999999999999</v>
      </c>
      <c r="C26" s="696" t="s">
        <v>110</v>
      </c>
      <c r="D26" s="46">
        <f>B26+0.0001</f>
        <v>1.1380999999999999</v>
      </c>
      <c r="E26" s="47">
        <v>1</v>
      </c>
      <c r="F26" s="48"/>
      <c r="G26" s="49"/>
      <c r="H26" s="50"/>
      <c r="I26" s="51"/>
      <c r="J26" s="52"/>
      <c r="K26" s="69">
        <f>N26</f>
        <v>-2.0199999999999996</v>
      </c>
      <c r="L26" s="51">
        <v>-2.02</v>
      </c>
      <c r="M26" s="70">
        <f>G27*SIN(RADIANS(L26))</f>
        <v>-0.14629826745313629</v>
      </c>
      <c r="N26" s="71">
        <f>DEGREES(ASIN((M26+O26)/G27))</f>
        <v>-2.0199999999999996</v>
      </c>
      <c r="O26" s="56">
        <v>0</v>
      </c>
      <c r="P26" s="144" t="s">
        <v>169</v>
      </c>
    </row>
    <row r="27" spans="1:18" ht="13.5" thickTop="1">
      <c r="A27" s="34" t="str">
        <f t="shared" si="1"/>
        <v/>
      </c>
      <c r="B27" s="628"/>
      <c r="C27" s="696"/>
      <c r="D27" s="46">
        <f>D26+0.0001</f>
        <v>1.1381999999999999</v>
      </c>
      <c r="E27" s="47">
        <f>D26</f>
        <v>1.1380999999999999</v>
      </c>
      <c r="F27" s="48"/>
      <c r="G27" s="49">
        <v>4.1505000000000001</v>
      </c>
      <c r="H27" s="50">
        <v>-1.3643000000000001</v>
      </c>
      <c r="I27" s="51">
        <v>-56.8</v>
      </c>
      <c r="J27" s="52">
        <v>29</v>
      </c>
      <c r="K27" s="53">
        <v>-8.8699999999999992</v>
      </c>
      <c r="L27" s="51"/>
      <c r="M27" s="54"/>
      <c r="N27" s="55"/>
      <c r="O27" s="56"/>
      <c r="P27" s="143" t="s">
        <v>117</v>
      </c>
    </row>
    <row r="28" spans="1:18" ht="13.5" thickBot="1">
      <c r="A28" s="34" t="str">
        <f t="shared" si="1"/>
        <v>44</v>
      </c>
      <c r="B28" s="660">
        <v>1.1439999999999999</v>
      </c>
      <c r="C28" s="627" t="s">
        <v>10</v>
      </c>
      <c r="D28" s="28">
        <f>B28+0.0001</f>
        <v>1.1440999999999999</v>
      </c>
      <c r="E28" s="29">
        <v>1</v>
      </c>
      <c r="F28" s="57"/>
      <c r="G28" s="58"/>
      <c r="H28" s="59"/>
      <c r="I28" s="60"/>
      <c r="J28" s="61"/>
      <c r="K28" s="62">
        <f>N28</f>
        <v>-2.0499999999999998</v>
      </c>
      <c r="L28" s="60">
        <v>-2.0499999999999998</v>
      </c>
      <c r="M28" s="63">
        <f>G29*SIN(RADIANS(L28))</f>
        <v>-0.14920341169303314</v>
      </c>
      <c r="N28" s="64">
        <f>DEGREES(ASIN((M28+O28)/G29))</f>
        <v>-2.0499999999999998</v>
      </c>
      <c r="O28" s="65">
        <v>0</v>
      </c>
      <c r="P28" s="144" t="s">
        <v>170</v>
      </c>
    </row>
    <row r="29" spans="1:18" ht="14.25" thickTop="1" thickBot="1">
      <c r="A29" s="34" t="str">
        <f t="shared" si="1"/>
        <v/>
      </c>
      <c r="B29" s="660"/>
      <c r="C29" s="627"/>
      <c r="D29" s="28">
        <f>D28+0.0001</f>
        <v>1.1441999999999999</v>
      </c>
      <c r="E29" s="29">
        <f>D28</f>
        <v>1.1440999999999999</v>
      </c>
      <c r="F29" s="57"/>
      <c r="G29" s="58">
        <v>4.1710000000000003</v>
      </c>
      <c r="H29" s="59">
        <v>-1.9591000000000001</v>
      </c>
      <c r="I29" s="60">
        <v>-65</v>
      </c>
      <c r="J29" s="61">
        <v>30</v>
      </c>
      <c r="K29" s="66">
        <v>-8.9600000000000009</v>
      </c>
      <c r="L29" s="60"/>
      <c r="M29" s="67"/>
      <c r="N29" s="68"/>
      <c r="O29" s="65"/>
      <c r="P29" s="143" t="s">
        <v>118</v>
      </c>
    </row>
    <row r="30" spans="1:18" ht="13.5" thickBot="1">
      <c r="A30" s="34" t="str">
        <f t="shared" si="0"/>
        <v>13</v>
      </c>
      <c r="B30" s="684">
        <v>2.113</v>
      </c>
      <c r="C30" s="686" t="s">
        <v>110</v>
      </c>
      <c r="D30" s="192">
        <f>B30+0.0001</f>
        <v>2.1131000000000002</v>
      </c>
      <c r="E30" s="193">
        <v>2</v>
      </c>
      <c r="F30" s="194"/>
      <c r="G30" s="195"/>
      <c r="H30" s="196"/>
      <c r="I30" s="197"/>
      <c r="J30" s="198"/>
      <c r="K30" s="199">
        <f>N30</f>
        <v>0</v>
      </c>
      <c r="L30" s="197">
        <v>0</v>
      </c>
      <c r="M30" s="200">
        <f>G31*SIN(RADIANS(L30))</f>
        <v>0</v>
      </c>
      <c r="N30" s="201">
        <f>DEGREES(ASIN((M30+O30)/G31))</f>
        <v>0</v>
      </c>
      <c r="O30" s="202">
        <v>0</v>
      </c>
      <c r="P30" s="190" t="s">
        <v>152</v>
      </c>
      <c r="Q30" s="32"/>
      <c r="R30" s="32"/>
    </row>
    <row r="31" spans="1:18" ht="13.5" thickTop="1">
      <c r="A31" s="34" t="str">
        <f t="shared" si="0"/>
        <v/>
      </c>
      <c r="B31" s="625"/>
      <c r="C31" s="627"/>
      <c r="D31" s="28">
        <f>D30+0.0001</f>
        <v>2.1132000000000004</v>
      </c>
      <c r="E31" s="29">
        <f>D30</f>
        <v>2.1131000000000002</v>
      </c>
      <c r="F31" s="57"/>
      <c r="G31" s="58">
        <v>2.3721999999999999</v>
      </c>
      <c r="H31" s="59">
        <v>-3.2599999999999997E-2</v>
      </c>
      <c r="I31" s="60">
        <v>1</v>
      </c>
      <c r="J31" s="61">
        <v>20</v>
      </c>
      <c r="K31" s="66">
        <v>0</v>
      </c>
      <c r="L31" s="60"/>
      <c r="M31" s="94"/>
      <c r="N31" s="95"/>
      <c r="O31" s="203"/>
      <c r="P31" s="191" t="s">
        <v>119</v>
      </c>
      <c r="Q31" s="32"/>
      <c r="R31" s="32"/>
    </row>
    <row r="32" spans="1:18" ht="13.5" thickBot="1">
      <c r="A32" s="34" t="str">
        <f t="shared" si="0"/>
        <v>19</v>
      </c>
      <c r="B32" s="634">
        <v>2.1190000000000002</v>
      </c>
      <c r="C32" s="636" t="s">
        <v>110</v>
      </c>
      <c r="D32" s="72">
        <f>B32+0.0001</f>
        <v>2.1191000000000004</v>
      </c>
      <c r="E32" s="73">
        <v>2</v>
      </c>
      <c r="F32" s="74"/>
      <c r="G32" s="75"/>
      <c r="H32" s="76"/>
      <c r="I32" s="77"/>
      <c r="J32" s="78"/>
      <c r="K32" s="79">
        <f>N32</f>
        <v>-0.36</v>
      </c>
      <c r="L32" s="77">
        <v>-0.36</v>
      </c>
      <c r="M32" s="80">
        <f>G33*SIN(RADIANS(L32))</f>
        <v>-1.858491153572682E-2</v>
      </c>
      <c r="N32" s="81">
        <f>DEGREES(ASIN((M32+O32)/G33))</f>
        <v>-0.36</v>
      </c>
      <c r="O32" s="204">
        <v>0</v>
      </c>
      <c r="P32" s="190" t="s">
        <v>153</v>
      </c>
      <c r="Q32" s="32"/>
      <c r="R32" s="32"/>
    </row>
    <row r="33" spans="1:18" ht="13.5" thickTop="1">
      <c r="A33" s="34" t="str">
        <f t="shared" si="0"/>
        <v/>
      </c>
      <c r="B33" s="635"/>
      <c r="C33" s="637"/>
      <c r="D33" s="82">
        <f>D32+0.0001</f>
        <v>2.1192000000000006</v>
      </c>
      <c r="E33" s="83">
        <f>D32</f>
        <v>2.1191000000000004</v>
      </c>
      <c r="F33" s="84"/>
      <c r="G33" s="85">
        <v>2.9579</v>
      </c>
      <c r="H33" s="86">
        <v>-9.0200000000000002E-2</v>
      </c>
      <c r="I33" s="87">
        <v>-10.8</v>
      </c>
      <c r="J33" s="88">
        <v>20</v>
      </c>
      <c r="K33" s="89">
        <v>-3.95</v>
      </c>
      <c r="L33" s="87"/>
      <c r="M33" s="90"/>
      <c r="N33" s="91"/>
      <c r="O33" s="205"/>
      <c r="P33" s="191" t="s">
        <v>120</v>
      </c>
      <c r="Q33" s="32"/>
      <c r="R33" s="32"/>
    </row>
    <row r="34" spans="1:18" ht="13.5" thickBot="1">
      <c r="A34" s="34" t="str">
        <f t="shared" si="0"/>
        <v>25</v>
      </c>
      <c r="B34" s="625">
        <v>2.125</v>
      </c>
      <c r="C34" s="627" t="s">
        <v>110</v>
      </c>
      <c r="D34" s="28">
        <f>B34+0.0001</f>
        <v>2.1251000000000002</v>
      </c>
      <c r="E34" s="29">
        <v>2</v>
      </c>
      <c r="F34" s="57"/>
      <c r="G34" s="58"/>
      <c r="H34" s="59"/>
      <c r="I34" s="60"/>
      <c r="J34" s="61"/>
      <c r="K34" s="62">
        <f>N34</f>
        <v>-0.99</v>
      </c>
      <c r="L34" s="60">
        <v>-0.99</v>
      </c>
      <c r="M34" s="92">
        <f>G35*SIN(RADIANS(L34))</f>
        <v>-6.0121908036239888E-2</v>
      </c>
      <c r="N34" s="93">
        <f>DEGREES(ASIN((M34+O34)/G35))</f>
        <v>-0.99</v>
      </c>
      <c r="O34" s="203">
        <v>0</v>
      </c>
      <c r="P34" s="190" t="s">
        <v>171</v>
      </c>
      <c r="Q34" s="33"/>
      <c r="R34" s="32"/>
    </row>
    <row r="35" spans="1:18" ht="13.5" thickTop="1">
      <c r="A35" s="34" t="str">
        <f t="shared" si="0"/>
        <v/>
      </c>
      <c r="B35" s="625"/>
      <c r="C35" s="627"/>
      <c r="D35" s="28">
        <f>D34+0.0001</f>
        <v>2.1252000000000004</v>
      </c>
      <c r="E35" s="29">
        <f>D34</f>
        <v>2.1251000000000002</v>
      </c>
      <c r="F35" s="57"/>
      <c r="G35" s="58">
        <v>3.4796999999999998</v>
      </c>
      <c r="H35" s="59">
        <v>-0.33789999999999998</v>
      </c>
      <c r="I35" s="60">
        <v>-25.4</v>
      </c>
      <c r="J35" s="61">
        <v>22</v>
      </c>
      <c r="K35" s="66">
        <v>-6.1</v>
      </c>
      <c r="L35" s="60"/>
      <c r="M35" s="94"/>
      <c r="N35" s="95"/>
      <c r="O35" s="203"/>
      <c r="P35" s="191" t="s">
        <v>121</v>
      </c>
      <c r="Q35" s="33"/>
      <c r="R35" s="32"/>
    </row>
    <row r="36" spans="1:18" ht="13.5" thickBot="1">
      <c r="A36" s="34" t="str">
        <f t="shared" si="0"/>
        <v>31</v>
      </c>
      <c r="B36" s="634">
        <v>2.1309999999999998</v>
      </c>
      <c r="C36" s="636" t="s">
        <v>110</v>
      </c>
      <c r="D36" s="72">
        <f>B36+0.0001</f>
        <v>2.1311</v>
      </c>
      <c r="E36" s="73">
        <v>2</v>
      </c>
      <c r="F36" s="74"/>
      <c r="G36" s="75"/>
      <c r="H36" s="76"/>
      <c r="I36" s="77"/>
      <c r="J36" s="78"/>
      <c r="K36" s="79">
        <f>N36</f>
        <v>-1.5800000000000003</v>
      </c>
      <c r="L36" s="77">
        <v>-1.58</v>
      </c>
      <c r="M36" s="80">
        <f>G37*SIN(RADIANS(L36))</f>
        <v>-0.10704000691110327</v>
      </c>
      <c r="N36" s="81">
        <f>DEGREES(ASIN((M36+O36)/G37))</f>
        <v>-1.5800000000000003</v>
      </c>
      <c r="O36" s="204">
        <v>0</v>
      </c>
      <c r="P36" s="190" t="s">
        <v>57</v>
      </c>
      <c r="Q36" s="33"/>
      <c r="R36" s="32"/>
    </row>
    <row r="37" spans="1:18" ht="13.5" thickTop="1">
      <c r="A37" s="34" t="str">
        <f t="shared" si="0"/>
        <v/>
      </c>
      <c r="B37" s="635"/>
      <c r="C37" s="637"/>
      <c r="D37" s="82">
        <f>D36+0.0001</f>
        <v>2.1312000000000002</v>
      </c>
      <c r="E37" s="83">
        <f>D36</f>
        <v>2.1311</v>
      </c>
      <c r="F37" s="84"/>
      <c r="G37" s="85">
        <v>3.8820999999999999</v>
      </c>
      <c r="H37" s="86">
        <v>-0.74350000000000005</v>
      </c>
      <c r="I37" s="87">
        <v>-39.799999999999997</v>
      </c>
      <c r="J37" s="88">
        <v>25</v>
      </c>
      <c r="K37" s="89">
        <v>-7.76</v>
      </c>
      <c r="L37" s="87"/>
      <c r="M37" s="90"/>
      <c r="N37" s="91"/>
      <c r="O37" s="205"/>
      <c r="P37" s="191" t="s">
        <v>122</v>
      </c>
      <c r="Q37" s="33"/>
      <c r="R37" s="32"/>
    </row>
    <row r="38" spans="1:18" ht="13.5" thickBot="1">
      <c r="A38" s="34" t="str">
        <f t="shared" si="0"/>
        <v>37</v>
      </c>
      <c r="B38" s="625">
        <v>2.137</v>
      </c>
      <c r="C38" s="627" t="s">
        <v>110</v>
      </c>
      <c r="D38" s="28">
        <f>B38+0.0001</f>
        <v>2.1371000000000002</v>
      </c>
      <c r="E38" s="29">
        <v>2</v>
      </c>
      <c r="F38" s="57"/>
      <c r="G38" s="58"/>
      <c r="H38" s="59"/>
      <c r="I38" s="60"/>
      <c r="J38" s="61"/>
      <c r="K38" s="62">
        <f>N38</f>
        <v>-1.98</v>
      </c>
      <c r="L38" s="60">
        <v>-1.98</v>
      </c>
      <c r="M38" s="92">
        <f>G39*SIN(RADIANS(L38))</f>
        <v>-0.14252830579797304</v>
      </c>
      <c r="N38" s="93">
        <f>DEGREES(ASIN((M38+O38)/G39))</f>
        <v>-1.98</v>
      </c>
      <c r="O38" s="203">
        <v>0</v>
      </c>
      <c r="P38" s="190" t="s">
        <v>172</v>
      </c>
      <c r="Q38" s="33"/>
      <c r="R38" s="32"/>
    </row>
    <row r="39" spans="1:18" ht="13.5" thickTop="1">
      <c r="A39" s="34" t="str">
        <f t="shared" si="0"/>
        <v/>
      </c>
      <c r="B39" s="625"/>
      <c r="C39" s="627"/>
      <c r="D39" s="28">
        <f>D38+0.0001</f>
        <v>2.1372000000000004</v>
      </c>
      <c r="E39" s="29">
        <f>D38</f>
        <v>2.1371000000000002</v>
      </c>
      <c r="F39" s="57"/>
      <c r="G39" s="58">
        <v>4.1252000000000004</v>
      </c>
      <c r="H39" s="59">
        <v>-1.264</v>
      </c>
      <c r="I39" s="60">
        <v>-54.3</v>
      </c>
      <c r="J39" s="61">
        <v>28</v>
      </c>
      <c r="K39" s="66">
        <v>-8.77</v>
      </c>
      <c r="L39" s="60"/>
      <c r="M39" s="94"/>
      <c r="N39" s="95"/>
      <c r="O39" s="203"/>
      <c r="P39" s="191" t="s">
        <v>123</v>
      </c>
      <c r="Q39" s="33"/>
      <c r="R39" s="32"/>
    </row>
    <row r="40" spans="1:18" ht="13.5" thickBot="1">
      <c r="A40" s="34" t="str">
        <f t="shared" ref="A40:A41" si="2">IF(B40="","",RIGHT(TEXT(B40,"#.000"),2))</f>
        <v>43</v>
      </c>
      <c r="B40" s="634">
        <v>2.1429999999999998</v>
      </c>
      <c r="C40" s="636" t="s">
        <v>10</v>
      </c>
      <c r="D40" s="72">
        <f>B40+0.0001</f>
        <v>2.1431</v>
      </c>
      <c r="E40" s="73">
        <v>2</v>
      </c>
      <c r="F40" s="74"/>
      <c r="G40" s="75"/>
      <c r="H40" s="76"/>
      <c r="I40" s="77"/>
      <c r="J40" s="78"/>
      <c r="K40" s="79">
        <f>N40</f>
        <v>-2.0499999999999998</v>
      </c>
      <c r="L40" s="77">
        <v>-2.0499999999999998</v>
      </c>
      <c r="M40" s="80">
        <f>G41*SIN(RADIANS(L40))</f>
        <v>-0.14920341169303314</v>
      </c>
      <c r="N40" s="81">
        <f>DEGREES(ASIN((M40+O40)/G41))</f>
        <v>-2.0499999999999998</v>
      </c>
      <c r="O40" s="204">
        <v>0</v>
      </c>
      <c r="P40" s="190" t="s">
        <v>173</v>
      </c>
      <c r="Q40" s="33"/>
      <c r="R40" s="32"/>
    </row>
    <row r="41" spans="1:18" ht="14.25" thickTop="1" thickBot="1">
      <c r="A41" s="34" t="str">
        <f t="shared" si="2"/>
        <v/>
      </c>
      <c r="B41" s="635"/>
      <c r="C41" s="637"/>
      <c r="D41" s="82">
        <f>D40+0.0001</f>
        <v>2.1432000000000002</v>
      </c>
      <c r="E41" s="83">
        <f>D40</f>
        <v>2.1431</v>
      </c>
      <c r="F41" s="84"/>
      <c r="G41" s="85">
        <v>4.1710000000000003</v>
      </c>
      <c r="H41" s="86">
        <v>-1.8631</v>
      </c>
      <c r="I41" s="87">
        <v>-65</v>
      </c>
      <c r="J41" s="88">
        <v>30</v>
      </c>
      <c r="K41" s="89">
        <v>-8.9600000000000009</v>
      </c>
      <c r="L41" s="87"/>
      <c r="M41" s="90"/>
      <c r="N41" s="91"/>
      <c r="O41" s="205"/>
      <c r="P41" s="191" t="s">
        <v>124</v>
      </c>
      <c r="Q41" s="33"/>
      <c r="R41" s="32"/>
    </row>
    <row r="42" spans="1:18" ht="13.5" thickBot="1">
      <c r="A42" s="34" t="str">
        <f t="shared" si="0"/>
        <v>03</v>
      </c>
      <c r="B42" s="708">
        <v>3.1030000000000002</v>
      </c>
      <c r="C42" s="709" t="s">
        <v>110</v>
      </c>
      <c r="D42" s="206">
        <f>B42+0.0001</f>
        <v>3.1031000000000004</v>
      </c>
      <c r="E42" s="207">
        <v>3</v>
      </c>
      <c r="F42" s="208"/>
      <c r="G42" s="209"/>
      <c r="H42" s="210"/>
      <c r="I42" s="211"/>
      <c r="J42" s="212"/>
      <c r="K42" s="213">
        <f>N42</f>
        <v>0</v>
      </c>
      <c r="L42" s="211">
        <v>0</v>
      </c>
      <c r="M42" s="214">
        <f>G43*SIN(RADIANS(L42))</f>
        <v>0</v>
      </c>
      <c r="N42" s="215">
        <f>DEGREES(ASIN((M42+O42)/G43))</f>
        <v>0</v>
      </c>
      <c r="O42" s="216">
        <v>0</v>
      </c>
      <c r="P42" s="190" t="s">
        <v>162</v>
      </c>
    </row>
    <row r="43" spans="1:18" ht="13.5" thickTop="1">
      <c r="A43" s="34" t="str">
        <f t="shared" si="0"/>
        <v/>
      </c>
      <c r="B43" s="638"/>
      <c r="C43" s="639"/>
      <c r="D43" s="30">
        <f>D42+0.0001</f>
        <v>3.1032000000000006</v>
      </c>
      <c r="E43" s="31">
        <f>D42</f>
        <v>3.1031000000000004</v>
      </c>
      <c r="F43" s="96"/>
      <c r="G43" s="97">
        <v>0.61939999999999995</v>
      </c>
      <c r="H43" s="98">
        <v>-0.26119999999999999</v>
      </c>
      <c r="I43" s="99">
        <v>7.5</v>
      </c>
      <c r="J43" s="100">
        <v>20</v>
      </c>
      <c r="K43" s="101"/>
      <c r="L43" s="99"/>
      <c r="M43" s="102"/>
      <c r="N43" s="103"/>
      <c r="O43" s="217"/>
      <c r="P43" s="191" t="s">
        <v>29</v>
      </c>
    </row>
    <row r="44" spans="1:18" s="4" customFormat="1" ht="13.5" thickBot="1">
      <c r="A44" s="34" t="str">
        <f t="shared" si="0"/>
        <v>06</v>
      </c>
      <c r="B44" s="625">
        <v>3.1059999999999999</v>
      </c>
      <c r="C44" s="627" t="s">
        <v>110</v>
      </c>
      <c r="D44" s="28">
        <f>B44+0.0001</f>
        <v>3.1061000000000001</v>
      </c>
      <c r="E44" s="29">
        <v>3</v>
      </c>
      <c r="F44" s="57"/>
      <c r="G44" s="58"/>
      <c r="H44" s="59"/>
      <c r="I44" s="60"/>
      <c r="J44" s="61"/>
      <c r="K44" s="62">
        <f>N44</f>
        <v>0</v>
      </c>
      <c r="L44" s="60">
        <v>0</v>
      </c>
      <c r="M44" s="92">
        <f>G45*SIN(RADIANS(L44))</f>
        <v>0</v>
      </c>
      <c r="N44" s="93">
        <f>DEGREES(ASIN((M44+O44)/G45))</f>
        <v>0</v>
      </c>
      <c r="O44" s="203">
        <v>0</v>
      </c>
      <c r="P44" s="190" t="s">
        <v>111</v>
      </c>
    </row>
    <row r="45" spans="1:18" ht="13.5" thickTop="1">
      <c r="A45" s="34" t="str">
        <f t="shared" si="0"/>
        <v/>
      </c>
      <c r="B45" s="625"/>
      <c r="C45" s="627"/>
      <c r="D45" s="28">
        <f>D44+0.0001</f>
        <v>3.1062000000000003</v>
      </c>
      <c r="E45" s="29">
        <f>D44</f>
        <v>3.1061000000000001</v>
      </c>
      <c r="F45" s="57"/>
      <c r="G45" s="58">
        <v>1.1756</v>
      </c>
      <c r="H45" s="59">
        <v>-0.188</v>
      </c>
      <c r="I45" s="60">
        <v>7.5</v>
      </c>
      <c r="J45" s="61">
        <v>20</v>
      </c>
      <c r="K45" s="66"/>
      <c r="L45" s="60"/>
      <c r="M45" s="94"/>
      <c r="N45" s="95"/>
      <c r="O45" s="203"/>
      <c r="P45" s="191" t="s">
        <v>30</v>
      </c>
    </row>
    <row r="46" spans="1:18" ht="13.5" thickBot="1">
      <c r="A46" s="34" t="str">
        <f t="shared" si="0"/>
        <v>09</v>
      </c>
      <c r="B46" s="638">
        <v>3.109</v>
      </c>
      <c r="C46" s="639" t="s">
        <v>110</v>
      </c>
      <c r="D46" s="30">
        <f>B46+0.0001</f>
        <v>3.1091000000000002</v>
      </c>
      <c r="E46" s="31">
        <v>3</v>
      </c>
      <c r="F46" s="96"/>
      <c r="G46" s="97"/>
      <c r="H46" s="98"/>
      <c r="I46" s="99"/>
      <c r="J46" s="100"/>
      <c r="K46" s="104">
        <f>N46</f>
        <v>0</v>
      </c>
      <c r="L46" s="99">
        <v>0</v>
      </c>
      <c r="M46" s="105">
        <f>G47*SIN(RADIANS(L46))</f>
        <v>0</v>
      </c>
      <c r="N46" s="106">
        <f>DEGREES(ASIN((M46+O46)/G47))</f>
        <v>0</v>
      </c>
      <c r="O46" s="217">
        <v>0</v>
      </c>
      <c r="P46" s="190" t="s">
        <v>112</v>
      </c>
    </row>
    <row r="47" spans="1:18" ht="13.5" thickTop="1">
      <c r="A47" s="34" t="str">
        <f t="shared" si="0"/>
        <v/>
      </c>
      <c r="B47" s="638"/>
      <c r="C47" s="639"/>
      <c r="D47" s="30">
        <f>D46+0.0001</f>
        <v>3.1092000000000004</v>
      </c>
      <c r="E47" s="31">
        <f>D46</f>
        <v>3.1091000000000002</v>
      </c>
      <c r="F47" s="96"/>
      <c r="G47" s="97">
        <v>1.7317</v>
      </c>
      <c r="H47" s="98">
        <v>-0.1148</v>
      </c>
      <c r="I47" s="99">
        <v>7.5</v>
      </c>
      <c r="J47" s="100">
        <v>20</v>
      </c>
      <c r="K47" s="101"/>
      <c r="L47" s="99"/>
      <c r="M47" s="102"/>
      <c r="N47" s="103"/>
      <c r="O47" s="217"/>
      <c r="P47" s="191" t="s">
        <v>40</v>
      </c>
    </row>
    <row r="48" spans="1:18" ht="13.5" thickBot="1">
      <c r="A48" s="34" t="str">
        <f t="shared" si="0"/>
        <v>12</v>
      </c>
      <c r="B48" s="625">
        <v>3.1120000000000001</v>
      </c>
      <c r="C48" s="626" t="s">
        <v>110</v>
      </c>
      <c r="D48" s="28">
        <f>B48+0.0001</f>
        <v>3.1121000000000003</v>
      </c>
      <c r="E48" s="29">
        <v>3</v>
      </c>
      <c r="F48" s="57"/>
      <c r="G48" s="58"/>
      <c r="H48" s="59"/>
      <c r="I48" s="60"/>
      <c r="J48" s="61"/>
      <c r="K48" s="62">
        <f>N48</f>
        <v>0</v>
      </c>
      <c r="L48" s="60">
        <v>0</v>
      </c>
      <c r="M48" s="92">
        <f>G49*SIN(RADIANS(L48))</f>
        <v>0</v>
      </c>
      <c r="N48" s="93">
        <f>DEGREES(ASIN((M48+O48)/G49))</f>
        <v>0</v>
      </c>
      <c r="O48" s="203">
        <v>0</v>
      </c>
      <c r="P48" s="190" t="s">
        <v>155</v>
      </c>
    </row>
    <row r="49" spans="1:16" ht="13.5" thickTop="1">
      <c r="A49" s="34" t="str">
        <f t="shared" si="0"/>
        <v/>
      </c>
      <c r="B49" s="625"/>
      <c r="C49" s="627"/>
      <c r="D49" s="28">
        <f>D48+0.0001</f>
        <v>3.1122000000000005</v>
      </c>
      <c r="E49" s="29">
        <f>D48</f>
        <v>3.1121000000000003</v>
      </c>
      <c r="F49" s="57"/>
      <c r="G49" s="58">
        <v>2.2879</v>
      </c>
      <c r="H49" s="59">
        <v>-4.1599999999999998E-2</v>
      </c>
      <c r="I49" s="60">
        <v>2.5</v>
      </c>
      <c r="J49" s="61">
        <v>20</v>
      </c>
      <c r="K49" s="66"/>
      <c r="L49" s="60"/>
      <c r="M49" s="94"/>
      <c r="N49" s="95"/>
      <c r="O49" s="203"/>
      <c r="P49" s="191" t="s">
        <v>125</v>
      </c>
    </row>
    <row r="50" spans="1:16" ht="13.5" thickBot="1">
      <c r="A50" s="34" t="str">
        <f t="shared" si="0"/>
        <v>18</v>
      </c>
      <c r="B50" s="638">
        <v>3.1179999999999999</v>
      </c>
      <c r="C50" s="639" t="s">
        <v>110</v>
      </c>
      <c r="D50" s="30">
        <f>B50+0.0001</f>
        <v>3.1181000000000001</v>
      </c>
      <c r="E50" s="31">
        <v>3</v>
      </c>
      <c r="F50" s="96"/>
      <c r="G50" s="97"/>
      <c r="H50" s="98"/>
      <c r="I50" s="99"/>
      <c r="J50" s="100"/>
      <c r="K50" s="104">
        <f>N50</f>
        <v>-0.27</v>
      </c>
      <c r="L50" s="99">
        <v>-0.27</v>
      </c>
      <c r="M50" s="105">
        <f>G51*SIN(RADIANS(L50))</f>
        <v>-1.3487278582840672E-2</v>
      </c>
      <c r="N50" s="106">
        <f>DEGREES(ASIN((M50+O50)/G51))</f>
        <v>-0.27</v>
      </c>
      <c r="O50" s="217">
        <v>0</v>
      </c>
      <c r="P50" s="190" t="s">
        <v>156</v>
      </c>
    </row>
    <row r="51" spans="1:16" ht="13.5" thickTop="1">
      <c r="A51" s="34" t="str">
        <f t="shared" si="0"/>
        <v/>
      </c>
      <c r="B51" s="638"/>
      <c r="C51" s="639"/>
      <c r="D51" s="30">
        <f>D50+0.0001</f>
        <v>3.1182000000000003</v>
      </c>
      <c r="E51" s="31">
        <f>D50</f>
        <v>3.1181000000000001</v>
      </c>
      <c r="F51" s="96"/>
      <c r="G51" s="97">
        <v>2.8620999999999999</v>
      </c>
      <c r="H51" s="98">
        <v>-6.6100000000000006E-2</v>
      </c>
      <c r="I51" s="99">
        <v>-8.3000000000000007</v>
      </c>
      <c r="J51" s="100">
        <v>20</v>
      </c>
      <c r="K51" s="101">
        <v>-3.55</v>
      </c>
      <c r="L51" s="99"/>
      <c r="M51" s="102"/>
      <c r="N51" s="103"/>
      <c r="O51" s="217"/>
      <c r="P51" s="191" t="s">
        <v>126</v>
      </c>
    </row>
    <row r="52" spans="1:16" ht="13.5" thickBot="1">
      <c r="A52" s="34" t="str">
        <f t="shared" si="0"/>
        <v>24</v>
      </c>
      <c r="B52" s="625">
        <v>3.1240000000000001</v>
      </c>
      <c r="C52" s="627" t="s">
        <v>110</v>
      </c>
      <c r="D52" s="28">
        <f>B52+0.0001</f>
        <v>3.1241000000000003</v>
      </c>
      <c r="E52" s="29">
        <v>3</v>
      </c>
      <c r="F52" s="57"/>
      <c r="G52" s="58"/>
      <c r="H52" s="59"/>
      <c r="I52" s="60"/>
      <c r="J52" s="61"/>
      <c r="K52" s="62">
        <f>N52</f>
        <v>-0.88</v>
      </c>
      <c r="L52" s="60">
        <v>-0.88</v>
      </c>
      <c r="M52" s="92">
        <f>G53*SIN(RADIANS(L52))</f>
        <v>-5.221512649612494E-2</v>
      </c>
      <c r="N52" s="93">
        <f>DEGREES(ASIN((M52+O52)/G53))</f>
        <v>-0.88</v>
      </c>
      <c r="O52" s="203">
        <v>0</v>
      </c>
      <c r="P52" s="190" t="s">
        <v>157</v>
      </c>
    </row>
    <row r="53" spans="1:16" ht="13.5" thickTop="1">
      <c r="A53" s="34" t="str">
        <f t="shared" si="0"/>
        <v/>
      </c>
      <c r="B53" s="625"/>
      <c r="C53" s="627"/>
      <c r="D53" s="28">
        <f>D52+0.0001</f>
        <v>3.1242000000000005</v>
      </c>
      <c r="E53" s="29">
        <f>D52</f>
        <v>3.1241000000000003</v>
      </c>
      <c r="F53" s="57"/>
      <c r="G53" s="58">
        <v>3.3997999999999999</v>
      </c>
      <c r="H53" s="59">
        <v>-0.28420000000000001</v>
      </c>
      <c r="I53" s="60">
        <v>-22.9</v>
      </c>
      <c r="J53" s="61">
        <v>22</v>
      </c>
      <c r="K53" s="66">
        <v>-5.77</v>
      </c>
      <c r="L53" s="60"/>
      <c r="M53" s="94"/>
      <c r="N53" s="95"/>
      <c r="O53" s="203"/>
      <c r="P53" s="191" t="s">
        <v>127</v>
      </c>
    </row>
    <row r="54" spans="1:16" ht="13.5" thickBot="1">
      <c r="A54" s="34" t="str">
        <f t="shared" si="0"/>
        <v>30</v>
      </c>
      <c r="B54" s="638">
        <v>3.13</v>
      </c>
      <c r="C54" s="639" t="s">
        <v>110</v>
      </c>
      <c r="D54" s="30">
        <f>B54+0.0001</f>
        <v>3.1301000000000001</v>
      </c>
      <c r="E54" s="31">
        <v>3</v>
      </c>
      <c r="F54" s="96"/>
      <c r="G54" s="97"/>
      <c r="H54" s="98"/>
      <c r="I54" s="99"/>
      <c r="J54" s="100"/>
      <c r="K54" s="104">
        <f>N54</f>
        <v>-1.5</v>
      </c>
      <c r="L54" s="99">
        <v>-1.5</v>
      </c>
      <c r="M54" s="105">
        <f>G55*SIN(RADIANS(L54))</f>
        <v>-0.10014515114143031</v>
      </c>
      <c r="N54" s="106">
        <f>DEGREES(ASIN((M54+O54)/G55))</f>
        <v>-1.5</v>
      </c>
      <c r="O54" s="217">
        <v>0</v>
      </c>
      <c r="P54" s="190" t="s">
        <v>174</v>
      </c>
    </row>
    <row r="55" spans="1:16" ht="13.5" thickTop="1">
      <c r="A55" s="34" t="str">
        <f t="shared" si="0"/>
        <v/>
      </c>
      <c r="B55" s="638"/>
      <c r="C55" s="639"/>
      <c r="D55" s="30">
        <f>D54+0.0001</f>
        <v>3.1302000000000003</v>
      </c>
      <c r="E55" s="31">
        <f>D54</f>
        <v>3.1301000000000001</v>
      </c>
      <c r="F55" s="96"/>
      <c r="G55" s="97">
        <v>3.8256999999999999</v>
      </c>
      <c r="H55" s="98">
        <v>-0.6663</v>
      </c>
      <c r="I55" s="99">
        <v>-37.4</v>
      </c>
      <c r="J55" s="100">
        <v>25</v>
      </c>
      <c r="K55" s="101">
        <v>-7.53</v>
      </c>
      <c r="L55" s="99"/>
      <c r="M55" s="102"/>
      <c r="N55" s="103"/>
      <c r="O55" s="217"/>
      <c r="P55" s="191" t="s">
        <v>128</v>
      </c>
    </row>
    <row r="56" spans="1:16" ht="13.5" thickBot="1">
      <c r="A56" s="34" t="str">
        <f t="shared" si="0"/>
        <v>36</v>
      </c>
      <c r="B56" s="625">
        <v>3.1360000000000001</v>
      </c>
      <c r="C56" s="627" t="s">
        <v>110</v>
      </c>
      <c r="D56" s="28">
        <f>B56+0.0001</f>
        <v>3.1361000000000003</v>
      </c>
      <c r="E56" s="29">
        <v>3</v>
      </c>
      <c r="F56" s="57"/>
      <c r="G56" s="58"/>
      <c r="H56" s="59"/>
      <c r="I56" s="60"/>
      <c r="J56" s="61"/>
      <c r="K56" s="62">
        <f>N56</f>
        <v>-1.93</v>
      </c>
      <c r="L56" s="60">
        <v>-1.93</v>
      </c>
      <c r="M56" s="92">
        <f>G57*SIN(RADIANS(L56))</f>
        <v>-0.13801106257143339</v>
      </c>
      <c r="N56" s="93">
        <f>DEGREES(ASIN((M56+O56)/G57))</f>
        <v>-1.93</v>
      </c>
      <c r="O56" s="203">
        <v>0</v>
      </c>
      <c r="P56" s="282" t="s">
        <v>175</v>
      </c>
    </row>
    <row r="57" spans="1:16" ht="13.5" thickTop="1">
      <c r="A57" s="34" t="str">
        <f t="shared" si="0"/>
        <v/>
      </c>
      <c r="B57" s="625"/>
      <c r="C57" s="627"/>
      <c r="D57" s="28">
        <f>D56+0.0001</f>
        <v>3.1362000000000005</v>
      </c>
      <c r="E57" s="29">
        <f>D56</f>
        <v>3.1361000000000003</v>
      </c>
      <c r="F57" s="57"/>
      <c r="G57" s="58">
        <v>4.0979000000000001</v>
      </c>
      <c r="H57" s="59">
        <v>-1.1715</v>
      </c>
      <c r="I57" s="60">
        <v>-51.8</v>
      </c>
      <c r="J57" s="61">
        <v>28</v>
      </c>
      <c r="K57" s="66">
        <v>-8.65</v>
      </c>
      <c r="L57" s="60"/>
      <c r="M57" s="94"/>
      <c r="N57" s="95"/>
      <c r="O57" s="203"/>
      <c r="P57" s="191" t="s">
        <v>129</v>
      </c>
    </row>
    <row r="58" spans="1:16" ht="13.5" thickBot="1">
      <c r="A58" s="34" t="str">
        <f t="shared" ref="A58:A59" si="3">IF(B58="","",RIGHT(TEXT(B58,"#.000"),2))</f>
        <v>42</v>
      </c>
      <c r="B58" s="638">
        <v>3.1419999999999999</v>
      </c>
      <c r="C58" s="639" t="s">
        <v>10</v>
      </c>
      <c r="D58" s="30">
        <f>B58+0.0001</f>
        <v>3.1421000000000001</v>
      </c>
      <c r="E58" s="31">
        <v>3</v>
      </c>
      <c r="F58" s="96"/>
      <c r="G58" s="97"/>
      <c r="H58" s="98"/>
      <c r="I58" s="99"/>
      <c r="J58" s="100"/>
      <c r="K58" s="104">
        <f>N58</f>
        <v>-2.0499999999999998</v>
      </c>
      <c r="L58" s="99">
        <v>-2.0499999999999998</v>
      </c>
      <c r="M58" s="105">
        <f>G59*SIN(RADIANS(L58))</f>
        <v>-0.14920341169303314</v>
      </c>
      <c r="N58" s="106">
        <f>DEGREES(ASIN((M58+O58)/G59))</f>
        <v>-2.0499999999999998</v>
      </c>
      <c r="O58" s="217">
        <v>0</v>
      </c>
      <c r="P58" s="190" t="s">
        <v>170</v>
      </c>
    </row>
    <row r="59" spans="1:16" ht="14.25" thickTop="1" thickBot="1">
      <c r="A59" s="34" t="str">
        <f t="shared" si="3"/>
        <v/>
      </c>
      <c r="B59" s="638"/>
      <c r="C59" s="639"/>
      <c r="D59" s="30">
        <f>D58+0.0001</f>
        <v>3.1422000000000003</v>
      </c>
      <c r="E59" s="31">
        <f>D58</f>
        <v>3.1421000000000001</v>
      </c>
      <c r="F59" s="96"/>
      <c r="G59" s="97">
        <v>4.1710000000000003</v>
      </c>
      <c r="H59" s="98">
        <v>-1.7776000000000001</v>
      </c>
      <c r="I59" s="99">
        <v>-65</v>
      </c>
      <c r="J59" s="100">
        <v>30</v>
      </c>
      <c r="K59" s="101">
        <v>-8.9600000000000009</v>
      </c>
      <c r="L59" s="99"/>
      <c r="M59" s="102"/>
      <c r="N59" s="103"/>
      <c r="O59" s="217"/>
      <c r="P59" s="191" t="s">
        <v>130</v>
      </c>
    </row>
    <row r="60" spans="1:16" ht="13.5" thickBot="1">
      <c r="A60" s="34" t="str">
        <f t="shared" si="0"/>
        <v>17</v>
      </c>
      <c r="B60" s="641">
        <v>4.117</v>
      </c>
      <c r="C60" s="646" t="s">
        <v>110</v>
      </c>
      <c r="D60" s="192">
        <f>B60+0.0001</f>
        <v>4.1170999999999998</v>
      </c>
      <c r="E60" s="193">
        <v>4</v>
      </c>
      <c r="F60" s="194"/>
      <c r="G60" s="195"/>
      <c r="H60" s="196"/>
      <c r="I60" s="197"/>
      <c r="J60" s="198"/>
      <c r="K60" s="199">
        <f>N60</f>
        <v>-0.19000000000000003</v>
      </c>
      <c r="L60" s="197">
        <v>-0.19</v>
      </c>
      <c r="M60" s="218">
        <f>G61*SIN(RADIANS(L60))</f>
        <v>-9.168407196528023E-3</v>
      </c>
      <c r="N60" s="219">
        <f>DEGREES(ASIN((M60+O60)/G61))</f>
        <v>-0.19000000000000003</v>
      </c>
      <c r="O60" s="220">
        <v>0</v>
      </c>
      <c r="P60" s="190" t="s">
        <v>163</v>
      </c>
    </row>
    <row r="61" spans="1:16" ht="13.5" thickTop="1">
      <c r="A61" s="34" t="str">
        <f t="shared" si="0"/>
        <v/>
      </c>
      <c r="B61" s="640"/>
      <c r="C61" s="627"/>
      <c r="D61" s="28">
        <f>D60+0.0001</f>
        <v>4.1171999999999995</v>
      </c>
      <c r="E61" s="29">
        <f>D60</f>
        <v>4.1170999999999998</v>
      </c>
      <c r="F61" s="57"/>
      <c r="G61" s="58">
        <v>2.7648000000000001</v>
      </c>
      <c r="H61" s="59">
        <v>-4.7800000000000002E-2</v>
      </c>
      <c r="I61" s="60">
        <v>-5.9</v>
      </c>
      <c r="J61" s="61">
        <v>20</v>
      </c>
      <c r="K61" s="66">
        <v>-3.15</v>
      </c>
      <c r="L61" s="60"/>
      <c r="M61" s="67"/>
      <c r="N61" s="68"/>
      <c r="O61" s="221"/>
      <c r="P61" s="191" t="s">
        <v>131</v>
      </c>
    </row>
    <row r="62" spans="1:16" ht="13.5" thickBot="1">
      <c r="A62" s="34" t="str">
        <f t="shared" si="0"/>
        <v>23</v>
      </c>
      <c r="B62" s="642">
        <v>4.1230000000000002</v>
      </c>
      <c r="C62" s="644" t="s">
        <v>110</v>
      </c>
      <c r="D62" s="107">
        <f>B62+0.0001</f>
        <v>4.1231</v>
      </c>
      <c r="E62" s="108">
        <v>4</v>
      </c>
      <c r="F62" s="109"/>
      <c r="G62" s="110"/>
      <c r="H62" s="111"/>
      <c r="I62" s="112"/>
      <c r="J62" s="113"/>
      <c r="K62" s="114">
        <f>N62</f>
        <v>-0.77</v>
      </c>
      <c r="L62" s="112">
        <v>-0.77</v>
      </c>
      <c r="M62" s="115">
        <f>G63*SIN(RADIANS(L62))</f>
        <v>-4.4570562618998492E-2</v>
      </c>
      <c r="N62" s="116">
        <f>DEGREES(ASIN((M62+O62)/G63))</f>
        <v>-0.77</v>
      </c>
      <c r="O62" s="222">
        <v>0</v>
      </c>
      <c r="P62" s="190" t="s">
        <v>176</v>
      </c>
    </row>
    <row r="63" spans="1:16" ht="13.5" thickTop="1">
      <c r="A63" s="34" t="str">
        <f t="shared" si="0"/>
        <v/>
      </c>
      <c r="B63" s="643"/>
      <c r="C63" s="645"/>
      <c r="D63" s="117">
        <f>D62+0.0001</f>
        <v>4.1231999999999998</v>
      </c>
      <c r="E63" s="118">
        <f>D62</f>
        <v>4.1231</v>
      </c>
      <c r="F63" s="119"/>
      <c r="G63" s="120">
        <v>3.3166000000000002</v>
      </c>
      <c r="H63" s="121">
        <v>-0.23580000000000001</v>
      </c>
      <c r="I63" s="122">
        <v>-20.5</v>
      </c>
      <c r="J63" s="123">
        <v>21</v>
      </c>
      <c r="K63" s="124">
        <v>-5.42</v>
      </c>
      <c r="L63" s="122"/>
      <c r="M63" s="125"/>
      <c r="N63" s="126"/>
      <c r="O63" s="223"/>
      <c r="P63" s="191" t="s">
        <v>132</v>
      </c>
    </row>
    <row r="64" spans="1:16" ht="13.5" thickBot="1">
      <c r="A64" s="34" t="str">
        <f t="shared" si="0"/>
        <v>29</v>
      </c>
      <c r="B64" s="640">
        <v>4.1289999999999996</v>
      </c>
      <c r="C64" s="626" t="s">
        <v>110</v>
      </c>
      <c r="D64" s="28">
        <f>B64+0.0001</f>
        <v>4.1290999999999993</v>
      </c>
      <c r="E64" s="29">
        <v>4</v>
      </c>
      <c r="F64" s="57"/>
      <c r="G64" s="58"/>
      <c r="H64" s="59"/>
      <c r="I64" s="60"/>
      <c r="J64" s="61"/>
      <c r="K64" s="62">
        <f>N64</f>
        <v>-1.4</v>
      </c>
      <c r="L64" s="60">
        <v>-1.4</v>
      </c>
      <c r="M64" s="63">
        <f>G65*SIN(RADIANS(L64))</f>
        <v>-9.1965161784401728E-2</v>
      </c>
      <c r="N64" s="64">
        <f>DEGREES(ASIN((M64+O64)/G65))</f>
        <v>-1.4</v>
      </c>
      <c r="O64" s="221">
        <v>0</v>
      </c>
      <c r="P64" s="190" t="s">
        <v>177</v>
      </c>
    </row>
    <row r="65" spans="1:16" ht="13.5" thickTop="1">
      <c r="A65" s="34" t="str">
        <f t="shared" si="0"/>
        <v/>
      </c>
      <c r="B65" s="640"/>
      <c r="C65" s="627"/>
      <c r="D65" s="28">
        <f>D64+0.0001</f>
        <v>4.1291999999999991</v>
      </c>
      <c r="E65" s="29">
        <f>D64</f>
        <v>4.1290999999999993</v>
      </c>
      <c r="F65" s="57"/>
      <c r="G65" s="58">
        <v>3.7641</v>
      </c>
      <c r="H65" s="59">
        <v>-0.59319999999999995</v>
      </c>
      <c r="I65" s="60">
        <v>-35</v>
      </c>
      <c r="J65" s="61">
        <v>24</v>
      </c>
      <c r="K65" s="66">
        <v>-7.27</v>
      </c>
      <c r="L65" s="60"/>
      <c r="M65" s="67"/>
      <c r="N65" s="68"/>
      <c r="O65" s="221"/>
      <c r="P65" s="191" t="s">
        <v>133</v>
      </c>
    </row>
    <row r="66" spans="1:16" ht="13.5" thickBot="1">
      <c r="A66" s="34" t="str">
        <f t="shared" si="0"/>
        <v>35</v>
      </c>
      <c r="B66" s="642">
        <v>4.1349999999999998</v>
      </c>
      <c r="C66" s="644" t="s">
        <v>110</v>
      </c>
      <c r="D66" s="107">
        <f>B66+0.0001</f>
        <v>4.1350999999999996</v>
      </c>
      <c r="E66" s="108">
        <v>4</v>
      </c>
      <c r="F66" s="109"/>
      <c r="G66" s="110"/>
      <c r="H66" s="111"/>
      <c r="I66" s="112"/>
      <c r="J66" s="113"/>
      <c r="K66" s="114">
        <f>N66</f>
        <v>-1.88</v>
      </c>
      <c r="L66" s="112">
        <v>-1.88</v>
      </c>
      <c r="M66" s="115">
        <f>G67*SIN(RADIANS(L66))</f>
        <v>-0.13333465499113534</v>
      </c>
      <c r="N66" s="116">
        <f>DEGREES(ASIN((M66+O66)/G67))</f>
        <v>-1.88</v>
      </c>
      <c r="O66" s="222">
        <v>0</v>
      </c>
      <c r="P66" s="190" t="s">
        <v>154</v>
      </c>
    </row>
    <row r="67" spans="1:16" ht="13.5" thickTop="1">
      <c r="A67" s="34" t="str">
        <f t="shared" si="0"/>
        <v/>
      </c>
      <c r="B67" s="643"/>
      <c r="C67" s="645"/>
      <c r="D67" s="117">
        <f>D66+0.0001</f>
        <v>4.1351999999999993</v>
      </c>
      <c r="E67" s="118">
        <f>D66</f>
        <v>4.1350999999999996</v>
      </c>
      <c r="F67" s="119"/>
      <c r="G67" s="120">
        <v>4.0643000000000002</v>
      </c>
      <c r="H67" s="121">
        <v>-1.0811999999999999</v>
      </c>
      <c r="I67" s="122">
        <v>-49.4</v>
      </c>
      <c r="J67" s="123">
        <v>27</v>
      </c>
      <c r="K67" s="124">
        <v>-8.52</v>
      </c>
      <c r="L67" s="122"/>
      <c r="M67" s="125"/>
      <c r="N67" s="126"/>
      <c r="O67" s="223"/>
      <c r="P67" s="191" t="s">
        <v>134</v>
      </c>
    </row>
    <row r="68" spans="1:16" ht="13.5" thickBot="1">
      <c r="A68" s="34" t="str">
        <f t="shared" si="0"/>
        <v>41</v>
      </c>
      <c r="B68" s="640">
        <v>4.141</v>
      </c>
      <c r="C68" s="627" t="s">
        <v>10</v>
      </c>
      <c r="D68" s="28">
        <f>B68+0.0001</f>
        <v>4.1410999999999998</v>
      </c>
      <c r="E68" s="29">
        <v>4</v>
      </c>
      <c r="F68" s="57"/>
      <c r="G68" s="58"/>
      <c r="H68" s="59"/>
      <c r="I68" s="60"/>
      <c r="J68" s="61"/>
      <c r="K68" s="62">
        <f>N68</f>
        <v>-2.0499999999999998</v>
      </c>
      <c r="L68" s="60">
        <v>-2.0499999999999998</v>
      </c>
      <c r="M68" s="63">
        <f>G69*SIN(RADIANS(L68))</f>
        <v>-0.14920341169303314</v>
      </c>
      <c r="N68" s="64">
        <f>DEGREES(ASIN((M68+O68)/G69))</f>
        <v>-2.0499999999999998</v>
      </c>
      <c r="O68" s="221">
        <v>0</v>
      </c>
      <c r="P68" s="190" t="s">
        <v>161</v>
      </c>
    </row>
    <row r="69" spans="1:16" ht="14.25" thickTop="1" thickBot="1">
      <c r="A69" s="34" t="str">
        <f t="shared" si="0"/>
        <v/>
      </c>
      <c r="B69" s="640"/>
      <c r="C69" s="627"/>
      <c r="D69" s="28">
        <f>D68+0.0001</f>
        <v>4.1411999999999995</v>
      </c>
      <c r="E69" s="29">
        <f>D68</f>
        <v>4.1410999999999998</v>
      </c>
      <c r="F69" s="57"/>
      <c r="G69" s="58">
        <v>4.1710000000000003</v>
      </c>
      <c r="H69" s="59">
        <v>-1.6889000000000001</v>
      </c>
      <c r="I69" s="60">
        <v>-65</v>
      </c>
      <c r="J69" s="61">
        <v>30</v>
      </c>
      <c r="K69" s="66">
        <v>-8.9600000000000009</v>
      </c>
      <c r="L69" s="60"/>
      <c r="M69" s="67"/>
      <c r="N69" s="68"/>
      <c r="O69" s="221"/>
      <c r="P69" s="191" t="s">
        <v>135</v>
      </c>
    </row>
    <row r="70" spans="1:16" ht="13.5" thickBot="1">
      <c r="A70" s="34" t="str">
        <f t="shared" ref="A70:A85" si="4">IF(B70="","",RIGHT(TEXT(B70,"#.000"),2))</f>
        <v>02</v>
      </c>
      <c r="B70" s="641">
        <v>5.1020000000000003</v>
      </c>
      <c r="C70" s="646" t="s">
        <v>110</v>
      </c>
      <c r="D70" s="192">
        <f>B70+0.0001</f>
        <v>5.1021000000000001</v>
      </c>
      <c r="E70" s="193">
        <v>5</v>
      </c>
      <c r="F70" s="194"/>
      <c r="G70" s="195"/>
      <c r="H70" s="196"/>
      <c r="I70" s="197"/>
      <c r="J70" s="198"/>
      <c r="K70" s="199">
        <f>N70</f>
        <v>0</v>
      </c>
      <c r="L70" s="197">
        <v>0</v>
      </c>
      <c r="M70" s="218">
        <f>G71*SIN(RADIANS(L70))</f>
        <v>0</v>
      </c>
      <c r="N70" s="219">
        <f>DEGREES(ASIN((M70+O70)/G71))</f>
        <v>0</v>
      </c>
      <c r="O70" s="220">
        <v>0</v>
      </c>
      <c r="P70" s="190" t="s">
        <v>164</v>
      </c>
    </row>
    <row r="71" spans="1:16" ht="13.5" thickTop="1">
      <c r="A71" s="34" t="str">
        <f t="shared" si="4"/>
        <v/>
      </c>
      <c r="B71" s="640"/>
      <c r="C71" s="627"/>
      <c r="D71" s="28">
        <f>D70+0.0001</f>
        <v>5.1021999999999998</v>
      </c>
      <c r="E71" s="29">
        <f>D70</f>
        <v>5.1021000000000001</v>
      </c>
      <c r="F71" s="57"/>
      <c r="G71" s="58">
        <v>0.434</v>
      </c>
      <c r="H71" s="59">
        <v>-0.28560000000000002</v>
      </c>
      <c r="I71" s="60">
        <v>7.5</v>
      </c>
      <c r="J71" s="61">
        <v>20</v>
      </c>
      <c r="K71" s="66">
        <v>0</v>
      </c>
      <c r="L71" s="60"/>
      <c r="M71" s="67"/>
      <c r="N71" s="68"/>
      <c r="O71" s="221"/>
      <c r="P71" s="191" t="s">
        <v>136</v>
      </c>
    </row>
    <row r="72" spans="1:16" ht="13.5" thickBot="1">
      <c r="A72" s="34" t="str">
        <f t="shared" si="4"/>
        <v>05</v>
      </c>
      <c r="B72" s="712">
        <v>5.1050000000000004</v>
      </c>
      <c r="C72" s="713" t="s">
        <v>110</v>
      </c>
      <c r="D72" s="553">
        <f>B72+0.0001</f>
        <v>5.1051000000000002</v>
      </c>
      <c r="E72" s="554">
        <v>5</v>
      </c>
      <c r="F72" s="555"/>
      <c r="G72" s="556"/>
      <c r="H72" s="557"/>
      <c r="I72" s="558"/>
      <c r="J72" s="559"/>
      <c r="K72" s="560">
        <f>N72</f>
        <v>0</v>
      </c>
      <c r="L72" s="558">
        <v>0</v>
      </c>
      <c r="M72" s="561">
        <f>G73*SIN(RADIANS(L72))</f>
        <v>0</v>
      </c>
      <c r="N72" s="562">
        <f>DEGREES(ASIN((M72+O72)/G73))</f>
        <v>0</v>
      </c>
      <c r="O72" s="563">
        <v>0</v>
      </c>
      <c r="P72" s="190" t="s">
        <v>111</v>
      </c>
    </row>
    <row r="73" spans="1:16" ht="13.5" thickTop="1">
      <c r="A73" s="34" t="str">
        <f t="shared" si="4"/>
        <v/>
      </c>
      <c r="B73" s="687"/>
      <c r="C73" s="689"/>
      <c r="D73" s="127">
        <f>D72+0.0001</f>
        <v>5.1052</v>
      </c>
      <c r="E73" s="128">
        <f>D72</f>
        <v>5.1051000000000002</v>
      </c>
      <c r="F73" s="129"/>
      <c r="G73" s="130">
        <v>0.99019999999999997</v>
      </c>
      <c r="H73" s="131">
        <v>-0.21240000000000001</v>
      </c>
      <c r="I73" s="132">
        <v>7.5</v>
      </c>
      <c r="J73" s="133">
        <v>20</v>
      </c>
      <c r="K73" s="134">
        <v>0</v>
      </c>
      <c r="L73" s="132"/>
      <c r="M73" s="135"/>
      <c r="N73" s="136"/>
      <c r="O73" s="235"/>
      <c r="P73" s="191" t="s">
        <v>137</v>
      </c>
    </row>
    <row r="74" spans="1:16" ht="13.5" thickBot="1">
      <c r="A74" s="34" t="str">
        <f t="shared" si="4"/>
        <v>08</v>
      </c>
      <c r="B74" s="640">
        <v>5.1079999999999997</v>
      </c>
      <c r="C74" s="626" t="s">
        <v>110</v>
      </c>
      <c r="D74" s="28">
        <f>B74+0.0001</f>
        <v>5.1080999999999994</v>
      </c>
      <c r="E74" s="29">
        <v>5</v>
      </c>
      <c r="F74" s="57"/>
      <c r="G74" s="58"/>
      <c r="H74" s="59"/>
      <c r="I74" s="60"/>
      <c r="J74" s="61"/>
      <c r="K74" s="62">
        <f>N74</f>
        <v>0</v>
      </c>
      <c r="L74" s="60">
        <v>0</v>
      </c>
      <c r="M74" s="63">
        <f>G75*SIN(RADIANS(L74))</f>
        <v>0</v>
      </c>
      <c r="N74" s="64">
        <f>DEGREES(ASIN((M74+O74)/G75))</f>
        <v>0</v>
      </c>
      <c r="O74" s="221">
        <v>0</v>
      </c>
      <c r="P74" s="190" t="s">
        <v>111</v>
      </c>
    </row>
    <row r="75" spans="1:16" ht="13.5" thickTop="1">
      <c r="A75" s="34" t="str">
        <f t="shared" si="4"/>
        <v/>
      </c>
      <c r="B75" s="640"/>
      <c r="C75" s="627"/>
      <c r="D75" s="28">
        <f>D74+0.0001</f>
        <v>5.1081999999999992</v>
      </c>
      <c r="E75" s="29">
        <f>D74</f>
        <v>5.1080999999999994</v>
      </c>
      <c r="F75" s="57"/>
      <c r="G75" s="58">
        <v>1.5464</v>
      </c>
      <c r="H75" s="59">
        <v>-0.13919999999999999</v>
      </c>
      <c r="I75" s="60">
        <v>7.5</v>
      </c>
      <c r="J75" s="61">
        <v>20</v>
      </c>
      <c r="K75" s="66">
        <v>0</v>
      </c>
      <c r="L75" s="60"/>
      <c r="M75" s="67"/>
      <c r="N75" s="68"/>
      <c r="O75" s="221"/>
      <c r="P75" s="191" t="s">
        <v>138</v>
      </c>
    </row>
    <row r="76" spans="1:16" ht="13.5" thickBot="1">
      <c r="A76" s="34" t="str">
        <f t="shared" si="4"/>
        <v>11</v>
      </c>
      <c r="B76" s="712">
        <v>5.1109999999999998</v>
      </c>
      <c r="C76" s="713" t="s">
        <v>110</v>
      </c>
      <c r="D76" s="553">
        <f>B76+0.0001</f>
        <v>5.1110999999999995</v>
      </c>
      <c r="E76" s="554">
        <v>5</v>
      </c>
      <c r="F76" s="555"/>
      <c r="G76" s="556"/>
      <c r="H76" s="557"/>
      <c r="I76" s="558"/>
      <c r="J76" s="559"/>
      <c r="K76" s="560">
        <f>N76</f>
        <v>0</v>
      </c>
      <c r="L76" s="558">
        <v>0</v>
      </c>
      <c r="M76" s="561">
        <f>G77*SIN(RADIANS(L76))</f>
        <v>0</v>
      </c>
      <c r="N76" s="562">
        <f>DEGREES(ASIN((M76+O76)/G77))</f>
        <v>0</v>
      </c>
      <c r="O76" s="563">
        <v>0</v>
      </c>
      <c r="P76" s="190" t="s">
        <v>159</v>
      </c>
    </row>
    <row r="77" spans="1:16" ht="13.5" thickTop="1">
      <c r="A77" s="34" t="str">
        <f t="shared" si="4"/>
        <v/>
      </c>
      <c r="B77" s="687"/>
      <c r="C77" s="689"/>
      <c r="D77" s="127">
        <f>D76+0.0001</f>
        <v>5.1111999999999993</v>
      </c>
      <c r="E77" s="128">
        <f>D76</f>
        <v>5.1110999999999995</v>
      </c>
      <c r="F77" s="129"/>
      <c r="G77" s="130">
        <v>2.1025</v>
      </c>
      <c r="H77" s="131">
        <v>-6.6000000000000003E-2</v>
      </c>
      <c r="I77" s="132">
        <v>5</v>
      </c>
      <c r="J77" s="133">
        <v>20</v>
      </c>
      <c r="K77" s="134">
        <v>0</v>
      </c>
      <c r="L77" s="132"/>
      <c r="M77" s="135"/>
      <c r="N77" s="136"/>
      <c r="O77" s="235"/>
      <c r="P77" s="191" t="s">
        <v>139</v>
      </c>
    </row>
    <row r="78" spans="1:16" ht="13.5" thickBot="1">
      <c r="A78" s="34" t="str">
        <f t="shared" si="4"/>
        <v>16</v>
      </c>
      <c r="B78" s="640">
        <v>5.1159999999999997</v>
      </c>
      <c r="C78" s="627" t="s">
        <v>110</v>
      </c>
      <c r="D78" s="28">
        <f>B78+0.0001</f>
        <v>5.1160999999999994</v>
      </c>
      <c r="E78" s="29">
        <v>5</v>
      </c>
      <c r="F78" s="57"/>
      <c r="G78" s="58"/>
      <c r="H78" s="59"/>
      <c r="I78" s="60"/>
      <c r="J78" s="61"/>
      <c r="K78" s="62">
        <f>N78</f>
        <v>-0.11000000000000001</v>
      </c>
      <c r="L78" s="60">
        <v>-0.11</v>
      </c>
      <c r="M78" s="63">
        <f>G79*SIN(RADIANS(L78))</f>
        <v>-5.1193093506336912E-3</v>
      </c>
      <c r="N78" s="64">
        <f>DEGREES(ASIN((M78+O78)/G79))</f>
        <v>-0.11000000000000001</v>
      </c>
      <c r="O78" s="221">
        <v>0</v>
      </c>
      <c r="P78" s="190" t="s">
        <v>160</v>
      </c>
    </row>
    <row r="79" spans="1:16" ht="13.5" thickTop="1">
      <c r="A79" s="34" t="str">
        <f t="shared" si="4"/>
        <v/>
      </c>
      <c r="B79" s="640"/>
      <c r="C79" s="627"/>
      <c r="D79" s="28">
        <f>D78+0.0001</f>
        <v>5.1161999999999992</v>
      </c>
      <c r="E79" s="29">
        <f>D78</f>
        <v>5.1160999999999994</v>
      </c>
      <c r="F79" s="57"/>
      <c r="G79" s="58">
        <v>2.6665000000000001</v>
      </c>
      <c r="H79" s="59">
        <v>-3.5200000000000002E-2</v>
      </c>
      <c r="I79" s="60">
        <v>-3.4</v>
      </c>
      <c r="J79" s="61">
        <v>20</v>
      </c>
      <c r="K79" s="66">
        <v>-2.75</v>
      </c>
      <c r="L79" s="60"/>
      <c r="M79" s="67"/>
      <c r="N79" s="68"/>
      <c r="O79" s="221"/>
      <c r="P79" s="191" t="s">
        <v>140</v>
      </c>
    </row>
    <row r="80" spans="1:16" ht="13.5" thickBot="1">
      <c r="A80" s="34" t="str">
        <f t="shared" si="4"/>
        <v>22</v>
      </c>
      <c r="B80" s="712">
        <v>5.1219999999999999</v>
      </c>
      <c r="C80" s="715" t="s">
        <v>110</v>
      </c>
      <c r="D80" s="553">
        <f>B80+0.0001</f>
        <v>5.1220999999999997</v>
      </c>
      <c r="E80" s="554">
        <v>5</v>
      </c>
      <c r="F80" s="555"/>
      <c r="G80" s="556"/>
      <c r="H80" s="557"/>
      <c r="I80" s="558"/>
      <c r="J80" s="559"/>
      <c r="K80" s="560">
        <f>N80</f>
        <v>-0.66999999999999993</v>
      </c>
      <c r="L80" s="558">
        <v>-0.67</v>
      </c>
      <c r="M80" s="561">
        <f>G81*SIN(RADIANS(L80))</f>
        <v>-3.7783841664727057E-2</v>
      </c>
      <c r="N80" s="562">
        <f>DEGREES(ASIN((M80+O80)/G81))</f>
        <v>-0.66999999999999993</v>
      </c>
      <c r="O80" s="563">
        <v>0</v>
      </c>
      <c r="P80" s="190" t="s">
        <v>178</v>
      </c>
    </row>
    <row r="81" spans="1:34" ht="13.5" thickTop="1">
      <c r="A81" s="34" t="str">
        <f t="shared" si="4"/>
        <v/>
      </c>
      <c r="B81" s="714"/>
      <c r="C81" s="689"/>
      <c r="D81" s="485">
        <f>D80+0.0001</f>
        <v>5.1221999999999994</v>
      </c>
      <c r="E81" s="486">
        <f>D80</f>
        <v>5.1220999999999997</v>
      </c>
      <c r="F81" s="487"/>
      <c r="G81" s="488">
        <v>3.2311999999999999</v>
      </c>
      <c r="H81" s="489">
        <v>-0.1913</v>
      </c>
      <c r="I81" s="490">
        <v>-18.100000000000001</v>
      </c>
      <c r="J81" s="491">
        <v>21</v>
      </c>
      <c r="K81" s="492">
        <v>-5.07</v>
      </c>
      <c r="L81" s="490"/>
      <c r="M81" s="493"/>
      <c r="N81" s="494"/>
      <c r="O81" s="564"/>
      <c r="P81" s="191" t="s">
        <v>141</v>
      </c>
    </row>
    <row r="82" spans="1:34" ht="13.5" thickBot="1">
      <c r="A82" s="34" t="str">
        <f t="shared" si="4"/>
        <v>28</v>
      </c>
      <c r="B82" s="640">
        <v>5.1280000000000001</v>
      </c>
      <c r="C82" s="627" t="s">
        <v>110</v>
      </c>
      <c r="D82" s="28">
        <f>B82+0.0001</f>
        <v>5.1280999999999999</v>
      </c>
      <c r="E82" s="29">
        <v>5</v>
      </c>
      <c r="F82" s="57"/>
      <c r="G82" s="58"/>
      <c r="H82" s="59"/>
      <c r="I82" s="60"/>
      <c r="J82" s="61"/>
      <c r="K82" s="62">
        <f>N82</f>
        <v>-1.3100000000000003</v>
      </c>
      <c r="L82" s="60">
        <v>-1.31</v>
      </c>
      <c r="M82" s="63">
        <f>G83*SIN(RADIANS(L82))</f>
        <v>-8.4572735270217331E-2</v>
      </c>
      <c r="N82" s="64">
        <f>DEGREES(ASIN((M82+O82)/G83))</f>
        <v>-1.3100000000000003</v>
      </c>
      <c r="O82" s="221">
        <v>0</v>
      </c>
      <c r="P82" s="190" t="s">
        <v>177</v>
      </c>
    </row>
    <row r="83" spans="1:34" ht="13.5" thickTop="1">
      <c r="A83" s="34" t="str">
        <f t="shared" si="4"/>
        <v/>
      </c>
      <c r="B83" s="640"/>
      <c r="C83" s="627"/>
      <c r="D83" s="28">
        <f>D82+0.0001</f>
        <v>5.1281999999999996</v>
      </c>
      <c r="E83" s="29">
        <f>D82</f>
        <v>5.1280999999999999</v>
      </c>
      <c r="F83" s="57"/>
      <c r="G83" s="58">
        <v>3.6993</v>
      </c>
      <c r="H83" s="59">
        <v>-0.52290000000000003</v>
      </c>
      <c r="I83" s="60">
        <v>-32.6</v>
      </c>
      <c r="J83" s="61">
        <v>24</v>
      </c>
      <c r="K83" s="66">
        <v>-7</v>
      </c>
      <c r="L83" s="60"/>
      <c r="M83" s="67"/>
      <c r="N83" s="68"/>
      <c r="O83" s="221"/>
      <c r="P83" s="191" t="s">
        <v>142</v>
      </c>
    </row>
    <row r="84" spans="1:34" ht="13.5" thickBot="1">
      <c r="A84" s="34" t="str">
        <f t="shared" si="4"/>
        <v>34</v>
      </c>
      <c r="B84" s="687">
        <v>5.1340000000000003</v>
      </c>
      <c r="C84" s="689" t="s">
        <v>110</v>
      </c>
      <c r="D84" s="127">
        <f>B84+0.0001</f>
        <v>5.1341000000000001</v>
      </c>
      <c r="E84" s="128">
        <v>5</v>
      </c>
      <c r="F84" s="129"/>
      <c r="G84" s="130"/>
      <c r="H84" s="131"/>
      <c r="I84" s="132"/>
      <c r="J84" s="133"/>
      <c r="K84" s="137">
        <f>N84</f>
        <v>-1.8099999999999998</v>
      </c>
      <c r="L84" s="132">
        <v>-1.81</v>
      </c>
      <c r="M84" s="138">
        <f>G85*SIN(RADIANS(L84))</f>
        <v>-0.12719993919721406</v>
      </c>
      <c r="N84" s="139">
        <f>DEGREES(ASIN((M84+O84)/G85))</f>
        <v>-1.8099999999999998</v>
      </c>
      <c r="O84" s="235">
        <v>0</v>
      </c>
      <c r="P84" s="190" t="s">
        <v>179</v>
      </c>
    </row>
    <row r="85" spans="1:34" ht="13.5" thickTop="1">
      <c r="A85" s="34" t="str">
        <f t="shared" si="4"/>
        <v/>
      </c>
      <c r="B85" s="687"/>
      <c r="C85" s="689"/>
      <c r="D85" s="127">
        <f>D84+0.0001</f>
        <v>5.1341999999999999</v>
      </c>
      <c r="E85" s="128">
        <f>D84</f>
        <v>5.1341000000000001</v>
      </c>
      <c r="F85" s="129"/>
      <c r="G85" s="130">
        <v>4.0271999999999997</v>
      </c>
      <c r="H85" s="131">
        <v>-0.99219999999999997</v>
      </c>
      <c r="I85" s="132">
        <v>-47</v>
      </c>
      <c r="J85" s="133">
        <v>27</v>
      </c>
      <c r="K85" s="134">
        <v>-8.36</v>
      </c>
      <c r="L85" s="132"/>
      <c r="M85" s="135"/>
      <c r="N85" s="136"/>
      <c r="O85" s="235"/>
      <c r="P85" s="191" t="s">
        <v>148</v>
      </c>
    </row>
    <row r="86" spans="1:34" ht="13.5" thickBot="1">
      <c r="A86" s="34" t="str">
        <f t="shared" ref="A86:A87" si="5">IF(B86="","",RIGHT(TEXT(B86,"#.000"),2))</f>
        <v>40</v>
      </c>
      <c r="B86" s="716">
        <v>5.14</v>
      </c>
      <c r="C86" s="717" t="s">
        <v>10</v>
      </c>
      <c r="D86" s="393">
        <f>B86+0.0001</f>
        <v>5.1400999999999994</v>
      </c>
      <c r="E86" s="394">
        <v>5</v>
      </c>
      <c r="F86" s="395"/>
      <c r="G86" s="396"/>
      <c r="H86" s="397"/>
      <c r="I86" s="398"/>
      <c r="J86" s="399"/>
      <c r="K86" s="400">
        <f>N86</f>
        <v>-2.0499999999999998</v>
      </c>
      <c r="L86" s="398">
        <v>-2.0499999999999998</v>
      </c>
      <c r="M86" s="590">
        <f>G87*SIN(RADIANS(L86))</f>
        <v>-0.14920341169303314</v>
      </c>
      <c r="N86" s="591">
        <f>DEGREES(ASIN((M86+O86)/G87))</f>
        <v>-2.0499999999999998</v>
      </c>
      <c r="O86" s="592">
        <v>0</v>
      </c>
      <c r="P86" s="190" t="s">
        <v>180</v>
      </c>
    </row>
    <row r="87" spans="1:34" ht="14.25" thickTop="1" thickBot="1">
      <c r="A87" s="34" t="str">
        <f t="shared" si="5"/>
        <v/>
      </c>
      <c r="B87" s="640"/>
      <c r="C87" s="627"/>
      <c r="D87" s="28">
        <f>D86+0.0001</f>
        <v>5.1401999999999992</v>
      </c>
      <c r="E87" s="29">
        <f>D86</f>
        <v>5.1400999999999994</v>
      </c>
      <c r="F87" s="57"/>
      <c r="G87" s="58">
        <v>4.1710000000000003</v>
      </c>
      <c r="H87" s="59">
        <v>-1.603</v>
      </c>
      <c r="I87" s="60">
        <v>-65</v>
      </c>
      <c r="J87" s="61">
        <v>30</v>
      </c>
      <c r="K87" s="66">
        <v>-8.9600000000000009</v>
      </c>
      <c r="L87" s="60"/>
      <c r="M87" s="67"/>
      <c r="N87" s="68"/>
      <c r="O87" s="221"/>
      <c r="P87" s="191" t="s">
        <v>149</v>
      </c>
    </row>
    <row r="88" spans="1:34" ht="13.5" thickBot="1">
      <c r="A88" s="34" t="str">
        <f t="shared" si="0"/>
        <v>15</v>
      </c>
      <c r="B88" s="710">
        <v>6.1150000000000002</v>
      </c>
      <c r="C88" s="711" t="s">
        <v>110</v>
      </c>
      <c r="D88" s="565">
        <f>B88+0.0001</f>
        <v>6.1151</v>
      </c>
      <c r="E88" s="566">
        <v>6</v>
      </c>
      <c r="F88" s="567"/>
      <c r="G88" s="568"/>
      <c r="H88" s="569"/>
      <c r="I88" s="570"/>
      <c r="J88" s="571"/>
      <c r="K88" s="572">
        <f>N88</f>
        <v>-0.05</v>
      </c>
      <c r="L88" s="570">
        <v>-0.05</v>
      </c>
      <c r="M88" s="573">
        <f>G89*SIN(RADIANS(L88))</f>
        <v>-2.2406534093177702E-3</v>
      </c>
      <c r="N88" s="574">
        <f>DEGREES(ASIN((M88+O88)/G89))</f>
        <v>-0.05</v>
      </c>
      <c r="O88" s="575">
        <v>0</v>
      </c>
      <c r="P88" s="190" t="s">
        <v>165</v>
      </c>
    </row>
    <row r="89" spans="1:34" ht="13.5" thickTop="1">
      <c r="A89" s="34" t="str">
        <f t="shared" si="0"/>
        <v/>
      </c>
      <c r="B89" s="622"/>
      <c r="C89" s="624"/>
      <c r="D89" s="576">
        <f>D88+0.0001</f>
        <v>6.1151999999999997</v>
      </c>
      <c r="E89" s="577">
        <f>D88</f>
        <v>6.1151</v>
      </c>
      <c r="F89" s="578"/>
      <c r="G89" s="579">
        <v>2.5676000000000001</v>
      </c>
      <c r="H89" s="580">
        <v>-2.8500000000000001E-2</v>
      </c>
      <c r="I89" s="581">
        <v>-0.9</v>
      </c>
      <c r="J89" s="582">
        <v>20</v>
      </c>
      <c r="K89" s="583">
        <v>-2.34</v>
      </c>
      <c r="L89" s="581"/>
      <c r="M89" s="584"/>
      <c r="N89" s="585"/>
      <c r="O89" s="586"/>
      <c r="P89" s="191" t="s">
        <v>143</v>
      </c>
    </row>
    <row r="90" spans="1:34" ht="13.5" thickBot="1">
      <c r="A90" s="34" t="str">
        <f t="shared" si="0"/>
        <v>21</v>
      </c>
      <c r="B90" s="625">
        <v>6.1210000000000004</v>
      </c>
      <c r="C90" s="626" t="s">
        <v>110</v>
      </c>
      <c r="D90" s="28">
        <f>B90+0.0001</f>
        <v>6.1211000000000002</v>
      </c>
      <c r="E90" s="29">
        <v>6</v>
      </c>
      <c r="F90" s="57"/>
      <c r="G90" s="58"/>
      <c r="H90" s="59"/>
      <c r="I90" s="60"/>
      <c r="J90" s="61"/>
      <c r="K90" s="62">
        <f>N90</f>
        <v>-0.56000000000000005</v>
      </c>
      <c r="L90" s="60">
        <v>-0.56000000000000005</v>
      </c>
      <c r="M90" s="92">
        <f>G91*SIN(RADIANS(L90))</f>
        <v>-3.0715769903779937E-2</v>
      </c>
      <c r="N90" s="93">
        <f>DEGREES(ASIN((M90+O90)/G91))</f>
        <v>-0.56000000000000005</v>
      </c>
      <c r="O90" s="203">
        <v>0</v>
      </c>
      <c r="P90" s="190" t="s">
        <v>181</v>
      </c>
    </row>
    <row r="91" spans="1:34" ht="13.5" thickTop="1">
      <c r="A91" s="34" t="str">
        <f t="shared" si="0"/>
        <v/>
      </c>
      <c r="B91" s="625"/>
      <c r="C91" s="627"/>
      <c r="D91" s="28">
        <f>D90+0.0001</f>
        <v>6.1212</v>
      </c>
      <c r="E91" s="29">
        <f>D90</f>
        <v>6.1211000000000002</v>
      </c>
      <c r="F91" s="57"/>
      <c r="G91" s="58">
        <v>3.1427</v>
      </c>
      <c r="H91" s="59">
        <v>-0.15310000000000001</v>
      </c>
      <c r="I91" s="60">
        <v>-15.7</v>
      </c>
      <c r="J91" s="61">
        <v>20</v>
      </c>
      <c r="K91" s="66">
        <v>-4.71</v>
      </c>
      <c r="L91" s="60"/>
      <c r="M91" s="94"/>
      <c r="N91" s="95"/>
      <c r="O91" s="203"/>
      <c r="P91" s="191" t="s">
        <v>144</v>
      </c>
    </row>
    <row r="92" spans="1:34" ht="13.5" thickBot="1">
      <c r="A92" s="34" t="str">
        <f t="shared" ref="A92:A95" si="6">IF(B92="","",RIGHT(TEXT(B92,"#.000"),2))</f>
        <v>27</v>
      </c>
      <c r="B92" s="621">
        <v>6.1269999999999998</v>
      </c>
      <c r="C92" s="623" t="s">
        <v>110</v>
      </c>
      <c r="D92" s="593">
        <f>B92+0.0001</f>
        <v>6.1270999999999995</v>
      </c>
      <c r="E92" s="594">
        <v>6</v>
      </c>
      <c r="F92" s="595"/>
      <c r="G92" s="596"/>
      <c r="H92" s="597"/>
      <c r="I92" s="598"/>
      <c r="J92" s="599"/>
      <c r="K92" s="600">
        <f>N92</f>
        <v>-1.2</v>
      </c>
      <c r="L92" s="598">
        <v>-1.2</v>
      </c>
      <c r="M92" s="601">
        <f>G93*SIN(RADIANS(L92))</f>
        <v>-7.6010512966644087E-2</v>
      </c>
      <c r="N92" s="602">
        <f>DEGREES(ASIN((M92+O92)/G93))</f>
        <v>-1.2</v>
      </c>
      <c r="O92" s="603">
        <v>0</v>
      </c>
      <c r="P92" s="190" t="s">
        <v>158</v>
      </c>
    </row>
    <row r="93" spans="1:34" ht="13.5" thickTop="1">
      <c r="A93" s="34" t="str">
        <f t="shared" si="6"/>
        <v/>
      </c>
      <c r="B93" s="622"/>
      <c r="C93" s="624"/>
      <c r="D93" s="576">
        <f>D92+0.0001</f>
        <v>6.1271999999999993</v>
      </c>
      <c r="E93" s="577">
        <f>D92</f>
        <v>6.1270999999999995</v>
      </c>
      <c r="F93" s="578"/>
      <c r="G93" s="579">
        <v>3.6295000000000002</v>
      </c>
      <c r="H93" s="580">
        <v>-0.45760000000000001</v>
      </c>
      <c r="I93" s="581">
        <v>-30.2</v>
      </c>
      <c r="J93" s="582">
        <v>23</v>
      </c>
      <c r="K93" s="583">
        <v>-6.72</v>
      </c>
      <c r="L93" s="581"/>
      <c r="M93" s="584"/>
      <c r="N93" s="585"/>
      <c r="O93" s="586"/>
      <c r="P93" s="191" t="s">
        <v>145</v>
      </c>
    </row>
    <row r="94" spans="1:34" ht="13.5" thickBot="1">
      <c r="A94" s="34" t="str">
        <f t="shared" si="6"/>
        <v>33</v>
      </c>
      <c r="B94" s="625">
        <v>6.133</v>
      </c>
      <c r="C94" s="626" t="s">
        <v>110</v>
      </c>
      <c r="D94" s="28">
        <f>B94+0.0001</f>
        <v>6.1330999999999998</v>
      </c>
      <c r="E94" s="29">
        <v>6</v>
      </c>
      <c r="F94" s="57"/>
      <c r="G94" s="58"/>
      <c r="H94" s="59"/>
      <c r="I94" s="60"/>
      <c r="J94" s="61"/>
      <c r="K94" s="62">
        <f>N94</f>
        <v>-1.7400000000000002</v>
      </c>
      <c r="L94" s="60">
        <v>-1.74</v>
      </c>
      <c r="M94" s="92">
        <f>G95*SIN(RADIANS(L94))</f>
        <v>-0.12092791023124549</v>
      </c>
      <c r="N94" s="93">
        <f>DEGREES(ASIN((M94+O94)/G95))</f>
        <v>-1.7400000000000002</v>
      </c>
      <c r="O94" s="203">
        <v>0</v>
      </c>
      <c r="P94" s="190" t="s">
        <v>182</v>
      </c>
    </row>
    <row r="95" spans="1:34" ht="13.5" thickTop="1">
      <c r="A95" s="34" t="str">
        <f t="shared" si="6"/>
        <v/>
      </c>
      <c r="B95" s="625"/>
      <c r="C95" s="627"/>
      <c r="D95" s="28">
        <f>D94+0.0001</f>
        <v>6.1331999999999995</v>
      </c>
      <c r="E95" s="29">
        <f>D94</f>
        <v>6.1330999999999998</v>
      </c>
      <c r="F95" s="57"/>
      <c r="G95" s="58">
        <v>3.9826000000000001</v>
      </c>
      <c r="H95" s="59">
        <v>-0.90680000000000005</v>
      </c>
      <c r="I95" s="60">
        <v>-44.6</v>
      </c>
      <c r="J95" s="61">
        <v>26</v>
      </c>
      <c r="K95" s="66">
        <v>-8.18</v>
      </c>
      <c r="L95" s="60"/>
      <c r="M95" s="94"/>
      <c r="N95" s="95"/>
      <c r="O95" s="203"/>
      <c r="P95" s="191" t="s">
        <v>146</v>
      </c>
    </row>
    <row r="96" spans="1:34" ht="13.5" thickBot="1">
      <c r="A96" s="34" t="str">
        <f t="shared" si="0"/>
        <v>39</v>
      </c>
      <c r="B96" s="622">
        <v>6.1390000000000002</v>
      </c>
      <c r="C96" s="718" t="s">
        <v>110</v>
      </c>
      <c r="D96" s="576">
        <f>B96+0.0001</f>
        <v>6.1391</v>
      </c>
      <c r="E96" s="577">
        <v>6</v>
      </c>
      <c r="F96" s="578"/>
      <c r="G96" s="579"/>
      <c r="H96" s="580"/>
      <c r="I96" s="581"/>
      <c r="J96" s="582"/>
      <c r="K96" s="587">
        <f>N96</f>
        <v>-2.04</v>
      </c>
      <c r="L96" s="581">
        <v>-2.04</v>
      </c>
      <c r="M96" s="588">
        <f>G97*SIN(RADIANS(L96))</f>
        <v>-0.14816976263179257</v>
      </c>
      <c r="N96" s="589">
        <f>DEGREES(ASIN((M96+O96)/G97))</f>
        <v>-2.04</v>
      </c>
      <c r="O96" s="586">
        <v>0</v>
      </c>
      <c r="P96" s="190" t="s">
        <v>183</v>
      </c>
      <c r="Q96" s="267" t="s">
        <v>67</v>
      </c>
      <c r="R96" s="237"/>
      <c r="S96" s="237">
        <v>0</v>
      </c>
      <c r="U96">
        <v>1</v>
      </c>
      <c r="V96">
        <v>1</v>
      </c>
      <c r="W96">
        <v>1</v>
      </c>
      <c r="X96">
        <v>1</v>
      </c>
      <c r="Y96">
        <v>1</v>
      </c>
      <c r="AC96">
        <v>0</v>
      </c>
      <c r="AH96">
        <v>1</v>
      </c>
    </row>
    <row r="97" spans="1:34" ht="13.5" thickTop="1">
      <c r="A97" s="34" t="str">
        <f t="shared" si="0"/>
        <v/>
      </c>
      <c r="B97" s="622"/>
      <c r="C97" s="624"/>
      <c r="D97" s="576">
        <f>D96+0.0001</f>
        <v>6.1391999999999998</v>
      </c>
      <c r="E97" s="577">
        <f>D96</f>
        <v>6.1391</v>
      </c>
      <c r="F97" s="578"/>
      <c r="G97" s="579">
        <v>4.1623999999999999</v>
      </c>
      <c r="H97" s="580">
        <v>-1.4343999999999999</v>
      </c>
      <c r="I97" s="581">
        <v>-58.6</v>
      </c>
      <c r="J97" s="582">
        <v>29</v>
      </c>
      <c r="K97" s="583">
        <v>-8.92</v>
      </c>
      <c r="L97" s="581"/>
      <c r="M97" s="584"/>
      <c r="N97" s="585"/>
      <c r="O97" s="586"/>
      <c r="P97" s="191" t="s">
        <v>147</v>
      </c>
      <c r="Q97" s="267" t="s">
        <v>68</v>
      </c>
      <c r="R97" s="237"/>
      <c r="S97" s="237">
        <v>3</v>
      </c>
      <c r="U97">
        <v>6</v>
      </c>
      <c r="V97">
        <v>7</v>
      </c>
      <c r="W97">
        <v>8</v>
      </c>
      <c r="X97">
        <v>9</v>
      </c>
      <c r="Y97">
        <v>10</v>
      </c>
      <c r="AC97">
        <v>12</v>
      </c>
      <c r="AH97">
        <v>11</v>
      </c>
    </row>
    <row r="98" spans="1:34" ht="13.5" thickBot="1">
      <c r="A98" s="34" t="str">
        <f t="shared" si="0"/>
        <v>45</v>
      </c>
      <c r="B98" s="625">
        <v>6.1449999999999996</v>
      </c>
      <c r="C98" s="627" t="s">
        <v>10</v>
      </c>
      <c r="D98" s="28">
        <f>B98+0.0001</f>
        <v>6.1450999999999993</v>
      </c>
      <c r="E98" s="29">
        <v>6</v>
      </c>
      <c r="F98" s="57"/>
      <c r="G98" s="58"/>
      <c r="H98" s="59"/>
      <c r="I98" s="60"/>
      <c r="J98" s="61"/>
      <c r="K98" s="62">
        <f>N98</f>
        <v>-2.0499999999999998</v>
      </c>
      <c r="L98" s="60">
        <v>-2.0499999999999998</v>
      </c>
      <c r="M98" s="92">
        <f>G99*SIN(RADIANS(L98))</f>
        <v>-0.14920341169303314</v>
      </c>
      <c r="N98" s="93">
        <f>DEGREES(ASIN((M98+O98)/G99))</f>
        <v>-2.0499999999999998</v>
      </c>
      <c r="O98" s="203">
        <v>0</v>
      </c>
      <c r="P98" s="190" t="s">
        <v>151</v>
      </c>
      <c r="R98" s="237"/>
    </row>
    <row r="99" spans="1:34" ht="13.5" thickTop="1">
      <c r="A99" s="34" t="str">
        <f t="shared" ref="A99" si="7">IF(B99="","",RIGHT(TEXT(B99,"#.000"),2))</f>
        <v/>
      </c>
      <c r="B99" s="625"/>
      <c r="C99" s="627"/>
      <c r="D99" s="28">
        <f>D98+0.0001</f>
        <v>6.1451999999999991</v>
      </c>
      <c r="E99" s="29">
        <f>D98</f>
        <v>6.1450999999999993</v>
      </c>
      <c r="F99" s="57"/>
      <c r="G99" s="58">
        <v>4.1710000000000003</v>
      </c>
      <c r="H99" s="59">
        <v>-2.0224000000000002</v>
      </c>
      <c r="I99" s="60">
        <v>-65</v>
      </c>
      <c r="J99" s="61">
        <v>30</v>
      </c>
      <c r="K99" s="66">
        <v>-8.9600000000000009</v>
      </c>
      <c r="L99" s="60"/>
      <c r="M99" s="94"/>
      <c r="N99" s="95"/>
      <c r="O99" s="203"/>
      <c r="P99" s="191" t="s">
        <v>44</v>
      </c>
      <c r="R99" s="237"/>
      <c r="U99" t="s">
        <v>69</v>
      </c>
      <c r="AA99" t="s">
        <v>70</v>
      </c>
    </row>
    <row r="100" spans="1:34" s="32" customFormat="1" ht="13.5" thickBot="1">
      <c r="A100" s="34" t="str">
        <f>IF(B100="","",RIGHT(TEXT(B100,"#.000"),2))</f>
        <v/>
      </c>
      <c r="B100" s="238"/>
      <c r="C100" s="236"/>
      <c r="D100" s="239"/>
      <c r="E100" s="240"/>
      <c r="F100" s="241"/>
      <c r="G100" s="242"/>
      <c r="H100" s="243"/>
      <c r="I100" s="244"/>
      <c r="J100" s="245"/>
      <c r="K100" s="246"/>
      <c r="L100" s="244"/>
      <c r="M100" s="247"/>
      <c r="N100" s="248"/>
      <c r="O100" s="249"/>
      <c r="P100" s="266"/>
      <c r="Q100"/>
      <c r="R100" s="237" t="s">
        <v>71</v>
      </c>
      <c r="S100" t="s">
        <v>72</v>
      </c>
      <c r="T100" t="s">
        <v>73</v>
      </c>
      <c r="U100" t="s">
        <v>74</v>
      </c>
      <c r="V100" t="s">
        <v>75</v>
      </c>
      <c r="W100" t="s">
        <v>76</v>
      </c>
      <c r="X100" t="s">
        <v>77</v>
      </c>
      <c r="Y100" t="s">
        <v>78</v>
      </c>
      <c r="Z100" t="s">
        <v>79</v>
      </c>
      <c r="AA100" t="s">
        <v>80</v>
      </c>
      <c r="AB100" t="s">
        <v>81</v>
      </c>
      <c r="AC100" t="s">
        <v>82</v>
      </c>
      <c r="AD100" t="s">
        <v>83</v>
      </c>
      <c r="AE100"/>
      <c r="AF100"/>
    </row>
    <row r="101" spans="1:34" ht="13.5" hidden="1" thickBot="1">
      <c r="A101" s="34"/>
      <c r="B101" s="726">
        <v>1.214</v>
      </c>
      <c r="C101" s="727" t="s">
        <v>10</v>
      </c>
      <c r="D101" s="250">
        <f>B101+0.0001</f>
        <v>1.2141</v>
      </c>
      <c r="E101" s="251">
        <v>2</v>
      </c>
      <c r="F101" s="252"/>
      <c r="G101" s="253"/>
      <c r="H101" s="254"/>
      <c r="I101" s="255">
        <v>0</v>
      </c>
      <c r="J101" s="256">
        <v>0</v>
      </c>
      <c r="K101" s="257">
        <v>-19.850000000000001</v>
      </c>
      <c r="L101" s="255"/>
      <c r="M101" s="258"/>
      <c r="N101" s="259"/>
      <c r="O101" s="260"/>
      <c r="P101" s="261" t="s">
        <v>54</v>
      </c>
      <c r="Q101" s="34" t="str">
        <f t="shared" ref="Q101:Q106" si="8">IF(R101="","",RIGHT(TEXT(R101,"#.000"),2))</f>
        <v>14</v>
      </c>
      <c r="R101" s="237">
        <f>IF(B101="","",B101)</f>
        <v>1.214</v>
      </c>
      <c r="S101" t="str">
        <f t="shared" ref="S101:S146" si="9">IF($R101="","",INDEX($A$11:$O$164,MATCH($Q101,$A$11:$A$164,0)+S$96,S$97))</f>
        <v>1111 .6875Cb</v>
      </c>
      <c r="T101" t="str">
        <f>IF($R101="","",C101)</f>
        <v>1313 .6875Cb</v>
      </c>
      <c r="AA101">
        <f>IF($R101="","",AB101+AD101-AC101)</f>
        <v>-88.85</v>
      </c>
      <c r="AB101">
        <f>IF($R101="","",K101)</f>
        <v>-19.850000000000001</v>
      </c>
      <c r="AC101">
        <f>IF($R101="","",INDEX($A$11:$O$164,MATCH($Q101,$A$11:$A$164,0)+AC$96,AC$97))</f>
        <v>0</v>
      </c>
      <c r="AD101">
        <v>-69</v>
      </c>
      <c r="AF101">
        <f>IF(X101="",0,X101)</f>
        <v>0</v>
      </c>
      <c r="AG101">
        <f>IF(Z101="",0,Z101)</f>
        <v>0</v>
      </c>
      <c r="AH101" s="551">
        <f>K101</f>
        <v>-19.850000000000001</v>
      </c>
    </row>
    <row r="102" spans="1:34" ht="13.5" hidden="1" thickTop="1">
      <c r="A102" s="34"/>
      <c r="B102" s="723"/>
      <c r="C102" s="696"/>
      <c r="D102" s="46">
        <f>D101+0.0001</f>
        <v>1.2141999999999999</v>
      </c>
      <c r="E102" s="47">
        <f>D101</f>
        <v>1.2141</v>
      </c>
      <c r="F102" s="48"/>
      <c r="G102" s="49">
        <v>2.8229529887190559</v>
      </c>
      <c r="H102" s="50">
        <v>-0.10996918460744008</v>
      </c>
      <c r="I102" s="51">
        <v>-4.9000000000000004</v>
      </c>
      <c r="J102" s="52">
        <v>20</v>
      </c>
      <c r="K102" s="53">
        <v>-4.9400000000000004</v>
      </c>
      <c r="L102" s="51"/>
      <c r="M102" s="54"/>
      <c r="N102" s="55"/>
      <c r="O102" s="56"/>
      <c r="P102" s="262" t="s">
        <v>31</v>
      </c>
      <c r="Q102" s="34" t="str">
        <f t="shared" si="8"/>
        <v/>
      </c>
      <c r="R102" s="237"/>
      <c r="S102" t="str">
        <f t="shared" si="9"/>
        <v/>
      </c>
      <c r="U102">
        <f>IF($R101="","",INDEX($A$11:$O$164,MATCH($Q101,$A$11:$A$164,0)+U$96,U$97))</f>
        <v>0</v>
      </c>
      <c r="V102">
        <f>IF($R101="","",INDEX($A$11:$O$164,MATCH($Q101,$A$11:$A$164,0)+V$96,V$97))</f>
        <v>2.4681999999999999</v>
      </c>
      <c r="W102">
        <f>IF($R101="","",INDEX($A$11:$O$164,MATCH($Q101,$A$11:$A$164,0)+W$96,W$97))</f>
        <v>-2.7799999999999998E-2</v>
      </c>
      <c r="X102">
        <f>IF($R101="","",INDEX($A$11:$O$164,MATCH($Q101,$A$11:$A$164,0)+X$96,X$97))</f>
        <v>0</v>
      </c>
      <c r="Y102">
        <f>IF($R101="","",INDEX($A$11:$O$164,MATCH($Q101,$A$11:$A$164,0)+Y$96,Y$97))</f>
        <v>20</v>
      </c>
      <c r="Z102">
        <f>IF(OR(LEFT(T101,2)="13",LEFT(T101,2)="16"),Y102+5,"")</f>
        <v>25</v>
      </c>
      <c r="AF102">
        <f>IF(X102="",0,X102)</f>
        <v>0</v>
      </c>
      <c r="AG102">
        <f>IF(Z102="",0,Z102)</f>
        <v>25</v>
      </c>
      <c r="AH102">
        <f t="shared" ref="AH102:AH146" si="10">IF($R101="",K102,INDEX($A$11:$O$164,MATCH($Q101,$A$11:$A$164,0)+AH$96,AH$97))</f>
        <v>0</v>
      </c>
    </row>
    <row r="103" spans="1:34" ht="13.5" hidden="1" thickBot="1">
      <c r="A103" s="34"/>
      <c r="B103" s="640">
        <v>1.2190000000000001</v>
      </c>
      <c r="C103" s="627" t="s">
        <v>10</v>
      </c>
      <c r="D103" s="28">
        <f>B103+0.0001</f>
        <v>1.2191000000000001</v>
      </c>
      <c r="E103" s="29">
        <v>2</v>
      </c>
      <c r="F103" s="57"/>
      <c r="G103" s="58">
        <v>0</v>
      </c>
      <c r="H103" s="59">
        <v>0</v>
      </c>
      <c r="I103" s="60">
        <v>0</v>
      </c>
      <c r="J103" s="61">
        <v>0</v>
      </c>
      <c r="K103" s="62">
        <v>-16.28</v>
      </c>
      <c r="L103" s="60"/>
      <c r="M103" s="63"/>
      <c r="N103" s="64"/>
      <c r="O103" s="65"/>
      <c r="P103" s="263" t="s">
        <v>55</v>
      </c>
      <c r="Q103" s="34" t="str">
        <f t="shared" si="8"/>
        <v>19</v>
      </c>
      <c r="R103" s="237">
        <f>IF(B103="","",B103)</f>
        <v>1.2190000000000001</v>
      </c>
      <c r="S103" t="str">
        <f t="shared" si="9"/>
        <v>1111 .6875Cb</v>
      </c>
      <c r="T103" t="str">
        <f>IF($R103="","",C103)</f>
        <v>1313 .6875Cb</v>
      </c>
      <c r="AA103">
        <f>IF($R103="","",AB103+AD103-AC103)</f>
        <v>-84.92</v>
      </c>
      <c r="AB103">
        <f>IF($R103="","",K103)</f>
        <v>-16.28</v>
      </c>
      <c r="AC103">
        <f>IF($R103="","",INDEX($A$11:$O$164,MATCH($Q103,$A$11:$A$164,0)+AC$96,AC$97))</f>
        <v>-0.36</v>
      </c>
      <c r="AD103">
        <v>-69</v>
      </c>
      <c r="AF103">
        <f t="shared" ref="AF103:AF106" si="11">IF(X103="",0,X103)</f>
        <v>0</v>
      </c>
      <c r="AG103">
        <f t="shared" ref="AG103:AG146" si="12">IF(Z103="",0,Z103)</f>
        <v>0</v>
      </c>
      <c r="AH103">
        <f t="shared" si="10"/>
        <v>-16.28</v>
      </c>
    </row>
    <row r="104" spans="1:34" ht="13.5" hidden="1" thickTop="1">
      <c r="A104" s="34"/>
      <c r="B104" s="640"/>
      <c r="C104" s="627"/>
      <c r="D104" s="28">
        <f>D103+0.0001</f>
        <v>1.2192000000000001</v>
      </c>
      <c r="E104" s="29">
        <f>D103</f>
        <v>1.2191000000000001</v>
      </c>
      <c r="F104" s="57"/>
      <c r="G104" s="58">
        <v>3.5742231943672893</v>
      </c>
      <c r="H104" s="59">
        <v>-0.43311771214318628</v>
      </c>
      <c r="I104" s="60">
        <v>-29.1</v>
      </c>
      <c r="J104" s="61">
        <v>20</v>
      </c>
      <c r="K104" s="66">
        <v>-8.31</v>
      </c>
      <c r="L104" s="60"/>
      <c r="M104" s="67"/>
      <c r="N104" s="68"/>
      <c r="O104" s="65"/>
      <c r="P104" s="262" t="s">
        <v>38</v>
      </c>
      <c r="Q104" s="34" t="str">
        <f t="shared" si="8"/>
        <v/>
      </c>
      <c r="R104" s="237"/>
      <c r="S104" t="str">
        <f t="shared" si="9"/>
        <v/>
      </c>
      <c r="U104">
        <f>IF($R103="","",INDEX($A$11:$O$164,MATCH($Q103,$A$11:$A$164,0)+U$96,U$97))</f>
        <v>0</v>
      </c>
      <c r="V104">
        <f>IF($R103="","",INDEX($A$11:$O$164,MATCH($Q103,$A$11:$A$164,0)+V$96,V$97))</f>
        <v>2.9579</v>
      </c>
      <c r="W104">
        <f>IF($R103="","",INDEX($A$11:$O$164,MATCH($Q103,$A$11:$A$164,0)+W$96,W$97))</f>
        <v>-9.0200000000000002E-2</v>
      </c>
      <c r="X104">
        <f>IF($R103="","",INDEX($A$11:$O$164,MATCH($Q103,$A$11:$A$164,0)+X$96,X$97))</f>
        <v>-10.8</v>
      </c>
      <c r="Y104">
        <f>IF($R103="","",INDEX($A$11:$O$164,MATCH($Q103,$A$11:$A$164,0)+Y$96,Y$97))</f>
        <v>20</v>
      </c>
      <c r="Z104">
        <f t="shared" ref="Z104" si="13">IF(OR(LEFT(T103,2)="13",LEFT(T103,2)="16"),Y104+5,"")</f>
        <v>25</v>
      </c>
      <c r="AF104">
        <f t="shared" si="11"/>
        <v>-10.8</v>
      </c>
      <c r="AG104">
        <f t="shared" si="12"/>
        <v>25</v>
      </c>
      <c r="AH104">
        <f t="shared" si="10"/>
        <v>-3.95</v>
      </c>
    </row>
    <row r="105" spans="1:34" ht="13.5" hidden="1" thickBot="1">
      <c r="A105" s="34"/>
      <c r="B105" s="723">
        <v>1.224</v>
      </c>
      <c r="C105" s="696" t="s">
        <v>10</v>
      </c>
      <c r="D105" s="46">
        <f>B105+0.0001</f>
        <v>1.2241</v>
      </c>
      <c r="E105" s="47">
        <v>2</v>
      </c>
      <c r="F105" s="48"/>
      <c r="G105" s="49">
        <v>0</v>
      </c>
      <c r="H105" s="50">
        <v>0</v>
      </c>
      <c r="I105" s="51">
        <v>0</v>
      </c>
      <c r="J105" s="52">
        <v>0</v>
      </c>
      <c r="K105" s="69">
        <v>-15.59</v>
      </c>
      <c r="L105" s="51"/>
      <c r="M105" s="70"/>
      <c r="N105" s="71"/>
      <c r="O105" s="56"/>
      <c r="P105" s="263" t="s">
        <v>56</v>
      </c>
      <c r="Q105" s="34" t="str">
        <f t="shared" si="8"/>
        <v>24</v>
      </c>
      <c r="R105" s="237">
        <f>IF(B105="","",B105)</f>
        <v>1.224</v>
      </c>
      <c r="S105" t="str">
        <f t="shared" si="9"/>
        <v>1111 .6875Cb</v>
      </c>
      <c r="T105" t="str">
        <f>IF($R105="","",C105)</f>
        <v>1313 .6875Cb</v>
      </c>
      <c r="AA105">
        <f>IF($R105="","",AB105+AD105-AC105)</f>
        <v>-83.710000000000008</v>
      </c>
      <c r="AB105">
        <f>IF($R105="","",K105)</f>
        <v>-15.59</v>
      </c>
      <c r="AC105">
        <f>IF($R105="","",INDEX($A$11:$O$164,MATCH($Q105,$A$11:$A$164,0)+AC$96,AC$97))</f>
        <v>-0.88</v>
      </c>
      <c r="AD105">
        <v>-69</v>
      </c>
      <c r="AF105">
        <f t="shared" si="11"/>
        <v>0</v>
      </c>
      <c r="AG105">
        <f t="shared" si="12"/>
        <v>0</v>
      </c>
      <c r="AH105">
        <f t="shared" si="10"/>
        <v>-15.59</v>
      </c>
    </row>
    <row r="106" spans="1:34" ht="14.25" hidden="1" thickTop="1" thickBot="1">
      <c r="A106" s="34"/>
      <c r="B106" s="724"/>
      <c r="C106" s="725"/>
      <c r="D106" s="295">
        <f>D105+0.0001</f>
        <v>1.2242</v>
      </c>
      <c r="E106" s="296">
        <f>D105</f>
        <v>1.2241</v>
      </c>
      <c r="F106" s="297"/>
      <c r="G106" s="298">
        <v>3.9742314193465282</v>
      </c>
      <c r="H106" s="299">
        <v>-1.1211610143278703</v>
      </c>
      <c r="I106" s="300">
        <v>-53.1</v>
      </c>
      <c r="J106" s="301">
        <v>25</v>
      </c>
      <c r="K106" s="302">
        <v>-10.1</v>
      </c>
      <c r="L106" s="300"/>
      <c r="M106" s="303"/>
      <c r="N106" s="304"/>
      <c r="O106" s="305"/>
      <c r="P106" s="262" t="s">
        <v>39</v>
      </c>
      <c r="Q106" s="34" t="str">
        <f t="shared" si="8"/>
        <v/>
      </c>
      <c r="R106" s="237"/>
      <c r="S106" t="str">
        <f t="shared" si="9"/>
        <v/>
      </c>
      <c r="U106">
        <f>IF($R105="","",INDEX($A$11:$O$164,MATCH($Q105,$A$11:$A$164,0)+U$96,U$97))</f>
        <v>0</v>
      </c>
      <c r="V106">
        <f>IF($R105="","",INDEX($A$11:$O$164,MATCH($Q105,$A$11:$A$164,0)+V$96,V$97))</f>
        <v>3.3997999999999999</v>
      </c>
      <c r="W106">
        <f>IF($R105="","",INDEX($A$11:$O$164,MATCH($Q105,$A$11:$A$164,0)+W$96,W$97))</f>
        <v>-0.28420000000000001</v>
      </c>
      <c r="X106">
        <f>IF($R105="","",INDEX($A$11:$O$164,MATCH($Q105,$A$11:$A$164,0)+X$96,X$97))</f>
        <v>-22.9</v>
      </c>
      <c r="Y106">
        <f>IF($R105="","",INDEX($A$11:$O$164,MATCH($Q105,$A$11:$A$164,0)+Y$96,Y$97))</f>
        <v>22</v>
      </c>
      <c r="Z106">
        <f t="shared" ref="Z106" si="14">IF(OR(LEFT(T105,2)="13",LEFT(T105,2)="16"),Y106+5,"")</f>
        <v>27</v>
      </c>
      <c r="AF106">
        <f t="shared" si="11"/>
        <v>-22.9</v>
      </c>
      <c r="AG106">
        <f t="shared" si="12"/>
        <v>27</v>
      </c>
      <c r="AH106">
        <f t="shared" si="10"/>
        <v>-5.77</v>
      </c>
    </row>
    <row r="107" spans="1:34" ht="13.5" hidden="1" thickBot="1">
      <c r="A107" s="34"/>
      <c r="B107" s="721">
        <v>2.2130000000000001</v>
      </c>
      <c r="C107" s="722" t="s">
        <v>10</v>
      </c>
      <c r="D107" s="268">
        <f>B107+0.0001</f>
        <v>2.2131000000000003</v>
      </c>
      <c r="E107" s="269">
        <v>3</v>
      </c>
      <c r="F107" s="270"/>
      <c r="G107" s="271">
        <v>0</v>
      </c>
      <c r="H107" s="272">
        <v>0</v>
      </c>
      <c r="I107" s="273">
        <v>0</v>
      </c>
      <c r="J107" s="274">
        <v>0</v>
      </c>
      <c r="K107" s="275">
        <v>-20.04</v>
      </c>
      <c r="L107" s="273"/>
      <c r="M107" s="276"/>
      <c r="N107" s="277"/>
      <c r="O107" s="278"/>
      <c r="P107" s="264" t="s">
        <v>58</v>
      </c>
      <c r="Q107" s="34" t="str">
        <f>IF(R107="","",RIGHT(TEXT(R107,"#.000"),2))</f>
        <v>13</v>
      </c>
      <c r="R107" s="237">
        <f>IF(B107="","",B107)</f>
        <v>2.2130000000000001</v>
      </c>
      <c r="S107" t="str">
        <f t="shared" si="9"/>
        <v>1111 .6875Cb</v>
      </c>
      <c r="T107" t="str">
        <f>IF($R107="","",C107)</f>
        <v>1313 .6875Cb</v>
      </c>
      <c r="AA107">
        <f>IF($R107="","",AB107+AD107-AC107)</f>
        <v>-89.039999999999992</v>
      </c>
      <c r="AB107">
        <f>IF($R107="","",K107)</f>
        <v>-20.04</v>
      </c>
      <c r="AC107">
        <f>IF($R107="","",INDEX($A$11:$O$164,MATCH($Q107,$A$11:$A$164,0)+AC$96,AC$97))</f>
        <v>0</v>
      </c>
      <c r="AD107">
        <v>-69</v>
      </c>
      <c r="AF107">
        <f>IF(X107="",0,X107)</f>
        <v>0</v>
      </c>
      <c r="AG107">
        <f t="shared" si="12"/>
        <v>0</v>
      </c>
      <c r="AH107">
        <f t="shared" si="10"/>
        <v>-20.04</v>
      </c>
    </row>
    <row r="108" spans="1:34" ht="13.5" hidden="1" thickTop="1">
      <c r="A108" s="34"/>
      <c r="B108" s="635"/>
      <c r="C108" s="637"/>
      <c r="D108" s="82">
        <f>D107+0.0001</f>
        <v>2.2132000000000005</v>
      </c>
      <c r="E108" s="83">
        <f>D107</f>
        <v>2.2131000000000003</v>
      </c>
      <c r="F108" s="84"/>
      <c r="G108" s="85">
        <v>2.6177000000000001</v>
      </c>
      <c r="H108" s="86">
        <v>-0.11039187748253894</v>
      </c>
      <c r="I108" s="87">
        <v>0</v>
      </c>
      <c r="J108" s="88">
        <v>20</v>
      </c>
      <c r="K108" s="89">
        <v>-4.01</v>
      </c>
      <c r="L108" s="87"/>
      <c r="M108" s="90"/>
      <c r="N108" s="91"/>
      <c r="O108" s="205"/>
      <c r="P108" s="265" t="s">
        <v>48</v>
      </c>
      <c r="Q108" s="34" t="str">
        <f>IF(R108="","",RIGHT(TEXT(R108,"#.000"),2))</f>
        <v/>
      </c>
      <c r="R108" s="237"/>
      <c r="S108" t="str">
        <f t="shared" si="9"/>
        <v/>
      </c>
      <c r="U108">
        <f>IF($R107="","",INDEX($A$11:$O$164,MATCH($Q107,$A$11:$A$164,0)+U$96,U$97))</f>
        <v>0</v>
      </c>
      <c r="V108">
        <f>IF($R107="","",INDEX($A$11:$O$164,MATCH($Q107,$A$11:$A$164,0)+V$96,V$97))</f>
        <v>2.3721999999999999</v>
      </c>
      <c r="W108">
        <f>IF($R107="","",INDEX($A$11:$O$164,MATCH($Q107,$A$11:$A$164,0)+W$96,W$97))</f>
        <v>-3.2599999999999997E-2</v>
      </c>
      <c r="X108">
        <f>IF($R107="","",INDEX($A$11:$O$164,MATCH($Q107,$A$11:$A$164,0)+X$96,X$97))</f>
        <v>1</v>
      </c>
      <c r="Y108">
        <f>IF($R107="","",INDEX($A$11:$O$164,MATCH($Q107,$A$11:$A$164,0)+Y$96,Y$97))</f>
        <v>20</v>
      </c>
      <c r="Z108">
        <f>IF(OR(LEFT(T107,2)="13",LEFT(T107,2)="16"),Y108+5,"")</f>
        <v>25</v>
      </c>
      <c r="AF108">
        <f>IF(X108="",0,X108)</f>
        <v>1</v>
      </c>
      <c r="AG108">
        <f t="shared" si="12"/>
        <v>25</v>
      </c>
      <c r="AH108">
        <f t="shared" si="10"/>
        <v>0</v>
      </c>
    </row>
    <row r="109" spans="1:34" ht="13.5" hidden="1" thickBot="1">
      <c r="A109" s="34"/>
      <c r="B109" s="625">
        <v>2.218</v>
      </c>
      <c r="C109" s="627" t="s">
        <v>10</v>
      </c>
      <c r="D109" s="28">
        <f>B109+0.0001</f>
        <v>2.2181000000000002</v>
      </c>
      <c r="E109" s="29">
        <v>3</v>
      </c>
      <c r="F109" s="57"/>
      <c r="G109" s="58">
        <v>0</v>
      </c>
      <c r="H109" s="59">
        <v>0</v>
      </c>
      <c r="I109" s="60">
        <v>0</v>
      </c>
      <c r="J109" s="61">
        <v>0</v>
      </c>
      <c r="K109" s="62">
        <v>-16.59</v>
      </c>
      <c r="L109" s="60"/>
      <c r="M109" s="92"/>
      <c r="N109" s="93"/>
      <c r="O109" s="203"/>
      <c r="P109" s="264" t="s">
        <v>57</v>
      </c>
      <c r="Q109" s="34" t="str">
        <f>IF(R109="","",RIGHT(TEXT(R109,"#.000"),2))</f>
        <v>18</v>
      </c>
      <c r="R109" s="237">
        <f>IF(B109="","",B109)</f>
        <v>2.218</v>
      </c>
      <c r="S109" t="str">
        <f t="shared" si="9"/>
        <v>1111 .6875Cb</v>
      </c>
      <c r="T109" t="str">
        <f>IF($R109="","",C109)</f>
        <v>1313 .6875Cb</v>
      </c>
      <c r="AA109">
        <f>IF($R109="","",AB109+AD109-AC109)</f>
        <v>-85.320000000000007</v>
      </c>
      <c r="AB109">
        <f>IF($R109="","",K109)</f>
        <v>-16.59</v>
      </c>
      <c r="AC109">
        <f>IF($R109="","",INDEX($A$11:$O$164,MATCH($Q109,$A$11:$A$164,0)+AC$96,AC$97))</f>
        <v>-0.27</v>
      </c>
      <c r="AD109">
        <v>-69</v>
      </c>
      <c r="AF109">
        <f>IF(X109="",0,X109)</f>
        <v>0</v>
      </c>
      <c r="AG109">
        <f t="shared" si="12"/>
        <v>0</v>
      </c>
      <c r="AH109">
        <f t="shared" si="10"/>
        <v>-16.59</v>
      </c>
    </row>
    <row r="110" spans="1:34" ht="13.5" hidden="1" thickTop="1">
      <c r="A110" s="34"/>
      <c r="B110" s="625"/>
      <c r="C110" s="627"/>
      <c r="D110" s="28">
        <f>D109+0.0001</f>
        <v>2.2182000000000004</v>
      </c>
      <c r="E110" s="29">
        <f>D109</f>
        <v>2.2181000000000002</v>
      </c>
      <c r="F110" s="57"/>
      <c r="G110" s="58">
        <v>3.4438350002744222</v>
      </c>
      <c r="H110" s="59">
        <v>-0.33014435948268539</v>
      </c>
      <c r="I110" s="60">
        <v>-24.3</v>
      </c>
      <c r="J110" s="61">
        <v>20</v>
      </c>
      <c r="K110" s="66">
        <v>-7.74</v>
      </c>
      <c r="L110" s="60"/>
      <c r="M110" s="94"/>
      <c r="N110" s="95"/>
      <c r="O110" s="203"/>
      <c r="P110" s="265" t="s">
        <v>49</v>
      </c>
      <c r="Q110" s="34" t="str">
        <f>IF(R110="","",RIGHT(TEXT(R110,"#.000"),2))</f>
        <v/>
      </c>
      <c r="R110" s="237"/>
      <c r="S110" t="str">
        <f t="shared" si="9"/>
        <v/>
      </c>
      <c r="U110">
        <f>IF($R109="","",INDEX($A$11:$O$164,MATCH($Q109,$A$11:$A$164,0)+U$96,U$97))</f>
        <v>0</v>
      </c>
      <c r="V110">
        <f>IF($R109="","",INDEX($A$11:$O$164,MATCH($Q109,$A$11:$A$164,0)+V$96,V$97))</f>
        <v>2.8620999999999999</v>
      </c>
      <c r="W110">
        <f>IF($R109="","",INDEX($A$11:$O$164,MATCH($Q109,$A$11:$A$164,0)+W$96,W$97))</f>
        <v>-6.6100000000000006E-2</v>
      </c>
      <c r="X110">
        <f>IF($R109="","",INDEX($A$11:$O$164,MATCH($Q109,$A$11:$A$164,0)+X$96,X$97))</f>
        <v>-8.3000000000000007</v>
      </c>
      <c r="Y110">
        <f>IF($R109="","",INDEX($A$11:$O$164,MATCH($Q109,$A$11:$A$164,0)+Y$96,Y$97))</f>
        <v>20</v>
      </c>
      <c r="Z110">
        <f>IF(OR(LEFT(T109,2)="13",LEFT(T109,2)="16"),Y110+5,"")</f>
        <v>25</v>
      </c>
      <c r="AF110">
        <f>IF(X110="",0,X110)</f>
        <v>-8.3000000000000007</v>
      </c>
      <c r="AG110">
        <f t="shared" si="12"/>
        <v>25</v>
      </c>
      <c r="AH110">
        <f t="shared" si="10"/>
        <v>-3.55</v>
      </c>
    </row>
    <row r="111" spans="1:34" ht="13.5" hidden="1" thickBot="1">
      <c r="A111" s="34"/>
      <c r="B111" s="634">
        <v>2.2229999999999999</v>
      </c>
      <c r="C111" s="636" t="s">
        <v>10</v>
      </c>
      <c r="D111" s="72">
        <f>B111+0.0001</f>
        <v>2.2231000000000001</v>
      </c>
      <c r="E111" s="73">
        <v>3</v>
      </c>
      <c r="F111" s="74"/>
      <c r="G111" s="75">
        <v>0</v>
      </c>
      <c r="H111" s="76">
        <v>0</v>
      </c>
      <c r="I111" s="77">
        <v>0</v>
      </c>
      <c r="J111" s="78">
        <v>0</v>
      </c>
      <c r="K111" s="79">
        <v>-15.64</v>
      </c>
      <c r="L111" s="77"/>
      <c r="M111" s="80"/>
      <c r="N111" s="81"/>
      <c r="O111" s="204"/>
      <c r="P111" s="264" t="s">
        <v>59</v>
      </c>
      <c r="Q111" s="34" t="str">
        <f t="shared" ref="Q111:Q134" si="15">IF(R111="","",RIGHT(TEXT(R111,"#.000"),2))</f>
        <v>23</v>
      </c>
      <c r="R111" s="237">
        <f t="shared" ref="R111" si="16">IF(B111="","",B111)</f>
        <v>2.2229999999999999</v>
      </c>
      <c r="S111" t="str">
        <f t="shared" si="9"/>
        <v>1111 .6875Cb</v>
      </c>
      <c r="T111" t="str">
        <f>IF($R111="","",C111)</f>
        <v>1313 .6875Cb</v>
      </c>
      <c r="AA111">
        <f t="shared" ref="AA111" si="17">IF($R111="","",AB111+AD111-AC111)</f>
        <v>-83.87</v>
      </c>
      <c r="AB111">
        <f>IF($R111="","",K111)</f>
        <v>-15.64</v>
      </c>
      <c r="AC111">
        <f>IF($R111="","",INDEX($A$11:$O$164,MATCH($Q111,$A$11:$A$164,0)+AC$96,AC$97))</f>
        <v>-0.77</v>
      </c>
      <c r="AD111">
        <v>-69</v>
      </c>
      <c r="AF111">
        <f t="shared" ref="AF111:AF134" si="18">IF(X111="",0,X111)</f>
        <v>0</v>
      </c>
      <c r="AG111">
        <f t="shared" si="12"/>
        <v>0</v>
      </c>
      <c r="AH111">
        <f t="shared" si="10"/>
        <v>-15.64</v>
      </c>
    </row>
    <row r="112" spans="1:34" ht="14.25" hidden="1" thickTop="1" thickBot="1">
      <c r="A112" s="34"/>
      <c r="B112" s="719"/>
      <c r="C112" s="720"/>
      <c r="D112" s="284">
        <f>D111+0.0001</f>
        <v>2.2232000000000003</v>
      </c>
      <c r="E112" s="285">
        <f>D111</f>
        <v>2.2231000000000001</v>
      </c>
      <c r="F112" s="286"/>
      <c r="G112" s="287">
        <v>3.9323703293085632</v>
      </c>
      <c r="H112" s="288">
        <v>-0.96719794537290538</v>
      </c>
      <c r="I112" s="289">
        <v>-48.3</v>
      </c>
      <c r="J112" s="290">
        <v>25</v>
      </c>
      <c r="K112" s="291">
        <v>-9.92</v>
      </c>
      <c r="L112" s="289"/>
      <c r="M112" s="292"/>
      <c r="N112" s="293"/>
      <c r="O112" s="294"/>
      <c r="P112" s="265" t="s">
        <v>50</v>
      </c>
      <c r="Q112" s="34" t="str">
        <f t="shared" si="15"/>
        <v/>
      </c>
      <c r="R112" s="237"/>
      <c r="S112" t="str">
        <f t="shared" si="9"/>
        <v/>
      </c>
      <c r="U112">
        <f>IF($R111="","",INDEX($A$11:$O$164,MATCH($Q111,$A$11:$A$164,0)+U$96,U$97))</f>
        <v>0</v>
      </c>
      <c r="V112">
        <f>IF($R111="","",INDEX($A$11:$O$164,MATCH($Q111,$A$11:$A$164,0)+V$96,V$97))</f>
        <v>3.3166000000000002</v>
      </c>
      <c r="W112">
        <f>IF($R111="","",INDEX($A$11:$O$164,MATCH($Q111,$A$11:$A$164,0)+W$96,W$97))</f>
        <v>-0.23580000000000001</v>
      </c>
      <c r="X112">
        <f>IF($R111="","",INDEX($A$11:$O$164,MATCH($Q111,$A$11:$A$164,0)+X$96,X$97))</f>
        <v>-20.5</v>
      </c>
      <c r="Y112">
        <f>IF($R111="","",INDEX($A$11:$O$164,MATCH($Q111,$A$11:$A$164,0)+Y$96,Y$97))</f>
        <v>21</v>
      </c>
      <c r="Z112">
        <f t="shared" ref="Z112" si="19">IF(OR(LEFT(T111,2)="13",LEFT(T111,2)="16"),Y112+5,"")</f>
        <v>26</v>
      </c>
      <c r="AF112">
        <f t="shared" si="18"/>
        <v>-20.5</v>
      </c>
      <c r="AG112">
        <f t="shared" si="12"/>
        <v>26</v>
      </c>
      <c r="AH112">
        <f t="shared" si="10"/>
        <v>-5.42</v>
      </c>
    </row>
    <row r="113" spans="1:34" ht="13.5" hidden="1" thickBot="1">
      <c r="A113" s="34"/>
      <c r="B113" s="684">
        <v>3.2120000000000002</v>
      </c>
      <c r="C113" s="686" t="s">
        <v>10</v>
      </c>
      <c r="D113" s="192">
        <f>B113+0.0001</f>
        <v>3.2121000000000004</v>
      </c>
      <c r="E113" s="193">
        <v>4</v>
      </c>
      <c r="F113" s="194"/>
      <c r="G113" s="195">
        <v>0</v>
      </c>
      <c r="H113" s="196">
        <v>0</v>
      </c>
      <c r="I113" s="197">
        <v>0</v>
      </c>
      <c r="J113" s="198">
        <v>0</v>
      </c>
      <c r="K113" s="199">
        <v>-21.16</v>
      </c>
      <c r="L113" s="197"/>
      <c r="M113" s="200"/>
      <c r="N113" s="201"/>
      <c r="O113" s="202"/>
      <c r="P113" s="264" t="s">
        <v>60</v>
      </c>
      <c r="Q113" s="34" t="str">
        <f t="shared" si="15"/>
        <v>12</v>
      </c>
      <c r="R113" s="237">
        <f t="shared" ref="R113" si="20">IF(B113="","",B113)</f>
        <v>3.2120000000000002</v>
      </c>
      <c r="S113" t="str">
        <f t="shared" si="9"/>
        <v>1111 .6875Cb</v>
      </c>
      <c r="T113" t="str">
        <f>IF($R113="","",C113)</f>
        <v>1313 .6875Cb</v>
      </c>
      <c r="AA113">
        <f t="shared" ref="AA113" si="21">IF($R113="","",AB113+AD113-AC113)</f>
        <v>-107.16</v>
      </c>
      <c r="AB113">
        <f>IF($R113="","",K113)</f>
        <v>-21.16</v>
      </c>
      <c r="AC113">
        <f>IF($R113="","",INDEX($A$11:$O$164,MATCH($Q113,$A$11:$A$164,0)+AC$96,AC$97))</f>
        <v>0</v>
      </c>
      <c r="AD113">
        <v>-86</v>
      </c>
      <c r="AF113">
        <f t="shared" si="18"/>
        <v>0</v>
      </c>
      <c r="AG113">
        <f t="shared" si="12"/>
        <v>0</v>
      </c>
      <c r="AH113">
        <f t="shared" si="10"/>
        <v>-21.16</v>
      </c>
    </row>
    <row r="114" spans="1:34" ht="13.5" hidden="1" thickTop="1">
      <c r="A114" s="34"/>
      <c r="B114" s="685"/>
      <c r="C114" s="665"/>
      <c r="D114" s="239">
        <f>D113+0.0001</f>
        <v>3.2122000000000006</v>
      </c>
      <c r="E114" s="240">
        <f>D113</f>
        <v>3.2121000000000004</v>
      </c>
      <c r="F114" s="241"/>
      <c r="G114" s="242">
        <v>2.459095253942031</v>
      </c>
      <c r="H114" s="243">
        <v>-0.13807772092752532</v>
      </c>
      <c r="I114" s="244">
        <v>5</v>
      </c>
      <c r="J114" s="245">
        <v>20</v>
      </c>
      <c r="K114" s="246">
        <v>0</v>
      </c>
      <c r="L114" s="244"/>
      <c r="M114" s="247"/>
      <c r="N114" s="248"/>
      <c r="O114" s="328"/>
      <c r="P114" s="265" t="s">
        <v>41</v>
      </c>
      <c r="Q114" s="34" t="str">
        <f t="shared" si="15"/>
        <v/>
      </c>
      <c r="R114" s="237"/>
      <c r="S114" t="str">
        <f t="shared" si="9"/>
        <v/>
      </c>
      <c r="U114">
        <f>IF($R113="","",INDEX($A$11:$O$164,MATCH($Q113,$A$11:$A$164,0)+U$96,U$97))</f>
        <v>0</v>
      </c>
      <c r="V114">
        <f>IF($R113="","",INDEX($A$11:$O$164,MATCH($Q113,$A$11:$A$164,0)+V$96,V$97))</f>
        <v>2.2879</v>
      </c>
      <c r="W114">
        <f>IF($R113="","",INDEX($A$11:$O$164,MATCH($Q113,$A$11:$A$164,0)+W$96,W$97))</f>
        <v>-4.1599999999999998E-2</v>
      </c>
      <c r="X114">
        <f>IF($R113="","",INDEX($A$11:$O$164,MATCH($Q113,$A$11:$A$164,0)+X$96,X$97))</f>
        <v>2.5</v>
      </c>
      <c r="Y114">
        <f>IF($R113="","",INDEX($A$11:$O$164,MATCH($Q113,$A$11:$A$164,0)+Y$96,Y$97))</f>
        <v>20</v>
      </c>
      <c r="Z114">
        <f t="shared" ref="Z114" si="22">IF(OR(LEFT(T113,2)="13",LEFT(T113,2)="16"),Y114+5,"")</f>
        <v>25</v>
      </c>
      <c r="AF114">
        <f t="shared" si="18"/>
        <v>2.5</v>
      </c>
      <c r="AG114">
        <f t="shared" si="12"/>
        <v>25</v>
      </c>
      <c r="AH114">
        <f t="shared" si="10"/>
        <v>0</v>
      </c>
    </row>
    <row r="115" spans="1:34" ht="13.5" hidden="1" thickBot="1">
      <c r="A115" s="34"/>
      <c r="B115" s="638">
        <v>3.2170000000000001</v>
      </c>
      <c r="C115" s="639" t="s">
        <v>10</v>
      </c>
      <c r="D115" s="30">
        <f>B115+0.0001</f>
        <v>3.2171000000000003</v>
      </c>
      <c r="E115" s="31">
        <v>4</v>
      </c>
      <c r="F115" s="96"/>
      <c r="G115" s="97">
        <v>0</v>
      </c>
      <c r="H115" s="98">
        <v>0</v>
      </c>
      <c r="I115" s="99">
        <v>0</v>
      </c>
      <c r="J115" s="100">
        <v>0</v>
      </c>
      <c r="K115" s="104">
        <v>-16.989999999999998</v>
      </c>
      <c r="L115" s="99"/>
      <c r="M115" s="105"/>
      <c r="N115" s="106"/>
      <c r="O115" s="217"/>
      <c r="P115" s="264" t="s">
        <v>60</v>
      </c>
      <c r="Q115" s="34" t="str">
        <f t="shared" si="15"/>
        <v>17</v>
      </c>
      <c r="R115" s="237">
        <f t="shared" ref="R115" si="23">IF(B115="","",B115)</f>
        <v>3.2170000000000001</v>
      </c>
      <c r="S115" t="str">
        <f t="shared" si="9"/>
        <v>1111 .6875Cb</v>
      </c>
      <c r="T115" t="str">
        <f>IF($R115="","",C115)</f>
        <v>1313 .6875Cb</v>
      </c>
      <c r="AA115">
        <f t="shared" ref="AA115" si="24">IF($R115="","",AB115+AD115-AC115)</f>
        <v>-102.8</v>
      </c>
      <c r="AB115">
        <f>IF($R115="","",K115)</f>
        <v>-16.989999999999998</v>
      </c>
      <c r="AC115">
        <f>IF($R115="","",INDEX($A$11:$O$164,MATCH($Q115,$A$11:$A$164,0)+AC$96,AC$97))</f>
        <v>-0.19</v>
      </c>
      <c r="AD115">
        <v>-86</v>
      </c>
      <c r="AF115">
        <f t="shared" si="18"/>
        <v>0</v>
      </c>
      <c r="AG115">
        <f t="shared" si="12"/>
        <v>0</v>
      </c>
      <c r="AH115">
        <f t="shared" si="10"/>
        <v>-16.989999999999998</v>
      </c>
    </row>
    <row r="116" spans="1:34" ht="13.5" hidden="1" thickTop="1">
      <c r="A116" s="34"/>
      <c r="B116" s="638"/>
      <c r="C116" s="639"/>
      <c r="D116" s="30">
        <f>D115+0.0001</f>
        <v>3.2172000000000005</v>
      </c>
      <c r="E116" s="31">
        <f>D115</f>
        <v>3.2171000000000003</v>
      </c>
      <c r="F116" s="96"/>
      <c r="G116" s="97">
        <v>3.3007052255083353</v>
      </c>
      <c r="H116" s="98">
        <v>-0.24915578710217379</v>
      </c>
      <c r="I116" s="99">
        <v>-19.399999999999999</v>
      </c>
      <c r="J116" s="100">
        <v>20</v>
      </c>
      <c r="K116" s="101">
        <v>-7.09</v>
      </c>
      <c r="L116" s="99"/>
      <c r="M116" s="102"/>
      <c r="N116" s="103"/>
      <c r="O116" s="217"/>
      <c r="P116" s="265" t="s">
        <v>41</v>
      </c>
      <c r="Q116" s="34" t="str">
        <f t="shared" si="15"/>
        <v/>
      </c>
      <c r="R116" s="237"/>
      <c r="S116" t="str">
        <f t="shared" si="9"/>
        <v/>
      </c>
      <c r="U116">
        <f>IF($R115="","",INDEX($A$11:$O$164,MATCH($Q115,$A$11:$A$164,0)+U$96,U$97))</f>
        <v>0</v>
      </c>
      <c r="V116">
        <f>IF($R115="","",INDEX($A$11:$O$164,MATCH($Q115,$A$11:$A$164,0)+V$96,V$97))</f>
        <v>2.7648000000000001</v>
      </c>
      <c r="W116">
        <f>IF($R115="","",INDEX($A$11:$O$164,MATCH($Q115,$A$11:$A$164,0)+W$96,W$97))</f>
        <v>-4.7800000000000002E-2</v>
      </c>
      <c r="X116">
        <f>IF($R115="","",INDEX($A$11:$O$164,MATCH($Q115,$A$11:$A$164,0)+X$96,X$97))</f>
        <v>-5.9</v>
      </c>
      <c r="Y116">
        <f>IF($R115="","",INDEX($A$11:$O$164,MATCH($Q115,$A$11:$A$164,0)+Y$96,Y$97))</f>
        <v>20</v>
      </c>
      <c r="Z116">
        <f t="shared" ref="Z116" si="25">IF(OR(LEFT(T115,2)="13",LEFT(T115,2)="16"),Y116+5,"")</f>
        <v>25</v>
      </c>
      <c r="AF116">
        <f t="shared" si="18"/>
        <v>-5.9</v>
      </c>
      <c r="AG116">
        <f t="shared" si="12"/>
        <v>25</v>
      </c>
      <c r="AH116">
        <f t="shared" si="10"/>
        <v>-3.15</v>
      </c>
    </row>
    <row r="117" spans="1:34" ht="13.5" hidden="1" thickBot="1">
      <c r="A117" s="34"/>
      <c r="B117" s="625">
        <v>3.222</v>
      </c>
      <c r="C117" s="627" t="s">
        <v>10</v>
      </c>
      <c r="D117" s="28">
        <f>B117+0.0001</f>
        <v>3.2221000000000002</v>
      </c>
      <c r="E117" s="29">
        <v>4</v>
      </c>
      <c r="F117" s="57"/>
      <c r="G117" s="58">
        <v>0</v>
      </c>
      <c r="H117" s="59">
        <v>0</v>
      </c>
      <c r="I117" s="60">
        <v>0</v>
      </c>
      <c r="J117" s="61">
        <v>0</v>
      </c>
      <c r="K117" s="62">
        <v>-15.73</v>
      </c>
      <c r="L117" s="60"/>
      <c r="M117" s="92"/>
      <c r="N117" s="93"/>
      <c r="O117" s="203"/>
      <c r="P117" s="264" t="s">
        <v>61</v>
      </c>
      <c r="Q117" s="34" t="str">
        <f t="shared" si="15"/>
        <v>22</v>
      </c>
      <c r="R117" s="237">
        <f t="shared" ref="R117" si="26">IF(B117="","",B117)</f>
        <v>3.222</v>
      </c>
      <c r="S117" t="str">
        <f t="shared" si="9"/>
        <v>1111 .6875Cb</v>
      </c>
      <c r="T117" t="str">
        <f>IF($R117="","",C117)</f>
        <v>1313 .6875Cb</v>
      </c>
      <c r="AA117">
        <f t="shared" ref="AA117" si="27">IF($R117="","",AB117+AD117-AC117)</f>
        <v>-101.06</v>
      </c>
      <c r="AB117">
        <f>IF($R117="","",K117)</f>
        <v>-15.73</v>
      </c>
      <c r="AC117">
        <f>IF($R117="","",INDEX($A$11:$O$164,MATCH($Q117,$A$11:$A$164,0)+AC$96,AC$97))</f>
        <v>-0.67</v>
      </c>
      <c r="AD117">
        <v>-86</v>
      </c>
      <c r="AF117">
        <f t="shared" si="18"/>
        <v>0</v>
      </c>
      <c r="AG117">
        <f t="shared" si="12"/>
        <v>0</v>
      </c>
      <c r="AH117">
        <f t="shared" si="10"/>
        <v>-15.73</v>
      </c>
    </row>
    <row r="118" spans="1:34" ht="13.5" hidden="1" thickTop="1">
      <c r="A118" s="34"/>
      <c r="B118" s="625"/>
      <c r="C118" s="627"/>
      <c r="D118" s="28">
        <f>D117+0.0001</f>
        <v>3.2222000000000004</v>
      </c>
      <c r="E118" s="29">
        <f>D117</f>
        <v>3.2221000000000002</v>
      </c>
      <c r="F118" s="57"/>
      <c r="G118" s="58">
        <v>3.87142677184469</v>
      </c>
      <c r="H118" s="59">
        <v>-0.82215154571422489</v>
      </c>
      <c r="I118" s="60">
        <v>-43.5</v>
      </c>
      <c r="J118" s="61">
        <v>25</v>
      </c>
      <c r="K118" s="66">
        <v>-9.65</v>
      </c>
      <c r="L118" s="60"/>
      <c r="M118" s="94"/>
      <c r="N118" s="95"/>
      <c r="O118" s="203"/>
      <c r="P118" s="265" t="s">
        <v>42</v>
      </c>
      <c r="Q118" s="34" t="str">
        <f t="shared" si="15"/>
        <v/>
      </c>
      <c r="R118" s="237"/>
      <c r="S118" t="str">
        <f t="shared" si="9"/>
        <v/>
      </c>
      <c r="U118">
        <f>IF($R117="","",INDEX($A$11:$O$164,MATCH($Q117,$A$11:$A$164,0)+U$96,U$97))</f>
        <v>0</v>
      </c>
      <c r="V118">
        <f>IF($R117="","",INDEX($A$11:$O$164,MATCH($Q117,$A$11:$A$164,0)+V$96,V$97))</f>
        <v>3.2311999999999999</v>
      </c>
      <c r="W118">
        <f>IF($R117="","",INDEX($A$11:$O$164,MATCH($Q117,$A$11:$A$164,0)+W$96,W$97))</f>
        <v>-0.1913</v>
      </c>
      <c r="X118">
        <f>IF($R117="","",INDEX($A$11:$O$164,MATCH($Q117,$A$11:$A$164,0)+X$96,X$97))</f>
        <v>-18.100000000000001</v>
      </c>
      <c r="Y118">
        <f>IF($R117="","",INDEX($A$11:$O$164,MATCH($Q117,$A$11:$A$164,0)+Y$96,Y$97))</f>
        <v>21</v>
      </c>
      <c r="Z118">
        <f t="shared" ref="Z118" si="28">IF(OR(LEFT(T117,2)="13",LEFT(T117,2)="16"),Y118+5,"")</f>
        <v>26</v>
      </c>
      <c r="AF118">
        <f t="shared" si="18"/>
        <v>-18.100000000000001</v>
      </c>
      <c r="AG118">
        <f t="shared" si="12"/>
        <v>26</v>
      </c>
      <c r="AH118">
        <f t="shared" si="10"/>
        <v>-5.07</v>
      </c>
    </row>
    <row r="119" spans="1:34" ht="13.5" hidden="1" thickBot="1">
      <c r="A119" s="34"/>
      <c r="B119" s="638">
        <v>3.2269999999999999</v>
      </c>
      <c r="C119" s="639" t="s">
        <v>10</v>
      </c>
      <c r="D119" s="30">
        <f>B119+0.0001</f>
        <v>3.2271000000000001</v>
      </c>
      <c r="E119" s="31">
        <v>4</v>
      </c>
      <c r="F119" s="96"/>
      <c r="G119" s="97">
        <v>0</v>
      </c>
      <c r="H119" s="98">
        <v>0</v>
      </c>
      <c r="I119" s="99">
        <v>0</v>
      </c>
      <c r="J119" s="100">
        <v>0</v>
      </c>
      <c r="K119" s="104">
        <v>-15.55</v>
      </c>
      <c r="L119" s="99"/>
      <c r="M119" s="105"/>
      <c r="N119" s="106"/>
      <c r="O119" s="217"/>
      <c r="P119" s="264" t="s">
        <v>62</v>
      </c>
      <c r="Q119" s="34" t="str">
        <f t="shared" si="15"/>
        <v>27</v>
      </c>
      <c r="R119" s="237">
        <f t="shared" ref="R119" si="29">IF(B119="","",B119)</f>
        <v>3.2269999999999999</v>
      </c>
      <c r="S119" t="str">
        <f t="shared" si="9"/>
        <v>1111 .6875Cb</v>
      </c>
      <c r="T119" t="str">
        <f>IF($R119="","",C119)</f>
        <v>1313 .6875Cb</v>
      </c>
      <c r="AA119">
        <f t="shared" ref="AA119" si="30">IF($R119="","",AB119+AD119-AC119)</f>
        <v>-100.35</v>
      </c>
      <c r="AB119">
        <f>IF($R119="","",K119)</f>
        <v>-15.55</v>
      </c>
      <c r="AC119">
        <f>IF($R119="","",INDEX($A$11:$O$164,MATCH($Q119,$A$11:$A$164,0)+AC$96,AC$97))</f>
        <v>-1.2</v>
      </c>
      <c r="AD119">
        <v>-86</v>
      </c>
      <c r="AF119">
        <f t="shared" si="18"/>
        <v>0</v>
      </c>
      <c r="AG119">
        <f t="shared" si="12"/>
        <v>0</v>
      </c>
      <c r="AH119">
        <f t="shared" si="10"/>
        <v>-15.55</v>
      </c>
    </row>
    <row r="120" spans="1:34" ht="14.25" hidden="1" thickTop="1" thickBot="1">
      <c r="A120" s="34"/>
      <c r="B120" s="693"/>
      <c r="C120" s="694"/>
      <c r="D120" s="317">
        <f>D119+0.0001</f>
        <v>3.2272000000000003</v>
      </c>
      <c r="E120" s="318">
        <f>D119</f>
        <v>3.2271000000000001</v>
      </c>
      <c r="F120" s="319"/>
      <c r="G120" s="320">
        <v>4.0103833314834629</v>
      </c>
      <c r="H120" s="321">
        <v>-1.5982845666415011</v>
      </c>
      <c r="I120" s="322">
        <v>-65</v>
      </c>
      <c r="J120" s="323">
        <v>30</v>
      </c>
      <c r="K120" s="324">
        <v>-10.24</v>
      </c>
      <c r="L120" s="322"/>
      <c r="M120" s="325"/>
      <c r="N120" s="326"/>
      <c r="O120" s="327"/>
      <c r="P120" s="265" t="s">
        <v>43</v>
      </c>
      <c r="Q120" s="34" t="str">
        <f t="shared" si="15"/>
        <v/>
      </c>
      <c r="R120" s="237"/>
      <c r="S120" t="str">
        <f t="shared" si="9"/>
        <v/>
      </c>
      <c r="U120">
        <f>IF($R119="","",INDEX($A$11:$O$164,MATCH($Q119,$A$11:$A$164,0)+U$96,U$97))</f>
        <v>0</v>
      </c>
      <c r="V120">
        <f>IF($R119="","",INDEX($A$11:$O$164,MATCH($Q119,$A$11:$A$164,0)+V$96,V$97))</f>
        <v>3.6295000000000002</v>
      </c>
      <c r="W120">
        <f>IF($R119="","",INDEX($A$11:$O$164,MATCH($Q119,$A$11:$A$164,0)+W$96,W$97))</f>
        <v>-0.45760000000000001</v>
      </c>
      <c r="X120">
        <f>IF($R119="","",INDEX($A$11:$O$164,MATCH($Q119,$A$11:$A$164,0)+X$96,X$97))</f>
        <v>-30.2</v>
      </c>
      <c r="Y120">
        <f>IF($R119="","",INDEX($A$11:$O$164,MATCH($Q119,$A$11:$A$164,0)+Y$96,Y$97))</f>
        <v>23</v>
      </c>
      <c r="Z120">
        <f t="shared" ref="Z120" si="31">IF(OR(LEFT(T119,2)="13",LEFT(T119,2)="16"),Y120+5,"")</f>
        <v>28</v>
      </c>
      <c r="AF120">
        <f t="shared" si="18"/>
        <v>-30.2</v>
      </c>
      <c r="AG120">
        <f t="shared" si="12"/>
        <v>28</v>
      </c>
      <c r="AH120">
        <f t="shared" si="10"/>
        <v>-6.72</v>
      </c>
    </row>
    <row r="121" spans="1:34" ht="13.5" hidden="1" thickBot="1">
      <c r="A121" s="34"/>
      <c r="B121" s="661">
        <v>4.2110000000000003</v>
      </c>
      <c r="C121" s="662" t="s">
        <v>10</v>
      </c>
      <c r="D121" s="329">
        <f>B121+0.0001</f>
        <v>4.2111000000000001</v>
      </c>
      <c r="E121" s="330">
        <v>1</v>
      </c>
      <c r="F121" s="331"/>
      <c r="G121" s="332">
        <v>0</v>
      </c>
      <c r="H121" s="333">
        <v>0</v>
      </c>
      <c r="I121" s="334">
        <v>0</v>
      </c>
      <c r="J121" s="335">
        <v>0</v>
      </c>
      <c r="K121" s="336">
        <v>-21.19</v>
      </c>
      <c r="L121" s="334"/>
      <c r="M121" s="337"/>
      <c r="N121" s="338"/>
      <c r="O121" s="339"/>
      <c r="P121" s="264" t="s">
        <v>65</v>
      </c>
      <c r="Q121" s="34" t="str">
        <f t="shared" si="15"/>
        <v>11</v>
      </c>
      <c r="R121" s="237">
        <f t="shared" ref="R121" si="32">IF(B121="","",B121)</f>
        <v>4.2110000000000003</v>
      </c>
      <c r="S121" t="str">
        <f t="shared" si="9"/>
        <v>1111 .6875Cb</v>
      </c>
      <c r="T121" t="str">
        <f>IF($R121="","",C121)</f>
        <v>1313 .6875Cb</v>
      </c>
      <c r="AA121">
        <f t="shared" ref="AA121" si="33">IF($R121="","",AB121+AD121-AC121)</f>
        <v>-157.19</v>
      </c>
      <c r="AB121">
        <f>IF($R121="","",K121)</f>
        <v>-21.19</v>
      </c>
      <c r="AC121">
        <f>IF($R121="","",INDEX($A$11:$O$164,MATCH($Q121,$A$11:$A$164,0)+AC$96,AC$97))</f>
        <v>0</v>
      </c>
      <c r="AD121">
        <f>-67-69</f>
        <v>-136</v>
      </c>
      <c r="AF121">
        <f t="shared" si="18"/>
        <v>0</v>
      </c>
      <c r="AG121">
        <f t="shared" si="12"/>
        <v>0</v>
      </c>
      <c r="AH121">
        <f t="shared" si="10"/>
        <v>-21.19</v>
      </c>
    </row>
    <row r="122" spans="1:34" ht="13.5" hidden="1" thickTop="1">
      <c r="A122" s="34"/>
      <c r="B122" s="643"/>
      <c r="C122" s="645"/>
      <c r="D122" s="117">
        <f>D121+0.0001</f>
        <v>4.2111999999999998</v>
      </c>
      <c r="E122" s="118">
        <f>D121</f>
        <v>4.2111000000000001</v>
      </c>
      <c r="F122" s="119"/>
      <c r="G122" s="120">
        <v>2.2616951103667189</v>
      </c>
      <c r="H122" s="121">
        <v>-0.20086423132812625</v>
      </c>
      <c r="I122" s="122">
        <v>10</v>
      </c>
      <c r="J122" s="123">
        <v>20</v>
      </c>
      <c r="K122" s="124">
        <v>0</v>
      </c>
      <c r="L122" s="122"/>
      <c r="M122" s="125"/>
      <c r="N122" s="126"/>
      <c r="O122" s="223"/>
      <c r="P122" s="265" t="s">
        <v>51</v>
      </c>
      <c r="Q122" s="34" t="str">
        <f t="shared" si="15"/>
        <v/>
      </c>
      <c r="R122" s="237"/>
      <c r="S122" t="str">
        <f t="shared" si="9"/>
        <v/>
      </c>
      <c r="U122">
        <f>IF($R121="","",INDEX($A$11:$O$164,MATCH($Q121,$A$11:$A$164,0)+U$96,U$97))</f>
        <v>0</v>
      </c>
      <c r="V122">
        <f>IF($R121="","",INDEX($A$11:$O$164,MATCH($Q121,$A$11:$A$164,0)+V$96,V$97))</f>
        <v>2.1025</v>
      </c>
      <c r="W122">
        <f>IF($R121="","",INDEX($A$11:$O$164,MATCH($Q121,$A$11:$A$164,0)+W$96,W$97))</f>
        <v>-6.6000000000000003E-2</v>
      </c>
      <c r="X122">
        <f>IF($R121="","",INDEX($A$11:$O$164,MATCH($Q121,$A$11:$A$164,0)+X$96,X$97))</f>
        <v>5</v>
      </c>
      <c r="Y122">
        <f>IF($R121="","",INDEX($A$11:$O$164,MATCH($Q121,$A$11:$A$164,0)+Y$96,Y$97))</f>
        <v>20</v>
      </c>
      <c r="Z122">
        <f t="shared" ref="Z122" si="34">IF(OR(LEFT(T121,2)="13",LEFT(T121,2)="16"),Y122+5,"")</f>
        <v>25</v>
      </c>
      <c r="AF122">
        <f t="shared" si="18"/>
        <v>5</v>
      </c>
      <c r="AG122">
        <f t="shared" si="12"/>
        <v>25</v>
      </c>
      <c r="AH122">
        <f t="shared" si="10"/>
        <v>0</v>
      </c>
    </row>
    <row r="123" spans="1:34" ht="13.5" hidden="1" thickBot="1">
      <c r="A123" s="34"/>
      <c r="B123" s="640">
        <v>4.2160000000000002</v>
      </c>
      <c r="C123" s="627" t="s">
        <v>10</v>
      </c>
      <c r="D123" s="28">
        <f>B123+0.0001</f>
        <v>4.2161</v>
      </c>
      <c r="E123" s="29">
        <v>5</v>
      </c>
      <c r="F123" s="57"/>
      <c r="G123" s="58">
        <v>0</v>
      </c>
      <c r="H123" s="59">
        <v>0</v>
      </c>
      <c r="I123" s="60">
        <v>0</v>
      </c>
      <c r="J123" s="61">
        <v>0</v>
      </c>
      <c r="K123" s="62">
        <v>-17.489999999999998</v>
      </c>
      <c r="L123" s="60"/>
      <c r="M123" s="63"/>
      <c r="N123" s="64"/>
      <c r="O123" s="221"/>
      <c r="P123" s="264" t="s">
        <v>65</v>
      </c>
      <c r="Q123" s="34" t="str">
        <f t="shared" si="15"/>
        <v>16</v>
      </c>
      <c r="R123" s="237">
        <f t="shared" ref="R123" si="35">IF(B123="","",B123)</f>
        <v>4.2160000000000002</v>
      </c>
      <c r="S123" t="str">
        <f t="shared" si="9"/>
        <v>1111 .6875Cb</v>
      </c>
      <c r="T123" t="str">
        <f>IF($R123="","",C123)</f>
        <v>1313 .6875Cb</v>
      </c>
      <c r="AA123">
        <f t="shared" ref="AA123" si="36">IF($R123="","",AB123+AD123-AC123)</f>
        <v>-84.38</v>
      </c>
      <c r="AB123">
        <f>IF($R123="","",K123)</f>
        <v>-17.489999999999998</v>
      </c>
      <c r="AC123">
        <f>IF($R123="","",INDEX($A$11:$O$164,MATCH($Q123,$A$11:$A$164,0)+AC$96,AC$97))</f>
        <v>-0.11</v>
      </c>
      <c r="AD123">
        <v>-67</v>
      </c>
      <c r="AF123">
        <f t="shared" si="18"/>
        <v>0</v>
      </c>
      <c r="AG123">
        <f t="shared" si="12"/>
        <v>0</v>
      </c>
      <c r="AH123">
        <f t="shared" si="10"/>
        <v>-17.489999999999998</v>
      </c>
    </row>
    <row r="124" spans="1:34" ht="13.5" hidden="1" thickTop="1">
      <c r="A124" s="34"/>
      <c r="B124" s="640"/>
      <c r="C124" s="627"/>
      <c r="D124" s="28">
        <f>D123+0.0001</f>
        <v>4.2161999999999997</v>
      </c>
      <c r="E124" s="29">
        <f>D123</f>
        <v>4.2161</v>
      </c>
      <c r="F124" s="57"/>
      <c r="G124" s="58">
        <v>3.1478360838853305</v>
      </c>
      <c r="H124" s="59">
        <v>-0.1785880795245289</v>
      </c>
      <c r="I124" s="60">
        <v>-14.6</v>
      </c>
      <c r="J124" s="61">
        <v>20</v>
      </c>
      <c r="K124" s="66">
        <v>-6.4</v>
      </c>
      <c r="L124" s="60"/>
      <c r="M124" s="67"/>
      <c r="N124" s="68"/>
      <c r="O124" s="221"/>
      <c r="P124" s="265" t="s">
        <v>51</v>
      </c>
      <c r="Q124" s="34" t="str">
        <f t="shared" si="15"/>
        <v/>
      </c>
      <c r="R124" s="237"/>
      <c r="S124" t="str">
        <f t="shared" si="9"/>
        <v/>
      </c>
      <c r="U124">
        <f>IF($R123="","",INDEX($A$11:$O$164,MATCH($Q123,$A$11:$A$164,0)+U$96,U$97))</f>
        <v>0</v>
      </c>
      <c r="V124">
        <f>IF($R123="","",INDEX($A$11:$O$164,MATCH($Q123,$A$11:$A$164,0)+V$96,V$97))</f>
        <v>2.6665000000000001</v>
      </c>
      <c r="W124">
        <f>IF($R123="","",INDEX($A$11:$O$164,MATCH($Q123,$A$11:$A$164,0)+W$96,W$97))</f>
        <v>-3.5200000000000002E-2</v>
      </c>
      <c r="X124">
        <f>IF($R123="","",INDEX($A$11:$O$164,MATCH($Q123,$A$11:$A$164,0)+X$96,X$97))</f>
        <v>-3.4</v>
      </c>
      <c r="Y124">
        <f>IF($R123="","",INDEX($A$11:$O$164,MATCH($Q123,$A$11:$A$164,0)+Y$96,Y$97))</f>
        <v>20</v>
      </c>
      <c r="Z124">
        <f t="shared" ref="Z124" si="37">IF(OR(LEFT(T123,2)="13",LEFT(T123,2)="16"),Y124+5,"")</f>
        <v>25</v>
      </c>
      <c r="AF124">
        <f t="shared" si="18"/>
        <v>-3.4</v>
      </c>
      <c r="AG124">
        <f t="shared" si="12"/>
        <v>25</v>
      </c>
      <c r="AH124">
        <f t="shared" si="10"/>
        <v>-2.75</v>
      </c>
    </row>
    <row r="125" spans="1:34" ht="13.5" hidden="1" thickBot="1">
      <c r="A125" s="34"/>
      <c r="B125" s="642">
        <v>4.2210000000000001</v>
      </c>
      <c r="C125" s="663" t="s">
        <v>10</v>
      </c>
      <c r="D125" s="107">
        <f>B125+0.0001</f>
        <v>4.2210999999999999</v>
      </c>
      <c r="E125" s="108">
        <v>5</v>
      </c>
      <c r="F125" s="109"/>
      <c r="G125" s="110">
        <v>0</v>
      </c>
      <c r="H125" s="111">
        <v>0</v>
      </c>
      <c r="I125" s="112">
        <v>0</v>
      </c>
      <c r="J125" s="113">
        <v>0</v>
      </c>
      <c r="K125" s="114">
        <v>-15.86</v>
      </c>
      <c r="L125" s="112"/>
      <c r="M125" s="115"/>
      <c r="N125" s="116"/>
      <c r="O125" s="222"/>
      <c r="P125" s="264" t="s">
        <v>54</v>
      </c>
      <c r="Q125" s="34" t="str">
        <f t="shared" si="15"/>
        <v>21</v>
      </c>
      <c r="R125" s="237">
        <f t="shared" ref="R125" si="38">IF(B125="","",B125)</f>
        <v>4.2210000000000001</v>
      </c>
      <c r="S125" t="str">
        <f t="shared" si="9"/>
        <v>1111 .6875Cb</v>
      </c>
      <c r="T125" t="str">
        <f>IF($R125="","",C125)</f>
        <v>1313 .6875Cb</v>
      </c>
      <c r="AA125">
        <f t="shared" ref="AA125" si="39">IF($R125="","",AB125+AD125-AC125)</f>
        <v>-82.3</v>
      </c>
      <c r="AB125">
        <f>IF($R125="","",K125)</f>
        <v>-15.86</v>
      </c>
      <c r="AC125">
        <f>IF($R125="","",INDEX($A$11:$O$164,MATCH($Q125,$A$11:$A$164,0)+AC$96,AC$97))</f>
        <v>-0.56000000000000005</v>
      </c>
      <c r="AD125">
        <v>-67</v>
      </c>
      <c r="AF125">
        <f t="shared" si="18"/>
        <v>0</v>
      </c>
      <c r="AG125">
        <f t="shared" si="12"/>
        <v>0</v>
      </c>
      <c r="AH125">
        <f t="shared" si="10"/>
        <v>-15.86</v>
      </c>
    </row>
    <row r="126" spans="1:34" ht="13.5" hidden="1" thickTop="1">
      <c r="A126" s="34"/>
      <c r="B126" s="643"/>
      <c r="C126" s="645"/>
      <c r="D126" s="117">
        <f>D125+0.0001</f>
        <v>4.2211999999999996</v>
      </c>
      <c r="E126" s="118">
        <f>D125</f>
        <v>4.2210999999999999</v>
      </c>
      <c r="F126" s="119"/>
      <c r="G126" s="120">
        <v>3.7883570301899514</v>
      </c>
      <c r="H126" s="121">
        <v>-0.67830897946888113</v>
      </c>
      <c r="I126" s="122">
        <v>-38.700000000000003</v>
      </c>
      <c r="J126" s="123">
        <v>22.5</v>
      </c>
      <c r="K126" s="124">
        <v>-9.2799999999999994</v>
      </c>
      <c r="L126" s="122"/>
      <c r="M126" s="125"/>
      <c r="N126" s="126"/>
      <c r="O126" s="223"/>
      <c r="P126" s="265" t="s">
        <v>52</v>
      </c>
      <c r="Q126" s="34" t="str">
        <f t="shared" si="15"/>
        <v/>
      </c>
      <c r="R126" s="237"/>
      <c r="S126" t="str">
        <f t="shared" si="9"/>
        <v/>
      </c>
      <c r="U126">
        <f>IF($R125="","",INDEX($A$11:$O$164,MATCH($Q125,$A$11:$A$164,0)+U$96,U$97))</f>
        <v>0</v>
      </c>
      <c r="V126">
        <f>IF($R125="","",INDEX($A$11:$O$164,MATCH($Q125,$A$11:$A$164,0)+V$96,V$97))</f>
        <v>3.1427</v>
      </c>
      <c r="W126">
        <f>IF($R125="","",INDEX($A$11:$O$164,MATCH($Q125,$A$11:$A$164,0)+W$96,W$97))</f>
        <v>-0.15310000000000001</v>
      </c>
      <c r="X126">
        <f>IF($R125="","",INDEX($A$11:$O$164,MATCH($Q125,$A$11:$A$164,0)+X$96,X$97))</f>
        <v>-15.7</v>
      </c>
      <c r="Y126">
        <f>IF($R125="","",INDEX($A$11:$O$164,MATCH($Q125,$A$11:$A$164,0)+Y$96,Y$97))</f>
        <v>20</v>
      </c>
      <c r="Z126">
        <f t="shared" ref="Z126" si="40">IF(OR(LEFT(T125,2)="13",LEFT(T125,2)="16"),Y126+5,"")</f>
        <v>25</v>
      </c>
      <c r="AF126">
        <f t="shared" si="18"/>
        <v>-15.7</v>
      </c>
      <c r="AG126">
        <f t="shared" si="12"/>
        <v>25</v>
      </c>
      <c r="AH126">
        <f t="shared" si="10"/>
        <v>-4.71</v>
      </c>
    </row>
    <row r="127" spans="1:34" ht="13.5" hidden="1" thickBot="1">
      <c r="A127" s="34"/>
      <c r="B127" s="640">
        <v>4.226</v>
      </c>
      <c r="C127" s="627" t="s">
        <v>10</v>
      </c>
      <c r="D127" s="28">
        <f>B127+0.0001</f>
        <v>4.2260999999999997</v>
      </c>
      <c r="E127" s="29">
        <v>5</v>
      </c>
      <c r="F127" s="57"/>
      <c r="G127" s="58">
        <v>0</v>
      </c>
      <c r="H127" s="59">
        <v>0</v>
      </c>
      <c r="I127" s="60">
        <v>0</v>
      </c>
      <c r="J127" s="61">
        <v>0</v>
      </c>
      <c r="K127" s="62">
        <v>-15.55</v>
      </c>
      <c r="L127" s="60"/>
      <c r="M127" s="63"/>
      <c r="N127" s="64"/>
      <c r="O127" s="221"/>
      <c r="P127" s="264" t="s">
        <v>55</v>
      </c>
      <c r="Q127" s="34" t="str">
        <f t="shared" si="15"/>
        <v>26</v>
      </c>
      <c r="R127" s="237">
        <f t="shared" ref="R127" si="41">IF(B127="","",B127)</f>
        <v>4.226</v>
      </c>
      <c r="S127" t="str">
        <f t="shared" si="9"/>
        <v>1111 .6875Cb</v>
      </c>
      <c r="T127" t="str">
        <f>IF($R127="","",C127)</f>
        <v>1313 .6875Cb</v>
      </c>
      <c r="AA127">
        <f t="shared" ref="AA127" si="42">IF($R127="","",AB127+AD127-AC127)</f>
        <v>-81.45</v>
      </c>
      <c r="AB127">
        <f>IF($R127="","",K127)</f>
        <v>-15.55</v>
      </c>
      <c r="AC127">
        <f>IF($R127="","",INDEX($A$11:$O$164,MATCH($Q127,$A$11:$A$164,0)+AC$96,AC$97))</f>
        <v>-1.1000000000000001</v>
      </c>
      <c r="AD127">
        <v>-67</v>
      </c>
      <c r="AF127">
        <f t="shared" si="18"/>
        <v>0</v>
      </c>
      <c r="AG127">
        <f t="shared" si="12"/>
        <v>0</v>
      </c>
      <c r="AH127">
        <f t="shared" si="10"/>
        <v>-15.55</v>
      </c>
    </row>
    <row r="128" spans="1:34" ht="14.25" hidden="1" thickTop="1" thickBot="1">
      <c r="A128" s="34"/>
      <c r="B128" s="664"/>
      <c r="C128" s="665"/>
      <c r="D128" s="239">
        <f>D127+0.0001</f>
        <v>4.2261999999999995</v>
      </c>
      <c r="E128" s="240">
        <f>D127</f>
        <v>4.2260999999999997</v>
      </c>
      <c r="F128" s="241"/>
      <c r="G128" s="242">
        <v>4.0035587220967948</v>
      </c>
      <c r="H128" s="243">
        <v>-1.4388809368316966</v>
      </c>
      <c r="I128" s="244">
        <v>-62.9</v>
      </c>
      <c r="J128" s="245">
        <v>27.5</v>
      </c>
      <c r="K128" s="246">
        <v>-10.220000000000001</v>
      </c>
      <c r="L128" s="244"/>
      <c r="M128" s="280"/>
      <c r="N128" s="281"/>
      <c r="O128" s="283"/>
      <c r="P128" s="265" t="s">
        <v>53</v>
      </c>
      <c r="Q128" s="34" t="str">
        <f t="shared" si="15"/>
        <v/>
      </c>
      <c r="R128" s="237"/>
      <c r="S128" t="str">
        <f t="shared" si="9"/>
        <v/>
      </c>
      <c r="U128">
        <f>IF($R127="","",INDEX($A$11:$O$164,MATCH($Q127,$A$11:$A$164,0)+U$96,U$97))</f>
        <v>0</v>
      </c>
      <c r="V128">
        <f>IF($R127="","",INDEX($A$11:$O$164,MATCH($Q127,$A$11:$A$164,0)+V$96,V$97))</f>
        <v>3.5589</v>
      </c>
      <c r="W128">
        <f>IF($R127="","",INDEX($A$11:$O$164,MATCH($Q127,$A$11:$A$164,0)+W$96,W$97))</f>
        <v>-0.39660000000000001</v>
      </c>
      <c r="X128">
        <f>IF($R127="","",INDEX($A$11:$O$164,MATCH($Q127,$A$11:$A$164,0)+X$96,X$97))</f>
        <v>-27.8</v>
      </c>
      <c r="Y128">
        <f>IF($R127="","",INDEX($A$11:$O$164,MATCH($Q127,$A$11:$A$164,0)+Y$96,Y$97))</f>
        <v>23</v>
      </c>
      <c r="Z128">
        <f t="shared" ref="Z128" si="43">IF(OR(LEFT(T127,2)="13",LEFT(T127,2)="16"),Y128+5,"")</f>
        <v>28</v>
      </c>
      <c r="AF128">
        <f t="shared" si="18"/>
        <v>-27.8</v>
      </c>
      <c r="AG128">
        <f t="shared" si="12"/>
        <v>28</v>
      </c>
      <c r="AH128">
        <f t="shared" si="10"/>
        <v>-6.42</v>
      </c>
    </row>
    <row r="129" spans="1:34" ht="13.5" hidden="1" thickBot="1">
      <c r="A129" s="34"/>
      <c r="B129" s="691">
        <v>5.2149999999999999</v>
      </c>
      <c r="C129" s="692" t="s">
        <v>10</v>
      </c>
      <c r="D129" s="224">
        <f>B129+0.0001</f>
        <v>5.2150999999999996</v>
      </c>
      <c r="E129" s="225">
        <v>6</v>
      </c>
      <c r="F129" s="226"/>
      <c r="G129" s="227">
        <v>0</v>
      </c>
      <c r="H129" s="228">
        <v>0</v>
      </c>
      <c r="I129" s="229">
        <v>0</v>
      </c>
      <c r="J129" s="230">
        <v>0</v>
      </c>
      <c r="K129" s="231">
        <v>-18.11</v>
      </c>
      <c r="L129" s="229"/>
      <c r="M129" s="232"/>
      <c r="N129" s="233"/>
      <c r="O129" s="234"/>
      <c r="P129" s="264" t="s">
        <v>58</v>
      </c>
      <c r="Q129" s="34" t="str">
        <f t="shared" si="15"/>
        <v>15</v>
      </c>
      <c r="R129" s="237">
        <f t="shared" ref="R129" si="44">IF(B129="","",B129)</f>
        <v>5.2149999999999999</v>
      </c>
      <c r="S129" t="str">
        <f t="shared" si="9"/>
        <v>1111 .6875Cb</v>
      </c>
      <c r="T129" t="str">
        <f>IF($R129="","",C129)</f>
        <v>1313 .6875Cb</v>
      </c>
      <c r="AA129">
        <f t="shared" ref="AA129" si="45">IF($R129="","",AB129+AD129-AC129)</f>
        <v>-87.06</v>
      </c>
      <c r="AB129">
        <f>IF($R129="","",K129)</f>
        <v>-18.11</v>
      </c>
      <c r="AC129">
        <f>IF($R129="","",INDEX($A$11:$O$164,MATCH($Q129,$A$11:$A$164,0)+AC$96,AC$97))</f>
        <v>-0.05</v>
      </c>
      <c r="AD129">
        <v>-69</v>
      </c>
      <c r="AF129">
        <f t="shared" si="18"/>
        <v>0</v>
      </c>
      <c r="AG129">
        <f t="shared" si="12"/>
        <v>0</v>
      </c>
      <c r="AH129">
        <f t="shared" si="10"/>
        <v>-18.11</v>
      </c>
    </row>
    <row r="130" spans="1:34" ht="13.5" hidden="1" thickTop="1">
      <c r="A130" s="34"/>
      <c r="B130" s="687"/>
      <c r="C130" s="689"/>
      <c r="D130" s="127">
        <f>D129+0.0001</f>
        <v>5.2151999999999994</v>
      </c>
      <c r="E130" s="128">
        <f>D129</f>
        <v>5.2150999999999996</v>
      </c>
      <c r="F130" s="129"/>
      <c r="G130" s="130">
        <v>2.9873810100418443</v>
      </c>
      <c r="H130" s="131">
        <v>-0.13364392722127044</v>
      </c>
      <c r="I130" s="132">
        <v>-9.6999999999999993</v>
      </c>
      <c r="J130" s="133">
        <v>20</v>
      </c>
      <c r="K130" s="134">
        <v>-5.6829999999999998</v>
      </c>
      <c r="L130" s="132"/>
      <c r="M130" s="135"/>
      <c r="N130" s="136"/>
      <c r="O130" s="235"/>
      <c r="P130" s="265" t="s">
        <v>45</v>
      </c>
      <c r="Q130" s="34" t="str">
        <f t="shared" si="15"/>
        <v/>
      </c>
      <c r="R130" s="237"/>
      <c r="S130" t="str">
        <f t="shared" si="9"/>
        <v/>
      </c>
      <c r="U130">
        <f>IF($R129="","",INDEX($A$11:$O$164,MATCH($Q129,$A$11:$A$164,0)+U$96,U$97))</f>
        <v>0</v>
      </c>
      <c r="V130">
        <f>IF($R129="","",INDEX($A$11:$O$164,MATCH($Q129,$A$11:$A$164,0)+V$96,V$97))</f>
        <v>2.5676000000000001</v>
      </c>
      <c r="W130">
        <f>IF($R129="","",INDEX($A$11:$O$164,MATCH($Q129,$A$11:$A$164,0)+W$96,W$97))</f>
        <v>-2.8500000000000001E-2</v>
      </c>
      <c r="X130">
        <f>IF($R129="","",INDEX($A$11:$O$164,MATCH($Q129,$A$11:$A$164,0)+X$96,X$97))</f>
        <v>-0.9</v>
      </c>
      <c r="Y130">
        <f>IF($R129="","",INDEX($A$11:$O$164,MATCH($Q129,$A$11:$A$164,0)+Y$96,Y$97))</f>
        <v>20</v>
      </c>
      <c r="Z130">
        <f t="shared" ref="Z130" si="46">IF(OR(LEFT(T129,2)="13",LEFT(T129,2)="16"),Y130+5,"")</f>
        <v>25</v>
      </c>
      <c r="AF130">
        <f t="shared" si="18"/>
        <v>-0.9</v>
      </c>
      <c r="AG130">
        <f t="shared" si="12"/>
        <v>25</v>
      </c>
      <c r="AH130">
        <f t="shared" si="10"/>
        <v>-2.34</v>
      </c>
    </row>
    <row r="131" spans="1:34" ht="13.5" hidden="1" thickBot="1">
      <c r="A131" s="34"/>
      <c r="B131" s="625">
        <v>5.22</v>
      </c>
      <c r="C131" s="627" t="s">
        <v>10</v>
      </c>
      <c r="D131" s="28">
        <f>B131+0.0001</f>
        <v>5.2200999999999995</v>
      </c>
      <c r="E131" s="29">
        <v>6</v>
      </c>
      <c r="F131" s="57"/>
      <c r="G131" s="58">
        <v>0</v>
      </c>
      <c r="H131" s="59">
        <v>0</v>
      </c>
      <c r="I131" s="60">
        <v>0</v>
      </c>
      <c r="J131" s="61">
        <v>0</v>
      </c>
      <c r="K131" s="62">
        <v>-16.04</v>
      </c>
      <c r="L131" s="60"/>
      <c r="M131" s="92"/>
      <c r="N131" s="93"/>
      <c r="O131" s="203"/>
      <c r="P131" s="264" t="s">
        <v>57</v>
      </c>
      <c r="Q131" s="34" t="str">
        <f t="shared" si="15"/>
        <v>20</v>
      </c>
      <c r="R131" s="237">
        <f t="shared" ref="R131" si="47">IF(B131="","",B131)</f>
        <v>5.22</v>
      </c>
      <c r="S131" t="str">
        <f t="shared" si="9"/>
        <v>1111 .6875Cb</v>
      </c>
      <c r="T131" t="str">
        <f>IF($R131="","",C131)</f>
        <v>1313 .6875Cb</v>
      </c>
      <c r="AA131">
        <f t="shared" ref="AA131" si="48">IF($R131="","",AB131+AD131-AC131)</f>
        <v>-84.58</v>
      </c>
      <c r="AB131">
        <f>IF($R131="","",K131)</f>
        <v>-16.04</v>
      </c>
      <c r="AC131">
        <f>IF($R131="","",INDEX($A$11:$O$164,MATCH($Q131,$A$11:$A$164,0)+AC$96,AC$97))</f>
        <v>-0.46</v>
      </c>
      <c r="AD131">
        <v>-69</v>
      </c>
      <c r="AF131">
        <f t="shared" si="18"/>
        <v>0</v>
      </c>
      <c r="AG131">
        <f t="shared" si="12"/>
        <v>0</v>
      </c>
      <c r="AH131">
        <f t="shared" si="10"/>
        <v>-16.04</v>
      </c>
    </row>
    <row r="132" spans="1:34" ht="13.5" hidden="1" thickTop="1">
      <c r="A132" s="34"/>
      <c r="B132" s="625"/>
      <c r="C132" s="627"/>
      <c r="D132" s="28">
        <f>D131+0.0001</f>
        <v>5.2201999999999993</v>
      </c>
      <c r="E132" s="29">
        <f>D131</f>
        <v>5.2200999999999995</v>
      </c>
      <c r="F132" s="57"/>
      <c r="G132" s="58">
        <v>3.6906344090980898</v>
      </c>
      <c r="H132" s="59">
        <v>-0.54813539972342951</v>
      </c>
      <c r="I132" s="60">
        <v>-33.9</v>
      </c>
      <c r="J132" s="61">
        <v>22.5</v>
      </c>
      <c r="K132" s="66">
        <v>-8.85</v>
      </c>
      <c r="L132" s="60"/>
      <c r="M132" s="94"/>
      <c r="N132" s="95"/>
      <c r="O132" s="203"/>
      <c r="P132" s="265" t="s">
        <v>46</v>
      </c>
      <c r="Q132" s="34" t="str">
        <f t="shared" si="15"/>
        <v/>
      </c>
      <c r="R132" s="237"/>
      <c r="S132" t="str">
        <f t="shared" si="9"/>
        <v/>
      </c>
      <c r="U132">
        <f>IF($R131="","",INDEX($A$11:$O$164,MATCH($Q131,$A$11:$A$164,0)+U$96,U$97))</f>
        <v>0</v>
      </c>
      <c r="V132">
        <f>IF($R131="","",INDEX($A$11:$O$164,MATCH($Q131,$A$11:$A$164,0)+V$96,V$97))</f>
        <v>3.0535000000000001</v>
      </c>
      <c r="W132">
        <f>IF($R131="","",INDEX($A$11:$O$164,MATCH($Q131,$A$11:$A$164,0)+W$96,W$97))</f>
        <v>-0.1191</v>
      </c>
      <c r="X132">
        <f>IF($R131="","",INDEX($A$11:$O$164,MATCH($Q131,$A$11:$A$164,0)+X$96,X$97))</f>
        <v>-13.3</v>
      </c>
      <c r="Y132">
        <f>IF($R131="","",INDEX($A$11:$O$164,MATCH($Q131,$A$11:$A$164,0)+Y$96,Y$97))</f>
        <v>20</v>
      </c>
      <c r="Z132">
        <f t="shared" ref="Z132" si="49">IF(OR(LEFT(T131,2)="13",LEFT(T131,2)="16"),Y132+5,"")</f>
        <v>25</v>
      </c>
      <c r="AF132">
        <f t="shared" si="18"/>
        <v>-13.3</v>
      </c>
      <c r="AG132">
        <f t="shared" si="12"/>
        <v>25</v>
      </c>
      <c r="AH132">
        <f t="shared" si="10"/>
        <v>-4.34</v>
      </c>
    </row>
    <row r="133" spans="1:34" ht="13.5" hidden="1" thickBot="1">
      <c r="A133" s="34"/>
      <c r="B133" s="687">
        <v>5.2249999999999996</v>
      </c>
      <c r="C133" s="689" t="s">
        <v>10</v>
      </c>
      <c r="D133" s="127">
        <f>B133+0.0001</f>
        <v>5.2250999999999994</v>
      </c>
      <c r="E133" s="128">
        <v>6</v>
      </c>
      <c r="F133" s="129"/>
      <c r="G133" s="130">
        <v>0</v>
      </c>
      <c r="H133" s="131">
        <v>0</v>
      </c>
      <c r="I133" s="132">
        <v>0</v>
      </c>
      <c r="J133" s="133">
        <v>0</v>
      </c>
      <c r="K133" s="137">
        <v>-15.56</v>
      </c>
      <c r="L133" s="132"/>
      <c r="M133" s="138"/>
      <c r="N133" s="139"/>
      <c r="O133" s="235"/>
      <c r="P133" s="264" t="s">
        <v>59</v>
      </c>
      <c r="Q133" s="34" t="str">
        <f t="shared" si="15"/>
        <v>25</v>
      </c>
      <c r="R133" s="237">
        <f t="shared" ref="R133" si="50">IF(B133="","",B133)</f>
        <v>5.2249999999999996</v>
      </c>
      <c r="S133" t="str">
        <f t="shared" si="9"/>
        <v>1111 .6875Cb</v>
      </c>
      <c r="T133" t="str">
        <f>IF($R133="","",C133)</f>
        <v>1313 .6875Cb</v>
      </c>
      <c r="AA133">
        <f t="shared" ref="AA133" si="51">IF($R133="","",AB133+AD133-AC133)</f>
        <v>-83.570000000000007</v>
      </c>
      <c r="AB133">
        <f>IF($R133="","",K133)</f>
        <v>-15.56</v>
      </c>
      <c r="AC133">
        <f>IF($R133="","",INDEX($A$11:$O$164,MATCH($Q133,$A$11:$A$164,0)+AC$96,AC$97))</f>
        <v>-0.99</v>
      </c>
      <c r="AD133">
        <v>-69</v>
      </c>
      <c r="AF133">
        <f t="shared" si="18"/>
        <v>0</v>
      </c>
      <c r="AG133">
        <f t="shared" si="12"/>
        <v>0</v>
      </c>
      <c r="AH133">
        <f t="shared" si="10"/>
        <v>-15.56</v>
      </c>
    </row>
    <row r="134" spans="1:34" ht="14.25" hidden="1" thickTop="1" thickBot="1">
      <c r="A134" s="34"/>
      <c r="B134" s="688"/>
      <c r="C134" s="690"/>
      <c r="D134" s="306">
        <f>D133+0.0001</f>
        <v>5.2251999999999992</v>
      </c>
      <c r="E134" s="307">
        <f>D133</f>
        <v>5.2250999999999994</v>
      </c>
      <c r="F134" s="308"/>
      <c r="G134" s="309">
        <v>3.9996276606231684</v>
      </c>
      <c r="H134" s="310">
        <v>-1.2844400490271919</v>
      </c>
      <c r="I134" s="311">
        <v>-58.1</v>
      </c>
      <c r="J134" s="312">
        <v>27.5</v>
      </c>
      <c r="K134" s="313">
        <v>-10.210000000000001</v>
      </c>
      <c r="L134" s="311"/>
      <c r="M134" s="314"/>
      <c r="N134" s="315"/>
      <c r="O134" s="316"/>
      <c r="P134" s="265" t="s">
        <v>47</v>
      </c>
      <c r="Q134" s="34" t="str">
        <f t="shared" si="15"/>
        <v/>
      </c>
      <c r="R134" s="237"/>
      <c r="S134" t="str">
        <f t="shared" si="9"/>
        <v/>
      </c>
      <c r="U134">
        <f>IF($R133="","",INDEX($A$11:$O$164,MATCH($Q133,$A$11:$A$164,0)+U$96,U$97))</f>
        <v>0</v>
      </c>
      <c r="V134">
        <f>IF($R133="","",INDEX($A$11:$O$164,MATCH($Q133,$A$11:$A$164,0)+V$96,V$97))</f>
        <v>3.4796999999999998</v>
      </c>
      <c r="W134">
        <f>IF($R133="","",INDEX($A$11:$O$164,MATCH($Q133,$A$11:$A$164,0)+W$96,W$97))</f>
        <v>-0.33789999999999998</v>
      </c>
      <c r="X134">
        <f>IF($R133="","",INDEX($A$11:$O$164,MATCH($Q133,$A$11:$A$164,0)+X$96,X$97))</f>
        <v>-25.4</v>
      </c>
      <c r="Y134">
        <f>IF($R133="","",INDEX($A$11:$O$164,MATCH($Q133,$A$11:$A$164,0)+Y$96,Y$97))</f>
        <v>22</v>
      </c>
      <c r="Z134">
        <f t="shared" ref="Z134" si="52">IF(OR(LEFT(T133,2)="13",LEFT(T133,2)="16"),Y134+5,"")</f>
        <v>27</v>
      </c>
      <c r="AF134">
        <f t="shared" si="18"/>
        <v>-25.4</v>
      </c>
      <c r="AG134">
        <f t="shared" si="12"/>
        <v>27</v>
      </c>
      <c r="AH134">
        <f t="shared" si="10"/>
        <v>-6.1</v>
      </c>
    </row>
    <row r="135" spans="1:34" ht="13.5" thickBot="1">
      <c r="B135" s="675">
        <v>3.3029999999999999</v>
      </c>
      <c r="C135" s="677" t="s">
        <v>84</v>
      </c>
      <c r="D135" s="250">
        <f>B135+0.0001</f>
        <v>3.3031000000000001</v>
      </c>
      <c r="E135" s="251">
        <v>3</v>
      </c>
      <c r="F135" s="252"/>
      <c r="G135" s="253">
        <v>0</v>
      </c>
      <c r="H135" s="254">
        <v>0</v>
      </c>
      <c r="I135" s="255">
        <v>0</v>
      </c>
      <c r="J135" s="256">
        <v>0</v>
      </c>
      <c r="K135" s="257">
        <v>-37.5</v>
      </c>
      <c r="L135" s="255"/>
      <c r="M135" s="258"/>
      <c r="N135" s="259"/>
      <c r="O135" s="403"/>
      <c r="P135" s="264" t="s">
        <v>55</v>
      </c>
      <c r="Q135" s="34" t="str">
        <f t="shared" ref="Q135:Q146" si="53">IF(R135="","",RIGHT(TEXT(R135,"#.000"),2))</f>
        <v>03</v>
      </c>
      <c r="R135" s="237">
        <f t="shared" ref="R135" si="54">IF(B135="","",B135)</f>
        <v>3.3029999999999999</v>
      </c>
      <c r="S135" t="str">
        <f t="shared" si="9"/>
        <v>1111 .6875Cb</v>
      </c>
      <c r="T135" t="str">
        <f>IF($R135="","",C135)</f>
        <v>7/16" PDC Knuckle</v>
      </c>
      <c r="AA135">
        <f t="shared" ref="AA135" si="55">IF($R135="","",AB135+AD135-AC135)</f>
        <v>-259.5</v>
      </c>
      <c r="AB135">
        <f>IF($R135="","",K135)</f>
        <v>-37.5</v>
      </c>
      <c r="AC135">
        <f>IF($R135="","",INDEX($A$11:$O$164,MATCH($Q135,$A$11:$A$164,0)+AC$96,AC$97))</f>
        <v>0</v>
      </c>
      <c r="AD135">
        <v>-222</v>
      </c>
      <c r="AF135">
        <f t="shared" ref="AF135:AF146" si="56">IF(X135="",0,X135)</f>
        <v>0</v>
      </c>
      <c r="AG135">
        <f t="shared" si="12"/>
        <v>0</v>
      </c>
      <c r="AH135">
        <f t="shared" si="10"/>
        <v>-37.5</v>
      </c>
    </row>
    <row r="136" spans="1:34" ht="14.25" thickTop="1" thickBot="1">
      <c r="A136" s="34"/>
      <c r="B136" s="676"/>
      <c r="C136" s="678"/>
      <c r="D136" s="46">
        <f>D135+0.0001</f>
        <v>3.3032000000000004</v>
      </c>
      <c r="E136" s="47">
        <f>D135</f>
        <v>3.3031000000000001</v>
      </c>
      <c r="F136" s="48"/>
      <c r="G136" s="49">
        <v>1.0960000000000001</v>
      </c>
      <c r="H136" s="50">
        <v>-6.6299999999999998E-2</v>
      </c>
      <c r="I136" s="51">
        <v>7.5</v>
      </c>
      <c r="J136" s="52">
        <v>0</v>
      </c>
      <c r="K136" s="53">
        <v>0</v>
      </c>
      <c r="L136" s="51"/>
      <c r="M136" s="54"/>
      <c r="N136" s="55"/>
      <c r="O136" s="404"/>
      <c r="P136" s="265" t="s">
        <v>38</v>
      </c>
      <c r="Q136" s="34" t="str">
        <f t="shared" si="53"/>
        <v/>
      </c>
      <c r="R136" s="237"/>
      <c r="S136" t="str">
        <f t="shared" si="9"/>
        <v/>
      </c>
      <c r="U136">
        <f>IF($R135="","",INDEX($A$11:$O$164,MATCH($Q135,$A$11:$A$164,0)+U$96,U$97))</f>
        <v>0</v>
      </c>
      <c r="V136">
        <f>IF($R135="","",INDEX($A$11:$O$164,MATCH($Q135,$A$11:$A$164,0)+V$96,V$97))</f>
        <v>0.61939999999999995</v>
      </c>
      <c r="W136">
        <f>IF($R135="","",INDEX($A$11:$O$164,MATCH($Q135,$A$11:$A$164,0)+W$96,W$97))</f>
        <v>-0.26119999999999999</v>
      </c>
      <c r="X136">
        <f>IF($R135="","",INDEX($A$11:$O$164,MATCH($Q135,$A$11:$A$164,0)+X$96,X$97))</f>
        <v>7.5</v>
      </c>
      <c r="Y136">
        <f>IF($R135="","",INDEX($A$11:$O$164,MATCH($Q135,$A$11:$A$164,0)+Y$96,Y$97))</f>
        <v>20</v>
      </c>
      <c r="Z136" t="str">
        <f t="shared" ref="Z136" si="57">IF(OR(LEFT(T135,2)="13",LEFT(T135,2)="16"),Y136+5,"")</f>
        <v/>
      </c>
      <c r="AF136">
        <f t="shared" si="56"/>
        <v>7.5</v>
      </c>
      <c r="AG136">
        <f t="shared" si="12"/>
        <v>0</v>
      </c>
      <c r="AH136">
        <f t="shared" si="10"/>
        <v>0</v>
      </c>
    </row>
    <row r="137" spans="1:34" ht="13.5" thickBot="1">
      <c r="A137" s="34"/>
      <c r="B137" s="625">
        <v>3.306</v>
      </c>
      <c r="C137" s="673" t="s">
        <v>84</v>
      </c>
      <c r="D137" s="393">
        <f>B137+0.0001</f>
        <v>3.3061000000000003</v>
      </c>
      <c r="E137" s="394">
        <v>3</v>
      </c>
      <c r="F137" s="395"/>
      <c r="G137" s="396">
        <v>0</v>
      </c>
      <c r="H137" s="397">
        <v>0</v>
      </c>
      <c r="I137" s="398">
        <v>0</v>
      </c>
      <c r="J137" s="399">
        <v>0</v>
      </c>
      <c r="K137" s="400">
        <v>-25</v>
      </c>
      <c r="L137" s="398"/>
      <c r="M137" s="401"/>
      <c r="N137" s="402"/>
      <c r="O137" s="405"/>
      <c r="P137" s="279" t="s">
        <v>54</v>
      </c>
      <c r="Q137" s="34" t="str">
        <f t="shared" si="53"/>
        <v>06</v>
      </c>
      <c r="R137" s="237">
        <f t="shared" ref="R137" si="58">IF(B137="","",B137)</f>
        <v>3.306</v>
      </c>
      <c r="S137" t="str">
        <f t="shared" si="9"/>
        <v>1111 .6875Cb</v>
      </c>
      <c r="T137" t="str">
        <f>IF($R137="","",C137)</f>
        <v>7/16" PDC Knuckle</v>
      </c>
      <c r="AA137">
        <f t="shared" ref="AA137" si="59">IF($R137="","",AB137+AD137-AC137)</f>
        <v>-247</v>
      </c>
      <c r="AB137">
        <f>IF($R137="","",K137)</f>
        <v>-25</v>
      </c>
      <c r="AC137">
        <f>IF($R137="","",INDEX($A$11:$O$164,MATCH($Q137,$A$11:$A$164,0)+AC$96,AC$97))</f>
        <v>0</v>
      </c>
      <c r="AD137">
        <v>-222</v>
      </c>
      <c r="AF137">
        <f t="shared" si="56"/>
        <v>0</v>
      </c>
      <c r="AG137">
        <f t="shared" si="12"/>
        <v>0</v>
      </c>
      <c r="AH137">
        <f t="shared" si="10"/>
        <v>-25</v>
      </c>
    </row>
    <row r="138" spans="1:34" ht="13.5" thickTop="1">
      <c r="A138" s="34"/>
      <c r="B138" s="625"/>
      <c r="C138" s="674"/>
      <c r="D138" s="28">
        <f>D137+0.0001</f>
        <v>3.3062000000000005</v>
      </c>
      <c r="E138" s="29">
        <f>D137</f>
        <v>3.3061000000000003</v>
      </c>
      <c r="F138" s="57"/>
      <c r="G138" s="58">
        <v>1.6060000000000001</v>
      </c>
      <c r="H138" s="59">
        <v>-8.9999999999999998E-4</v>
      </c>
      <c r="I138" s="60">
        <v>7.5</v>
      </c>
      <c r="J138" s="61">
        <v>0</v>
      </c>
      <c r="K138" s="66">
        <v>0</v>
      </c>
      <c r="L138" s="60"/>
      <c r="M138" s="94"/>
      <c r="N138" s="95"/>
      <c r="O138" s="203"/>
      <c r="P138" s="265" t="s">
        <v>31</v>
      </c>
      <c r="Q138" s="34" t="str">
        <f t="shared" si="53"/>
        <v/>
      </c>
      <c r="R138" s="237"/>
      <c r="S138" t="str">
        <f t="shared" si="9"/>
        <v/>
      </c>
      <c r="U138">
        <f>IF($R137="","",INDEX($A$11:$O$164,MATCH($Q137,$A$11:$A$164,0)+U$96,U$97))</f>
        <v>0</v>
      </c>
      <c r="V138">
        <f>IF($R137="","",INDEX($A$11:$O$164,MATCH($Q137,$A$11:$A$164,0)+V$96,V$97))</f>
        <v>1.1756</v>
      </c>
      <c r="W138">
        <f>IF($R137="","",INDEX($A$11:$O$164,MATCH($Q137,$A$11:$A$164,0)+W$96,W$97))</f>
        <v>-0.188</v>
      </c>
      <c r="X138">
        <f>IF($R137="","",INDEX($A$11:$O$164,MATCH($Q137,$A$11:$A$164,0)+X$96,X$97))</f>
        <v>7.5</v>
      </c>
      <c r="Y138">
        <f>IF($R137="","",INDEX($A$11:$O$164,MATCH($Q137,$A$11:$A$164,0)+Y$96,Y$97))</f>
        <v>20</v>
      </c>
      <c r="Z138" t="str">
        <f t="shared" ref="Z138" si="60">IF(OR(LEFT(T137,2)="13",LEFT(T137,2)="16"),Y138+5,"")</f>
        <v/>
      </c>
      <c r="AF138">
        <f t="shared" si="56"/>
        <v>7.5</v>
      </c>
      <c r="AG138">
        <f t="shared" si="12"/>
        <v>0</v>
      </c>
      <c r="AH138">
        <f t="shared" si="10"/>
        <v>0</v>
      </c>
    </row>
    <row r="139" spans="1:34" ht="13.5" thickBot="1">
      <c r="A139" s="34"/>
      <c r="B139" s="679">
        <v>5.3049999999999997</v>
      </c>
      <c r="C139" s="681" t="s">
        <v>84</v>
      </c>
      <c r="D139" s="30">
        <f>B139+0.0001</f>
        <v>5.3050999999999995</v>
      </c>
      <c r="E139" s="31">
        <v>5</v>
      </c>
      <c r="F139" s="96"/>
      <c r="G139" s="97">
        <v>0</v>
      </c>
      <c r="H139" s="98">
        <v>0</v>
      </c>
      <c r="I139" s="99">
        <v>0</v>
      </c>
      <c r="J139" s="100">
        <v>0</v>
      </c>
      <c r="K139" s="104">
        <v>-29</v>
      </c>
      <c r="L139" s="99"/>
      <c r="M139" s="105"/>
      <c r="N139" s="106"/>
      <c r="O139" s="217"/>
      <c r="P139" s="264" t="s">
        <v>60</v>
      </c>
      <c r="Q139" s="34" t="str">
        <f t="shared" si="53"/>
        <v>05</v>
      </c>
      <c r="R139" s="237">
        <f t="shared" ref="R139" si="61">IF(B139="","",B139)</f>
        <v>5.3049999999999997</v>
      </c>
      <c r="S139" t="str">
        <f t="shared" si="9"/>
        <v>1111 .6875Cb</v>
      </c>
      <c r="T139" t="str">
        <f>IF($R139="","",C139)</f>
        <v>7/16" PDC Knuckle</v>
      </c>
      <c r="AA139">
        <f t="shared" ref="AA139" si="62">IF($R139="","",AB139+AD139-AC139)</f>
        <v>-303</v>
      </c>
      <c r="AB139">
        <f>IF($R139="","",K139)</f>
        <v>-29</v>
      </c>
      <c r="AC139">
        <f>IF($R139="","",INDEX($A$11:$O$164,MATCH($Q139,$A$11:$A$164,0)+AC$96,AC$97))</f>
        <v>0</v>
      </c>
      <c r="AD139">
        <v>-274</v>
      </c>
      <c r="AF139">
        <f t="shared" si="56"/>
        <v>0</v>
      </c>
      <c r="AG139">
        <f t="shared" si="12"/>
        <v>0</v>
      </c>
      <c r="AH139">
        <f t="shared" si="10"/>
        <v>-29</v>
      </c>
    </row>
    <row r="140" spans="1:34" ht="13.5" thickTop="1">
      <c r="A140" s="34"/>
      <c r="B140" s="680"/>
      <c r="C140" s="682"/>
      <c r="D140" s="30">
        <f>D139+0.0001</f>
        <v>5.3051999999999992</v>
      </c>
      <c r="E140" s="31">
        <f>D139</f>
        <v>5.3050999999999995</v>
      </c>
      <c r="F140" s="96"/>
      <c r="G140" s="97">
        <v>1.4139999999999999</v>
      </c>
      <c r="H140" s="98">
        <v>-2.4400000000000002E-2</v>
      </c>
      <c r="I140" s="99">
        <v>7.5</v>
      </c>
      <c r="J140" s="100">
        <v>0</v>
      </c>
      <c r="K140" s="101">
        <v>0</v>
      </c>
      <c r="L140" s="99"/>
      <c r="M140" s="102"/>
      <c r="N140" s="103"/>
      <c r="O140" s="217"/>
      <c r="P140" s="265" t="s">
        <v>41</v>
      </c>
      <c r="Q140" s="34" t="str">
        <f t="shared" si="53"/>
        <v/>
      </c>
      <c r="R140" s="237"/>
      <c r="S140" t="str">
        <f t="shared" si="9"/>
        <v/>
      </c>
      <c r="U140">
        <f>IF($R139="","",INDEX($A$11:$O$164,MATCH($Q139,$A$11:$A$164,0)+U$96,U$97))</f>
        <v>0</v>
      </c>
      <c r="V140">
        <f>IF($R139="","",INDEX($A$11:$O$164,MATCH($Q139,$A$11:$A$164,0)+V$96,V$97))</f>
        <v>0.99019999999999997</v>
      </c>
      <c r="W140">
        <f>IF($R139="","",INDEX($A$11:$O$164,MATCH($Q139,$A$11:$A$164,0)+W$96,W$97))</f>
        <v>-0.21240000000000001</v>
      </c>
      <c r="X140">
        <f>IF($R139="","",INDEX($A$11:$O$164,MATCH($Q139,$A$11:$A$164,0)+X$96,X$97))</f>
        <v>7.5</v>
      </c>
      <c r="Y140">
        <f>IF($R139="","",INDEX($A$11:$O$164,MATCH($Q139,$A$11:$A$164,0)+Y$96,Y$97))</f>
        <v>20</v>
      </c>
      <c r="Z140" t="str">
        <f t="shared" ref="Z140" si="63">IF(OR(LEFT(T139,2)="13",LEFT(T139,2)="16"),Y140+5,"")</f>
        <v/>
      </c>
      <c r="AF140">
        <f t="shared" si="56"/>
        <v>7.5</v>
      </c>
      <c r="AG140">
        <f t="shared" si="12"/>
        <v>0</v>
      </c>
      <c r="AH140">
        <f t="shared" si="10"/>
        <v>0</v>
      </c>
    </row>
    <row r="141" spans="1:34" ht="13.5" thickBot="1">
      <c r="A141" s="34"/>
      <c r="B141" s="625">
        <v>5.3079999999999998</v>
      </c>
      <c r="C141" s="671" t="s">
        <v>84</v>
      </c>
      <c r="D141" s="28">
        <f>B141+0.0001</f>
        <v>5.3080999999999996</v>
      </c>
      <c r="E141" s="29">
        <v>5</v>
      </c>
      <c r="F141" s="57"/>
      <c r="G141" s="58">
        <v>0</v>
      </c>
      <c r="H141" s="59">
        <v>0</v>
      </c>
      <c r="I141" s="60">
        <v>0</v>
      </c>
      <c r="J141" s="61">
        <v>0</v>
      </c>
      <c r="K141" s="62">
        <v>-22</v>
      </c>
      <c r="L141" s="60"/>
      <c r="M141" s="92"/>
      <c r="N141" s="93"/>
      <c r="O141" s="203"/>
      <c r="P141" s="264" t="s">
        <v>61</v>
      </c>
      <c r="Q141" s="34" t="str">
        <f t="shared" si="53"/>
        <v>08</v>
      </c>
      <c r="R141" s="237">
        <f t="shared" ref="R141" si="64">IF(B141="","",B141)</f>
        <v>5.3079999999999998</v>
      </c>
      <c r="S141" t="str">
        <f t="shared" si="9"/>
        <v>1111 .6875Cb</v>
      </c>
      <c r="T141" t="str">
        <f>IF($R141="","",C141)</f>
        <v>7/16" PDC Knuckle</v>
      </c>
      <c r="AA141">
        <f t="shared" ref="AA141" si="65">IF($R141="","",AB141+AD141-AC141)</f>
        <v>-296</v>
      </c>
      <c r="AB141">
        <f>IF($R141="","",K141)</f>
        <v>-22</v>
      </c>
      <c r="AC141">
        <f>IF($R141="","",INDEX($A$11:$O$164,MATCH($Q141,$A$11:$A$164,0)+AC$96,AC$97))</f>
        <v>0</v>
      </c>
      <c r="AD141">
        <v>-274</v>
      </c>
      <c r="AF141">
        <f t="shared" si="56"/>
        <v>0</v>
      </c>
      <c r="AG141">
        <f t="shared" si="12"/>
        <v>0</v>
      </c>
      <c r="AH141">
        <f t="shared" si="10"/>
        <v>-22</v>
      </c>
    </row>
    <row r="142" spans="1:34" ht="13.5" thickTop="1">
      <c r="A142" s="34"/>
      <c r="B142" s="625"/>
      <c r="C142" s="683"/>
      <c r="D142" s="28">
        <f>D141+0.0001</f>
        <v>5.3081999999999994</v>
      </c>
      <c r="E142" s="29">
        <f>D141</f>
        <v>5.3080999999999996</v>
      </c>
      <c r="F142" s="57"/>
      <c r="G142" s="58">
        <v>1.9279999999999999</v>
      </c>
      <c r="H142" s="59">
        <v>4.3200000000000002E-2</v>
      </c>
      <c r="I142" s="60">
        <v>7.5</v>
      </c>
      <c r="J142" s="61">
        <v>0</v>
      </c>
      <c r="K142" s="66">
        <v>0</v>
      </c>
      <c r="L142" s="60"/>
      <c r="M142" s="94"/>
      <c r="N142" s="95"/>
      <c r="O142" s="203"/>
      <c r="P142" s="265" t="s">
        <v>42</v>
      </c>
      <c r="Q142" s="34" t="str">
        <f t="shared" si="53"/>
        <v/>
      </c>
      <c r="R142" s="237"/>
      <c r="S142" t="str">
        <f t="shared" si="9"/>
        <v/>
      </c>
      <c r="U142">
        <f>IF($R141="","",INDEX($A$11:$O$164,MATCH($Q141,$A$11:$A$164,0)+U$96,U$97))</f>
        <v>0</v>
      </c>
      <c r="V142">
        <f>IF($R141="","",INDEX($A$11:$O$164,MATCH($Q141,$A$11:$A$164,0)+V$96,V$97))</f>
        <v>1.5464</v>
      </c>
      <c r="W142">
        <f>IF($R141="","",INDEX($A$11:$O$164,MATCH($Q141,$A$11:$A$164,0)+W$96,W$97))</f>
        <v>-0.13919999999999999</v>
      </c>
      <c r="X142">
        <f>IF($R141="","",INDEX($A$11:$O$164,MATCH($Q141,$A$11:$A$164,0)+X$96,X$97))</f>
        <v>7.5</v>
      </c>
      <c r="Y142">
        <f>IF($R141="","",INDEX($A$11:$O$164,MATCH($Q141,$A$11:$A$164,0)+Y$96,Y$97))</f>
        <v>20</v>
      </c>
      <c r="Z142" t="str">
        <f t="shared" ref="Z142" si="66">IF(OR(LEFT(T141,2)="13",LEFT(T141,2)="16"),Y142+5,"")</f>
        <v/>
      </c>
      <c r="AF142">
        <f t="shared" si="56"/>
        <v>7.5</v>
      </c>
      <c r="AG142">
        <f t="shared" si="12"/>
        <v>0</v>
      </c>
      <c r="AH142">
        <f t="shared" si="10"/>
        <v>0</v>
      </c>
    </row>
    <row r="143" spans="1:34" ht="13.5" thickBot="1">
      <c r="A143" s="34"/>
      <c r="B143" s="666">
        <v>1.304</v>
      </c>
      <c r="C143" s="668" t="s">
        <v>84</v>
      </c>
      <c r="D143" s="127">
        <f>B143+0.0001</f>
        <v>1.3041</v>
      </c>
      <c r="E143" s="128">
        <v>1</v>
      </c>
      <c r="F143" s="129"/>
      <c r="G143" s="130">
        <v>0</v>
      </c>
      <c r="H143" s="131">
        <v>0</v>
      </c>
      <c r="I143" s="132">
        <v>0</v>
      </c>
      <c r="J143" s="133">
        <v>0</v>
      </c>
      <c r="K143" s="137">
        <v>-32</v>
      </c>
      <c r="L143" s="132"/>
      <c r="M143" s="138"/>
      <c r="N143" s="139"/>
      <c r="O143" s="235"/>
      <c r="P143" s="264" t="s">
        <v>58</v>
      </c>
      <c r="Q143" s="34" t="str">
        <f t="shared" si="53"/>
        <v>04</v>
      </c>
      <c r="R143" s="237">
        <f t="shared" ref="R143" si="67">IF(B143="","",B143)</f>
        <v>1.304</v>
      </c>
      <c r="S143" t="str">
        <f t="shared" si="9"/>
        <v>1111 .6875Cb</v>
      </c>
      <c r="T143" t="str">
        <f>IF($R143="","",C143)</f>
        <v>7/16" PDC Knuckle</v>
      </c>
      <c r="AA143">
        <f t="shared" ref="AA143" si="68">IF($R143="","",AB143+AD143-AC143)</f>
        <v>-256</v>
      </c>
      <c r="AB143">
        <f>IF($R143="","",K143)</f>
        <v>-32</v>
      </c>
      <c r="AC143">
        <f>IF($R143="","",INDEX($A$11:$O$164,MATCH($Q143,$A$11:$A$164,0)+AC$96,AC$97))</f>
        <v>0</v>
      </c>
      <c r="AD143">
        <v>-224</v>
      </c>
      <c r="AF143">
        <f t="shared" si="56"/>
        <v>0</v>
      </c>
      <c r="AG143">
        <f t="shared" si="12"/>
        <v>0</v>
      </c>
      <c r="AH143">
        <f t="shared" si="10"/>
        <v>-32</v>
      </c>
    </row>
    <row r="144" spans="1:34" ht="13.5" thickTop="1">
      <c r="A144" s="34"/>
      <c r="B144" s="667"/>
      <c r="C144" s="669"/>
      <c r="D144" s="127">
        <f>D143+0.0001</f>
        <v>1.3042</v>
      </c>
      <c r="E144" s="128">
        <f>D143</f>
        <v>1.3041</v>
      </c>
      <c r="F144" s="129"/>
      <c r="G144" s="130">
        <v>1.2749999999999999</v>
      </c>
      <c r="H144" s="131">
        <v>-4.2700000000000002E-2</v>
      </c>
      <c r="I144" s="132">
        <v>7.5</v>
      </c>
      <c r="J144" s="133">
        <v>0</v>
      </c>
      <c r="K144" s="134">
        <v>0</v>
      </c>
      <c r="L144" s="132"/>
      <c r="M144" s="135"/>
      <c r="N144" s="136"/>
      <c r="O144" s="235"/>
      <c r="P144" s="265" t="s">
        <v>45</v>
      </c>
      <c r="Q144" s="34" t="str">
        <f t="shared" si="53"/>
        <v/>
      </c>
      <c r="R144" s="237"/>
      <c r="S144" t="str">
        <f t="shared" si="9"/>
        <v/>
      </c>
      <c r="U144">
        <f>IF($R143="","",INDEX($A$11:$O$164,MATCH($Q143,$A$11:$A$164,0)+U$96,U$97))</f>
        <v>0</v>
      </c>
      <c r="V144">
        <f>IF($R143="","",INDEX($A$11:$O$164,MATCH($Q143,$A$11:$A$164,0)+V$96,V$97))</f>
        <v>0.80479999999999996</v>
      </c>
      <c r="W144">
        <f>IF($R143="","",INDEX($A$11:$O$164,MATCH($Q143,$A$11:$A$164,0)+W$96,W$97))</f>
        <v>-0.23680000000000001</v>
      </c>
      <c r="X144">
        <f>IF($R143="","",INDEX($A$11:$O$164,MATCH($Q143,$A$11:$A$164,0)+X$96,X$97))</f>
        <v>7.5</v>
      </c>
      <c r="Y144">
        <f>IF($R143="","",INDEX($A$11:$O$164,MATCH($Q143,$A$11:$A$164,0)+Y$96,Y$97))</f>
        <v>20</v>
      </c>
      <c r="Z144" t="str">
        <f t="shared" ref="Z144" si="69">IF(OR(LEFT(T143,2)="13",LEFT(T143,2)="16"),Y144+5,"")</f>
        <v/>
      </c>
      <c r="AF144">
        <f t="shared" si="56"/>
        <v>7.5</v>
      </c>
      <c r="AG144">
        <f t="shared" si="12"/>
        <v>0</v>
      </c>
      <c r="AH144">
        <f t="shared" si="10"/>
        <v>0</v>
      </c>
    </row>
    <row r="145" spans="1:34" ht="13.5" thickBot="1">
      <c r="A145" s="34"/>
      <c r="B145" s="625">
        <v>1.3069999999999999</v>
      </c>
      <c r="C145" s="671" t="s">
        <v>84</v>
      </c>
      <c r="D145" s="28">
        <f>B145+0.0001</f>
        <v>1.3070999999999999</v>
      </c>
      <c r="E145" s="29">
        <v>1</v>
      </c>
      <c r="F145" s="57"/>
      <c r="G145" s="58">
        <v>0</v>
      </c>
      <c r="H145" s="59">
        <v>0</v>
      </c>
      <c r="I145" s="60">
        <v>0</v>
      </c>
      <c r="J145" s="61">
        <v>0</v>
      </c>
      <c r="K145" s="62">
        <v>-23</v>
      </c>
      <c r="L145" s="60"/>
      <c r="M145" s="92"/>
      <c r="N145" s="93"/>
      <c r="O145" s="203"/>
      <c r="P145" s="264" t="s">
        <v>57</v>
      </c>
      <c r="Q145" s="34" t="str">
        <f t="shared" si="53"/>
        <v>07</v>
      </c>
      <c r="R145" s="237">
        <f t="shared" ref="R145" si="70">IF(B145="","",B145)</f>
        <v>1.3069999999999999</v>
      </c>
      <c r="S145" t="str">
        <f t="shared" si="9"/>
        <v>1111 .6875Cb</v>
      </c>
      <c r="T145" t="str">
        <f>IF($R145="","",C145)</f>
        <v>7/16" PDC Knuckle</v>
      </c>
      <c r="AA145">
        <f t="shared" ref="AA145" si="71">IF($R145="","",AB145+AD145-AC145)</f>
        <v>-247</v>
      </c>
      <c r="AB145">
        <f>IF($R145="","",K145)</f>
        <v>-23</v>
      </c>
      <c r="AC145">
        <f>IF($R145="","",INDEX($A$11:$O$164,MATCH($Q145,$A$11:$A$164,0)+AC$96,AC$97))</f>
        <v>0</v>
      </c>
      <c r="AD145">
        <v>-224</v>
      </c>
      <c r="AF145">
        <f t="shared" si="56"/>
        <v>0</v>
      </c>
      <c r="AG145">
        <f t="shared" si="12"/>
        <v>0</v>
      </c>
      <c r="AH145">
        <f t="shared" si="10"/>
        <v>-23</v>
      </c>
    </row>
    <row r="146" spans="1:34" ht="14.25" thickTop="1" thickBot="1">
      <c r="A146" s="34"/>
      <c r="B146" s="670"/>
      <c r="C146" s="672"/>
      <c r="D146" s="406">
        <f>D145+0.0001</f>
        <v>1.3071999999999999</v>
      </c>
      <c r="E146" s="407">
        <f>D145</f>
        <v>1.3070999999999999</v>
      </c>
      <c r="F146" s="408"/>
      <c r="G146" s="409">
        <v>1.8</v>
      </c>
      <c r="H146" s="410">
        <v>2.64E-2</v>
      </c>
      <c r="I146" s="411">
        <v>7.5</v>
      </c>
      <c r="J146" s="412">
        <v>0</v>
      </c>
      <c r="K146" s="413">
        <v>0</v>
      </c>
      <c r="L146" s="411"/>
      <c r="M146" s="414"/>
      <c r="N146" s="415"/>
      <c r="O146" s="416"/>
      <c r="P146" s="265" t="s">
        <v>46</v>
      </c>
      <c r="Q146" s="34" t="str">
        <f t="shared" si="53"/>
        <v/>
      </c>
      <c r="R146" s="237"/>
      <c r="S146" t="str">
        <f t="shared" si="9"/>
        <v/>
      </c>
      <c r="U146">
        <f>IF($R145="","",INDEX($A$11:$O$164,MATCH($Q145,$A$11:$A$164,0)+U$96,U$97))</f>
        <v>0</v>
      </c>
      <c r="V146">
        <f>IF($R145="","",INDEX($A$11:$O$164,MATCH($Q145,$A$11:$A$164,0)+V$96,V$97))</f>
        <v>1.361</v>
      </c>
      <c r="W146">
        <f>IF($R145="","",INDEX($A$11:$O$164,MATCH($Q145,$A$11:$A$164,0)+W$96,W$97))</f>
        <v>-0.1636</v>
      </c>
      <c r="X146">
        <f>IF($R145="","",INDEX($A$11:$O$164,MATCH($Q145,$A$11:$A$164,0)+X$96,X$97))</f>
        <v>7.5</v>
      </c>
      <c r="Y146">
        <f>IF($R145="","",INDEX($A$11:$O$164,MATCH($Q145,$A$11:$A$164,0)+Y$96,Y$97))</f>
        <v>20</v>
      </c>
      <c r="Z146" t="str">
        <f t="shared" ref="Z146" si="72">IF(OR(LEFT(T145,2)="13",LEFT(T145,2)="16"),Y146+5,"")</f>
        <v/>
      </c>
      <c r="AF146">
        <f t="shared" si="56"/>
        <v>7.5</v>
      </c>
      <c r="AG146">
        <f t="shared" si="12"/>
        <v>0</v>
      </c>
      <c r="AH146">
        <f t="shared" si="10"/>
        <v>0</v>
      </c>
    </row>
    <row r="147" spans="1:34" ht="13.5" thickBot="1">
      <c r="A147" s="34"/>
    </row>
    <row r="148" spans="1:34" ht="14.25" thickTop="1" thickBot="1">
      <c r="B148" s="654">
        <v>1.401</v>
      </c>
      <c r="C148" s="654" t="s">
        <v>19</v>
      </c>
      <c r="D148" s="35">
        <f>B148+0.0001</f>
        <v>1.4011</v>
      </c>
      <c r="E148" s="36">
        <v>1</v>
      </c>
      <c r="F148" s="37"/>
      <c r="G148" s="38"/>
      <c r="H148" s="39"/>
      <c r="I148" s="40"/>
      <c r="J148" s="41"/>
      <c r="K148" s="42">
        <v>-23</v>
      </c>
      <c r="L148" s="40"/>
      <c r="M148" s="43"/>
      <c r="N148" s="44"/>
      <c r="O148" s="45"/>
      <c r="P148" s="264" t="s">
        <v>55</v>
      </c>
      <c r="Q148" s="34"/>
      <c r="R148" s="237"/>
    </row>
    <row r="149" spans="1:34" ht="14.25" thickTop="1" thickBot="1">
      <c r="A149" s="34"/>
      <c r="B149" s="628"/>
      <c r="C149" s="628"/>
      <c r="D149" s="46">
        <f>D148+0.0001</f>
        <v>1.4012</v>
      </c>
      <c r="E149" s="47">
        <f>D148</f>
        <v>1.4011</v>
      </c>
      <c r="F149" s="48"/>
      <c r="G149" s="49">
        <v>4.3630000000000004</v>
      </c>
      <c r="H149" s="50">
        <v>-2.8980000000000001</v>
      </c>
      <c r="I149" s="51"/>
      <c r="J149" s="52"/>
      <c r="K149" s="53"/>
      <c r="L149" s="51"/>
      <c r="M149" s="54"/>
      <c r="N149" s="55"/>
      <c r="O149" s="56"/>
      <c r="P149" s="265" t="s">
        <v>38</v>
      </c>
      <c r="Q149" s="34"/>
      <c r="R149" s="237"/>
    </row>
    <row r="150" spans="1:34" ht="13.5" thickBot="1">
      <c r="A150" s="34"/>
      <c r="B150" s="660">
        <v>1.4039999999999999</v>
      </c>
      <c r="C150" s="660" t="s">
        <v>19</v>
      </c>
      <c r="D150" s="28">
        <f>B150+0.0001</f>
        <v>1.4040999999999999</v>
      </c>
      <c r="E150" s="29">
        <v>1</v>
      </c>
      <c r="F150" s="57"/>
      <c r="G150" s="58"/>
      <c r="H150" s="59"/>
      <c r="I150" s="60"/>
      <c r="J150" s="61"/>
      <c r="K150" s="62">
        <v>-13</v>
      </c>
      <c r="L150" s="60"/>
      <c r="M150" s="63"/>
      <c r="N150" s="64"/>
      <c r="O150" s="65"/>
      <c r="P150" s="279" t="s">
        <v>54</v>
      </c>
      <c r="Q150" s="34"/>
      <c r="R150" s="237"/>
    </row>
    <row r="151" spans="1:34" ht="13.5" thickTop="1">
      <c r="A151" s="34"/>
      <c r="B151" s="660"/>
      <c r="C151" s="660"/>
      <c r="D151" s="28">
        <f>D150+0.0001</f>
        <v>1.4041999999999999</v>
      </c>
      <c r="E151" s="29">
        <f>D150</f>
        <v>1.4040999999999999</v>
      </c>
      <c r="F151" s="57"/>
      <c r="G151" s="58">
        <v>4.3630000000000004</v>
      </c>
      <c r="H151" s="59">
        <v>-3.113</v>
      </c>
      <c r="I151" s="60"/>
      <c r="J151" s="61"/>
      <c r="K151" s="66"/>
      <c r="L151" s="60"/>
      <c r="M151" s="67"/>
      <c r="N151" s="68"/>
      <c r="O151" s="65"/>
      <c r="P151" s="265" t="s">
        <v>31</v>
      </c>
      <c r="Q151" s="34"/>
      <c r="R151" s="237"/>
    </row>
    <row r="152" spans="1:34" ht="13.5" thickBot="1">
      <c r="B152" s="628">
        <v>1.407</v>
      </c>
      <c r="C152" s="628" t="s">
        <v>19</v>
      </c>
      <c r="D152" s="46">
        <f>B152+0.0001</f>
        <v>1.4071</v>
      </c>
      <c r="E152" s="47">
        <v>1</v>
      </c>
      <c r="F152" s="48"/>
      <c r="G152" s="49"/>
      <c r="H152" s="50"/>
      <c r="I152" s="51"/>
      <c r="J152" s="52"/>
      <c r="K152" s="69">
        <v>-26.25</v>
      </c>
      <c r="L152" s="51"/>
      <c r="M152" s="70"/>
      <c r="N152" s="71"/>
      <c r="O152" s="56"/>
      <c r="P152" s="264" t="s">
        <v>55</v>
      </c>
      <c r="Q152" s="34"/>
      <c r="R152" s="237"/>
    </row>
    <row r="153" spans="1:34" ht="13.5" thickTop="1">
      <c r="A153" s="34"/>
      <c r="B153" s="628"/>
      <c r="C153" s="628"/>
      <c r="D153" s="46">
        <f>D152+0.0001</f>
        <v>1.4072</v>
      </c>
      <c r="E153" s="47">
        <f>D152</f>
        <v>1.4071</v>
      </c>
      <c r="F153" s="48"/>
      <c r="G153" s="49">
        <v>4.3630000000000004</v>
      </c>
      <c r="H153" s="50">
        <v>-3.5470000000000002</v>
      </c>
      <c r="I153" s="51"/>
      <c r="J153" s="52"/>
      <c r="K153" s="53"/>
      <c r="L153" s="51"/>
      <c r="M153" s="54"/>
      <c r="N153" s="55"/>
      <c r="O153" s="56"/>
      <c r="P153" s="265" t="s">
        <v>38</v>
      </c>
      <c r="Q153" s="34"/>
      <c r="R153" s="237"/>
    </row>
    <row r="154" spans="1:34">
      <c r="A154" s="34"/>
      <c r="B154" s="653">
        <v>1.411</v>
      </c>
      <c r="C154" s="658" t="s">
        <v>19</v>
      </c>
      <c r="D154" s="28">
        <v>1.4111</v>
      </c>
      <c r="E154" s="29">
        <v>1</v>
      </c>
      <c r="F154" s="57"/>
      <c r="G154" s="58"/>
      <c r="H154" s="59"/>
      <c r="I154" s="60"/>
      <c r="J154" s="61"/>
      <c r="K154" s="66">
        <v>-16</v>
      </c>
      <c r="L154" s="60"/>
      <c r="M154" s="94"/>
      <c r="N154" s="95"/>
      <c r="O154" s="392"/>
      <c r="P154" s="615" t="s">
        <v>54</v>
      </c>
      <c r="Q154" s="34"/>
      <c r="R154" s="237"/>
    </row>
    <row r="155" spans="1:34" ht="13.5" thickBot="1">
      <c r="A155" s="34"/>
      <c r="B155" s="657"/>
      <c r="C155" s="659"/>
      <c r="D155" s="28">
        <v>1.4112</v>
      </c>
      <c r="E155" s="29">
        <v>1.4111</v>
      </c>
      <c r="F155" s="57"/>
      <c r="G155" s="58">
        <v>4.3630000000000004</v>
      </c>
      <c r="H155" s="59">
        <v>-3.762</v>
      </c>
      <c r="I155" s="60"/>
      <c r="J155" s="61"/>
      <c r="K155" s="66"/>
      <c r="L155" s="60"/>
      <c r="M155" s="94"/>
      <c r="N155" s="95"/>
      <c r="O155" s="392"/>
      <c r="P155" s="615" t="s">
        <v>31</v>
      </c>
      <c r="Q155" s="34"/>
      <c r="R155" s="237"/>
    </row>
    <row r="156" spans="1:34" ht="13.5" thickBot="1">
      <c r="A156" s="34"/>
      <c r="B156" s="628">
        <v>1.415</v>
      </c>
      <c r="C156" s="628" t="s">
        <v>19</v>
      </c>
      <c r="D156" s="46">
        <f>B156+0.0001</f>
        <v>1.4151</v>
      </c>
      <c r="E156" s="47">
        <v>1</v>
      </c>
      <c r="F156" s="48"/>
      <c r="G156" s="49"/>
      <c r="H156" s="50"/>
      <c r="I156" s="51"/>
      <c r="J156" s="52"/>
      <c r="K156" s="69">
        <v>-29.25</v>
      </c>
      <c r="L156" s="51"/>
      <c r="M156" s="70"/>
      <c r="N156" s="71"/>
      <c r="O156" s="56"/>
      <c r="P156" s="279" t="s">
        <v>54</v>
      </c>
      <c r="Q156" s="34"/>
      <c r="R156" s="237"/>
    </row>
    <row r="157" spans="1:34" ht="14.25" thickTop="1" thickBot="1">
      <c r="A157" s="34"/>
      <c r="B157" s="628"/>
      <c r="C157" s="628"/>
      <c r="D157" s="46">
        <f>D156+0.0001</f>
        <v>1.4152</v>
      </c>
      <c r="E157" s="47">
        <f>D156</f>
        <v>1.4151</v>
      </c>
      <c r="F157" s="48"/>
      <c r="G157" s="49">
        <v>4.3630000000000004</v>
      </c>
      <c r="H157" s="50">
        <v>-4.1959999999999997</v>
      </c>
      <c r="I157" s="51"/>
      <c r="J157" s="52"/>
      <c r="K157" s="53"/>
      <c r="L157" s="51"/>
      <c r="M157" s="54"/>
      <c r="N157" s="55"/>
      <c r="O157" s="56"/>
      <c r="P157" s="265" t="s">
        <v>31</v>
      </c>
      <c r="Q157" s="34"/>
      <c r="R157" s="237"/>
    </row>
    <row r="158" spans="1:34" ht="14.25" thickTop="1" thickBot="1">
      <c r="A158" s="34"/>
      <c r="B158" s="629">
        <v>2.41</v>
      </c>
      <c r="C158" s="629" t="s">
        <v>19</v>
      </c>
      <c r="D158" s="420">
        <f>B158+0.0001</f>
        <v>2.4101000000000004</v>
      </c>
      <c r="E158" s="421">
        <v>2</v>
      </c>
      <c r="F158" s="422"/>
      <c r="G158" s="423"/>
      <c r="H158" s="424"/>
      <c r="I158" s="425"/>
      <c r="J158" s="426"/>
      <c r="K158" s="427">
        <f>$K$148</f>
        <v>-23</v>
      </c>
      <c r="L158" s="425"/>
      <c r="M158" s="428"/>
      <c r="N158" s="429"/>
      <c r="O158" s="430"/>
      <c r="P158" s="264" t="s">
        <v>60</v>
      </c>
      <c r="Q158" s="34"/>
      <c r="R158" s="237"/>
    </row>
    <row r="159" spans="1:34" ht="13.5" thickTop="1">
      <c r="A159" s="34"/>
      <c r="B159" s="630"/>
      <c r="C159" s="630"/>
      <c r="D159" s="82">
        <f>D158+0.0001</f>
        <v>2.4102000000000006</v>
      </c>
      <c r="E159" s="83">
        <f>D158</f>
        <v>2.4101000000000004</v>
      </c>
      <c r="F159" s="84"/>
      <c r="G159" s="85">
        <f>$G$149</f>
        <v>4.3630000000000004</v>
      </c>
      <c r="H159" s="86">
        <f>$H$149</f>
        <v>-2.8980000000000001</v>
      </c>
      <c r="I159" s="87"/>
      <c r="J159" s="88"/>
      <c r="K159" s="89"/>
      <c r="L159" s="87"/>
      <c r="M159" s="90"/>
      <c r="N159" s="91"/>
      <c r="O159" s="431"/>
      <c r="P159" s="265" t="s">
        <v>41</v>
      </c>
      <c r="Q159" s="34"/>
      <c r="R159" s="237"/>
    </row>
    <row r="160" spans="1:34" ht="13.5" thickBot="1">
      <c r="A160" s="34"/>
      <c r="B160" s="631">
        <v>2.415</v>
      </c>
      <c r="C160" s="631" t="s">
        <v>19</v>
      </c>
      <c r="D160" s="28">
        <f>B160+0.0001</f>
        <v>2.4151000000000002</v>
      </c>
      <c r="E160" s="29">
        <v>2</v>
      </c>
      <c r="F160" s="57"/>
      <c r="G160" s="58"/>
      <c r="H160" s="59"/>
      <c r="I160" s="60"/>
      <c r="J160" s="61"/>
      <c r="K160" s="62">
        <f>$K$150</f>
        <v>-13</v>
      </c>
      <c r="L160" s="60"/>
      <c r="M160" s="92"/>
      <c r="N160" s="93"/>
      <c r="O160" s="392"/>
      <c r="P160" s="264" t="s">
        <v>61</v>
      </c>
      <c r="Q160" s="34"/>
      <c r="R160" s="237"/>
    </row>
    <row r="161" spans="1:18" ht="13.5" thickTop="1">
      <c r="A161" s="34"/>
      <c r="B161" s="631"/>
      <c r="C161" s="631"/>
      <c r="D161" s="28">
        <f>D160+0.0001</f>
        <v>2.4152000000000005</v>
      </c>
      <c r="E161" s="29">
        <f>D160</f>
        <v>2.4151000000000002</v>
      </c>
      <c r="F161" s="57"/>
      <c r="G161" s="58">
        <f>$G$151</f>
        <v>4.3630000000000004</v>
      </c>
      <c r="H161" s="59">
        <f>$H$151</f>
        <v>-3.113</v>
      </c>
      <c r="I161" s="60"/>
      <c r="J161" s="61"/>
      <c r="K161" s="66"/>
      <c r="L161" s="60"/>
      <c r="M161" s="94"/>
      <c r="N161" s="95"/>
      <c r="O161" s="392"/>
      <c r="P161" s="265" t="s">
        <v>42</v>
      </c>
      <c r="Q161" s="34"/>
      <c r="R161" s="237"/>
    </row>
    <row r="162" spans="1:18" ht="13.5" thickBot="1">
      <c r="A162" s="34"/>
      <c r="B162" s="630">
        <v>2.42</v>
      </c>
      <c r="C162" s="630" t="s">
        <v>19</v>
      </c>
      <c r="D162" s="82">
        <f>B162+0.0001</f>
        <v>2.4201000000000001</v>
      </c>
      <c r="E162" s="83">
        <v>2</v>
      </c>
      <c r="F162" s="84"/>
      <c r="G162" s="85"/>
      <c r="H162" s="86"/>
      <c r="I162" s="87"/>
      <c r="J162" s="88"/>
      <c r="K162" s="432">
        <f>$K$152</f>
        <v>-26.25</v>
      </c>
      <c r="L162" s="87"/>
      <c r="M162" s="433"/>
      <c r="N162" s="434"/>
      <c r="O162" s="431"/>
      <c r="P162" s="264" t="s">
        <v>60</v>
      </c>
      <c r="Q162" s="34"/>
      <c r="R162" s="237"/>
    </row>
    <row r="163" spans="1:18" ht="13.5" thickTop="1">
      <c r="A163" s="34"/>
      <c r="B163" s="630"/>
      <c r="C163" s="630"/>
      <c r="D163" s="82">
        <f>D162+0.0001</f>
        <v>2.4202000000000004</v>
      </c>
      <c r="E163" s="83">
        <f>D162</f>
        <v>2.4201000000000001</v>
      </c>
      <c r="F163" s="84"/>
      <c r="G163" s="85">
        <f>$G$153</f>
        <v>4.3630000000000004</v>
      </c>
      <c r="H163" s="86">
        <f>$H$153</f>
        <v>-3.5470000000000002</v>
      </c>
      <c r="I163" s="87"/>
      <c r="J163" s="88"/>
      <c r="K163" s="89"/>
      <c r="L163" s="87"/>
      <c r="M163" s="90"/>
      <c r="N163" s="91"/>
      <c r="O163" s="431"/>
      <c r="P163" s="265" t="s">
        <v>41</v>
      </c>
      <c r="Q163" s="34"/>
      <c r="R163" s="237"/>
    </row>
    <row r="164" spans="1:18" ht="13.5" thickBot="1">
      <c r="A164" s="34"/>
      <c r="B164" s="631">
        <v>2.4249999999999998</v>
      </c>
      <c r="C164" s="631" t="s">
        <v>19</v>
      </c>
      <c r="D164" s="28">
        <f>B164+0.0001</f>
        <v>2.4251</v>
      </c>
      <c r="E164" s="29">
        <v>2</v>
      </c>
      <c r="F164" s="57"/>
      <c r="G164" s="58"/>
      <c r="H164" s="59"/>
      <c r="I164" s="60"/>
      <c r="J164" s="61"/>
      <c r="K164" s="62">
        <f>$K$154</f>
        <v>-16</v>
      </c>
      <c r="L164" s="60"/>
      <c r="M164" s="92"/>
      <c r="N164" s="93"/>
      <c r="O164" s="392"/>
      <c r="P164" s="264" t="s">
        <v>61</v>
      </c>
      <c r="Q164" s="34"/>
      <c r="R164" s="237"/>
    </row>
    <row r="165" spans="1:18" ht="13.5" thickTop="1">
      <c r="A165" s="34"/>
      <c r="B165" s="653"/>
      <c r="C165" s="653"/>
      <c r="D165" s="239">
        <f>D164+0.0001</f>
        <v>2.4252000000000002</v>
      </c>
      <c r="E165" s="240">
        <f>D164</f>
        <v>2.4251</v>
      </c>
      <c r="F165" s="241"/>
      <c r="G165" s="242">
        <f>$G$155</f>
        <v>4.3630000000000004</v>
      </c>
      <c r="H165" s="243">
        <f>$H$155</f>
        <v>-3.762</v>
      </c>
      <c r="I165" s="244"/>
      <c r="J165" s="245"/>
      <c r="K165" s="246"/>
      <c r="L165" s="244"/>
      <c r="M165" s="247"/>
      <c r="N165" s="248"/>
      <c r="O165" s="616"/>
      <c r="P165" s="265" t="s">
        <v>42</v>
      </c>
      <c r="Q165" s="34"/>
      <c r="R165" s="237"/>
    </row>
    <row r="166" spans="1:18" ht="13.5" thickBot="1">
      <c r="A166" s="34"/>
      <c r="B166" s="630">
        <v>2.42</v>
      </c>
      <c r="C166" s="630" t="s">
        <v>19</v>
      </c>
      <c r="D166" s="82">
        <f>B166+0.0001</f>
        <v>2.4201000000000001</v>
      </c>
      <c r="E166" s="83">
        <v>2</v>
      </c>
      <c r="F166" s="84"/>
      <c r="G166" s="85"/>
      <c r="H166" s="86"/>
      <c r="I166" s="87"/>
      <c r="J166" s="88"/>
      <c r="K166" s="432">
        <f>$K$156</f>
        <v>-29.25</v>
      </c>
      <c r="L166" s="87"/>
      <c r="M166" s="433"/>
      <c r="N166" s="434"/>
      <c r="O166" s="431"/>
      <c r="P166" s="264" t="s">
        <v>60</v>
      </c>
      <c r="Q166" s="34"/>
      <c r="R166" s="237"/>
    </row>
    <row r="167" spans="1:18" ht="14.25" thickTop="1" thickBot="1">
      <c r="A167" s="34"/>
      <c r="B167" s="647"/>
      <c r="C167" s="647"/>
      <c r="D167" s="507">
        <f>D166+0.0001</f>
        <v>2.4202000000000004</v>
      </c>
      <c r="E167" s="508">
        <f>D166</f>
        <v>2.4201000000000001</v>
      </c>
      <c r="F167" s="509"/>
      <c r="G167" s="510">
        <f>$G$157</f>
        <v>4.3630000000000004</v>
      </c>
      <c r="H167" s="511">
        <f>$H$157</f>
        <v>-4.1959999999999997</v>
      </c>
      <c r="I167" s="512"/>
      <c r="J167" s="513"/>
      <c r="K167" s="514"/>
      <c r="L167" s="512"/>
      <c r="M167" s="515"/>
      <c r="N167" s="516"/>
      <c r="O167" s="517"/>
      <c r="P167" s="265" t="s">
        <v>41</v>
      </c>
      <c r="Q167" s="34"/>
      <c r="R167" s="237"/>
    </row>
    <row r="168" spans="1:18" ht="14.25" thickTop="1" thickBot="1">
      <c r="A168" s="34"/>
      <c r="B168" s="648">
        <v>3.403</v>
      </c>
      <c r="C168" s="648" t="s">
        <v>19</v>
      </c>
      <c r="D168" s="435">
        <f>B168+0.0001</f>
        <v>3.4031000000000002</v>
      </c>
      <c r="E168" s="436">
        <v>3</v>
      </c>
      <c r="F168" s="437"/>
      <c r="G168" s="438"/>
      <c r="H168" s="439"/>
      <c r="I168" s="440"/>
      <c r="J168" s="441"/>
      <c r="K168" s="442">
        <f t="shared" ref="K168" si="73">$K$148</f>
        <v>-23</v>
      </c>
      <c r="L168" s="440"/>
      <c r="M168" s="443"/>
      <c r="N168" s="444"/>
      <c r="O168" s="445"/>
      <c r="P168" s="264" t="s">
        <v>58</v>
      </c>
      <c r="Q168" s="34"/>
      <c r="R168" s="237"/>
    </row>
    <row r="169" spans="1:18" ht="13.5" thickTop="1">
      <c r="A169" s="34"/>
      <c r="B169" s="651"/>
      <c r="C169" s="651"/>
      <c r="D169" s="30">
        <f>D168+0.0001</f>
        <v>3.4032000000000004</v>
      </c>
      <c r="E169" s="31">
        <f>D168</f>
        <v>3.4031000000000002</v>
      </c>
      <c r="F169" s="96"/>
      <c r="G169" s="97">
        <f t="shared" ref="G169" si="74">$G$149</f>
        <v>4.3630000000000004</v>
      </c>
      <c r="H169" s="98">
        <f t="shared" ref="H169" si="75">$H$149</f>
        <v>-2.8980000000000001</v>
      </c>
      <c r="I169" s="99"/>
      <c r="J169" s="100"/>
      <c r="K169" s="101"/>
      <c r="L169" s="99"/>
      <c r="M169" s="102"/>
      <c r="N169" s="103"/>
      <c r="O169" s="446"/>
      <c r="P169" s="265" t="s">
        <v>45</v>
      </c>
      <c r="Q169" s="34"/>
      <c r="R169" s="237"/>
    </row>
    <row r="170" spans="1:18" ht="13.5" thickBot="1">
      <c r="A170" s="34"/>
      <c r="B170" s="631">
        <v>3.4060000000000001</v>
      </c>
      <c r="C170" s="631" t="s">
        <v>19</v>
      </c>
      <c r="D170" s="28">
        <f>B170+0.0001</f>
        <v>3.4061000000000003</v>
      </c>
      <c r="E170" s="29">
        <v>3</v>
      </c>
      <c r="F170" s="57"/>
      <c r="G170" s="58"/>
      <c r="H170" s="59"/>
      <c r="I170" s="60"/>
      <c r="J170" s="61"/>
      <c r="K170" s="62">
        <f t="shared" ref="K170" si="76">$K$150</f>
        <v>-13</v>
      </c>
      <c r="L170" s="60"/>
      <c r="M170" s="92"/>
      <c r="N170" s="93"/>
      <c r="O170" s="392"/>
      <c r="P170" s="264" t="s">
        <v>57</v>
      </c>
      <c r="Q170" s="34"/>
      <c r="R170" s="237"/>
    </row>
    <row r="171" spans="1:18" ht="13.5" thickTop="1">
      <c r="A171" s="34"/>
      <c r="B171" s="631"/>
      <c r="C171" s="631"/>
      <c r="D171" s="28">
        <f>D170+0.0001</f>
        <v>3.4062000000000006</v>
      </c>
      <c r="E171" s="29">
        <f>D170</f>
        <v>3.4061000000000003</v>
      </c>
      <c r="F171" s="57"/>
      <c r="G171" s="58">
        <f t="shared" ref="G171" si="77">$G$151</f>
        <v>4.3630000000000004</v>
      </c>
      <c r="H171" s="59">
        <f t="shared" ref="H171" si="78">$H$151</f>
        <v>-3.113</v>
      </c>
      <c r="I171" s="60"/>
      <c r="J171" s="61"/>
      <c r="K171" s="66"/>
      <c r="L171" s="60"/>
      <c r="M171" s="94"/>
      <c r="N171" s="95"/>
      <c r="O171" s="392"/>
      <c r="P171" s="265" t="s">
        <v>46</v>
      </c>
      <c r="Q171" s="34"/>
      <c r="R171" s="237"/>
    </row>
    <row r="172" spans="1:18" ht="13.5" thickBot="1">
      <c r="A172" s="34"/>
      <c r="B172" s="652">
        <v>3.4089999999999998</v>
      </c>
      <c r="C172" s="652" t="s">
        <v>19</v>
      </c>
      <c r="D172" s="447">
        <f>B172+0.0001</f>
        <v>3.4091</v>
      </c>
      <c r="E172" s="448">
        <v>3</v>
      </c>
      <c r="F172" s="449"/>
      <c r="G172" s="450"/>
      <c r="H172" s="451"/>
      <c r="I172" s="452"/>
      <c r="J172" s="453"/>
      <c r="K172" s="454">
        <f t="shared" ref="K172" si="79">$K$152</f>
        <v>-26.25</v>
      </c>
      <c r="L172" s="452"/>
      <c r="M172" s="455"/>
      <c r="N172" s="456"/>
      <c r="O172" s="457"/>
      <c r="P172" s="264" t="s">
        <v>58</v>
      </c>
      <c r="Q172" s="34"/>
      <c r="R172" s="237"/>
    </row>
    <row r="173" spans="1:18" ht="13.5" thickTop="1">
      <c r="A173" s="34"/>
      <c r="B173" s="651"/>
      <c r="C173" s="651"/>
      <c r="D173" s="30">
        <f>D172+0.0001</f>
        <v>3.4092000000000002</v>
      </c>
      <c r="E173" s="31">
        <f>D172</f>
        <v>3.4091</v>
      </c>
      <c r="F173" s="96"/>
      <c r="G173" s="97">
        <f t="shared" ref="G173" si="80">$G$153</f>
        <v>4.3630000000000004</v>
      </c>
      <c r="H173" s="98">
        <f t="shared" ref="H173" si="81">$H$153</f>
        <v>-3.5470000000000002</v>
      </c>
      <c r="I173" s="99"/>
      <c r="J173" s="100"/>
      <c r="K173" s="101"/>
      <c r="L173" s="99"/>
      <c r="M173" s="102"/>
      <c r="N173" s="103"/>
      <c r="O173" s="446"/>
      <c r="P173" s="265" t="s">
        <v>45</v>
      </c>
      <c r="Q173" s="34"/>
      <c r="R173" s="237"/>
    </row>
    <row r="174" spans="1:18" ht="13.5" thickBot="1">
      <c r="A174" s="34"/>
      <c r="B174" s="631">
        <v>3.4140000000000001</v>
      </c>
      <c r="C174" s="631" t="s">
        <v>19</v>
      </c>
      <c r="D174" s="28">
        <f>B174+0.0001</f>
        <v>3.4141000000000004</v>
      </c>
      <c r="E174" s="29">
        <v>3</v>
      </c>
      <c r="F174" s="57"/>
      <c r="G174" s="58"/>
      <c r="H174" s="59"/>
      <c r="I174" s="60"/>
      <c r="J174" s="61"/>
      <c r="K174" s="62">
        <f t="shared" ref="K174" si="82">$K$154</f>
        <v>-16</v>
      </c>
      <c r="L174" s="60"/>
      <c r="M174" s="92"/>
      <c r="N174" s="93"/>
      <c r="O174" s="392"/>
      <c r="P174" s="264" t="s">
        <v>57</v>
      </c>
      <c r="Q174" s="34"/>
      <c r="R174" s="237"/>
    </row>
    <row r="175" spans="1:18" ht="13.5" thickTop="1">
      <c r="A175" s="34"/>
      <c r="B175" s="653"/>
      <c r="C175" s="653"/>
      <c r="D175" s="239">
        <f>D174+0.0001</f>
        <v>3.4142000000000006</v>
      </c>
      <c r="E175" s="240">
        <f>D174</f>
        <v>3.4141000000000004</v>
      </c>
      <c r="F175" s="241"/>
      <c r="G175" s="242">
        <f t="shared" ref="G175" si="83">$G$155</f>
        <v>4.3630000000000004</v>
      </c>
      <c r="H175" s="243">
        <f t="shared" ref="H175" si="84">$H$155</f>
        <v>-3.762</v>
      </c>
      <c r="I175" s="244"/>
      <c r="J175" s="245"/>
      <c r="K175" s="246"/>
      <c r="L175" s="244"/>
      <c r="M175" s="247"/>
      <c r="N175" s="248"/>
      <c r="O175" s="616"/>
      <c r="P175" s="265" t="s">
        <v>46</v>
      </c>
      <c r="Q175" s="34"/>
      <c r="R175" s="237"/>
    </row>
    <row r="176" spans="1:18" ht="13.5" thickBot="1">
      <c r="A176" s="34"/>
      <c r="B176" s="651">
        <v>3.4089999999999998</v>
      </c>
      <c r="C176" s="651" t="s">
        <v>19</v>
      </c>
      <c r="D176" s="30">
        <f>B176+0.0001</f>
        <v>3.4091</v>
      </c>
      <c r="E176" s="31">
        <v>3</v>
      </c>
      <c r="F176" s="96"/>
      <c r="G176" s="97"/>
      <c r="H176" s="98"/>
      <c r="I176" s="99"/>
      <c r="J176" s="100"/>
      <c r="K176" s="104">
        <f t="shared" ref="K176" si="85">$K$156</f>
        <v>-29.25</v>
      </c>
      <c r="L176" s="99"/>
      <c r="M176" s="105"/>
      <c r="N176" s="106"/>
      <c r="O176" s="446"/>
      <c r="P176" s="264" t="s">
        <v>58</v>
      </c>
      <c r="Q176" s="34"/>
      <c r="R176" s="237"/>
    </row>
    <row r="177" spans="1:18" ht="14.25" thickTop="1" thickBot="1">
      <c r="A177" s="34"/>
      <c r="B177" s="649"/>
      <c r="C177" s="649"/>
      <c r="D177" s="518">
        <f>D176+0.0001</f>
        <v>3.4092000000000002</v>
      </c>
      <c r="E177" s="519">
        <f>D176</f>
        <v>3.4091</v>
      </c>
      <c r="F177" s="520"/>
      <c r="G177" s="521">
        <f t="shared" ref="G177" si="86">$G$157</f>
        <v>4.3630000000000004</v>
      </c>
      <c r="H177" s="522">
        <f t="shared" ref="H177" si="87">$H$157</f>
        <v>-4.1959999999999997</v>
      </c>
      <c r="I177" s="523"/>
      <c r="J177" s="524"/>
      <c r="K177" s="525"/>
      <c r="L177" s="523"/>
      <c r="M177" s="526"/>
      <c r="N177" s="527"/>
      <c r="O177" s="528"/>
      <c r="P177" s="265" t="s">
        <v>45</v>
      </c>
      <c r="Q177" s="34"/>
      <c r="R177" s="237"/>
    </row>
    <row r="178" spans="1:18" ht="14.25" thickTop="1" thickBot="1">
      <c r="A178" s="34"/>
      <c r="B178" s="633">
        <v>4.4020000000000001</v>
      </c>
      <c r="C178" s="633" t="s">
        <v>19</v>
      </c>
      <c r="D178" s="458">
        <f>B178+0.0001</f>
        <v>4.4020999999999999</v>
      </c>
      <c r="E178" s="459">
        <v>4</v>
      </c>
      <c r="F178" s="460"/>
      <c r="G178" s="461"/>
      <c r="H178" s="462"/>
      <c r="I178" s="463"/>
      <c r="J178" s="464"/>
      <c r="K178" s="465">
        <f t="shared" ref="K178" si="88">$K$148</f>
        <v>-23</v>
      </c>
      <c r="L178" s="463"/>
      <c r="M178" s="466"/>
      <c r="N178" s="467"/>
      <c r="O178" s="468"/>
      <c r="P178" s="264" t="s">
        <v>58</v>
      </c>
      <c r="Q178" s="34"/>
      <c r="R178" s="237"/>
    </row>
    <row r="179" spans="1:18" ht="13.5" thickTop="1">
      <c r="A179" s="34"/>
      <c r="B179" s="617"/>
      <c r="C179" s="617"/>
      <c r="D179" s="117">
        <f>D178+0.0001</f>
        <v>4.4021999999999997</v>
      </c>
      <c r="E179" s="118">
        <f>D178</f>
        <v>4.4020999999999999</v>
      </c>
      <c r="F179" s="119"/>
      <c r="G179" s="120">
        <f t="shared" ref="G179" si="89">$G$149</f>
        <v>4.3630000000000004</v>
      </c>
      <c r="H179" s="121">
        <f t="shared" ref="H179" si="90">$H$149</f>
        <v>-2.8980000000000001</v>
      </c>
      <c r="I179" s="122"/>
      <c r="J179" s="123"/>
      <c r="K179" s="124"/>
      <c r="L179" s="122"/>
      <c r="M179" s="125"/>
      <c r="N179" s="126"/>
      <c r="O179" s="469"/>
      <c r="P179" s="265" t="s">
        <v>45</v>
      </c>
      <c r="Q179" s="34"/>
      <c r="R179" s="237"/>
    </row>
    <row r="180" spans="1:18" ht="13.5" thickBot="1">
      <c r="A180" s="34"/>
      <c r="B180" s="631">
        <v>4.4050000000000002</v>
      </c>
      <c r="C180" s="631" t="s">
        <v>19</v>
      </c>
      <c r="D180" s="28">
        <f>B180+0.0001</f>
        <v>4.4051</v>
      </c>
      <c r="E180" s="29">
        <v>4</v>
      </c>
      <c r="F180" s="57"/>
      <c r="G180" s="58"/>
      <c r="H180" s="59"/>
      <c r="I180" s="60"/>
      <c r="J180" s="61"/>
      <c r="K180" s="62">
        <f t="shared" ref="K180" si="91">$K$150</f>
        <v>-13</v>
      </c>
      <c r="L180" s="60"/>
      <c r="M180" s="92"/>
      <c r="N180" s="93"/>
      <c r="O180" s="392"/>
      <c r="P180" s="264" t="s">
        <v>57</v>
      </c>
      <c r="Q180" s="34"/>
      <c r="R180" s="237"/>
    </row>
    <row r="181" spans="1:18" ht="13.5" thickTop="1">
      <c r="A181" s="34"/>
      <c r="B181" s="631"/>
      <c r="C181" s="631"/>
      <c r="D181" s="28">
        <f>D180+0.0001</f>
        <v>4.4051999999999998</v>
      </c>
      <c r="E181" s="29">
        <f>D180</f>
        <v>4.4051</v>
      </c>
      <c r="F181" s="57"/>
      <c r="G181" s="58">
        <f t="shared" ref="G181" si="92">$G$151</f>
        <v>4.3630000000000004</v>
      </c>
      <c r="H181" s="59">
        <f t="shared" ref="H181" si="93">$H$151</f>
        <v>-3.113</v>
      </c>
      <c r="I181" s="60"/>
      <c r="J181" s="61"/>
      <c r="K181" s="66"/>
      <c r="L181" s="60"/>
      <c r="M181" s="94"/>
      <c r="N181" s="95"/>
      <c r="O181" s="392"/>
      <c r="P181" s="265" t="s">
        <v>46</v>
      </c>
      <c r="Q181" s="34"/>
      <c r="R181" s="237"/>
    </row>
    <row r="182" spans="1:18" ht="13.5" thickBot="1">
      <c r="A182" s="34"/>
      <c r="B182" s="617">
        <v>4.4080000000000004</v>
      </c>
      <c r="C182" s="617" t="s">
        <v>19</v>
      </c>
      <c r="D182" s="117">
        <f>B182+0.0001</f>
        <v>4.4081000000000001</v>
      </c>
      <c r="E182" s="118">
        <v>4</v>
      </c>
      <c r="F182" s="119"/>
      <c r="G182" s="120"/>
      <c r="H182" s="121"/>
      <c r="I182" s="122"/>
      <c r="J182" s="123"/>
      <c r="K182" s="470">
        <f t="shared" ref="K182" si="94">$K$152</f>
        <v>-26.25</v>
      </c>
      <c r="L182" s="122"/>
      <c r="M182" s="471"/>
      <c r="N182" s="472"/>
      <c r="O182" s="469"/>
      <c r="P182" s="264" t="s">
        <v>58</v>
      </c>
      <c r="Q182" s="34"/>
      <c r="R182" s="237"/>
    </row>
    <row r="183" spans="1:18" ht="13.5" thickTop="1">
      <c r="A183" s="34"/>
      <c r="B183" s="617"/>
      <c r="C183" s="617"/>
      <c r="D183" s="117">
        <f>D182+0.0001</f>
        <v>4.4081999999999999</v>
      </c>
      <c r="E183" s="118">
        <f>D182</f>
        <v>4.4081000000000001</v>
      </c>
      <c r="F183" s="119"/>
      <c r="G183" s="120">
        <f t="shared" ref="G183" si="95">$G$153</f>
        <v>4.3630000000000004</v>
      </c>
      <c r="H183" s="121">
        <f t="shared" ref="H183" si="96">$H$153</f>
        <v>-3.5470000000000002</v>
      </c>
      <c r="I183" s="122"/>
      <c r="J183" s="123"/>
      <c r="K183" s="124"/>
      <c r="L183" s="122"/>
      <c r="M183" s="125"/>
      <c r="N183" s="126"/>
      <c r="O183" s="469"/>
      <c r="P183" s="265" t="s">
        <v>45</v>
      </c>
      <c r="Q183" s="34"/>
      <c r="R183" s="237"/>
    </row>
    <row r="184" spans="1:18" ht="13.5" thickBot="1">
      <c r="A184" s="34"/>
      <c r="B184" s="631">
        <v>4.4130000000000003</v>
      </c>
      <c r="C184" s="631" t="s">
        <v>19</v>
      </c>
      <c r="D184" s="28">
        <f>B184+0.0001</f>
        <v>4.4131</v>
      </c>
      <c r="E184" s="29">
        <v>4</v>
      </c>
      <c r="F184" s="57"/>
      <c r="G184" s="58"/>
      <c r="H184" s="59"/>
      <c r="I184" s="60"/>
      <c r="J184" s="61"/>
      <c r="K184" s="62">
        <f t="shared" ref="K184" si="97">$K$154</f>
        <v>-16</v>
      </c>
      <c r="L184" s="60"/>
      <c r="M184" s="92"/>
      <c r="N184" s="93"/>
      <c r="O184" s="392"/>
      <c r="P184" s="264" t="s">
        <v>57</v>
      </c>
      <c r="Q184" s="34"/>
      <c r="R184" s="237"/>
    </row>
    <row r="185" spans="1:18" ht="13.5" thickTop="1">
      <c r="A185" s="34"/>
      <c r="B185" s="653"/>
      <c r="C185" s="653"/>
      <c r="D185" s="239">
        <f>D184+0.0001</f>
        <v>4.4131999999999998</v>
      </c>
      <c r="E185" s="240">
        <f>D184</f>
        <v>4.4131</v>
      </c>
      <c r="F185" s="241"/>
      <c r="G185" s="242">
        <f t="shared" ref="G185" si="98">$G$155</f>
        <v>4.3630000000000004</v>
      </c>
      <c r="H185" s="243">
        <f t="shared" ref="H185" si="99">$H$155</f>
        <v>-3.762</v>
      </c>
      <c r="I185" s="244"/>
      <c r="J185" s="245"/>
      <c r="K185" s="246"/>
      <c r="L185" s="244"/>
      <c r="M185" s="247"/>
      <c r="N185" s="248"/>
      <c r="O185" s="616"/>
      <c r="P185" s="265" t="s">
        <v>46</v>
      </c>
      <c r="Q185" s="34"/>
      <c r="R185" s="237"/>
    </row>
    <row r="186" spans="1:18" ht="13.5" thickBot="1">
      <c r="A186" s="34"/>
      <c r="B186" s="617">
        <v>4.4080000000000004</v>
      </c>
      <c r="C186" s="617" t="s">
        <v>19</v>
      </c>
      <c r="D186" s="117">
        <f>B186+0.0001</f>
        <v>4.4081000000000001</v>
      </c>
      <c r="E186" s="118">
        <v>4</v>
      </c>
      <c r="F186" s="119"/>
      <c r="G186" s="120"/>
      <c r="H186" s="121"/>
      <c r="I186" s="122"/>
      <c r="J186" s="123"/>
      <c r="K186" s="470">
        <f t="shared" ref="K186" si="100">$K$156</f>
        <v>-29.25</v>
      </c>
      <c r="L186" s="122"/>
      <c r="M186" s="471"/>
      <c r="N186" s="472"/>
      <c r="O186" s="469"/>
      <c r="P186" s="264" t="s">
        <v>58</v>
      </c>
      <c r="Q186" s="34"/>
      <c r="R186" s="237"/>
    </row>
    <row r="187" spans="1:18" ht="14.25" thickTop="1" thickBot="1">
      <c r="A187" s="34"/>
      <c r="B187" s="618"/>
      <c r="C187" s="618"/>
      <c r="D187" s="529">
        <f>D186+0.0001</f>
        <v>4.4081999999999999</v>
      </c>
      <c r="E187" s="530">
        <f>D186</f>
        <v>4.4081000000000001</v>
      </c>
      <c r="F187" s="531"/>
      <c r="G187" s="532">
        <f t="shared" ref="G187" si="101">$G$157</f>
        <v>4.3630000000000004</v>
      </c>
      <c r="H187" s="533">
        <f t="shared" ref="H187" si="102">$H$157</f>
        <v>-4.1959999999999997</v>
      </c>
      <c r="I187" s="534"/>
      <c r="J187" s="535"/>
      <c r="K187" s="536"/>
      <c r="L187" s="534"/>
      <c r="M187" s="537"/>
      <c r="N187" s="538"/>
      <c r="O187" s="539"/>
      <c r="P187" s="265" t="s">
        <v>45</v>
      </c>
      <c r="Q187" s="34"/>
      <c r="R187" s="237"/>
    </row>
    <row r="188" spans="1:18" ht="14.25" thickTop="1" thickBot="1">
      <c r="A188" s="34"/>
      <c r="B188" s="632">
        <v>5.4169999999999998</v>
      </c>
      <c r="C188" s="632" t="s">
        <v>19</v>
      </c>
      <c r="D188" s="473">
        <f>B188+0.0001</f>
        <v>5.4170999999999996</v>
      </c>
      <c r="E188" s="474">
        <v>5</v>
      </c>
      <c r="F188" s="475"/>
      <c r="G188" s="476"/>
      <c r="H188" s="477"/>
      <c r="I188" s="478"/>
      <c r="J188" s="479"/>
      <c r="K188" s="480">
        <f t="shared" ref="K188" si="103">$K$148</f>
        <v>-23</v>
      </c>
      <c r="L188" s="478"/>
      <c r="M188" s="481"/>
      <c r="N188" s="482"/>
      <c r="O188" s="483"/>
      <c r="P188" s="264" t="s">
        <v>58</v>
      </c>
      <c r="Q188" s="34"/>
      <c r="R188" s="237"/>
    </row>
    <row r="189" spans="1:18" ht="13.5" thickTop="1">
      <c r="A189" s="34"/>
      <c r="B189" s="619"/>
      <c r="C189" s="619"/>
      <c r="D189" s="127">
        <f>D188+0.0001</f>
        <v>5.4171999999999993</v>
      </c>
      <c r="E189" s="128">
        <f>D188</f>
        <v>5.4170999999999996</v>
      </c>
      <c r="F189" s="129"/>
      <c r="G189" s="130">
        <f t="shared" ref="G189" si="104">$G$149</f>
        <v>4.3630000000000004</v>
      </c>
      <c r="H189" s="131">
        <f t="shared" ref="H189" si="105">$H$149</f>
        <v>-2.8980000000000001</v>
      </c>
      <c r="I189" s="132"/>
      <c r="J189" s="133"/>
      <c r="K189" s="134"/>
      <c r="L189" s="132"/>
      <c r="M189" s="135"/>
      <c r="N189" s="136"/>
      <c r="O189" s="484"/>
      <c r="P189" s="265" t="s">
        <v>45</v>
      </c>
      <c r="Q189" s="34"/>
      <c r="R189" s="237"/>
    </row>
    <row r="190" spans="1:18" ht="13.5" thickBot="1">
      <c r="A190" s="34"/>
      <c r="B190" s="631">
        <v>5.4219999999999997</v>
      </c>
      <c r="C190" s="631" t="s">
        <v>19</v>
      </c>
      <c r="D190" s="28">
        <f>B190+0.0001</f>
        <v>5.4220999999999995</v>
      </c>
      <c r="E190" s="29">
        <v>5</v>
      </c>
      <c r="F190" s="57"/>
      <c r="G190" s="58"/>
      <c r="H190" s="59"/>
      <c r="I190" s="60"/>
      <c r="J190" s="61"/>
      <c r="K190" s="62">
        <f t="shared" ref="K190" si="106">$K$150</f>
        <v>-13</v>
      </c>
      <c r="L190" s="60"/>
      <c r="M190" s="92"/>
      <c r="N190" s="93"/>
      <c r="O190" s="392"/>
      <c r="P190" s="264" t="s">
        <v>57</v>
      </c>
      <c r="Q190" s="34"/>
      <c r="R190" s="237"/>
    </row>
    <row r="191" spans="1:18" ht="13.5" thickTop="1">
      <c r="A191" s="34"/>
      <c r="B191" s="631"/>
      <c r="C191" s="631"/>
      <c r="D191" s="28">
        <f>D190+0.0001</f>
        <v>5.4221999999999992</v>
      </c>
      <c r="E191" s="29">
        <f>D190</f>
        <v>5.4220999999999995</v>
      </c>
      <c r="F191" s="57"/>
      <c r="G191" s="58">
        <f t="shared" ref="G191" si="107">$G$151</f>
        <v>4.3630000000000004</v>
      </c>
      <c r="H191" s="59">
        <f t="shared" ref="H191" si="108">$H$151</f>
        <v>-3.113</v>
      </c>
      <c r="I191" s="60"/>
      <c r="J191" s="61"/>
      <c r="K191" s="66"/>
      <c r="L191" s="60"/>
      <c r="M191" s="94"/>
      <c r="N191" s="95"/>
      <c r="O191" s="392"/>
      <c r="P191" s="265" t="s">
        <v>46</v>
      </c>
      <c r="Q191" s="34"/>
      <c r="R191" s="237"/>
    </row>
    <row r="192" spans="1:18" ht="13.5" thickBot="1">
      <c r="A192" s="34"/>
      <c r="B192" s="619">
        <v>5.4269999999999996</v>
      </c>
      <c r="C192" s="619" t="s">
        <v>19</v>
      </c>
      <c r="D192" s="127">
        <f>B192+0.0001</f>
        <v>5.4270999999999994</v>
      </c>
      <c r="E192" s="128">
        <v>5</v>
      </c>
      <c r="F192" s="129"/>
      <c r="G192" s="130"/>
      <c r="H192" s="131"/>
      <c r="I192" s="132"/>
      <c r="J192" s="133"/>
      <c r="K192" s="137">
        <f t="shared" ref="K192" si="109">$K$152</f>
        <v>-26.25</v>
      </c>
      <c r="L192" s="132"/>
      <c r="M192" s="138"/>
      <c r="N192" s="139"/>
      <c r="O192" s="484"/>
      <c r="P192" s="264" t="s">
        <v>58</v>
      </c>
      <c r="Q192" s="34"/>
      <c r="R192" s="237"/>
    </row>
    <row r="193" spans="1:18" ht="13.5" thickTop="1">
      <c r="A193" s="34"/>
      <c r="B193" s="620"/>
      <c r="C193" s="620"/>
      <c r="D193" s="485">
        <f>D192+0.0001</f>
        <v>5.4271999999999991</v>
      </c>
      <c r="E193" s="486">
        <f>D192</f>
        <v>5.4270999999999994</v>
      </c>
      <c r="F193" s="487"/>
      <c r="G193" s="488">
        <f t="shared" ref="G193" si="110">$G$153</f>
        <v>4.3630000000000004</v>
      </c>
      <c r="H193" s="489">
        <f t="shared" ref="H193" si="111">$H$153</f>
        <v>-3.5470000000000002</v>
      </c>
      <c r="I193" s="490"/>
      <c r="J193" s="491"/>
      <c r="K193" s="492"/>
      <c r="L193" s="490"/>
      <c r="M193" s="493"/>
      <c r="N193" s="494"/>
      <c r="O193" s="495"/>
      <c r="P193" s="265" t="s">
        <v>45</v>
      </c>
      <c r="Q193" s="34"/>
      <c r="R193" s="237"/>
    </row>
    <row r="194" spans="1:18" ht="13.5" thickBot="1">
      <c r="A194" s="34"/>
      <c r="B194" s="653">
        <v>5.4119999999999999</v>
      </c>
      <c r="C194" s="653" t="s">
        <v>19</v>
      </c>
      <c r="D194" s="28">
        <f>B194+0.0001</f>
        <v>5.4120999999999997</v>
      </c>
      <c r="E194" s="29">
        <v>5</v>
      </c>
      <c r="F194" s="57"/>
      <c r="G194" s="58"/>
      <c r="H194" s="59"/>
      <c r="I194" s="60"/>
      <c r="J194" s="61"/>
      <c r="K194" s="62">
        <f t="shared" ref="K194" si="112">$K$154</f>
        <v>-16</v>
      </c>
      <c r="L194" s="60"/>
      <c r="M194" s="92"/>
      <c r="N194" s="93"/>
      <c r="O194" s="392"/>
      <c r="P194" s="264" t="s">
        <v>57</v>
      </c>
      <c r="Q194" s="34"/>
      <c r="R194" s="237"/>
    </row>
    <row r="195" spans="1:18" ht="13.5" thickTop="1">
      <c r="A195" s="34"/>
      <c r="B195" s="656"/>
      <c r="C195" s="656"/>
      <c r="D195" s="239">
        <f>D194+0.0001</f>
        <v>5.4121999999999995</v>
      </c>
      <c r="E195" s="240">
        <f>D194</f>
        <v>5.4120999999999997</v>
      </c>
      <c r="F195" s="241"/>
      <c r="G195" s="242">
        <f t="shared" ref="G195" si="113">$G$155</f>
        <v>4.3630000000000004</v>
      </c>
      <c r="H195" s="243">
        <f t="shared" ref="H195" si="114">$H$155</f>
        <v>-3.762</v>
      </c>
      <c r="I195" s="244"/>
      <c r="J195" s="245"/>
      <c r="K195" s="246"/>
      <c r="L195" s="244"/>
      <c r="M195" s="247"/>
      <c r="N195" s="248"/>
      <c r="O195" s="616"/>
      <c r="P195" s="265" t="s">
        <v>46</v>
      </c>
      <c r="Q195" s="34"/>
      <c r="R195" s="237"/>
    </row>
    <row r="196" spans="1:18" ht="13.5" thickBot="1">
      <c r="A196" s="34"/>
      <c r="B196" s="619">
        <v>5.4269999999999996</v>
      </c>
      <c r="C196" s="619" t="s">
        <v>19</v>
      </c>
      <c r="D196" s="127">
        <f>B196+0.0001</f>
        <v>5.4270999999999994</v>
      </c>
      <c r="E196" s="128">
        <v>5</v>
      </c>
      <c r="F196" s="129"/>
      <c r="G196" s="130"/>
      <c r="H196" s="131"/>
      <c r="I196" s="132"/>
      <c r="J196" s="133"/>
      <c r="K196" s="137">
        <f t="shared" ref="K196" si="115">$K$156</f>
        <v>-29.25</v>
      </c>
      <c r="L196" s="132"/>
      <c r="M196" s="138"/>
      <c r="N196" s="139"/>
      <c r="O196" s="484"/>
      <c r="P196" s="264" t="s">
        <v>58</v>
      </c>
      <c r="Q196" s="34"/>
      <c r="R196" s="237"/>
    </row>
    <row r="197" spans="1:18" ht="13.5" thickTop="1">
      <c r="A197" s="34"/>
      <c r="B197" s="620"/>
      <c r="C197" s="620"/>
      <c r="D197" s="485">
        <f>D196+0.0001</f>
        <v>5.4271999999999991</v>
      </c>
      <c r="E197" s="486">
        <f>D196</f>
        <v>5.4270999999999994</v>
      </c>
      <c r="F197" s="487"/>
      <c r="G197" s="488">
        <f t="shared" ref="G197" si="116">$G$157</f>
        <v>4.3630000000000004</v>
      </c>
      <c r="H197" s="489">
        <f t="shared" ref="H197" si="117">$H$157</f>
        <v>-4.1959999999999997</v>
      </c>
      <c r="I197" s="490"/>
      <c r="J197" s="491"/>
      <c r="K197" s="492"/>
      <c r="L197" s="490"/>
      <c r="M197" s="493"/>
      <c r="N197" s="494"/>
      <c r="O197" s="495"/>
      <c r="P197" s="265" t="s">
        <v>45</v>
      </c>
      <c r="Q197" s="34"/>
      <c r="R197" s="237"/>
    </row>
    <row r="198" spans="1:18" ht="13.5" thickBot="1">
      <c r="Q198" s="32"/>
      <c r="R198" s="32"/>
    </row>
    <row r="199" spans="1:18" ht="14.25" thickTop="1" thickBot="1">
      <c r="B199" s="654">
        <v>1.5309999999999999</v>
      </c>
      <c r="C199" s="654" t="s">
        <v>10</v>
      </c>
      <c r="D199" s="35">
        <f>B199+0.0001</f>
        <v>1.5310999999999999</v>
      </c>
      <c r="E199" s="36">
        <v>1</v>
      </c>
      <c r="F199" s="37"/>
      <c r="G199" s="38"/>
      <c r="H199" s="39"/>
      <c r="I199" s="40"/>
      <c r="J199" s="41"/>
      <c r="K199" s="42">
        <v>-11</v>
      </c>
      <c r="L199" s="40"/>
      <c r="M199" s="43"/>
      <c r="N199" s="44"/>
      <c r="O199" s="45"/>
      <c r="P199" s="190" t="s">
        <v>101</v>
      </c>
    </row>
    <row r="200" spans="1:18" ht="14.25" thickTop="1" thickBot="1">
      <c r="B200" s="655"/>
      <c r="C200" s="655"/>
      <c r="D200" s="496">
        <f>D199+0.0001</f>
        <v>1.5311999999999999</v>
      </c>
      <c r="E200" s="497">
        <f>D199</f>
        <v>1.5310999999999999</v>
      </c>
      <c r="F200" s="498"/>
      <c r="G200" s="499">
        <v>4.1955999999999998</v>
      </c>
      <c r="H200" s="500">
        <v>-4.4621000000000004</v>
      </c>
      <c r="I200" s="501">
        <v>-100</v>
      </c>
      <c r="J200" s="502">
        <v>40</v>
      </c>
      <c r="K200" s="503"/>
      <c r="L200" s="501"/>
      <c r="M200" s="504"/>
      <c r="N200" s="505"/>
      <c r="O200" s="506"/>
      <c r="P200" s="191" t="s">
        <v>102</v>
      </c>
    </row>
    <row r="201" spans="1:18" ht="14.25" thickTop="1" thickBot="1">
      <c r="B201" s="629">
        <f>B199+1</f>
        <v>2.5309999999999997</v>
      </c>
      <c r="C201" s="629" t="s">
        <v>10</v>
      </c>
      <c r="D201" s="420">
        <f>B201+0.0001</f>
        <v>2.5310999999999999</v>
      </c>
      <c r="E201" s="421">
        <v>2</v>
      </c>
      <c r="F201" s="422"/>
      <c r="G201" s="423"/>
      <c r="H201" s="424"/>
      <c r="I201" s="425"/>
      <c r="J201" s="426"/>
      <c r="K201" s="427">
        <f t="shared" ref="K201" si="118">K199</f>
        <v>-11</v>
      </c>
      <c r="L201" s="425"/>
      <c r="M201" s="428"/>
      <c r="N201" s="429"/>
      <c r="O201" s="430"/>
      <c r="P201" s="190" t="s">
        <v>103</v>
      </c>
    </row>
    <row r="202" spans="1:18" ht="14.25" thickTop="1" thickBot="1">
      <c r="B202" s="647"/>
      <c r="C202" s="647"/>
      <c r="D202" s="507">
        <f>D201+0.0001</f>
        <v>2.5312000000000001</v>
      </c>
      <c r="E202" s="508">
        <f>D201</f>
        <v>2.5310999999999999</v>
      </c>
      <c r="F202" s="509"/>
      <c r="G202" s="510">
        <f t="shared" ref="G202:K203" si="119">G200</f>
        <v>4.1955999999999998</v>
      </c>
      <c r="H202" s="511">
        <f t="shared" si="119"/>
        <v>-4.4621000000000004</v>
      </c>
      <c r="I202" s="512">
        <f t="shared" si="119"/>
        <v>-100</v>
      </c>
      <c r="J202" s="513">
        <f t="shared" si="119"/>
        <v>40</v>
      </c>
      <c r="K202" s="514">
        <f t="shared" si="119"/>
        <v>0</v>
      </c>
      <c r="L202" s="512"/>
      <c r="M202" s="515"/>
      <c r="N202" s="516"/>
      <c r="O202" s="517"/>
      <c r="P202" s="191" t="s">
        <v>104</v>
      </c>
    </row>
    <row r="203" spans="1:18" ht="14.25" thickTop="1" thickBot="1">
      <c r="B203" s="648">
        <f t="shared" ref="B203" si="120">B201+1</f>
        <v>3.5309999999999997</v>
      </c>
      <c r="C203" s="648" t="s">
        <v>10</v>
      </c>
      <c r="D203" s="435">
        <f>B203+0.0001</f>
        <v>3.5310999999999999</v>
      </c>
      <c r="E203" s="436">
        <v>3</v>
      </c>
      <c r="F203" s="437"/>
      <c r="G203" s="438"/>
      <c r="H203" s="439"/>
      <c r="I203" s="440"/>
      <c r="J203" s="441"/>
      <c r="K203" s="442">
        <f t="shared" si="119"/>
        <v>-11</v>
      </c>
      <c r="L203" s="440"/>
      <c r="M203" s="443"/>
      <c r="N203" s="444"/>
      <c r="O203" s="445"/>
      <c r="P203" s="190" t="s">
        <v>103</v>
      </c>
    </row>
    <row r="204" spans="1:18" ht="14.25" thickTop="1" thickBot="1">
      <c r="B204" s="649"/>
      <c r="C204" s="649"/>
      <c r="D204" s="518">
        <f>D203+0.0001</f>
        <v>3.5312000000000001</v>
      </c>
      <c r="E204" s="519">
        <f>D203</f>
        <v>3.5310999999999999</v>
      </c>
      <c r="F204" s="520"/>
      <c r="G204" s="521">
        <f t="shared" ref="G204:K205" si="121">G202</f>
        <v>4.1955999999999998</v>
      </c>
      <c r="H204" s="522">
        <f t="shared" si="121"/>
        <v>-4.4621000000000004</v>
      </c>
      <c r="I204" s="523">
        <f t="shared" si="121"/>
        <v>-100</v>
      </c>
      <c r="J204" s="524">
        <f t="shared" si="121"/>
        <v>40</v>
      </c>
      <c r="K204" s="525">
        <f t="shared" si="121"/>
        <v>0</v>
      </c>
      <c r="L204" s="523"/>
      <c r="M204" s="526"/>
      <c r="N204" s="527"/>
      <c r="O204" s="528"/>
      <c r="P204" s="191" t="s">
        <v>105</v>
      </c>
    </row>
    <row r="205" spans="1:18" ht="14.25" thickTop="1" thickBot="1">
      <c r="B205" s="633">
        <f t="shared" ref="B205" si="122">B203+1</f>
        <v>4.5309999999999997</v>
      </c>
      <c r="C205" s="633" t="s">
        <v>10</v>
      </c>
      <c r="D205" s="458">
        <f>B205+0.0001</f>
        <v>4.5310999999999995</v>
      </c>
      <c r="E205" s="459">
        <v>4</v>
      </c>
      <c r="F205" s="460"/>
      <c r="G205" s="461"/>
      <c r="H205" s="462"/>
      <c r="I205" s="463"/>
      <c r="J205" s="464"/>
      <c r="K205" s="465">
        <f t="shared" si="121"/>
        <v>-11</v>
      </c>
      <c r="L205" s="463"/>
      <c r="M205" s="466"/>
      <c r="N205" s="467"/>
      <c r="O205" s="468"/>
      <c r="P205" s="190" t="s">
        <v>106</v>
      </c>
    </row>
    <row r="206" spans="1:18" ht="14.25" thickTop="1" thickBot="1">
      <c r="B206" s="618"/>
      <c r="C206" s="618"/>
      <c r="D206" s="529">
        <f>D205+0.0001</f>
        <v>4.5311999999999992</v>
      </c>
      <c r="E206" s="530">
        <f>D205</f>
        <v>4.5310999999999995</v>
      </c>
      <c r="F206" s="531"/>
      <c r="G206" s="532">
        <f t="shared" ref="G206:K207" si="123">G204</f>
        <v>4.1955999999999998</v>
      </c>
      <c r="H206" s="533">
        <f t="shared" si="123"/>
        <v>-4.4621000000000004</v>
      </c>
      <c r="I206" s="534">
        <f t="shared" si="123"/>
        <v>-100</v>
      </c>
      <c r="J206" s="535">
        <f t="shared" si="123"/>
        <v>40</v>
      </c>
      <c r="K206" s="536">
        <f t="shared" si="123"/>
        <v>0</v>
      </c>
      <c r="L206" s="534"/>
      <c r="M206" s="537"/>
      <c r="N206" s="538"/>
      <c r="O206" s="539"/>
      <c r="P206" s="191" t="s">
        <v>107</v>
      </c>
    </row>
    <row r="207" spans="1:18" ht="14.25" thickTop="1" thickBot="1">
      <c r="B207" s="632">
        <f t="shared" ref="B207" si="124">B205+1</f>
        <v>5.5309999999999997</v>
      </c>
      <c r="C207" s="632" t="s">
        <v>10</v>
      </c>
      <c r="D207" s="473">
        <f>B207+0.0001</f>
        <v>5.5310999999999995</v>
      </c>
      <c r="E207" s="474">
        <v>5</v>
      </c>
      <c r="F207" s="475"/>
      <c r="G207" s="476"/>
      <c r="H207" s="477"/>
      <c r="I207" s="478"/>
      <c r="J207" s="479"/>
      <c r="K207" s="480">
        <f t="shared" si="123"/>
        <v>-11</v>
      </c>
      <c r="L207" s="478"/>
      <c r="M207" s="481"/>
      <c r="N207" s="482"/>
      <c r="O207" s="483"/>
      <c r="P207" s="190" t="s">
        <v>108</v>
      </c>
    </row>
    <row r="208" spans="1:18" ht="14.25" thickTop="1" thickBot="1">
      <c r="B208" s="650"/>
      <c r="C208" s="650"/>
      <c r="D208" s="540">
        <f>D207+0.0001</f>
        <v>5.5311999999999992</v>
      </c>
      <c r="E208" s="541">
        <f>D207</f>
        <v>5.5310999999999995</v>
      </c>
      <c r="F208" s="542"/>
      <c r="G208" s="543">
        <f t="shared" ref="G208:K208" si="125">G206</f>
        <v>4.1955999999999998</v>
      </c>
      <c r="H208" s="544">
        <f t="shared" si="125"/>
        <v>-4.4621000000000004</v>
      </c>
      <c r="I208" s="545">
        <f t="shared" si="125"/>
        <v>-100</v>
      </c>
      <c r="J208" s="546">
        <f t="shared" si="125"/>
        <v>40</v>
      </c>
      <c r="K208" s="547">
        <f t="shared" si="125"/>
        <v>0</v>
      </c>
      <c r="L208" s="545"/>
      <c r="M208" s="548"/>
      <c r="N208" s="549"/>
      <c r="O208" s="550"/>
    </row>
    <row r="209" spans="17:18" ht="13.5" thickTop="1"/>
    <row r="213" spans="17:18">
      <c r="Q213" s="32"/>
      <c r="R213" s="32"/>
    </row>
    <row r="214" spans="17:18">
      <c r="Q214" s="32"/>
      <c r="R214" s="32"/>
    </row>
    <row r="215" spans="17:18">
      <c r="Q215" s="340"/>
      <c r="R215" s="32"/>
    </row>
    <row r="216" spans="17:18">
      <c r="Q216" s="33"/>
      <c r="R216" s="32"/>
    </row>
  </sheetData>
  <mergeCells count="204">
    <mergeCell ref="B96:B97"/>
    <mergeCell ref="C96:C97"/>
    <mergeCell ref="B98:B99"/>
    <mergeCell ref="C98:C99"/>
    <mergeCell ref="B111:B112"/>
    <mergeCell ref="C111:C112"/>
    <mergeCell ref="B107:B108"/>
    <mergeCell ref="C107:C108"/>
    <mergeCell ref="B109:B110"/>
    <mergeCell ref="C109:C110"/>
    <mergeCell ref="B105:B106"/>
    <mergeCell ref="C105:C106"/>
    <mergeCell ref="B101:B102"/>
    <mergeCell ref="C101:C102"/>
    <mergeCell ref="B103:B104"/>
    <mergeCell ref="C103:C104"/>
    <mergeCell ref="B90:B91"/>
    <mergeCell ref="C90:C91"/>
    <mergeCell ref="B88:B89"/>
    <mergeCell ref="C88:C89"/>
    <mergeCell ref="B70:B71"/>
    <mergeCell ref="C70:C71"/>
    <mergeCell ref="B72:B73"/>
    <mergeCell ref="C72:C73"/>
    <mergeCell ref="B74:B75"/>
    <mergeCell ref="C74:C75"/>
    <mergeCell ref="B76:B77"/>
    <mergeCell ref="C76:C77"/>
    <mergeCell ref="B78:B79"/>
    <mergeCell ref="C78:C79"/>
    <mergeCell ref="B80:B81"/>
    <mergeCell ref="C80:C81"/>
    <mergeCell ref="B82:B83"/>
    <mergeCell ref="C82:C83"/>
    <mergeCell ref="B86:B87"/>
    <mergeCell ref="C86:C87"/>
    <mergeCell ref="B84:B85"/>
    <mergeCell ref="C84:C85"/>
    <mergeCell ref="C30:C31"/>
    <mergeCell ref="B46:B47"/>
    <mergeCell ref="C46:C47"/>
    <mergeCell ref="C56:C57"/>
    <mergeCell ref="F2:H2"/>
    <mergeCell ref="I2:K2"/>
    <mergeCell ref="B10:B11"/>
    <mergeCell ref="C10:C11"/>
    <mergeCell ref="B14:B15"/>
    <mergeCell ref="C14:C15"/>
    <mergeCell ref="D2:D3"/>
    <mergeCell ref="E2:E3"/>
    <mergeCell ref="C20:C21"/>
    <mergeCell ref="C2:C3"/>
    <mergeCell ref="C38:C39"/>
    <mergeCell ref="C54:C55"/>
    <mergeCell ref="B32:B33"/>
    <mergeCell ref="C32:C33"/>
    <mergeCell ref="B26:B27"/>
    <mergeCell ref="C26:C27"/>
    <mergeCell ref="B28:B29"/>
    <mergeCell ref="C28:C29"/>
    <mergeCell ref="B42:B43"/>
    <mergeCell ref="C42:C43"/>
    <mergeCell ref="A1:B1"/>
    <mergeCell ref="C1:D1"/>
    <mergeCell ref="B12:B13"/>
    <mergeCell ref="C12:C13"/>
    <mergeCell ref="B62:B63"/>
    <mergeCell ref="B48:B49"/>
    <mergeCell ref="C50:C51"/>
    <mergeCell ref="B36:B37"/>
    <mergeCell ref="B38:B39"/>
    <mergeCell ref="B18:B19"/>
    <mergeCell ref="C18:C19"/>
    <mergeCell ref="C48:C49"/>
    <mergeCell ref="B2:B3"/>
    <mergeCell ref="B20:B21"/>
    <mergeCell ref="C36:C37"/>
    <mergeCell ref="B22:B23"/>
    <mergeCell ref="C22:C23"/>
    <mergeCell ref="B16:B17"/>
    <mergeCell ref="C16:C17"/>
    <mergeCell ref="B34:B35"/>
    <mergeCell ref="C34:C35"/>
    <mergeCell ref="B24:B25"/>
    <mergeCell ref="C24:C25"/>
    <mergeCell ref="B30:B31"/>
    <mergeCell ref="B113:B114"/>
    <mergeCell ref="C113:C114"/>
    <mergeCell ref="B117:B118"/>
    <mergeCell ref="C117:C118"/>
    <mergeCell ref="B115:B116"/>
    <mergeCell ref="C115:C116"/>
    <mergeCell ref="B123:B124"/>
    <mergeCell ref="C123:C124"/>
    <mergeCell ref="B133:B134"/>
    <mergeCell ref="C133:C134"/>
    <mergeCell ref="B129:B130"/>
    <mergeCell ref="C129:C130"/>
    <mergeCell ref="B131:B132"/>
    <mergeCell ref="C131:C132"/>
    <mergeCell ref="B119:B120"/>
    <mergeCell ref="C119:C120"/>
    <mergeCell ref="B154:B155"/>
    <mergeCell ref="C154:C155"/>
    <mergeCell ref="B150:B151"/>
    <mergeCell ref="C150:C151"/>
    <mergeCell ref="B121:B122"/>
    <mergeCell ref="C121:C122"/>
    <mergeCell ref="B125:B126"/>
    <mergeCell ref="C125:C126"/>
    <mergeCell ref="B127:B128"/>
    <mergeCell ref="C127:C128"/>
    <mergeCell ref="B148:B149"/>
    <mergeCell ref="C148:C149"/>
    <mergeCell ref="B143:B144"/>
    <mergeCell ref="C143:C144"/>
    <mergeCell ref="B145:B146"/>
    <mergeCell ref="C145:C146"/>
    <mergeCell ref="B137:B138"/>
    <mergeCell ref="C137:C138"/>
    <mergeCell ref="B135:B136"/>
    <mergeCell ref="C135:C136"/>
    <mergeCell ref="B139:B140"/>
    <mergeCell ref="C139:C140"/>
    <mergeCell ref="B141:B142"/>
    <mergeCell ref="C141:C142"/>
    <mergeCell ref="B184:B185"/>
    <mergeCell ref="C184:C185"/>
    <mergeCell ref="B164:B165"/>
    <mergeCell ref="C164:C165"/>
    <mergeCell ref="B162:B163"/>
    <mergeCell ref="C162:C163"/>
    <mergeCell ref="B166:B167"/>
    <mergeCell ref="C166:C167"/>
    <mergeCell ref="B176:B177"/>
    <mergeCell ref="C176:C177"/>
    <mergeCell ref="B201:B202"/>
    <mergeCell ref="C201:C202"/>
    <mergeCell ref="B203:B204"/>
    <mergeCell ref="C203:C204"/>
    <mergeCell ref="B205:B206"/>
    <mergeCell ref="C205:C206"/>
    <mergeCell ref="B207:B208"/>
    <mergeCell ref="C207:C208"/>
    <mergeCell ref="B168:B169"/>
    <mergeCell ref="C168:C169"/>
    <mergeCell ref="B170:B171"/>
    <mergeCell ref="C170:C171"/>
    <mergeCell ref="B172:B173"/>
    <mergeCell ref="C172:C173"/>
    <mergeCell ref="B174:B175"/>
    <mergeCell ref="C174:C175"/>
    <mergeCell ref="B199:B200"/>
    <mergeCell ref="C199:C200"/>
    <mergeCell ref="B192:B193"/>
    <mergeCell ref="C192:C193"/>
    <mergeCell ref="B194:B195"/>
    <mergeCell ref="C194:C195"/>
    <mergeCell ref="B190:B191"/>
    <mergeCell ref="C190:C191"/>
    <mergeCell ref="B40:B41"/>
    <mergeCell ref="C40:C41"/>
    <mergeCell ref="B58:B59"/>
    <mergeCell ref="C58:C59"/>
    <mergeCell ref="B68:B69"/>
    <mergeCell ref="C68:C69"/>
    <mergeCell ref="B44:B45"/>
    <mergeCell ref="C44:C45"/>
    <mergeCell ref="B50:B51"/>
    <mergeCell ref="B60:B61"/>
    <mergeCell ref="B52:B53"/>
    <mergeCell ref="B66:B67"/>
    <mergeCell ref="C66:C67"/>
    <mergeCell ref="C62:C63"/>
    <mergeCell ref="B64:B65"/>
    <mergeCell ref="C64:C65"/>
    <mergeCell ref="C52:C53"/>
    <mergeCell ref="B56:B57"/>
    <mergeCell ref="B54:B55"/>
    <mergeCell ref="C60:C61"/>
    <mergeCell ref="B186:B187"/>
    <mergeCell ref="C186:C187"/>
    <mergeCell ref="B196:B197"/>
    <mergeCell ref="C196:C197"/>
    <mergeCell ref="B92:B93"/>
    <mergeCell ref="C92:C93"/>
    <mergeCell ref="B94:B95"/>
    <mergeCell ref="C94:C95"/>
    <mergeCell ref="B152:B153"/>
    <mergeCell ref="C152:C153"/>
    <mergeCell ref="B156:B157"/>
    <mergeCell ref="C156:C157"/>
    <mergeCell ref="B158:B159"/>
    <mergeCell ref="C158:C159"/>
    <mergeCell ref="B160:B161"/>
    <mergeCell ref="C160:C161"/>
    <mergeCell ref="B188:B189"/>
    <mergeCell ref="C188:C189"/>
    <mergeCell ref="B178:B179"/>
    <mergeCell ref="C178:C179"/>
    <mergeCell ref="B180:B181"/>
    <mergeCell ref="C180:C181"/>
    <mergeCell ref="B182:B183"/>
    <mergeCell ref="C182:C183"/>
  </mergeCells>
  <phoneticPr fontId="2" type="noConversion"/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rowBreaks count="3" manualBreakCount="3">
    <brk id="49" max="15" man="1"/>
    <brk id="99" max="15" man="1"/>
    <brk id="147" max="15" man="1"/>
  </rowBreaks>
  <ignoredErrors>
    <ignoredError sqref="D15 D17 D19 D21 D23 D25" formula="1"/>
  </ignoredErrors>
  <legacyDrawing r:id="rId2"/>
  <controls>
    <control shapeId="1139" r:id="rId3" name="CommandButton1"/>
    <control shapeId="1140" r:id="rId4" name="CommandButton2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D36"/>
  <sheetViews>
    <sheetView topLeftCell="A4" zoomScale="130" zoomScaleNormal="130" workbookViewId="0">
      <selection activeCell="C34" sqref="C34"/>
    </sheetView>
  </sheetViews>
  <sheetFormatPr defaultRowHeight="12.75"/>
  <cols>
    <col min="3" max="3" width="18.5703125" customWidth="1"/>
    <col min="4" max="4" width="16.28515625" customWidth="1"/>
    <col min="259" max="259" width="18.5703125" customWidth="1"/>
    <col min="260" max="260" width="16.28515625" customWidth="1"/>
    <col min="515" max="515" width="18.5703125" customWidth="1"/>
    <col min="516" max="516" width="16.28515625" customWidth="1"/>
    <col min="771" max="771" width="18.5703125" customWidth="1"/>
    <col min="772" max="772" width="16.28515625" customWidth="1"/>
    <col min="1027" max="1027" width="18.5703125" customWidth="1"/>
    <col min="1028" max="1028" width="16.28515625" customWidth="1"/>
    <col min="1283" max="1283" width="18.5703125" customWidth="1"/>
    <col min="1284" max="1284" width="16.28515625" customWidth="1"/>
    <col min="1539" max="1539" width="18.5703125" customWidth="1"/>
    <col min="1540" max="1540" width="16.28515625" customWidth="1"/>
    <col min="1795" max="1795" width="18.5703125" customWidth="1"/>
    <col min="1796" max="1796" width="16.28515625" customWidth="1"/>
    <col min="2051" max="2051" width="18.5703125" customWidth="1"/>
    <col min="2052" max="2052" width="16.28515625" customWidth="1"/>
    <col min="2307" max="2307" width="18.5703125" customWidth="1"/>
    <col min="2308" max="2308" width="16.28515625" customWidth="1"/>
    <col min="2563" max="2563" width="18.5703125" customWidth="1"/>
    <col min="2564" max="2564" width="16.28515625" customWidth="1"/>
    <col min="2819" max="2819" width="18.5703125" customWidth="1"/>
    <col min="2820" max="2820" width="16.28515625" customWidth="1"/>
    <col min="3075" max="3075" width="18.5703125" customWidth="1"/>
    <col min="3076" max="3076" width="16.28515625" customWidth="1"/>
    <col min="3331" max="3331" width="18.5703125" customWidth="1"/>
    <col min="3332" max="3332" width="16.28515625" customWidth="1"/>
    <col min="3587" max="3587" width="18.5703125" customWidth="1"/>
    <col min="3588" max="3588" width="16.28515625" customWidth="1"/>
    <col min="3843" max="3843" width="18.5703125" customWidth="1"/>
    <col min="3844" max="3844" width="16.28515625" customWidth="1"/>
    <col min="4099" max="4099" width="18.5703125" customWidth="1"/>
    <col min="4100" max="4100" width="16.28515625" customWidth="1"/>
    <col min="4355" max="4355" width="18.5703125" customWidth="1"/>
    <col min="4356" max="4356" width="16.28515625" customWidth="1"/>
    <col min="4611" max="4611" width="18.5703125" customWidth="1"/>
    <col min="4612" max="4612" width="16.28515625" customWidth="1"/>
    <col min="4867" max="4867" width="18.5703125" customWidth="1"/>
    <col min="4868" max="4868" width="16.28515625" customWidth="1"/>
    <col min="5123" max="5123" width="18.5703125" customWidth="1"/>
    <col min="5124" max="5124" width="16.28515625" customWidth="1"/>
    <col min="5379" max="5379" width="18.5703125" customWidth="1"/>
    <col min="5380" max="5380" width="16.28515625" customWidth="1"/>
    <col min="5635" max="5635" width="18.5703125" customWidth="1"/>
    <col min="5636" max="5636" width="16.28515625" customWidth="1"/>
    <col min="5891" max="5891" width="18.5703125" customWidth="1"/>
    <col min="5892" max="5892" width="16.28515625" customWidth="1"/>
    <col min="6147" max="6147" width="18.5703125" customWidth="1"/>
    <col min="6148" max="6148" width="16.28515625" customWidth="1"/>
    <col min="6403" max="6403" width="18.5703125" customWidth="1"/>
    <col min="6404" max="6404" width="16.28515625" customWidth="1"/>
    <col min="6659" max="6659" width="18.5703125" customWidth="1"/>
    <col min="6660" max="6660" width="16.28515625" customWidth="1"/>
    <col min="6915" max="6915" width="18.5703125" customWidth="1"/>
    <col min="6916" max="6916" width="16.28515625" customWidth="1"/>
    <col min="7171" max="7171" width="18.5703125" customWidth="1"/>
    <col min="7172" max="7172" width="16.28515625" customWidth="1"/>
    <col min="7427" max="7427" width="18.5703125" customWidth="1"/>
    <col min="7428" max="7428" width="16.28515625" customWidth="1"/>
    <col min="7683" max="7683" width="18.5703125" customWidth="1"/>
    <col min="7684" max="7684" width="16.28515625" customWidth="1"/>
    <col min="7939" max="7939" width="18.5703125" customWidth="1"/>
    <col min="7940" max="7940" width="16.28515625" customWidth="1"/>
    <col min="8195" max="8195" width="18.5703125" customWidth="1"/>
    <col min="8196" max="8196" width="16.28515625" customWidth="1"/>
    <col min="8451" max="8451" width="18.5703125" customWidth="1"/>
    <col min="8452" max="8452" width="16.28515625" customWidth="1"/>
    <col min="8707" max="8707" width="18.5703125" customWidth="1"/>
    <col min="8708" max="8708" width="16.28515625" customWidth="1"/>
    <col min="8963" max="8963" width="18.5703125" customWidth="1"/>
    <col min="8964" max="8964" width="16.28515625" customWidth="1"/>
    <col min="9219" max="9219" width="18.5703125" customWidth="1"/>
    <col min="9220" max="9220" width="16.28515625" customWidth="1"/>
    <col min="9475" max="9475" width="18.5703125" customWidth="1"/>
    <col min="9476" max="9476" width="16.28515625" customWidth="1"/>
    <col min="9731" max="9731" width="18.5703125" customWidth="1"/>
    <col min="9732" max="9732" width="16.28515625" customWidth="1"/>
    <col min="9987" max="9987" width="18.5703125" customWidth="1"/>
    <col min="9988" max="9988" width="16.28515625" customWidth="1"/>
    <col min="10243" max="10243" width="18.5703125" customWidth="1"/>
    <col min="10244" max="10244" width="16.28515625" customWidth="1"/>
    <col min="10499" max="10499" width="18.5703125" customWidth="1"/>
    <col min="10500" max="10500" width="16.28515625" customWidth="1"/>
    <col min="10755" max="10755" width="18.5703125" customWidth="1"/>
    <col min="10756" max="10756" width="16.28515625" customWidth="1"/>
    <col min="11011" max="11011" width="18.5703125" customWidth="1"/>
    <col min="11012" max="11012" width="16.28515625" customWidth="1"/>
    <col min="11267" max="11267" width="18.5703125" customWidth="1"/>
    <col min="11268" max="11268" width="16.28515625" customWidth="1"/>
    <col min="11523" max="11523" width="18.5703125" customWidth="1"/>
    <col min="11524" max="11524" width="16.28515625" customWidth="1"/>
    <col min="11779" max="11779" width="18.5703125" customWidth="1"/>
    <col min="11780" max="11780" width="16.28515625" customWidth="1"/>
    <col min="12035" max="12035" width="18.5703125" customWidth="1"/>
    <col min="12036" max="12036" width="16.28515625" customWidth="1"/>
    <col min="12291" max="12291" width="18.5703125" customWidth="1"/>
    <col min="12292" max="12292" width="16.28515625" customWidth="1"/>
    <col min="12547" max="12547" width="18.5703125" customWidth="1"/>
    <col min="12548" max="12548" width="16.28515625" customWidth="1"/>
    <col min="12803" max="12803" width="18.5703125" customWidth="1"/>
    <col min="12804" max="12804" width="16.28515625" customWidth="1"/>
    <col min="13059" max="13059" width="18.5703125" customWidth="1"/>
    <col min="13060" max="13060" width="16.28515625" customWidth="1"/>
    <col min="13315" max="13315" width="18.5703125" customWidth="1"/>
    <col min="13316" max="13316" width="16.28515625" customWidth="1"/>
    <col min="13571" max="13571" width="18.5703125" customWidth="1"/>
    <col min="13572" max="13572" width="16.28515625" customWidth="1"/>
    <col min="13827" max="13827" width="18.5703125" customWidth="1"/>
    <col min="13828" max="13828" width="16.28515625" customWidth="1"/>
    <col min="14083" max="14083" width="18.5703125" customWidth="1"/>
    <col min="14084" max="14084" width="16.28515625" customWidth="1"/>
    <col min="14339" max="14339" width="18.5703125" customWidth="1"/>
    <col min="14340" max="14340" width="16.28515625" customWidth="1"/>
    <col min="14595" max="14595" width="18.5703125" customWidth="1"/>
    <col min="14596" max="14596" width="16.28515625" customWidth="1"/>
    <col min="14851" max="14851" width="18.5703125" customWidth="1"/>
    <col min="14852" max="14852" width="16.28515625" customWidth="1"/>
    <col min="15107" max="15107" width="18.5703125" customWidth="1"/>
    <col min="15108" max="15108" width="16.28515625" customWidth="1"/>
    <col min="15363" max="15363" width="18.5703125" customWidth="1"/>
    <col min="15364" max="15364" width="16.28515625" customWidth="1"/>
    <col min="15619" max="15619" width="18.5703125" customWidth="1"/>
    <col min="15620" max="15620" width="16.28515625" customWidth="1"/>
    <col min="15875" max="15875" width="18.5703125" customWidth="1"/>
    <col min="15876" max="15876" width="16.28515625" customWidth="1"/>
    <col min="16131" max="16131" width="18.5703125" customWidth="1"/>
    <col min="16132" max="16132" width="16.28515625" customWidth="1"/>
  </cols>
  <sheetData>
    <row r="1" spans="1:4" ht="26.25">
      <c r="A1" s="174"/>
      <c r="B1" s="174"/>
      <c r="C1" s="174"/>
      <c r="D1" s="174"/>
    </row>
    <row r="2" spans="1:4" ht="26.25">
      <c r="A2" s="174"/>
      <c r="B2" s="174"/>
      <c r="C2" s="174"/>
      <c r="D2" s="174"/>
    </row>
    <row r="3" spans="1:4" ht="26.25">
      <c r="A3" s="728"/>
      <c r="B3" s="728"/>
      <c r="C3" s="728"/>
      <c r="D3" s="728"/>
    </row>
    <row r="4" spans="1:4">
      <c r="A4" s="729" t="s">
        <v>32</v>
      </c>
      <c r="B4" s="729"/>
      <c r="C4" s="729"/>
      <c r="D4" s="729"/>
    </row>
    <row r="5" spans="1:4">
      <c r="A5" s="175"/>
      <c r="B5" s="175"/>
      <c r="C5" s="175"/>
      <c r="D5" s="175"/>
    </row>
    <row r="6" spans="1:4" ht="13.5" thickBot="1">
      <c r="A6" s="175"/>
      <c r="B6" s="175"/>
      <c r="C6" s="175"/>
      <c r="D6" s="175"/>
    </row>
    <row r="7" spans="1:4" ht="13.5" thickTop="1">
      <c r="A7" s="730" t="s">
        <v>33</v>
      </c>
      <c r="B7" s="176" t="s">
        <v>34</v>
      </c>
      <c r="C7" s="732" t="s">
        <v>35</v>
      </c>
      <c r="D7" s="732" t="s">
        <v>36</v>
      </c>
    </row>
    <row r="8" spans="1:4" ht="13.5" thickBot="1">
      <c r="A8" s="731"/>
      <c r="B8" s="177" t="s">
        <v>37</v>
      </c>
      <c r="C8" s="733"/>
      <c r="D8" s="733"/>
    </row>
    <row r="9" spans="1:4">
      <c r="A9" s="178"/>
      <c r="B9" s="179">
        <v>1</v>
      </c>
      <c r="C9" s="180">
        <v>91.25</v>
      </c>
      <c r="D9" s="181">
        <f t="shared" ref="D9:D27" si="0">(C9-90)*65/90</f>
        <v>0.90277777777777779</v>
      </c>
    </row>
    <row r="10" spans="1:4">
      <c r="A10" s="182"/>
      <c r="B10" s="183">
        <f>B9+1</f>
        <v>2</v>
      </c>
      <c r="C10" s="184">
        <v>94.68</v>
      </c>
      <c r="D10" s="185">
        <f t="shared" si="0"/>
        <v>3.3800000000000048</v>
      </c>
    </row>
    <row r="11" spans="1:4">
      <c r="A11" s="178"/>
      <c r="B11" s="179">
        <f t="shared" ref="B11:B22" si="1">B10+1</f>
        <v>3</v>
      </c>
      <c r="C11" s="180">
        <v>98.11</v>
      </c>
      <c r="D11" s="181">
        <f t="shared" si="0"/>
        <v>5.8572222222222221</v>
      </c>
    </row>
    <row r="12" spans="1:4">
      <c r="A12" s="182"/>
      <c r="B12" s="183">
        <f t="shared" si="1"/>
        <v>4</v>
      </c>
      <c r="C12" s="184">
        <v>101.53</v>
      </c>
      <c r="D12" s="185">
        <f t="shared" si="0"/>
        <v>8.3272222222222219</v>
      </c>
    </row>
    <row r="13" spans="1:4">
      <c r="A13" s="178"/>
      <c r="B13" s="179">
        <f t="shared" si="1"/>
        <v>5</v>
      </c>
      <c r="C13" s="180">
        <v>104.96</v>
      </c>
      <c r="D13" s="181">
        <f t="shared" si="0"/>
        <v>10.804444444444441</v>
      </c>
    </row>
    <row r="14" spans="1:4">
      <c r="A14" s="182"/>
      <c r="B14" s="183">
        <f t="shared" si="1"/>
        <v>6</v>
      </c>
      <c r="C14" s="184">
        <v>108.42</v>
      </c>
      <c r="D14" s="185">
        <f t="shared" si="0"/>
        <v>13.303333333333335</v>
      </c>
    </row>
    <row r="15" spans="1:4">
      <c r="A15" s="178"/>
      <c r="B15" s="179">
        <f t="shared" si="1"/>
        <v>7</v>
      </c>
      <c r="C15" s="180">
        <v>111.73</v>
      </c>
      <c r="D15" s="181">
        <f t="shared" si="0"/>
        <v>15.693888888888893</v>
      </c>
    </row>
    <row r="16" spans="1:4">
      <c r="A16" s="182"/>
      <c r="B16" s="183">
        <f t="shared" si="1"/>
        <v>8</v>
      </c>
      <c r="C16" s="184">
        <v>115.07</v>
      </c>
      <c r="D16" s="185">
        <f t="shared" si="0"/>
        <v>18.106111111111105</v>
      </c>
    </row>
    <row r="17" spans="1:4">
      <c r="A17" s="178"/>
      <c r="B17" s="179">
        <f t="shared" si="1"/>
        <v>9</v>
      </c>
      <c r="C17" s="180">
        <v>118.41</v>
      </c>
      <c r="D17" s="181">
        <f t="shared" si="0"/>
        <v>20.518333333333331</v>
      </c>
    </row>
    <row r="18" spans="1:4">
      <c r="A18" s="182"/>
      <c r="B18" s="183">
        <f t="shared" si="1"/>
        <v>10</v>
      </c>
      <c r="C18" s="184">
        <v>121.76</v>
      </c>
      <c r="D18" s="185">
        <f t="shared" si="0"/>
        <v>22.937777777777782</v>
      </c>
    </row>
    <row r="19" spans="1:4">
      <c r="A19" s="178"/>
      <c r="B19" s="179">
        <f t="shared" si="1"/>
        <v>11</v>
      </c>
      <c r="C19" s="180">
        <v>125.1</v>
      </c>
      <c r="D19" s="181">
        <f t="shared" si="0"/>
        <v>25.349999999999994</v>
      </c>
    </row>
    <row r="20" spans="1:4">
      <c r="A20" s="182"/>
      <c r="B20" s="183">
        <f t="shared" si="1"/>
        <v>12</v>
      </c>
      <c r="C20" s="184">
        <v>128.52000000000001</v>
      </c>
      <c r="D20" s="185">
        <f t="shared" si="0"/>
        <v>27.820000000000007</v>
      </c>
    </row>
    <row r="21" spans="1:4">
      <c r="A21" s="178"/>
      <c r="B21" s="179">
        <f t="shared" si="1"/>
        <v>13</v>
      </c>
      <c r="C21" s="180">
        <v>131.76</v>
      </c>
      <c r="D21" s="181">
        <f t="shared" si="0"/>
        <v>30.159999999999997</v>
      </c>
    </row>
    <row r="22" spans="1:4">
      <c r="A22" s="182"/>
      <c r="B22" s="183">
        <f t="shared" si="1"/>
        <v>14</v>
      </c>
      <c r="C22" s="184">
        <v>135.08000000000001</v>
      </c>
      <c r="D22" s="185">
        <f t="shared" si="0"/>
        <v>32.557777777777787</v>
      </c>
    </row>
    <row r="23" spans="1:4">
      <c r="A23" s="178"/>
      <c r="B23" s="179">
        <f t="shared" ref="B23:B27" si="2">B22+1</f>
        <v>15</v>
      </c>
      <c r="C23" s="180">
        <v>138.41</v>
      </c>
      <c r="D23" s="181">
        <f t="shared" si="0"/>
        <v>34.962777777777774</v>
      </c>
    </row>
    <row r="24" spans="1:4">
      <c r="A24" s="182"/>
      <c r="B24" s="183">
        <f t="shared" si="2"/>
        <v>16</v>
      </c>
      <c r="C24" s="184">
        <v>141.72999999999999</v>
      </c>
      <c r="D24" s="185">
        <f t="shared" si="0"/>
        <v>37.36055555555555</v>
      </c>
    </row>
    <row r="25" spans="1:4">
      <c r="A25" s="178"/>
      <c r="B25" s="179">
        <f t="shared" si="2"/>
        <v>17</v>
      </c>
      <c r="C25" s="180">
        <v>145.05000000000001</v>
      </c>
      <c r="D25" s="181">
        <f t="shared" si="0"/>
        <v>39.75833333333334</v>
      </c>
    </row>
    <row r="26" spans="1:4">
      <c r="A26" s="182"/>
      <c r="B26" s="183">
        <f t="shared" si="2"/>
        <v>18</v>
      </c>
      <c r="C26" s="184">
        <v>148.52000000000001</v>
      </c>
      <c r="D26" s="185">
        <f t="shared" si="0"/>
        <v>42.26444444444445</v>
      </c>
    </row>
    <row r="27" spans="1:4">
      <c r="A27" s="178"/>
      <c r="B27" s="179">
        <f t="shared" si="2"/>
        <v>19</v>
      </c>
      <c r="C27" s="180">
        <v>151.72</v>
      </c>
      <c r="D27" s="181">
        <f t="shared" si="0"/>
        <v>44.575555555555553</v>
      </c>
    </row>
    <row r="28" spans="1:4">
      <c r="A28" s="182"/>
      <c r="B28" s="183">
        <f t="shared" ref="B28:B35" si="3">B27+1</f>
        <v>20</v>
      </c>
      <c r="C28" s="184">
        <v>155.07</v>
      </c>
      <c r="D28" s="185">
        <f t="shared" ref="D28:D35" si="4">(C28-90)*65/90</f>
        <v>46.99499999999999</v>
      </c>
    </row>
    <row r="29" spans="1:4">
      <c r="A29" s="178"/>
      <c r="B29" s="179">
        <f t="shared" si="3"/>
        <v>21</v>
      </c>
      <c r="C29" s="180">
        <v>158.41999999999999</v>
      </c>
      <c r="D29" s="181">
        <f t="shared" si="4"/>
        <v>49.414444444444435</v>
      </c>
    </row>
    <row r="30" spans="1:4">
      <c r="A30" s="182"/>
      <c r="B30" s="183">
        <f t="shared" si="3"/>
        <v>22</v>
      </c>
      <c r="C30" s="184">
        <v>161.77000000000001</v>
      </c>
      <c r="D30" s="185">
        <f t="shared" si="4"/>
        <v>51.8338888888889</v>
      </c>
    </row>
    <row r="31" spans="1:4">
      <c r="A31" s="178"/>
      <c r="B31" s="179">
        <f t="shared" si="3"/>
        <v>23</v>
      </c>
      <c r="C31" s="180">
        <v>165.12</v>
      </c>
      <c r="D31" s="181">
        <f t="shared" si="4"/>
        <v>54.253333333333337</v>
      </c>
    </row>
    <row r="32" spans="1:4">
      <c r="A32" s="182"/>
      <c r="B32" s="183">
        <f t="shared" si="3"/>
        <v>24</v>
      </c>
      <c r="C32" s="184">
        <v>168.71</v>
      </c>
      <c r="D32" s="185">
        <f t="shared" si="4"/>
        <v>56.846111111111114</v>
      </c>
    </row>
    <row r="33" spans="1:4">
      <c r="A33" s="178"/>
      <c r="B33" s="179">
        <f t="shared" si="3"/>
        <v>25</v>
      </c>
      <c r="C33" s="180">
        <v>171.18</v>
      </c>
      <c r="D33" s="181">
        <f t="shared" si="4"/>
        <v>58.63000000000001</v>
      </c>
    </row>
    <row r="34" spans="1:4">
      <c r="A34" s="182"/>
      <c r="B34" s="183">
        <f t="shared" si="3"/>
        <v>26</v>
      </c>
      <c r="C34" s="184">
        <v>174.09</v>
      </c>
      <c r="D34" s="185">
        <f t="shared" si="4"/>
        <v>60.731666666666669</v>
      </c>
    </row>
    <row r="35" spans="1:4" ht="13.5" thickBot="1">
      <c r="A35" s="186"/>
      <c r="B35" s="187">
        <f t="shared" si="3"/>
        <v>27</v>
      </c>
      <c r="C35" s="188"/>
      <c r="D35" s="189">
        <f t="shared" si="4"/>
        <v>-65</v>
      </c>
    </row>
    <row r="36" spans="1:4" ht="13.5" thickTop="1">
      <c r="D36" s="2"/>
    </row>
  </sheetData>
  <mergeCells count="5">
    <mergeCell ref="A3:D3"/>
    <mergeCell ref="A4:D4"/>
    <mergeCell ref="A7:A8"/>
    <mergeCell ref="C7:C8"/>
    <mergeCell ref="D7:D8"/>
  </mergeCells>
  <pageMargins left="0.75" right="0.75" top="1" bottom="1" header="0.5" footer="0.5"/>
  <pageSetup scale="84" orientation="portrait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B2:C4"/>
  <sheetViews>
    <sheetView workbookViewId="0">
      <selection activeCell="C4" sqref="C4"/>
    </sheetView>
  </sheetViews>
  <sheetFormatPr defaultRowHeight="12.75"/>
  <sheetData>
    <row r="2" spans="2:3">
      <c r="B2" t="s">
        <v>63</v>
      </c>
      <c r="C2">
        <v>150</v>
      </c>
    </row>
    <row r="3" spans="2:3">
      <c r="B3" t="s">
        <v>64</v>
      </c>
      <c r="C3">
        <v>70</v>
      </c>
    </row>
    <row r="4" spans="2:3">
      <c r="C4" s="237">
        <f>C3/(C2*5)</f>
        <v>9.3333333333333338E-2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B1:S38"/>
  <sheetViews>
    <sheetView workbookViewId="0">
      <selection activeCell="B4" sqref="B4"/>
    </sheetView>
  </sheetViews>
  <sheetFormatPr defaultRowHeight="12.75"/>
  <cols>
    <col min="2" max="2" width="15.5703125" customWidth="1"/>
    <col min="10" max="10" width="6.85546875" bestFit="1" customWidth="1"/>
    <col min="11" max="11" width="23.7109375" bestFit="1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19" ht="13.5" thickBot="1"/>
    <row r="2" spans="2:19" ht="13.5" thickBot="1">
      <c r="B2" s="171" t="s">
        <v>25</v>
      </c>
      <c r="C2" s="172" t="s">
        <v>12</v>
      </c>
      <c r="D2" s="172" t="s">
        <v>13</v>
      </c>
      <c r="E2" s="172" t="s">
        <v>15</v>
      </c>
      <c r="F2" s="172" t="s">
        <v>14</v>
      </c>
      <c r="G2" s="173" t="s">
        <v>24</v>
      </c>
    </row>
    <row r="3" spans="2:19">
      <c r="B3" s="168" t="s">
        <v>10</v>
      </c>
      <c r="C3" s="169">
        <f>0.532/2</f>
        <v>0.26600000000000001</v>
      </c>
      <c r="D3" s="169">
        <v>0.52</v>
      </c>
      <c r="E3" s="169">
        <v>0.68799999999999994</v>
      </c>
      <c r="F3" s="169">
        <v>6</v>
      </c>
      <c r="G3" s="170">
        <v>0</v>
      </c>
      <c r="I3" s="147"/>
      <c r="J3" s="148"/>
      <c r="K3" s="148"/>
      <c r="L3" s="148"/>
      <c r="M3" s="148"/>
      <c r="N3" s="148"/>
      <c r="O3" s="148"/>
      <c r="P3" s="148"/>
      <c r="Q3" s="147"/>
      <c r="R3" s="147"/>
      <c r="S3" s="147"/>
    </row>
    <row r="4" spans="2:19" ht="12.75" customHeight="1">
      <c r="B4" s="164" t="s">
        <v>11</v>
      </c>
      <c r="C4" s="160">
        <f>0.628/2</f>
        <v>0.314</v>
      </c>
      <c r="D4" s="161">
        <v>0.52</v>
      </c>
      <c r="E4" s="161">
        <v>0.68799999999999994</v>
      </c>
      <c r="F4" s="161">
        <v>6</v>
      </c>
      <c r="G4" s="163">
        <v>0</v>
      </c>
      <c r="I4" s="147"/>
      <c r="J4" s="149"/>
      <c r="K4" s="149"/>
      <c r="L4" s="150"/>
      <c r="M4" s="150"/>
      <c r="N4" s="151"/>
      <c r="O4" s="150"/>
      <c r="P4" s="148"/>
      <c r="Q4" s="147"/>
      <c r="R4" s="147"/>
      <c r="S4" s="147"/>
    </row>
    <row r="5" spans="2:19" ht="12.75" customHeight="1">
      <c r="B5" s="164" t="s">
        <v>18</v>
      </c>
      <c r="C5" s="161">
        <f>0.753/2</f>
        <v>0.3765</v>
      </c>
      <c r="D5" s="161">
        <v>0.52</v>
      </c>
      <c r="E5" s="161">
        <v>0.93799999999999994</v>
      </c>
      <c r="F5" s="161">
        <v>6</v>
      </c>
      <c r="G5" s="163">
        <v>0</v>
      </c>
      <c r="I5" s="147"/>
      <c r="J5" s="149"/>
      <c r="K5" s="149"/>
      <c r="L5" s="152"/>
      <c r="M5" s="153"/>
      <c r="N5" s="152"/>
      <c r="O5" s="153"/>
      <c r="P5" s="148"/>
      <c r="Q5" s="147"/>
      <c r="R5" s="147"/>
      <c r="S5" s="147"/>
    </row>
    <row r="6" spans="2:19">
      <c r="B6" s="164" t="s">
        <v>21</v>
      </c>
      <c r="C6" s="161">
        <f>0.436/2</f>
        <v>0.218</v>
      </c>
      <c r="D6" s="161">
        <v>0.315</v>
      </c>
      <c r="E6" s="161">
        <v>0.5</v>
      </c>
      <c r="F6" s="161">
        <v>6</v>
      </c>
      <c r="G6" s="163">
        <v>0</v>
      </c>
      <c r="I6" s="147"/>
      <c r="J6" s="154"/>
      <c r="K6" s="155"/>
      <c r="L6" s="156"/>
      <c r="M6" s="156"/>
      <c r="N6" s="156"/>
      <c r="O6" s="157"/>
      <c r="P6" s="148"/>
      <c r="Q6" s="147"/>
      <c r="R6" s="147"/>
      <c r="S6" s="147"/>
    </row>
    <row r="7" spans="2:19">
      <c r="B7" s="164" t="s">
        <v>17</v>
      </c>
      <c r="C7" s="161">
        <v>0.26600000000000001</v>
      </c>
      <c r="D7" s="161">
        <v>0.315</v>
      </c>
      <c r="E7" s="161">
        <v>0.68799999999999994</v>
      </c>
      <c r="F7" s="161">
        <v>6</v>
      </c>
      <c r="G7" s="163">
        <v>0</v>
      </c>
      <c r="I7" s="147"/>
      <c r="J7" s="154"/>
      <c r="K7" s="155"/>
      <c r="L7" s="156"/>
      <c r="M7" s="156"/>
      <c r="N7" s="156"/>
      <c r="O7" s="157"/>
      <c r="P7" s="148"/>
      <c r="Q7" s="147"/>
      <c r="R7" s="147"/>
      <c r="S7" s="147"/>
    </row>
    <row r="8" spans="2:19">
      <c r="B8" s="164" t="s">
        <v>16</v>
      </c>
      <c r="C8" s="161">
        <v>0.314</v>
      </c>
      <c r="D8" s="161">
        <v>0.315</v>
      </c>
      <c r="E8" s="161">
        <v>0.68799999999999994</v>
      </c>
      <c r="F8" s="161">
        <v>6</v>
      </c>
      <c r="G8" s="163">
        <v>0</v>
      </c>
      <c r="I8" s="147"/>
      <c r="J8" s="154"/>
      <c r="K8" s="155"/>
      <c r="L8" s="157"/>
      <c r="M8" s="157"/>
      <c r="N8" s="156"/>
      <c r="O8" s="157"/>
      <c r="P8" s="148"/>
      <c r="Q8" s="147"/>
      <c r="R8" s="147"/>
      <c r="S8" s="147"/>
    </row>
    <row r="9" spans="2:19">
      <c r="B9" s="164" t="s">
        <v>19</v>
      </c>
      <c r="C9" s="161">
        <f>0.539/2</f>
        <v>0.26950000000000002</v>
      </c>
      <c r="D9" s="161">
        <v>0.315</v>
      </c>
      <c r="E9" s="161">
        <f>0.2695*2+0.001</f>
        <v>0.54</v>
      </c>
      <c r="F9" s="161">
        <v>6</v>
      </c>
      <c r="G9" s="163">
        <v>0</v>
      </c>
      <c r="I9" s="147"/>
      <c r="J9" s="154"/>
      <c r="K9" s="155"/>
      <c r="L9" s="157"/>
      <c r="M9" s="157"/>
      <c r="N9" s="157"/>
      <c r="O9" s="157"/>
      <c r="P9" s="148"/>
      <c r="Q9" s="147"/>
      <c r="R9" s="147"/>
      <c r="S9" s="147"/>
    </row>
    <row r="10" spans="2:19">
      <c r="B10" s="164" t="s">
        <v>20</v>
      </c>
      <c r="C10" s="161">
        <f>0.525/2</f>
        <v>0.26250000000000001</v>
      </c>
      <c r="D10" s="161">
        <v>0.41199999999999998</v>
      </c>
      <c r="E10" s="161">
        <f>0.2625*2+0.001</f>
        <v>0.52600000000000002</v>
      </c>
      <c r="F10" s="161">
        <v>6</v>
      </c>
      <c r="G10" s="163">
        <v>1</v>
      </c>
      <c r="I10" s="147"/>
      <c r="J10" s="154"/>
      <c r="K10" s="155"/>
      <c r="L10" s="157"/>
      <c r="M10" s="157"/>
      <c r="N10" s="156"/>
      <c r="O10" s="157"/>
      <c r="P10" s="148"/>
      <c r="Q10" s="147"/>
      <c r="R10" s="147"/>
      <c r="S10" s="147"/>
    </row>
    <row r="11" spans="2:19">
      <c r="B11" s="164" t="s">
        <v>22</v>
      </c>
      <c r="C11" s="161">
        <f>0.39/2</f>
        <v>0.19500000000000001</v>
      </c>
      <c r="D11" s="161">
        <v>0.40699999999999997</v>
      </c>
      <c r="E11" s="161">
        <v>0.39100000000000001</v>
      </c>
      <c r="F11" s="161">
        <v>6</v>
      </c>
      <c r="G11" s="163">
        <v>1</v>
      </c>
      <c r="I11" s="147"/>
      <c r="J11" s="154"/>
      <c r="K11" s="155"/>
      <c r="L11" s="157"/>
      <c r="M11" s="157"/>
      <c r="N11" s="157"/>
      <c r="O11" s="157"/>
      <c r="P11" s="148"/>
      <c r="Q11" s="147"/>
      <c r="R11" s="147"/>
      <c r="S11" s="147"/>
    </row>
    <row r="12" spans="2:19">
      <c r="B12" s="164" t="s">
        <v>23</v>
      </c>
      <c r="C12" s="161">
        <f>0.514/2</f>
        <v>0.25700000000000001</v>
      </c>
      <c r="D12" s="161">
        <v>0.71</v>
      </c>
      <c r="E12" s="161">
        <v>0.51500000000000001</v>
      </c>
      <c r="F12" s="161">
        <v>6</v>
      </c>
      <c r="G12" s="163">
        <v>1</v>
      </c>
      <c r="I12" s="147"/>
      <c r="J12" s="154"/>
      <c r="K12" s="155"/>
      <c r="L12" s="157"/>
      <c r="M12" s="157"/>
      <c r="N12" s="156"/>
      <c r="O12" s="157"/>
      <c r="P12" s="148"/>
      <c r="Q12" s="147"/>
      <c r="R12" s="147"/>
      <c r="S12" s="147"/>
    </row>
    <row r="13" spans="2:19">
      <c r="B13" s="162" t="s">
        <v>84</v>
      </c>
      <c r="C13" s="161">
        <v>0.22075</v>
      </c>
      <c r="D13" s="161">
        <v>0.33389999999999997</v>
      </c>
      <c r="E13" s="161">
        <v>0.442</v>
      </c>
      <c r="F13" s="161">
        <v>6</v>
      </c>
      <c r="G13" s="163">
        <v>1</v>
      </c>
      <c r="I13" s="147"/>
      <c r="J13" s="154"/>
      <c r="K13" s="155"/>
      <c r="L13" s="157"/>
      <c r="M13" s="157"/>
      <c r="N13" s="156"/>
      <c r="O13" s="157"/>
      <c r="P13" s="148"/>
      <c r="Q13" s="147"/>
      <c r="R13" s="147"/>
      <c r="S13" s="147"/>
    </row>
    <row r="14" spans="2:19">
      <c r="B14" s="162" t="s">
        <v>109</v>
      </c>
      <c r="C14" s="161">
        <v>0.219</v>
      </c>
      <c r="D14" s="161">
        <v>0.52</v>
      </c>
      <c r="E14" s="161">
        <v>0.68799999999999994</v>
      </c>
      <c r="F14" s="161">
        <v>6</v>
      </c>
      <c r="G14" s="163">
        <v>0</v>
      </c>
      <c r="I14" s="147"/>
      <c r="J14" s="154"/>
      <c r="K14" s="155"/>
      <c r="L14" s="157"/>
      <c r="M14" s="157"/>
      <c r="N14" s="156"/>
      <c r="O14" s="157"/>
      <c r="P14" s="148"/>
      <c r="Q14" s="147"/>
      <c r="R14" s="147"/>
      <c r="S14" s="147"/>
    </row>
    <row r="15" spans="2:19">
      <c r="B15" s="162" t="s">
        <v>110</v>
      </c>
      <c r="C15" s="161">
        <v>0.219</v>
      </c>
      <c r="D15" s="161">
        <v>0.42</v>
      </c>
      <c r="E15" s="161">
        <v>0.68799999999999994</v>
      </c>
      <c r="F15" s="161">
        <v>6</v>
      </c>
      <c r="G15" s="163">
        <v>0</v>
      </c>
      <c r="I15" s="147"/>
      <c r="J15" s="154"/>
      <c r="K15" s="155"/>
      <c r="L15" s="157"/>
      <c r="M15" s="157"/>
      <c r="N15" s="156"/>
      <c r="O15" s="157"/>
      <c r="P15" s="148"/>
      <c r="Q15" s="147"/>
      <c r="R15" s="147"/>
      <c r="S15" s="147"/>
    </row>
    <row r="16" spans="2:19">
      <c r="B16" s="162"/>
      <c r="C16" s="161"/>
      <c r="D16" s="161"/>
      <c r="E16" s="161"/>
      <c r="F16" s="161"/>
      <c r="G16" s="163"/>
      <c r="I16" s="147"/>
      <c r="J16" s="154"/>
      <c r="K16" s="155"/>
      <c r="L16" s="157"/>
      <c r="M16" s="157"/>
      <c r="N16" s="156"/>
      <c r="O16" s="157"/>
      <c r="P16" s="148"/>
      <c r="Q16" s="147"/>
      <c r="R16" s="147"/>
      <c r="S16" s="147"/>
    </row>
    <row r="17" spans="2:19">
      <c r="B17" s="162"/>
      <c r="C17" s="161"/>
      <c r="D17" s="161"/>
      <c r="E17" s="161"/>
      <c r="F17" s="161"/>
      <c r="G17" s="163"/>
      <c r="I17" s="147"/>
      <c r="J17" s="154"/>
      <c r="K17" s="155"/>
      <c r="L17" s="157"/>
      <c r="M17" s="157"/>
      <c r="N17" s="156"/>
      <c r="O17" s="157"/>
      <c r="P17" s="148"/>
      <c r="Q17" s="147"/>
      <c r="R17" s="147"/>
      <c r="S17" s="147"/>
    </row>
    <row r="18" spans="2:19">
      <c r="B18" s="162"/>
      <c r="C18" s="161"/>
      <c r="D18" s="161"/>
      <c r="E18" s="161"/>
      <c r="F18" s="161"/>
      <c r="G18" s="163"/>
      <c r="I18" s="147"/>
      <c r="J18" s="154"/>
      <c r="K18" s="155"/>
      <c r="L18" s="157"/>
      <c r="M18" s="157"/>
      <c r="N18" s="156"/>
      <c r="O18" s="157"/>
      <c r="P18" s="148"/>
      <c r="Q18" s="147"/>
      <c r="R18" s="147"/>
      <c r="S18" s="147"/>
    </row>
    <row r="19" spans="2:19">
      <c r="B19" s="162"/>
      <c r="C19" s="161"/>
      <c r="D19" s="161"/>
      <c r="E19" s="161"/>
      <c r="F19" s="161"/>
      <c r="G19" s="163"/>
      <c r="I19" s="147"/>
      <c r="J19" s="154"/>
      <c r="K19" s="155"/>
      <c r="L19" s="157"/>
      <c r="M19" s="157"/>
      <c r="N19" s="156"/>
      <c r="O19" s="157"/>
      <c r="P19" s="148"/>
      <c r="Q19" s="147"/>
      <c r="R19" s="147"/>
      <c r="S19" s="147"/>
    </row>
    <row r="20" spans="2:19">
      <c r="B20" s="162"/>
      <c r="C20" s="161"/>
      <c r="D20" s="161"/>
      <c r="E20" s="161"/>
      <c r="F20" s="161"/>
      <c r="G20" s="163"/>
      <c r="I20" s="147"/>
      <c r="J20" s="154"/>
      <c r="K20" s="155"/>
      <c r="L20" s="157"/>
      <c r="M20" s="157"/>
      <c r="N20" s="156"/>
      <c r="O20" s="157"/>
      <c r="P20" s="148"/>
      <c r="Q20" s="147"/>
      <c r="R20" s="147"/>
      <c r="S20" s="147"/>
    </row>
    <row r="21" spans="2:19">
      <c r="B21" s="162"/>
      <c r="C21" s="161"/>
      <c r="D21" s="161"/>
      <c r="E21" s="161"/>
      <c r="F21" s="161"/>
      <c r="G21" s="163"/>
      <c r="I21" s="147"/>
      <c r="J21" s="154"/>
      <c r="K21" s="158"/>
      <c r="L21" s="157"/>
      <c r="M21" s="157"/>
      <c r="N21" s="156"/>
      <c r="O21" s="157"/>
      <c r="P21" s="148"/>
      <c r="Q21" s="147"/>
      <c r="R21" s="147"/>
      <c r="S21" s="147"/>
    </row>
    <row r="22" spans="2:19">
      <c r="B22" s="162"/>
      <c r="C22" s="161"/>
      <c r="D22" s="161"/>
      <c r="E22" s="161"/>
      <c r="F22" s="161"/>
      <c r="G22" s="163"/>
      <c r="I22" s="147"/>
      <c r="J22" s="159"/>
      <c r="K22" s="158"/>
      <c r="L22" s="157"/>
      <c r="M22" s="157"/>
      <c r="N22" s="156"/>
      <c r="O22" s="157"/>
      <c r="P22" s="148"/>
      <c r="Q22" s="147"/>
      <c r="R22" s="147"/>
      <c r="S22" s="147"/>
    </row>
    <row r="23" spans="2:19">
      <c r="B23" s="162"/>
      <c r="C23" s="161"/>
      <c r="D23" s="161"/>
      <c r="E23" s="161"/>
      <c r="F23" s="161"/>
      <c r="G23" s="163"/>
      <c r="I23" s="147"/>
      <c r="J23" s="148"/>
      <c r="K23" s="148"/>
      <c r="L23" s="148"/>
      <c r="M23" s="148"/>
      <c r="N23" s="148"/>
      <c r="O23" s="148"/>
      <c r="P23" s="148"/>
      <c r="Q23" s="147"/>
      <c r="R23" s="147"/>
      <c r="S23" s="147"/>
    </row>
    <row r="24" spans="2:19">
      <c r="B24" s="162"/>
      <c r="C24" s="161"/>
      <c r="D24" s="161"/>
      <c r="E24" s="161"/>
      <c r="F24" s="161"/>
      <c r="G24" s="163"/>
      <c r="I24" s="147"/>
      <c r="J24" s="148"/>
      <c r="K24" s="148"/>
      <c r="L24" s="148"/>
      <c r="M24" s="148"/>
      <c r="N24" s="148"/>
      <c r="O24" s="148"/>
      <c r="P24" s="148"/>
      <c r="Q24" s="147"/>
      <c r="R24" s="147"/>
      <c r="S24" s="147"/>
    </row>
    <row r="25" spans="2:19">
      <c r="B25" s="162"/>
      <c r="C25" s="161"/>
      <c r="D25" s="161"/>
      <c r="E25" s="161"/>
      <c r="F25" s="161"/>
      <c r="G25" s="163"/>
      <c r="I25" s="147"/>
      <c r="J25" s="147"/>
      <c r="K25" s="147"/>
      <c r="L25" s="147"/>
      <c r="M25" s="147"/>
      <c r="N25" s="147"/>
      <c r="O25" s="147"/>
      <c r="P25" s="147"/>
      <c r="Q25" s="147"/>
      <c r="R25" s="147"/>
      <c r="S25" s="147"/>
    </row>
    <row r="26" spans="2:19">
      <c r="B26" s="162"/>
      <c r="C26" s="161"/>
      <c r="D26" s="161"/>
      <c r="E26" s="161"/>
      <c r="F26" s="161"/>
      <c r="G26" s="163"/>
      <c r="I26" s="147"/>
      <c r="J26" s="147"/>
      <c r="K26" s="147"/>
      <c r="L26" s="147"/>
      <c r="M26" s="147"/>
      <c r="N26" s="147"/>
      <c r="O26" s="147"/>
      <c r="P26" s="147"/>
      <c r="Q26" s="147"/>
      <c r="R26" s="147"/>
      <c r="S26" s="147"/>
    </row>
    <row r="27" spans="2:19">
      <c r="B27" s="162"/>
      <c r="C27" s="161"/>
      <c r="D27" s="161"/>
      <c r="E27" s="161"/>
      <c r="F27" s="161"/>
      <c r="G27" s="163"/>
      <c r="I27" s="147"/>
      <c r="J27" s="147"/>
      <c r="K27" s="147"/>
      <c r="L27" s="147"/>
      <c r="M27" s="147"/>
      <c r="N27" s="147"/>
      <c r="O27" s="147"/>
      <c r="P27" s="147"/>
      <c r="Q27" s="147"/>
      <c r="R27" s="147"/>
      <c r="S27" s="147"/>
    </row>
    <row r="28" spans="2:19">
      <c r="B28" s="162"/>
      <c r="C28" s="161"/>
      <c r="D28" s="161"/>
      <c r="E28" s="161"/>
      <c r="F28" s="161"/>
      <c r="G28" s="163"/>
    </row>
    <row r="29" spans="2:19">
      <c r="B29" s="162"/>
      <c r="C29" s="161"/>
      <c r="D29" s="161"/>
      <c r="E29" s="161"/>
      <c r="F29" s="161"/>
      <c r="G29" s="163"/>
    </row>
    <row r="30" spans="2:19">
      <c r="B30" s="162"/>
      <c r="C30" s="161"/>
      <c r="D30" s="161"/>
      <c r="E30" s="161"/>
      <c r="F30" s="161"/>
      <c r="G30" s="163"/>
    </row>
    <row r="31" spans="2:19">
      <c r="B31" s="162"/>
      <c r="C31" s="161"/>
      <c r="D31" s="161"/>
      <c r="E31" s="161"/>
      <c r="F31" s="161"/>
      <c r="G31" s="163"/>
    </row>
    <row r="32" spans="2:19">
      <c r="B32" s="162"/>
      <c r="C32" s="161"/>
      <c r="D32" s="161"/>
      <c r="E32" s="161"/>
      <c r="F32" s="161"/>
      <c r="G32" s="163"/>
    </row>
    <row r="33" spans="2:7">
      <c r="B33" s="162"/>
      <c r="C33" s="161"/>
      <c r="D33" s="161"/>
      <c r="E33" s="161"/>
      <c r="F33" s="161"/>
      <c r="G33" s="163"/>
    </row>
    <row r="34" spans="2:7">
      <c r="B34" s="162"/>
      <c r="C34" s="161"/>
      <c r="D34" s="161"/>
      <c r="E34" s="161"/>
      <c r="F34" s="161"/>
      <c r="G34" s="163"/>
    </row>
    <row r="35" spans="2:7">
      <c r="B35" s="162"/>
      <c r="C35" s="161"/>
      <c r="D35" s="161"/>
      <c r="E35" s="161"/>
      <c r="F35" s="161"/>
      <c r="G35" s="163"/>
    </row>
    <row r="36" spans="2:7">
      <c r="B36" s="162"/>
      <c r="C36" s="161"/>
      <c r="D36" s="161"/>
      <c r="E36" s="161"/>
      <c r="F36" s="161"/>
      <c r="G36" s="163"/>
    </row>
    <row r="37" spans="2:7">
      <c r="B37" s="162"/>
      <c r="C37" s="161"/>
      <c r="D37" s="161"/>
      <c r="E37" s="161"/>
      <c r="F37" s="161"/>
      <c r="G37" s="163"/>
    </row>
    <row r="38" spans="2:7" ht="13.5" thickBot="1">
      <c r="B38" s="165"/>
      <c r="C38" s="166"/>
      <c r="D38" s="166"/>
      <c r="E38" s="166"/>
      <c r="F38" s="166"/>
      <c r="G38" s="16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D88"/>
  <sheetViews>
    <sheetView topLeftCell="G1" zoomScale="115" zoomScaleNormal="115" workbookViewId="0">
      <pane ySplit="2" topLeftCell="A3" activePane="bottomLeft" state="frozen"/>
      <selection pane="bottomLeft" activeCell="Z36" sqref="Y4:Z36"/>
    </sheetView>
  </sheetViews>
  <sheetFormatPr defaultRowHeight="15"/>
  <cols>
    <col min="1" max="1" width="9.140625" style="341" customWidth="1"/>
    <col min="2" max="2" width="10.140625" style="341" bestFit="1" customWidth="1"/>
    <col min="3" max="3" width="11.28515625" style="341" bestFit="1" customWidth="1"/>
    <col min="4" max="4" width="9.140625" style="342"/>
    <col min="5" max="5" width="13.140625" style="342" customWidth="1"/>
    <col min="6" max="6" width="11.140625" style="417" bestFit="1" customWidth="1"/>
    <col min="7" max="7" width="13.28515625" style="342" bestFit="1" customWidth="1"/>
    <col min="8" max="8" width="16.42578125" style="342" bestFit="1" customWidth="1"/>
    <col min="9" max="13" width="9.140625" style="342"/>
    <col min="14" max="14" width="13" style="342" customWidth="1"/>
    <col min="15" max="15" width="9.140625" style="342"/>
    <col min="16" max="16" width="11.85546875" style="342" customWidth="1"/>
    <col min="17" max="17" width="9.140625" style="342"/>
    <col min="18" max="18" width="9.140625" style="354"/>
    <col min="19" max="19" width="6.28515625" style="342" customWidth="1"/>
    <col min="20" max="20" width="6" style="342" customWidth="1"/>
    <col min="21" max="21" width="6.28515625" style="342" customWidth="1"/>
    <col min="22" max="23" width="8.140625" style="342" customWidth="1"/>
    <col min="24" max="26" width="9.140625" style="342"/>
    <col min="27" max="27" width="14.5703125" style="342" customWidth="1"/>
    <col min="28" max="29" width="9.140625" style="342"/>
    <col min="30" max="16384" width="9.140625" style="341"/>
  </cols>
  <sheetData>
    <row r="1" spans="1:30" ht="32.25" customHeight="1">
      <c r="I1" s="734" t="s">
        <v>69</v>
      </c>
      <c r="J1" s="734"/>
      <c r="K1" s="734"/>
      <c r="L1" s="734"/>
      <c r="M1" s="734"/>
      <c r="N1" s="343"/>
      <c r="O1" s="344" t="s">
        <v>70</v>
      </c>
      <c r="P1" s="344"/>
      <c r="Q1" s="344"/>
      <c r="R1" s="345"/>
      <c r="U1" s="346"/>
      <c r="V1" s="346"/>
      <c r="W1" s="346"/>
      <c r="X1" s="342" t="s">
        <v>85</v>
      </c>
      <c r="Y1" s="342">
        <f>($C$4/2)-B6</f>
        <v>4.1000000000000005</v>
      </c>
      <c r="Z1" s="342">
        <f>($C$4/2)-C6</f>
        <v>4.1449000000000007</v>
      </c>
      <c r="AA1" s="344" t="s">
        <v>86</v>
      </c>
      <c r="AB1" s="342">
        <v>0.01</v>
      </c>
    </row>
    <row r="2" spans="1:30" ht="15.75" thickBot="1">
      <c r="D2" s="342" t="s">
        <v>87</v>
      </c>
      <c r="E2" s="347" t="s">
        <v>88</v>
      </c>
      <c r="F2" s="418" t="s">
        <v>71</v>
      </c>
      <c r="G2" s="348" t="s">
        <v>72</v>
      </c>
      <c r="H2" s="348" t="s">
        <v>73</v>
      </c>
      <c r="I2" s="348" t="s">
        <v>74</v>
      </c>
      <c r="J2" s="348" t="s">
        <v>75</v>
      </c>
      <c r="K2" s="348" t="s">
        <v>76</v>
      </c>
      <c r="L2" s="348" t="s">
        <v>77</v>
      </c>
      <c r="M2" s="348" t="s">
        <v>78</v>
      </c>
      <c r="N2" s="348" t="s">
        <v>79</v>
      </c>
      <c r="O2" s="348" t="s">
        <v>80</v>
      </c>
      <c r="P2" s="348" t="s">
        <v>81</v>
      </c>
      <c r="Q2" s="348" t="s">
        <v>82</v>
      </c>
      <c r="R2" s="349" t="s">
        <v>83</v>
      </c>
      <c r="S2" s="348" t="s">
        <v>89</v>
      </c>
      <c r="T2" s="348" t="s">
        <v>90</v>
      </c>
      <c r="U2" s="346" t="s">
        <v>91</v>
      </c>
      <c r="V2" s="346" t="s">
        <v>92</v>
      </c>
      <c r="W2" s="346" t="s">
        <v>78</v>
      </c>
      <c r="X2" s="348" t="s">
        <v>93</v>
      </c>
      <c r="Y2" s="348" t="s">
        <v>94</v>
      </c>
      <c r="Z2" s="348" t="s">
        <v>95</v>
      </c>
      <c r="AA2" s="350" t="str">
        <f>"←if kn -"&amp;TEXT(AB1,"0.000")&amp;" clearance"</f>
        <v>←if kn -0.010 clearance</v>
      </c>
    </row>
    <row r="3" spans="1:30">
      <c r="B3" s="735" t="s">
        <v>96</v>
      </c>
      <c r="C3" s="736"/>
      <c r="D3" s="342">
        <v>0.09</v>
      </c>
      <c r="E3" s="347">
        <f>IF(F3="","",(O3/360)*$D$3)</f>
        <v>-2.1977499999999997E-2</v>
      </c>
      <c r="F3" s="419">
        <v>1.214</v>
      </c>
      <c r="G3" s="341" t="s">
        <v>11</v>
      </c>
      <c r="H3" s="341" t="s">
        <v>10</v>
      </c>
      <c r="I3" s="341"/>
      <c r="J3" s="341"/>
      <c r="K3" s="341"/>
      <c r="L3" s="341"/>
      <c r="M3" s="341"/>
      <c r="N3" s="341"/>
      <c r="O3" s="341">
        <v>-87.91</v>
      </c>
      <c r="P3" s="341">
        <v>-19.850000000000001</v>
      </c>
      <c r="Q3" s="341">
        <v>-0.94</v>
      </c>
      <c r="R3" s="341">
        <v>-69</v>
      </c>
    </row>
    <row r="4" spans="1:30" ht="15.75" thickBot="1">
      <c r="B4" s="351" t="s">
        <v>97</v>
      </c>
      <c r="C4" s="352">
        <f>8.75-0.024</f>
        <v>8.7260000000000009</v>
      </c>
      <c r="E4" s="347" t="str">
        <f t="shared" ref="E4:E48" si="0">IF(F4="","",(O4/360)*$D$3)</f>
        <v/>
      </c>
      <c r="F4" s="419"/>
      <c r="G4" s="341" t="s">
        <v>98</v>
      </c>
      <c r="H4" s="341"/>
      <c r="I4" s="341">
        <v>0</v>
      </c>
      <c r="J4" s="341">
        <v>2.8184</v>
      </c>
      <c r="K4" s="341">
        <v>-0.13109999999999999</v>
      </c>
      <c r="L4" s="341">
        <v>-4.9000000000000004</v>
      </c>
      <c r="M4" s="341">
        <v>15</v>
      </c>
      <c r="N4" s="341">
        <v>20</v>
      </c>
      <c r="O4" s="341"/>
      <c r="P4" s="341"/>
      <c r="Q4" s="341"/>
      <c r="R4" s="341"/>
      <c r="S4" s="342">
        <f>IF(G3="","",IF(OR(LEFT(TRIM(H3),2)="16",LEFT(TRIM(H3),2)="13"),1,0))</f>
        <v>1</v>
      </c>
      <c r="T4" s="342">
        <f>IF(S4="","",IF(LEFT(TRIM(G3),2)="13",1,0))</f>
        <v>0</v>
      </c>
      <c r="U4" s="342">
        <f>IF(S4="","",IF(LEFT(TRIM(H3),3)="1/2",1,0))</f>
        <v>0</v>
      </c>
      <c r="V4" s="342">
        <f>IF(S4="","",IF(T4=1,VLOOKUP(M4,'elipse #s'!$A$4:$C$38,2,FALSE),VLOOKUP(M4,'elipse #s'!$A$4:$C$38,3,FALSE)))</f>
        <v>0.30185182071533384</v>
      </c>
      <c r="W4" s="342">
        <f>IF(S4="","",IF(S4=0,"",VLOOKUP(N4,'elipse #s'!$A$4:$C$38,2,FALSE)))</f>
        <v>0.24854869819787279</v>
      </c>
      <c r="X4" s="342">
        <f>IF(S4="","",IF(AND(S4=0,U4=1),K4+V4+E3-$B$6,IF(AND(S4=0,U4=0),K4+V4+E3-$C$6,V4-W4)))</f>
        <v>5.3303122517461055E-2</v>
      </c>
      <c r="Y4" s="342">
        <f>IF(S4="",0,IF(S4=0,IF(U4=1,MIN(J4,$Y$1),MIN(J4,$Z$1)),X4*SIN(RADIANS(-L4))+J4))</f>
        <v>2.8229529887190559</v>
      </c>
      <c r="Z4" s="342">
        <f>IF(S4="",0,IF(S4=0,X4-$AB$1,X4*COS(RADIANS(-L4))+K4-$AB$1+E3))</f>
        <v>-0.10996918460744008</v>
      </c>
    </row>
    <row r="5" spans="1:30">
      <c r="A5" s="342"/>
      <c r="B5" s="342" t="s">
        <v>99</v>
      </c>
      <c r="C5" s="341" t="s">
        <v>100</v>
      </c>
      <c r="E5" s="347">
        <f t="shared" si="0"/>
        <v>-2.0792499999999998E-2</v>
      </c>
      <c r="F5" s="419">
        <v>1.2190000000000001</v>
      </c>
      <c r="G5" s="341" t="s">
        <v>11</v>
      </c>
      <c r="H5" s="341" t="s">
        <v>10</v>
      </c>
      <c r="I5" s="341"/>
      <c r="J5" s="341"/>
      <c r="K5" s="341"/>
      <c r="L5" s="341"/>
      <c r="M5" s="341"/>
      <c r="N5" s="341"/>
      <c r="O5" s="341">
        <v>-83.17</v>
      </c>
      <c r="P5" s="341">
        <v>-16.28</v>
      </c>
      <c r="Q5" s="341">
        <v>-2.11</v>
      </c>
      <c r="R5" s="341">
        <v>-69</v>
      </c>
      <c r="S5" s="342" t="str">
        <f t="shared" ref="S5:S33" si="1">IF(G4="","",IF(OR(LEFT(TRIM(H4),2)="16",LEFT(TRIM(H4),2)="13"),1,0))</f>
        <v/>
      </c>
      <c r="T5" s="342" t="str">
        <f t="shared" ref="T5:T33" si="2">IF(S5="","",IF(LEFT(TRIM(G4),2)="13",1,0))</f>
        <v/>
      </c>
      <c r="U5" s="342" t="str">
        <f t="shared" ref="U5:U33" si="3">IF(S5="","",IF(LEFT(TRIM(H4),3)="1/2",1,0))</f>
        <v/>
      </c>
      <c r="V5" s="342" t="str">
        <f>IF(S5="","",IF(T5=1,VLOOKUP(M5,'elipse #s'!$A$4:$C$38,2,FALSE),VLOOKUP(M5,'elipse #s'!$A$4:$C$38,3,FALSE)))</f>
        <v/>
      </c>
      <c r="W5" s="342" t="str">
        <f>IF(S5="","",IF(S5=0,"",VLOOKUP(N5,'elipse #s'!$A$4:$C$38,2,FALSE)))</f>
        <v/>
      </c>
      <c r="X5" s="342" t="str">
        <f t="shared" ref="X5:X33" si="4">IF(S5="","",IF(AND(S5=0,U5=1),K5+V5+E4-$B$6,IF(AND(S5=0,U5=0),K5+V5+E4-$C$6,V5-W5)))</f>
        <v/>
      </c>
      <c r="Y5" s="342">
        <f t="shared" ref="Y5:Y33" si="5">IF(S5="",0,IF(S5=0,IF(U5=1,MIN(J5,$Y$1),MIN(J5,$Z$1)),X5*SIN(RADIANS(-L5))+J5))</f>
        <v>0</v>
      </c>
      <c r="Z5" s="342">
        <f t="shared" ref="Z5:Z33" si="6">IF(S5="",0,IF(S5=0,X5-$AB$1,X5*COS(RADIANS(-L5))+K5-$AB$1+E4))</f>
        <v>0</v>
      </c>
    </row>
    <row r="6" spans="1:30">
      <c r="A6" s="342"/>
      <c r="B6" s="342">
        <v>0.26300000000000001</v>
      </c>
      <c r="C6" s="341">
        <v>0.21809999999999999</v>
      </c>
      <c r="E6" s="347" t="str">
        <f t="shared" si="0"/>
        <v/>
      </c>
      <c r="F6" s="419"/>
      <c r="G6" s="341" t="s">
        <v>98</v>
      </c>
      <c r="H6" s="341"/>
      <c r="I6" s="341">
        <v>0</v>
      </c>
      <c r="J6" s="341">
        <v>3.5482999999999998</v>
      </c>
      <c r="K6" s="341">
        <v>-0.44890000000000002</v>
      </c>
      <c r="L6" s="341">
        <v>-29.1</v>
      </c>
      <c r="M6" s="341">
        <v>15</v>
      </c>
      <c r="N6" s="341">
        <v>20</v>
      </c>
      <c r="O6" s="341"/>
      <c r="P6" s="341"/>
      <c r="Q6" s="341"/>
      <c r="R6" s="341"/>
      <c r="S6" s="342">
        <f t="shared" si="1"/>
        <v>1</v>
      </c>
      <c r="T6" s="342">
        <f t="shared" si="2"/>
        <v>0</v>
      </c>
      <c r="U6" s="342">
        <f t="shared" si="3"/>
        <v>0</v>
      </c>
      <c r="V6" s="342">
        <f>IF(S6="","",IF(T6=1,VLOOKUP(M6,'elipse #s'!$A$4:$C$38,2,FALSE),VLOOKUP(M6,'elipse #s'!$A$4:$C$38,3,FALSE)))</f>
        <v>0.30185182071533384</v>
      </c>
      <c r="W6" s="342">
        <f>IF(S6="","",IF(S6=0,"",VLOOKUP(N6,'elipse #s'!$A$4:$C$38,2,FALSE)))</f>
        <v>0.24854869819787279</v>
      </c>
      <c r="X6" s="342">
        <f t="shared" si="4"/>
        <v>5.3303122517461055E-2</v>
      </c>
      <c r="Y6" s="342">
        <f t="shared" si="5"/>
        <v>3.5742231943672893</v>
      </c>
      <c r="Z6" s="342">
        <f t="shared" si="6"/>
        <v>-0.43311771214318628</v>
      </c>
    </row>
    <row r="7" spans="1:30">
      <c r="A7" s="342"/>
      <c r="B7" s="353"/>
      <c r="C7" s="353"/>
      <c r="D7" s="347"/>
      <c r="E7" s="347">
        <f t="shared" si="0"/>
        <v>-2.0445000000000001E-2</v>
      </c>
      <c r="F7" s="419">
        <v>1.224</v>
      </c>
      <c r="G7" s="341" t="s">
        <v>11</v>
      </c>
      <c r="H7" s="341" t="s">
        <v>10</v>
      </c>
      <c r="I7" s="341"/>
      <c r="J7" s="341"/>
      <c r="K7" s="341"/>
      <c r="L7" s="341"/>
      <c r="M7" s="341"/>
      <c r="N7" s="341"/>
      <c r="O7" s="341">
        <v>-81.78</v>
      </c>
      <c r="P7" s="341">
        <v>-15.59</v>
      </c>
      <c r="Q7" s="341">
        <v>-2.81</v>
      </c>
      <c r="R7" s="341">
        <v>-69</v>
      </c>
      <c r="S7" s="342" t="str">
        <f t="shared" si="1"/>
        <v/>
      </c>
      <c r="T7" s="342" t="str">
        <f t="shared" si="2"/>
        <v/>
      </c>
      <c r="U7" s="342" t="str">
        <f t="shared" si="3"/>
        <v/>
      </c>
      <c r="V7" s="342" t="str">
        <f>IF(S7="","",IF(T7=1,VLOOKUP(M7,'elipse #s'!$A$4:$C$38,2,FALSE),VLOOKUP(M7,'elipse #s'!$A$4:$C$38,3,FALSE)))</f>
        <v/>
      </c>
      <c r="W7" s="342" t="str">
        <f>IF(S7="","",IF(S7=0,"",VLOOKUP(N7,'elipse #s'!$A$4:$C$38,2,FALSE)))</f>
        <v/>
      </c>
      <c r="X7" s="342" t="str">
        <f t="shared" si="4"/>
        <v/>
      </c>
      <c r="Y7" s="342">
        <f t="shared" si="5"/>
        <v>0</v>
      </c>
      <c r="Z7" s="342">
        <f t="shared" si="6"/>
        <v>0</v>
      </c>
    </row>
    <row r="8" spans="1:30">
      <c r="A8" s="342"/>
      <c r="B8" s="353"/>
      <c r="C8" s="353"/>
      <c r="D8" s="347"/>
      <c r="E8" s="347" t="str">
        <f t="shared" si="0"/>
        <v/>
      </c>
      <c r="F8" s="419"/>
      <c r="G8" s="341" t="s">
        <v>98</v>
      </c>
      <c r="H8" s="341"/>
      <c r="I8" s="341">
        <v>0</v>
      </c>
      <c r="J8" s="341">
        <v>3.9310999999999998</v>
      </c>
      <c r="K8" s="341">
        <v>-1.1231</v>
      </c>
      <c r="L8" s="341">
        <v>-53.1</v>
      </c>
      <c r="M8" s="341">
        <v>20</v>
      </c>
      <c r="N8" s="341">
        <v>25</v>
      </c>
      <c r="O8" s="341"/>
      <c r="P8" s="341"/>
      <c r="Q8" s="341"/>
      <c r="R8" s="341"/>
      <c r="S8" s="342">
        <f t="shared" si="1"/>
        <v>1</v>
      </c>
      <c r="T8" s="342">
        <f t="shared" si="2"/>
        <v>0</v>
      </c>
      <c r="U8" s="342">
        <f t="shared" si="3"/>
        <v>0</v>
      </c>
      <c r="V8" s="342">
        <f>IF(S8="","",IF(T8=1,VLOOKUP(M8,'elipse #s'!$A$4:$C$38,2,FALSE),VLOOKUP(M8,'elipse #s'!$A$4:$C$38,3,FALSE)))</f>
        <v>0.29365394399559641</v>
      </c>
      <c r="W8" s="342">
        <f>IF(S8="","",IF(S8=0,"",VLOOKUP(N8,'elipse #s'!$A$4:$C$38,2,FALSE)))</f>
        <v>0.23971840967119393</v>
      </c>
      <c r="X8" s="342">
        <f t="shared" si="4"/>
        <v>5.3935534324402484E-2</v>
      </c>
      <c r="Y8" s="342">
        <f t="shared" si="5"/>
        <v>3.9742314193465282</v>
      </c>
      <c r="Z8" s="342">
        <f t="shared" si="6"/>
        <v>-1.1211610143278703</v>
      </c>
      <c r="AD8" s="342"/>
    </row>
    <row r="9" spans="1:30">
      <c r="A9" s="342"/>
      <c r="B9" s="353"/>
      <c r="C9" s="353"/>
      <c r="D9" s="347"/>
      <c r="E9" s="347">
        <f t="shared" si="0"/>
        <v>-2.2095E-2</v>
      </c>
      <c r="F9" s="419">
        <v>2.2130000000000001</v>
      </c>
      <c r="G9" s="341" t="s">
        <v>11</v>
      </c>
      <c r="H9" s="341" t="s">
        <v>10</v>
      </c>
      <c r="I9" s="341"/>
      <c r="J9" s="341"/>
      <c r="K9" s="341"/>
      <c r="L9" s="341"/>
      <c r="M9" s="341"/>
      <c r="N9" s="341"/>
      <c r="O9" s="341">
        <v>-88.38</v>
      </c>
      <c r="P9" s="341">
        <v>-20.04</v>
      </c>
      <c r="Q9" s="341">
        <v>-0.66</v>
      </c>
      <c r="R9" s="341">
        <v>-69</v>
      </c>
      <c r="S9" s="342" t="str">
        <f t="shared" si="1"/>
        <v/>
      </c>
      <c r="T9" s="342" t="str">
        <f t="shared" si="2"/>
        <v/>
      </c>
      <c r="U9" s="342" t="str">
        <f t="shared" si="3"/>
        <v/>
      </c>
      <c r="V9" s="342" t="str">
        <f>IF(S9="","",IF(T9=1,VLOOKUP(M9,'elipse #s'!$A$4:$C$38,2,FALSE),VLOOKUP(M9,'elipse #s'!$A$4:$C$38,3,FALSE)))</f>
        <v/>
      </c>
      <c r="W9" s="342" t="str">
        <f>IF(S9="","",IF(S9=0,"",VLOOKUP(N9,'elipse #s'!$A$4:$C$38,2,FALSE)))</f>
        <v/>
      </c>
      <c r="X9" s="342" t="str">
        <f t="shared" si="4"/>
        <v/>
      </c>
      <c r="Y9" s="342">
        <f t="shared" si="5"/>
        <v>0</v>
      </c>
      <c r="Z9" s="342">
        <f t="shared" si="6"/>
        <v>0</v>
      </c>
    </row>
    <row r="10" spans="1:30">
      <c r="A10" s="342"/>
      <c r="B10" s="353"/>
      <c r="C10" s="353"/>
      <c r="D10" s="347"/>
      <c r="E10" s="347" t="str">
        <f t="shared" si="0"/>
        <v/>
      </c>
      <c r="F10" s="419"/>
      <c r="G10" s="341" t="s">
        <v>98</v>
      </c>
      <c r="H10" s="341"/>
      <c r="I10" s="341">
        <v>0</v>
      </c>
      <c r="J10" s="341">
        <v>2.6177000000000001</v>
      </c>
      <c r="K10" s="341">
        <v>-0.13159999999999999</v>
      </c>
      <c r="L10" s="341">
        <v>0</v>
      </c>
      <c r="M10" s="341">
        <v>15</v>
      </c>
      <c r="N10" s="341">
        <v>20</v>
      </c>
      <c r="O10" s="341"/>
      <c r="P10" s="341"/>
      <c r="Q10" s="341"/>
      <c r="R10" s="341"/>
      <c r="S10" s="342">
        <f t="shared" si="1"/>
        <v>1</v>
      </c>
      <c r="T10" s="342">
        <f t="shared" si="2"/>
        <v>0</v>
      </c>
      <c r="U10" s="342">
        <f t="shared" si="3"/>
        <v>0</v>
      </c>
      <c r="V10" s="342">
        <f>IF(S10="","",IF(T10=1,VLOOKUP(M10,'elipse #s'!$A$4:$C$38,2,FALSE),VLOOKUP(M10,'elipse #s'!$A$4:$C$38,3,FALSE)))</f>
        <v>0.30185182071533384</v>
      </c>
      <c r="W10" s="342">
        <f>IF(S10="","",IF(S10=0,"",VLOOKUP(N10,'elipse #s'!$A$4:$C$38,2,FALSE)))</f>
        <v>0.24854869819787279</v>
      </c>
      <c r="X10" s="342">
        <f t="shared" si="4"/>
        <v>5.3303122517461055E-2</v>
      </c>
      <c r="Y10" s="342">
        <f t="shared" si="5"/>
        <v>2.6177000000000001</v>
      </c>
      <c r="Z10" s="342">
        <f t="shared" si="6"/>
        <v>-0.11039187748253894</v>
      </c>
    </row>
    <row r="11" spans="1:30">
      <c r="A11" s="342"/>
      <c r="B11" s="353"/>
      <c r="C11" s="353"/>
      <c r="D11" s="347"/>
      <c r="E11" s="347">
        <f t="shared" si="0"/>
        <v>-2.0924999999999999E-2</v>
      </c>
      <c r="F11" s="419">
        <v>2.218</v>
      </c>
      <c r="G11" s="341" t="s">
        <v>11</v>
      </c>
      <c r="H11" s="341" t="s">
        <v>10</v>
      </c>
      <c r="I11" s="341"/>
      <c r="J11" s="341"/>
      <c r="K11" s="341"/>
      <c r="L11" s="341"/>
      <c r="M11" s="341"/>
      <c r="N11" s="341"/>
      <c r="O11" s="341">
        <v>-83.7</v>
      </c>
      <c r="P11" s="341">
        <v>-16.59</v>
      </c>
      <c r="Q11" s="341">
        <v>-1.89</v>
      </c>
      <c r="R11" s="341">
        <v>-69</v>
      </c>
      <c r="S11" s="342" t="str">
        <f t="shared" si="1"/>
        <v/>
      </c>
      <c r="T11" s="342" t="str">
        <f t="shared" si="2"/>
        <v/>
      </c>
      <c r="U11" s="342" t="str">
        <f t="shared" si="3"/>
        <v/>
      </c>
      <c r="V11" s="342" t="str">
        <f>IF(S11="","",IF(T11=1,VLOOKUP(M11,'elipse #s'!$A$4:$C$38,2,FALSE),VLOOKUP(M11,'elipse #s'!$A$4:$C$38,3,FALSE)))</f>
        <v/>
      </c>
      <c r="W11" s="342" t="str">
        <f>IF(S11="","",IF(S11=0,"",VLOOKUP(N11,'elipse #s'!$A$4:$C$38,2,FALSE)))</f>
        <v/>
      </c>
      <c r="X11" s="342" t="str">
        <f t="shared" si="4"/>
        <v/>
      </c>
      <c r="Y11" s="342">
        <f t="shared" si="5"/>
        <v>0</v>
      </c>
      <c r="Z11" s="342">
        <f t="shared" si="6"/>
        <v>0</v>
      </c>
    </row>
    <row r="12" spans="1:30">
      <c r="A12" s="342"/>
      <c r="B12" s="353"/>
      <c r="C12" s="353"/>
      <c r="D12" s="347"/>
      <c r="E12" s="347" t="str">
        <f t="shared" si="0"/>
        <v/>
      </c>
      <c r="F12" s="419"/>
      <c r="G12" s="341" t="s">
        <v>98</v>
      </c>
      <c r="H12" s="341"/>
      <c r="I12" s="341">
        <v>0</v>
      </c>
      <c r="J12" s="341">
        <v>3.4218999999999999</v>
      </c>
      <c r="K12" s="341">
        <v>-0.3478</v>
      </c>
      <c r="L12" s="341">
        <v>-24.3</v>
      </c>
      <c r="M12" s="341">
        <v>15</v>
      </c>
      <c r="N12" s="341">
        <v>20</v>
      </c>
      <c r="O12" s="341"/>
      <c r="P12" s="341"/>
      <c r="Q12" s="341"/>
      <c r="R12" s="341"/>
      <c r="S12" s="342">
        <f t="shared" si="1"/>
        <v>1</v>
      </c>
      <c r="T12" s="342">
        <f t="shared" si="2"/>
        <v>0</v>
      </c>
      <c r="U12" s="342">
        <f t="shared" si="3"/>
        <v>0</v>
      </c>
      <c r="V12" s="342">
        <f>IF(S12="","",IF(T12=1,VLOOKUP(M12,'elipse #s'!$A$4:$C$38,2,FALSE),VLOOKUP(M12,'elipse #s'!$A$4:$C$38,3,FALSE)))</f>
        <v>0.30185182071533384</v>
      </c>
      <c r="W12" s="342">
        <f>IF(S12="","",IF(S12=0,"",VLOOKUP(N12,'elipse #s'!$A$4:$C$38,2,FALSE)))</f>
        <v>0.24854869819787279</v>
      </c>
      <c r="X12" s="342">
        <f t="shared" si="4"/>
        <v>5.3303122517461055E-2</v>
      </c>
      <c r="Y12" s="342">
        <f t="shared" si="5"/>
        <v>3.4438350002744222</v>
      </c>
      <c r="Z12" s="342">
        <f t="shared" si="6"/>
        <v>-0.33014435948268539</v>
      </c>
    </row>
    <row r="13" spans="1:30">
      <c r="A13" s="342"/>
      <c r="B13" s="353"/>
      <c r="C13" s="353"/>
      <c r="D13" s="347"/>
      <c r="E13" s="347">
        <f t="shared" si="0"/>
        <v>-2.0477499999999999E-2</v>
      </c>
      <c r="F13" s="419">
        <v>2.2229999999999999</v>
      </c>
      <c r="G13" s="341" t="s">
        <v>11</v>
      </c>
      <c r="H13" s="341" t="s">
        <v>10</v>
      </c>
      <c r="I13" s="341"/>
      <c r="J13" s="341"/>
      <c r="K13" s="341"/>
      <c r="L13" s="341"/>
      <c r="M13" s="341"/>
      <c r="N13" s="341"/>
      <c r="O13" s="341">
        <v>-81.91</v>
      </c>
      <c r="P13" s="341">
        <v>-15.64</v>
      </c>
      <c r="Q13" s="341">
        <v>-2.73</v>
      </c>
      <c r="R13" s="341">
        <v>-69</v>
      </c>
      <c r="S13" s="342" t="str">
        <f t="shared" si="1"/>
        <v/>
      </c>
      <c r="T13" s="342" t="str">
        <f t="shared" si="2"/>
        <v/>
      </c>
      <c r="U13" s="342" t="str">
        <f t="shared" si="3"/>
        <v/>
      </c>
      <c r="V13" s="342" t="str">
        <f>IF(S13="","",IF(T13=1,VLOOKUP(M13,'elipse #s'!$A$4:$C$38,2,FALSE),VLOOKUP(M13,'elipse #s'!$A$4:$C$38,3,FALSE)))</f>
        <v/>
      </c>
      <c r="W13" s="342" t="str">
        <f>IF(S13="","",IF(S13=0,"",VLOOKUP(N13,'elipse #s'!$A$4:$C$38,2,FALSE)))</f>
        <v/>
      </c>
      <c r="X13" s="342" t="str">
        <f t="shared" si="4"/>
        <v/>
      </c>
      <c r="Y13" s="342">
        <f t="shared" si="5"/>
        <v>0</v>
      </c>
      <c r="Z13" s="342">
        <f t="shared" si="6"/>
        <v>0</v>
      </c>
    </row>
    <row r="14" spans="1:30">
      <c r="A14" s="342"/>
      <c r="B14" s="353"/>
      <c r="C14" s="353"/>
      <c r="D14" s="347"/>
      <c r="E14" s="347" t="str">
        <f t="shared" si="0"/>
        <v/>
      </c>
      <c r="F14" s="419"/>
      <c r="G14" s="341" t="s">
        <v>98</v>
      </c>
      <c r="H14" s="341"/>
      <c r="I14" s="341">
        <v>0</v>
      </c>
      <c r="J14" s="341">
        <v>3.8921000000000001</v>
      </c>
      <c r="K14" s="341">
        <v>-0.97260000000000002</v>
      </c>
      <c r="L14" s="341">
        <v>-48.3</v>
      </c>
      <c r="M14" s="341">
        <v>20</v>
      </c>
      <c r="N14" s="341">
        <v>25</v>
      </c>
      <c r="O14" s="341"/>
      <c r="P14" s="341"/>
      <c r="Q14" s="341"/>
      <c r="R14" s="341"/>
      <c r="S14" s="342">
        <f t="shared" si="1"/>
        <v>1</v>
      </c>
      <c r="T14" s="342">
        <f t="shared" si="2"/>
        <v>0</v>
      </c>
      <c r="U14" s="342">
        <f t="shared" si="3"/>
        <v>0</v>
      </c>
      <c r="V14" s="342">
        <f>IF(S14="","",IF(T14=1,VLOOKUP(M14,'elipse #s'!$A$4:$C$38,2,FALSE),VLOOKUP(M14,'elipse #s'!$A$4:$C$38,3,FALSE)))</f>
        <v>0.29365394399559641</v>
      </c>
      <c r="W14" s="342">
        <f>IF(S14="","",IF(S14=0,"",VLOOKUP(N14,'elipse #s'!$A$4:$C$38,2,FALSE)))</f>
        <v>0.23971840967119393</v>
      </c>
      <c r="X14" s="342">
        <f t="shared" si="4"/>
        <v>5.3935534324402484E-2</v>
      </c>
      <c r="Y14" s="342">
        <f t="shared" si="5"/>
        <v>3.9323703293085632</v>
      </c>
      <c r="Z14" s="342">
        <f t="shared" si="6"/>
        <v>-0.96719794537290538</v>
      </c>
    </row>
    <row r="15" spans="1:30">
      <c r="A15" s="342"/>
      <c r="B15" s="353"/>
      <c r="C15" s="353"/>
      <c r="D15" s="347"/>
      <c r="E15" s="347">
        <f t="shared" si="0"/>
        <v>-2.6789999999999998E-2</v>
      </c>
      <c r="F15" s="419">
        <v>3.2120000000000002</v>
      </c>
      <c r="G15" s="341" t="s">
        <v>10</v>
      </c>
      <c r="H15" s="341" t="s">
        <v>10</v>
      </c>
      <c r="I15" s="341"/>
      <c r="J15" s="341"/>
      <c r="K15" s="341"/>
      <c r="L15" s="341"/>
      <c r="M15" s="341"/>
      <c r="N15" s="341"/>
      <c r="O15" s="341">
        <v>-107.16</v>
      </c>
      <c r="P15" s="341">
        <v>-21.16</v>
      </c>
      <c r="Q15" s="341">
        <v>0</v>
      </c>
      <c r="R15" s="341">
        <v>-86</v>
      </c>
      <c r="S15" s="342" t="str">
        <f t="shared" si="1"/>
        <v/>
      </c>
      <c r="T15" s="342" t="str">
        <f t="shared" si="2"/>
        <v/>
      </c>
      <c r="U15" s="342" t="str">
        <f t="shared" si="3"/>
        <v/>
      </c>
      <c r="V15" s="342" t="str">
        <f>IF(S15="","",IF(T15=1,VLOOKUP(M15,'elipse #s'!$A$4:$C$38,2,FALSE),VLOOKUP(M15,'elipse #s'!$A$4:$C$38,3,FALSE)))</f>
        <v/>
      </c>
      <c r="W15" s="342" t="str">
        <f>IF(S15="","",IF(S15=0,"",VLOOKUP(N15,'elipse #s'!$A$4:$C$38,2,FALSE)))</f>
        <v/>
      </c>
      <c r="X15" s="342" t="str">
        <f t="shared" si="4"/>
        <v/>
      </c>
      <c r="Y15" s="342">
        <f t="shared" si="5"/>
        <v>0</v>
      </c>
      <c r="Z15" s="342">
        <f t="shared" si="6"/>
        <v>0</v>
      </c>
    </row>
    <row r="16" spans="1:30">
      <c r="A16" s="342"/>
      <c r="B16" s="353"/>
      <c r="C16" s="353"/>
      <c r="D16" s="347"/>
      <c r="E16" s="347" t="str">
        <f t="shared" si="0"/>
        <v/>
      </c>
      <c r="F16" s="419"/>
      <c r="G16" s="341" t="s">
        <v>98</v>
      </c>
      <c r="H16" s="341"/>
      <c r="I16" s="341">
        <v>0</v>
      </c>
      <c r="J16" s="341">
        <v>2.4597000000000002</v>
      </c>
      <c r="K16" s="341">
        <v>-0.1082</v>
      </c>
      <c r="L16" s="341">
        <v>5</v>
      </c>
      <c r="M16" s="341">
        <v>15</v>
      </c>
      <c r="N16" s="341">
        <v>20</v>
      </c>
      <c r="O16" s="341"/>
      <c r="P16" s="341"/>
      <c r="Q16" s="341"/>
      <c r="R16" s="341"/>
      <c r="S16" s="342">
        <f t="shared" si="1"/>
        <v>1</v>
      </c>
      <c r="T16" s="342">
        <f t="shared" si="2"/>
        <v>1</v>
      </c>
      <c r="U16" s="342">
        <f t="shared" si="3"/>
        <v>0</v>
      </c>
      <c r="V16" s="342">
        <f>IF(S16="","",IF(T16=1,VLOOKUP(M16,'elipse #s'!$A$4:$C$38,2,FALSE),VLOOKUP(M16,'elipse #s'!$A$4:$C$38,3,FALSE)))</f>
        <v>0.25548738105345858</v>
      </c>
      <c r="W16" s="342">
        <f>IF(S16="","",IF(S16=0,"",VLOOKUP(N16,'elipse #s'!$A$4:$C$38,2,FALSE)))</f>
        <v>0.24854869819787279</v>
      </c>
      <c r="X16" s="342">
        <f t="shared" si="4"/>
        <v>6.9386828555857982E-3</v>
      </c>
      <c r="Y16" s="342">
        <f t="shared" si="5"/>
        <v>2.459095253942031</v>
      </c>
      <c r="Z16" s="342">
        <f t="shared" si="6"/>
        <v>-0.13807772092752532</v>
      </c>
    </row>
    <row r="17" spans="1:26">
      <c r="A17" s="342"/>
      <c r="B17" s="353"/>
      <c r="C17" s="353"/>
      <c r="D17" s="347"/>
      <c r="E17" s="347">
        <f t="shared" si="0"/>
        <v>-2.5332500000000001E-2</v>
      </c>
      <c r="F17" s="419">
        <v>3.2170000000000001</v>
      </c>
      <c r="G17" s="341" t="s">
        <v>11</v>
      </c>
      <c r="H17" s="341" t="s">
        <v>10</v>
      </c>
      <c r="I17" s="341"/>
      <c r="J17" s="341"/>
      <c r="K17" s="341"/>
      <c r="L17" s="341"/>
      <c r="M17" s="341"/>
      <c r="N17" s="341"/>
      <c r="O17" s="341">
        <v>-101.33</v>
      </c>
      <c r="P17" s="341">
        <v>-16.989999999999998</v>
      </c>
      <c r="Q17" s="341">
        <v>-1.66</v>
      </c>
      <c r="R17" s="341">
        <v>-86</v>
      </c>
      <c r="S17" s="342" t="str">
        <f t="shared" si="1"/>
        <v/>
      </c>
      <c r="T17" s="342" t="str">
        <f t="shared" si="2"/>
        <v/>
      </c>
      <c r="U17" s="342" t="str">
        <f t="shared" si="3"/>
        <v/>
      </c>
      <c r="V17" s="342" t="str">
        <f>IF(S17="","",IF(T17=1,VLOOKUP(M17,'elipse #s'!$A$4:$C$38,2,FALSE),VLOOKUP(M17,'elipse #s'!$A$4:$C$38,3,FALSE)))</f>
        <v/>
      </c>
      <c r="W17" s="342" t="str">
        <f>IF(S17="","",IF(S17=0,"",VLOOKUP(N17,'elipse #s'!$A$4:$C$38,2,FALSE)))</f>
        <v/>
      </c>
      <c r="X17" s="342" t="str">
        <f t="shared" si="4"/>
        <v/>
      </c>
      <c r="Y17" s="342">
        <f t="shared" si="5"/>
        <v>0</v>
      </c>
      <c r="Z17" s="342">
        <f t="shared" si="6"/>
        <v>0</v>
      </c>
    </row>
    <row r="18" spans="1:26">
      <c r="A18" s="342"/>
      <c r="B18" s="353"/>
      <c r="C18" s="353"/>
      <c r="D18" s="347"/>
      <c r="E18" s="347" t="str">
        <f t="shared" si="0"/>
        <v/>
      </c>
      <c r="F18" s="419"/>
      <c r="G18" s="341" t="s">
        <v>98</v>
      </c>
      <c r="H18" s="341"/>
      <c r="I18" s="341">
        <v>0</v>
      </c>
      <c r="J18" s="341">
        <v>3.2829999999999999</v>
      </c>
      <c r="K18" s="341">
        <v>-0.2641</v>
      </c>
      <c r="L18" s="341">
        <v>-19.399999999999999</v>
      </c>
      <c r="M18" s="341">
        <v>15</v>
      </c>
      <c r="N18" s="341">
        <v>20</v>
      </c>
      <c r="O18" s="341"/>
      <c r="P18" s="341"/>
      <c r="Q18" s="341"/>
      <c r="R18" s="341"/>
      <c r="S18" s="342">
        <f t="shared" si="1"/>
        <v>1</v>
      </c>
      <c r="T18" s="342">
        <f t="shared" si="2"/>
        <v>0</v>
      </c>
      <c r="U18" s="342">
        <f t="shared" si="3"/>
        <v>0</v>
      </c>
      <c r="V18" s="342">
        <f>IF(S18="","",IF(T18=1,VLOOKUP(M18,'elipse #s'!$A$4:$C$38,2,FALSE),VLOOKUP(M18,'elipse #s'!$A$4:$C$38,3,FALSE)))</f>
        <v>0.30185182071533384</v>
      </c>
      <c r="W18" s="342">
        <f>IF(S18="","",IF(S18=0,"",VLOOKUP(N18,'elipse #s'!$A$4:$C$38,2,FALSE)))</f>
        <v>0.24854869819787279</v>
      </c>
      <c r="X18" s="342">
        <f t="shared" si="4"/>
        <v>5.3303122517461055E-2</v>
      </c>
      <c r="Y18" s="342">
        <f t="shared" si="5"/>
        <v>3.3007052255083353</v>
      </c>
      <c r="Z18" s="342">
        <f t="shared" si="6"/>
        <v>-0.24915578710217379</v>
      </c>
    </row>
    <row r="19" spans="1:26">
      <c r="A19" s="342"/>
      <c r="B19" s="353"/>
      <c r="C19" s="353"/>
      <c r="D19" s="347"/>
      <c r="E19" s="347">
        <f t="shared" si="0"/>
        <v>-2.4774999999999998E-2</v>
      </c>
      <c r="F19" s="419">
        <v>3.222</v>
      </c>
      <c r="G19" s="341" t="s">
        <v>11</v>
      </c>
      <c r="H19" s="341" t="s">
        <v>10</v>
      </c>
      <c r="I19" s="341"/>
      <c r="J19" s="341"/>
      <c r="K19" s="341"/>
      <c r="L19" s="341"/>
      <c r="M19" s="341"/>
      <c r="N19" s="341"/>
      <c r="O19" s="341">
        <v>-99.100000000000009</v>
      </c>
      <c r="P19" s="341">
        <v>-15.73</v>
      </c>
      <c r="Q19" s="341">
        <v>-2.63</v>
      </c>
      <c r="R19" s="341">
        <v>-86</v>
      </c>
      <c r="S19" s="342" t="str">
        <f t="shared" si="1"/>
        <v/>
      </c>
      <c r="T19" s="342" t="str">
        <f t="shared" si="2"/>
        <v/>
      </c>
      <c r="U19" s="342" t="str">
        <f t="shared" si="3"/>
        <v/>
      </c>
      <c r="V19" s="342" t="str">
        <f>IF(S19="","",IF(T19=1,VLOOKUP(M19,'elipse #s'!$A$4:$C$38,2,FALSE),VLOOKUP(M19,'elipse #s'!$A$4:$C$38,3,FALSE)))</f>
        <v/>
      </c>
      <c r="W19" s="342" t="str">
        <f>IF(S19="","",IF(S19=0,"",VLOOKUP(N19,'elipse #s'!$A$4:$C$38,2,FALSE)))</f>
        <v/>
      </c>
      <c r="X19" s="342" t="str">
        <f t="shared" si="4"/>
        <v/>
      </c>
      <c r="Y19" s="342">
        <f t="shared" si="5"/>
        <v>0</v>
      </c>
      <c r="Z19" s="342">
        <f t="shared" si="6"/>
        <v>0</v>
      </c>
    </row>
    <row r="20" spans="1:26">
      <c r="A20" s="342"/>
      <c r="B20" s="353"/>
      <c r="C20" s="353"/>
      <c r="D20" s="347"/>
      <c r="E20" s="347" t="str">
        <f t="shared" si="0"/>
        <v/>
      </c>
      <c r="F20" s="419"/>
      <c r="G20" s="341" t="s">
        <v>98</v>
      </c>
      <c r="H20" s="341"/>
      <c r="I20" s="341">
        <v>0</v>
      </c>
      <c r="J20" s="341">
        <v>3.8342999999999998</v>
      </c>
      <c r="K20" s="341">
        <v>-0.82650000000000001</v>
      </c>
      <c r="L20" s="341">
        <v>-43.5</v>
      </c>
      <c r="M20" s="341">
        <v>20</v>
      </c>
      <c r="N20" s="341">
        <v>25</v>
      </c>
      <c r="O20" s="341"/>
      <c r="P20" s="341"/>
      <c r="Q20" s="341"/>
      <c r="R20" s="341"/>
      <c r="S20" s="342">
        <f t="shared" si="1"/>
        <v>1</v>
      </c>
      <c r="T20" s="342">
        <f t="shared" si="2"/>
        <v>0</v>
      </c>
      <c r="U20" s="342">
        <f t="shared" si="3"/>
        <v>0</v>
      </c>
      <c r="V20" s="342">
        <f>IF(S20="","",IF(T20=1,VLOOKUP(M20,'elipse #s'!$A$4:$C$38,2,FALSE),VLOOKUP(M20,'elipse #s'!$A$4:$C$38,3,FALSE)))</f>
        <v>0.29365394399559641</v>
      </c>
      <c r="W20" s="342">
        <f>IF(S20="","",IF(S20=0,"",VLOOKUP(N20,'elipse #s'!$A$4:$C$38,2,FALSE)))</f>
        <v>0.23971840967119393</v>
      </c>
      <c r="X20" s="342">
        <f t="shared" si="4"/>
        <v>5.3935534324402484E-2</v>
      </c>
      <c r="Y20" s="342">
        <f t="shared" si="5"/>
        <v>3.87142677184469</v>
      </c>
      <c r="Z20" s="342">
        <f t="shared" si="6"/>
        <v>-0.82215154571422489</v>
      </c>
    </row>
    <row r="21" spans="1:26">
      <c r="A21" s="342"/>
      <c r="B21" s="353"/>
      <c r="C21" s="353"/>
      <c r="D21" s="347"/>
      <c r="E21" s="347">
        <f t="shared" si="0"/>
        <v>-2.4672499999999997E-2</v>
      </c>
      <c r="F21" s="419">
        <v>3.2269999999999999</v>
      </c>
      <c r="G21" s="341" t="s">
        <v>11</v>
      </c>
      <c r="H21" s="341" t="s">
        <v>10</v>
      </c>
      <c r="I21" s="341"/>
      <c r="J21" s="341"/>
      <c r="K21" s="341"/>
      <c r="L21" s="341"/>
      <c r="M21" s="341"/>
      <c r="N21" s="341"/>
      <c r="O21" s="341">
        <v>-98.69</v>
      </c>
      <c r="P21" s="341">
        <v>-15.55</v>
      </c>
      <c r="Q21" s="341">
        <v>-2.86</v>
      </c>
      <c r="R21" s="341">
        <v>-86</v>
      </c>
      <c r="S21" s="342" t="str">
        <f t="shared" si="1"/>
        <v/>
      </c>
      <c r="T21" s="342" t="str">
        <f t="shared" si="2"/>
        <v/>
      </c>
      <c r="U21" s="342" t="str">
        <f t="shared" si="3"/>
        <v/>
      </c>
      <c r="V21" s="342" t="str">
        <f>IF(S21="","",IF(T21=1,VLOOKUP(M21,'elipse #s'!$A$4:$C$38,2,FALSE),VLOOKUP(M21,'elipse #s'!$A$4:$C$38,3,FALSE)))</f>
        <v/>
      </c>
      <c r="W21" s="342" t="str">
        <f>IF(S21="","",IF(S21=0,"",VLOOKUP(N21,'elipse #s'!$A$4:$C$38,2,FALSE)))</f>
        <v/>
      </c>
      <c r="X21" s="342" t="str">
        <f t="shared" si="4"/>
        <v/>
      </c>
      <c r="Y21" s="342">
        <f t="shared" si="5"/>
        <v>0</v>
      </c>
      <c r="Z21" s="342">
        <f t="shared" si="6"/>
        <v>0</v>
      </c>
    </row>
    <row r="22" spans="1:26">
      <c r="A22" s="342"/>
      <c r="B22" s="353"/>
      <c r="C22" s="353"/>
      <c r="D22" s="347"/>
      <c r="E22" s="347" t="str">
        <f t="shared" si="0"/>
        <v/>
      </c>
      <c r="F22" s="419"/>
      <c r="G22" s="341" t="s">
        <v>98</v>
      </c>
      <c r="H22" s="341"/>
      <c r="I22" s="341">
        <v>0</v>
      </c>
      <c r="J22" s="341">
        <v>3.9613</v>
      </c>
      <c r="K22" s="341">
        <v>-1.5865</v>
      </c>
      <c r="L22" s="341">
        <v>-65</v>
      </c>
      <c r="M22" s="341">
        <v>25</v>
      </c>
      <c r="N22" s="341">
        <v>30</v>
      </c>
      <c r="O22" s="341"/>
      <c r="P22" s="341"/>
      <c r="Q22" s="341"/>
      <c r="R22" s="341"/>
      <c r="S22" s="342">
        <f t="shared" si="1"/>
        <v>1</v>
      </c>
      <c r="T22" s="342">
        <f t="shared" si="2"/>
        <v>0</v>
      </c>
      <c r="U22" s="342">
        <f t="shared" si="3"/>
        <v>0</v>
      </c>
      <c r="V22" s="342">
        <f>IF(S22="","",IF(T22=1,VLOOKUP(M22,'elipse #s'!$A$4:$C$38,2,FALSE),VLOOKUP(M22,'elipse #s'!$A$4:$C$38,3,FALSE)))</f>
        <v>0.28322118344895308</v>
      </c>
      <c r="W22" s="342">
        <f>IF(S22="","",IF(S22=0,"",VLOOKUP(N22,'elipse #s'!$A$4:$C$38,2,FALSE)))</f>
        <v>0.22906371930098404</v>
      </c>
      <c r="X22" s="342">
        <f t="shared" si="4"/>
        <v>5.4157464147969042E-2</v>
      </c>
      <c r="Y22" s="342">
        <f t="shared" si="5"/>
        <v>4.0103833314834629</v>
      </c>
      <c r="Z22" s="342">
        <f t="shared" si="6"/>
        <v>-1.5982845666415011</v>
      </c>
    </row>
    <row r="23" spans="1:26">
      <c r="A23" s="342"/>
      <c r="B23" s="353"/>
      <c r="C23" s="353"/>
      <c r="D23" s="347"/>
      <c r="E23" s="347">
        <f t="shared" si="0"/>
        <v>-3.9297499999999999E-2</v>
      </c>
      <c r="F23" s="419">
        <v>4.2110000000000003</v>
      </c>
      <c r="G23" s="341" t="s">
        <v>10</v>
      </c>
      <c r="H23" s="341" t="s">
        <v>10</v>
      </c>
      <c r="I23" s="341"/>
      <c r="J23" s="341"/>
      <c r="K23" s="341"/>
      <c r="L23" s="341"/>
      <c r="M23" s="341"/>
      <c r="N23" s="341"/>
      <c r="O23" s="341">
        <v>-157.19</v>
      </c>
      <c r="P23" s="341">
        <v>-21.19</v>
      </c>
      <c r="Q23" s="341">
        <v>0</v>
      </c>
      <c r="R23" s="341">
        <v>-136</v>
      </c>
      <c r="S23" s="342" t="str">
        <f t="shared" si="1"/>
        <v/>
      </c>
      <c r="T23" s="342" t="str">
        <f t="shared" si="2"/>
        <v/>
      </c>
      <c r="U23" s="342" t="str">
        <f t="shared" si="3"/>
        <v/>
      </c>
      <c r="V23" s="342" t="str">
        <f>IF(S23="","",IF(T23=1,VLOOKUP(M23,'elipse #s'!$A$4:$C$38,2,FALSE),VLOOKUP(M23,'elipse #s'!$A$4:$C$38,3,FALSE)))</f>
        <v/>
      </c>
      <c r="W23" s="342" t="str">
        <f>IF(S23="","",IF(S23=0,"",VLOOKUP(N23,'elipse #s'!$A$4:$C$38,2,FALSE)))</f>
        <v/>
      </c>
      <c r="X23" s="342" t="str">
        <f t="shared" si="4"/>
        <v/>
      </c>
      <c r="Y23" s="342">
        <f t="shared" si="5"/>
        <v>0</v>
      </c>
      <c r="Z23" s="342">
        <f t="shared" si="6"/>
        <v>0</v>
      </c>
    </row>
    <row r="24" spans="1:26">
      <c r="B24" s="353"/>
      <c r="C24" s="353"/>
      <c r="D24" s="347"/>
      <c r="E24" s="347" t="str">
        <f t="shared" si="0"/>
        <v/>
      </c>
      <c r="F24" s="419"/>
      <c r="G24" s="341" t="s">
        <v>98</v>
      </c>
      <c r="H24" s="341"/>
      <c r="I24" s="341">
        <v>0</v>
      </c>
      <c r="J24" s="341">
        <v>2.2629000000000001</v>
      </c>
      <c r="K24" s="341">
        <v>-0.15840000000000001</v>
      </c>
      <c r="L24" s="341">
        <v>10</v>
      </c>
      <c r="M24" s="341">
        <v>15</v>
      </c>
      <c r="N24" s="341">
        <v>20</v>
      </c>
      <c r="O24" s="341"/>
      <c r="P24" s="341"/>
      <c r="Q24" s="341"/>
      <c r="R24" s="341"/>
      <c r="S24" s="342">
        <f t="shared" si="1"/>
        <v>1</v>
      </c>
      <c r="T24" s="342">
        <f t="shared" si="2"/>
        <v>1</v>
      </c>
      <c r="U24" s="342">
        <f t="shared" si="3"/>
        <v>0</v>
      </c>
      <c r="V24" s="342">
        <f>IF(S24="","",IF(T24=1,VLOOKUP(M24,'elipse #s'!$A$4:$C$38,2,FALSE),VLOOKUP(M24,'elipse #s'!$A$4:$C$38,3,FALSE)))</f>
        <v>0.25548738105345858</v>
      </c>
      <c r="W24" s="342">
        <f>IF(S24="","",IF(S24=0,"",VLOOKUP(N24,'elipse #s'!$A$4:$C$38,2,FALSE)))</f>
        <v>0.24854869819787279</v>
      </c>
      <c r="X24" s="342">
        <f t="shared" si="4"/>
        <v>6.9386828555857982E-3</v>
      </c>
      <c r="Y24" s="342">
        <f t="shared" si="5"/>
        <v>2.2616951103667189</v>
      </c>
      <c r="Z24" s="342">
        <f t="shared" si="6"/>
        <v>-0.20086423132812625</v>
      </c>
    </row>
    <row r="25" spans="1:26">
      <c r="B25" s="353"/>
      <c r="C25" s="353"/>
      <c r="D25" s="347"/>
      <c r="E25" s="347">
        <f t="shared" si="0"/>
        <v>-2.077E-2</v>
      </c>
      <c r="F25" s="419">
        <v>4.2160000000000002</v>
      </c>
      <c r="G25" s="341" t="s">
        <v>11</v>
      </c>
      <c r="H25" s="341" t="s">
        <v>10</v>
      </c>
      <c r="I25" s="341"/>
      <c r="J25" s="341"/>
      <c r="K25" s="341"/>
      <c r="L25" s="341"/>
      <c r="M25" s="341"/>
      <c r="N25" s="341"/>
      <c r="O25" s="341">
        <v>-83.08</v>
      </c>
      <c r="P25" s="341">
        <v>-17.489999999999998</v>
      </c>
      <c r="Q25" s="341">
        <v>-1.41</v>
      </c>
      <c r="R25" s="341">
        <v>-67</v>
      </c>
      <c r="S25" s="342" t="str">
        <f t="shared" si="1"/>
        <v/>
      </c>
      <c r="T25" s="342" t="str">
        <f t="shared" si="2"/>
        <v/>
      </c>
      <c r="U25" s="342" t="str">
        <f t="shared" si="3"/>
        <v/>
      </c>
      <c r="V25" s="342" t="str">
        <f>IF(S25="","",IF(T25=1,VLOOKUP(M25,'elipse #s'!$A$4:$C$38,2,FALSE),VLOOKUP(M25,'elipse #s'!$A$4:$C$38,3,FALSE)))</f>
        <v/>
      </c>
      <c r="W25" s="342" t="str">
        <f>IF(S25="","",IF(S25=0,"",VLOOKUP(N25,'elipse #s'!$A$4:$C$38,2,FALSE)))</f>
        <v/>
      </c>
      <c r="X25" s="342" t="str">
        <f t="shared" si="4"/>
        <v/>
      </c>
      <c r="Y25" s="342">
        <f t="shared" si="5"/>
        <v>0</v>
      </c>
      <c r="Z25" s="342">
        <f t="shared" si="6"/>
        <v>0</v>
      </c>
    </row>
    <row r="26" spans="1:26">
      <c r="B26" s="353"/>
      <c r="C26" s="353"/>
      <c r="D26" s="347"/>
      <c r="E26" s="347" t="str">
        <f t="shared" si="0"/>
        <v/>
      </c>
      <c r="F26" s="419"/>
      <c r="G26" s="341" t="s">
        <v>98</v>
      </c>
      <c r="H26" s="341"/>
      <c r="I26" s="341">
        <v>0</v>
      </c>
      <c r="J26" s="341">
        <v>3.1343999999999999</v>
      </c>
      <c r="K26" s="341">
        <v>-0.19939999999999999</v>
      </c>
      <c r="L26" s="341">
        <v>-14.6</v>
      </c>
      <c r="M26" s="341">
        <v>15</v>
      </c>
      <c r="N26" s="341">
        <v>20</v>
      </c>
      <c r="O26" s="341"/>
      <c r="P26" s="341"/>
      <c r="Q26" s="341"/>
      <c r="R26" s="341"/>
      <c r="S26" s="342">
        <f t="shared" si="1"/>
        <v>1</v>
      </c>
      <c r="T26" s="342">
        <f t="shared" si="2"/>
        <v>0</v>
      </c>
      <c r="U26" s="342">
        <f t="shared" si="3"/>
        <v>0</v>
      </c>
      <c r="V26" s="342">
        <f>IF(S26="","",IF(T26=1,VLOOKUP(M26,'elipse #s'!$A$4:$C$38,2,FALSE),VLOOKUP(M26,'elipse #s'!$A$4:$C$38,3,FALSE)))</f>
        <v>0.30185182071533384</v>
      </c>
      <c r="W26" s="342">
        <f>IF(S26="","",IF(S26=0,"",VLOOKUP(N26,'elipse #s'!$A$4:$C$38,2,FALSE)))</f>
        <v>0.24854869819787279</v>
      </c>
      <c r="X26" s="342">
        <f t="shared" si="4"/>
        <v>5.3303122517461055E-2</v>
      </c>
      <c r="Y26" s="342">
        <f t="shared" si="5"/>
        <v>3.1478360838853305</v>
      </c>
      <c r="Z26" s="342">
        <f t="shared" si="6"/>
        <v>-0.1785880795245289</v>
      </c>
    </row>
    <row r="27" spans="1:26">
      <c r="B27" s="353"/>
      <c r="C27" s="353"/>
      <c r="D27" s="347"/>
      <c r="E27" s="347">
        <f t="shared" si="0"/>
        <v>-2.0094999999999998E-2</v>
      </c>
      <c r="F27" s="419">
        <v>4.2210000000000001</v>
      </c>
      <c r="G27" s="341" t="s">
        <v>11</v>
      </c>
      <c r="H27" s="341" t="s">
        <v>10</v>
      </c>
      <c r="I27" s="341"/>
      <c r="J27" s="341"/>
      <c r="K27" s="341"/>
      <c r="L27" s="341"/>
      <c r="M27" s="341"/>
      <c r="N27" s="341"/>
      <c r="O27" s="341">
        <v>-80.38</v>
      </c>
      <c r="P27" s="341">
        <v>-15.86</v>
      </c>
      <c r="Q27" s="341">
        <v>-2.48</v>
      </c>
      <c r="R27" s="341">
        <v>-67</v>
      </c>
      <c r="S27" s="342" t="str">
        <f t="shared" si="1"/>
        <v/>
      </c>
      <c r="T27" s="342" t="str">
        <f t="shared" si="2"/>
        <v/>
      </c>
      <c r="U27" s="342" t="str">
        <f t="shared" si="3"/>
        <v/>
      </c>
      <c r="V27" s="342" t="str">
        <f>IF(S27="","",IF(T27=1,VLOOKUP(M27,'elipse #s'!$A$4:$C$38,2,FALSE),VLOOKUP(M27,'elipse #s'!$A$4:$C$38,3,FALSE)))</f>
        <v/>
      </c>
      <c r="W27" s="342" t="str">
        <f>IF(S27="","",IF(S27=0,"",VLOOKUP(N27,'elipse #s'!$A$4:$C$38,2,FALSE)))</f>
        <v/>
      </c>
      <c r="X27" s="342" t="str">
        <f t="shared" si="4"/>
        <v/>
      </c>
      <c r="Y27" s="342">
        <f t="shared" si="5"/>
        <v>0</v>
      </c>
      <c r="Z27" s="342">
        <f t="shared" si="6"/>
        <v>0</v>
      </c>
    </row>
    <row r="28" spans="1:26">
      <c r="B28" s="353"/>
      <c r="C28" s="353"/>
      <c r="D28" s="347"/>
      <c r="E28" s="347" t="str">
        <f t="shared" si="0"/>
        <v/>
      </c>
      <c r="F28" s="419"/>
      <c r="G28" s="341" t="s">
        <v>98</v>
      </c>
      <c r="H28" s="341"/>
      <c r="I28" s="341">
        <v>0</v>
      </c>
      <c r="J28" s="341">
        <v>3.7547999999999999</v>
      </c>
      <c r="K28" s="341">
        <v>-0.69010000000000005</v>
      </c>
      <c r="L28" s="341">
        <v>-38.700000000000003</v>
      </c>
      <c r="M28" s="341">
        <v>17.5</v>
      </c>
      <c r="N28" s="341">
        <v>22.5</v>
      </c>
      <c r="O28" s="341"/>
      <c r="P28" s="341"/>
      <c r="Q28" s="341"/>
      <c r="R28" s="341"/>
      <c r="S28" s="342">
        <f t="shared" si="1"/>
        <v>1</v>
      </c>
      <c r="T28" s="342">
        <f t="shared" si="2"/>
        <v>0</v>
      </c>
      <c r="U28" s="342">
        <f t="shared" si="3"/>
        <v>0</v>
      </c>
      <c r="V28" s="342">
        <f>IF(S28="","",IF(T28=1,VLOOKUP(M28,'elipse #s'!$A$4:$C$38,2,FALSE),VLOOKUP(M28,'elipse #s'!$A$4:$C$38,3,FALSE)))</f>
        <v>0.29803654710882094</v>
      </c>
      <c r="W28" s="342">
        <f>IF(S28="","",IF(S28=0,"",VLOOKUP(N28,'elipse #s'!$A$4:$C$38,2,FALSE)))</f>
        <v>0.24436613634923535</v>
      </c>
      <c r="X28" s="342">
        <f t="shared" si="4"/>
        <v>5.3670410759585591E-2</v>
      </c>
      <c r="Y28" s="342">
        <f t="shared" si="5"/>
        <v>3.7883570301899514</v>
      </c>
      <c r="Z28" s="342">
        <f t="shared" si="6"/>
        <v>-0.67830897946888113</v>
      </c>
    </row>
    <row r="29" spans="1:26">
      <c r="B29" s="353"/>
      <c r="C29" s="353"/>
      <c r="D29" s="347"/>
      <c r="E29" s="347">
        <f t="shared" si="0"/>
        <v>-1.9924999999999998E-2</v>
      </c>
      <c r="F29" s="419">
        <v>4.226</v>
      </c>
      <c r="G29" s="341" t="s">
        <v>11</v>
      </c>
      <c r="H29" s="341" t="s">
        <v>10</v>
      </c>
      <c r="I29" s="341"/>
      <c r="J29" s="341"/>
      <c r="K29" s="341"/>
      <c r="L29" s="341"/>
      <c r="M29" s="341"/>
      <c r="N29" s="341"/>
      <c r="O29" s="341">
        <v>-79.7</v>
      </c>
      <c r="P29" s="341">
        <v>-15.55</v>
      </c>
      <c r="Q29" s="341">
        <v>-2.85</v>
      </c>
      <c r="R29" s="341">
        <v>-67</v>
      </c>
      <c r="S29" s="342" t="str">
        <f t="shared" si="1"/>
        <v/>
      </c>
      <c r="T29" s="342" t="str">
        <f t="shared" si="2"/>
        <v/>
      </c>
      <c r="U29" s="342" t="str">
        <f t="shared" si="3"/>
        <v/>
      </c>
      <c r="V29" s="342" t="str">
        <f>IF(S29="","",IF(T29=1,VLOOKUP(M29,'elipse #s'!$A$4:$C$38,2,FALSE),VLOOKUP(M29,'elipse #s'!$A$4:$C$38,3,FALSE)))</f>
        <v/>
      </c>
      <c r="W29" s="342" t="str">
        <f>IF(S29="","",IF(S29=0,"",VLOOKUP(N29,'elipse #s'!$A$4:$C$38,2,FALSE)))</f>
        <v/>
      </c>
      <c r="X29" s="342" t="str">
        <f t="shared" si="4"/>
        <v/>
      </c>
      <c r="Y29" s="342">
        <f t="shared" si="5"/>
        <v>0</v>
      </c>
      <c r="Z29" s="342">
        <f t="shared" si="6"/>
        <v>0</v>
      </c>
    </row>
    <row r="30" spans="1:26">
      <c r="B30" s="353"/>
      <c r="C30" s="353"/>
      <c r="D30" s="347"/>
      <c r="E30" s="347" t="str">
        <f t="shared" si="0"/>
        <v/>
      </c>
      <c r="F30" s="419"/>
      <c r="G30" s="341" t="s">
        <v>98</v>
      </c>
      <c r="H30" s="341"/>
      <c r="I30" s="341">
        <v>0</v>
      </c>
      <c r="J30" s="341">
        <v>3.9554</v>
      </c>
      <c r="K30" s="341">
        <v>-1.4336</v>
      </c>
      <c r="L30" s="341">
        <v>-62.9</v>
      </c>
      <c r="M30" s="341">
        <v>22.5</v>
      </c>
      <c r="N30" s="341">
        <v>27.5</v>
      </c>
      <c r="O30" s="341"/>
      <c r="P30" s="341"/>
      <c r="Q30" s="341"/>
      <c r="R30" s="341"/>
      <c r="S30" s="342">
        <f t="shared" si="1"/>
        <v>1</v>
      </c>
      <c r="T30" s="342">
        <f t="shared" si="2"/>
        <v>0</v>
      </c>
      <c r="U30" s="342">
        <f t="shared" si="3"/>
        <v>0</v>
      </c>
      <c r="V30" s="342">
        <f>IF(S30="","",IF(T30=1,VLOOKUP(M30,'elipse #s'!$A$4:$C$38,2,FALSE),VLOOKUP(M30,'elipse #s'!$A$4:$C$38,3,FALSE)))</f>
        <v>0.28871235390977712</v>
      </c>
      <c r="W30" s="342">
        <f>IF(S30="","",IF(S30=0,"",VLOOKUP(N30,'elipse #s'!$A$4:$C$38,2,FALSE)))</f>
        <v>0.23461436537563965</v>
      </c>
      <c r="X30" s="342">
        <f t="shared" si="4"/>
        <v>5.409798853413747E-2</v>
      </c>
      <c r="Y30" s="342">
        <f t="shared" si="5"/>
        <v>4.0035587220967948</v>
      </c>
      <c r="Z30" s="342">
        <f t="shared" si="6"/>
        <v>-1.4388809368316966</v>
      </c>
    </row>
    <row r="31" spans="1:26">
      <c r="B31" s="353"/>
      <c r="C31" s="353"/>
      <c r="D31" s="347"/>
      <c r="E31" s="347">
        <f t="shared" si="0"/>
        <v>-2.1485000000000001E-2</v>
      </c>
      <c r="F31" s="419">
        <v>5.2149999999999999</v>
      </c>
      <c r="G31" s="341" t="s">
        <v>11</v>
      </c>
      <c r="H31" s="341" t="s">
        <v>10</v>
      </c>
      <c r="I31" s="341"/>
      <c r="J31" s="341"/>
      <c r="K31" s="341"/>
      <c r="L31" s="341"/>
      <c r="M31" s="341"/>
      <c r="N31" s="341"/>
      <c r="O31" s="341">
        <v>-85.94</v>
      </c>
      <c r="P31" s="341">
        <v>-18.11</v>
      </c>
      <c r="Q31" s="341">
        <v>-1.17</v>
      </c>
      <c r="R31" s="341">
        <v>-69</v>
      </c>
      <c r="S31" s="342" t="str">
        <f t="shared" si="1"/>
        <v/>
      </c>
      <c r="T31" s="342" t="str">
        <f t="shared" si="2"/>
        <v/>
      </c>
      <c r="U31" s="342" t="str">
        <f t="shared" si="3"/>
        <v/>
      </c>
      <c r="V31" s="342" t="str">
        <f>IF(S31="","",IF(T31=1,VLOOKUP(M31,'elipse #s'!$A$4:$C$38,2,FALSE),VLOOKUP(M31,'elipse #s'!$A$4:$C$38,3,FALSE)))</f>
        <v/>
      </c>
      <c r="W31" s="342" t="str">
        <f>IF(S31="","",IF(S31=0,"",VLOOKUP(N31,'elipse #s'!$A$4:$C$38,2,FALSE)))</f>
        <v/>
      </c>
      <c r="X31" s="342" t="str">
        <f t="shared" si="4"/>
        <v/>
      </c>
      <c r="Y31" s="342">
        <f t="shared" si="5"/>
        <v>0</v>
      </c>
      <c r="Z31" s="342">
        <f t="shared" si="6"/>
        <v>0</v>
      </c>
    </row>
    <row r="32" spans="1:26">
      <c r="B32" s="353"/>
      <c r="C32" s="353"/>
      <c r="D32" s="347"/>
      <c r="E32" s="347" t="str">
        <f t="shared" si="0"/>
        <v/>
      </c>
      <c r="F32" s="419"/>
      <c r="G32" s="341" t="s">
        <v>98</v>
      </c>
      <c r="H32" s="341"/>
      <c r="I32" s="341">
        <v>0</v>
      </c>
      <c r="J32" s="341">
        <v>2.9784000000000002</v>
      </c>
      <c r="K32" s="341">
        <v>-0.1547</v>
      </c>
      <c r="L32" s="341">
        <v>-9.6999999999999993</v>
      </c>
      <c r="M32" s="341">
        <v>15</v>
      </c>
      <c r="N32" s="341">
        <v>20</v>
      </c>
      <c r="O32" s="341"/>
      <c r="P32" s="341"/>
      <c r="Q32" s="341"/>
      <c r="R32" s="341"/>
      <c r="S32" s="342">
        <f t="shared" si="1"/>
        <v>1</v>
      </c>
      <c r="T32" s="342">
        <f t="shared" si="2"/>
        <v>0</v>
      </c>
      <c r="U32" s="342">
        <f t="shared" si="3"/>
        <v>0</v>
      </c>
      <c r="V32" s="342">
        <f>IF(S32="","",IF(T32=1,VLOOKUP(M32,'elipse #s'!$A$4:$C$38,2,FALSE),VLOOKUP(M32,'elipse #s'!$A$4:$C$38,3,FALSE)))</f>
        <v>0.30185182071533384</v>
      </c>
      <c r="W32" s="342">
        <f>IF(S32="","",IF(S32=0,"",VLOOKUP(N32,'elipse #s'!$A$4:$C$38,2,FALSE)))</f>
        <v>0.24854869819787279</v>
      </c>
      <c r="X32" s="342">
        <f t="shared" si="4"/>
        <v>5.3303122517461055E-2</v>
      </c>
      <c r="Y32" s="342">
        <f t="shared" si="5"/>
        <v>2.9873810100418443</v>
      </c>
      <c r="Z32" s="342">
        <f t="shared" si="6"/>
        <v>-0.13364392722127044</v>
      </c>
    </row>
    <row r="33" spans="2:26">
      <c r="B33" s="353"/>
      <c r="C33" s="353"/>
      <c r="D33" s="347"/>
      <c r="E33" s="347">
        <f t="shared" si="0"/>
        <v>-2.0682499999999999E-2</v>
      </c>
      <c r="F33" s="419">
        <v>5.22</v>
      </c>
      <c r="G33" s="341" t="s">
        <v>11</v>
      </c>
      <c r="H33" s="341" t="s">
        <v>10</v>
      </c>
      <c r="I33" s="341"/>
      <c r="J33" s="341"/>
      <c r="K33" s="341"/>
      <c r="L33" s="341"/>
      <c r="M33" s="341"/>
      <c r="N33" s="341"/>
      <c r="O33" s="341">
        <v>-82.72999999999999</v>
      </c>
      <c r="P33" s="341">
        <v>-16.04</v>
      </c>
      <c r="Q33" s="341">
        <v>-2.31</v>
      </c>
      <c r="R33" s="341">
        <v>-69</v>
      </c>
      <c r="S33" s="342" t="str">
        <f t="shared" si="1"/>
        <v/>
      </c>
      <c r="T33" s="342" t="str">
        <f t="shared" si="2"/>
        <v/>
      </c>
      <c r="U33" s="342" t="str">
        <f t="shared" si="3"/>
        <v/>
      </c>
      <c r="V33" s="342" t="str">
        <f>IF(S33="","",IF(T33=1,VLOOKUP(M33,'elipse #s'!$A$4:$C$38,2,FALSE),VLOOKUP(M33,'elipse #s'!$A$4:$C$38,3,FALSE)))</f>
        <v/>
      </c>
      <c r="W33" s="342" t="str">
        <f>IF(S33="","",IF(S33=0,"",VLOOKUP(N33,'elipse #s'!$A$4:$C$38,2,FALSE)))</f>
        <v/>
      </c>
      <c r="X33" s="342" t="str">
        <f t="shared" si="4"/>
        <v/>
      </c>
      <c r="Y33" s="342">
        <f t="shared" si="5"/>
        <v>0</v>
      </c>
      <c r="Z33" s="342">
        <f t="shared" si="6"/>
        <v>0</v>
      </c>
    </row>
    <row r="34" spans="2:26">
      <c r="B34" s="353"/>
      <c r="C34" s="353"/>
      <c r="D34" s="347"/>
      <c r="E34" s="347" t="str">
        <f t="shared" si="0"/>
        <v/>
      </c>
      <c r="F34" s="419"/>
      <c r="G34" s="341" t="s">
        <v>98</v>
      </c>
      <c r="H34" s="341"/>
      <c r="I34" s="341">
        <v>0</v>
      </c>
      <c r="J34" s="341">
        <v>3.6606999999999998</v>
      </c>
      <c r="K34" s="341">
        <v>-0.56200000000000006</v>
      </c>
      <c r="L34" s="341">
        <v>-33.9</v>
      </c>
      <c r="M34" s="341">
        <v>17.5</v>
      </c>
      <c r="N34" s="341">
        <v>22.5</v>
      </c>
      <c r="O34" s="341"/>
      <c r="P34" s="341"/>
      <c r="Q34" s="341"/>
      <c r="R34" s="341"/>
      <c r="S34" s="342">
        <f t="shared" ref="S34:S47" si="7">IF(G33="","",IF(OR(LEFT(TRIM(H33),2)="16",LEFT(TRIM(H33),2)="13"),1,0))</f>
        <v>1</v>
      </c>
      <c r="T34" s="342">
        <f t="shared" ref="T34:T47" si="8">IF(S34="","",IF(LEFT(TRIM(G33),2)="13",1,0))</f>
        <v>0</v>
      </c>
      <c r="U34" s="342">
        <f t="shared" ref="U34:U47" si="9">IF(S34="","",IF(LEFT(TRIM(H33),3)="1/2",1,0))</f>
        <v>0</v>
      </c>
      <c r="V34" s="342">
        <f>IF(S34="","",IF(T34=1,VLOOKUP(M34,'elipse #s'!$A$4:$C$38,2,FALSE),VLOOKUP(M34,'elipse #s'!$A$4:$C$38,3,FALSE)))</f>
        <v>0.29803654710882094</v>
      </c>
      <c r="W34" s="342">
        <f>IF(S34="","",IF(S34=0,"",VLOOKUP(N34,'elipse #s'!$A$4:$C$38,2,FALSE)))</f>
        <v>0.24436613634923535</v>
      </c>
      <c r="X34" s="342">
        <f t="shared" ref="X34:X47" si="10">IF(S34="","",IF(AND(S34=0,U34=1),K34+V34+E33-$B$6,IF(AND(S34=0,U34=0),K34+V34+E33-$C$6,V34-W34)))</f>
        <v>5.3670410759585591E-2</v>
      </c>
      <c r="Y34" s="342">
        <f t="shared" ref="Y34:Y47" si="11">IF(S34="",0,IF(S34=0,IF(U34=1,MIN(J34,$Y$1),MIN(J34,$Z$1)),X34*SIN(RADIANS(-L34))+J34))</f>
        <v>3.6906344090980898</v>
      </c>
      <c r="Z34" s="342">
        <f t="shared" ref="Z34:Z47" si="12">IF(S34="",0,IF(S34=0,X34-$AB$1,X34*COS(RADIANS(-L34))+K34-$AB$1+E33))</f>
        <v>-0.54813539972342951</v>
      </c>
    </row>
    <row r="35" spans="2:26">
      <c r="B35" s="353"/>
      <c r="C35" s="353"/>
      <c r="D35" s="347"/>
      <c r="E35" s="347">
        <f t="shared" si="0"/>
        <v>-2.0427500000000001E-2</v>
      </c>
      <c r="F35" s="419">
        <v>5.2249999999999996</v>
      </c>
      <c r="G35" s="341" t="s">
        <v>11</v>
      </c>
      <c r="H35" s="341" t="s">
        <v>10</v>
      </c>
      <c r="I35" s="341"/>
      <c r="J35" s="341"/>
      <c r="K35" s="341"/>
      <c r="L35" s="341"/>
      <c r="M35" s="341"/>
      <c r="N35" s="341"/>
      <c r="O35" s="341">
        <v>-81.710000000000008</v>
      </c>
      <c r="P35" s="341">
        <v>-15.56</v>
      </c>
      <c r="Q35" s="341">
        <v>-2.85</v>
      </c>
      <c r="R35" s="341">
        <v>-69</v>
      </c>
      <c r="S35" s="342" t="str">
        <f t="shared" si="7"/>
        <v/>
      </c>
      <c r="T35" s="342" t="str">
        <f t="shared" si="8"/>
        <v/>
      </c>
      <c r="U35" s="342" t="str">
        <f t="shared" si="9"/>
        <v/>
      </c>
      <c r="V35" s="342" t="str">
        <f>IF(S35="","",IF(T35=1,VLOOKUP(M35,'elipse #s'!$A$4:$C$38,2,FALSE),VLOOKUP(M35,'elipse #s'!$A$4:$C$38,3,FALSE)))</f>
        <v/>
      </c>
      <c r="W35" s="342" t="str">
        <f>IF(S35="","",IF(S35=0,"",VLOOKUP(N35,'elipse #s'!$A$4:$C$38,2,FALSE)))</f>
        <v/>
      </c>
      <c r="X35" s="342" t="str">
        <f t="shared" si="10"/>
        <v/>
      </c>
      <c r="Y35" s="342">
        <f t="shared" si="11"/>
        <v>0</v>
      </c>
      <c r="Z35" s="342">
        <f t="shared" si="12"/>
        <v>0</v>
      </c>
    </row>
    <row r="36" spans="2:26">
      <c r="B36" s="353"/>
      <c r="C36" s="353"/>
      <c r="D36" s="347"/>
      <c r="E36" s="347" t="str">
        <f t="shared" si="0"/>
        <v/>
      </c>
      <c r="F36" s="419"/>
      <c r="G36" s="341" t="s">
        <v>98</v>
      </c>
      <c r="H36" s="341"/>
      <c r="I36" s="341">
        <v>0</v>
      </c>
      <c r="J36" s="341">
        <v>3.9537</v>
      </c>
      <c r="K36" s="341">
        <v>-1.2826</v>
      </c>
      <c r="L36" s="341">
        <v>-58.1</v>
      </c>
      <c r="M36" s="341">
        <v>22.5</v>
      </c>
      <c r="N36" s="341">
        <v>27.5</v>
      </c>
      <c r="O36" s="341"/>
      <c r="P36" s="341"/>
      <c r="Q36" s="341"/>
      <c r="R36" s="341"/>
      <c r="S36" s="342">
        <f t="shared" si="7"/>
        <v>1</v>
      </c>
      <c r="T36" s="342">
        <f t="shared" si="8"/>
        <v>0</v>
      </c>
      <c r="U36" s="342">
        <f t="shared" si="9"/>
        <v>0</v>
      </c>
      <c r="V36" s="342">
        <f>IF(S36="","",IF(T36=1,VLOOKUP(M36,'elipse #s'!$A$4:$C$38,2,FALSE),VLOOKUP(M36,'elipse #s'!$A$4:$C$38,3,FALSE)))</f>
        <v>0.28871235390977712</v>
      </c>
      <c r="W36" s="342">
        <f>IF(S36="","",IF(S36=0,"",VLOOKUP(N36,'elipse #s'!$A$4:$C$38,2,FALSE)))</f>
        <v>0.23461436537563965</v>
      </c>
      <c r="X36" s="342">
        <f t="shared" si="10"/>
        <v>5.409798853413747E-2</v>
      </c>
      <c r="Y36" s="342">
        <f t="shared" si="11"/>
        <v>3.9996276606231684</v>
      </c>
      <c r="Z36" s="342">
        <f t="shared" si="12"/>
        <v>-1.2844400490271919</v>
      </c>
    </row>
    <row r="37" spans="2:26">
      <c r="B37" s="353"/>
      <c r="C37" s="353"/>
      <c r="D37" s="347"/>
      <c r="E37" s="347">
        <f t="shared" si="0"/>
        <v>-6.8499999999999991E-2</v>
      </c>
      <c r="F37" s="419">
        <v>3.3029999999999999</v>
      </c>
      <c r="G37" s="341" t="s">
        <v>17</v>
      </c>
      <c r="H37" s="341" t="s">
        <v>84</v>
      </c>
      <c r="I37" s="341"/>
      <c r="J37" s="341"/>
      <c r="K37" s="341"/>
      <c r="L37" s="341"/>
      <c r="M37" s="341"/>
      <c r="N37" s="341"/>
      <c r="O37" s="341">
        <v>-274</v>
      </c>
      <c r="P37" s="341">
        <v>-52</v>
      </c>
      <c r="Q37" s="341">
        <v>0</v>
      </c>
      <c r="R37" s="341">
        <v>-222</v>
      </c>
      <c r="S37" s="342" t="str">
        <f t="shared" si="7"/>
        <v/>
      </c>
      <c r="T37" s="342" t="str">
        <f t="shared" si="8"/>
        <v/>
      </c>
      <c r="U37" s="342" t="str">
        <f t="shared" si="9"/>
        <v/>
      </c>
      <c r="V37" s="342" t="str">
        <f>IF(S37="","",IF(T37=1,VLOOKUP(M37,'elipse #s'!$A$4:$C$38,2,FALSE),VLOOKUP(M37,'elipse #s'!$A$4:$C$38,3,FALSE)))</f>
        <v/>
      </c>
      <c r="W37" s="342" t="str">
        <f>IF(S37="","",IF(S37=0,"",VLOOKUP(N37,'elipse #s'!$A$4:$C$38,2,FALSE)))</f>
        <v/>
      </c>
      <c r="X37" s="342" t="str">
        <f t="shared" si="10"/>
        <v/>
      </c>
      <c r="Y37" s="342">
        <f t="shared" si="11"/>
        <v>0</v>
      </c>
      <c r="Z37" s="342">
        <f t="shared" si="12"/>
        <v>0</v>
      </c>
    </row>
    <row r="38" spans="2:26">
      <c r="B38" s="353"/>
      <c r="C38" s="353"/>
      <c r="D38" s="347"/>
      <c r="E38" s="347" t="str">
        <f t="shared" si="0"/>
        <v/>
      </c>
      <c r="F38" s="419"/>
      <c r="G38" s="341" t="s">
        <v>98</v>
      </c>
      <c r="H38" s="341"/>
      <c r="I38" s="341">
        <v>0</v>
      </c>
      <c r="J38" s="341">
        <v>0.69259999999999999</v>
      </c>
      <c r="K38" s="341">
        <v>-0.57199999999999995</v>
      </c>
      <c r="L38" s="341">
        <v>15</v>
      </c>
      <c r="M38" s="341">
        <v>20</v>
      </c>
      <c r="N38" s="341" t="s">
        <v>98</v>
      </c>
      <c r="O38" s="341"/>
      <c r="P38" s="341"/>
      <c r="Q38" s="341"/>
      <c r="R38" s="341"/>
      <c r="S38" s="342">
        <f t="shared" si="7"/>
        <v>0</v>
      </c>
      <c r="T38" s="342">
        <f t="shared" si="8"/>
        <v>1</v>
      </c>
      <c r="U38" s="342">
        <f t="shared" si="9"/>
        <v>0</v>
      </c>
      <c r="V38" s="342">
        <f>IF(S38="","",IF(T38=1,VLOOKUP(M38,'elipse #s'!$A$4:$C$38,2,FALSE),VLOOKUP(M38,'elipse #s'!$A$4:$C$38,3,FALSE)))</f>
        <v>0.24854869819787279</v>
      </c>
      <c r="W38" s="342" t="str">
        <f>IF(S38="","",IF(S38=0,"",VLOOKUP(N38,'elipse #s'!$A$4:$C$38,2,FALSE)))</f>
        <v/>
      </c>
      <c r="X38" s="342">
        <f t="shared" si="10"/>
        <v>-0.61005130180212719</v>
      </c>
      <c r="Y38" s="342">
        <f t="shared" si="11"/>
        <v>0.69259999999999999</v>
      </c>
      <c r="Z38" s="342">
        <f t="shared" si="12"/>
        <v>-0.6200513018021272</v>
      </c>
    </row>
    <row r="39" spans="2:26">
      <c r="B39" s="353"/>
      <c r="C39" s="353"/>
      <c r="D39" s="347"/>
      <c r="E39" s="347">
        <f t="shared" si="0"/>
        <v>-6.4250000000000002E-2</v>
      </c>
      <c r="F39" s="419">
        <v>3.306</v>
      </c>
      <c r="G39" s="341" t="s">
        <v>17</v>
      </c>
      <c r="H39" s="341" t="s">
        <v>84</v>
      </c>
      <c r="I39" s="341"/>
      <c r="J39" s="341"/>
      <c r="K39" s="341"/>
      <c r="L39" s="341"/>
      <c r="M39" s="341"/>
      <c r="N39" s="341"/>
      <c r="O39" s="341">
        <v>-257</v>
      </c>
      <c r="P39" s="341">
        <v>-35</v>
      </c>
      <c r="Q39" s="341">
        <v>0</v>
      </c>
      <c r="R39" s="341">
        <v>-222</v>
      </c>
      <c r="S39" s="342" t="str">
        <f t="shared" si="7"/>
        <v/>
      </c>
      <c r="T39" s="342" t="str">
        <f t="shared" si="8"/>
        <v/>
      </c>
      <c r="U39" s="342" t="str">
        <f t="shared" si="9"/>
        <v/>
      </c>
      <c r="V39" s="342" t="str">
        <f>IF(S39="","",IF(T39=1,VLOOKUP(M39,'elipse #s'!$A$4:$C$38,2,FALSE),VLOOKUP(M39,'elipse #s'!$A$4:$C$38,3,FALSE)))</f>
        <v/>
      </c>
      <c r="W39" s="342" t="str">
        <f>IF(S39="","",IF(S39=0,"",VLOOKUP(N39,'elipse #s'!$A$4:$C$38,2,FALSE)))</f>
        <v/>
      </c>
      <c r="X39" s="342" t="str">
        <f t="shared" si="10"/>
        <v/>
      </c>
      <c r="Y39" s="342">
        <f t="shared" si="11"/>
        <v>0</v>
      </c>
      <c r="Z39" s="342">
        <f t="shared" si="12"/>
        <v>0</v>
      </c>
    </row>
    <row r="40" spans="2:26">
      <c r="B40" s="353"/>
      <c r="C40" s="353"/>
      <c r="D40" s="347"/>
      <c r="E40" s="347" t="str">
        <f t="shared" si="0"/>
        <v/>
      </c>
      <c r="F40" s="419"/>
      <c r="G40" s="341" t="s">
        <v>98</v>
      </c>
      <c r="H40" s="341"/>
      <c r="I40" s="341">
        <v>0</v>
      </c>
      <c r="J40" s="341">
        <v>1.2825</v>
      </c>
      <c r="K40" s="341">
        <v>-0.42109999999999997</v>
      </c>
      <c r="L40" s="341">
        <v>15</v>
      </c>
      <c r="M40" s="341">
        <v>15</v>
      </c>
      <c r="N40" s="341" t="s">
        <v>98</v>
      </c>
      <c r="O40" s="341"/>
      <c r="P40" s="341"/>
      <c r="Q40" s="341"/>
      <c r="R40" s="341"/>
      <c r="S40" s="342">
        <f t="shared" si="7"/>
        <v>0</v>
      </c>
      <c r="T40" s="342">
        <f t="shared" si="8"/>
        <v>1</v>
      </c>
      <c r="U40" s="342">
        <f t="shared" si="9"/>
        <v>0</v>
      </c>
      <c r="V40" s="342">
        <f>IF(S40="","",IF(T40=1,VLOOKUP(M40,'elipse #s'!$A$4:$C$38,2,FALSE),VLOOKUP(M40,'elipse #s'!$A$4:$C$38,3,FALSE)))</f>
        <v>0.25548738105345858</v>
      </c>
      <c r="W40" s="342" t="str">
        <f>IF(S40="","",IF(S40=0,"",VLOOKUP(N40,'elipse #s'!$A$4:$C$38,2,FALSE)))</f>
        <v/>
      </c>
      <c r="X40" s="342">
        <f t="shared" si="10"/>
        <v>-0.44796261894654138</v>
      </c>
      <c r="Y40" s="342">
        <f t="shared" si="11"/>
        <v>1.2825</v>
      </c>
      <c r="Z40" s="342">
        <f t="shared" si="12"/>
        <v>-0.45796261894654139</v>
      </c>
    </row>
    <row r="41" spans="2:26">
      <c r="B41" s="353"/>
      <c r="C41" s="353"/>
      <c r="D41" s="347"/>
      <c r="E41" s="347">
        <f t="shared" si="0"/>
        <v>-7.775E-2</v>
      </c>
      <c r="F41" s="419">
        <v>4.3049999999999997</v>
      </c>
      <c r="G41" s="341" t="s">
        <v>17</v>
      </c>
      <c r="H41" s="341" t="s">
        <v>84</v>
      </c>
      <c r="I41" s="341"/>
      <c r="J41" s="341"/>
      <c r="K41" s="341"/>
      <c r="L41" s="341"/>
      <c r="M41" s="341"/>
      <c r="N41" s="341"/>
      <c r="O41" s="341">
        <v>-311</v>
      </c>
      <c r="P41" s="341">
        <v>-37</v>
      </c>
      <c r="Q41" s="341">
        <v>0</v>
      </c>
      <c r="R41" s="341">
        <v>-274</v>
      </c>
      <c r="S41" s="342" t="str">
        <f t="shared" si="7"/>
        <v/>
      </c>
      <c r="T41" s="342" t="str">
        <f t="shared" si="8"/>
        <v/>
      </c>
      <c r="U41" s="342" t="str">
        <f t="shared" si="9"/>
        <v/>
      </c>
      <c r="V41" s="342" t="str">
        <f>IF(S41="","",IF(T41=1,VLOOKUP(M41,'elipse #s'!$A$4:$C$38,2,FALSE),VLOOKUP(M41,'elipse #s'!$A$4:$C$38,3,FALSE)))</f>
        <v/>
      </c>
      <c r="W41" s="342" t="str">
        <f>IF(S41="","",IF(S41=0,"",VLOOKUP(N41,'elipse #s'!$A$4:$C$38,2,FALSE)))</f>
        <v/>
      </c>
      <c r="X41" s="342" t="str">
        <f t="shared" si="10"/>
        <v/>
      </c>
      <c r="Y41" s="342">
        <f t="shared" si="11"/>
        <v>0</v>
      </c>
      <c r="Z41" s="342">
        <f t="shared" si="12"/>
        <v>0</v>
      </c>
    </row>
    <row r="42" spans="2:26">
      <c r="B42" s="353"/>
      <c r="C42" s="353"/>
      <c r="D42" s="347"/>
      <c r="E42" s="347" t="str">
        <f t="shared" si="0"/>
        <v/>
      </c>
      <c r="F42" s="419"/>
      <c r="G42" s="341" t="s">
        <v>98</v>
      </c>
      <c r="H42" s="341"/>
      <c r="I42" s="341">
        <v>0</v>
      </c>
      <c r="J42" s="341">
        <v>1.0864</v>
      </c>
      <c r="K42" s="341">
        <v>-0.47360000000000002</v>
      </c>
      <c r="L42" s="341">
        <v>15</v>
      </c>
      <c r="M42" s="341">
        <v>15</v>
      </c>
      <c r="N42" s="341" t="s">
        <v>98</v>
      </c>
      <c r="O42" s="341"/>
      <c r="P42" s="341"/>
      <c r="Q42" s="341"/>
      <c r="R42" s="341"/>
      <c r="S42" s="342">
        <f t="shared" si="7"/>
        <v>0</v>
      </c>
      <c r="T42" s="342">
        <f t="shared" si="8"/>
        <v>1</v>
      </c>
      <c r="U42" s="342">
        <f t="shared" si="9"/>
        <v>0</v>
      </c>
      <c r="V42" s="342">
        <f>IF(S42="","",IF(T42=1,VLOOKUP(M42,'elipse #s'!$A$4:$C$38,2,FALSE),VLOOKUP(M42,'elipse #s'!$A$4:$C$38,3,FALSE)))</f>
        <v>0.25548738105345858</v>
      </c>
      <c r="W42" s="342" t="str">
        <f>IF(S42="","",IF(S42=0,"",VLOOKUP(N42,'elipse #s'!$A$4:$C$38,2,FALSE)))</f>
        <v/>
      </c>
      <c r="X42" s="342">
        <f t="shared" si="10"/>
        <v>-0.51396261894654138</v>
      </c>
      <c r="Y42" s="342">
        <f t="shared" si="11"/>
        <v>1.0864</v>
      </c>
      <c r="Z42" s="342">
        <f t="shared" si="12"/>
        <v>-0.52396261894654139</v>
      </c>
    </row>
    <row r="43" spans="2:26">
      <c r="B43" s="353"/>
      <c r="C43" s="353"/>
      <c r="D43" s="347"/>
      <c r="E43" s="347">
        <f t="shared" si="0"/>
        <v>-7.5249999999999997E-2</v>
      </c>
      <c r="F43" s="419">
        <v>4.3079999999999998</v>
      </c>
      <c r="G43" s="341" t="s">
        <v>17</v>
      </c>
      <c r="H43" s="341" t="s">
        <v>84</v>
      </c>
      <c r="I43" s="341"/>
      <c r="J43" s="341"/>
      <c r="K43" s="341"/>
      <c r="L43" s="341"/>
      <c r="M43" s="341"/>
      <c r="N43" s="341"/>
      <c r="O43" s="341">
        <v>-301</v>
      </c>
      <c r="P43" s="341">
        <v>-27</v>
      </c>
      <c r="Q43" s="341">
        <v>0</v>
      </c>
      <c r="R43" s="341">
        <v>-274</v>
      </c>
      <c r="S43" s="342" t="str">
        <f t="shared" si="7"/>
        <v/>
      </c>
      <c r="T43" s="342" t="str">
        <f t="shared" si="8"/>
        <v/>
      </c>
      <c r="U43" s="342" t="str">
        <f t="shared" si="9"/>
        <v/>
      </c>
      <c r="V43" s="342" t="str">
        <f>IF(S43="","",IF(T43=1,VLOOKUP(M43,'elipse #s'!$A$4:$C$38,2,FALSE),VLOOKUP(M43,'elipse #s'!$A$4:$C$38,3,FALSE)))</f>
        <v/>
      </c>
      <c r="W43" s="342" t="str">
        <f>IF(S43="","",IF(S43=0,"",VLOOKUP(N43,'elipse #s'!$A$4:$C$38,2,FALSE)))</f>
        <v/>
      </c>
      <c r="X43" s="342" t="str">
        <f t="shared" si="10"/>
        <v/>
      </c>
      <c r="Y43" s="342">
        <f t="shared" si="11"/>
        <v>0</v>
      </c>
      <c r="Z43" s="342">
        <f t="shared" si="12"/>
        <v>0</v>
      </c>
    </row>
    <row r="44" spans="2:26">
      <c r="B44" s="353"/>
      <c r="C44" s="353"/>
      <c r="D44" s="347"/>
      <c r="E44" s="347" t="str">
        <f t="shared" si="0"/>
        <v/>
      </c>
      <c r="F44" s="419"/>
      <c r="G44" s="341" t="s">
        <v>98</v>
      </c>
      <c r="H44" s="341"/>
      <c r="I44" s="341">
        <v>0</v>
      </c>
      <c r="J44" s="341">
        <v>1.6747000000000001</v>
      </c>
      <c r="K44" s="341">
        <v>-0.316</v>
      </c>
      <c r="L44" s="341">
        <v>15</v>
      </c>
      <c r="M44" s="341">
        <v>15</v>
      </c>
      <c r="N44" s="341" t="s">
        <v>98</v>
      </c>
      <c r="O44" s="341"/>
      <c r="P44" s="341"/>
      <c r="Q44" s="341"/>
      <c r="R44" s="341"/>
      <c r="S44" s="342">
        <f t="shared" si="7"/>
        <v>0</v>
      </c>
      <c r="T44" s="342">
        <f t="shared" si="8"/>
        <v>1</v>
      </c>
      <c r="U44" s="342">
        <f t="shared" si="9"/>
        <v>0</v>
      </c>
      <c r="V44" s="342">
        <f>IF(S44="","",IF(T44=1,VLOOKUP(M44,'elipse #s'!$A$4:$C$38,2,FALSE),VLOOKUP(M44,'elipse #s'!$A$4:$C$38,3,FALSE)))</f>
        <v>0.25548738105345858</v>
      </c>
      <c r="W44" s="342" t="str">
        <f>IF(S44="","",IF(S44=0,"",VLOOKUP(N44,'elipse #s'!$A$4:$C$38,2,FALSE)))</f>
        <v/>
      </c>
      <c r="X44" s="342">
        <f t="shared" si="10"/>
        <v>-0.35386261894654136</v>
      </c>
      <c r="Y44" s="342">
        <f t="shared" si="11"/>
        <v>1.6747000000000001</v>
      </c>
      <c r="Z44" s="342">
        <f t="shared" si="12"/>
        <v>-0.36386261894654137</v>
      </c>
    </row>
    <row r="45" spans="2:26">
      <c r="B45" s="353"/>
      <c r="C45" s="353"/>
      <c r="D45" s="347"/>
      <c r="E45" s="347">
        <f t="shared" si="0"/>
        <v>-6.7250000000000004E-2</v>
      </c>
      <c r="F45" s="417">
        <v>1.304</v>
      </c>
      <c r="G45" s="342" t="s">
        <v>17</v>
      </c>
      <c r="H45" s="342" t="s">
        <v>84</v>
      </c>
      <c r="O45" s="342">
        <v>-269</v>
      </c>
      <c r="P45" s="342">
        <v>-45</v>
      </c>
      <c r="Q45" s="342">
        <v>0</v>
      </c>
      <c r="R45" s="354">
        <v>-224</v>
      </c>
      <c r="S45" s="342" t="str">
        <f t="shared" si="7"/>
        <v/>
      </c>
      <c r="T45" s="342" t="str">
        <f t="shared" si="8"/>
        <v/>
      </c>
      <c r="U45" s="342" t="str">
        <f t="shared" si="9"/>
        <v/>
      </c>
      <c r="V45" s="342" t="str">
        <f>IF(S45="","",IF(T45=1,VLOOKUP(M45,'elipse #s'!$A$4:$C$38,2,FALSE),VLOOKUP(M45,'elipse #s'!$A$4:$C$38,3,FALSE)))</f>
        <v/>
      </c>
      <c r="W45" s="342" t="str">
        <f>IF(S45="","",IF(S45=0,"",VLOOKUP(N45,'elipse #s'!$A$4:$C$38,2,FALSE)))</f>
        <v/>
      </c>
      <c r="X45" s="342" t="str">
        <f t="shared" si="10"/>
        <v/>
      </c>
      <c r="Y45" s="342">
        <f t="shared" si="11"/>
        <v>0</v>
      </c>
      <c r="Z45" s="342">
        <f t="shared" si="12"/>
        <v>0</v>
      </c>
    </row>
    <row r="46" spans="2:26">
      <c r="B46" s="353"/>
      <c r="C46" s="353"/>
      <c r="D46" s="347"/>
      <c r="E46" s="347" t="str">
        <f t="shared" si="0"/>
        <v/>
      </c>
      <c r="G46" s="342" t="s">
        <v>98</v>
      </c>
      <c r="I46" s="342">
        <v>0</v>
      </c>
      <c r="J46" s="342">
        <v>0.89029999999999998</v>
      </c>
      <c r="K46" s="342">
        <v>-0.5262</v>
      </c>
      <c r="L46" s="342">
        <v>15</v>
      </c>
      <c r="M46" s="342">
        <v>15</v>
      </c>
      <c r="N46" s="342" t="s">
        <v>98</v>
      </c>
      <c r="S46" s="342">
        <f t="shared" si="7"/>
        <v>0</v>
      </c>
      <c r="T46" s="342">
        <f t="shared" si="8"/>
        <v>1</v>
      </c>
      <c r="U46" s="342">
        <f t="shared" si="9"/>
        <v>0</v>
      </c>
      <c r="V46" s="342">
        <f>IF(S46="","",IF(T46=1,VLOOKUP(M46,'elipse #s'!$A$4:$C$38,2,FALSE),VLOOKUP(M46,'elipse #s'!$A$4:$C$38,3,FALSE)))</f>
        <v>0.25548738105345858</v>
      </c>
      <c r="W46" s="342" t="str">
        <f>IF(S46="","",IF(S46=0,"",VLOOKUP(N46,'elipse #s'!$A$4:$C$38,2,FALSE)))</f>
        <v/>
      </c>
      <c r="X46" s="342">
        <f t="shared" si="10"/>
        <v>-0.55606261894654141</v>
      </c>
      <c r="Y46" s="342">
        <f t="shared" si="11"/>
        <v>0.89029999999999998</v>
      </c>
      <c r="Z46" s="342">
        <f t="shared" si="12"/>
        <v>-0.56606261894654142</v>
      </c>
    </row>
    <row r="47" spans="2:26">
      <c r="B47" s="353"/>
      <c r="C47" s="353"/>
      <c r="D47" s="347"/>
      <c r="E47" s="347">
        <f t="shared" si="0"/>
        <v>-6.3E-2</v>
      </c>
      <c r="F47" s="417">
        <v>1.3069999999999999</v>
      </c>
      <c r="G47" s="342" t="s">
        <v>17</v>
      </c>
      <c r="H47" s="342" t="s">
        <v>84</v>
      </c>
      <c r="O47" s="342">
        <v>-252</v>
      </c>
      <c r="P47" s="342">
        <v>-28</v>
      </c>
      <c r="Q47" s="342">
        <v>0</v>
      </c>
      <c r="R47" s="354">
        <v>-224</v>
      </c>
      <c r="S47" s="342" t="str">
        <f t="shared" si="7"/>
        <v/>
      </c>
      <c r="T47" s="342" t="str">
        <f t="shared" si="8"/>
        <v/>
      </c>
      <c r="U47" s="342" t="str">
        <f t="shared" si="9"/>
        <v/>
      </c>
      <c r="V47" s="342" t="str">
        <f>IF(S47="","",IF(T47=1,VLOOKUP(M47,'elipse #s'!$A$4:$C$38,2,FALSE),VLOOKUP(M47,'elipse #s'!$A$4:$C$38,3,FALSE)))</f>
        <v/>
      </c>
      <c r="W47" s="342" t="str">
        <f>IF(S47="","",IF(S47=0,"",VLOOKUP(N47,'elipse #s'!$A$4:$C$38,2,FALSE)))</f>
        <v/>
      </c>
      <c r="X47" s="342" t="str">
        <f t="shared" si="10"/>
        <v/>
      </c>
      <c r="Y47" s="342">
        <f t="shared" si="11"/>
        <v>0</v>
      </c>
      <c r="Z47" s="342">
        <f t="shared" si="12"/>
        <v>0</v>
      </c>
    </row>
    <row r="48" spans="2:26">
      <c r="B48" s="353"/>
      <c r="C48" s="353"/>
      <c r="D48" s="347"/>
      <c r="E48" s="347" t="str">
        <f t="shared" si="0"/>
        <v/>
      </c>
      <c r="G48" s="342" t="s">
        <v>98</v>
      </c>
      <c r="I48" s="342">
        <v>0</v>
      </c>
      <c r="J48" s="342">
        <v>1.4785999999999999</v>
      </c>
      <c r="K48" s="342">
        <v>-0.36849999999999999</v>
      </c>
      <c r="L48" s="342">
        <v>15</v>
      </c>
      <c r="M48" s="342">
        <v>15</v>
      </c>
      <c r="N48" s="342" t="s">
        <v>98</v>
      </c>
      <c r="S48" s="342">
        <f t="shared" ref="S48:S49" si="13">IF(G47="","",IF(OR(LEFT(TRIM(H47),2)="16",LEFT(TRIM(H47),2)="13"),1,0))</f>
        <v>0</v>
      </c>
      <c r="T48" s="342">
        <f t="shared" ref="T48" si="14">IF(S48="","",IF(LEFT(TRIM(G47),2)="13",1,0))</f>
        <v>1</v>
      </c>
      <c r="U48" s="342">
        <f t="shared" ref="U48" si="15">IF(S48="","",IF(LEFT(TRIM(H47),3)="1/2",1,0))</f>
        <v>0</v>
      </c>
      <c r="V48" s="342">
        <f>IF(S48="","",IF(T48=1,VLOOKUP(M48,'elipse #s'!$A$4:$C$38,2,FALSE),VLOOKUP(M48,'elipse #s'!$A$4:$C$38,3,FALSE)))</f>
        <v>0.25548738105345858</v>
      </c>
      <c r="W48" s="342" t="str">
        <f>IF(S48="","",IF(S48=0,"",VLOOKUP(N48,'elipse #s'!$A$4:$C$38,2,FALSE)))</f>
        <v/>
      </c>
      <c r="X48" s="342">
        <f t="shared" ref="X48" si="16">IF(S48="","",IF(AND(S48=0,U48=1),K48+V48+E47-$B$6,IF(AND(S48=0,U48=0),K48+V48+E47-$C$6,V48-W48)))</f>
        <v>-0.39411261894654137</v>
      </c>
      <c r="Y48" s="342">
        <f t="shared" ref="Y48" si="17">IF(S48="",0,IF(S48=0,IF(U48=1,MIN(J48,$Y$1),MIN(J48,$Z$1)),X48*SIN(RADIANS(-L48))+J48))</f>
        <v>1.4785999999999999</v>
      </c>
      <c r="Z48" s="342">
        <f t="shared" ref="Z48" si="18">IF(S48="",0,IF(S48=0,X48-$AB$1,X48*COS(RADIANS(-L48))+K48-$AB$1+E47))</f>
        <v>-0.40411261894654138</v>
      </c>
    </row>
    <row r="49" spans="2:19">
      <c r="B49" s="353"/>
      <c r="C49" s="353"/>
      <c r="D49" s="347"/>
      <c r="S49" s="342" t="str">
        <f t="shared" si="13"/>
        <v/>
      </c>
    </row>
    <row r="50" spans="2:19">
      <c r="B50" s="353"/>
      <c r="C50" s="353"/>
      <c r="D50" s="347"/>
    </row>
    <row r="51" spans="2:19">
      <c r="B51" s="353"/>
      <c r="C51" s="353"/>
      <c r="D51" s="347"/>
    </row>
    <row r="52" spans="2:19">
      <c r="B52" s="353"/>
      <c r="C52" s="353"/>
      <c r="D52" s="347"/>
    </row>
    <row r="53" spans="2:19">
      <c r="B53" s="353"/>
      <c r="C53" s="353"/>
      <c r="D53" s="347"/>
    </row>
    <row r="54" spans="2:19">
      <c r="B54" s="353"/>
      <c r="C54" s="353"/>
      <c r="D54" s="347"/>
    </row>
    <row r="55" spans="2:19">
      <c r="B55" s="353"/>
      <c r="C55" s="353"/>
      <c r="D55" s="347"/>
    </row>
    <row r="56" spans="2:19">
      <c r="B56" s="353"/>
      <c r="C56" s="353"/>
      <c r="D56" s="347"/>
    </row>
    <row r="57" spans="2:19">
      <c r="B57" s="353"/>
      <c r="C57" s="353"/>
      <c r="D57" s="347"/>
    </row>
    <row r="58" spans="2:19">
      <c r="B58" s="353"/>
      <c r="C58" s="353"/>
      <c r="D58" s="347"/>
    </row>
    <row r="59" spans="2:19">
      <c r="B59" s="353"/>
      <c r="C59" s="353"/>
      <c r="D59" s="347"/>
    </row>
    <row r="60" spans="2:19">
      <c r="B60" s="353"/>
      <c r="C60" s="353"/>
      <c r="D60" s="347"/>
    </row>
    <row r="61" spans="2:19">
      <c r="B61" s="353"/>
      <c r="C61" s="353"/>
      <c r="D61" s="347"/>
    </row>
    <row r="62" spans="2:19">
      <c r="B62" s="353"/>
      <c r="C62" s="353"/>
      <c r="D62" s="347"/>
    </row>
    <row r="63" spans="2:19">
      <c r="B63" s="353"/>
      <c r="C63" s="353"/>
      <c r="D63" s="347"/>
    </row>
    <row r="64" spans="2:19">
      <c r="B64" s="353"/>
      <c r="C64" s="353"/>
      <c r="D64" s="347"/>
    </row>
    <row r="65" spans="1:4">
      <c r="B65" s="353"/>
      <c r="C65" s="353"/>
      <c r="D65" s="347"/>
    </row>
    <row r="66" spans="1:4">
      <c r="B66" s="353"/>
      <c r="C66" s="353"/>
      <c r="D66" s="347"/>
    </row>
    <row r="67" spans="1:4">
      <c r="B67" s="353"/>
      <c r="C67" s="353"/>
      <c r="D67" s="347"/>
    </row>
    <row r="68" spans="1:4">
      <c r="B68" s="353"/>
      <c r="C68" s="353"/>
      <c r="D68" s="347"/>
    </row>
    <row r="69" spans="1:4">
      <c r="B69" s="353"/>
      <c r="C69" s="353"/>
      <c r="D69" s="347"/>
    </row>
    <row r="70" spans="1:4">
      <c r="B70" s="353"/>
      <c r="C70" s="353"/>
      <c r="D70" s="347"/>
    </row>
    <row r="71" spans="1:4">
      <c r="B71" s="353"/>
      <c r="C71" s="353"/>
      <c r="D71" s="347"/>
    </row>
    <row r="72" spans="1:4">
      <c r="B72" s="353"/>
      <c r="C72" s="353"/>
      <c r="D72" s="347"/>
    </row>
    <row r="73" spans="1:4">
      <c r="B73" s="353"/>
      <c r="C73" s="353"/>
      <c r="D73" s="347"/>
    </row>
    <row r="74" spans="1:4">
      <c r="A74" s="355"/>
      <c r="B74" s="355"/>
      <c r="C74" s="355"/>
      <c r="D74" s="356"/>
    </row>
    <row r="75" spans="1:4">
      <c r="A75" s="355"/>
      <c r="B75" s="355"/>
      <c r="C75" s="355"/>
      <c r="D75" s="356"/>
    </row>
    <row r="76" spans="1:4">
      <c r="A76" s="355"/>
      <c r="B76" s="355"/>
      <c r="C76" s="355"/>
      <c r="D76" s="356"/>
    </row>
    <row r="77" spans="1:4">
      <c r="A77" s="355"/>
      <c r="B77" s="355"/>
      <c r="C77" s="355"/>
      <c r="D77" s="356"/>
    </row>
    <row r="78" spans="1:4">
      <c r="A78" s="355"/>
      <c r="B78" s="355"/>
      <c r="C78" s="355"/>
      <c r="D78" s="356"/>
    </row>
    <row r="79" spans="1:4">
      <c r="A79" s="355"/>
      <c r="B79" s="355"/>
      <c r="C79" s="355"/>
      <c r="D79" s="356"/>
    </row>
    <row r="80" spans="1:4">
      <c r="A80" s="355"/>
      <c r="B80" s="355"/>
      <c r="C80" s="355"/>
      <c r="D80" s="356"/>
    </row>
    <row r="81" spans="1:4">
      <c r="A81" s="355"/>
      <c r="B81" s="355"/>
      <c r="C81" s="355"/>
      <c r="D81" s="356"/>
    </row>
    <row r="82" spans="1:4">
      <c r="A82" s="355"/>
      <c r="B82" s="355"/>
      <c r="C82" s="355"/>
      <c r="D82" s="356"/>
    </row>
    <row r="83" spans="1:4">
      <c r="A83" s="355"/>
      <c r="B83" s="355"/>
      <c r="C83" s="355"/>
      <c r="D83" s="356"/>
    </row>
    <row r="84" spans="1:4">
      <c r="A84" s="355"/>
      <c r="B84" s="355"/>
      <c r="C84" s="355"/>
      <c r="D84" s="356"/>
    </row>
    <row r="85" spans="1:4">
      <c r="A85" s="355"/>
      <c r="B85" s="355"/>
      <c r="C85" s="355"/>
      <c r="D85" s="356"/>
    </row>
    <row r="86" spans="1:4">
      <c r="A86" s="355"/>
      <c r="B86" s="355"/>
      <c r="C86" s="355"/>
      <c r="D86" s="356"/>
    </row>
    <row r="87" spans="1:4">
      <c r="A87" s="355"/>
      <c r="B87" s="355"/>
      <c r="C87" s="355"/>
      <c r="D87" s="356"/>
    </row>
    <row r="88" spans="1:4">
      <c r="A88" s="355"/>
      <c r="B88" s="355"/>
      <c r="C88" s="355"/>
      <c r="D88" s="356"/>
    </row>
  </sheetData>
  <mergeCells count="2">
    <mergeCell ref="I1:M1"/>
    <mergeCell ref="B3:C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I38"/>
  <sheetViews>
    <sheetView workbookViewId="0">
      <selection activeCell="J11" sqref="J11"/>
    </sheetView>
  </sheetViews>
  <sheetFormatPr defaultRowHeight="15"/>
  <cols>
    <col min="1" max="16384" width="9.140625" style="357"/>
  </cols>
  <sheetData>
    <row r="1" spans="1:6" ht="15.75" thickBot="1">
      <c r="B1" s="358">
        <v>1313</v>
      </c>
      <c r="C1" s="359">
        <v>1613</v>
      </c>
      <c r="D1" s="360">
        <v>1913</v>
      </c>
      <c r="E1" s="361"/>
    </row>
    <row r="2" spans="1:6" ht="15.75" thickBot="1">
      <c r="B2" s="358">
        <v>0.52900000000000003</v>
      </c>
      <c r="C2" s="359">
        <v>0.625</v>
      </c>
      <c r="D2" s="360">
        <v>0.75</v>
      </c>
      <c r="E2" s="362">
        <v>0.52</v>
      </c>
      <c r="F2" s="363">
        <v>0.315</v>
      </c>
    </row>
    <row r="3" spans="1:6" ht="15.75" thickBot="1">
      <c r="B3" s="364">
        <f>B2/2</f>
        <v>0.26450000000000001</v>
      </c>
      <c r="C3" s="365">
        <f t="shared" ref="C3:D3" si="0">C2/2</f>
        <v>0.3125</v>
      </c>
      <c r="D3" s="366">
        <f t="shared" si="0"/>
        <v>0.375</v>
      </c>
      <c r="E3" s="367"/>
      <c r="F3" s="368"/>
    </row>
    <row r="4" spans="1:6">
      <c r="A4" s="369">
        <v>12</v>
      </c>
      <c r="B4" s="370">
        <f>(B$2/2)*COS(RADIANS($A4))</f>
        <v>0.25872004039409163</v>
      </c>
      <c r="C4" s="371">
        <f t="shared" ref="C4:D4" si="1">(C$2/2)*COS(RADIANS($A4))</f>
        <v>0.30567112522931428</v>
      </c>
      <c r="D4" s="372">
        <f t="shared" si="1"/>
        <v>0.36680535027517713</v>
      </c>
      <c r="E4" s="373">
        <f>$E$2*SIN(RADIANS(A4))</f>
        <v>0.10811407922523486</v>
      </c>
      <c r="F4" s="374">
        <f>$F$2*SIN(RADIANS(A4))</f>
        <v>6.5492182607594193E-2</v>
      </c>
    </row>
    <row r="5" spans="1:6">
      <c r="A5" s="375">
        <v>12.5</v>
      </c>
      <c r="B5" s="376">
        <f t="shared" ref="B5:D27" si="2">(B$2/2)*COS(RADIANS($A5))</f>
        <v>0.25823029388322238</v>
      </c>
      <c r="C5" s="377">
        <f t="shared" si="2"/>
        <v>0.30509250222497919</v>
      </c>
      <c r="D5" s="378">
        <f t="shared" si="2"/>
        <v>0.36611100266997498</v>
      </c>
      <c r="E5" s="379">
        <f t="shared" ref="E5:E38" si="3">$E$2*SIN(RADIANS(A5))</f>
        <v>0.1125485992478135</v>
      </c>
      <c r="F5" s="380">
        <f t="shared" ref="F5:F38" si="4">$F$2*SIN(RADIANS(A5))</f>
        <v>6.8178478390502409E-2</v>
      </c>
    </row>
    <row r="6" spans="1:6">
      <c r="A6" s="381">
        <v>13</v>
      </c>
      <c r="B6" s="382">
        <f t="shared" si="2"/>
        <v>0.25772088213569472</v>
      </c>
      <c r="C6" s="383">
        <f t="shared" si="2"/>
        <v>0.30449064524538599</v>
      </c>
      <c r="D6" s="384">
        <f t="shared" si="2"/>
        <v>0.3653887742944632</v>
      </c>
      <c r="E6" s="373">
        <f t="shared" si="3"/>
        <v>0.1169745482588098</v>
      </c>
      <c r="F6" s="374">
        <f t="shared" si="4"/>
        <v>7.0859582118317471E-2</v>
      </c>
    </row>
    <row r="7" spans="1:6">
      <c r="A7" s="381">
        <v>14</v>
      </c>
      <c r="B7" s="382">
        <f t="shared" si="2"/>
        <v>0.25664321960000108</v>
      </c>
      <c r="C7" s="383">
        <f t="shared" si="2"/>
        <v>0.30321741446124889</v>
      </c>
      <c r="D7" s="384">
        <f t="shared" si="2"/>
        <v>0.36386089735349869</v>
      </c>
      <c r="E7" s="373">
        <f t="shared" si="3"/>
        <v>0.12579938571182722</v>
      </c>
      <c r="F7" s="374">
        <f t="shared" si="4"/>
        <v>7.6205397113895332E-2</v>
      </c>
    </row>
    <row r="8" spans="1:6">
      <c r="A8" s="375">
        <v>15</v>
      </c>
      <c r="B8" s="376">
        <f t="shared" si="2"/>
        <v>0.25548738105345858</v>
      </c>
      <c r="C8" s="377">
        <f t="shared" si="2"/>
        <v>0.30185182071533384</v>
      </c>
      <c r="D8" s="378">
        <f t="shared" si="2"/>
        <v>0.36222218485840063</v>
      </c>
      <c r="E8" s="379">
        <f t="shared" si="3"/>
        <v>0.13458590345331078</v>
      </c>
      <c r="F8" s="380">
        <f t="shared" si="4"/>
        <v>8.1527999207294033E-2</v>
      </c>
    </row>
    <row r="9" spans="1:6">
      <c r="A9" s="381">
        <v>16</v>
      </c>
      <c r="B9" s="382">
        <f t="shared" si="2"/>
        <v>0.25425371857568535</v>
      </c>
      <c r="C9" s="383">
        <f t="shared" si="2"/>
        <v>0.30039427998072465</v>
      </c>
      <c r="D9" s="384">
        <f t="shared" si="2"/>
        <v>0.36047313597686959</v>
      </c>
      <c r="E9" s="373">
        <f t="shared" si="3"/>
        <v>0.14333142502483956</v>
      </c>
      <c r="F9" s="374">
        <f t="shared" si="4"/>
        <v>8.6825767082354732E-2</v>
      </c>
    </row>
    <row r="10" spans="1:6">
      <c r="A10" s="381">
        <v>17</v>
      </c>
      <c r="B10" s="382">
        <f t="shared" si="2"/>
        <v>0.2529426079522229</v>
      </c>
      <c r="C10" s="383">
        <f t="shared" si="2"/>
        <v>0.29884523623844855</v>
      </c>
      <c r="D10" s="384">
        <f t="shared" si="2"/>
        <v>0.35861428348613827</v>
      </c>
      <c r="E10" s="373">
        <f t="shared" si="3"/>
        <v>0.15203328645582312</v>
      </c>
      <c r="F10" s="374">
        <f t="shared" si="4"/>
        <v>9.2097086987662086E-2</v>
      </c>
    </row>
    <row r="11" spans="1:6">
      <c r="A11" s="375">
        <v>17.5</v>
      </c>
      <c r="B11" s="376">
        <f t="shared" si="2"/>
        <v>0.25225813347290604</v>
      </c>
      <c r="C11" s="377">
        <f t="shared" si="2"/>
        <v>0.29803654710882094</v>
      </c>
      <c r="D11" s="378">
        <f t="shared" si="2"/>
        <v>0.35764385653058511</v>
      </c>
      <c r="E11" s="379">
        <f t="shared" si="3"/>
        <v>0.15636701574222203</v>
      </c>
      <c r="F11" s="380">
        <f t="shared" si="4"/>
        <v>9.472232684384603E-2</v>
      </c>
    </row>
    <row r="12" spans="1:6">
      <c r="A12" s="381">
        <v>18</v>
      </c>
      <c r="B12" s="382">
        <f t="shared" si="2"/>
        <v>0.25155444856006814</v>
      </c>
      <c r="C12" s="383">
        <f t="shared" si="2"/>
        <v>0.29720516134223546</v>
      </c>
      <c r="D12" s="384">
        <f t="shared" si="2"/>
        <v>0.35664619361068256</v>
      </c>
      <c r="E12" s="373">
        <f t="shared" si="3"/>
        <v>0.16068883707497264</v>
      </c>
      <c r="F12" s="374">
        <f t="shared" si="4"/>
        <v>9.7340353228108425E-2</v>
      </c>
    </row>
    <row r="13" spans="1:6">
      <c r="A13" s="381">
        <v>19</v>
      </c>
      <c r="B13" s="382">
        <f t="shared" si="2"/>
        <v>0.25008966324601933</v>
      </c>
      <c r="C13" s="383">
        <f t="shared" si="2"/>
        <v>0.29547455487478652</v>
      </c>
      <c r="D13" s="384">
        <f t="shared" si="2"/>
        <v>0.3545694658497438</v>
      </c>
      <c r="E13" s="373">
        <f t="shared" si="3"/>
        <v>0.16929544031772148</v>
      </c>
      <c r="F13" s="374">
        <f t="shared" si="4"/>
        <v>0.10255396865400436</v>
      </c>
    </row>
    <row r="14" spans="1:6">
      <c r="A14" s="375">
        <v>20</v>
      </c>
      <c r="B14" s="376">
        <f t="shared" si="2"/>
        <v>0.24854869819787279</v>
      </c>
      <c r="C14" s="377">
        <f t="shared" si="2"/>
        <v>0.29365394399559641</v>
      </c>
      <c r="D14" s="378">
        <f t="shared" si="2"/>
        <v>0.35238473279471566</v>
      </c>
      <c r="E14" s="379">
        <f t="shared" si="3"/>
        <v>0.17785047452934774</v>
      </c>
      <c r="F14" s="380">
        <f t="shared" si="4"/>
        <v>0.10773634514758565</v>
      </c>
    </row>
    <row r="15" spans="1:6">
      <c r="A15" s="381">
        <v>21</v>
      </c>
      <c r="B15" s="382">
        <f t="shared" si="2"/>
        <v>0.24693202280850987</v>
      </c>
      <c r="C15" s="383">
        <f t="shared" si="2"/>
        <v>0.29174388328037554</v>
      </c>
      <c r="D15" s="384">
        <f t="shared" si="2"/>
        <v>0.35009265993645067</v>
      </c>
      <c r="E15" s="373">
        <f t="shared" si="3"/>
        <v>0.18635133376355614</v>
      </c>
      <c r="F15" s="374">
        <f t="shared" si="4"/>
        <v>0.11288590410676959</v>
      </c>
    </row>
    <row r="16" spans="1:6">
      <c r="A16" s="381">
        <v>22</v>
      </c>
      <c r="B16" s="382">
        <f t="shared" si="2"/>
        <v>0.2452401295329153</v>
      </c>
      <c r="C16" s="383">
        <f t="shared" si="2"/>
        <v>0.28974495455212107</v>
      </c>
      <c r="D16" s="384">
        <f t="shared" si="2"/>
        <v>0.34769394546254528</v>
      </c>
      <c r="E16" s="373">
        <f t="shared" si="3"/>
        <v>0.19479542857627424</v>
      </c>
      <c r="F16" s="374">
        <f t="shared" si="4"/>
        <v>0.11800107692601229</v>
      </c>
    </row>
    <row r="17" spans="1:9">
      <c r="A17" s="375">
        <v>22.5</v>
      </c>
      <c r="B17" s="376">
        <f t="shared" si="2"/>
        <v>0.24436613634923535</v>
      </c>
      <c r="C17" s="377">
        <f t="shared" si="2"/>
        <v>0.28871235390977712</v>
      </c>
      <c r="D17" s="378">
        <f t="shared" si="2"/>
        <v>0.3464548246917325</v>
      </c>
      <c r="E17" s="379">
        <f t="shared" si="3"/>
        <v>0.19899538482984669</v>
      </c>
      <c r="F17" s="380">
        <f t="shared" si="4"/>
        <v>0.12054528119500328</v>
      </c>
    </row>
    <row r="18" spans="1:9">
      <c r="A18" s="381">
        <v>23</v>
      </c>
      <c r="B18" s="382">
        <f t="shared" si="2"/>
        <v>0.24347353373817049</v>
      </c>
      <c r="C18" s="383">
        <f t="shared" si="2"/>
        <v>0.2876577667038876</v>
      </c>
      <c r="D18" s="384">
        <f t="shared" si="2"/>
        <v>0.34518932004466513</v>
      </c>
      <c r="E18" s="373">
        <f t="shared" si="3"/>
        <v>0.20318018681442238</v>
      </c>
      <c r="F18" s="374">
        <f t="shared" si="4"/>
        <v>0.12308030547412124</v>
      </c>
    </row>
    <row r="19" spans="1:9">
      <c r="A19" s="381">
        <v>24</v>
      </c>
      <c r="B19" s="382">
        <f t="shared" si="2"/>
        <v>0.24163277354646795</v>
      </c>
      <c r="C19" s="383">
        <f t="shared" si="2"/>
        <v>0.28548295551331276</v>
      </c>
      <c r="D19" s="384">
        <f t="shared" si="2"/>
        <v>0.34257954661597534</v>
      </c>
      <c r="E19" s="373">
        <f t="shared" si="3"/>
        <v>0.21150305439941611</v>
      </c>
      <c r="F19" s="374">
        <f t="shared" si="4"/>
        <v>0.12812204256887708</v>
      </c>
    </row>
    <row r="20" spans="1:9">
      <c r="A20" s="375">
        <v>25</v>
      </c>
      <c r="B20" s="376">
        <f t="shared" si="2"/>
        <v>0.23971840967119393</v>
      </c>
      <c r="C20" s="377">
        <f t="shared" si="2"/>
        <v>0.28322118344895308</v>
      </c>
      <c r="D20" s="378">
        <f t="shared" si="2"/>
        <v>0.33986542013874371</v>
      </c>
      <c r="E20" s="379">
        <f t="shared" si="3"/>
        <v>0.21976149610516371</v>
      </c>
      <c r="F20" s="380">
        <f t="shared" si="4"/>
        <v>0.13312475244832034</v>
      </c>
    </row>
    <row r="21" spans="1:9">
      <c r="A21" s="381">
        <v>26</v>
      </c>
      <c r="B21" s="382">
        <f t="shared" si="2"/>
        <v>0.23773102524612968</v>
      </c>
      <c r="C21" s="383">
        <f t="shared" si="2"/>
        <v>0.28087313946848969</v>
      </c>
      <c r="D21" s="384">
        <f t="shared" si="2"/>
        <v>0.33704776736218767</v>
      </c>
      <c r="E21" s="373">
        <f t="shared" si="3"/>
        <v>0.22795299633032026</v>
      </c>
      <c r="F21" s="374">
        <f t="shared" si="4"/>
        <v>0.13808691123855937</v>
      </c>
    </row>
    <row r="22" spans="1:9">
      <c r="A22" s="381">
        <v>27</v>
      </c>
      <c r="B22" s="382">
        <f t="shared" si="2"/>
        <v>0.23567122564782331</v>
      </c>
      <c r="C22" s="383">
        <f t="shared" si="2"/>
        <v>0.27843953880886496</v>
      </c>
      <c r="D22" s="384">
        <f t="shared" si="2"/>
        <v>0.33412744657063798</v>
      </c>
      <c r="E22" s="373">
        <f t="shared" si="3"/>
        <v>0.23607505986456431</v>
      </c>
      <c r="F22" s="374">
        <f t="shared" si="4"/>
        <v>0.14300700741795722</v>
      </c>
    </row>
    <row r="23" spans="1:9">
      <c r="A23" s="375">
        <v>27.5</v>
      </c>
      <c r="B23" s="376">
        <f t="shared" si="2"/>
        <v>0.23461436537563965</v>
      </c>
      <c r="C23" s="377">
        <f t="shared" si="2"/>
        <v>0.27719088536819431</v>
      </c>
      <c r="D23" s="378">
        <f t="shared" si="2"/>
        <v>0.33262906244183316</v>
      </c>
      <c r="E23" s="379">
        <f t="shared" si="3"/>
        <v>0.24010927888221764</v>
      </c>
      <c r="F23" s="380">
        <f t="shared" si="4"/>
        <v>0.14545081316903569</v>
      </c>
      <c r="H23" s="385"/>
      <c r="I23" s="385"/>
    </row>
    <row r="24" spans="1:9">
      <c r="A24" s="381">
        <v>28</v>
      </c>
      <c r="B24" s="382">
        <f t="shared" si="2"/>
        <v>0.23353963831118621</v>
      </c>
      <c r="C24" s="383">
        <f t="shared" si="2"/>
        <v>0.27592112276841468</v>
      </c>
      <c r="D24" s="384">
        <f t="shared" si="2"/>
        <v>0.33110534732209762</v>
      </c>
      <c r="E24" s="373">
        <f t="shared" si="3"/>
        <v>0.24412521264866321</v>
      </c>
      <c r="F24" s="374">
        <f t="shared" si="4"/>
        <v>0.1478835422775556</v>
      </c>
    </row>
    <row r="25" spans="1:9">
      <c r="A25" s="381">
        <v>29</v>
      </c>
      <c r="B25" s="382">
        <f t="shared" si="2"/>
        <v>0.23133691253837019</v>
      </c>
      <c r="C25" s="383">
        <f t="shared" si="2"/>
        <v>0.27331865848106118</v>
      </c>
      <c r="D25" s="384">
        <f t="shared" si="2"/>
        <v>0.32798239017727338</v>
      </c>
      <c r="E25" s="373">
        <f t="shared" si="3"/>
        <v>0.25210100252809525</v>
      </c>
      <c r="F25" s="374">
        <f t="shared" si="4"/>
        <v>0.15271503037759618</v>
      </c>
    </row>
    <row r="26" spans="1:9">
      <c r="A26" s="375">
        <v>30</v>
      </c>
      <c r="B26" s="376">
        <f t="shared" si="2"/>
        <v>0.22906371930098404</v>
      </c>
      <c r="C26" s="377">
        <f t="shared" si="2"/>
        <v>0.2706329386826371</v>
      </c>
      <c r="D26" s="378">
        <f t="shared" si="2"/>
        <v>0.3247595264191645</v>
      </c>
      <c r="E26" s="379">
        <f t="shared" si="3"/>
        <v>0.25999999999999995</v>
      </c>
      <c r="F26" s="380">
        <f t="shared" si="4"/>
        <v>0.15749999999999997</v>
      </c>
    </row>
    <row r="27" spans="1:9">
      <c r="A27" s="381">
        <v>31</v>
      </c>
      <c r="B27" s="382">
        <f t="shared" si="2"/>
        <v>0.22672075103570871</v>
      </c>
      <c r="C27" s="383">
        <f t="shared" si="2"/>
        <v>0.26786478146941012</v>
      </c>
      <c r="D27" s="384">
        <f t="shared" si="2"/>
        <v>0.3214377377632921</v>
      </c>
      <c r="E27" s="373">
        <f t="shared" si="3"/>
        <v>0.26781979895322816</v>
      </c>
      <c r="F27" s="374">
        <f t="shared" si="4"/>
        <v>0.16223699359666707</v>
      </c>
    </row>
    <row r="28" spans="1:9">
      <c r="A28" s="381">
        <v>33</v>
      </c>
      <c r="B28" s="382">
        <f t="shared" ref="B28:D38" si="5">(B$2/2)*COS(RADIANS($A28))</f>
        <v>0.22182836522156468</v>
      </c>
      <c r="C28" s="383">
        <f t="shared" si="5"/>
        <v>0.26208455248294504</v>
      </c>
      <c r="D28" s="384">
        <f t="shared" si="5"/>
        <v>0.31450146297953402</v>
      </c>
      <c r="E28" s="373">
        <f t="shared" si="3"/>
        <v>0.28321229820781407</v>
      </c>
      <c r="F28" s="374">
        <f t="shared" si="4"/>
        <v>0.17156129602973352</v>
      </c>
    </row>
    <row r="29" spans="1:9">
      <c r="A29" s="375">
        <v>33.5</v>
      </c>
      <c r="B29" s="376">
        <f t="shared" si="5"/>
        <v>0.220562799936766</v>
      </c>
      <c r="C29" s="377">
        <f t="shared" si="5"/>
        <v>0.26058931939599006</v>
      </c>
      <c r="D29" s="378">
        <f t="shared" si="5"/>
        <v>0.31270718327518809</v>
      </c>
      <c r="E29" s="379">
        <f t="shared" si="3"/>
        <v>0.28700723236227027</v>
      </c>
      <c r="F29" s="380">
        <f t="shared" si="4"/>
        <v>0.17386015037329833</v>
      </c>
    </row>
    <row r="30" spans="1:9">
      <c r="A30" s="381">
        <v>33</v>
      </c>
      <c r="B30" s="382">
        <f t="shared" si="5"/>
        <v>0.22182836522156468</v>
      </c>
      <c r="C30" s="383">
        <f t="shared" si="5"/>
        <v>0.26208455248294504</v>
      </c>
      <c r="D30" s="384">
        <f t="shared" si="5"/>
        <v>0.31450146297953402</v>
      </c>
      <c r="E30" s="373">
        <f t="shared" si="3"/>
        <v>0.28321229820781407</v>
      </c>
      <c r="F30" s="374">
        <f t="shared" si="4"/>
        <v>0.17156129602973352</v>
      </c>
    </row>
    <row r="31" spans="1:9">
      <c r="A31" s="381">
        <v>34</v>
      </c>
      <c r="B31" s="382">
        <f t="shared" si="5"/>
        <v>0.21928043794080851</v>
      </c>
      <c r="C31" s="383">
        <f t="shared" si="5"/>
        <v>0.25907424142345048</v>
      </c>
      <c r="D31" s="384">
        <f t="shared" si="5"/>
        <v>0.31088908970814061</v>
      </c>
      <c r="E31" s="373">
        <f t="shared" si="3"/>
        <v>0.29078030980478842</v>
      </c>
      <c r="F31" s="374">
        <f t="shared" si="4"/>
        <v>0.17614576459328526</v>
      </c>
    </row>
    <row r="32" spans="1:9">
      <c r="A32" s="375">
        <v>35</v>
      </c>
      <c r="B32" s="376">
        <f t="shared" si="5"/>
        <v>0.21666571571443835</v>
      </c>
      <c r="C32" s="377">
        <f t="shared" si="5"/>
        <v>0.25598501384030992</v>
      </c>
      <c r="D32" s="378">
        <f t="shared" si="5"/>
        <v>0.30718201660837191</v>
      </c>
      <c r="E32" s="379">
        <f t="shared" si="3"/>
        <v>0.29825974690254398</v>
      </c>
      <c r="F32" s="380">
        <f t="shared" si="4"/>
        <v>0.1806765774505795</v>
      </c>
    </row>
    <row r="33" spans="1:6">
      <c r="A33" s="381">
        <v>36</v>
      </c>
      <c r="B33" s="382">
        <f t="shared" si="5"/>
        <v>0.21398499501217361</v>
      </c>
      <c r="C33" s="383">
        <f t="shared" si="5"/>
        <v>0.25281781074217108</v>
      </c>
      <c r="D33" s="384">
        <f t="shared" si="5"/>
        <v>0.30338137289060529</v>
      </c>
      <c r="E33" s="373">
        <f t="shared" si="3"/>
        <v>0.30564833119208606</v>
      </c>
      <c r="F33" s="374">
        <f t="shared" si="4"/>
        <v>0.18515235447212905</v>
      </c>
    </row>
    <row r="34" spans="1:6">
      <c r="A34" s="381">
        <v>37</v>
      </c>
      <c r="B34" s="382">
        <f t="shared" si="5"/>
        <v>0.21123909240750896</v>
      </c>
      <c r="C34" s="383">
        <f t="shared" si="5"/>
        <v>0.24957359688977901</v>
      </c>
      <c r="D34" s="384">
        <f t="shared" si="5"/>
        <v>0.29948831626773481</v>
      </c>
      <c r="E34" s="373">
        <f t="shared" si="3"/>
        <v>0.31294381203906513</v>
      </c>
      <c r="F34" s="374">
        <f t="shared" si="4"/>
        <v>0.1895717322928952</v>
      </c>
    </row>
    <row r="35" spans="1:6">
      <c r="A35" s="375">
        <v>37.5</v>
      </c>
      <c r="B35" s="376">
        <f t="shared" si="5"/>
        <v>0.20984195850703172</v>
      </c>
      <c r="C35" s="377">
        <f t="shared" si="5"/>
        <v>0.24792291884101098</v>
      </c>
      <c r="D35" s="378">
        <f t="shared" si="5"/>
        <v>0.29750750260921321</v>
      </c>
      <c r="E35" s="379">
        <f t="shared" si="3"/>
        <v>0.31655594308453477</v>
      </c>
      <c r="F35" s="380">
        <f t="shared" si="4"/>
        <v>0.19175985013774702</v>
      </c>
    </row>
    <row r="36" spans="1:6">
      <c r="A36" s="381">
        <v>38</v>
      </c>
      <c r="B36" s="382">
        <f t="shared" si="5"/>
        <v>0.20842884432897796</v>
      </c>
      <c r="C36" s="383">
        <f t="shared" si="5"/>
        <v>0.24625336050210059</v>
      </c>
      <c r="D36" s="384">
        <f t="shared" si="5"/>
        <v>0.29550403260252073</v>
      </c>
      <c r="E36" s="373">
        <f t="shared" si="3"/>
        <v>0.32014396716934235</v>
      </c>
      <c r="F36" s="374">
        <f t="shared" si="4"/>
        <v>0.19393336472758235</v>
      </c>
    </row>
    <row r="37" spans="1:6">
      <c r="A37" s="381">
        <v>39</v>
      </c>
      <c r="B37" s="382">
        <f t="shared" si="5"/>
        <v>0.20555510680536881</v>
      </c>
      <c r="C37" s="383">
        <f t="shared" si="5"/>
        <v>0.24285811295530341</v>
      </c>
      <c r="D37" s="384">
        <f t="shared" si="5"/>
        <v>0.29142973554636409</v>
      </c>
      <c r="E37" s="373">
        <f t="shared" si="3"/>
        <v>0.32724660334591543</v>
      </c>
      <c r="F37" s="374">
        <f t="shared" si="4"/>
        <v>0.19823592318069877</v>
      </c>
    </row>
    <row r="38" spans="1:6" ht="15.75" thickBot="1">
      <c r="A38" s="386">
        <v>40</v>
      </c>
      <c r="B38" s="387">
        <f t="shared" si="5"/>
        <v>0.20261875520496969</v>
      </c>
      <c r="C38" s="388">
        <f t="shared" si="5"/>
        <v>0.23938888847468062</v>
      </c>
      <c r="D38" s="389">
        <f t="shared" si="5"/>
        <v>0.28726666616961677</v>
      </c>
      <c r="E38" s="390">
        <f t="shared" si="3"/>
        <v>0.33424955703700043</v>
      </c>
      <c r="F38" s="391">
        <f t="shared" si="4"/>
        <v>0.20247809705125985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dimension ref="E5:E14"/>
  <sheetViews>
    <sheetView workbookViewId="0">
      <selection activeCell="C1" sqref="A1:XFD1048576"/>
    </sheetView>
  </sheetViews>
  <sheetFormatPr defaultRowHeight="12.75"/>
  <cols>
    <col min="4" max="4" width="11.7109375" bestFit="1" customWidth="1"/>
  </cols>
  <sheetData>
    <row r="5" spans="5:5">
      <c r="E5" s="614"/>
    </row>
    <row r="6" spans="5:5">
      <c r="E6" s="614"/>
    </row>
    <row r="7" spans="5:5">
      <c r="E7" s="614"/>
    </row>
    <row r="8" spans="5:5">
      <c r="E8" s="614"/>
    </row>
    <row r="9" spans="5:5">
      <c r="E9" s="614"/>
    </row>
    <row r="10" spans="5:5">
      <c r="E10" s="614"/>
    </row>
    <row r="11" spans="5:5">
      <c r="E11" s="614"/>
    </row>
    <row r="12" spans="5:5">
      <c r="E12" s="614"/>
    </row>
    <row r="13" spans="5:5">
      <c r="E13" s="614"/>
    </row>
    <row r="14" spans="5:5">
      <c r="E14" s="614"/>
    </row>
  </sheetData>
  <pageMargins left="0.7" right="0.7" top="0.75" bottom="0.75" header="0.3" footer="0.3"/>
  <pageSetup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4.xml><?xml version="1.0" encoding="utf-8"?>
<LongProperties xmlns="http://schemas.microsoft.com/office/2006/metadata/longProperties"/>
</file>

<file path=customXml/itemProps1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999D954-1363-4112-AA6C-CA016BAE1928}">
  <ds:schemaRefs>
    <ds:schemaRef ds:uri="http://schemas.microsoft.com/office/2006/metadata/properties"/>
    <ds:schemaRef ds:uri="173e10c0-dbc9-41da-8a99-1c8d714a673d"/>
  </ds:schemaRefs>
</ds:datastoreItem>
</file>

<file path=customXml/itemProps4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List</vt:lpstr>
      <vt:lpstr>Tilt</vt:lpstr>
      <vt:lpstr>Sheet1</vt:lpstr>
      <vt:lpstr>CutType</vt:lpstr>
      <vt:lpstr>Helix Depth</vt:lpstr>
      <vt:lpstr>elipse #s</vt:lpstr>
      <vt:lpstr>Sheet2</vt:lpstr>
      <vt:lpstr>List!Print_Area</vt:lpstr>
      <vt:lpstr>Tilt!Print_Area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victor.rodriguez</cp:lastModifiedBy>
  <cp:lastPrinted>2015-05-11T18:29:43Z</cp:lastPrinted>
  <dcterms:created xsi:type="dcterms:W3CDTF">2003-10-20T20:59:43Z</dcterms:created>
  <dcterms:modified xsi:type="dcterms:W3CDTF">2015-05-11T18:29:47Z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