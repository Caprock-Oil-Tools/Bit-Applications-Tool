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3943\"/>
    </mc:Choice>
  </mc:AlternateContent>
  <xr:revisionPtr revIDLastSave="0" documentId="13_ncr:1_{FE111B99-29AA-434A-AE8E-DBB4F9211E2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P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S11" i="1"/>
  <c r="IT11" i="1"/>
  <c r="IR11" i="1"/>
  <c r="IL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P32" i="1"/>
  <c r="IN32" i="1"/>
  <c r="IR32" i="1"/>
  <c r="IQ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X11" i="1" l="1"/>
  <c r="IU11" i="1"/>
  <c r="IE11" i="1" s="1"/>
  <c r="IP11" i="1"/>
  <c r="IY11" i="1"/>
  <c r="IQ11" i="1"/>
  <c r="IN11" i="1"/>
  <c r="IK11" i="1"/>
  <c r="JA23" i="1" s="1" a="1"/>
  <c r="JA23" i="1" s="1"/>
  <c r="JA9" i="1" a="1"/>
  <c r="JA9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110" i="1"/>
  <c r="IF125" i="1"/>
  <c r="IF55" i="1"/>
  <c r="IF72" i="1"/>
  <c r="IF144" i="1"/>
  <c r="IF120" i="1"/>
  <c r="IF70" i="1"/>
  <c r="IF139" i="1"/>
  <c r="IF126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37" i="1" l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IL38" i="1" s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7" i="1" l="1"/>
  <c r="IL32" i="1"/>
  <c r="IL23" i="1"/>
  <c r="IL16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T47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IT32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34" i="1" l="1"/>
  <c r="IT38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IS47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AP34" i="1"/>
  <c r="AO31" i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9" i="1" l="1"/>
  <c r="IY47" i="1"/>
  <c r="IF47" i="1" s="1"/>
  <c r="IX34" i="1"/>
  <c r="IF34" i="1" s="1"/>
  <c r="IS38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<sst xmlns="http://schemas.openxmlformats.org/spreadsheetml/2006/main" count="734" uniqueCount="391">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</sst>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E35" sqref="E35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7.875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33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1.113's θ about Z Axis</v>
      </c>
      <c r="U5" s="1021"/>
      <c r="V5" s="1072"/>
      <c r="W5" s="1021" t="str">
        <f>CONCATENATE("Relative to ",M8,"'s θ about Z Axis")</f>
        <v>Relative to 1.113's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1.113's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89.156700121757439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-0.24010031698255613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-1.7074049960401645E-17</v>
      </c>
      <c r="C9" s="703">
        <v>0.34250103298311552</v>
      </c>
      <c r="D9" s="704">
        <v>-0.63030149382930545</v>
      </c>
      <c r="E9" s="705">
        <v>-0.93969263802333458</v>
      </c>
      <c r="F9" s="703">
        <v>-8.8521302156295598E-2</v>
      </c>
      <c r="G9" s="706">
        <v>0.33036604714967344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-1.7074049960401645E-17</v>
      </c>
      <c r="O9" s="624">
        <f t="shared" ref="O9:O40" si="3">IF(M9="","",C9)</f>
        <v>0.34250103298311552</v>
      </c>
      <c r="P9" s="625">
        <f t="shared" ref="P9:P40" si="4">IF(M9="","",D9)</f>
        <v>-0.63030149382930545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0.34250103298311552</v>
      </c>
      <c r="S9" s="626">
        <f>IF(M9="","",P9)</f>
        <v>-0.63030149382930545</v>
      </c>
      <c r="T9" s="627">
        <f>IF(M9="","",X9*COS(RADIANS(W9)))</f>
        <v>0.34246393563543603</v>
      </c>
      <c r="U9" s="624">
        <f>IF(M9="","",X9*SIN(RADIANS(W9)))</f>
        <v>5.0408713124923581E-3</v>
      </c>
      <c r="V9" s="628">
        <f>IF(M9="","",Y9)</f>
        <v>-0.63030149382930545</v>
      </c>
      <c r="W9" s="583">
        <f t="shared" ref="W9:W14" si="5">IF(M9="","",IF(Q9-$Q$8&lt;0,360+Q9-$Q$8,Q9-$Q$8))</f>
        <v>0.84329987824256136</v>
      </c>
      <c r="X9" s="629">
        <f>IF(M9="","",R9)</f>
        <v>0.34250103298311552</v>
      </c>
      <c r="Y9" s="630">
        <f>IF(M9="","",S9)</f>
        <v>-0.63030149382930545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-0.33036604714967344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-0.33036604714967344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6.6264131685611538</v>
      </c>
      <c r="AS9" s="51">
        <f>IF(M9="","",W9)</f>
        <v>0.84329987824256136</v>
      </c>
      <c r="AT9" s="71">
        <f t="shared" ref="AT9:AT40" si="10">IF(M9="","",Y9+(((AS9-$AS$9)*$AS$6)*-1))</f>
        <v>-0.63030149382930545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-1.2805537470301234E-17</v>
      </c>
      <c r="C10" s="708">
        <v>1.062303203906463</v>
      </c>
      <c r="D10" s="709">
        <v>-0.43750091234275168</v>
      </c>
      <c r="E10" s="710">
        <v>-0.96592583607220739</v>
      </c>
      <c r="F10" s="708">
        <v>-6.6987279208207212E-2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-1.2805537470301234E-17</v>
      </c>
      <c r="O10" s="629">
        <f t="shared" si="3"/>
        <v>1.062303203906463</v>
      </c>
      <c r="P10" s="633">
        <f t="shared" si="4"/>
        <v>-0.43750091234275168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1.062303203906463</v>
      </c>
      <c r="S10" s="634">
        <f t="shared" ref="S10:S105" si="80">IF(M10="","",P10)</f>
        <v>-0.43750091234275168</v>
      </c>
      <c r="T10" s="635">
        <f t="shared" ref="T10:T105" si="81">IF(M10="","",X10*COS(RADIANS(W10)))</f>
        <v>1.0621881425562736</v>
      </c>
      <c r="U10" s="629">
        <f t="shared" ref="U10:U105" si="82">IF(M10="","",X10*SIN(RADIANS(W10)))</f>
        <v>1.563479589857119E-2</v>
      </c>
      <c r="V10" s="636">
        <f>IF(M10="","",Y10)</f>
        <v>-0.43750091234275168</v>
      </c>
      <c r="W10" s="585">
        <f t="shared" si="5"/>
        <v>0.84329987824256136</v>
      </c>
      <c r="X10" s="629">
        <f t="shared" ref="X10:X105" si="83">IF(M10="","",R10)</f>
        <v>1.062303203906463</v>
      </c>
      <c r="Y10" s="630">
        <f>IF(M10="","",S10)</f>
        <v>-0.43750091234275168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6.6987279208207212E-2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3.9671296450865721</v>
      </c>
      <c r="AQ10" s="586">
        <f t="shared" si="9"/>
        <v>2.1450198514361074</v>
      </c>
      <c r="AS10" s="52">
        <f>IF($M10="","",IF(AND($W10&lt;($AS$9+180),$W10&gt;($AS$9-180)),$W10,IF($W10&gt;($AS$9+180),$W10-360,IF($W10&lt;($AS$9-180),$W10+360,"Error"))))</f>
        <v>0.84329987824256136</v>
      </c>
      <c r="AT10" s="72">
        <f t="shared" si="10"/>
        <v>-0.43750091234275168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4.2685124901004113E-18</v>
      </c>
      <c r="C11" s="708">
        <v>1.7686053341136876</v>
      </c>
      <c r="D11" s="709">
        <v>-0.24820034141222974</v>
      </c>
      <c r="E11" s="710">
        <v>-0.9659258360722075</v>
      </c>
      <c r="F11" s="708">
        <v>-5.0271535051510802E-2</v>
      </c>
      <c r="G11" s="711">
        <v>0.2538898421988795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4.2685124901004113E-18</v>
      </c>
      <c r="O11" s="629">
        <f t="shared" si="3"/>
        <v>1.7686053341136876</v>
      </c>
      <c r="P11" s="633">
        <f t="shared" si="4"/>
        <v>-0.24820034141222974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1.7686053341136876</v>
      </c>
      <c r="S11" s="634">
        <f t="shared" si="80"/>
        <v>-0.24820034141222974</v>
      </c>
      <c r="T11" s="635">
        <f t="shared" si="81"/>
        <v>1.7684137709922105</v>
      </c>
      <c r="U11" s="629">
        <f t="shared" si="82"/>
        <v>2.6030029206639368E-2</v>
      </c>
      <c r="V11" s="636">
        <f t="shared" ref="V11:V105" si="114">IF(M11="","",Y11)</f>
        <v>-0.24820034141222974</v>
      </c>
      <c r="W11" s="585">
        <f t="shared" si="5"/>
        <v>0.84329987824256136</v>
      </c>
      <c r="X11" s="629">
        <f>IF(M11="","",R11)</f>
        <v>1.7686053341136876</v>
      </c>
      <c r="Y11" s="630">
        <f>IF(M11="","",S11)</f>
        <v>-0.24820034141222974</v>
      </c>
      <c r="Z11" s="632">
        <f t="shared" si="6"/>
        <v>0.9659258360722075</v>
      </c>
      <c r="AA11" s="629">
        <f t="shared" si="7"/>
        <v>5.0271535051510802E-2</v>
      </c>
      <c r="AB11" s="629">
        <f t="shared" si="8"/>
        <v>-0.2538898421988795</v>
      </c>
      <c r="AC11" s="636">
        <f t="shared" si="84"/>
        <v>1</v>
      </c>
      <c r="AD11" s="637">
        <f t="shared" ref="AD11:AD105" si="115">IF(M11="","",Z11*(1/SQRT(Z11^2+AA11^2+AB11^2)))</f>
        <v>0.9659258360722075</v>
      </c>
      <c r="AE11" s="629">
        <f t="shared" si="85"/>
        <v>5.0271535051510802E-2</v>
      </c>
      <c r="AF11" s="633">
        <f t="shared" si="86"/>
        <v>-0.2538898421988795</v>
      </c>
      <c r="AG11" s="602">
        <f>IF(M11="","",DEGREES(ATAN2(-AF11,AE11)))</f>
        <v>11.19999838292031</v>
      </c>
      <c r="AH11" s="603">
        <f t="shared" si="88"/>
        <v>14.99999783426823</v>
      </c>
      <c r="AI11" s="585">
        <f t="shared" si="89"/>
        <v>-75.292186949482485</v>
      </c>
      <c r="AJ11" s="586">
        <f t="shared" si="90"/>
        <v>92.979266377344999</v>
      </c>
      <c r="AK11" s="635">
        <f>IF(M11="","",(COS(RADIANS((90-$Q$8)-W11))*AD11)+(-SIN(RADIANS((90-$Q$8)-W11))*AE11))</f>
        <v>0.9659258360722075</v>
      </c>
      <c r="AL11" s="629">
        <f t="shared" si="91"/>
        <v>5.0271535051510802E-2</v>
      </c>
      <c r="AM11" s="634">
        <f t="shared" si="92"/>
        <v>-0.2538898421988795</v>
      </c>
      <c r="AN11" s="581">
        <f>IF(M11="","",DEGREES(ATAN2(-AM11,AL11)))</f>
        <v>11.19999838292031</v>
      </c>
      <c r="AO11" s="582">
        <f>IF(ROUND(IF(M11="",0,DEGREES(ACOS(AK11))),4)=90,0,IF(M11="","",DEGREES(ACOS(AK11))))</f>
        <v>14.99999783426823</v>
      </c>
      <c r="AP11" s="585">
        <f t="shared" si="95"/>
        <v>2.9792663773450143</v>
      </c>
      <c r="AQ11" s="586">
        <f t="shared" si="9"/>
        <v>1.2887794101394543</v>
      </c>
      <c r="AS11" s="52">
        <f t="shared" ref="AS11:AS42" si="116">IF(G11="","",IF(AND(W11&lt;(AS10+180),W11&gt;(AS10-180)),W11,IF(W11&gt;(AS10+180),W11-360,IF(W11&lt;(AS10-180),W11+360,"Error"))))</f>
        <v>0.84329987824256136</v>
      </c>
      <c r="AT11" s="72">
        <f t="shared" si="10"/>
        <v>-0.24820034141222974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3.7798440013847849E-2</v>
      </c>
      <c r="C12" s="708">
        <v>2.5679295751793485</v>
      </c>
      <c r="D12" s="709">
        <v>-0.24010031698255613</v>
      </c>
      <c r="E12" s="710">
        <v>-0.96136899540475529</v>
      </c>
      <c r="F12" s="708">
        <v>0.1385968298478702</v>
      </c>
      <c r="G12" s="711">
        <v>0.23782466951637329</v>
      </c>
      <c r="H12" s="710">
        <v>0.314</v>
      </c>
      <c r="I12" s="708">
        <v>0.52</v>
      </c>
      <c r="J12" s="570">
        <v>1.113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3.7798440013847849E-2</v>
      </c>
      <c r="O12" s="629">
        <f t="shared" si="3"/>
        <v>2.5679295751793485</v>
      </c>
      <c r="P12" s="633">
        <f t="shared" si="4"/>
        <v>-0.24010031698255613</v>
      </c>
      <c r="Q12" s="585">
        <f>IF(M12="","",IF(DEGREES(ATAN2(N12,O12))&lt;0,DEGREES(ATAN2(N12,O12))+360,IF(DEGREES(ATAN2(N12,O12))&gt;360,DEGREES(ATAN2(N12,O12))-360,DEGREES(ATAN2(N12,O12)))))</f>
        <v>89.156700121757439</v>
      </c>
      <c r="R12" s="629">
        <f t="shared" si="79"/>
        <v>2.5682077457145613</v>
      </c>
      <c r="S12" s="634">
        <f t="shared" si="80"/>
        <v>-0.24010031698255613</v>
      </c>
      <c r="T12" s="635">
        <f>IF(M12="","",X12*COS(RADIANS(W12)))</f>
        <v>2.5682077457145613</v>
      </c>
      <c r="U12" s="629">
        <f t="shared" si="82"/>
        <v>0</v>
      </c>
      <c r="V12" s="636">
        <f t="shared" si="114"/>
        <v>-0.24010031698255613</v>
      </c>
      <c r="W12" s="585">
        <f>IF(M12="","",IF(Q12-$Q$8&lt;0,360+Q12-$Q$8,Q12-$Q$8))</f>
        <v>0</v>
      </c>
      <c r="X12" s="629">
        <f t="shared" si="83"/>
        <v>2.5682077457145613</v>
      </c>
      <c r="Y12" s="630">
        <f>IF(M12="","",S12)</f>
        <v>-0.24010031698255613</v>
      </c>
      <c r="Z12" s="632">
        <f t="shared" si="6"/>
        <v>0.96136899540475529</v>
      </c>
      <c r="AA12" s="629">
        <f t="shared" si="7"/>
        <v>-0.1385968298478702</v>
      </c>
      <c r="AB12" s="629">
        <f t="shared" si="8"/>
        <v>-0.23782466951637329</v>
      </c>
      <c r="AC12" s="636">
        <f t="shared" si="84"/>
        <v>1</v>
      </c>
      <c r="AD12" s="637">
        <f t="shared" si="115"/>
        <v>0.96136899540475529</v>
      </c>
      <c r="AE12" s="629">
        <f t="shared" si="85"/>
        <v>-0.1385968298478702</v>
      </c>
      <c r="AF12" s="633">
        <f t="shared" si="86"/>
        <v>-0.23782466951637329</v>
      </c>
      <c r="AG12" s="602">
        <f t="shared" si="87"/>
        <v>-30.232303755051429</v>
      </c>
      <c r="AH12" s="603">
        <f t="shared" si="88"/>
        <v>15.977680871919905</v>
      </c>
      <c r="AI12" s="585">
        <f t="shared" si="89"/>
        <v>-76.241813917504928</v>
      </c>
      <c r="AJ12" s="586">
        <f t="shared" si="90"/>
        <v>81.796412737770169</v>
      </c>
      <c r="AK12" s="635">
        <f t="shared" ref="AK12:AK105" si="211">IF(M12="","",(COS(RADIANS((90-$Q$8)-W12))*AD12)+(-SIN(RADIANS((90-$Q$8)-W12))*AE12))</f>
        <v>0.96330471086212854</v>
      </c>
      <c r="AL12" s="629">
        <f>IF(M12="","",(SIN(RADIANS((90-$Q$8)-W12))*AD12)+(COS(RADIANS((90-$Q$8)-W12))*AE12))</f>
        <v>-0.12443255442310462</v>
      </c>
      <c r="AM12" s="634">
        <f t="shared" si="92"/>
        <v>-0.23782466951637329</v>
      </c>
      <c r="AN12" s="581">
        <f>IF(M12="","",DEGREES(ATAN2(-AM12,AL12)))</f>
        <v>-27.61907267825082</v>
      </c>
      <c r="AO12" s="582">
        <f t="shared" si="94"/>
        <v>15.569686209535989</v>
      </c>
      <c r="AP12" s="585">
        <f t="shared" si="95"/>
        <v>-7.3602873839872709</v>
      </c>
      <c r="AQ12" s="586">
        <f t="shared" si="9"/>
        <v>0.88760119325325526</v>
      </c>
      <c r="AS12" s="52">
        <f t="shared" si="116"/>
        <v>0</v>
      </c>
      <c r="AT12" s="72">
        <f>IF(M12="","",Y12+(((AS12-$AS$9)*$AS$6)*-1))</f>
        <v>-0.2395146920671099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0.10469745186477294</v>
      </c>
      <c r="C13" s="708">
        <v>3.2472224013361886</v>
      </c>
      <c r="D13" s="709">
        <v>-0.64800154721266645</v>
      </c>
      <c r="E13" s="710">
        <v>-0.92268705899980497</v>
      </c>
      <c r="F13" s="708">
        <v>0.32309129626743638</v>
      </c>
      <c r="G13" s="711">
        <v>0.21038204635975533</v>
      </c>
      <c r="H13" s="710">
        <v>0.314</v>
      </c>
      <c r="I13" s="708">
        <v>0.52</v>
      </c>
      <c r="J13" s="570">
        <v>1.119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420</v>
      </c>
      <c r="M13" s="168">
        <f t="shared" si="1"/>
        <v>1.119</v>
      </c>
      <c r="N13" s="632">
        <f t="shared" si="2"/>
        <v>0.10469745186477294</v>
      </c>
      <c r="O13" s="629">
        <f t="shared" si="3"/>
        <v>3.2472224013361886</v>
      </c>
      <c r="P13" s="633">
        <f t="shared" si="4"/>
        <v>-0.64800154721266645</v>
      </c>
      <c r="Q13" s="585">
        <f t="shared" si="113"/>
        <v>88.153300266630467</v>
      </c>
      <c r="R13" s="629">
        <f t="shared" si="79"/>
        <v>3.2489097987119524</v>
      </c>
      <c r="S13" s="634">
        <f t="shared" si="80"/>
        <v>-0.64800154721266645</v>
      </c>
      <c r="T13" s="635">
        <f>IF(M13="","",X13*COS(RADIANS(W13)))</f>
        <v>3.2484116037150361</v>
      </c>
      <c r="U13" s="629">
        <f t="shared" si="82"/>
        <v>-5.6894050796611556E-2</v>
      </c>
      <c r="V13" s="636">
        <f t="shared" si="114"/>
        <v>-0.64800154721266645</v>
      </c>
      <c r="W13" s="585">
        <f t="shared" si="5"/>
        <v>358.99660014487301</v>
      </c>
      <c r="X13" s="629">
        <f t="shared" si="83"/>
        <v>3.2489097987119524</v>
      </c>
      <c r="Y13" s="630">
        <f>IF(M13="","",S13)</f>
        <v>-0.64800154721266645</v>
      </c>
      <c r="Z13" s="632">
        <f t="shared" si="6"/>
        <v>0.92268705899980497</v>
      </c>
      <c r="AA13" s="629">
        <f t="shared" si="7"/>
        <v>-0.32309129626743638</v>
      </c>
      <c r="AB13" s="629">
        <f t="shared" si="8"/>
        <v>-0.21038204635975533</v>
      </c>
      <c r="AC13" s="636">
        <f t="shared" si="84"/>
        <v>1</v>
      </c>
      <c r="AD13" s="637">
        <f>IF(M13="","",Z13*(1/SQRT(Z13^2+AA13^2+AB13^2)))</f>
        <v>0.92268705899980497</v>
      </c>
      <c r="AE13" s="629">
        <f t="shared" si="85"/>
        <v>-0.32309129626743638</v>
      </c>
      <c r="AF13" s="633">
        <f t="shared" si="86"/>
        <v>-0.21038204635975533</v>
      </c>
      <c r="AG13" s="602">
        <f>IF(M13="","",DEGREES(ATAN2(-AF13,AE13)))</f>
        <v>-56.929693755495904</v>
      </c>
      <c r="AH13" s="603">
        <f t="shared" si="88"/>
        <v>22.677872157115964</v>
      </c>
      <c r="AI13" s="585">
        <f t="shared" si="89"/>
        <v>-77.855257929899096</v>
      </c>
      <c r="AJ13" s="586">
        <f t="shared" si="90"/>
        <v>70.701610539066735</v>
      </c>
      <c r="AK13" s="635">
        <f t="shared" si="211"/>
        <v>0.93261958951501733</v>
      </c>
      <c r="AL13" s="629">
        <f t="shared" si="91"/>
        <v>-0.2931895220200112</v>
      </c>
      <c r="AM13" s="634">
        <f t="shared" si="92"/>
        <v>-0.21038204635975533</v>
      </c>
      <c r="AN13" s="581">
        <f t="shared" si="93"/>
        <v>-54.338165528924435</v>
      </c>
      <c r="AO13" s="582">
        <f t="shared" si="94"/>
        <v>21.153085792580288</v>
      </c>
      <c r="AP13" s="585">
        <f t="shared" si="95"/>
        <v>-17.45168972756376</v>
      </c>
      <c r="AQ13" s="586">
        <f t="shared" si="9"/>
        <v>0.70165465010080152</v>
      </c>
      <c r="AS13" s="52">
        <f t="shared" si="116"/>
        <v>-1.003399855126986</v>
      </c>
      <c r="AT13" s="72">
        <f t="shared" si="10"/>
        <v>-0.6467191168422709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1.119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0.15589297006017366</v>
      </c>
      <c r="C14" s="708">
        <v>3.6208565632336942</v>
      </c>
      <c r="D14" s="709">
        <v>-1.3441036466565992</v>
      </c>
      <c r="E14" s="710">
        <v>-0.86871621831821177</v>
      </c>
      <c r="F14" s="708">
        <v>0.48346437469027631</v>
      </c>
      <c r="G14" s="711">
        <v>0.10767697263688891</v>
      </c>
      <c r="H14" s="710">
        <v>0.314</v>
      </c>
      <c r="I14" s="708">
        <v>0.52</v>
      </c>
      <c r="J14" s="570">
        <v>1.125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</v>
      </c>
      <c r="N14" s="632">
        <f t="shared" si="2"/>
        <v>0.15589297006017366</v>
      </c>
      <c r="O14" s="629">
        <f t="shared" si="3"/>
        <v>3.6208565632336942</v>
      </c>
      <c r="P14" s="633">
        <f t="shared" si="4"/>
        <v>-1.3441036466565992</v>
      </c>
      <c r="Q14" s="585">
        <f t="shared" si="113"/>
        <v>87.534700355945233</v>
      </c>
      <c r="R14" s="629">
        <f t="shared" si="79"/>
        <v>3.6242109306201677</v>
      </c>
      <c r="S14" s="634">
        <f t="shared" si="80"/>
        <v>-1.3441036466565992</v>
      </c>
      <c r="T14" s="635">
        <f t="shared" si="81"/>
        <v>3.6227587829732881</v>
      </c>
      <c r="U14" s="629">
        <f t="shared" si="82"/>
        <v>-0.10258494049617198</v>
      </c>
      <c r="V14" s="636">
        <f t="shared" si="114"/>
        <v>-1.3441036466565992</v>
      </c>
      <c r="W14" s="585">
        <f t="shared" si="5"/>
        <v>358.37800023418777</v>
      </c>
      <c r="X14" s="629">
        <f t="shared" si="83"/>
        <v>3.6242109306201677</v>
      </c>
      <c r="Y14" s="630">
        <f t="shared" ref="Y14:Y75" si="223">IF(M14="","",S14)</f>
        <v>-1.3441036466565992</v>
      </c>
      <c r="Z14" s="632">
        <f t="shared" si="6"/>
        <v>0.86871621831821177</v>
      </c>
      <c r="AA14" s="629">
        <f t="shared" si="7"/>
        <v>-0.48346437469027631</v>
      </c>
      <c r="AB14" s="629">
        <f t="shared" si="8"/>
        <v>-0.10767697263688891</v>
      </c>
      <c r="AC14" s="636">
        <f t="shared" si="84"/>
        <v>1</v>
      </c>
      <c r="AD14" s="637">
        <f>IF(M14="","",Z14*(1/SQRT(Z14^2+AA14^2+AB14^2)))</f>
        <v>0.86871621831821177</v>
      </c>
      <c r="AE14" s="629">
        <f t="shared" si="85"/>
        <v>-0.48346437469027631</v>
      </c>
      <c r="AF14" s="633">
        <f t="shared" si="86"/>
        <v>-0.10767697263688891</v>
      </c>
      <c r="AG14" s="602">
        <f t="shared" si="87"/>
        <v>-77.444040773869531</v>
      </c>
      <c r="AH14" s="603">
        <f t="shared" si="88"/>
        <v>29.690203214323954</v>
      </c>
      <c r="AI14" s="585">
        <f t="shared" si="89"/>
        <v>-83.818579536609946</v>
      </c>
      <c r="AJ14" s="586">
        <f t="shared" si="90"/>
        <v>60.902863739381637</v>
      </c>
      <c r="AK14" s="635">
        <f>IF(M14="","",(COS(RADIANS((90-$Q$8)-W14))*AD14)+(-SIN(RADIANS((90-$Q$8)-W14))*AE14))</f>
        <v>0.88870807456635958</v>
      </c>
      <c r="AL14" s="629">
        <f t="shared" si="91"/>
        <v>-0.44564966931919586</v>
      </c>
      <c r="AM14" s="634">
        <f t="shared" si="92"/>
        <v>-0.10767697263688891</v>
      </c>
      <c r="AN14" s="581">
        <f t="shared" si="93"/>
        <v>-76.416644465358388</v>
      </c>
      <c r="AO14" s="582">
        <f t="shared" si="94"/>
        <v>27.288649597161989</v>
      </c>
      <c r="AP14" s="585">
        <f>IF(M14="","",DEGREES(ATAN2(AK14,AL14)))</f>
        <v>-26.631836616563604</v>
      </c>
      <c r="AQ14" s="586">
        <f t="shared" si="9"/>
        <v>0.62900175811507575</v>
      </c>
      <c r="AS14" s="52">
        <f t="shared" si="116"/>
        <v>-1.6219997658122338</v>
      </c>
      <c r="AT14" s="72">
        <f t="shared" si="10"/>
        <v>-1.3423916330148944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0.16615136559745414</v>
      </c>
      <c r="C15" s="708">
        <v>3.687770089050705</v>
      </c>
      <c r="D15" s="709">
        <v>-2.1101059569195648</v>
      </c>
      <c r="E15" s="710">
        <v>-0.84264327581422005</v>
      </c>
      <c r="F15" s="708">
        <v>0.53847219958421955</v>
      </c>
      <c r="G15" s="711">
        <v>1.1339743345092632E-7</v>
      </c>
      <c r="H15" s="710">
        <v>0.314</v>
      </c>
      <c r="I15" s="708">
        <v>0.52</v>
      </c>
      <c r="J15" s="570">
        <v>1.131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0</v>
      </c>
      <c r="M15" s="168">
        <f t="shared" si="1"/>
        <v>1.131</v>
      </c>
      <c r="N15" s="632">
        <f t="shared" si="2"/>
        <v>0.16615136559745414</v>
      </c>
      <c r="O15" s="629">
        <f t="shared" si="3"/>
        <v>3.687770089050705</v>
      </c>
      <c r="P15" s="633">
        <f t="shared" si="4"/>
        <v>-2.1101059569195648</v>
      </c>
      <c r="Q15" s="585">
        <f t="shared" si="113"/>
        <v>87.42030057823446</v>
      </c>
      <c r="R15" s="629">
        <f t="shared" si="79"/>
        <v>3.691511141251905</v>
      </c>
      <c r="S15" s="634">
        <f t="shared" si="80"/>
        <v>-2.1101059569195648</v>
      </c>
      <c r="T15" s="635">
        <f t="shared" si="81"/>
        <v>3.6898160424807216</v>
      </c>
      <c r="U15" s="629">
        <f t="shared" si="82"/>
        <v>-0.11185740314725803</v>
      </c>
      <c r="V15" s="636">
        <f t="shared" si="114"/>
        <v>-2.1101059569195648</v>
      </c>
      <c r="W15" s="585">
        <f t="shared" ref="W15:W78" si="224">IF(M15="","",IF(Q15-$Q$8&lt;0,360+Q15-$Q$8,Q15-$Q$8))</f>
        <v>358.26360045647698</v>
      </c>
      <c r="X15" s="629">
        <f>IF(M15="","",R15)</f>
        <v>3.691511141251905</v>
      </c>
      <c r="Y15" s="630">
        <f>IF(M15="","",S15)</f>
        <v>-2.1101059569195648</v>
      </c>
      <c r="Z15" s="632">
        <f t="shared" si="6"/>
        <v>0.84264327581422005</v>
      </c>
      <c r="AA15" s="629">
        <f t="shared" si="7"/>
        <v>-0.53847219958421955</v>
      </c>
      <c r="AB15" s="629">
        <f t="shared" si="8"/>
        <v>-1.1339743345092632E-7</v>
      </c>
      <c r="AC15" s="636">
        <f t="shared" si="84"/>
        <v>1</v>
      </c>
      <c r="AD15" s="637">
        <f t="shared" si="115"/>
        <v>0.84264327581422005</v>
      </c>
      <c r="AE15" s="629">
        <f t="shared" si="85"/>
        <v>-0.53847219958421955</v>
      </c>
      <c r="AF15" s="633">
        <f t="shared" si="86"/>
        <v>-1.1339743345092632E-7</v>
      </c>
      <c r="AG15" s="602">
        <f t="shared" si="87"/>
        <v>-89.999987934020837</v>
      </c>
      <c r="AH15" s="603">
        <f t="shared" si="88"/>
        <v>32.579695296073915</v>
      </c>
      <c r="AI15" s="585">
        <f t="shared" si="89"/>
        <v>-89.999993502805651</v>
      </c>
      <c r="AJ15" s="586">
        <f t="shared" si="90"/>
        <v>57.420304703926654</v>
      </c>
      <c r="AK15" s="635">
        <f t="shared" si="211"/>
        <v>0.86602543978788771</v>
      </c>
      <c r="AL15" s="629">
        <f t="shared" si="91"/>
        <v>-0.49999993764017925</v>
      </c>
      <c r="AM15" s="634">
        <f t="shared" si="92"/>
        <v>-1.1339743345092632E-7</v>
      </c>
      <c r="AN15" s="581">
        <f>IF(M15="","",DEGREES(ATAN2(-AM15,AL15)))</f>
        <v>-89.999987005609697</v>
      </c>
      <c r="AO15" s="582">
        <f t="shared" si="94"/>
        <v>29.999995874308386</v>
      </c>
      <c r="AP15" s="585">
        <f t="shared" si="95"/>
        <v>-29.999995874307761</v>
      </c>
      <c r="AQ15" s="586">
        <f t="shared" si="9"/>
        <v>0.61753527718594214</v>
      </c>
      <c r="AS15" s="52">
        <f t="shared" si="116"/>
        <v>-1.7363995435230208</v>
      </c>
      <c r="AT15" s="72">
        <f t="shared" si="10"/>
        <v>-2.1083144989877831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0.93073305642452397</v>
      </c>
      <c r="C16" s="708">
        <v>3.1585333970256837</v>
      </c>
      <c r="D16" s="709">
        <v>-0.65660157315034462</v>
      </c>
      <c r="E16" s="710">
        <v>-0.75979265026324105</v>
      </c>
      <c r="F16" s="708">
        <v>0.59722840183746528</v>
      </c>
      <c r="G16" s="711">
        <v>0.25696957922024088</v>
      </c>
      <c r="H16" s="710">
        <v>0.26600000000000001</v>
      </c>
      <c r="I16" s="708">
        <v>0.52</v>
      </c>
      <c r="J16" s="570">
        <v>1.2190000000000001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1.2190000000000001</v>
      </c>
      <c r="N16" s="632">
        <f t="shared" si="2"/>
        <v>0.93073305642452397</v>
      </c>
      <c r="O16" s="629">
        <f t="shared" si="3"/>
        <v>3.1585333970256837</v>
      </c>
      <c r="P16" s="633">
        <f t="shared" si="4"/>
        <v>-0.65660157315034462</v>
      </c>
      <c r="Q16" s="585">
        <f>IF(M16="","",IF(DEGREES(ATAN2(N16,O16))&lt;0,DEGREES(ATAN2(N16,O16))+360,IF(DEGREES(ATAN2(N16,O16))&gt;360,DEGREES(ATAN2(N16,O16))-360,DEGREES(ATAN2(N16,O16)))))</f>
        <v>73.581202370581082</v>
      </c>
      <c r="R16" s="629">
        <f t="shared" si="79"/>
        <v>3.2928099311147525</v>
      </c>
      <c r="S16" s="634">
        <f t="shared" si="80"/>
        <v>-0.65660157315034462</v>
      </c>
      <c r="T16" s="635">
        <f t="shared" si="81"/>
        <v>3.171889655581428</v>
      </c>
      <c r="U16" s="629">
        <f t="shared" si="82"/>
        <v>-0.88414549439754109</v>
      </c>
      <c r="V16" s="636">
        <f t="shared" si="114"/>
        <v>-0.65660157315034462</v>
      </c>
      <c r="W16" s="585">
        <f>IF(M16="","",IF(Q16-$Q$8&lt;0,360+Q16-$Q$8,Q16-$Q$8))</f>
        <v>344.42450224882361</v>
      </c>
      <c r="X16" s="629">
        <f t="shared" si="83"/>
        <v>3.2928099311147525</v>
      </c>
      <c r="Y16" s="630">
        <f t="shared" si="223"/>
        <v>-0.65660157315034462</v>
      </c>
      <c r="Z16" s="632">
        <f t="shared" si="6"/>
        <v>0.75979265026324105</v>
      </c>
      <c r="AA16" s="629">
        <f t="shared" si="7"/>
        <v>-0.59722840183746528</v>
      </c>
      <c r="AB16" s="629">
        <f t="shared" si="8"/>
        <v>-0.25696957922024088</v>
      </c>
      <c r="AC16" s="636">
        <f t="shared" si="84"/>
        <v>1</v>
      </c>
      <c r="AD16" s="637">
        <f t="shared" si="115"/>
        <v>0.75979265026324105</v>
      </c>
      <c r="AE16" s="629">
        <f t="shared" si="85"/>
        <v>-0.59722840183746528</v>
      </c>
      <c r="AF16" s="633">
        <f t="shared" si="86"/>
        <v>-0.25696957922024088</v>
      </c>
      <c r="AG16" s="602">
        <f t="shared" si="87"/>
        <v>-66.719231343040434</v>
      </c>
      <c r="AH16" s="603">
        <f t="shared" si="88"/>
        <v>40.554078196952588</v>
      </c>
      <c r="AI16" s="585">
        <f t="shared" si="89"/>
        <v>-75.109676625626065</v>
      </c>
      <c r="AJ16" s="586">
        <f t="shared" si="90"/>
        <v>51.831190549124166</v>
      </c>
      <c r="AK16" s="635">
        <f t="shared" si="211"/>
        <v>0.89761958276656306</v>
      </c>
      <c r="AL16" s="629">
        <f t="shared" si="91"/>
        <v>-0.35811411587558772</v>
      </c>
      <c r="AM16" s="634">
        <f t="shared" si="92"/>
        <v>-0.25696957922024088</v>
      </c>
      <c r="AN16" s="581">
        <f t="shared" si="93"/>
        <v>-54.338162799510108</v>
      </c>
      <c r="AO16" s="582">
        <f t="shared" si="94"/>
        <v>26.153085056698767</v>
      </c>
      <c r="AP16" s="585">
        <f t="shared" si="95"/>
        <v>-21.75001182145693</v>
      </c>
      <c r="AQ16" s="586">
        <f t="shared" si="9"/>
        <v>0.69230102373166491</v>
      </c>
      <c r="AS16" s="52">
        <f t="shared" si="116"/>
        <v>-15.575497751176385</v>
      </c>
      <c r="AT16" s="72">
        <f t="shared" si="10"/>
        <v>-0.64519963035213701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1.2190000000000001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1.119</v>
      </c>
      <c r="II16" s="734" cm="1">
        <f t="array" ref="II16">IFERROR(ROUND(VALUE(IF($IH16&lt;1,$IH16+LARGE((IF($M$9:$M$150="",0,$M$9:$M$150)-MOD(IF($M$9:$M$150="",0,$M$9:$M$150),1)),1),$IH16)),4),"")</f>
        <v>1.119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14.572097896049399</v>
      </c>
      <c r="IM16" s="759">
        <v>5.5638174110473502E-3</v>
      </c>
      <c r="IN16" s="5">
        <f>IF(ISNUMBER($II16),(($IO16*12)/60)/$AS$3,"")</f>
        <v>0.92</v>
      </c>
      <c r="IO16" s="771">
        <v>460</v>
      </c>
      <c r="IP16" s="9">
        <f>IF(ISNUMBER($II16),(INDEX($X$9:$X$150,MATCH($II16,$M$9:$M$150,0))*-1),"")</f>
        <v>-3.2489097987119524</v>
      </c>
      <c r="IQ16" s="5">
        <f>IF(ISNUMBER($II16),INDEX($Y$9:$Y$150,MATCH($II16,$M$9:$M$150,0)),"")</f>
        <v>-0.64800154721266645</v>
      </c>
      <c r="IR16" s="5">
        <f t="shared" si="71"/>
        <v>0.314</v>
      </c>
      <c r="IS16" s="5">
        <f>IF(ISNUMBER($II16),$IR16*COS(RADIANS(INDEX($AO$9:$AO$150,MATCH($II16,$M$9:$M$150,0)))),"")</f>
        <v>0.29284255110771545</v>
      </c>
      <c r="IT16" s="727">
        <f>IF(ISNUMBER($II16),(-1*INDEX($AN$9:$AN$150,MATCH($II16,$M$9:$M$150,0))),"")</f>
        <v>54.338165528924435</v>
      </c>
      <c r="IU16" s="9">
        <f>IF(ISNUMBER($II16),-$X16,"")</f>
        <v>-3.2928099311147525</v>
      </c>
      <c r="IV16" s="5">
        <f>IF(ISNUMBER($II16),$Y16,"")</f>
        <v>-0.65660157315034462</v>
      </c>
      <c r="IW16" s="5">
        <f t="shared" si="76"/>
        <v>0.26600000000000001</v>
      </c>
      <c r="IX16" s="5">
        <f>IF(ISNUMBER($II16),$IW16*COS(RADIANS($AO16)),"")</f>
        <v>0.23876680901590583</v>
      </c>
      <c r="IY16" s="762">
        <f>IF(ISNUMBER($II16),(-1*$AN16),"")</f>
        <v>54.338162799510108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1.0156066801968411</v>
      </c>
      <c r="C17" s="708">
        <v>3.5337632712536609</v>
      </c>
      <c r="D17" s="709">
        <v>-1.3708037271840412</v>
      </c>
      <c r="E17" s="710">
        <v>-0.66905320966224602</v>
      </c>
      <c r="F17" s="708">
        <v>0.73254894382510138</v>
      </c>
      <c r="G17" s="711">
        <v>0.12545854909640605</v>
      </c>
      <c r="H17" s="710">
        <v>0.26600000000000001</v>
      </c>
      <c r="I17" s="708">
        <v>0.52</v>
      </c>
      <c r="J17" s="570">
        <v>1.2250000000000001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1.2250000000000001</v>
      </c>
      <c r="N17" s="632">
        <f t="shared" si="2"/>
        <v>1.0156066801968411</v>
      </c>
      <c r="O17" s="629">
        <f t="shared" si="3"/>
        <v>3.5337632712536609</v>
      </c>
      <c r="P17" s="633">
        <f t="shared" si="4"/>
        <v>-1.3708037271840412</v>
      </c>
      <c r="Q17" s="585">
        <f>IF(M17="","",IF(DEGREES(ATAN2(N17,O17))&lt;0,DEGREES(ATAN2(N17,O17))+360,IF(DEGREES(ATAN2(N17,O17))&gt;360,DEGREES(ATAN2(N17,O17))-360,DEGREES(ATAN2(N17,O17)))))</f>
        <v>73.965302315123921</v>
      </c>
      <c r="R17" s="629">
        <f>IF(M17="","",SQRT(N17^2+O17^2))</f>
        <v>3.6768110892622459</v>
      </c>
      <c r="S17" s="634">
        <f>IF(M17="","",P17)</f>
        <v>-1.3708037271840412</v>
      </c>
      <c r="T17" s="635">
        <f>IF(M17="","",X17*COS(RADIANS(W17)))</f>
        <v>3.548328042900744</v>
      </c>
      <c r="U17" s="629">
        <f>IF(M17="","",X17*SIN(RADIANS(W17)))</f>
        <v>-0.96348735647438555</v>
      </c>
      <c r="V17" s="636">
        <f>IF(M17="","",Y17)</f>
        <v>-1.3708037271840412</v>
      </c>
      <c r="W17" s="585">
        <f t="shared" si="224"/>
        <v>344.80860219336648</v>
      </c>
      <c r="X17" s="629">
        <f>IF(M17="","",R17)</f>
        <v>3.6768110892622459</v>
      </c>
      <c r="Y17" s="630">
        <f t="shared" si="223"/>
        <v>-1.3708037271840412</v>
      </c>
      <c r="Z17" s="632">
        <f t="shared" si="6"/>
        <v>0.66905320966224602</v>
      </c>
      <c r="AA17" s="629">
        <f t="shared" si="7"/>
        <v>-0.73254894382510138</v>
      </c>
      <c r="AB17" s="629">
        <f t="shared" si="8"/>
        <v>-0.12545854909640605</v>
      </c>
      <c r="AC17" s="636">
        <f>IF(M17="","",SQRT(Z17^2+AA17^2+AB17^2))</f>
        <v>1</v>
      </c>
      <c r="AD17" s="637">
        <f>IF(M17="","",Z17*(1/SQRT(Z17^2+AA17^2+AB17^2)))</f>
        <v>0.66905320966224602</v>
      </c>
      <c r="AE17" s="629">
        <f>IF(M17="","",AA17*(1/SQRT(Z17^2+AA17^2+AB17^2)))</f>
        <v>-0.73254894382510138</v>
      </c>
      <c r="AF17" s="633">
        <f>IF(M17="","",AB17*(1/SQRT(Z17^2+AA17^2+AB17^2)))</f>
        <v>-0.12545854909640605</v>
      </c>
      <c r="AG17" s="602">
        <f>IF(M17="","",DEGREES(ATAN2(-AF17,AE17)))</f>
        <v>-80.281635948719781</v>
      </c>
      <c r="AH17" s="603">
        <f>IF(M17="","",DEGREES(ACOS(AD17)))</f>
        <v>48.005966934057987</v>
      </c>
      <c r="AI17" s="585">
        <f>IF(M17="","",DEGREES(-ACOS(-AF17)))</f>
        <v>-82.792762824305598</v>
      </c>
      <c r="AJ17" s="586">
        <f>IF(M17="","",DEGREES(ATAN2(-AE17,AD17)))</f>
        <v>42.40614563026471</v>
      </c>
      <c r="AK17" s="635">
        <f>IF(M17="","",(COS(RADIANS((90-$Q$8)-W17))*AD17)+(-SIN(RADIANS((90-$Q$8)-W17))*AE17))</f>
        <v>0.84536767983976191</v>
      </c>
      <c r="AL17" s="629">
        <f>IF(M17="","",(SIN(RADIANS((90-$Q$8)-W17))*AD17)+(COS(RADIANS((90-$Q$8)-W17))*AE17))</f>
        <v>-0.51924333249543286</v>
      </c>
      <c r="AM17" s="634">
        <f>IF(M17="","",AF17)</f>
        <v>-0.12545854909640605</v>
      </c>
      <c r="AN17" s="581">
        <f>IF(M17="","",DEGREES(ATAN2(-AM17,AL17)))</f>
        <v>-76.416641935674363</v>
      </c>
      <c r="AO17" s="582">
        <f t="shared" si="94"/>
        <v>32.28864884760992</v>
      </c>
      <c r="AP17" s="585">
        <f>IF(M17="","",DEGREES(ATAN2(AK17,AL17)))</f>
        <v>-31.559156684859225</v>
      </c>
      <c r="AQ17" s="586">
        <f t="shared" si="9"/>
        <v>0.62000401796018767</v>
      </c>
      <c r="AS17" s="52">
        <f t="shared" si="116"/>
        <v>-15.191397806633518</v>
      </c>
      <c r="AT17" s="72">
        <f t="shared" si="10"/>
        <v>-1.3596685204584329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1.2250000000000001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1.125</v>
      </c>
      <c r="II17" s="734" cm="1">
        <f t="array" ref="II17">IFERROR(ROUND(VALUE(IF($IH17&lt;1,$IH17+LARGE((IF($M$9:$M$150="",0,$M$9:$M$150)-MOD(IF($M$9:$M$150="",0,$M$9:$M$150),1)),1),$IH17)),4),"")</f>
        <v>1.125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13.569398040821284</v>
      </c>
      <c r="IM17" s="759">
        <v>2.9059790262367299E-4</v>
      </c>
      <c r="IN17" s="5">
        <f t="shared" ref="IN17:IN80" si="226">IF(ISNUMBER($II17),(($IO17*12)/60)/$AS$3,"")</f>
        <v>0</v>
      </c>
      <c r="IO17" s="771">
        <v>0</v>
      </c>
      <c r="IP17" s="9">
        <f t="shared" ref="IP17:IP80" si="227">IF(ISNUMBER($II17),(INDEX($X$9:$X$150,MATCH($II17,$M$9:$M$150,0))*-1),"")</f>
        <v>-3.6242109306201677</v>
      </c>
      <c r="IQ17" s="5">
        <f t="shared" ref="IQ17:IQ80" si="228">IF(ISNUMBER($II17),INDEX($Y$9:$Y$150,MATCH($II17,$M$9:$M$150,0)),"")</f>
        <v>-1.3441036466565992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0.2790543354138369</v>
      </c>
      <c r="IT17" s="727">
        <f t="shared" ref="IT17:IT80" si="230">IF(ISNUMBER($II17),(-1*INDEX($AN$9:$AN$150,MATCH($II17,$M$9:$M$150,0))),"")</f>
        <v>76.416644465358388</v>
      </c>
      <c r="IU17" s="9">
        <f t="shared" ref="IU17:IU80" si="231">IF(ISNUMBER($II17),-$X17,"")</f>
        <v>-3.6768110892622459</v>
      </c>
      <c r="IV17" s="5">
        <f t="shared" ref="IV17:IV80" si="232">IF(ISNUMBER($II17),$Y17,"")</f>
        <v>-1.3708037271840412</v>
      </c>
      <c r="IW17" s="5">
        <f t="shared" si="76"/>
        <v>0.26600000000000001</v>
      </c>
      <c r="IX17" s="5">
        <f t="shared" ref="IX17:IX80" si="233">IF(ISNUMBER($II17),$IW17*COS(RADIANS($AO17)),"")</f>
        <v>0.2248678028373767</v>
      </c>
      <c r="IY17" s="762">
        <f t="shared" ref="IY17:IY80" si="234">IF(ISNUMBER($II17),(-1*$AN17),"")</f>
        <v>76.416641935674363</v>
      </c>
    </row>
    <row r="18" spans="1:269" ht="15" customHeight="1" x14ac:dyDescent="0.25">
      <c r="A18" s="79"/>
      <c r="B18" s="707">
        <v>2.0095252529779732</v>
      </c>
      <c r="C18" s="708">
        <v>1.3231191396256858</v>
      </c>
      <c r="D18" s="709">
        <v>-0.20580000000000004</v>
      </c>
      <c r="E18" s="710">
        <v>-0.44922946245717088</v>
      </c>
      <c r="F18" s="708">
        <v>0.8584934189848169</v>
      </c>
      <c r="G18" s="711">
        <v>0.24734983246446915</v>
      </c>
      <c r="H18" s="710">
        <v>0.314</v>
      </c>
      <c r="I18" s="708">
        <v>0.52</v>
      </c>
      <c r="J18" s="570">
        <v>2.1120000000000001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2.1120000000000001</v>
      </c>
      <c r="N18" s="632">
        <f t="shared" si="2"/>
        <v>2.0095252529779732</v>
      </c>
      <c r="O18" s="629">
        <f t="shared" si="3"/>
        <v>1.3231191396256858</v>
      </c>
      <c r="P18" s="633">
        <f t="shared" si="4"/>
        <v>-0.20580000000000004</v>
      </c>
      <c r="Q18" s="585">
        <f t="shared" si="113"/>
        <v>33.361856107836871</v>
      </c>
      <c r="R18" s="629">
        <f>IF(M18="","",SQRT(N18^2+O18^2))</f>
        <v>2.4060000000000006</v>
      </c>
      <c r="S18" s="634">
        <f>IF(M18="","",P18)</f>
        <v>-0.20580000000000004</v>
      </c>
      <c r="T18" s="635">
        <f>IF(M18="","",X18*COS(RADIANS(W18)))</f>
        <v>1.3525516756414762</v>
      </c>
      <c r="U18" s="629">
        <f>IF(M18="","",X18*SIN(RADIANS(W18)))</f>
        <v>-1.9898341550791205</v>
      </c>
      <c r="V18" s="636">
        <f>IF(M18="","",Y18)</f>
        <v>-0.20580000000000004</v>
      </c>
      <c r="W18" s="585">
        <f t="shared" si="224"/>
        <v>304.20515598607938</v>
      </c>
      <c r="X18" s="629">
        <f>IF(M18="","",R18)</f>
        <v>2.4060000000000006</v>
      </c>
      <c r="Y18" s="630">
        <f t="shared" si="223"/>
        <v>-0.20580000000000004</v>
      </c>
      <c r="Z18" s="632">
        <f t="shared" si="6"/>
        <v>0.44922946245717088</v>
      </c>
      <c r="AA18" s="629">
        <f t="shared" si="7"/>
        <v>-0.8584934189848169</v>
      </c>
      <c r="AB18" s="629">
        <f t="shared" si="8"/>
        <v>-0.24734983246446915</v>
      </c>
      <c r="AC18" s="636">
        <f>IF(M18="","",SQRT(Z18^2+AA18^2+AB18^2))</f>
        <v>1</v>
      </c>
      <c r="AD18" s="637">
        <f>IF(M18="","",Z18*(1/SQRT(Z18^2+AA18^2+AB18^2)))</f>
        <v>0.44922946245717088</v>
      </c>
      <c r="AE18" s="629">
        <f>IF(M18="","",AA18*(1/SQRT(Z18^2+AA18^2+AB18^2)))</f>
        <v>-0.8584934189848169</v>
      </c>
      <c r="AF18" s="633">
        <f>IF(M18="","",AB18*(1/SQRT(Z18^2+AA18^2+AB18^2)))</f>
        <v>-0.24734983246446915</v>
      </c>
      <c r="AG18" s="602">
        <f>IF(M18="","",DEGREES(ATAN2(-AF18,AE18)))</f>
        <v>-73.927207110182991</v>
      </c>
      <c r="AH18" s="603">
        <f>IF(M18="","",DEGREES(ACOS(AD18)))</f>
        <v>63.305742197250062</v>
      </c>
      <c r="AI18" s="585">
        <f>IF(M18="","",DEGREES(-ACOS(-AF18)))</f>
        <v>-75.679255838783575</v>
      </c>
      <c r="AJ18" s="586">
        <f>IF(M18="","",DEGREES(ATAN2(-AE18,AD18)))</f>
        <v>27.622007058984533</v>
      </c>
      <c r="AK18" s="635">
        <f>IF(M18="","",(COS(RADIANS((90-$Q$8)-W18))*AD18)+(-SIN(RADIANS((90-$Q$8)-W18))*AE18))</f>
        <v>0.96406828962021207</v>
      </c>
      <c r="AL18" s="629">
        <f>IF(M18="","",(SIN(RADIANS((90-$Q$8)-W18))*AD18)+(COS(RADIANS((90-$Q$8)-W18))*AE18))</f>
        <v>-9.6904041858727363E-2</v>
      </c>
      <c r="AM18" s="634">
        <f>IF(M18="","",AF18)</f>
        <v>-0.24734983246446915</v>
      </c>
      <c r="AN18" s="581">
        <f>IF(M18="","",DEGREES(ATAN2(-AM18,AL18)))</f>
        <v>-21.393715209372125</v>
      </c>
      <c r="AO18" s="582">
        <f t="shared" si="94"/>
        <v>15.405849103083503</v>
      </c>
      <c r="AP18" s="585">
        <f>IF(M18="","",DEGREES(ATAN2(AK18,AL18)))</f>
        <v>-5.7398490488523084</v>
      </c>
      <c r="AQ18" s="586">
        <f t="shared" si="9"/>
        <v>0.94743094119291094</v>
      </c>
      <c r="AS18" s="52">
        <f t="shared" si="116"/>
        <v>-55.794844013920624</v>
      </c>
      <c r="AT18" s="72">
        <f t="shared" si="10"/>
        <v>-0.16646795563044225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2.1120000000000001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2.6436632517479888</v>
      </c>
      <c r="C19" s="708">
        <v>1.674010579822379</v>
      </c>
      <c r="D19" s="709">
        <v>-0.53500000000000014</v>
      </c>
      <c r="E19" s="710">
        <v>-0.28030820540228157</v>
      </c>
      <c r="F19" s="708">
        <v>0.93436269861339827</v>
      </c>
      <c r="G19" s="711">
        <v>0.21998558458235465</v>
      </c>
      <c r="H19" s="710">
        <v>0.314</v>
      </c>
      <c r="I19" s="708">
        <v>0.52</v>
      </c>
      <c r="J19" s="570">
        <v>2.1179999999999999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2.1179999999999999</v>
      </c>
      <c r="N19" s="632">
        <f t="shared" si="2"/>
        <v>2.6436632517479888</v>
      </c>
      <c r="O19" s="629">
        <f t="shared" si="3"/>
        <v>1.674010579822379</v>
      </c>
      <c r="P19" s="633">
        <f t="shared" si="4"/>
        <v>-0.53500000000000014</v>
      </c>
      <c r="Q19" s="585">
        <f t="shared" si="113"/>
        <v>32.342656107836874</v>
      </c>
      <c r="R19" s="629">
        <f>IF(M19="","",SQRT(N19^2+O19^2))</f>
        <v>3.1291000000000011</v>
      </c>
      <c r="S19" s="634">
        <f>IF(M19="","",P19)</f>
        <v>-0.53500000000000014</v>
      </c>
      <c r="T19" s="635">
        <f>IF(M19="","",X19*COS(RADIANS(W19)))</f>
        <v>1.7127382437292531</v>
      </c>
      <c r="U19" s="629">
        <f>IF(M19="","",X19*SIN(RADIANS(W19)))</f>
        <v>-2.6187391085152489</v>
      </c>
      <c r="V19" s="636">
        <f>IF(M19="","",Y19)</f>
        <v>-0.53500000000000014</v>
      </c>
      <c r="W19" s="585">
        <f t="shared" si="224"/>
        <v>303.18595598607942</v>
      </c>
      <c r="X19" s="629">
        <f>IF(M19="","",R19)</f>
        <v>3.1291000000000011</v>
      </c>
      <c r="Y19" s="630">
        <f t="shared" si="223"/>
        <v>-0.53500000000000014</v>
      </c>
      <c r="Z19" s="632">
        <f t="shared" si="6"/>
        <v>0.28030820540228157</v>
      </c>
      <c r="AA19" s="629">
        <f t="shared" si="7"/>
        <v>-0.93436269861339827</v>
      </c>
      <c r="AB19" s="629">
        <f t="shared" si="8"/>
        <v>-0.21998558458235465</v>
      </c>
      <c r="AC19" s="636">
        <f>IF(M19="","",SQRT(Z19^2+AA19^2+AB19^2))</f>
        <v>1</v>
      </c>
      <c r="AD19" s="637">
        <f>IF(M19="","",Z19*(1/SQRT(Z19^2+AA19^2+AB19^2)))</f>
        <v>0.28030820540228157</v>
      </c>
      <c r="AE19" s="629">
        <f>IF(M19="","",AA19*(1/SQRT(Z19^2+AA19^2+AB19^2)))</f>
        <v>-0.93436269861339827</v>
      </c>
      <c r="AF19" s="633">
        <f>IF(M19="","",AB19*(1/SQRT(Z19^2+AA19^2+AB19^2)))</f>
        <v>-0.21998558458235465</v>
      </c>
      <c r="AG19" s="602">
        <f>IF(M19="","",DEGREES(ATAN2(-AF19,AE19)))</f>
        <v>-76.751605064420957</v>
      </c>
      <c r="AH19" s="603">
        <f>IF(M19="","",DEGREES(ACOS(AD19)))</f>
        <v>73.721399775091896</v>
      </c>
      <c r="AI19" s="585">
        <f>IF(M19="","",DEGREES(-ACOS(-AF19)))</f>
        <v>-77.291813690712942</v>
      </c>
      <c r="AJ19" s="586">
        <f>IF(M19="","",DEGREES(ATAN2(-AE19,AD19)))</f>
        <v>16.699210244216758</v>
      </c>
      <c r="AK19" s="635">
        <f>IF(M19="","",(COS(RADIANS((90-$Q$8)-W19))*AD19)+(-SIN(RADIANS((90-$Q$8)-W19))*AE19))</f>
        <v>0.93936890210692059</v>
      </c>
      <c r="AL19" s="629">
        <f>IF(M19="","",(SIN(RADIANS((90-$Q$8)-W19))*AD19)+(COS(RADIANS((90-$Q$8)-W19))*AE19))</f>
        <v>-0.26304449876474967</v>
      </c>
      <c r="AM19" s="634">
        <f>IF(M19="","",AF19)</f>
        <v>-0.21998558458235465</v>
      </c>
      <c r="AN19" s="581">
        <f>IF(M19="","",DEGREES(ATAN2(-AM19,AL19)))</f>
        <v>-50.094072130663669</v>
      </c>
      <c r="AO19" s="582">
        <f t="shared" si="94"/>
        <v>20.054159567454512</v>
      </c>
      <c r="AP19" s="585">
        <f>IF(M19="","",DEGREES(ATAN2(AK19,AL19)))</f>
        <v>-15.643445863620109</v>
      </c>
      <c r="AQ19" s="586">
        <f t="shared" si="9"/>
        <v>0.72851739308566077</v>
      </c>
      <c r="AS19" s="52">
        <f t="shared" si="116"/>
        <v>-56.814044013920579</v>
      </c>
      <c r="AT19" s="72">
        <f t="shared" si="10"/>
        <v>-0.49496017785266461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2.1179999999999999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3.0469730576084944</v>
      </c>
      <c r="C20" s="708">
        <v>1.8754529042895067</v>
      </c>
      <c r="D20" s="709">
        <v>-1.1861999999999999</v>
      </c>
      <c r="E20" s="710">
        <v>-0.10957576557834696</v>
      </c>
      <c r="F20" s="708">
        <v>0.98537019244814161</v>
      </c>
      <c r="G20" s="711">
        <v>0.13053250718741144</v>
      </c>
      <c r="H20" s="710">
        <v>0.314</v>
      </c>
      <c r="I20" s="708">
        <v>0.52</v>
      </c>
      <c r="J20" s="570">
        <v>2.1240000000000001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2.1240000000000001</v>
      </c>
      <c r="N20" s="632">
        <f t="shared" si="2"/>
        <v>3.0469730576084944</v>
      </c>
      <c r="O20" s="629">
        <f t="shared" si="3"/>
        <v>1.8754529042895067</v>
      </c>
      <c r="P20" s="633">
        <f t="shared" si="4"/>
        <v>-1.1861999999999999</v>
      </c>
      <c r="Q20" s="585">
        <f t="shared" si="113"/>
        <v>31.612856107836866</v>
      </c>
      <c r="R20" s="629">
        <f>IF(M20="","",SQRT(N20^2+O20^2))</f>
        <v>3.5779000000000005</v>
      </c>
      <c r="S20" s="634">
        <f>IF(M20="","",P20)</f>
        <v>-1.1861999999999999</v>
      </c>
      <c r="T20" s="635">
        <f>IF(M20="","",X20*COS(RADIANS(W20)))</f>
        <v>1.9200945937303193</v>
      </c>
      <c r="U20" s="629">
        <f>IF(M20="","",X20*SIN(RADIANS(W20)))</f>
        <v>-3.0190404371468103</v>
      </c>
      <c r="V20" s="636">
        <f>IF(M20="","",Y20)</f>
        <v>-1.1861999999999999</v>
      </c>
      <c r="W20" s="585">
        <f t="shared" si="224"/>
        <v>302.45615598607947</v>
      </c>
      <c r="X20" s="629">
        <f>IF(M20="","",R20)</f>
        <v>3.5779000000000005</v>
      </c>
      <c r="Y20" s="630">
        <f t="shared" si="223"/>
        <v>-1.1861999999999999</v>
      </c>
      <c r="Z20" s="632">
        <f t="shared" si="6"/>
        <v>0.10957576557834696</v>
      </c>
      <c r="AA20" s="629">
        <f t="shared" si="7"/>
        <v>-0.98537019244814161</v>
      </c>
      <c r="AB20" s="629">
        <f t="shared" si="8"/>
        <v>-0.13053250718741144</v>
      </c>
      <c r="AC20" s="636">
        <f>IF(M20="","",SQRT(Z20^2+AA20^2+AB20^2))</f>
        <v>1</v>
      </c>
      <c r="AD20" s="637">
        <f>IF(M20="","",Z20*(1/SQRT(Z20^2+AA20^2+AB20^2)))</f>
        <v>0.10957576557834696</v>
      </c>
      <c r="AE20" s="629">
        <f>IF(M20="","",AA20*(1/SQRT(Z20^2+AA20^2+AB20^2)))</f>
        <v>-0.98537019244814161</v>
      </c>
      <c r="AF20" s="633">
        <f>IF(M20="","",AB20*(1/SQRT(Z20^2+AA20^2+AB20^2)))</f>
        <v>-0.13053250718741144</v>
      </c>
      <c r="AG20" s="602">
        <f>IF(M20="","",DEGREES(ATAN2(-AF20,AE20)))</f>
        <v>-82.453933861183742</v>
      </c>
      <c r="AH20" s="603">
        <f>IF(M20="","",DEGREES(ACOS(AD20)))</f>
        <v>83.709139100227418</v>
      </c>
      <c r="AI20" s="585">
        <f>IF(M20="","",DEGREES(-ACOS(-AF20)))</f>
        <v>-82.499635056730554</v>
      </c>
      <c r="AJ20" s="586">
        <f>IF(M20="","",DEGREES(ATAN2(-AE20,AD20)))</f>
        <v>6.3453718901251293</v>
      </c>
      <c r="AK20" s="635">
        <f>IF(M20="","",(COS(RADIANS((90-$Q$8)-W20))*AD20)+(-SIN(RADIANS((90-$Q$8)-W20))*AE20))</f>
        <v>0.89658755581588068</v>
      </c>
      <c r="AL20" s="629">
        <f>IF(M20="","",(SIN(RADIANS((90-$Q$8)-W20))*AD20)+(COS(RADIANS((90-$Q$8)-W20))*AE20))</f>
        <v>-0.42319265036561499</v>
      </c>
      <c r="AM20" s="634">
        <f>IF(M20="","",AF20)</f>
        <v>-0.13053250718741144</v>
      </c>
      <c r="AN20" s="581">
        <f>IF(M20="","",DEGREES(ATAN2(-AM20,AL20)))</f>
        <v>-72.857778000676205</v>
      </c>
      <c r="AO20" s="582">
        <f t="shared" si="94"/>
        <v>26.286919937185907</v>
      </c>
      <c r="AP20" s="585">
        <f>IF(M20="","",DEGREES(ATAN2(AK20,AL20)))</f>
        <v>-25.267484217711807</v>
      </c>
      <c r="AQ20" s="586">
        <f t="shared" si="9"/>
        <v>0.637142642638856</v>
      </c>
      <c r="AS20" s="52">
        <f t="shared" si="116"/>
        <v>-57.543844013920534</v>
      </c>
      <c r="AT20" s="72">
        <f t="shared" si="10"/>
        <v>-1.145653372297109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2.1240000000000001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3.1502121136273344</v>
      </c>
      <c r="C21" s="708">
        <v>1.9244267221061124</v>
      </c>
      <c r="D21" s="709">
        <v>-1.9587999999999961</v>
      </c>
      <c r="E21" s="710">
        <v>-2.4785688933568362E-2</v>
      </c>
      <c r="F21" s="708">
        <v>0.99969278762231528</v>
      </c>
      <c r="G21" s="711">
        <v>1.1339743464931705E-7</v>
      </c>
      <c r="H21" s="710">
        <v>0.314</v>
      </c>
      <c r="I21" s="708">
        <v>0.52</v>
      </c>
      <c r="J21" s="570">
        <v>2.13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2.13</v>
      </c>
      <c r="N21" s="632">
        <f t="shared" si="2"/>
        <v>3.1502121136273344</v>
      </c>
      <c r="O21" s="629">
        <f t="shared" si="3"/>
        <v>1.9244267221061124</v>
      </c>
      <c r="P21" s="633">
        <f t="shared" si="4"/>
        <v>-1.9587999999999961</v>
      </c>
      <c r="Q21" s="585">
        <f t="shared" si="113"/>
        <v>31.42025654523859</v>
      </c>
      <c r="R21" s="629">
        <f>IF(M21="","",SQRT(N21^2+O21^2))</f>
        <v>3.6915111498680964</v>
      </c>
      <c r="S21" s="634">
        <f>IF(M21="","",P21)</f>
        <v>-1.9587999999999961</v>
      </c>
      <c r="T21" s="635">
        <f>IF(M21="","",X21*COS(RADIANS(W21)))</f>
        <v>1.9705825617161961</v>
      </c>
      <c r="U21" s="629">
        <f>IF(M21="","",X21*SIN(RADIANS(W21)))</f>
        <v>-3.1215475227938638</v>
      </c>
      <c r="V21" s="636">
        <f>IF(M21="","",Y21)</f>
        <v>-1.9587999999999961</v>
      </c>
      <c r="W21" s="585">
        <f t="shared" si="224"/>
        <v>302.26355642348119</v>
      </c>
      <c r="X21" s="629">
        <f>IF(M21="","",R21)</f>
        <v>3.6915111498680964</v>
      </c>
      <c r="Y21" s="630">
        <f t="shared" si="223"/>
        <v>-1.9587999999999961</v>
      </c>
      <c r="Z21" s="632">
        <f t="shared" si="6"/>
        <v>2.4785688933568362E-2</v>
      </c>
      <c r="AA21" s="629">
        <f t="shared" si="7"/>
        <v>-0.99969278762231528</v>
      </c>
      <c r="AB21" s="629">
        <f t="shared" si="8"/>
        <v>-1.1339743464931705E-7</v>
      </c>
      <c r="AC21" s="636">
        <f>IF(M21="","",SQRT(Z21^2+AA21^2+AB21^2))</f>
        <v>1</v>
      </c>
      <c r="AD21" s="637">
        <f>IF(M21="","",Z21*(1/SQRT(Z21^2+AA21^2+AB21^2)))</f>
        <v>2.4785688933568362E-2</v>
      </c>
      <c r="AE21" s="629">
        <f>IF(M21="","",AA21*(1/SQRT(Z21^2+AA21^2+AB21^2)))</f>
        <v>-0.99969278762231528</v>
      </c>
      <c r="AF21" s="633">
        <f>IF(M21="","",AB21*(1/SQRT(Z21^2+AA21^2+AB21^2)))</f>
        <v>-1.1339743464931705E-7</v>
      </c>
      <c r="AG21" s="602">
        <f>IF(M21="","",DEGREES(ATAN2(-AF21,AE21)))</f>
        <v>-89.999993500808955</v>
      </c>
      <c r="AH21" s="603">
        <f>IF(M21="","",DEGREES(ACOS(AD21)))</f>
        <v>88.579739188236502</v>
      </c>
      <c r="AI21" s="585">
        <f>IF(M21="","",DEGREES(-ACOS(-AF21)))</f>
        <v>-89.999993502805594</v>
      </c>
      <c r="AJ21" s="586">
        <f>IF(M21="","",DEGREES(ATAN2(-AE21,AD21)))</f>
        <v>1.4202608117635156</v>
      </c>
      <c r="AK21" s="635">
        <f>IF(M21="","",(COS(RADIANS((90-$Q$8)-W21))*AD21)+(-SIN(RADIANS((90-$Q$8)-W21))*AE21))</f>
        <v>0.86602544101688406</v>
      </c>
      <c r="AL21" s="629">
        <f>IF(M21="","",(SIN(RADIANS((90-$Q$8)-W21))*AD21)+(COS(RADIANS((90-$Q$8)-W21))*AE21))</f>
        <v>-0.49999993551149435</v>
      </c>
      <c r="AM21" s="634">
        <f>IF(M21="","",AF21)</f>
        <v>-1.1339743464931705E-7</v>
      </c>
      <c r="AN21" s="581">
        <f>IF(M21="","",DEGREES(ATAN2(-AM21,AL21)))</f>
        <v>-89.999987005609512</v>
      </c>
      <c r="AO21" s="582">
        <f>IF(ROUND(IF(M21="",0,DEGREES(ACOS(AK21))),4)=90,0,IF(M21="","",DEGREES(ACOS(AK21))))</f>
        <v>29.999995733475753</v>
      </c>
      <c r="AP21" s="585">
        <f>IF(M21="","",DEGREES(ATAN2(AK21,AL21)))</f>
        <v>-29.999995733475117</v>
      </c>
      <c r="AQ21" s="586">
        <f t="shared" si="9"/>
        <v>0.61753527574469214</v>
      </c>
      <c r="AS21" s="52">
        <f t="shared" si="116"/>
        <v>-57.736443576518809</v>
      </c>
      <c r="AT21" s="72">
        <f t="shared" si="10"/>
        <v>-1.9181196226008563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2.13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3.0276477334953031</v>
      </c>
      <c r="C22" s="708">
        <v>0.94099951446470598</v>
      </c>
      <c r="D22" s="709">
        <v>-0.54090122419809217</v>
      </c>
      <c r="E22" s="710">
        <v>4.1338218386609796E-2</v>
      </c>
      <c r="F22" s="708">
        <v>0.96150185668817323</v>
      </c>
      <c r="G22" s="711">
        <v>0.27167136633406286</v>
      </c>
      <c r="H22" s="710">
        <v>0.26600000000000001</v>
      </c>
      <c r="I22" s="708">
        <v>0.52</v>
      </c>
      <c r="J22" s="570">
        <v>2.218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2.218</v>
      </c>
      <c r="N22" s="632">
        <f t="shared" si="2"/>
        <v>3.0276477334953031</v>
      </c>
      <c r="O22" s="629">
        <f t="shared" si="3"/>
        <v>0.94099951446470598</v>
      </c>
      <c r="P22" s="633">
        <f t="shared" si="4"/>
        <v>-0.54090122419809217</v>
      </c>
      <c r="Q22" s="585">
        <f t="shared" si="113"/>
        <v>17.265358524013813</v>
      </c>
      <c r="R22" s="629">
        <f t="shared" si="79"/>
        <v>3.1705095622568398</v>
      </c>
      <c r="S22" s="634">
        <f t="shared" si="80"/>
        <v>-0.54090122419809217</v>
      </c>
      <c r="T22" s="635">
        <f t="shared" si="81"/>
        <v>0.98545799064894046</v>
      </c>
      <c r="U22" s="629">
        <f t="shared" si="82"/>
        <v>-3.0134703305372379</v>
      </c>
      <c r="V22" s="636">
        <f t="shared" si="114"/>
        <v>-0.54090122419809217</v>
      </c>
      <c r="W22" s="585">
        <f t="shared" si="224"/>
        <v>288.10865840225642</v>
      </c>
      <c r="X22" s="629">
        <f t="shared" si="83"/>
        <v>3.1705095622568398</v>
      </c>
      <c r="Y22" s="630">
        <f t="shared" si="223"/>
        <v>-0.54090122419809217</v>
      </c>
      <c r="Z22" s="632">
        <f t="shared" si="6"/>
        <v>-4.1338218386609796E-2</v>
      </c>
      <c r="AA22" s="629">
        <f t="shared" si="7"/>
        <v>-0.96150185668817323</v>
      </c>
      <c r="AB22" s="629">
        <f t="shared" si="8"/>
        <v>-0.27167136633406286</v>
      </c>
      <c r="AC22" s="636">
        <f t="shared" si="84"/>
        <v>1</v>
      </c>
      <c r="AD22" s="637">
        <f t="shared" si="115"/>
        <v>-4.1338218386609796E-2</v>
      </c>
      <c r="AE22" s="629">
        <f t="shared" si="85"/>
        <v>-0.96150185668817323</v>
      </c>
      <c r="AF22" s="633">
        <f t="shared" si="86"/>
        <v>-0.27167136633406286</v>
      </c>
      <c r="AG22" s="602">
        <f t="shared" si="87"/>
        <v>-74.222415282181188</v>
      </c>
      <c r="AH22" s="603">
        <f t="shared" si="88"/>
        <v>92.369180534819947</v>
      </c>
      <c r="AI22" s="585">
        <f t="shared" si="89"/>
        <v>-74.23625288078253</v>
      </c>
      <c r="AJ22" s="586">
        <f t="shared" si="90"/>
        <v>-2.4618233510049614</v>
      </c>
      <c r="AK22" s="635">
        <f t="shared" si="211"/>
        <v>0.90590790449417447</v>
      </c>
      <c r="AL22" s="629">
        <f t="shared" si="91"/>
        <v>-0.32484694440483364</v>
      </c>
      <c r="AM22" s="634">
        <f t="shared" si="92"/>
        <v>-0.27167136633406286</v>
      </c>
      <c r="AN22" s="581">
        <f t="shared" si="93"/>
        <v>-50.094066835070066</v>
      </c>
      <c r="AO22" s="582">
        <f t="shared" si="94"/>
        <v>25.054158537681012</v>
      </c>
      <c r="AP22" s="585">
        <f t="shared" si="95"/>
        <v>-19.72718187501885</v>
      </c>
      <c r="AQ22" s="586">
        <f t="shared" si="9"/>
        <v>0.71900333934456184</v>
      </c>
      <c r="AS22" s="52">
        <f t="shared" si="116"/>
        <v>-71.891341597743576</v>
      </c>
      <c r="AT22" s="72">
        <f t="shared" si="10"/>
        <v>-0.49039105650643511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2.218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2.1179999999999999</v>
      </c>
      <c r="II22" s="734" cm="1">
        <f t="array" ref="II22">IFERROR(ROUND(VALUE(IF($IH22&lt;1,$IH22+LARGE((IF($M$9:$M$150="",0,$M$9:$M$150)-MOD(IF($M$9:$M$150="",0,$M$9:$M$150),1)),1),$IH22)),4),"")</f>
        <v>2.1179999999999999</v>
      </c>
      <c r="IJ22" s="533">
        <f t="shared" si="112"/>
        <v>1613</v>
      </c>
      <c r="IK22" s="533">
        <f t="shared" si="66"/>
        <v>1313</v>
      </c>
      <c r="IL22" s="727">
        <f t="shared" si="225"/>
        <v>15.077297583822997</v>
      </c>
      <c r="IM22" s="759">
        <v>8.3159521597885103E-3</v>
      </c>
      <c r="IN22" s="5">
        <f t="shared" si="226"/>
        <v>0.92</v>
      </c>
      <c r="IO22" s="771">
        <v>460</v>
      </c>
      <c r="IP22" s="9">
        <f t="shared" si="227"/>
        <v>-3.1291000000000011</v>
      </c>
      <c r="IQ22" s="5">
        <f t="shared" si="228"/>
        <v>-0.53500000000000014</v>
      </c>
      <c r="IR22" s="5">
        <f t="shared" si="71"/>
        <v>0.314</v>
      </c>
      <c r="IS22" s="5">
        <f t="shared" si="229"/>
        <v>0.29496183526157305</v>
      </c>
      <c r="IT22" s="727">
        <f t="shared" si="230"/>
        <v>50.094072130663669</v>
      </c>
      <c r="IU22" s="9">
        <f t="shared" si="231"/>
        <v>-3.1705095622568398</v>
      </c>
      <c r="IV22" s="5">
        <f t="shared" si="232"/>
        <v>-0.54090122419809217</v>
      </c>
      <c r="IW22" s="5">
        <f t="shared" si="76"/>
        <v>0.26600000000000001</v>
      </c>
      <c r="IX22" s="5">
        <f t="shared" si="233"/>
        <v>0.24097150259545042</v>
      </c>
      <c r="IY22" s="762">
        <f t="shared" si="234"/>
        <v>50.094066835070066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3.4524335171560461</v>
      </c>
      <c r="C23" s="708">
        <v>1.1201689316892665</v>
      </c>
      <c r="D23" s="709">
        <v>-1.209703241304976</v>
      </c>
      <c r="E23" s="710">
        <v>0.20828994290938768</v>
      </c>
      <c r="F23" s="708">
        <v>0.96601526469261123</v>
      </c>
      <c r="G23" s="711">
        <v>0.15306798510357547</v>
      </c>
      <c r="H23" s="710">
        <v>0.26600000000000001</v>
      </c>
      <c r="I23" s="708">
        <v>0.52</v>
      </c>
      <c r="J23" s="570">
        <v>2.2240000000000002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2.2240000000000002</v>
      </c>
      <c r="N23" s="632">
        <f t="shared" si="2"/>
        <v>3.4524335171560461</v>
      </c>
      <c r="O23" s="629">
        <f t="shared" si="3"/>
        <v>1.1201689316892665</v>
      </c>
      <c r="P23" s="633">
        <f t="shared" si="4"/>
        <v>-1.209703241304976</v>
      </c>
      <c r="Q23" s="585">
        <f t="shared" si="113"/>
        <v>17.976058421401451</v>
      </c>
      <c r="R23" s="629">
        <f t="shared" si="79"/>
        <v>3.6296109469066158</v>
      </c>
      <c r="S23" s="634">
        <f t="shared" si="80"/>
        <v>-1.209703241304976</v>
      </c>
      <c r="T23" s="635">
        <f t="shared" si="81"/>
        <v>1.1708599256036016</v>
      </c>
      <c r="U23" s="629">
        <f t="shared" si="82"/>
        <v>-3.4355731196584753</v>
      </c>
      <c r="V23" s="636">
        <f t="shared" si="114"/>
        <v>-1.209703241304976</v>
      </c>
      <c r="W23" s="585">
        <f t="shared" si="224"/>
        <v>288.81935829964402</v>
      </c>
      <c r="X23" s="629">
        <f t="shared" si="83"/>
        <v>3.6296109469066158</v>
      </c>
      <c r="Y23" s="630">
        <f t="shared" si="223"/>
        <v>-1.209703241304976</v>
      </c>
      <c r="Z23" s="632">
        <f t="shared" si="6"/>
        <v>-0.20828994290938768</v>
      </c>
      <c r="AA23" s="629">
        <f t="shared" si="7"/>
        <v>-0.96601526469261123</v>
      </c>
      <c r="AB23" s="629">
        <f t="shared" si="8"/>
        <v>-0.15306798510357547</v>
      </c>
      <c r="AC23" s="636">
        <f t="shared" si="84"/>
        <v>1</v>
      </c>
      <c r="AD23" s="637">
        <f t="shared" si="115"/>
        <v>-0.20828994290938768</v>
      </c>
      <c r="AE23" s="629">
        <f t="shared" si="85"/>
        <v>-0.96601526469261123</v>
      </c>
      <c r="AF23" s="633">
        <f t="shared" si="86"/>
        <v>-0.15306798510357547</v>
      </c>
      <c r="AG23" s="602">
        <f t="shared" si="87"/>
        <v>-80.996169820190829</v>
      </c>
      <c r="AH23" s="603">
        <f t="shared" si="88"/>
        <v>102.02215733057788</v>
      </c>
      <c r="AI23" s="585">
        <f t="shared" si="89"/>
        <v>-81.195237122277661</v>
      </c>
      <c r="AJ23" s="586">
        <f t="shared" si="90"/>
        <v>-12.167701138426468</v>
      </c>
      <c r="AK23" s="635">
        <f t="shared" si="211"/>
        <v>0.8545774190267551</v>
      </c>
      <c r="AL23" s="629">
        <f t="shared" si="91"/>
        <v>-0.49625359124735968</v>
      </c>
      <c r="AM23" s="634">
        <f t="shared" si="92"/>
        <v>-0.15306798510357547</v>
      </c>
      <c r="AN23" s="581">
        <f t="shared" si="93"/>
        <v>-72.857772810020549</v>
      </c>
      <c r="AO23" s="582">
        <f t="shared" si="94"/>
        <v>31.286918827491249</v>
      </c>
      <c r="AP23" s="585">
        <f t="shared" si="95"/>
        <v>-30.143759559827959</v>
      </c>
      <c r="AQ23" s="586">
        <f t="shared" si="9"/>
        <v>0.62806602492044716</v>
      </c>
      <c r="AS23" s="52">
        <f t="shared" si="116"/>
        <v>-71.180641700355977</v>
      </c>
      <c r="AT23" s="72">
        <f t="shared" si="10"/>
        <v>-1.1596866152087271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2.2240000000000002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2.1240000000000001</v>
      </c>
      <c r="II23" s="734" cm="1">
        <f t="array" ref="II23">IFERROR(ROUND(VALUE(IF($IH23&lt;1,$IH23+LARGE((IF($M$9:$M$150="",0,$M$9:$M$150)-MOD(IF($M$9:$M$150="",0,$M$9:$M$150),1)),1),$IH23)),4),"")</f>
        <v>2.1240000000000001</v>
      </c>
      <c r="IJ23" s="533">
        <f t="shared" si="112"/>
        <v>1613</v>
      </c>
      <c r="IK23" s="533">
        <f t="shared" si="66"/>
        <v>1313</v>
      </c>
      <c r="IL23" s="727">
        <f t="shared" si="225"/>
        <v>13.636797686435443</v>
      </c>
      <c r="IM23" s="759">
        <v>1.1727633589730701E-4</v>
      </c>
      <c r="IN23" s="5">
        <f t="shared" si="226"/>
        <v>0</v>
      </c>
      <c r="IO23" s="771">
        <v>0</v>
      </c>
      <c r="IP23" s="9">
        <f t="shared" si="227"/>
        <v>-3.5779000000000005</v>
      </c>
      <c r="IQ23" s="5">
        <f t="shared" si="228"/>
        <v>-1.1861999999999999</v>
      </c>
      <c r="IR23" s="5">
        <f t="shared" si="71"/>
        <v>0.314</v>
      </c>
      <c r="IS23" s="5">
        <f t="shared" si="229"/>
        <v>0.28152849252618656</v>
      </c>
      <c r="IT23" s="727">
        <f t="shared" si="230"/>
        <v>72.857778000676205</v>
      </c>
      <c r="IU23" s="9">
        <f t="shared" si="231"/>
        <v>-3.6296109469066158</v>
      </c>
      <c r="IV23" s="5">
        <f t="shared" si="232"/>
        <v>-1.209703241304976</v>
      </c>
      <c r="IW23" s="5">
        <f t="shared" si="76"/>
        <v>0.26600000000000001</v>
      </c>
      <c r="IX23" s="5">
        <f t="shared" si="233"/>
        <v>0.22731759346111691</v>
      </c>
      <c r="IY23" s="762">
        <f t="shared" si="234"/>
        <v>72.857772810020549</v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12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3</v>
      </c>
      <c r="JG23" s="801">
        <v>9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420</v>
      </c>
      <c r="JI23" s="801">
        <v>0</v>
      </c>
    </row>
    <row r="24" spans="1:269" ht="15" customHeight="1" x14ac:dyDescent="0.25">
      <c r="A24" s="79"/>
      <c r="B24" s="707">
        <v>0.52579594520482642</v>
      </c>
      <c r="C24" s="708">
        <v>-0.25644821761264414</v>
      </c>
      <c r="D24" s="709">
        <v>-0.56540129809031514</v>
      </c>
      <c r="E24" s="710">
        <v>0.34813087525095332</v>
      </c>
      <c r="F24" s="708">
        <v>0.89131262511701725</v>
      </c>
      <c r="G24" s="711">
        <v>0.29045946017304541</v>
      </c>
      <c r="H24" s="710">
        <v>0.314</v>
      </c>
      <c r="I24" s="708">
        <v>0.52</v>
      </c>
      <c r="J24" s="570">
        <v>3.1019999999999999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3.1019999999999999</v>
      </c>
      <c r="N24" s="632">
        <f t="shared" si="2"/>
        <v>0.52579594520482642</v>
      </c>
      <c r="O24" s="629">
        <f t="shared" si="3"/>
        <v>-0.25644821761264414</v>
      </c>
      <c r="P24" s="633">
        <f t="shared" si="4"/>
        <v>-0.56540129809031514</v>
      </c>
      <c r="Q24" s="585">
        <f t="shared" si="113"/>
        <v>333.99996477076382</v>
      </c>
      <c r="R24" s="629">
        <f t="shared" si="79"/>
        <v>0.58500176436532125</v>
      </c>
      <c r="S24" s="634">
        <f t="shared" si="80"/>
        <v>-0.56540129809031514</v>
      </c>
      <c r="T24" s="635">
        <f t="shared" si="81"/>
        <v>-0.24868186659778585</v>
      </c>
      <c r="U24" s="629">
        <f t="shared" si="82"/>
        <v>-0.52951335538962563</v>
      </c>
      <c r="V24" s="636">
        <f t="shared" si="114"/>
        <v>-0.56540129809031514</v>
      </c>
      <c r="W24" s="585">
        <f t="shared" si="224"/>
        <v>244.84326464900639</v>
      </c>
      <c r="X24" s="629">
        <f t="shared" si="83"/>
        <v>0.58500176436532125</v>
      </c>
      <c r="Y24" s="630">
        <f t="shared" si="223"/>
        <v>-0.56540129809031514</v>
      </c>
      <c r="Z24" s="632">
        <f t="shared" si="6"/>
        <v>-0.34813087525095332</v>
      </c>
      <c r="AA24" s="629">
        <f t="shared" si="7"/>
        <v>-0.89131262511701725</v>
      </c>
      <c r="AB24" s="629">
        <f t="shared" si="8"/>
        <v>-0.29045946017304541</v>
      </c>
      <c r="AC24" s="636">
        <f t="shared" si="84"/>
        <v>1</v>
      </c>
      <c r="AD24" s="637">
        <f t="shared" si="115"/>
        <v>-0.34813087525095332</v>
      </c>
      <c r="AE24" s="629">
        <f t="shared" si="85"/>
        <v>-0.89131262511701725</v>
      </c>
      <c r="AF24" s="633">
        <f t="shared" si="86"/>
        <v>-0.29045946017304541</v>
      </c>
      <c r="AG24" s="602">
        <f t="shared" si="87"/>
        <v>-71.950333829370578</v>
      </c>
      <c r="AH24" s="603">
        <f t="shared" si="88"/>
        <v>110.37303363670894</v>
      </c>
      <c r="AI24" s="585">
        <f t="shared" si="89"/>
        <v>-73.114534769632428</v>
      </c>
      <c r="AJ24" s="586">
        <f t="shared" si="90"/>
        <v>-21.334733280453495</v>
      </c>
      <c r="AK24" s="635">
        <f>IF(M24="","",(COS(RADIANS((90-$Q$8)-W24))*AD24)+(-SIN(RADIANS((90-$Q$8)-W24))*AE24))</f>
        <v>0.95371696400905348</v>
      </c>
      <c r="AL24" s="629">
        <f t="shared" si="91"/>
        <v>7.7828366019961459E-2</v>
      </c>
      <c r="AM24" s="634">
        <f t="shared" si="92"/>
        <v>-0.29045946017304541</v>
      </c>
      <c r="AN24" s="581">
        <f t="shared" si="93"/>
        <v>14.999997834268251</v>
      </c>
      <c r="AO24" s="582">
        <f t="shared" si="94"/>
        <v>17.499997473312952</v>
      </c>
      <c r="AP24" s="585">
        <f t="shared" si="95"/>
        <v>4.665301948782699</v>
      </c>
      <c r="AQ24" s="586">
        <f t="shared" si="9"/>
        <v>3.8909643607423376</v>
      </c>
      <c r="AS24" s="52">
        <f t="shared" si="116"/>
        <v>-115.15673535099361</v>
      </c>
      <c r="AT24" s="72">
        <f t="shared" si="10"/>
        <v>-0.48484571807001225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3.1019999999999999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1.1659188036234203</v>
      </c>
      <c r="C25" s="708">
        <v>-0.56865748356773005</v>
      </c>
      <c r="D25" s="709">
        <v>-0.37450072233417858</v>
      </c>
      <c r="E25" s="710">
        <v>0.36322680060507884</v>
      </c>
      <c r="F25" s="708">
        <v>0.89753345769932691</v>
      </c>
      <c r="G25" s="711">
        <v>0.24999996726497567</v>
      </c>
      <c r="H25" s="710">
        <v>0.314</v>
      </c>
      <c r="I25" s="708">
        <v>0.52</v>
      </c>
      <c r="J25" s="570">
        <v>3.105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3.105</v>
      </c>
      <c r="N25" s="632">
        <f t="shared" si="2"/>
        <v>1.1659188036234203</v>
      </c>
      <c r="O25" s="629">
        <f t="shared" si="3"/>
        <v>-0.56865748356773005</v>
      </c>
      <c r="P25" s="633">
        <f t="shared" si="4"/>
        <v>-0.37450072233417858</v>
      </c>
      <c r="Q25" s="585">
        <f t="shared" si="113"/>
        <v>333.99996477076382</v>
      </c>
      <c r="R25" s="629">
        <f>IF(M25="","",SQRT(N25^2+O25^2))</f>
        <v>1.2972039123669998</v>
      </c>
      <c r="S25" s="634">
        <f>IF(M25="","",P25)</f>
        <v>-0.37450072233417858</v>
      </c>
      <c r="T25" s="635">
        <f>IF(M25="","",X25*COS(RADIANS(W25)))</f>
        <v>-0.55143609803529547</v>
      </c>
      <c r="U25" s="629">
        <f>IF(M25="","",X25*SIN(RADIANS(W25)))</f>
        <v>-1.174161922412688</v>
      </c>
      <c r="V25" s="636">
        <f>IF(M25="","",Y25)</f>
        <v>-0.37450072233417858</v>
      </c>
      <c r="W25" s="585">
        <f t="shared" si="224"/>
        <v>244.84326464900639</v>
      </c>
      <c r="X25" s="629">
        <f>IF(M25="","",R25)</f>
        <v>1.2972039123669998</v>
      </c>
      <c r="Y25" s="630">
        <f t="shared" si="223"/>
        <v>-0.37450072233417858</v>
      </c>
      <c r="Z25" s="632">
        <f t="shared" si="6"/>
        <v>-0.36322680060507884</v>
      </c>
      <c r="AA25" s="629">
        <f t="shared" si="7"/>
        <v>-0.89753345769932691</v>
      </c>
      <c r="AB25" s="629">
        <f t="shared" si="8"/>
        <v>-0.24999996726497567</v>
      </c>
      <c r="AC25" s="636">
        <f>IF(M25="","",SQRT(Z25^2+AA25^2+AB25^2))</f>
        <v>1</v>
      </c>
      <c r="AD25" s="637">
        <f>IF(M25="","",Z25*(1/SQRT(Z25^2+AA25^2+AB25^2)))</f>
        <v>-0.36322680060507884</v>
      </c>
      <c r="AE25" s="629">
        <f>IF(M25="","",AA25*(1/SQRT(Z25^2+AA25^2+AB25^2)))</f>
        <v>-0.89753345769932691</v>
      </c>
      <c r="AF25" s="633">
        <f>IF(M25="","",AB25*(1/SQRT(Z25^2+AA25^2+AB25^2)))</f>
        <v>-0.24999996726497567</v>
      </c>
      <c r="AG25" s="602">
        <f>IF(M25="","",DEGREES(ATAN2(-AF25,AE25)))</f>
        <v>-74.43529411676009</v>
      </c>
      <c r="AH25" s="603">
        <f>IF(M25="","",DEGREES(ACOS(AD25)))</f>
        <v>111.29849765552289</v>
      </c>
      <c r="AI25" s="585">
        <f>IF(M25="","",DEGREES(-ACOS(-AF25)))</f>
        <v>-75.522489751159455</v>
      </c>
      <c r="AJ25" s="586">
        <f>IF(M25="","",DEGREES(ATAN2(-AE25,AD25)))</f>
        <v>-22.032905584149631</v>
      </c>
      <c r="AK25" s="635">
        <f>IF(M25="","",(COS(RADIANS((90-$Q$8)-W25))*AD25)+(-SIN(RADIANS((90-$Q$8)-W25))*AE25))</f>
        <v>0.96592583607220739</v>
      </c>
      <c r="AL25" s="629">
        <f>IF(M25="","",(SIN(RADIANS((90-$Q$8)-W25))*AD25)+(COS(RADIANS((90-$Q$8)-W25))*AE25))</f>
        <v>6.6987279208207073E-2</v>
      </c>
      <c r="AM25" s="634">
        <f>IF(M25="","",AF25)</f>
        <v>-0.24999996726497567</v>
      </c>
      <c r="AN25" s="581">
        <f>IF(M25="","",DEGREES(ATAN2(-AM25,AL25)))</f>
        <v>14.999997834268239</v>
      </c>
      <c r="AO25" s="582">
        <f>IF(ROUND(IF(M25="",0,DEGREES(ACOS(AK25))),4)=90,0,IF(M25="","",DEGREES(ACOS(AK25))))</f>
        <v>14.999997834268255</v>
      </c>
      <c r="AP25" s="585">
        <f>IF(M25="","",DEGREES(ATAN2(AK25,AL25)))</f>
        <v>3.9671296450865641</v>
      </c>
      <c r="AQ25" s="586">
        <f t="shared" si="9"/>
        <v>1.756864962092358</v>
      </c>
      <c r="AS25" s="52">
        <f t="shared" si="116"/>
        <v>-115.15673535099361</v>
      </c>
      <c r="AT25" s="72">
        <f t="shared" si="10"/>
        <v>-0.2939451423138757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3.105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1.8242407626683508</v>
      </c>
      <c r="C26" s="708">
        <v>-0.89939969023972821</v>
      </c>
      <c r="D26" s="709">
        <v>-0.197000186992564</v>
      </c>
      <c r="E26" s="710">
        <v>0.44388606816458703</v>
      </c>
      <c r="F26" s="708">
        <v>0.85742423332878082</v>
      </c>
      <c r="G26" s="711">
        <v>0.26036290555671765</v>
      </c>
      <c r="H26" s="710">
        <v>0.314</v>
      </c>
      <c r="I26" s="708">
        <v>0.52</v>
      </c>
      <c r="J26" s="570">
        <v>3.109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3.109</v>
      </c>
      <c r="N26" s="632">
        <f t="shared" si="2"/>
        <v>1.8242407626683508</v>
      </c>
      <c r="O26" s="629">
        <f t="shared" si="3"/>
        <v>-0.89939969023972821</v>
      </c>
      <c r="P26" s="633">
        <f t="shared" si="4"/>
        <v>-0.197000186992564</v>
      </c>
      <c r="Q26" s="585">
        <f t="shared" si="113"/>
        <v>333.75546480606522</v>
      </c>
      <c r="R26" s="629">
        <f>IF(M26="","",SQRT(N26^2+O26^2))</f>
        <v>2.0339061342609015</v>
      </c>
      <c r="S26" s="634">
        <f>IF(M26="","",P26)</f>
        <v>-0.197000186992564</v>
      </c>
      <c r="T26" s="635">
        <f>IF(M26="","",X26*COS(RADIANS(W26)))</f>
        <v>-0.87245341159571432</v>
      </c>
      <c r="U26" s="629">
        <f>IF(M26="","",X26*SIN(RADIANS(W26)))</f>
        <v>-1.8372803834959768</v>
      </c>
      <c r="V26" s="636">
        <f>IF(M26="","",Y26)</f>
        <v>-0.197000186992564</v>
      </c>
      <c r="W26" s="585">
        <f t="shared" si="224"/>
        <v>244.59876468430778</v>
      </c>
      <c r="X26" s="629">
        <f>IF(M26="","",R26)</f>
        <v>2.0339061342609015</v>
      </c>
      <c r="Y26" s="630">
        <f t="shared" si="223"/>
        <v>-0.197000186992564</v>
      </c>
      <c r="Z26" s="632">
        <f t="shared" si="6"/>
        <v>-0.44388606816458703</v>
      </c>
      <c r="AA26" s="629">
        <f t="shared" si="7"/>
        <v>-0.85742423332878082</v>
      </c>
      <c r="AB26" s="629">
        <f t="shared" si="8"/>
        <v>-0.26036290555671765</v>
      </c>
      <c r="AC26" s="636">
        <f>IF(M26="","",SQRT(Z26^2+AA26^2+AB26^2))</f>
        <v>1</v>
      </c>
      <c r="AD26" s="637">
        <f>IF(M26="","",Z26*(1/SQRT(Z26^2+AA26^2+AB26^2)))</f>
        <v>-0.44388606816458703</v>
      </c>
      <c r="AE26" s="629">
        <f>IF(M26="","",AA26*(1/SQRT(Z26^2+AA26^2+AB26^2)))</f>
        <v>-0.85742423332878082</v>
      </c>
      <c r="AF26" s="633">
        <f>IF(M26="","",AB26*(1/SQRT(Z26^2+AA26^2+AB26^2)))</f>
        <v>-0.26036290555671765</v>
      </c>
      <c r="AG26" s="602">
        <f>IF(M26="","",DEGREES(ATAN2(-AF26,AE26)))</f>
        <v>-73.108717654415202</v>
      </c>
      <c r="AH26" s="603">
        <f>IF(M26="","",DEGREES(ACOS(AD26)))</f>
        <v>116.35209173198959</v>
      </c>
      <c r="AI26" s="585">
        <f>IF(M26="","",DEGREES(-ACOS(-AF26)))</f>
        <v>-74.908403240474627</v>
      </c>
      <c r="AJ26" s="586">
        <f>IF(M26="","",DEGREES(ATAN2(-AE26,AD26)))</f>
        <v>-27.370473148212994</v>
      </c>
      <c r="AK26" s="635">
        <f>IF(M26="","",(COS(RADIANS((90-$Q$8)-W26))*AD26)+(-SIN(RADIANS((90-$Q$8)-W26))*AE26))</f>
        <v>0.96532440532731423</v>
      </c>
      <c r="AL26" s="629">
        <f>IF(M26="","",(SIN(RADIANS((90-$Q$8)-W26))*AD26)+(COS(RADIANS((90-$Q$8)-W26))*AE26))</f>
        <v>-1.8972345388250211E-2</v>
      </c>
      <c r="AM26" s="634">
        <f>IF(M26="","",AF26)</f>
        <v>-0.26036290555671765</v>
      </c>
      <c r="AN26" s="581">
        <f>IF(M26="","",DEGREES(ATAN2(-AM26,AL26)))</f>
        <v>-4.1677112848979929</v>
      </c>
      <c r="AO26" s="582">
        <f t="shared" si="94"/>
        <v>15.132566665474473</v>
      </c>
      <c r="AP26" s="585">
        <f>IF(M26="","",DEGREES(ATAN2(AK26,AL26)))</f>
        <v>-1.1259379542781869</v>
      </c>
      <c r="AQ26" s="586">
        <f t="shared" si="9"/>
        <v>1.1207183277455766</v>
      </c>
      <c r="AS26" s="52">
        <f t="shared" si="116"/>
        <v>-115.40123531569222</v>
      </c>
      <c r="AT26" s="72">
        <f t="shared" si="10"/>
        <v>-0.11627481533010929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3.109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2.507747498814096</v>
      </c>
      <c r="C27" s="708">
        <v>-1.2882945771344259</v>
      </c>
      <c r="D27" s="709">
        <v>-0.33400060018581001</v>
      </c>
      <c r="E27" s="710">
        <v>0.59502871497474785</v>
      </c>
      <c r="F27" s="708">
        <v>0.7704594609324289</v>
      </c>
      <c r="G27" s="711">
        <v>0.2287641742389121</v>
      </c>
      <c r="H27" s="710">
        <v>0.314</v>
      </c>
      <c r="I27" s="708">
        <v>0.52</v>
      </c>
      <c r="J27" s="570">
        <v>3.1150000000000002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3.1150000000000002</v>
      </c>
      <c r="N27" s="632">
        <f t="shared" si="2"/>
        <v>2.507747498814096</v>
      </c>
      <c r="O27" s="629">
        <f t="shared" si="3"/>
        <v>-1.2882945771344259</v>
      </c>
      <c r="P27" s="633">
        <f t="shared" si="4"/>
        <v>-0.33400060018581001</v>
      </c>
      <c r="Q27" s="585">
        <f t="shared" si="113"/>
        <v>332.80926494267959</v>
      </c>
      <c r="R27" s="629">
        <f t="shared" si="79"/>
        <v>2.8193085030344451</v>
      </c>
      <c r="S27" s="634">
        <f t="shared" si="80"/>
        <v>-0.33400060018581001</v>
      </c>
      <c r="T27" s="635">
        <f t="shared" si="81"/>
        <v>-1.2512464414629245</v>
      </c>
      <c r="U27" s="629">
        <f t="shared" si="82"/>
        <v>-2.5264367749873915</v>
      </c>
      <c r="V27" s="636">
        <f t="shared" si="114"/>
        <v>-0.33400060018581001</v>
      </c>
      <c r="W27" s="585">
        <f t="shared" si="224"/>
        <v>243.65256482092215</v>
      </c>
      <c r="X27" s="629">
        <f t="shared" si="83"/>
        <v>2.8193085030344451</v>
      </c>
      <c r="Y27" s="630">
        <f t="shared" si="223"/>
        <v>-0.33400060018581001</v>
      </c>
      <c r="Z27" s="632">
        <f t="shared" si="6"/>
        <v>-0.59502871497474785</v>
      </c>
      <c r="AA27" s="629">
        <f t="shared" si="7"/>
        <v>-0.7704594609324289</v>
      </c>
      <c r="AB27" s="629">
        <f t="shared" si="8"/>
        <v>-0.2287641742389121</v>
      </c>
      <c r="AC27" s="636">
        <f t="shared" si="84"/>
        <v>1</v>
      </c>
      <c r="AD27" s="637">
        <f t="shared" si="115"/>
        <v>-0.59502871497474785</v>
      </c>
      <c r="AE27" s="629">
        <f t="shared" si="85"/>
        <v>-0.7704594609324289</v>
      </c>
      <c r="AF27" s="633">
        <f t="shared" si="86"/>
        <v>-0.2287641742389121</v>
      </c>
      <c r="AG27" s="602">
        <f t="shared" si="87"/>
        <v>-73.462837041326054</v>
      </c>
      <c r="AH27" s="603">
        <f t="shared" si="88"/>
        <v>126.51467915159192</v>
      </c>
      <c r="AI27" s="585">
        <f t="shared" si="89"/>
        <v>-76.775675559622854</v>
      </c>
      <c r="AJ27" s="586">
        <f t="shared" si="90"/>
        <v>-37.679042852579514</v>
      </c>
      <c r="AK27" s="635">
        <f t="shared" si="211"/>
        <v>0.95721700903876461</v>
      </c>
      <c r="AL27" s="629">
        <f t="shared" si="91"/>
        <v>-0.17720764710268566</v>
      </c>
      <c r="AM27" s="634">
        <f t="shared" si="92"/>
        <v>-0.2287641742389121</v>
      </c>
      <c r="AN27" s="581">
        <f t="shared" si="93"/>
        <v>-37.762446037425782</v>
      </c>
      <c r="AO27" s="582">
        <f t="shared" si="94"/>
        <v>16.820304734690541</v>
      </c>
      <c r="AP27" s="585">
        <f t="shared" si="95"/>
        <v>-10.48830779525912</v>
      </c>
      <c r="AQ27" s="586">
        <f t="shared" si="9"/>
        <v>0.8085583016706287</v>
      </c>
      <c r="AS27" s="52">
        <f t="shared" si="116"/>
        <v>-116.34743517907785</v>
      </c>
      <c r="AT27" s="72">
        <f t="shared" si="10"/>
        <v>-0.25261814528489307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3.1150000000000002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3.011515321775005</v>
      </c>
      <c r="C28" s="708">
        <v>-1.6090286351885603</v>
      </c>
      <c r="D28" s="709">
        <v>-0.85670217665376469</v>
      </c>
      <c r="E28" s="710">
        <v>0.74038955362334802</v>
      </c>
      <c r="F28" s="708">
        <v>0.64611383099203257</v>
      </c>
      <c r="G28" s="711">
        <v>0.18536511615247075</v>
      </c>
      <c r="H28" s="710">
        <v>0.314</v>
      </c>
      <c r="I28" s="708">
        <v>0.52</v>
      </c>
      <c r="J28" s="570">
        <v>3.121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3.121</v>
      </c>
      <c r="N28" s="632">
        <f t="shared" si="2"/>
        <v>3.011515321775005</v>
      </c>
      <c r="O28" s="629">
        <f t="shared" si="3"/>
        <v>-1.6090286351885603</v>
      </c>
      <c r="P28" s="633">
        <f t="shared" si="4"/>
        <v>-0.85670217665376469</v>
      </c>
      <c r="Q28" s="585">
        <f t="shared" si="113"/>
        <v>331.88476507616087</v>
      </c>
      <c r="R28" s="629">
        <f t="shared" si="79"/>
        <v>3.4144102978614583</v>
      </c>
      <c r="S28" s="634">
        <f t="shared" si="80"/>
        <v>-0.85670217665376469</v>
      </c>
      <c r="T28" s="635">
        <f t="shared" si="81"/>
        <v>-1.5645313916193002</v>
      </c>
      <c r="U28" s="629">
        <f t="shared" si="82"/>
        <v>-3.0348705420133077</v>
      </c>
      <c r="V28" s="636">
        <f t="shared" si="114"/>
        <v>-0.85670217665376469</v>
      </c>
      <c r="W28" s="585">
        <f t="shared" si="224"/>
        <v>242.72806495440344</v>
      </c>
      <c r="X28" s="629">
        <f t="shared" si="83"/>
        <v>3.4144102978614583</v>
      </c>
      <c r="Y28" s="630">
        <f t="shared" si="223"/>
        <v>-0.85670217665376469</v>
      </c>
      <c r="Z28" s="632">
        <f t="shared" si="6"/>
        <v>-0.74038955362334802</v>
      </c>
      <c r="AA28" s="629">
        <f t="shared" si="7"/>
        <v>-0.64611383099203257</v>
      </c>
      <c r="AB28" s="629">
        <f t="shared" si="8"/>
        <v>-0.18536511615247075</v>
      </c>
      <c r="AC28" s="636">
        <f t="shared" si="84"/>
        <v>1.0000000000000002</v>
      </c>
      <c r="AD28" s="637">
        <f t="shared" si="115"/>
        <v>-0.74038955362334791</v>
      </c>
      <c r="AE28" s="629">
        <f t="shared" si="85"/>
        <v>-0.64611383099203246</v>
      </c>
      <c r="AF28" s="633">
        <f t="shared" si="86"/>
        <v>-0.18536511615247073</v>
      </c>
      <c r="AG28" s="602">
        <f t="shared" si="87"/>
        <v>-73.992219555992776</v>
      </c>
      <c r="AH28" s="603">
        <f t="shared" si="88"/>
        <v>137.76461013982939</v>
      </c>
      <c r="AI28" s="585">
        <f t="shared" si="89"/>
        <v>-79.317579796618929</v>
      </c>
      <c r="AJ28" s="586">
        <f t="shared" si="90"/>
        <v>-48.889856725267386</v>
      </c>
      <c r="AK28" s="635">
        <f t="shared" si="211"/>
        <v>0.91877935600842786</v>
      </c>
      <c r="AL28" s="629">
        <f t="shared" si="91"/>
        <v>-0.34854593483000162</v>
      </c>
      <c r="AM28" s="634">
        <f t="shared" si="92"/>
        <v>-0.18536511615247073</v>
      </c>
      <c r="AN28" s="581">
        <f t="shared" si="93"/>
        <v>-61.994879816471801</v>
      </c>
      <c r="AO28" s="582">
        <f t="shared" si="94"/>
        <v>23.25172052958613</v>
      </c>
      <c r="AP28" s="585">
        <f t="shared" si="95"/>
        <v>-20.774621801428232</v>
      </c>
      <c r="AQ28" s="586">
        <f t="shared" si="9"/>
        <v>0.66764777764202721</v>
      </c>
      <c r="AS28" s="52">
        <f t="shared" si="116"/>
        <v>-117.27193504559656</v>
      </c>
      <c r="AT28" s="72">
        <f t="shared" si="10"/>
        <v>-0.77467770795665414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3.121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3.2179151771819483</v>
      </c>
      <c r="C29" s="708">
        <v>-1.7494210826292744</v>
      </c>
      <c r="D29" s="709">
        <v>-1.607604441374995</v>
      </c>
      <c r="E29" s="710">
        <v>0.85090850029736598</v>
      </c>
      <c r="F29" s="708">
        <v>0.5213260973920687</v>
      </c>
      <c r="G29" s="711">
        <v>6.4605141433503599E-2</v>
      </c>
      <c r="H29" s="710">
        <v>0.314</v>
      </c>
      <c r="I29" s="708">
        <v>0.52</v>
      </c>
      <c r="J29" s="570">
        <v>3.1269999999999998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3.1269999999999998</v>
      </c>
      <c r="N29" s="632">
        <f t="shared" si="2"/>
        <v>3.2179151771819483</v>
      </c>
      <c r="O29" s="629">
        <f t="shared" si="3"/>
        <v>-1.7494210826292744</v>
      </c>
      <c r="P29" s="633">
        <f t="shared" si="4"/>
        <v>-1.607604441374995</v>
      </c>
      <c r="Q29" s="585">
        <f t="shared" si="113"/>
        <v>331.46926513615165</v>
      </c>
      <c r="R29" s="629">
        <f>IF(M29="","",SQRT(N29^2+O29^2))</f>
        <v>3.6627110467365172</v>
      </c>
      <c r="S29" s="634">
        <f>IF(M29="","",P29)</f>
        <v>-1.607604441374995</v>
      </c>
      <c r="T29" s="635">
        <f>IF(M29="","",X29*COS(RADIANS(W29)))</f>
        <v>-1.7018708751365179</v>
      </c>
      <c r="U29" s="629">
        <f>IF(M29="","",X29*SIN(RADIANS(W29)))</f>
        <v>-3.2433143135144604</v>
      </c>
      <c r="V29" s="636">
        <f>IF(M29="","",Y29)</f>
        <v>-1.607604441374995</v>
      </c>
      <c r="W29" s="585">
        <f t="shared" si="224"/>
        <v>242.31256501439421</v>
      </c>
      <c r="X29" s="629">
        <f>IF(M29="","",R29)</f>
        <v>3.6627110467365172</v>
      </c>
      <c r="Y29" s="630">
        <f t="shared" si="223"/>
        <v>-1.607604441374995</v>
      </c>
      <c r="Z29" s="632">
        <f t="shared" si="6"/>
        <v>-0.85090850029736598</v>
      </c>
      <c r="AA29" s="629">
        <f t="shared" si="7"/>
        <v>-0.5213260973920687</v>
      </c>
      <c r="AB29" s="629">
        <f t="shared" si="8"/>
        <v>-6.4605141433503599E-2</v>
      </c>
      <c r="AC29" s="636">
        <f>IF(M29="","",SQRT(Z29^2+AA29^2+AB29^2))</f>
        <v>1</v>
      </c>
      <c r="AD29" s="637">
        <f>IF(M29="","",Z29*(1/SQRT(Z29^2+AA29^2+AB29^2)))</f>
        <v>-0.85090850029736598</v>
      </c>
      <c r="AE29" s="629">
        <f>IF(M29="","",AA29*(1/SQRT(Z29^2+AA29^2+AB29^2)))</f>
        <v>-0.5213260973920687</v>
      </c>
      <c r="AF29" s="633">
        <f>IF(M29="","",AB29*(1/SQRT(Z29^2+AA29^2+AB29^2)))</f>
        <v>-6.4605141433503599E-2</v>
      </c>
      <c r="AG29" s="602">
        <f>IF(M29="","",DEGREES(ATAN2(-AF29,AE29)))</f>
        <v>-82.935658159510325</v>
      </c>
      <c r="AH29" s="603">
        <f>IF(M29="","",DEGREES(ACOS(AD29)))</f>
        <v>148.31062078904253</v>
      </c>
      <c r="AI29" s="585">
        <f>IF(M29="","",DEGREES(-ACOS(-AF29)))</f>
        <v>-86.295818239910318</v>
      </c>
      <c r="AJ29" s="586">
        <f>IF(M29="","",DEGREES(ATAN2(-AE29,AD29)))</f>
        <v>-58.505448795361289</v>
      </c>
      <c r="AK29" s="635">
        <f>IF(M29="","",(COS(RADIANS((90-$Q$8)-W29))*AD29)+(-SIN(RADIANS((90-$Q$8)-W29))*AE29))</f>
        <v>0.86443631246552044</v>
      </c>
      <c r="AL29" s="629">
        <f>IF(M29="","",(SIN(RADIANS((90-$Q$8)-W29))*AD29)+(COS(RADIANS((90-$Q$8)-W29))*AE29))</f>
        <v>-0.4985740039265687</v>
      </c>
      <c r="AM29" s="634">
        <f>IF(M29="","",AF29)</f>
        <v>-6.4605141433503599E-2</v>
      </c>
      <c r="AN29" s="581">
        <f>IF(M29="","",DEGREES(ATAN2(-AM29,AL29)))</f>
        <v>-82.616762256689569</v>
      </c>
      <c r="AO29" s="582">
        <f t="shared" si="94"/>
        <v>30.181598294734332</v>
      </c>
      <c r="AP29" s="585">
        <f>IF(M29="","",DEGREES(ATAN2(AK29,AL29)))</f>
        <v>-29.974713931512944</v>
      </c>
      <c r="AQ29" s="586">
        <f t="shared" si="9"/>
        <v>0.62239060989546968</v>
      </c>
      <c r="AS29" s="52">
        <f t="shared" si="116"/>
        <v>-117.68743498560579</v>
      </c>
      <c r="AT29" s="72">
        <f t="shared" si="10"/>
        <v>-1.525291431052878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3.1269999999999998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12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420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3.2417087496591934</v>
      </c>
      <c r="C30" s="708">
        <v>-1.7659498544324419</v>
      </c>
      <c r="D30" s="709">
        <v>-2.3501066807617468</v>
      </c>
      <c r="E30" s="710">
        <v>0.85336642677369801</v>
      </c>
      <c r="F30" s="708">
        <v>0.52131155910403337</v>
      </c>
      <c r="G30" s="711">
        <v>1.1339743539479448E-7</v>
      </c>
      <c r="H30" s="710">
        <v>0.314</v>
      </c>
      <c r="I30" s="708">
        <v>0.52</v>
      </c>
      <c r="J30" s="570">
        <v>3.133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3.133</v>
      </c>
      <c r="N30" s="632">
        <f t="shared" si="2"/>
        <v>3.2417087496591934</v>
      </c>
      <c r="O30" s="629">
        <f t="shared" si="3"/>
        <v>-1.7659498544324419</v>
      </c>
      <c r="P30" s="633">
        <f t="shared" si="4"/>
        <v>-2.3501066807617468</v>
      </c>
      <c r="Q30" s="585">
        <f t="shared" si="113"/>
        <v>331.42026534899827</v>
      </c>
      <c r="R30" s="629">
        <f>IF(M30="","",SQRT(N30^2+O30^2))</f>
        <v>3.6915111412519037</v>
      </c>
      <c r="S30" s="634">
        <f>IF(M30="","",P30)</f>
        <v>-2.3501066807617468</v>
      </c>
      <c r="T30" s="635">
        <f>IF(M30="","",X30*COS(RADIANS(W30)))</f>
        <v>-1.7180476669486584</v>
      </c>
      <c r="U30" s="629">
        <f>IF(M30="","",X30*SIN(RADIANS(W30)))</f>
        <v>-3.2673485764575538</v>
      </c>
      <c r="V30" s="636">
        <f>IF(M30="","",Y30)</f>
        <v>-2.3501066807617468</v>
      </c>
      <c r="W30" s="585">
        <f t="shared" si="224"/>
        <v>242.26356522724083</v>
      </c>
      <c r="X30" s="629">
        <f>IF(M30="","",R30)</f>
        <v>3.6915111412519037</v>
      </c>
      <c r="Y30" s="630">
        <f t="shared" si="223"/>
        <v>-2.3501066807617468</v>
      </c>
      <c r="Z30" s="632">
        <f t="shared" si="6"/>
        <v>-0.85336642677369801</v>
      </c>
      <c r="AA30" s="629">
        <f t="shared" si="7"/>
        <v>-0.52131155910403337</v>
      </c>
      <c r="AB30" s="629">
        <f t="shared" si="8"/>
        <v>-1.1339743539479448E-7</v>
      </c>
      <c r="AC30" s="636">
        <f>IF(M30="","",SQRT(Z30^2+AA30^2+AB30^2))</f>
        <v>1</v>
      </c>
      <c r="AD30" s="637">
        <f>IF(M30="","",Z30*(1/SQRT(Z30^2+AA30^2+AB30^2)))</f>
        <v>-0.85336642677369801</v>
      </c>
      <c r="AE30" s="629">
        <f>IF(M30="","",AA30*(1/SQRT(Z30^2+AA30^2+AB30^2)))</f>
        <v>-0.52131155910403337</v>
      </c>
      <c r="AF30" s="633">
        <f>IF(M30="","",AB30*(1/SQRT(Z30^2+AA30^2+AB30^2)))</f>
        <v>-1.1339743539479448E-7</v>
      </c>
      <c r="AG30" s="602">
        <f>IF(M30="","",DEGREES(ATAN2(-AF30,AE30)))</f>
        <v>-89.999987536830247</v>
      </c>
      <c r="AH30" s="603">
        <f>IF(M30="","",DEGREES(ACOS(AD30)))</f>
        <v>148.57973052530892</v>
      </c>
      <c r="AI30" s="585">
        <f>IF(M30="","",DEGREES(-ACOS(-AF30)))</f>
        <v>-89.999993502805538</v>
      </c>
      <c r="AJ30" s="586">
        <f>IF(M30="","",DEGREES(ATAN2(-AE30,AD30)))</f>
        <v>-58.579730525309543</v>
      </c>
      <c r="AK30" s="635">
        <f>IF(M30="","",(COS(RADIANS((90-$Q$8)-W30))*AD30)+(-SIN(RADIANS((90-$Q$8)-W30))*AE30))</f>
        <v>0.86602543978788704</v>
      </c>
      <c r="AL30" s="629">
        <f>IF(M30="","",(SIN(RADIANS((90-$Q$8)-W30))*AD30)+(COS(RADIANS((90-$Q$8)-W30))*AE30))</f>
        <v>-0.49999993764018014</v>
      </c>
      <c r="AM30" s="634">
        <f>IF(M30="","",AF30)</f>
        <v>-1.1339743539479448E-7</v>
      </c>
      <c r="AN30" s="581">
        <f>IF(M30="","",DEGREES(ATAN2(-AM30,AL30)))</f>
        <v>-89.999987005609469</v>
      </c>
      <c r="AO30" s="582">
        <f>IF(ROUND(IF(M30="",0,DEGREES(ACOS(AK30))),4)=90,0,IF(M30="","",DEGREES(ACOS(AK30))))</f>
        <v>29.99999587430846</v>
      </c>
      <c r="AP30" s="585">
        <f>IF(M30="","",DEGREES(ATAN2(AK30,AL30)))</f>
        <v>-29.999995874307825</v>
      </c>
      <c r="AQ30" s="586">
        <f t="shared" si="9"/>
        <v>0.61753527718594226</v>
      </c>
      <c r="AS30" s="52">
        <f t="shared" si="116"/>
        <v>-117.73643477275917</v>
      </c>
      <c r="AT30" s="72">
        <f t="shared" si="10"/>
        <v>-2.2677596428096622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3.133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2.0571139452913454</v>
      </c>
      <c r="C31" s="708">
        <v>-1.9755519971540858</v>
      </c>
      <c r="D31" s="709">
        <v>-0.33320059777300293</v>
      </c>
      <c r="E31" s="710">
        <v>0.80721276902066641</v>
      </c>
      <c r="F31" s="708">
        <v>0.51191919039670752</v>
      </c>
      <c r="G31" s="711">
        <v>0.29384738901948371</v>
      </c>
      <c r="H31" s="710">
        <v>0.26600000000000001</v>
      </c>
      <c r="I31" s="708">
        <v>0.52</v>
      </c>
      <c r="J31" s="570">
        <v>3.2149999999999999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3.2149999999999999</v>
      </c>
      <c r="N31" s="632">
        <f t="shared" si="2"/>
        <v>2.0571139452913454</v>
      </c>
      <c r="O31" s="629">
        <f t="shared" si="3"/>
        <v>-1.9755519971540858</v>
      </c>
      <c r="P31" s="633">
        <f t="shared" si="4"/>
        <v>-0.33320059777300293</v>
      </c>
      <c r="Q31" s="585">
        <f t="shared" si="113"/>
        <v>316.15866734672846</v>
      </c>
      <c r="R31" s="629">
        <f>IF(M31="","",SQRT(N31^2+O31^2))</f>
        <v>2.8521086019595434</v>
      </c>
      <c r="S31" s="634">
        <f>IF(M31="","",P31)</f>
        <v>-0.33320059777300293</v>
      </c>
      <c r="T31" s="635">
        <f>IF(M31="","",X31*COS(RADIANS(W31)))</f>
        <v>-1.945061769659912</v>
      </c>
      <c r="U31" s="629">
        <f>IF(M31="","",X31*SIN(RADIANS(W31)))</f>
        <v>-2.0859669675186789</v>
      </c>
      <c r="V31" s="636">
        <f>IF(M31="","",Y31)</f>
        <v>-0.33320059777300293</v>
      </c>
      <c r="W31" s="585">
        <f t="shared" si="224"/>
        <v>227.00196722497103</v>
      </c>
      <c r="X31" s="629">
        <f>IF(M31="","",R31)</f>
        <v>2.8521086019595434</v>
      </c>
      <c r="Y31" s="630">
        <f t="shared" si="223"/>
        <v>-0.33320059777300293</v>
      </c>
      <c r="Z31" s="632">
        <f t="shared" si="6"/>
        <v>-0.80721276902066641</v>
      </c>
      <c r="AA31" s="629">
        <f t="shared" si="7"/>
        <v>-0.51191919039670752</v>
      </c>
      <c r="AB31" s="629">
        <f t="shared" si="8"/>
        <v>-0.29384738901948371</v>
      </c>
      <c r="AC31" s="636">
        <f>IF(M31="","",SQRT(Z31^2+AA31^2+AB31^2))</f>
        <v>1</v>
      </c>
      <c r="AD31" s="637">
        <f>IF(M31="","",Z31*(1/SQRT(Z31^2+AA31^2+AB31^2)))</f>
        <v>-0.80721276902066641</v>
      </c>
      <c r="AE31" s="629">
        <f>IF(M31="","",AA31*(1/SQRT(Z31^2+AA31^2+AB31^2)))</f>
        <v>-0.51191919039670752</v>
      </c>
      <c r="AF31" s="633">
        <f>IF(M31="","",AB31*(1/SQRT(Z31^2+AA31^2+AB31^2)))</f>
        <v>-0.29384738901948371</v>
      </c>
      <c r="AG31" s="602">
        <f>IF(M31="","",DEGREES(ATAN2(-AF31,AE31)))</f>
        <v>-60.143690001304179</v>
      </c>
      <c r="AH31" s="603">
        <f>IF(M31="","",DEGREES(ACOS(AD31)))</f>
        <v>143.82449847886232</v>
      </c>
      <c r="AI31" s="585">
        <f>IF(M31="","",DEGREES(-ACOS(-AF31)))</f>
        <v>-72.91156535713688</v>
      </c>
      <c r="AJ31" s="586">
        <f>IF(M31="","",DEGREES(ATAN2(-AE31,AD31)))</f>
        <v>-57.617896478312289</v>
      </c>
      <c r="AK31" s="635">
        <f>IF(M31="","",(COS(RADIANS((90-$Q$8)-W31))*AD31)+(-SIN(RADIANS((90-$Q$8)-W31))*AE31))</f>
        <v>0.92835416630882461</v>
      </c>
      <c r="AL31" s="629">
        <f>IF(M31="","",(SIN(RADIANS((90-$Q$8)-W31))*AD31)+(COS(RADIANS((90-$Q$8)-W31))*AE31))</f>
        <v>-0.22762305213549722</v>
      </c>
      <c r="AM31" s="634">
        <f>IF(M31="","",AF31)</f>
        <v>-0.29384738901948371</v>
      </c>
      <c r="AN31" s="581">
        <f>IF(M31="","",DEGREES(ATAN2(-AM31,AL31)))</f>
        <v>-37.762443450715708</v>
      </c>
      <c r="AO31" s="582">
        <f t="shared" si="94"/>
        <v>21.820304006539843</v>
      </c>
      <c r="AP31" s="585">
        <f>IF(M31="","",DEGREES(ATAN2(AK31,AL31)))</f>
        <v>-13.776563825040755</v>
      </c>
      <c r="AQ31" s="586">
        <f t="shared" si="9"/>
        <v>0.79926085351425402</v>
      </c>
      <c r="AS31" s="52">
        <f t="shared" si="116"/>
        <v>-132.99803277502897</v>
      </c>
      <c r="AT31" s="72">
        <f t="shared" si="10"/>
        <v>-0.24025522787489767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Nose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3.2149999999999999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3.1150000000000002</v>
      </c>
      <c r="II31" s="734" cm="1">
        <f t="array" ref="II31">IFERROR(ROUND(VALUE(IF($IH31&lt;1,$IH31+LARGE((IF($M$9:$M$150="",0,$M$9:$M$150)-MOD(IF($M$9:$M$150="",0,$M$9:$M$150),1)),1),$IH31)),4),"")</f>
        <v>3.1150000000000002</v>
      </c>
      <c r="IJ31" s="533">
        <f t="shared" si="112"/>
        <v>1613</v>
      </c>
      <c r="IK31" s="533">
        <f t="shared" si="66"/>
        <v>1313</v>
      </c>
      <c r="IL31" s="727">
        <f t="shared" si="225"/>
        <v>16.650597595951126</v>
      </c>
      <c r="IM31" s="759">
        <v>1.6950658249112599E-2</v>
      </c>
      <c r="IN31" s="5">
        <f t="shared" si="226"/>
        <v>0.86</v>
      </c>
      <c r="IO31" s="771">
        <v>430</v>
      </c>
      <c r="IP31" s="9">
        <f t="shared" si="227"/>
        <v>-2.8193085030344451</v>
      </c>
      <c r="IQ31" s="5">
        <f t="shared" si="228"/>
        <v>-0.33400060018581001</v>
      </c>
      <c r="IR31" s="5">
        <f t="shared" si="71"/>
        <v>0.314</v>
      </c>
      <c r="IS31" s="5">
        <f t="shared" si="229"/>
        <v>0.30056614083817207</v>
      </c>
      <c r="IT31" s="727">
        <f t="shared" si="230"/>
        <v>37.762446037425782</v>
      </c>
      <c r="IU31" s="9">
        <f t="shared" si="231"/>
        <v>-2.8521086019595434</v>
      </c>
      <c r="IV31" s="5">
        <f t="shared" si="232"/>
        <v>-0.33320059777300293</v>
      </c>
      <c r="IW31" s="5">
        <f t="shared" si="76"/>
        <v>0.26600000000000001</v>
      </c>
      <c r="IX31" s="5">
        <f t="shared" si="233"/>
        <v>0.24694220823814736</v>
      </c>
      <c r="IY31" s="762">
        <f t="shared" si="234"/>
        <v>37.762443450715708</v>
      </c>
    </row>
    <row r="32" spans="1:269" ht="15" customHeight="1" x14ac:dyDescent="0.25">
      <c r="A32" s="79"/>
      <c r="B32" s="707">
        <v>2.56807693565578</v>
      </c>
      <c r="C32" s="708">
        <v>-2.3220426347144212</v>
      </c>
      <c r="D32" s="709">
        <v>-0.87100221978269488</v>
      </c>
      <c r="E32" s="710">
        <v>0.90077811842623512</v>
      </c>
      <c r="F32" s="708">
        <v>0.37309424568246641</v>
      </c>
      <c r="G32" s="711">
        <v>0.22225990462322012</v>
      </c>
      <c r="H32" s="710">
        <v>0.26600000000000001</v>
      </c>
      <c r="I32" s="708">
        <v>0.52</v>
      </c>
      <c r="J32" s="570">
        <v>3.2210000000000001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3.2210000000000001</v>
      </c>
      <c r="N32" s="632">
        <f t="shared" si="2"/>
        <v>2.56807693565578</v>
      </c>
      <c r="O32" s="629">
        <f t="shared" si="3"/>
        <v>-2.3220426347144212</v>
      </c>
      <c r="P32" s="633">
        <f t="shared" si="4"/>
        <v>-0.87100221978269488</v>
      </c>
      <c r="Q32" s="585">
        <f t="shared" si="113"/>
        <v>317.88026709816018</v>
      </c>
      <c r="R32" s="629">
        <f t="shared" si="79"/>
        <v>3.4622104420266933</v>
      </c>
      <c r="S32" s="634">
        <f t="shared" si="80"/>
        <v>-0.87100221978269488</v>
      </c>
      <c r="T32" s="635">
        <f t="shared" si="81"/>
        <v>-2.2839946123109116</v>
      </c>
      <c r="U32" s="629">
        <f t="shared" si="82"/>
        <v>-2.6019742035257383</v>
      </c>
      <c r="V32" s="636">
        <f t="shared" si="114"/>
        <v>-0.87100221978269488</v>
      </c>
      <c r="W32" s="585">
        <f t="shared" si="224"/>
        <v>228.72356697640274</v>
      </c>
      <c r="X32" s="629">
        <f t="shared" si="83"/>
        <v>3.4622104420266933</v>
      </c>
      <c r="Y32" s="630">
        <f t="shared" si="223"/>
        <v>-0.87100221978269488</v>
      </c>
      <c r="Z32" s="632">
        <f t="shared" si="6"/>
        <v>-0.90077811842623512</v>
      </c>
      <c r="AA32" s="629">
        <f t="shared" si="7"/>
        <v>-0.37309424568246641</v>
      </c>
      <c r="AB32" s="629">
        <f t="shared" si="8"/>
        <v>-0.22225990462322012</v>
      </c>
      <c r="AC32" s="636">
        <f t="shared" si="84"/>
        <v>1</v>
      </c>
      <c r="AD32" s="637">
        <f t="shared" si="115"/>
        <v>-0.90077811842623512</v>
      </c>
      <c r="AE32" s="629">
        <f t="shared" si="85"/>
        <v>-0.37309424568246641</v>
      </c>
      <c r="AF32" s="633">
        <f t="shared" si="86"/>
        <v>-0.22225990462322012</v>
      </c>
      <c r="AG32" s="602">
        <f t="shared" si="87"/>
        <v>-59.216874440239017</v>
      </c>
      <c r="AH32" s="603">
        <f t="shared" si="88"/>
        <v>154.26053667428843</v>
      </c>
      <c r="AI32" s="585">
        <f t="shared" si="89"/>
        <v>-77.158197171750771</v>
      </c>
      <c r="AJ32" s="586">
        <f t="shared" si="90"/>
        <v>-67.501100379602462</v>
      </c>
      <c r="AK32" s="635">
        <f t="shared" si="211"/>
        <v>0.88087653065401794</v>
      </c>
      <c r="AL32" s="629">
        <f t="shared" si="91"/>
        <v>-0.41791993556160745</v>
      </c>
      <c r="AM32" s="634">
        <f t="shared" si="92"/>
        <v>-0.22225990462322012</v>
      </c>
      <c r="AN32" s="581">
        <f t="shared" si="93"/>
        <v>-61.99487710770849</v>
      </c>
      <c r="AO32" s="582">
        <f t="shared" si="94"/>
        <v>28.251719789078788</v>
      </c>
      <c r="AP32" s="585">
        <f t="shared" si="95"/>
        <v>-25.381367477762613</v>
      </c>
      <c r="AQ32" s="586">
        <f t="shared" si="9"/>
        <v>0.6584308824636127</v>
      </c>
      <c r="AS32" s="52">
        <f t="shared" si="116"/>
        <v>-131.27643302359726</v>
      </c>
      <c r="AT32" s="72">
        <f t="shared" si="10"/>
        <v>-0.77925240526752837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3.2210000000000001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3.121</v>
      </c>
      <c r="II32" s="734" cm="1">
        <f t="array" ref="II32">IFERROR(ROUND(VALUE(IF($IH32&lt;1,$IH32+LARGE((IF($M$9:$M$150="",0,$M$9:$M$150)-MOD(IF($M$9:$M$150="",0,$M$9:$M$150),1)),1),$IH32)),4),"")</f>
        <v>3.121</v>
      </c>
      <c r="IJ32" s="533">
        <f t="shared" si="112"/>
        <v>1613</v>
      </c>
      <c r="IK32" s="533">
        <f t="shared" si="66"/>
        <v>1313</v>
      </c>
      <c r="IL32" s="727">
        <f t="shared" si="225"/>
        <v>14.0044979780007</v>
      </c>
      <c r="IM32" s="759">
        <v>6.471902900682E-4</v>
      </c>
      <c r="IN32" s="5">
        <f t="shared" si="226"/>
        <v>0</v>
      </c>
      <c r="IO32" s="771">
        <v>0</v>
      </c>
      <c r="IP32" s="9">
        <f t="shared" si="227"/>
        <v>-3.4144102978614583</v>
      </c>
      <c r="IQ32" s="5">
        <f t="shared" si="228"/>
        <v>-0.85670217665376469</v>
      </c>
      <c r="IR32" s="5">
        <f t="shared" si="71"/>
        <v>0.314</v>
      </c>
      <c r="IS32" s="5">
        <f t="shared" si="229"/>
        <v>0.28849671778664637</v>
      </c>
      <c r="IT32" s="727">
        <f t="shared" si="230"/>
        <v>61.994879816471801</v>
      </c>
      <c r="IU32" s="9">
        <f t="shared" si="231"/>
        <v>-3.4622104420266933</v>
      </c>
      <c r="IV32" s="5">
        <f t="shared" si="232"/>
        <v>-0.87100221978269488</v>
      </c>
      <c r="IW32" s="5">
        <f t="shared" si="76"/>
        <v>0.26600000000000001</v>
      </c>
      <c r="IX32" s="5">
        <f t="shared" si="233"/>
        <v>0.23431315715396878</v>
      </c>
      <c r="IY32" s="762">
        <f t="shared" si="234"/>
        <v>61.99487710770849</v>
      </c>
    </row>
    <row r="33" spans="1:267" ht="15" customHeight="1" x14ac:dyDescent="0.25">
      <c r="A33" s="79"/>
      <c r="B33" s="707">
        <v>0.12657777983656002</v>
      </c>
      <c r="C33" s="708">
        <v>-1.8653102223629303</v>
      </c>
      <c r="D33" s="709">
        <v>-0.22309999999999999</v>
      </c>
      <c r="E33" s="710">
        <v>0.96276485909874798</v>
      </c>
      <c r="F33" s="708">
        <v>7.5377712465980365E-2</v>
      </c>
      <c r="G33" s="711">
        <v>0.25961900267115307</v>
      </c>
      <c r="H33" s="710">
        <v>0.314</v>
      </c>
      <c r="I33" s="708">
        <v>0.52</v>
      </c>
      <c r="J33" s="570">
        <v>4.1079999999999997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4.1079999999999997</v>
      </c>
      <c r="N33" s="632">
        <f t="shared" si="2"/>
        <v>0.12657777983656002</v>
      </c>
      <c r="O33" s="629">
        <f t="shared" si="3"/>
        <v>-1.8653102223629303</v>
      </c>
      <c r="P33" s="633">
        <f t="shared" si="4"/>
        <v>-0.22309999999999999</v>
      </c>
      <c r="Q33" s="585">
        <f t="shared" si="113"/>
        <v>273.88207343369078</v>
      </c>
      <c r="R33" s="629">
        <f t="shared" si="79"/>
        <v>1.8695999999999993</v>
      </c>
      <c r="S33" s="634">
        <f t="shared" si="80"/>
        <v>-0.22309999999999999</v>
      </c>
      <c r="T33" s="635">
        <f t="shared" si="81"/>
        <v>-1.8632452348361304</v>
      </c>
      <c r="U33" s="629">
        <f t="shared" si="82"/>
        <v>-0.15401738492926756</v>
      </c>
      <c r="V33" s="636">
        <f t="shared" si="114"/>
        <v>-0.22309999999999999</v>
      </c>
      <c r="W33" s="585">
        <f t="shared" si="224"/>
        <v>184.72537331193334</v>
      </c>
      <c r="X33" s="629">
        <f t="shared" si="83"/>
        <v>1.8695999999999993</v>
      </c>
      <c r="Y33" s="630">
        <f t="shared" si="223"/>
        <v>-0.22309999999999999</v>
      </c>
      <c r="Z33" s="632">
        <f t="shared" si="6"/>
        <v>-0.96276485909874798</v>
      </c>
      <c r="AA33" s="629">
        <f t="shared" si="7"/>
        <v>-7.5377712465980365E-2</v>
      </c>
      <c r="AB33" s="629">
        <f t="shared" si="8"/>
        <v>-0.25961900267115307</v>
      </c>
      <c r="AC33" s="636">
        <f t="shared" si="84"/>
        <v>1</v>
      </c>
      <c r="AD33" s="637">
        <f t="shared" si="115"/>
        <v>-0.96276485909874798</v>
      </c>
      <c r="AE33" s="629">
        <f t="shared" si="85"/>
        <v>-7.5377712465980365E-2</v>
      </c>
      <c r="AF33" s="633">
        <f t="shared" si="86"/>
        <v>-0.25961900267115307</v>
      </c>
      <c r="AG33" s="602">
        <f t="shared" si="87"/>
        <v>-16.190112727306886</v>
      </c>
      <c r="AH33" s="603">
        <f t="shared" si="88"/>
        <v>164.3154880115664</v>
      </c>
      <c r="AI33" s="585">
        <f t="shared" si="89"/>
        <v>-74.952543680773715</v>
      </c>
      <c r="AJ33" s="586">
        <f t="shared" si="90"/>
        <v>-85.523275934358637</v>
      </c>
      <c r="AK33" s="635">
        <f t="shared" si="211"/>
        <v>0.96565911259189341</v>
      </c>
      <c r="AL33" s="629">
        <f t="shared" si="91"/>
        <v>1.0022560564692098E-2</v>
      </c>
      <c r="AM33" s="634">
        <f t="shared" si="92"/>
        <v>-0.25961900267115307</v>
      </c>
      <c r="AN33" s="581">
        <f t="shared" si="93"/>
        <v>2.2107988771161136</v>
      </c>
      <c r="AO33" s="582">
        <f t="shared" si="94"/>
        <v>15.058930357049867</v>
      </c>
      <c r="AP33" s="585">
        <f t="shared" si="95"/>
        <v>0.59465063195059054</v>
      </c>
      <c r="AQ33" s="586">
        <f t="shared" si="9"/>
        <v>1.2191819354027997</v>
      </c>
      <c r="AS33" s="52">
        <f t="shared" si="116"/>
        <v>-175.27462668806666</v>
      </c>
      <c r="AT33" s="72">
        <f t="shared" si="10"/>
        <v>-0.10079588432895192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4.1079999999999997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0.14068720879286242</v>
      </c>
      <c r="C34" s="708">
        <v>-2.662886154021999</v>
      </c>
      <c r="D34" s="709">
        <v>-0.27060000000000006</v>
      </c>
      <c r="E34" s="710">
        <v>0.96917505632063894</v>
      </c>
      <c r="F34" s="708">
        <v>-9.5689576518877204E-2</v>
      </c>
      <c r="G34" s="711">
        <v>0.22703130874732819</v>
      </c>
      <c r="H34" s="710">
        <v>0.314</v>
      </c>
      <c r="I34" s="708">
        <v>0.52</v>
      </c>
      <c r="J34" s="570">
        <v>4.1139999999999999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4.1139999999999999</v>
      </c>
      <c r="N34" s="632">
        <f t="shared" si="2"/>
        <v>0.14068720879286242</v>
      </c>
      <c r="O34" s="629">
        <f t="shared" si="3"/>
        <v>-2.662886154021999</v>
      </c>
      <c r="P34" s="633">
        <f t="shared" si="4"/>
        <v>-0.27060000000000006</v>
      </c>
      <c r="Q34" s="585">
        <f t="shared" si="113"/>
        <v>273.02427343369072</v>
      </c>
      <c r="R34" s="629">
        <f>IF(M34="","",SQRT(N34^2+O34^2))</f>
        <v>2.6665999999999999</v>
      </c>
      <c r="S34" s="634">
        <f>IF(M34="","",P34)</f>
        <v>-0.27060000000000006</v>
      </c>
      <c r="T34" s="635">
        <f>IF(M34="","",X34*COS(RADIANS(W34)))</f>
        <v>-2.6605271184264332</v>
      </c>
      <c r="U34" s="629">
        <f>IF(M34="","",X34*SIN(RADIANS(W34)))</f>
        <v>-0.17986387107348342</v>
      </c>
      <c r="V34" s="636">
        <f>IF(M34="","",Y34)</f>
        <v>-0.27060000000000006</v>
      </c>
      <c r="W34" s="585">
        <f t="shared" si="224"/>
        <v>183.86757331193328</v>
      </c>
      <c r="X34" s="629">
        <f>IF(M34="","",R34)</f>
        <v>2.6665999999999999</v>
      </c>
      <c r="Y34" s="630">
        <f t="shared" si="223"/>
        <v>-0.27060000000000006</v>
      </c>
      <c r="Z34" s="632">
        <f t="shared" si="6"/>
        <v>-0.96917505632063894</v>
      </c>
      <c r="AA34" s="629">
        <f t="shared" si="7"/>
        <v>9.5689576518877204E-2</v>
      </c>
      <c r="AB34" s="629">
        <f t="shared" si="8"/>
        <v>-0.22703130874732819</v>
      </c>
      <c r="AC34" s="636">
        <f>IF(M34="","",SQRT(Z34^2+AA34^2+AB34^2))</f>
        <v>1</v>
      </c>
      <c r="AD34" s="637">
        <f>IF(M34="","",Z34*(1/SQRT(Z34^2+AA34^2+AB34^2)))</f>
        <v>-0.96917505632063894</v>
      </c>
      <c r="AE34" s="629">
        <f>IF(M34="","",AA34*(1/SQRT(Z34^2+AA34^2+AB34^2)))</f>
        <v>9.5689576518877204E-2</v>
      </c>
      <c r="AF34" s="633">
        <f>IF(M34="","",AB34*(1/SQRT(Z34^2+AA34^2+AB34^2)))</f>
        <v>-0.22703130874732819</v>
      </c>
      <c r="AG34" s="602">
        <f>IF(M34="","",DEGREES(ATAN2(-AF34,AE34)))</f>
        <v>22.854540155300846</v>
      </c>
      <c r="AH34" s="603">
        <f>IF(M34="","",DEGREES(ACOS(AD34)))</f>
        <v>165.73700510977281</v>
      </c>
      <c r="AI34" s="585">
        <f>IF(M34="","",DEGREES(-ACOS(-AF34)))</f>
        <v>-76.877644766344673</v>
      </c>
      <c r="AJ34" s="586">
        <f>IF(M34="","",DEGREES(ATAN2(-AE34,AD34)))</f>
        <v>-95.638710073277352</v>
      </c>
      <c r="AK34" s="635">
        <f>IF(M34="","",(COS(RADIANS((90-$Q$8)-W34))*AD34)+(-SIN(RADIANS((90-$Q$8)-W34))*AE34))</f>
        <v>0.96277677149505314</v>
      </c>
      <c r="AL34" s="629">
        <f>IF(M34="","",(SIN(RADIANS((90-$Q$8)-W34))*AD34)+(COS(RADIANS((90-$Q$8)-W34))*AE34))</f>
        <v>-0.14668903543904635</v>
      </c>
      <c r="AM34" s="634">
        <f>IF(M34="","",AF34)</f>
        <v>-0.22703130874732819</v>
      </c>
      <c r="AN34" s="581">
        <f>IF(M34="","",DEGREES(ATAN2(-AM34,AL34)))</f>
        <v>-32.867233625577086</v>
      </c>
      <c r="AO34" s="582">
        <f t="shared" si="94"/>
        <v>15.681987082468524</v>
      </c>
      <c r="AP34" s="585">
        <f>IF(M34="","",DEGREES(ATAN2(AK34,AL34)))</f>
        <v>-8.6629835069680858</v>
      </c>
      <c r="AQ34" s="586">
        <f t="shared" si="9"/>
        <v>0.85485542185408936</v>
      </c>
      <c r="AS34" s="52">
        <f t="shared" si="116"/>
        <v>-176.13242668806672</v>
      </c>
      <c r="AT34" s="72">
        <f t="shared" si="10"/>
        <v>-0.1477001898845075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4.1139999999999999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0.11831822081958582</v>
      </c>
      <c r="C35" s="708">
        <v>-3.3145889169883631</v>
      </c>
      <c r="D35" s="709">
        <v>-0.72440000000000038</v>
      </c>
      <c r="E35" s="710">
        <v>0.93681638148103885</v>
      </c>
      <c r="F35" s="708">
        <v>-0.28698412480998664</v>
      </c>
      <c r="G35" s="711">
        <v>0.20003794513996306</v>
      </c>
      <c r="H35" s="710">
        <v>0.314</v>
      </c>
      <c r="I35" s="708">
        <v>0.52</v>
      </c>
      <c r="J35" s="570">
        <v>4.12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4.12</v>
      </c>
      <c r="N35" s="632">
        <f t="shared" si="2"/>
        <v>0.11831822081958582</v>
      </c>
      <c r="O35" s="629">
        <f t="shared" si="3"/>
        <v>-3.3145889169883631</v>
      </c>
      <c r="P35" s="633">
        <f t="shared" si="4"/>
        <v>-0.72440000000000038</v>
      </c>
      <c r="Q35" s="585">
        <f t="shared" si="113"/>
        <v>272.04437343369074</v>
      </c>
      <c r="R35" s="629">
        <f>IF(M35="","",SQRT(N35^2+O35^2))</f>
        <v>3.3167</v>
      </c>
      <c r="S35" s="634">
        <f>IF(M35="","",P35)</f>
        <v>-0.72440000000000038</v>
      </c>
      <c r="T35" s="635">
        <f>IF(M35="","",X35*COS(RADIANS(W35)))</f>
        <v>-3.3124885163668614</v>
      </c>
      <c r="U35" s="629">
        <f>IF(M35="","",X35*SIN(RADIANS(W35)))</f>
        <v>-0.16708895516361874</v>
      </c>
      <c r="V35" s="636">
        <f>IF(M35="","",Y35)</f>
        <v>-0.72440000000000038</v>
      </c>
      <c r="W35" s="585">
        <f t="shared" si="224"/>
        <v>182.8876733119333</v>
      </c>
      <c r="X35" s="629">
        <f>IF(M35="","",R35)</f>
        <v>3.3167</v>
      </c>
      <c r="Y35" s="630">
        <f t="shared" si="223"/>
        <v>-0.72440000000000038</v>
      </c>
      <c r="Z35" s="632">
        <f t="shared" si="6"/>
        <v>-0.93681638148103885</v>
      </c>
      <c r="AA35" s="629">
        <f t="shared" si="7"/>
        <v>0.28698412480998664</v>
      </c>
      <c r="AB35" s="629">
        <f t="shared" si="8"/>
        <v>-0.20003794513996306</v>
      </c>
      <c r="AC35" s="636">
        <f>IF(M35="","",SQRT(Z35^2+AA35^2+AB35^2))</f>
        <v>1</v>
      </c>
      <c r="AD35" s="637">
        <f>IF(M35="","",Z35*(1/SQRT(Z35^2+AA35^2+AB35^2)))</f>
        <v>-0.93681638148103885</v>
      </c>
      <c r="AE35" s="629">
        <f>IF(M35="","",AA35*(1/SQRT(Z35^2+AA35^2+AB35^2)))</f>
        <v>0.28698412480998664</v>
      </c>
      <c r="AF35" s="633">
        <f>IF(M35="","",AB35*(1/SQRT(Z35^2+AA35^2+AB35^2)))</f>
        <v>-0.20003794513996306</v>
      </c>
      <c r="AG35" s="602">
        <f>IF(M35="","",DEGREES(ATAN2(-AF35,AE35)))</f>
        <v>55.122158053253145</v>
      </c>
      <c r="AH35" s="603">
        <f>IF(M35="","",DEGREES(ACOS(AD35)))</f>
        <v>159.52360361612892</v>
      </c>
      <c r="AI35" s="585">
        <f>IF(M35="","",DEGREES(-ACOS(-AF35)))</f>
        <v>-78.460822030594443</v>
      </c>
      <c r="AJ35" s="586">
        <f>IF(M35="","",DEGREES(ATAN2(-AE35,AD35)))</f>
        <v>-107.03191018228635</v>
      </c>
      <c r="AK35" s="635">
        <f>IF(M35="","",(COS(RADIANS((90-$Q$8)-W35))*AD35)+(-SIN(RADIANS((90-$Q$8)-W35))*AE35))</f>
        <v>0.92598237533066319</v>
      </c>
      <c r="AL35" s="629">
        <f>IF(M35="","",(SIN(RADIANS((90-$Q$8)-W35))*AD35)+(COS(RADIANS((90-$Q$8)-W35))*AE35))</f>
        <v>-0.32022095665518846</v>
      </c>
      <c r="AM35" s="634">
        <f>IF(M35="","",AF35)</f>
        <v>-0.20003794513996306</v>
      </c>
      <c r="AN35" s="581">
        <f>IF(M35="","",DEGREES(ATAN2(-AM35,AL35)))</f>
        <v>-58.007504831369737</v>
      </c>
      <c r="AO35" s="582">
        <f t="shared" si="94"/>
        <v>22.183041934906232</v>
      </c>
      <c r="AP35" s="585">
        <f>IF(M35="","",DEGREES(ATAN2(AK35,AL35)))</f>
        <v>-19.076283615977086</v>
      </c>
      <c r="AQ35" s="586">
        <f t="shared" si="9"/>
        <v>0.68731488486940406</v>
      </c>
      <c r="AS35" s="52">
        <f t="shared" si="116"/>
        <v>-177.1123266880667</v>
      </c>
      <c r="AT35" s="72">
        <f t="shared" si="10"/>
        <v>-0.60081970377339666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4.12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9.5429373683041954E-2</v>
      </c>
      <c r="C36" s="708">
        <v>-3.6431503667346021</v>
      </c>
      <c r="D36" s="709">
        <v>-1.4442000000000002</v>
      </c>
      <c r="E36" s="710">
        <v>0.88893863166330334</v>
      </c>
      <c r="F36" s="708">
        <v>-0.44954690159154276</v>
      </c>
      <c r="G36" s="711">
        <v>8.7725095645532811E-2</v>
      </c>
      <c r="H36" s="710">
        <v>0.314</v>
      </c>
      <c r="I36" s="708">
        <v>0.52</v>
      </c>
      <c r="J36" s="570">
        <v>4.1260000000000003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4.1260000000000003</v>
      </c>
      <c r="N36" s="632">
        <f t="shared" si="2"/>
        <v>9.5429373683041954E-2</v>
      </c>
      <c r="O36" s="629">
        <f t="shared" si="3"/>
        <v>-3.6431503667346021</v>
      </c>
      <c r="P36" s="633">
        <f t="shared" si="4"/>
        <v>-1.4442000000000002</v>
      </c>
      <c r="Q36" s="585">
        <f t="shared" si="113"/>
        <v>271.50047343369079</v>
      </c>
      <c r="R36" s="629">
        <f>IF(M36="","",SQRT(N36^2+O36^2))</f>
        <v>3.6444000000000005</v>
      </c>
      <c r="S36" s="634">
        <f>IF(M36="","",P36)</f>
        <v>-1.4442000000000002</v>
      </c>
      <c r="T36" s="635">
        <f>IF(M36="","",X36*COS(RADIANS(W36)))</f>
        <v>-3.6413512527214142</v>
      </c>
      <c r="U36" s="629">
        <f>IF(M36="","",X36*SIN(RADIANS(W36)))</f>
        <v>-0.14903829811224142</v>
      </c>
      <c r="V36" s="636">
        <f>IF(M36="","",Y36)</f>
        <v>-1.4442000000000002</v>
      </c>
      <c r="W36" s="585">
        <f t="shared" si="224"/>
        <v>182.34377331193335</v>
      </c>
      <c r="X36" s="629">
        <f>IF(M36="","",R36)</f>
        <v>3.6444000000000005</v>
      </c>
      <c r="Y36" s="630">
        <f t="shared" si="223"/>
        <v>-1.4442000000000002</v>
      </c>
      <c r="Z36" s="632">
        <f t="shared" si="6"/>
        <v>-0.88893863166330334</v>
      </c>
      <c r="AA36" s="629">
        <f t="shared" si="7"/>
        <v>0.44954690159154276</v>
      </c>
      <c r="AB36" s="629">
        <f t="shared" si="8"/>
        <v>-8.7725095645532811E-2</v>
      </c>
      <c r="AC36" s="636">
        <f>IF(M36="","",SQRT(Z36^2+AA36^2+AB36^2))</f>
        <v>1</v>
      </c>
      <c r="AD36" s="637">
        <f>IF(M36="","",Z36*(1/SQRT(Z36^2+AA36^2+AB36^2)))</f>
        <v>-0.88893863166330334</v>
      </c>
      <c r="AE36" s="629">
        <f>IF(M36="","",AA36*(1/SQRT(Z36^2+AA36^2+AB36^2)))</f>
        <v>0.44954690159154276</v>
      </c>
      <c r="AF36" s="633">
        <f>IF(M36="","",AB36*(1/SQRT(Z36^2+AA36^2+AB36^2)))</f>
        <v>-8.7725095645532811E-2</v>
      </c>
      <c r="AG36" s="602">
        <f>IF(M36="","",DEGREES(ATAN2(-AF36,AE36)))</f>
        <v>78.958000614079396</v>
      </c>
      <c r="AH36" s="603">
        <f>IF(M36="","",DEGREES(ACOS(AD36)))</f>
        <v>152.74017735492171</v>
      </c>
      <c r="AI36" s="585">
        <f>IF(M36="","",DEGREES(-ACOS(-AF36)))</f>
        <v>-84.967253052485646</v>
      </c>
      <c r="AJ36" s="586">
        <f>IF(M36="","",DEGREES(ATAN2(-AE36,AD36)))</f>
        <v>-116.8262696940161</v>
      </c>
      <c r="AK36" s="635">
        <f>IF(M36="","",(COS(RADIANS((90-$Q$8)-W36))*AD36)+(-SIN(RADIANS((90-$Q$8)-W36))*AE36))</f>
        <v>0.87686234296144361</v>
      </c>
      <c r="AL36" s="629">
        <f>IF(M36="","",(SIN(RADIANS((90-$Q$8)-W36))*AD36)+(COS(RADIANS((90-$Q$8)-W36))*AE36))</f>
        <v>-0.47266979921521335</v>
      </c>
      <c r="AM36" s="634">
        <f>IF(M36="","",AF36)</f>
        <v>-8.7725095645532811E-2</v>
      </c>
      <c r="AN36" s="581">
        <f>IF(M36="","",DEGREES(ATAN2(-AM36,AL36)))</f>
        <v>-79.485829063333696</v>
      </c>
      <c r="AO36" s="582">
        <f t="shared" si="94"/>
        <v>28.733844582507651</v>
      </c>
      <c r="AP36" s="585">
        <f>IF(M36="","",DEGREES(ATAN2(AK36,AL36)))</f>
        <v>-28.326743127706894</v>
      </c>
      <c r="AQ36" s="586">
        <f t="shared" si="9"/>
        <v>0.62551752249235038</v>
      </c>
      <c r="AS36" s="52">
        <f t="shared" si="116"/>
        <v>-177.65622668806665</v>
      </c>
      <c r="AT36" s="72">
        <f t="shared" si="10"/>
        <v>-1.3202419954400633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4.1260000000000003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9.1497180546941836E-2</v>
      </c>
      <c r="C37" s="708">
        <v>-3.6903659036533134</v>
      </c>
      <c r="D37" s="709">
        <v>-2.1988000000000008</v>
      </c>
      <c r="E37" s="710">
        <v>0.87815233607720744</v>
      </c>
      <c r="F37" s="708">
        <v>-0.47838109770572085</v>
      </c>
      <c r="G37" s="711">
        <v>1.1339743347626701E-7</v>
      </c>
      <c r="H37" s="710">
        <v>0.314</v>
      </c>
      <c r="I37" s="708">
        <v>0.52</v>
      </c>
      <c r="J37" s="570">
        <v>4.1319999999999997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4.1319999999999997</v>
      </c>
      <c r="N37" s="632">
        <f t="shared" si="2"/>
        <v>9.1497180546941836E-2</v>
      </c>
      <c r="O37" s="629">
        <f t="shared" si="3"/>
        <v>-3.6903659036533134</v>
      </c>
      <c r="P37" s="633">
        <f t="shared" si="4"/>
        <v>-2.1988000000000008</v>
      </c>
      <c r="Q37" s="585">
        <f t="shared" si="113"/>
        <v>271.42027338597239</v>
      </c>
      <c r="R37" s="629">
        <f t="shared" si="79"/>
        <v>3.6914999982249732</v>
      </c>
      <c r="S37" s="634">
        <f t="shared" si="80"/>
        <v>-2.1988000000000008</v>
      </c>
      <c r="T37" s="635">
        <f t="shared" si="81"/>
        <v>-3.6886195489215456</v>
      </c>
      <c r="U37" s="629">
        <f t="shared" si="82"/>
        <v>-0.14580144103810511</v>
      </c>
      <c r="V37" s="636">
        <f t="shared" si="114"/>
        <v>-2.1988000000000008</v>
      </c>
      <c r="W37" s="585">
        <f t="shared" si="224"/>
        <v>182.26357326421495</v>
      </c>
      <c r="X37" s="629">
        <f t="shared" si="83"/>
        <v>3.6914999982249732</v>
      </c>
      <c r="Y37" s="630">
        <f t="shared" si="223"/>
        <v>-2.1988000000000008</v>
      </c>
      <c r="Z37" s="632">
        <f t="shared" si="6"/>
        <v>-0.87815233607720744</v>
      </c>
      <c r="AA37" s="629">
        <f t="shared" si="7"/>
        <v>0.47838109770572085</v>
      </c>
      <c r="AB37" s="629">
        <f t="shared" si="8"/>
        <v>-1.1339743347626701E-7</v>
      </c>
      <c r="AC37" s="636">
        <f t="shared" si="84"/>
        <v>1</v>
      </c>
      <c r="AD37" s="637">
        <f t="shared" si="115"/>
        <v>-0.87815233607720744</v>
      </c>
      <c r="AE37" s="629">
        <f t="shared" si="85"/>
        <v>0.47838109770572085</v>
      </c>
      <c r="AF37" s="633">
        <f t="shared" si="86"/>
        <v>-1.1339743347626701E-7</v>
      </c>
      <c r="AG37" s="602">
        <f t="shared" si="87"/>
        <v>89.999986418371506</v>
      </c>
      <c r="AH37" s="603">
        <f t="shared" si="88"/>
        <v>151.42027776515417</v>
      </c>
      <c r="AI37" s="585">
        <f t="shared" si="89"/>
        <v>-89.999993502805651</v>
      </c>
      <c r="AJ37" s="586">
        <f t="shared" si="90"/>
        <v>-118.57972223484514</v>
      </c>
      <c r="AK37" s="635">
        <f t="shared" si="211"/>
        <v>0.86602544200000697</v>
      </c>
      <c r="AL37" s="629">
        <f t="shared" si="91"/>
        <v>-0.49999993380867547</v>
      </c>
      <c r="AM37" s="634">
        <f t="shared" si="92"/>
        <v>-1.1339743347626701E-7</v>
      </c>
      <c r="AN37" s="581">
        <f t="shared" si="93"/>
        <v>-89.999987005609597</v>
      </c>
      <c r="AO37" s="582">
        <f t="shared" si="94"/>
        <v>29.999995620818151</v>
      </c>
      <c r="AP37" s="585">
        <f t="shared" si="95"/>
        <v>-29.999995620817529</v>
      </c>
      <c r="AQ37" s="586">
        <f t="shared" si="9"/>
        <v>0.61753714111099434</v>
      </c>
      <c r="AS37" s="52">
        <f t="shared" si="116"/>
        <v>-177.73642673578505</v>
      </c>
      <c r="AT37" s="72">
        <f t="shared" si="10"/>
        <v>-2.0747863009624816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4.1319999999999997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-0.68024158788925593</v>
      </c>
      <c r="C38" s="708">
        <v>-2.6083662649981996</v>
      </c>
      <c r="D38" s="709">
        <v>-0.26800040112920986</v>
      </c>
      <c r="E38" s="710">
        <v>0.85690834876539601</v>
      </c>
      <c r="F38" s="708">
        <v>-0.42155486572856354</v>
      </c>
      <c r="G38" s="711">
        <v>0.29664722651111269</v>
      </c>
      <c r="H38" s="710">
        <v>0.26600000000000001</v>
      </c>
      <c r="I38" s="708">
        <v>0.52</v>
      </c>
      <c r="J38" s="570">
        <v>4.2140000000000004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4.2140000000000004</v>
      </c>
      <c r="N38" s="632">
        <f t="shared" si="2"/>
        <v>-0.68024158788925593</v>
      </c>
      <c r="O38" s="629">
        <f t="shared" si="3"/>
        <v>-2.6083662649981996</v>
      </c>
      <c r="P38" s="633">
        <f t="shared" si="4"/>
        <v>-0.26800040112920986</v>
      </c>
      <c r="Q38" s="585">
        <f t="shared" si="113"/>
        <v>255.3832761216093</v>
      </c>
      <c r="R38" s="629">
        <f t="shared" si="79"/>
        <v>2.6956081299541212</v>
      </c>
      <c r="S38" s="634">
        <f t="shared" si="80"/>
        <v>-0.26800040112920986</v>
      </c>
      <c r="T38" s="635">
        <f t="shared" si="81"/>
        <v>-2.6180954234965665</v>
      </c>
      <c r="U38" s="629">
        <f t="shared" si="82"/>
        <v>0.64177842262036844</v>
      </c>
      <c r="V38" s="636">
        <f t="shared" si="114"/>
        <v>-0.26800040112920986</v>
      </c>
      <c r="W38" s="585">
        <f t="shared" si="224"/>
        <v>166.22657599985186</v>
      </c>
      <c r="X38" s="629">
        <f t="shared" si="83"/>
        <v>2.6956081299541212</v>
      </c>
      <c r="Y38" s="630">
        <f t="shared" si="223"/>
        <v>-0.26800040112920986</v>
      </c>
      <c r="Z38" s="632">
        <f t="shared" si="6"/>
        <v>-0.85690834876539601</v>
      </c>
      <c r="AA38" s="629">
        <f t="shared" si="7"/>
        <v>0.42155486572856354</v>
      </c>
      <c r="AB38" s="629">
        <f t="shared" si="8"/>
        <v>-0.29664722651111269</v>
      </c>
      <c r="AC38" s="636">
        <f t="shared" si="84"/>
        <v>1</v>
      </c>
      <c r="AD38" s="637">
        <f t="shared" si="115"/>
        <v>-0.85690834876539601</v>
      </c>
      <c r="AE38" s="629">
        <f t="shared" si="85"/>
        <v>0.42155486572856354</v>
      </c>
      <c r="AF38" s="633">
        <f t="shared" si="86"/>
        <v>-0.29664722651111269</v>
      </c>
      <c r="AG38" s="602">
        <f t="shared" si="87"/>
        <v>54.866033634587041</v>
      </c>
      <c r="AH38" s="603">
        <f t="shared" si="88"/>
        <v>148.97120474759194</v>
      </c>
      <c r="AI38" s="585">
        <f t="shared" si="89"/>
        <v>-72.743661398271371</v>
      </c>
      <c r="AJ38" s="586">
        <f t="shared" si="90"/>
        <v>-116.19481512800348</v>
      </c>
      <c r="AK38" s="635">
        <f t="shared" si="211"/>
        <v>0.93555511735436592</v>
      </c>
      <c r="AL38" s="629">
        <f t="shared" si="91"/>
        <v>-0.19166910391433317</v>
      </c>
      <c r="AM38" s="634">
        <f t="shared" si="92"/>
        <v>-0.29664722651111269</v>
      </c>
      <c r="AN38" s="581">
        <f t="shared" si="93"/>
        <v>-32.867228815425378</v>
      </c>
      <c r="AO38" s="582">
        <f t="shared" si="94"/>
        <v>20.681986163357806</v>
      </c>
      <c r="AP38" s="585">
        <f t="shared" si="95"/>
        <v>-11.578091249612779</v>
      </c>
      <c r="AQ38" s="586">
        <f t="shared" si="9"/>
        <v>0.84565744677685639</v>
      </c>
      <c r="AS38" s="52">
        <f t="shared" si="116"/>
        <v>-193.77342400014814</v>
      </c>
      <c r="AT38" s="72">
        <f t="shared" si="10"/>
        <v>-0.13284989843588299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Nose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4.2140000000000004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4.1139999999999999</v>
      </c>
      <c r="II38" s="734" cm="1">
        <f t="array" ref="II38">IFERROR(ROUND(VALUE(IF($IH38&lt;1,$IH38+LARGE((IF($M$9:$M$150="",0,$M$9:$M$150)-MOD(IF($M$9:$M$150="",0,$M$9:$M$150),1)),1),$IH38)),4),"")</f>
        <v>4.1139999999999999</v>
      </c>
      <c r="IJ38" s="533">
        <f t="shared" si="112"/>
        <v>1613</v>
      </c>
      <c r="IK38" s="533">
        <f t="shared" si="66"/>
        <v>1313</v>
      </c>
      <c r="IL38" s="727">
        <f t="shared" si="225"/>
        <v>17.640997312081424</v>
      </c>
      <c r="IM38" s="759">
        <v>2.0510924763035201E-2</v>
      </c>
      <c r="IN38" s="5">
        <f t="shared" si="226"/>
        <v>0.84</v>
      </c>
      <c r="IO38" s="771">
        <v>420</v>
      </c>
      <c r="IP38" s="9">
        <f t="shared" si="227"/>
        <v>-2.6665999999999999</v>
      </c>
      <c r="IQ38" s="5">
        <f t="shared" si="228"/>
        <v>-0.27060000000000006</v>
      </c>
      <c r="IR38" s="5">
        <f t="shared" si="71"/>
        <v>0.314</v>
      </c>
      <c r="IS38" s="5">
        <f t="shared" si="229"/>
        <v>0.3023119062494467</v>
      </c>
      <c r="IT38" s="727">
        <f t="shared" si="230"/>
        <v>32.867233625577086</v>
      </c>
      <c r="IU38" s="9">
        <f t="shared" si="231"/>
        <v>-2.6956081299541212</v>
      </c>
      <c r="IV38" s="5">
        <f t="shared" si="232"/>
        <v>-0.26800040112920986</v>
      </c>
      <c r="IW38" s="5">
        <f t="shared" si="76"/>
        <v>0.26600000000000001</v>
      </c>
      <c r="IX38" s="5">
        <f t="shared" si="233"/>
        <v>0.24885766121626135</v>
      </c>
      <c r="IY38" s="762">
        <f t="shared" si="234"/>
        <v>32.867228815425378</v>
      </c>
    </row>
    <row r="39" spans="1:267" ht="15" customHeight="1" x14ac:dyDescent="0.25">
      <c r="A39" s="79"/>
      <c r="B39" s="707">
        <v>-0.71615029782131534</v>
      </c>
      <c r="C39" s="708">
        <v>-3.2854643074515484</v>
      </c>
      <c r="D39" s="709">
        <v>-0.73570181171666416</v>
      </c>
      <c r="E39" s="710">
        <v>0.78662645879645754</v>
      </c>
      <c r="F39" s="708">
        <v>-0.56801231087346304</v>
      </c>
      <c r="G39" s="711">
        <v>0.24203476819980549</v>
      </c>
      <c r="H39" s="710">
        <v>0.26600000000000001</v>
      </c>
      <c r="I39" s="708">
        <v>0.52</v>
      </c>
      <c r="J39" s="570">
        <v>4.22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4.22</v>
      </c>
      <c r="N39" s="632">
        <f t="shared" si="2"/>
        <v>-0.71615029782131534</v>
      </c>
      <c r="O39" s="629">
        <f t="shared" si="3"/>
        <v>-3.2854643074515484</v>
      </c>
      <c r="P39" s="633">
        <f t="shared" si="4"/>
        <v>-0.73570181171666416</v>
      </c>
      <c r="Q39" s="585">
        <f t="shared" si="113"/>
        <v>257.70327578664279</v>
      </c>
      <c r="R39" s="629">
        <f t="shared" si="79"/>
        <v>3.3626101416321879</v>
      </c>
      <c r="S39" s="634">
        <f t="shared" si="80"/>
        <v>-0.73570181171666416</v>
      </c>
      <c r="T39" s="635">
        <f t="shared" si="81"/>
        <v>-3.2956486255823214</v>
      </c>
      <c r="U39" s="629">
        <f t="shared" si="82"/>
        <v>0.66771783060286749</v>
      </c>
      <c r="V39" s="636">
        <f t="shared" si="114"/>
        <v>-0.73570181171666416</v>
      </c>
      <c r="W39" s="585">
        <f t="shared" si="224"/>
        <v>168.54657566488535</v>
      </c>
      <c r="X39" s="629">
        <f t="shared" si="83"/>
        <v>3.3626101416321879</v>
      </c>
      <c r="Y39" s="630">
        <f t="shared" si="223"/>
        <v>-0.73570181171666416</v>
      </c>
      <c r="Z39" s="632">
        <f t="shared" si="6"/>
        <v>-0.78662645879645754</v>
      </c>
      <c r="AA39" s="629">
        <f t="shared" si="7"/>
        <v>0.56801231087346304</v>
      </c>
      <c r="AB39" s="629">
        <f t="shared" si="8"/>
        <v>-0.24203476819980549</v>
      </c>
      <c r="AC39" s="636">
        <f t="shared" si="84"/>
        <v>1</v>
      </c>
      <c r="AD39" s="637">
        <f t="shared" si="115"/>
        <v>-0.78662645879645754</v>
      </c>
      <c r="AE39" s="629">
        <f t="shared" si="85"/>
        <v>0.56801231087346304</v>
      </c>
      <c r="AF39" s="633">
        <f t="shared" si="86"/>
        <v>-0.24203476819980549</v>
      </c>
      <c r="AG39" s="602">
        <f t="shared" si="87"/>
        <v>66.920742927130618</v>
      </c>
      <c r="AH39" s="603">
        <f t="shared" si="88"/>
        <v>141.87135704026002</v>
      </c>
      <c r="AI39" s="585">
        <f t="shared" si="89"/>
        <v>-75.993334797589597</v>
      </c>
      <c r="AJ39" s="586">
        <f t="shared" si="90"/>
        <v>-125.8325403247314</v>
      </c>
      <c r="AK39" s="635">
        <f t="shared" si="211"/>
        <v>0.88955163200068621</v>
      </c>
      <c r="AL39" s="629">
        <f t="shared" si="91"/>
        <v>-0.38744943539432625</v>
      </c>
      <c r="AM39" s="634">
        <f t="shared" si="92"/>
        <v>-0.24203476819980549</v>
      </c>
      <c r="AN39" s="581">
        <f t="shared" si="93"/>
        <v>-58.007499478387132</v>
      </c>
      <c r="AO39" s="582">
        <f t="shared" si="94"/>
        <v>27.183040864588484</v>
      </c>
      <c r="AP39" s="585">
        <f t="shared" si="95"/>
        <v>-23.535816111374185</v>
      </c>
      <c r="AQ39" s="586">
        <f t="shared" si="9"/>
        <v>0.6779317696744539</v>
      </c>
      <c r="AS39" s="52">
        <f t="shared" si="116"/>
        <v>-191.45342433511465</v>
      </c>
      <c r="AT39" s="72">
        <f t="shared" si="10"/>
        <v>-0.60216241990183272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4.22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4.12</v>
      </c>
      <c r="II39" s="734" cm="1">
        <f t="array" ref="II39">IFERROR(ROUND(VALUE(IF($IH39&lt;1,$IH39+LARGE((IF($M$9:$M$150="",0,$M$9:$M$150)-MOD(IF($M$9:$M$150="",0,$M$9:$M$150),1)),1),$IH39)),4),"")</f>
        <v>4.12</v>
      </c>
      <c r="IJ39" s="533">
        <f t="shared" si="112"/>
        <v>1613</v>
      </c>
      <c r="IK39" s="533">
        <f t="shared" si="66"/>
        <v>1313</v>
      </c>
      <c r="IL39" s="727">
        <f t="shared" si="225"/>
        <v>14.341097647047945</v>
      </c>
      <c r="IM39" s="759">
        <v>3.1275664867724002E-3</v>
      </c>
      <c r="IN39" s="5">
        <f t="shared" si="226"/>
        <v>0.94</v>
      </c>
      <c r="IO39" s="771">
        <v>470</v>
      </c>
      <c r="IP39" s="9">
        <f t="shared" si="227"/>
        <v>-3.3167</v>
      </c>
      <c r="IQ39" s="5">
        <f t="shared" si="228"/>
        <v>-0.72440000000000038</v>
      </c>
      <c r="IR39" s="5">
        <f t="shared" si="71"/>
        <v>0.314</v>
      </c>
      <c r="IS39" s="5">
        <f t="shared" si="229"/>
        <v>0.29075846585382825</v>
      </c>
      <c r="IT39" s="727">
        <f t="shared" si="230"/>
        <v>58.007504831369737</v>
      </c>
      <c r="IU39" s="9">
        <f t="shared" si="231"/>
        <v>-3.3626101416321879</v>
      </c>
      <c r="IV39" s="5">
        <f t="shared" si="232"/>
        <v>-0.73570181171666416</v>
      </c>
      <c r="IW39" s="5">
        <f t="shared" si="76"/>
        <v>0.26600000000000001</v>
      </c>
      <c r="IX39" s="5">
        <f t="shared" si="233"/>
        <v>0.23662073411218257</v>
      </c>
      <c r="IY39" s="762">
        <f t="shared" si="234"/>
        <v>58.007499478387132</v>
      </c>
    </row>
    <row r="40" spans="1:267" ht="15" customHeight="1" x14ac:dyDescent="0.25">
      <c r="A40" s="79"/>
      <c r="B40" s="707">
        <v>-0.71438651017149823</v>
      </c>
      <c r="C40" s="708">
        <v>-0.41245124395295157</v>
      </c>
      <c r="D40" s="709">
        <v>-0.50110110416093001</v>
      </c>
      <c r="E40" s="710">
        <v>0.5409756035608122</v>
      </c>
      <c r="F40" s="708">
        <v>-0.80302267260615134</v>
      </c>
      <c r="G40" s="711">
        <v>0.24999996726497561</v>
      </c>
      <c r="H40" s="710">
        <v>0.314</v>
      </c>
      <c r="I40" s="708">
        <v>0.52</v>
      </c>
      <c r="J40" s="570">
        <v>5.1029999999999998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5.1029999999999998</v>
      </c>
      <c r="N40" s="632">
        <f t="shared" si="2"/>
        <v>-0.71438651017149823</v>
      </c>
      <c r="O40" s="629">
        <f t="shared" si="3"/>
        <v>-0.41245124395295157</v>
      </c>
      <c r="P40" s="633">
        <f t="shared" si="4"/>
        <v>-0.50110110416093001</v>
      </c>
      <c r="Q40" s="585">
        <f t="shared" si="113"/>
        <v>210</v>
      </c>
      <c r="R40" s="629">
        <f t="shared" si="79"/>
        <v>0.82490248790590348</v>
      </c>
      <c r="S40" s="634">
        <f t="shared" si="80"/>
        <v>-0.50110110416093001</v>
      </c>
      <c r="T40" s="635">
        <f t="shared" si="81"/>
        <v>-0.42292078790359466</v>
      </c>
      <c r="U40" s="629">
        <f t="shared" si="82"/>
        <v>0.70823874626594097</v>
      </c>
      <c r="V40" s="636">
        <f t="shared" si="114"/>
        <v>-0.50110110416093001</v>
      </c>
      <c r="W40" s="585">
        <f t="shared" si="224"/>
        <v>120.84329987824256</v>
      </c>
      <c r="X40" s="629">
        <f t="shared" si="83"/>
        <v>0.82490248790590348</v>
      </c>
      <c r="Y40" s="630">
        <f t="shared" si="223"/>
        <v>-0.50110110416093001</v>
      </c>
      <c r="Z40" s="632">
        <f t="shared" si="6"/>
        <v>-0.5409756035608122</v>
      </c>
      <c r="AA40" s="629">
        <f t="shared" si="7"/>
        <v>0.80302267260615134</v>
      </c>
      <c r="AB40" s="629">
        <f t="shared" si="8"/>
        <v>-0.24999996726497561</v>
      </c>
      <c r="AC40" s="636">
        <f t="shared" si="84"/>
        <v>1</v>
      </c>
      <c r="AD40" s="637">
        <f t="shared" si="115"/>
        <v>-0.5409756035608122</v>
      </c>
      <c r="AE40" s="629">
        <f t="shared" si="85"/>
        <v>0.80302267260615134</v>
      </c>
      <c r="AF40" s="633">
        <f t="shared" si="86"/>
        <v>-0.24999996726497561</v>
      </c>
      <c r="AG40" s="602">
        <f t="shared" si="87"/>
        <v>72.707398212485458</v>
      </c>
      <c r="AH40" s="603">
        <f t="shared" si="88"/>
        <v>122.75007713066476</v>
      </c>
      <c r="AI40" s="585">
        <f t="shared" si="89"/>
        <v>-75.522489751159469</v>
      </c>
      <c r="AJ40" s="586">
        <f t="shared" si="90"/>
        <v>-146.03287035491343</v>
      </c>
      <c r="AK40" s="635">
        <f t="shared" si="211"/>
        <v>0.96592583607220739</v>
      </c>
      <c r="AL40" s="629">
        <f t="shared" si="91"/>
        <v>6.6987279208207295E-2</v>
      </c>
      <c r="AM40" s="634">
        <f t="shared" si="92"/>
        <v>-0.24999996726497561</v>
      </c>
      <c r="AN40" s="581">
        <f t="shared" si="93"/>
        <v>14.99999783426829</v>
      </c>
      <c r="AO40" s="582">
        <f t="shared" si="94"/>
        <v>14.999997834268255</v>
      </c>
      <c r="AP40" s="585">
        <f t="shared" si="95"/>
        <v>3.9671296450865774</v>
      </c>
      <c r="AQ40" s="586">
        <f t="shared" si="9"/>
        <v>2.7614913912889087</v>
      </c>
      <c r="AS40" s="52">
        <f t="shared" si="116"/>
        <v>-239.15670012175744</v>
      </c>
      <c r="AT40" s="72">
        <f t="shared" si="10"/>
        <v>-0.33443443749426333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5.1029999999999998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-1.324676452852859</v>
      </c>
      <c r="C41" s="708">
        <v>-0.7648023066437567</v>
      </c>
      <c r="D41" s="709">
        <v>-0.31220053443681201</v>
      </c>
      <c r="E41" s="710">
        <v>0.5409756035608122</v>
      </c>
      <c r="F41" s="708">
        <v>-0.80302267260615146</v>
      </c>
      <c r="G41" s="711">
        <v>0.24999996726497573</v>
      </c>
      <c r="H41" s="710">
        <v>0.314</v>
      </c>
      <c r="I41" s="708">
        <v>0.52</v>
      </c>
      <c r="J41" s="570">
        <v>5.1059999999999999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5.1059999999999999</v>
      </c>
      <c r="N41" s="632">
        <f t="shared" ref="N41:N72" si="240">IF(M41="","",B41)</f>
        <v>-1.324676452852859</v>
      </c>
      <c r="O41" s="629">
        <f t="shared" ref="O41:O72" si="241">IF(M41="","",C41)</f>
        <v>-0.7648023066437567</v>
      </c>
      <c r="P41" s="633">
        <f t="shared" ref="P41:P72" si="242">IF(M41="","",D41)</f>
        <v>-0.31220053443681201</v>
      </c>
      <c r="Q41" s="585">
        <f t="shared" si="113"/>
        <v>210</v>
      </c>
      <c r="R41" s="629">
        <f t="shared" si="79"/>
        <v>1.5296046132875134</v>
      </c>
      <c r="S41" s="634">
        <f t="shared" si="80"/>
        <v>-0.31220053443681201</v>
      </c>
      <c r="T41" s="635">
        <f t="shared" si="81"/>
        <v>-0.78421582880026475</v>
      </c>
      <c r="U41" s="629">
        <f t="shared" si="82"/>
        <v>1.3132767441973368</v>
      </c>
      <c r="V41" s="636">
        <f t="shared" si="114"/>
        <v>-0.31220053443681201</v>
      </c>
      <c r="W41" s="585">
        <f t="shared" si="224"/>
        <v>120.84329987824256</v>
      </c>
      <c r="X41" s="629">
        <f t="shared" si="83"/>
        <v>1.5296046132875134</v>
      </c>
      <c r="Y41" s="630">
        <f t="shared" si="223"/>
        <v>-0.31220053443681201</v>
      </c>
      <c r="Z41" s="632">
        <f t="shared" ref="Z41:Z72" si="243">IF(M41="","",-E41)</f>
        <v>-0.5409756035608122</v>
      </c>
      <c r="AA41" s="629">
        <f t="shared" ref="AA41:AA72" si="244">IF(M41="","",-F41)</f>
        <v>0.80302267260615146</v>
      </c>
      <c r="AB41" s="629">
        <f t="shared" ref="AB41:AB72" si="245">IF(M41="","",-G41)</f>
        <v>-0.24999996726497573</v>
      </c>
      <c r="AC41" s="636">
        <f t="shared" si="84"/>
        <v>1</v>
      </c>
      <c r="AD41" s="637">
        <f t="shared" si="115"/>
        <v>-0.5409756035608122</v>
      </c>
      <c r="AE41" s="629">
        <f t="shared" si="85"/>
        <v>0.80302267260615146</v>
      </c>
      <c r="AF41" s="633">
        <f t="shared" si="86"/>
        <v>-0.24999996726497573</v>
      </c>
      <c r="AG41" s="602">
        <f t="shared" si="87"/>
        <v>72.707398212485458</v>
      </c>
      <c r="AH41" s="603">
        <f t="shared" si="88"/>
        <v>122.75007713066476</v>
      </c>
      <c r="AI41" s="585">
        <f t="shared" si="89"/>
        <v>-75.522489751159455</v>
      </c>
      <c r="AJ41" s="586">
        <f t="shared" si="90"/>
        <v>-146.03287035491343</v>
      </c>
      <c r="AK41" s="635">
        <f t="shared" si="211"/>
        <v>0.96592583607220739</v>
      </c>
      <c r="AL41" s="629">
        <f t="shared" si="91"/>
        <v>6.698727920820724E-2</v>
      </c>
      <c r="AM41" s="634">
        <f t="shared" si="92"/>
        <v>-0.24999996726497573</v>
      </c>
      <c r="AN41" s="581">
        <f t="shared" si="93"/>
        <v>14.999997834268271</v>
      </c>
      <c r="AO41" s="582">
        <f t="shared" si="94"/>
        <v>14.999997834268255</v>
      </c>
      <c r="AP41" s="585">
        <f t="shared" si="95"/>
        <v>3.9671296450865734</v>
      </c>
      <c r="AQ41" s="586">
        <f t="shared" ref="AQ41:AQ72" si="246">IF(M41="","",DEGREES(ATAN(($AS$5*SIN(RADIANS(90)))/(($X41*2*PI())-($AS$5*COS(RADIANS(90)))))))</f>
        <v>1.490066538137176</v>
      </c>
      <c r="AS41" s="52">
        <f t="shared" si="116"/>
        <v>-239.15670012175744</v>
      </c>
      <c r="AT41" s="72">
        <f t="shared" ref="AT41:AT72" si="247">IF(M41="","",Y41+(((AS41-$AS$9)*$AS$6)*-1))</f>
        <v>-0.14553386777014532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5.1059999999999999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-2.0051277203947668</v>
      </c>
      <c r="C42" s="708">
        <v>-1.1336429723415944</v>
      </c>
      <c r="D42" s="709">
        <v>-0.19380017734133489</v>
      </c>
      <c r="E42" s="710">
        <v>0.41155486721175794</v>
      </c>
      <c r="F42" s="708">
        <v>-0.8752771966730446</v>
      </c>
      <c r="G42" s="711">
        <v>0.25399295316699039</v>
      </c>
      <c r="H42" s="710">
        <v>0.314</v>
      </c>
      <c r="I42" s="708">
        <v>0.52</v>
      </c>
      <c r="J42" s="570">
        <v>5.1109999999999998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5.1109999999999998</v>
      </c>
      <c r="N42" s="632">
        <f t="shared" si="240"/>
        <v>-2.0051277203947668</v>
      </c>
      <c r="O42" s="629">
        <f t="shared" si="241"/>
        <v>-1.1336429723415944</v>
      </c>
      <c r="P42" s="633">
        <f t="shared" si="242"/>
        <v>-0.19380017734133489</v>
      </c>
      <c r="Q42" s="585">
        <f t="shared" si="113"/>
        <v>209.4826000747033</v>
      </c>
      <c r="R42" s="629">
        <f t="shared" ref="R42:R47" si="385">IF(M42="","",SQRT(N42^2+O42^2))</f>
        <v>2.3034069470753531</v>
      </c>
      <c r="S42" s="634">
        <f t="shared" ref="S42:S47" si="386">IF(M42="","",P42)</f>
        <v>-0.19380017734133489</v>
      </c>
      <c r="T42" s="635">
        <f t="shared" ref="T42:T47" si="387">IF(M42="","",X42*COS(RADIANS(W42)))</f>
        <v>-1.1630313089794819</v>
      </c>
      <c r="U42" s="629">
        <f t="shared" ref="U42:U47" si="388">IF(M42="","",X42*SIN(RADIANS(W42)))</f>
        <v>1.9882257764571083</v>
      </c>
      <c r="V42" s="636">
        <f t="shared" ref="V42:V47" si="389">IF(M42="","",Y42)</f>
        <v>-0.19380017734133489</v>
      </c>
      <c r="W42" s="585">
        <f t="shared" si="224"/>
        <v>120.32589995294586</v>
      </c>
      <c r="X42" s="629">
        <f t="shared" ref="X42:X47" si="390">IF(M42="","",R42)</f>
        <v>2.3034069470753531</v>
      </c>
      <c r="Y42" s="630">
        <f t="shared" si="223"/>
        <v>-0.19380017734133489</v>
      </c>
      <c r="Z42" s="632">
        <f t="shared" si="243"/>
        <v>-0.41155486721175794</v>
      </c>
      <c r="AA42" s="629">
        <f t="shared" si="244"/>
        <v>0.8752771966730446</v>
      </c>
      <c r="AB42" s="629">
        <f t="shared" si="245"/>
        <v>-0.25399295316699039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-0.41155486721175794</v>
      </c>
      <c r="AE42" s="629">
        <f t="shared" ref="AE42:AE47" si="393">IF(M42="","",AA42*(1/SQRT(Z42^2+AA42^2+AB42^2)))</f>
        <v>0.8752771966730446</v>
      </c>
      <c r="AF42" s="633">
        <f t="shared" ref="AF42:AF47" si="394">IF(M42="","",AB42*(1/SQRT(Z42^2+AA42^2+AB42^2)))</f>
        <v>-0.25399295316699039</v>
      </c>
      <c r="AG42" s="602">
        <f t="shared" ref="AG42:AG47" si="395">IF(M42="","",DEGREES(ATAN2(-AF42,AE42)))</f>
        <v>73.818025399745878</v>
      </c>
      <c r="AH42" s="603">
        <f t="shared" ref="AH42:AH47" si="396">IF(M42="","",DEGREES(ACOS(AD42)))</f>
        <v>114.30254661744664</v>
      </c>
      <c r="AI42" s="585">
        <f t="shared" ref="AI42:AI47" si="397">IF(M42="","",DEGREES(-ACOS(-AF42)))</f>
        <v>-75.286078901982194</v>
      </c>
      <c r="AJ42" s="586">
        <f t="shared" ref="AJ42:AJ47" si="398">IF(M42="","",DEGREES(ATAN2(-AE42,AD42)))</f>
        <v>-154.81711560274732</v>
      </c>
      <c r="AK42" s="635">
        <f t="shared" ref="AK42:AK47" si="399">IF(M42="","",(COS(RADIANS((90-$Q$8)-W42))*AD42)+(-SIN(RADIANS((90-$Q$8)-W42))*AE42))</f>
        <v>0.96448387283319881</v>
      </c>
      <c r="AL42" s="629">
        <f t="shared" ref="AL42:AL47" si="400">IF(M42="","",(SIN(RADIANS((90-$Q$8)-W42))*AD42)+(COS(RADIANS((90-$Q$8)-W42))*AE42))</f>
        <v>-7.2515093506011263E-2</v>
      </c>
      <c r="AM42" s="634">
        <f t="shared" ref="AM42:AM47" si="401">IF(M42="","",AF42)</f>
        <v>-0.25399295316699039</v>
      </c>
      <c r="AN42" s="581">
        <f t="shared" ref="AN42:AN47" si="402">IF(M42="","",DEGREES(ATAN2(-AM42,AL42)))</f>
        <v>-15.934066187244071</v>
      </c>
      <c r="AO42" s="582">
        <f t="shared" si="94"/>
        <v>15.315961120561314</v>
      </c>
      <c r="AP42" s="585">
        <f t="shared" ref="AP42:AP47" si="403">IF(M42="","",DEGREES(ATAN2(AK42,AL42)))</f>
        <v>-4.2997156774506147</v>
      </c>
      <c r="AQ42" s="586">
        <f t="shared" si="246"/>
        <v>0.9896210172523795</v>
      </c>
      <c r="AS42" s="52">
        <f t="shared" si="116"/>
        <v>-239.67410004705414</v>
      </c>
      <c r="AT42" s="72">
        <f t="shared" si="247"/>
        <v>-2.6774205170989968E-2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5.1109999999999998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-2.6799997015176467</v>
      </c>
      <c r="C43" s="708">
        <v>-1.4531412943335871</v>
      </c>
      <c r="D43" s="709">
        <v>-0.47170101549026267</v>
      </c>
      <c r="E43" s="710">
        <v>0.24374473823470552</v>
      </c>
      <c r="F43" s="708">
        <v>-0.94336425628633513</v>
      </c>
      <c r="G43" s="711">
        <v>0.22506084187220343</v>
      </c>
      <c r="H43" s="710">
        <v>0.314</v>
      </c>
      <c r="I43" s="708">
        <v>0.52</v>
      </c>
      <c r="J43" s="570">
        <v>5.117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5.117</v>
      </c>
      <c r="N43" s="632">
        <f t="shared" si="240"/>
        <v>-2.6799997015176467</v>
      </c>
      <c r="O43" s="629">
        <f t="shared" si="241"/>
        <v>-1.4531412943335871</v>
      </c>
      <c r="P43" s="633">
        <f t="shared" si="242"/>
        <v>-0.47170101549026267</v>
      </c>
      <c r="Q43" s="585">
        <f t="shared" si="113"/>
        <v>208.46730022129447</v>
      </c>
      <c r="R43" s="629">
        <f t="shared" si="385"/>
        <v>3.0486091946053313</v>
      </c>
      <c r="S43" s="634">
        <f t="shared" si="386"/>
        <v>-0.47170101549026267</v>
      </c>
      <c r="T43" s="635">
        <f t="shared" si="387"/>
        <v>-1.4924276748967324</v>
      </c>
      <c r="U43" s="629">
        <f t="shared" si="388"/>
        <v>2.6583223387381936</v>
      </c>
      <c r="V43" s="636">
        <f t="shared" si="389"/>
        <v>-0.47170101549026267</v>
      </c>
      <c r="W43" s="585">
        <f t="shared" si="224"/>
        <v>119.31060009953703</v>
      </c>
      <c r="X43" s="629">
        <f t="shared" si="390"/>
        <v>3.0486091946053313</v>
      </c>
      <c r="Y43" s="630">
        <f t="shared" si="223"/>
        <v>-0.47170101549026267</v>
      </c>
      <c r="Z43" s="632">
        <f t="shared" si="243"/>
        <v>-0.24374473823470552</v>
      </c>
      <c r="AA43" s="629">
        <f t="shared" si="244"/>
        <v>0.94336425628633513</v>
      </c>
      <c r="AB43" s="629">
        <f t="shared" si="245"/>
        <v>-0.22506084187220343</v>
      </c>
      <c r="AC43" s="636">
        <f t="shared" si="391"/>
        <v>1</v>
      </c>
      <c r="AD43" s="637">
        <f t="shared" si="392"/>
        <v>-0.24374473823470552</v>
      </c>
      <c r="AE43" s="629">
        <f t="shared" si="393"/>
        <v>0.94336425628633513</v>
      </c>
      <c r="AF43" s="633">
        <f t="shared" si="394"/>
        <v>-0.22506084187220343</v>
      </c>
      <c r="AG43" s="602">
        <f t="shared" si="395"/>
        <v>76.581622763426552</v>
      </c>
      <c r="AH43" s="603">
        <f t="shared" si="396"/>
        <v>104.10766379766652</v>
      </c>
      <c r="AI43" s="585">
        <f t="shared" si="397"/>
        <v>-76.993544091638427</v>
      </c>
      <c r="AJ43" s="586">
        <f t="shared" si="398"/>
        <v>-165.51285777189167</v>
      </c>
      <c r="AK43" s="635">
        <f t="shared" si="399"/>
        <v>0.94548408329140687</v>
      </c>
      <c r="AL43" s="629">
        <f t="shared" si="400"/>
        <v>-0.23538790474105345</v>
      </c>
      <c r="AM43" s="634">
        <f t="shared" si="401"/>
        <v>-0.22506084187220343</v>
      </c>
      <c r="AN43" s="581">
        <f t="shared" si="402"/>
        <v>-46.284829067911417</v>
      </c>
      <c r="AO43" s="582">
        <f t="shared" si="94"/>
        <v>19.006069266002221</v>
      </c>
      <c r="AP43" s="585">
        <f t="shared" si="403"/>
        <v>-13.980157993186145</v>
      </c>
      <c r="AQ43" s="586">
        <f t="shared" si="246"/>
        <v>0.74774989404948611</v>
      </c>
      <c r="AS43" s="52">
        <f t="shared" ref="AS43:AS74" si="406">IF(G43="","",IF(AND(W43&lt;(AS42+180),W43&gt;(AS42-180)),W43,IF(W43&gt;(AS42+180),W43-360,IF(W43&lt;(AS42-180),W43+360,"Error"))))</f>
        <v>-240.68939990046297</v>
      </c>
      <c r="AT43" s="72">
        <f t="shared" si="247"/>
        <v>-0.30396997397727271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5.117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-3.1356318937004111</v>
      </c>
      <c r="C44" s="708">
        <v>-1.6445196070766779</v>
      </c>
      <c r="D44" s="709">
        <v>-1.0912028839078978</v>
      </c>
      <c r="E44" s="710">
        <v>6.5673892525084931E-2</v>
      </c>
      <c r="F44" s="708">
        <v>-0.9864579988926816</v>
      </c>
      <c r="G44" s="711">
        <v>0.15029157082567862</v>
      </c>
      <c r="H44" s="710">
        <v>0.314</v>
      </c>
      <c r="I44" s="708">
        <v>0.52</v>
      </c>
      <c r="J44" s="570">
        <v>5.1230000000000002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5.1230000000000002</v>
      </c>
      <c r="N44" s="632">
        <f t="shared" si="240"/>
        <v>-3.1356318937004111</v>
      </c>
      <c r="O44" s="629">
        <f t="shared" si="241"/>
        <v>-1.6445196070766779</v>
      </c>
      <c r="P44" s="633">
        <f t="shared" si="242"/>
        <v>-1.0912028839078978</v>
      </c>
      <c r="Q44" s="585">
        <f t="shared" si="113"/>
        <v>207.67530033564509</v>
      </c>
      <c r="R44" s="629">
        <f t="shared" si="385"/>
        <v>3.5407106787834071</v>
      </c>
      <c r="S44" s="634">
        <f t="shared" si="386"/>
        <v>-1.0912028839078978</v>
      </c>
      <c r="T44" s="635">
        <f t="shared" si="387"/>
        <v>-1.6904911751234155</v>
      </c>
      <c r="U44" s="629">
        <f t="shared" si="388"/>
        <v>3.1110885068864098</v>
      </c>
      <c r="V44" s="636">
        <f t="shared" si="389"/>
        <v>-1.0912028839078978</v>
      </c>
      <c r="W44" s="585">
        <f t="shared" si="224"/>
        <v>118.51860021388765</v>
      </c>
      <c r="X44" s="629">
        <f t="shared" si="390"/>
        <v>3.5407106787834071</v>
      </c>
      <c r="Y44" s="630">
        <f t="shared" si="223"/>
        <v>-1.0912028839078978</v>
      </c>
      <c r="Z44" s="632">
        <f t="shared" si="243"/>
        <v>-6.5673892525084931E-2</v>
      </c>
      <c r="AA44" s="629">
        <f t="shared" si="244"/>
        <v>0.9864579988926816</v>
      </c>
      <c r="AB44" s="629">
        <f t="shared" si="245"/>
        <v>-0.15029157082567862</v>
      </c>
      <c r="AC44" s="636">
        <f t="shared" si="391"/>
        <v>1</v>
      </c>
      <c r="AD44" s="637">
        <f t="shared" si="392"/>
        <v>-6.5673892525084931E-2</v>
      </c>
      <c r="AE44" s="629">
        <f t="shared" si="393"/>
        <v>0.9864579988926816</v>
      </c>
      <c r="AF44" s="633">
        <f t="shared" si="394"/>
        <v>-0.15029157082567862</v>
      </c>
      <c r="AG44" s="602">
        <f t="shared" si="395"/>
        <v>81.337331277789218</v>
      </c>
      <c r="AH44" s="603">
        <f t="shared" si="396"/>
        <v>93.765547019555754</v>
      </c>
      <c r="AI44" s="585">
        <f t="shared" si="397"/>
        <v>-81.356176113167166</v>
      </c>
      <c r="AJ44" s="586">
        <f t="shared" si="398"/>
        <v>-176.1911279772645</v>
      </c>
      <c r="AK44" s="635">
        <f t="shared" si="399"/>
        <v>0.90410413543143597</v>
      </c>
      <c r="AL44" s="629">
        <f t="shared" si="400"/>
        <v>-0.40001019491323686</v>
      </c>
      <c r="AM44" s="634">
        <f t="shared" si="401"/>
        <v>-0.15029157082567862</v>
      </c>
      <c r="AN44" s="581">
        <f t="shared" si="402"/>
        <v>-69.407828949777965</v>
      </c>
      <c r="AO44" s="582">
        <f t="shared" si="94"/>
        <v>25.297105845598992</v>
      </c>
      <c r="AP44" s="585">
        <f t="shared" si="403"/>
        <v>-23.866428312909591</v>
      </c>
      <c r="AQ44" s="586">
        <f t="shared" si="246"/>
        <v>0.64383421399651064</v>
      </c>
      <c r="AS44" s="52">
        <f t="shared" si="406"/>
        <v>-241.48139978611235</v>
      </c>
      <c r="AT44" s="72">
        <f t="shared" si="247"/>
        <v>-0.92292184247431797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5.1230000000000002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-3.2767782625695325</v>
      </c>
      <c r="C45" s="708">
        <v>-1.6999937263177534</v>
      </c>
      <c r="D45" s="709">
        <v>-1.8701052330773833</v>
      </c>
      <c r="E45" s="710">
        <v>-4.5008966164509008E-2</v>
      </c>
      <c r="F45" s="708">
        <v>-0.99898658297536169</v>
      </c>
      <c r="G45" s="711">
        <v>1.1339743343635084E-7</v>
      </c>
      <c r="H45" s="710">
        <v>0.314</v>
      </c>
      <c r="I45" s="708">
        <v>0.52</v>
      </c>
      <c r="J45" s="570">
        <v>5.1289999999999996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5.1289999999999996</v>
      </c>
      <c r="N45" s="632">
        <f t="shared" si="240"/>
        <v>-3.2767782625695325</v>
      </c>
      <c r="O45" s="629">
        <f t="shared" si="241"/>
        <v>-1.6999937263177534</v>
      </c>
      <c r="P45" s="633">
        <f t="shared" si="242"/>
        <v>-1.8701052330773833</v>
      </c>
      <c r="Q45" s="585">
        <f t="shared" si="113"/>
        <v>207.42030038008372</v>
      </c>
      <c r="R45" s="629">
        <f t="shared" si="385"/>
        <v>3.6915111338810731</v>
      </c>
      <c r="S45" s="634">
        <f t="shared" si="386"/>
        <v>-1.8701052330773833</v>
      </c>
      <c r="T45" s="635">
        <f t="shared" si="387"/>
        <v>-1.7480366537785845</v>
      </c>
      <c r="U45" s="629">
        <f t="shared" si="388"/>
        <v>3.2514031292066039</v>
      </c>
      <c r="V45" s="636">
        <f t="shared" si="389"/>
        <v>-1.8701052330773833</v>
      </c>
      <c r="W45" s="585">
        <f t="shared" si="224"/>
        <v>118.26360025832628</v>
      </c>
      <c r="X45" s="629">
        <f t="shared" si="390"/>
        <v>3.6915111338810731</v>
      </c>
      <c r="Y45" s="630">
        <f t="shared" si="223"/>
        <v>-1.8701052330773833</v>
      </c>
      <c r="Z45" s="632">
        <f t="shared" si="243"/>
        <v>4.5008966164509008E-2</v>
      </c>
      <c r="AA45" s="629">
        <f t="shared" si="244"/>
        <v>0.99898658297536169</v>
      </c>
      <c r="AB45" s="629">
        <f t="shared" si="245"/>
        <v>-1.1339743343635084E-7</v>
      </c>
      <c r="AC45" s="636">
        <f t="shared" si="391"/>
        <v>1</v>
      </c>
      <c r="AD45" s="637">
        <f t="shared" si="392"/>
        <v>4.5008966164509008E-2</v>
      </c>
      <c r="AE45" s="629">
        <f t="shared" si="393"/>
        <v>0.99898658297536169</v>
      </c>
      <c r="AF45" s="633">
        <f t="shared" si="394"/>
        <v>-1.1339743343635084E-7</v>
      </c>
      <c r="AG45" s="602">
        <f t="shared" si="395"/>
        <v>89.999993496214614</v>
      </c>
      <c r="AH45" s="603">
        <f t="shared" si="396"/>
        <v>87.420304703926647</v>
      </c>
      <c r="AI45" s="585">
        <f t="shared" si="397"/>
        <v>-89.999993502805651</v>
      </c>
      <c r="AJ45" s="586">
        <f t="shared" si="398"/>
        <v>177.42030470392663</v>
      </c>
      <c r="AK45" s="635">
        <f t="shared" si="399"/>
        <v>0.86602544151707816</v>
      </c>
      <c r="AL45" s="629">
        <f t="shared" si="400"/>
        <v>-0.49999993464513282</v>
      </c>
      <c r="AM45" s="634">
        <f t="shared" si="401"/>
        <v>-1.1339743343635084E-7</v>
      </c>
      <c r="AN45" s="581">
        <f t="shared" si="402"/>
        <v>-89.999987005609626</v>
      </c>
      <c r="AO45" s="582">
        <f t="shared" si="94"/>
        <v>29.999995676157731</v>
      </c>
      <c r="AP45" s="585">
        <f t="shared" si="403"/>
        <v>-29.999995676157099</v>
      </c>
      <c r="AQ45" s="586">
        <f t="shared" si="246"/>
        <v>0.6175352784188779</v>
      </c>
      <c r="AS45" s="52">
        <f t="shared" si="406"/>
        <v>-241.73639974167372</v>
      </c>
      <c r="AT45" s="72">
        <f t="shared" si="247"/>
        <v>-1.7016471083413303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5.1289999999999996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-3.0079031642834484</v>
      </c>
      <c r="C46" s="708">
        <v>-0.69658617954726354</v>
      </c>
      <c r="D46" s="709">
        <v>-0.47520102604629461</v>
      </c>
      <c r="E46" s="710">
        <v>-8.0371911059008191E-2</v>
      </c>
      <c r="F46" s="708">
        <v>-0.9562917711627833</v>
      </c>
      <c r="G46" s="711">
        <v>0.28115192391137928</v>
      </c>
      <c r="H46" s="710">
        <v>0.26600000000000001</v>
      </c>
      <c r="I46" s="708">
        <v>0.52</v>
      </c>
      <c r="J46" s="570">
        <v>5.2169999999999996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5.2169999999999996</v>
      </c>
      <c r="N46" s="632">
        <f t="shared" si="240"/>
        <v>-3.0079031642834484</v>
      </c>
      <c r="O46" s="629">
        <f t="shared" si="241"/>
        <v>-0.69658617954726354</v>
      </c>
      <c r="P46" s="633">
        <f t="shared" si="242"/>
        <v>-0.47520102604629461</v>
      </c>
      <c r="Q46" s="585">
        <f t="shared" si="113"/>
        <v>193.03900244886503</v>
      </c>
      <c r="R46" s="629">
        <f t="shared" si="385"/>
        <v>3.0875093119280845</v>
      </c>
      <c r="S46" s="634">
        <f t="shared" si="386"/>
        <v>-0.47520102604629461</v>
      </c>
      <c r="T46" s="635">
        <f t="shared" si="387"/>
        <v>-0.74078053172209635</v>
      </c>
      <c r="U46" s="629">
        <f t="shared" si="388"/>
        <v>2.9973251333587689</v>
      </c>
      <c r="V46" s="636">
        <f t="shared" si="389"/>
        <v>-0.47520102604629461</v>
      </c>
      <c r="W46" s="585">
        <f t="shared" si="224"/>
        <v>103.8823023271076</v>
      </c>
      <c r="X46" s="629">
        <f t="shared" si="390"/>
        <v>3.0875093119280845</v>
      </c>
      <c r="Y46" s="630">
        <f t="shared" si="223"/>
        <v>-0.47520102604629461</v>
      </c>
      <c r="Z46" s="632">
        <f t="shared" si="243"/>
        <v>8.0371911059008191E-2</v>
      </c>
      <c r="AA46" s="629">
        <f t="shared" si="244"/>
        <v>0.9562917711627833</v>
      </c>
      <c r="AB46" s="629">
        <f t="shared" si="245"/>
        <v>-0.28115192391137928</v>
      </c>
      <c r="AC46" s="636">
        <f t="shared" si="391"/>
        <v>1</v>
      </c>
      <c r="AD46" s="637">
        <f t="shared" si="392"/>
        <v>8.0371911059008191E-2</v>
      </c>
      <c r="AE46" s="629">
        <f t="shared" si="393"/>
        <v>0.9562917711627833</v>
      </c>
      <c r="AF46" s="633">
        <f t="shared" si="394"/>
        <v>-0.28115192391137928</v>
      </c>
      <c r="AG46" s="602">
        <f t="shared" si="395"/>
        <v>73.616545673049188</v>
      </c>
      <c r="AH46" s="603">
        <f t="shared" si="396"/>
        <v>85.390056491954667</v>
      </c>
      <c r="AI46" s="585">
        <f t="shared" si="397"/>
        <v>-73.671032846229878</v>
      </c>
      <c r="AJ46" s="586">
        <f t="shared" si="398"/>
        <v>175.19584445233255</v>
      </c>
      <c r="AK46" s="635">
        <f t="shared" si="399"/>
        <v>0.91350237263898082</v>
      </c>
      <c r="AL46" s="629">
        <f t="shared" si="400"/>
        <v>-0.29405273483489797</v>
      </c>
      <c r="AM46" s="634">
        <f t="shared" si="401"/>
        <v>-0.28115192391137928</v>
      </c>
      <c r="AN46" s="581">
        <f t="shared" si="402"/>
        <v>-46.28482637523004</v>
      </c>
      <c r="AO46" s="582">
        <f t="shared" si="94"/>
        <v>24.006068534324935</v>
      </c>
      <c r="AP46" s="585">
        <f t="shared" si="403"/>
        <v>-17.843157996532483</v>
      </c>
      <c r="AQ46" s="586">
        <f t="shared" si="246"/>
        <v>0.73832990041765867</v>
      </c>
      <c r="AS46" s="52">
        <f t="shared" si="406"/>
        <v>-256.1176976728924</v>
      </c>
      <c r="AT46" s="72">
        <f t="shared" si="247"/>
        <v>-0.29675588885800641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Taper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5.2169999999999996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5.117</v>
      </c>
      <c r="II46" s="734" cm="1">
        <f t="array" ref="II46">IFERROR(ROUND(VALUE(IF($IH46&lt;1,$IH46+LARGE((IF($M$9:$M$150="",0,$M$9:$M$150)-MOD(IF($M$9:$M$150="",0,$M$9:$M$150),1)),1),$IH46)),4),"")</f>
        <v>5.117</v>
      </c>
      <c r="IJ46" s="533">
        <f t="shared" si="112"/>
        <v>1613</v>
      </c>
      <c r="IK46" s="533">
        <f t="shared" si="382"/>
        <v>1313</v>
      </c>
      <c r="IL46" s="727">
        <f t="shared" si="225"/>
        <v>15.428297772429431</v>
      </c>
      <c r="IM46" s="759">
        <v>1.09718613281006E-2</v>
      </c>
      <c r="IN46" s="5">
        <f t="shared" si="226"/>
        <v>0.9</v>
      </c>
      <c r="IO46" s="771">
        <v>450</v>
      </c>
      <c r="IP46" s="9">
        <f t="shared" si="227"/>
        <v>-3.0486091946053313</v>
      </c>
      <c r="IQ46" s="5">
        <f t="shared" si="228"/>
        <v>-0.47170101549026267</v>
      </c>
      <c r="IR46" s="5">
        <f t="shared" si="383"/>
        <v>0.314</v>
      </c>
      <c r="IS46" s="5">
        <f t="shared" si="229"/>
        <v>0.29688200215350175</v>
      </c>
      <c r="IT46" s="727">
        <f t="shared" si="230"/>
        <v>46.284829067911417</v>
      </c>
      <c r="IU46" s="9">
        <f t="shared" si="231"/>
        <v>-3.0875093119280845</v>
      </c>
      <c r="IV46" s="5">
        <f t="shared" si="232"/>
        <v>-0.47520102604629461</v>
      </c>
      <c r="IW46" s="5">
        <f t="shared" si="384"/>
        <v>0.26600000000000001</v>
      </c>
      <c r="IX46" s="5">
        <f t="shared" si="233"/>
        <v>0.24299163112196892</v>
      </c>
      <c r="IY46" s="762">
        <f t="shared" si="234"/>
        <v>46.28482637523004</v>
      </c>
    </row>
    <row r="47" spans="1:267" ht="15" customHeight="1" x14ac:dyDescent="0.25">
      <c r="A47" s="79"/>
      <c r="B47" s="707">
        <v>-3.4848018059738783</v>
      </c>
      <c r="C47" s="708">
        <v>-0.8685551997989901</v>
      </c>
      <c r="D47" s="709">
        <v>-1.1117029457360845</v>
      </c>
      <c r="E47" s="710">
        <v>-0.24942101822439394</v>
      </c>
      <c r="F47" s="708">
        <v>-0.95200122879292537</v>
      </c>
      <c r="G47" s="711">
        <v>0.17743397657908377</v>
      </c>
      <c r="H47" s="710">
        <v>0.26600000000000001</v>
      </c>
      <c r="I47" s="708">
        <v>0.52</v>
      </c>
      <c r="J47" s="570">
        <v>5.2229999999999999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5.2229999999999999</v>
      </c>
      <c r="N47" s="632">
        <f t="shared" si="240"/>
        <v>-3.4848018059738783</v>
      </c>
      <c r="O47" s="629">
        <f t="shared" si="241"/>
        <v>-0.8685551997989901</v>
      </c>
      <c r="P47" s="633">
        <f t="shared" si="242"/>
        <v>-1.1117029457360845</v>
      </c>
      <c r="Q47" s="585">
        <f t="shared" si="113"/>
        <v>193.99530231079243</v>
      </c>
      <c r="R47" s="629">
        <f t="shared" si="385"/>
        <v>3.591410831695069</v>
      </c>
      <c r="S47" s="634">
        <f t="shared" si="386"/>
        <v>-1.1117029457360845</v>
      </c>
      <c r="T47" s="635">
        <f t="shared" si="387"/>
        <v>-0.91974983768521779</v>
      </c>
      <c r="U47" s="629">
        <f t="shared" si="388"/>
        <v>3.4716411102092168</v>
      </c>
      <c r="V47" s="636">
        <f t="shared" si="389"/>
        <v>-1.1117029457360845</v>
      </c>
      <c r="W47" s="585">
        <f t="shared" si="224"/>
        <v>104.83860218903499</v>
      </c>
      <c r="X47" s="629">
        <f t="shared" si="390"/>
        <v>3.591410831695069</v>
      </c>
      <c r="Y47" s="630">
        <f t="shared" si="223"/>
        <v>-1.1117029457360845</v>
      </c>
      <c r="Z47" s="632">
        <f t="shared" si="243"/>
        <v>0.24942101822439394</v>
      </c>
      <c r="AA47" s="629">
        <f t="shared" si="244"/>
        <v>0.95200122879292537</v>
      </c>
      <c r="AB47" s="629">
        <f t="shared" si="245"/>
        <v>-0.17743397657908377</v>
      </c>
      <c r="AC47" s="636">
        <f t="shared" si="391"/>
        <v>1</v>
      </c>
      <c r="AD47" s="637">
        <f t="shared" si="392"/>
        <v>0.24942101822439394</v>
      </c>
      <c r="AE47" s="629">
        <f t="shared" si="393"/>
        <v>0.95200122879292537</v>
      </c>
      <c r="AF47" s="633">
        <f t="shared" si="394"/>
        <v>-0.17743397657908377</v>
      </c>
      <c r="AG47" s="602">
        <f t="shared" si="395"/>
        <v>79.442349873438047</v>
      </c>
      <c r="AH47" s="603">
        <f t="shared" si="396"/>
        <v>75.556746317835561</v>
      </c>
      <c r="AI47" s="585">
        <f t="shared" si="397"/>
        <v>-79.7796682663502</v>
      </c>
      <c r="AJ47" s="586">
        <f t="shared" si="398"/>
        <v>165.31868657550683</v>
      </c>
      <c r="AK47" s="635">
        <f t="shared" si="399"/>
        <v>0.86342104103011341</v>
      </c>
      <c r="AL47" s="629">
        <f t="shared" si="400"/>
        <v>-0.47225129948133393</v>
      </c>
      <c r="AM47" s="634">
        <f t="shared" si="401"/>
        <v>-0.17743397657908377</v>
      </c>
      <c r="AN47" s="581">
        <f t="shared" si="402"/>
        <v>-69.407826309974652</v>
      </c>
      <c r="AO47" s="582">
        <f t="shared" si="94"/>
        <v>30.297105100394873</v>
      </c>
      <c r="AP47" s="585">
        <f t="shared" si="403"/>
        <v>-28.676615735285583</v>
      </c>
      <c r="AQ47" s="586">
        <f t="shared" si="246"/>
        <v>0.63474591840931904</v>
      </c>
      <c r="AS47" s="52">
        <f t="shared" si="406"/>
        <v>-255.16139781096501</v>
      </c>
      <c r="AT47" s="72">
        <f t="shared" si="247"/>
        <v>-0.9339219056741348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5.2229999999999999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5.1230000000000002</v>
      </c>
      <c r="II47" s="734" cm="1">
        <f t="array" ref="II47">IFERROR(ROUND(VALUE(IF($IH47&lt;1,$IH47+LARGE((IF($M$9:$M$150="",0,$M$9:$M$150)-MOD(IF($M$9:$M$150="",0,$M$9:$M$150),1)),1),$IH47)),4),"")</f>
        <v>5.1230000000000002</v>
      </c>
      <c r="IJ47" s="533">
        <f t="shared" si="112"/>
        <v>1613</v>
      </c>
      <c r="IK47" s="533">
        <f t="shared" si="382"/>
        <v>1313</v>
      </c>
      <c r="IL47" s="727">
        <f t="shared" si="225"/>
        <v>13.679998024852665</v>
      </c>
      <c r="IM47" s="759">
        <v>1.2282858471419499E-4</v>
      </c>
      <c r="IN47" s="5">
        <f t="shared" si="226"/>
        <v>0</v>
      </c>
      <c r="IO47" s="771">
        <v>0</v>
      </c>
      <c r="IP47" s="9">
        <f t="shared" si="227"/>
        <v>-3.5407106787834071</v>
      </c>
      <c r="IQ47" s="5">
        <f t="shared" si="228"/>
        <v>-1.0912028839078978</v>
      </c>
      <c r="IR47" s="5">
        <f t="shared" si="383"/>
        <v>0.314</v>
      </c>
      <c r="IS47" s="5">
        <f t="shared" si="229"/>
        <v>0.28388869852547088</v>
      </c>
      <c r="IT47" s="727">
        <f t="shared" si="230"/>
        <v>69.407828949777965</v>
      </c>
      <c r="IU47" s="9">
        <f t="shared" si="231"/>
        <v>-3.591410831695069</v>
      </c>
      <c r="IV47" s="5">
        <f t="shared" si="232"/>
        <v>-1.1117029457360845</v>
      </c>
      <c r="IW47" s="5">
        <f t="shared" si="384"/>
        <v>0.26600000000000001</v>
      </c>
      <c r="IX47" s="5">
        <f t="shared" si="233"/>
        <v>0.22966999691401019</v>
      </c>
      <c r="IY47" s="762">
        <f t="shared" si="234"/>
        <v>69.407826309974652</v>
      </c>
    </row>
    <row r="48" spans="1:267" ht="15" customHeight="1" x14ac:dyDescent="0.25">
      <c r="A48" s="79"/>
      <c r="B48" s="707">
        <v>-1.9154734345049389</v>
      </c>
      <c r="C48" s="708">
        <v>0.948388254727911</v>
      </c>
      <c r="D48" s="709">
        <v>-0.18999999999999997</v>
      </c>
      <c r="E48" s="710">
        <v>-0.46728741843227944</v>
      </c>
      <c r="F48" s="708">
        <v>-0.84549115777901107</v>
      </c>
      <c r="G48" s="711">
        <v>0.25843213943394022</v>
      </c>
      <c r="H48" s="710">
        <v>0.314</v>
      </c>
      <c r="I48" s="708">
        <v>0.52</v>
      </c>
      <c r="J48" s="570">
        <v>6.11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6.11</v>
      </c>
      <c r="N48" s="632">
        <f t="shared" si="240"/>
        <v>-1.9154734345049389</v>
      </c>
      <c r="O48" s="629">
        <f t="shared" si="241"/>
        <v>0.948388254727911</v>
      </c>
      <c r="P48" s="633">
        <f t="shared" si="242"/>
        <v>-0.18999999999999997</v>
      </c>
      <c r="Q48" s="585">
        <f t="shared" si="113"/>
        <v>153.65909075954463</v>
      </c>
      <c r="R48" s="629">
        <f t="shared" si="79"/>
        <v>2.1374</v>
      </c>
      <c r="S48" s="634">
        <f t="shared" si="80"/>
        <v>-0.18999999999999997</v>
      </c>
      <c r="T48" s="635">
        <f t="shared" si="81"/>
        <v>0.92009392320355721</v>
      </c>
      <c r="U48" s="629">
        <f t="shared" si="82"/>
        <v>1.9292241789081657</v>
      </c>
      <c r="V48" s="636">
        <f t="shared" si="114"/>
        <v>-0.18999999999999997</v>
      </c>
      <c r="W48" s="585">
        <f t="shared" si="224"/>
        <v>64.502390637787187</v>
      </c>
      <c r="X48" s="629">
        <f t="shared" si="83"/>
        <v>2.1374</v>
      </c>
      <c r="Y48" s="630">
        <f t="shared" si="223"/>
        <v>-0.18999999999999997</v>
      </c>
      <c r="Z48" s="632">
        <f t="shared" si="243"/>
        <v>0.46728741843227944</v>
      </c>
      <c r="AA48" s="629">
        <f t="shared" si="244"/>
        <v>0.84549115777901107</v>
      </c>
      <c r="AB48" s="629">
        <f t="shared" si="245"/>
        <v>-0.25843213943394022</v>
      </c>
      <c r="AC48" s="636">
        <f t="shared" si="84"/>
        <v>1</v>
      </c>
      <c r="AD48" s="637">
        <f t="shared" si="115"/>
        <v>0.46728741843227944</v>
      </c>
      <c r="AE48" s="629">
        <f t="shared" si="85"/>
        <v>0.84549115777901107</v>
      </c>
      <c r="AF48" s="633">
        <f t="shared" si="86"/>
        <v>-0.25843213943394022</v>
      </c>
      <c r="AG48" s="602">
        <f t="shared" si="87"/>
        <v>73.003746275331565</v>
      </c>
      <c r="AH48" s="603">
        <f t="shared" si="88"/>
        <v>62.14163942526725</v>
      </c>
      <c r="AI48" s="585">
        <f t="shared" si="89"/>
        <v>-75.022948835580834</v>
      </c>
      <c r="AJ48" s="586">
        <f t="shared" si="90"/>
        <v>151.07137806981956</v>
      </c>
      <c r="AK48" s="635">
        <f t="shared" si="211"/>
        <v>0.96504433005418755</v>
      </c>
      <c r="AL48" s="629">
        <f t="shared" si="91"/>
        <v>-4.3615024221721588E-2</v>
      </c>
      <c r="AM48" s="634">
        <f t="shared" si="92"/>
        <v>-0.25843213943394022</v>
      </c>
      <c r="AN48" s="581">
        <f t="shared" si="93"/>
        <v>-9.5794146726928702</v>
      </c>
      <c r="AO48" s="582">
        <f t="shared" si="94"/>
        <v>15.193915946128666</v>
      </c>
      <c r="AP48" s="585">
        <f t="shared" si="95"/>
        <v>-2.5877126897250751</v>
      </c>
      <c r="AQ48" s="586">
        <f t="shared" si="246"/>
        <v>1.0664654957987205</v>
      </c>
      <c r="AS48" s="52">
        <f t="shared" si="406"/>
        <v>-295.49760936221281</v>
      </c>
      <c r="AT48" s="72">
        <f t="shared" si="247"/>
        <v>1.5792298083649625E-2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6.11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-2.585498987367838</v>
      </c>
      <c r="C49" s="708">
        <v>1.3358364519355959</v>
      </c>
      <c r="D49" s="709">
        <v>-0.38179999999999992</v>
      </c>
      <c r="E49" s="710">
        <v>-0.61847770749815967</v>
      </c>
      <c r="F49" s="708">
        <v>-0.75165837188544671</v>
      </c>
      <c r="G49" s="711">
        <v>0.22911791135208184</v>
      </c>
      <c r="H49" s="710">
        <v>0.314</v>
      </c>
      <c r="I49" s="708">
        <v>0.52</v>
      </c>
      <c r="J49" s="570">
        <v>6.1159999999999997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6.1159999999999997</v>
      </c>
      <c r="N49" s="632">
        <f t="shared" si="240"/>
        <v>-2.585498987367838</v>
      </c>
      <c r="O49" s="629">
        <f t="shared" si="241"/>
        <v>1.3358364519355959</v>
      </c>
      <c r="P49" s="633">
        <f t="shared" si="242"/>
        <v>-0.38179999999999992</v>
      </c>
      <c r="Q49" s="585">
        <f t="shared" si="113"/>
        <v>152.67619075954462</v>
      </c>
      <c r="R49" s="629">
        <f t="shared" si="79"/>
        <v>2.9101999999999997</v>
      </c>
      <c r="S49" s="634">
        <f t="shared" si="80"/>
        <v>-0.38179999999999992</v>
      </c>
      <c r="T49" s="635">
        <f t="shared" si="81"/>
        <v>1.2976388338167446</v>
      </c>
      <c r="U49" s="629">
        <f t="shared" si="82"/>
        <v>2.6048795551753861</v>
      </c>
      <c r="V49" s="636">
        <f t="shared" si="114"/>
        <v>-0.38179999999999992</v>
      </c>
      <c r="W49" s="585">
        <f t="shared" si="224"/>
        <v>63.519490637787186</v>
      </c>
      <c r="X49" s="629">
        <f t="shared" si="83"/>
        <v>2.9101999999999997</v>
      </c>
      <c r="Y49" s="630">
        <f t="shared" si="223"/>
        <v>-0.38179999999999992</v>
      </c>
      <c r="Z49" s="632">
        <f t="shared" si="243"/>
        <v>0.61847770749815967</v>
      </c>
      <c r="AA49" s="629">
        <f t="shared" si="244"/>
        <v>0.75165837188544671</v>
      </c>
      <c r="AB49" s="629">
        <f t="shared" si="245"/>
        <v>-0.22911791135208184</v>
      </c>
      <c r="AC49" s="636">
        <f t="shared" si="84"/>
        <v>1</v>
      </c>
      <c r="AD49" s="637">
        <f t="shared" si="115"/>
        <v>0.61847770749815967</v>
      </c>
      <c r="AE49" s="629">
        <f t="shared" si="85"/>
        <v>0.75165837188544671</v>
      </c>
      <c r="AF49" s="633">
        <f t="shared" si="86"/>
        <v>-0.22911791135208184</v>
      </c>
      <c r="AG49" s="602">
        <f t="shared" si="87"/>
        <v>73.047910979514413</v>
      </c>
      <c r="AH49" s="603">
        <f t="shared" si="88"/>
        <v>51.794946368746089</v>
      </c>
      <c r="AI49" s="585">
        <f t="shared" si="89"/>
        <v>-76.754854925864223</v>
      </c>
      <c r="AJ49" s="586">
        <f t="shared" si="90"/>
        <v>140.55185211428531</v>
      </c>
      <c r="AK49" s="635">
        <f t="shared" si="211"/>
        <v>0.95168614725516587</v>
      </c>
      <c r="AL49" s="629">
        <f t="shared" si="91"/>
        <v>-0.20444671633528039</v>
      </c>
      <c r="AM49" s="634">
        <f t="shared" si="92"/>
        <v>-0.22911791135208184</v>
      </c>
      <c r="AN49" s="581">
        <f t="shared" si="93"/>
        <v>-41.743201510767364</v>
      </c>
      <c r="AO49" s="582">
        <f t="shared" si="94"/>
        <v>17.882889779676805</v>
      </c>
      <c r="AP49" s="585">
        <f t="shared" si="95"/>
        <v>-12.124338645259323</v>
      </c>
      <c r="AQ49" s="586">
        <f t="shared" si="246"/>
        <v>0.78330856970457807</v>
      </c>
      <c r="AS49" s="52">
        <f t="shared" si="406"/>
        <v>-296.48050936221284</v>
      </c>
      <c r="AT49" s="72">
        <f t="shared" si="247"/>
        <v>-0.1753251324719059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6.1159999999999997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-3.055921784108266</v>
      </c>
      <c r="C50" s="708">
        <v>1.6387775350585425</v>
      </c>
      <c r="D50" s="709">
        <v>-0.94380000000000019</v>
      </c>
      <c r="E50" s="710">
        <v>-0.76078421483327752</v>
      </c>
      <c r="F50" s="708">
        <v>-0.62650644404609657</v>
      </c>
      <c r="G50" s="711">
        <v>0.16940204848002549</v>
      </c>
      <c r="H50" s="710">
        <v>0.314</v>
      </c>
      <c r="I50" s="708">
        <v>0.52</v>
      </c>
      <c r="J50" s="570">
        <v>6.1219999999999999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6.1219999999999999</v>
      </c>
      <c r="N50" s="632">
        <f t="shared" si="240"/>
        <v>-3.055921784108266</v>
      </c>
      <c r="O50" s="629">
        <f t="shared" si="241"/>
        <v>1.6387775350585425</v>
      </c>
      <c r="P50" s="633">
        <f t="shared" si="242"/>
        <v>-0.94380000000000019</v>
      </c>
      <c r="Q50" s="585">
        <f t="shared" si="113"/>
        <v>151.7969907595446</v>
      </c>
      <c r="R50" s="629">
        <f t="shared" si="79"/>
        <v>3.4676</v>
      </c>
      <c r="S50" s="634">
        <f t="shared" si="80"/>
        <v>-0.94380000000000019</v>
      </c>
      <c r="T50" s="635">
        <f t="shared" si="81"/>
        <v>1.5936235026165977</v>
      </c>
      <c r="U50" s="629">
        <f t="shared" si="82"/>
        <v>3.0797100337382424</v>
      </c>
      <c r="V50" s="636">
        <f t="shared" si="114"/>
        <v>-0.94380000000000019</v>
      </c>
      <c r="W50" s="585">
        <f t="shared" si="224"/>
        <v>62.64029063778716</v>
      </c>
      <c r="X50" s="629">
        <f t="shared" si="83"/>
        <v>3.4676</v>
      </c>
      <c r="Y50" s="630">
        <f t="shared" si="223"/>
        <v>-0.94380000000000019</v>
      </c>
      <c r="Z50" s="632">
        <f t="shared" si="243"/>
        <v>0.76078421483327752</v>
      </c>
      <c r="AA50" s="629">
        <f t="shared" si="244"/>
        <v>0.62650644404609657</v>
      </c>
      <c r="AB50" s="629">
        <f t="shared" si="245"/>
        <v>-0.16940204848002549</v>
      </c>
      <c r="AC50" s="636">
        <f t="shared" si="84"/>
        <v>1</v>
      </c>
      <c r="AD50" s="637">
        <f t="shared" si="115"/>
        <v>0.76078421483327752</v>
      </c>
      <c r="AE50" s="629">
        <f t="shared" si="85"/>
        <v>0.62650644404609657</v>
      </c>
      <c r="AF50" s="633">
        <f t="shared" si="86"/>
        <v>-0.16940204848002549</v>
      </c>
      <c r="AG50" s="602">
        <f t="shared" si="87"/>
        <v>74.869517104180161</v>
      </c>
      <c r="AH50" s="603">
        <f t="shared" si="88"/>
        <v>40.466618607398246</v>
      </c>
      <c r="AI50" s="585">
        <f t="shared" si="89"/>
        <v>-80.246945278397405</v>
      </c>
      <c r="AJ50" s="586">
        <f t="shared" si="90"/>
        <v>129.47148454318332</v>
      </c>
      <c r="AK50" s="635">
        <f t="shared" si="211"/>
        <v>0.91167111850865157</v>
      </c>
      <c r="AL50" s="629">
        <f t="shared" si="91"/>
        <v>-0.37437777397697564</v>
      </c>
      <c r="AM50" s="634">
        <f t="shared" si="92"/>
        <v>-0.16940204848002549</v>
      </c>
      <c r="AN50" s="581">
        <f t="shared" si="93"/>
        <v>-65.653742841188176</v>
      </c>
      <c r="AO50" s="582">
        <f t="shared" si="94"/>
        <v>24.262681042487255</v>
      </c>
      <c r="AP50" s="585">
        <f t="shared" si="95"/>
        <v>-22.325506216361262</v>
      </c>
      <c r="AQ50" s="586">
        <f t="shared" si="246"/>
        <v>0.65740759842779661</v>
      </c>
      <c r="AS50" s="52">
        <f t="shared" si="406"/>
        <v>-297.35970936221281</v>
      </c>
      <c r="AT50" s="72">
        <f t="shared" si="247"/>
        <v>-0.73671457691635067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6.1219999999999999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-3.241709553901396</v>
      </c>
      <c r="C51" s="708">
        <v>1.7659483961161422</v>
      </c>
      <c r="D51" s="709">
        <v>-1.7187999999999963</v>
      </c>
      <c r="E51" s="710">
        <v>-0.85336619031200778</v>
      </c>
      <c r="F51" s="708">
        <v>-0.52131194618228094</v>
      </c>
      <c r="G51" s="711">
        <v>1.1339743101492228E-7</v>
      </c>
      <c r="H51" s="710">
        <v>0.314</v>
      </c>
      <c r="I51" s="708">
        <v>0.52</v>
      </c>
      <c r="J51" s="570">
        <v>6.1280000000000001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6.1280000000000001</v>
      </c>
      <c r="N51" s="632">
        <f t="shared" si="240"/>
        <v>-3.241709553901396</v>
      </c>
      <c r="O51" s="629">
        <f t="shared" si="241"/>
        <v>1.7659483961161422</v>
      </c>
      <c r="P51" s="633">
        <f t="shared" si="242"/>
        <v>-1.7187999999999963</v>
      </c>
      <c r="Q51" s="585">
        <f t="shared" si="113"/>
        <v>151.42029119694743</v>
      </c>
      <c r="R51" s="629">
        <f t="shared" si="79"/>
        <v>3.6915111498681354</v>
      </c>
      <c r="S51" s="634">
        <f t="shared" si="80"/>
        <v>-1.7187999999999963</v>
      </c>
      <c r="T51" s="635">
        <f t="shared" si="81"/>
        <v>1.7180461969536145</v>
      </c>
      <c r="U51" s="629">
        <f t="shared" si="82"/>
        <v>3.2673493591493985</v>
      </c>
      <c r="V51" s="636">
        <f t="shared" si="114"/>
        <v>-1.7187999999999963</v>
      </c>
      <c r="W51" s="585">
        <f t="shared" si="224"/>
        <v>62.263591075189993</v>
      </c>
      <c r="X51" s="629">
        <f t="shared" si="83"/>
        <v>3.6915111498681354</v>
      </c>
      <c r="Y51" s="630">
        <f t="shared" si="223"/>
        <v>-1.7187999999999963</v>
      </c>
      <c r="Z51" s="632">
        <f t="shared" si="243"/>
        <v>0.85336619031200778</v>
      </c>
      <c r="AA51" s="629">
        <f t="shared" si="244"/>
        <v>0.52131194618228094</v>
      </c>
      <c r="AB51" s="629">
        <f t="shared" si="245"/>
        <v>-1.1339743101492228E-7</v>
      </c>
      <c r="AC51" s="636">
        <f t="shared" si="84"/>
        <v>1</v>
      </c>
      <c r="AD51" s="637">
        <f t="shared" si="115"/>
        <v>0.85336619031200778</v>
      </c>
      <c r="AE51" s="629">
        <f t="shared" si="85"/>
        <v>0.52131194618228094</v>
      </c>
      <c r="AF51" s="633">
        <f t="shared" si="86"/>
        <v>-1.1339743101492228E-7</v>
      </c>
      <c r="AG51" s="602">
        <f t="shared" si="87"/>
        <v>89.999987536839981</v>
      </c>
      <c r="AH51" s="603">
        <f t="shared" si="88"/>
        <v>31.420295463471852</v>
      </c>
      <c r="AI51" s="585">
        <f t="shared" si="89"/>
        <v>-89.999993502805793</v>
      </c>
      <c r="AJ51" s="586">
        <f t="shared" si="90"/>
        <v>121.42029546347125</v>
      </c>
      <c r="AK51" s="635">
        <f t="shared" si="211"/>
        <v>0.86602544101687495</v>
      </c>
      <c r="AL51" s="629">
        <f t="shared" si="91"/>
        <v>-0.49999993551151023</v>
      </c>
      <c r="AM51" s="634">
        <f t="shared" si="92"/>
        <v>-1.1339743101492228E-7</v>
      </c>
      <c r="AN51" s="581">
        <f t="shared" si="93"/>
        <v>-89.99998700560991</v>
      </c>
      <c r="AO51" s="582">
        <f t="shared" si="94"/>
        <v>29.999995733476794</v>
      </c>
      <c r="AP51" s="585">
        <f t="shared" si="95"/>
        <v>-29.999995733476165</v>
      </c>
      <c r="AQ51" s="586">
        <f t="shared" si="246"/>
        <v>0.6175352757446857</v>
      </c>
      <c r="AS51" s="52">
        <f t="shared" si="406"/>
        <v>-297.73640892481001</v>
      </c>
      <c r="AT51" s="72">
        <f t="shared" si="247"/>
        <v>-1.5114529799978764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6.1280000000000001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-2.1380241541159517</v>
      </c>
      <c r="C52" s="708">
        <v>2.0267760280492078</v>
      </c>
      <c r="D52" s="709">
        <v>-0.38290074766865506</v>
      </c>
      <c r="E52" s="710">
        <v>-0.82171887895835394</v>
      </c>
      <c r="F52" s="708">
        <v>-0.49051012751018302</v>
      </c>
      <c r="G52" s="711">
        <v>0.29013427714313605</v>
      </c>
      <c r="H52" s="710">
        <v>0.26600000000000001</v>
      </c>
      <c r="I52" s="708">
        <v>0.52</v>
      </c>
      <c r="J52" s="570">
        <v>6.2160000000000002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6.2160000000000002</v>
      </c>
      <c r="N52" s="632">
        <f t="shared" si="240"/>
        <v>-2.1380241541159517</v>
      </c>
      <c r="O52" s="629">
        <f t="shared" si="241"/>
        <v>2.0267760280492078</v>
      </c>
      <c r="P52" s="633">
        <f t="shared" si="242"/>
        <v>-0.38290074766865506</v>
      </c>
      <c r="Q52" s="585">
        <f t="shared" si="113"/>
        <v>136.53009328188574</v>
      </c>
      <c r="R52" s="629">
        <f t="shared" si="79"/>
        <v>2.9460088851627981</v>
      </c>
      <c r="S52" s="634">
        <f t="shared" si="80"/>
        <v>-0.38290074766865506</v>
      </c>
      <c r="T52" s="635">
        <f t="shared" si="81"/>
        <v>1.9950894297801305</v>
      </c>
      <c r="U52" s="629">
        <f t="shared" si="82"/>
        <v>2.1676223191870272</v>
      </c>
      <c r="V52" s="636">
        <f t="shared" si="114"/>
        <v>-0.38290074766865506</v>
      </c>
      <c r="W52" s="585">
        <f t="shared" si="224"/>
        <v>47.373393160128302</v>
      </c>
      <c r="X52" s="629">
        <f t="shared" si="83"/>
        <v>2.9460088851627981</v>
      </c>
      <c r="Y52" s="630">
        <f t="shared" si="223"/>
        <v>-0.38290074766865506</v>
      </c>
      <c r="Z52" s="632">
        <f t="shared" si="243"/>
        <v>0.82171887895835394</v>
      </c>
      <c r="AA52" s="629">
        <f t="shared" si="244"/>
        <v>0.49051012751018302</v>
      </c>
      <c r="AB52" s="629">
        <f t="shared" si="245"/>
        <v>-0.29013427714313605</v>
      </c>
      <c r="AC52" s="636">
        <f t="shared" si="84"/>
        <v>1</v>
      </c>
      <c r="AD52" s="637">
        <f t="shared" si="115"/>
        <v>0.82171887895835394</v>
      </c>
      <c r="AE52" s="629">
        <f t="shared" si="85"/>
        <v>0.49051012751018302</v>
      </c>
      <c r="AF52" s="633">
        <f t="shared" si="86"/>
        <v>-0.29013427714313605</v>
      </c>
      <c r="AG52" s="602">
        <f t="shared" si="87"/>
        <v>59.395898454462291</v>
      </c>
      <c r="AH52" s="603">
        <f t="shared" si="88"/>
        <v>34.742767868324179</v>
      </c>
      <c r="AI52" s="585">
        <f t="shared" si="89"/>
        <v>-73.134004831252795</v>
      </c>
      <c r="AJ52" s="586">
        <f t="shared" si="90"/>
        <v>120.83432047858976</v>
      </c>
      <c r="AK52" s="635">
        <f t="shared" si="211"/>
        <v>0.92130157508793142</v>
      </c>
      <c r="AL52" s="629">
        <f t="shared" si="91"/>
        <v>-0.25889285229053094</v>
      </c>
      <c r="AM52" s="634">
        <f t="shared" si="92"/>
        <v>-0.29013427714313605</v>
      </c>
      <c r="AN52" s="581">
        <f t="shared" si="93"/>
        <v>-41.743196387253114</v>
      </c>
      <c r="AO52" s="582">
        <f t="shared" si="94"/>
        <v>22.882888801499192</v>
      </c>
      <c r="AP52" s="585">
        <f t="shared" si="95"/>
        <v>-15.695772803295963</v>
      </c>
      <c r="AQ52" s="586">
        <f t="shared" si="246"/>
        <v>0.77378857969395687</v>
      </c>
      <c r="AS52" s="52">
        <f t="shared" si="406"/>
        <v>-312.62660683987167</v>
      </c>
      <c r="AT52" s="72">
        <f t="shared" si="247"/>
        <v>-0.1652133124477424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6.2160000000000002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0.11600000000000001</v>
      </c>
      <c r="II52" s="734" cm="1">
        <f t="array" ref="II52">IFERROR(ROUND(VALUE(IF($IH52&lt;1,$IH52+LARGE((IF($M$9:$M$150="",0,$M$9:$M$150)-MOD(IF($M$9:$M$150="",0,$M$9:$M$150),1)),1),$IH52)),4),"")</f>
        <v>6.1159999999999997</v>
      </c>
      <c r="IJ52" s="533">
        <f t="shared" si="112"/>
        <v>1613</v>
      </c>
      <c r="IK52" s="533">
        <f t="shared" si="382"/>
        <v>1313</v>
      </c>
      <c r="IL52" s="727">
        <f t="shared" si="225"/>
        <v>16.146097477658884</v>
      </c>
      <c r="IM52" s="759">
        <v>1.4068902045605999E-2</v>
      </c>
      <c r="IN52" s="5">
        <f t="shared" si="226"/>
        <v>0.88</v>
      </c>
      <c r="IO52" s="771">
        <v>440</v>
      </c>
      <c r="IP52" s="9">
        <f t="shared" si="227"/>
        <v>-2.9101999999999997</v>
      </c>
      <c r="IQ52" s="5">
        <f t="shared" si="228"/>
        <v>-0.38179999999999992</v>
      </c>
      <c r="IR52" s="5">
        <f t="shared" si="383"/>
        <v>0.314</v>
      </c>
      <c r="IS52" s="5">
        <f t="shared" si="229"/>
        <v>0.29882945023812207</v>
      </c>
      <c r="IT52" s="727">
        <f t="shared" si="230"/>
        <v>41.743201510767364</v>
      </c>
      <c r="IU52" s="9">
        <f t="shared" si="231"/>
        <v>-2.9460088851627981</v>
      </c>
      <c r="IV52" s="5">
        <f t="shared" si="232"/>
        <v>-0.38290074766865506</v>
      </c>
      <c r="IW52" s="5">
        <f t="shared" si="384"/>
        <v>0.26600000000000001</v>
      </c>
      <c r="IX52" s="5">
        <f t="shared" si="233"/>
        <v>0.24506621897338976</v>
      </c>
      <c r="IY52" s="762">
        <f t="shared" si="234"/>
        <v>41.743196387253114</v>
      </c>
    </row>
    <row r="53" spans="1:259" ht="15" customHeight="1" x14ac:dyDescent="0.25">
      <c r="A53" s="79"/>
      <c r="B53" s="707">
        <v>-2.6103840238859415</v>
      </c>
      <c r="C53" s="708">
        <v>2.3568104432658497</v>
      </c>
      <c r="D53" s="709">
        <v>-0.96110249152511451</v>
      </c>
      <c r="E53" s="710">
        <v>-0.915148016025634</v>
      </c>
      <c r="F53" s="708">
        <v>-0.34910864866356078</v>
      </c>
      <c r="G53" s="711">
        <v>0.2015620504773869</v>
      </c>
      <c r="H53" s="710">
        <v>0.26600000000000001</v>
      </c>
      <c r="I53" s="708">
        <v>0.52</v>
      </c>
      <c r="J53" s="570">
        <v>6.2220000000000004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6.2220000000000004</v>
      </c>
      <c r="N53" s="632">
        <f t="shared" si="240"/>
        <v>-2.6103840238859415</v>
      </c>
      <c r="O53" s="629">
        <f t="shared" si="241"/>
        <v>2.3568104432658497</v>
      </c>
      <c r="P53" s="633">
        <f t="shared" si="242"/>
        <v>-0.96110249152511451</v>
      </c>
      <c r="Q53" s="585">
        <f t="shared" si="113"/>
        <v>137.92239308086252</v>
      </c>
      <c r="R53" s="629">
        <f t="shared" ref="R53:R58" si="410">IF(M53="","",SQRT(N53^2+O53^2))</f>
        <v>3.5169106070023917</v>
      </c>
      <c r="S53" s="634">
        <f t="shared" ref="S53:S58" si="411">IF(M53="","",P53)</f>
        <v>-0.96110249152511451</v>
      </c>
      <c r="T53" s="635">
        <f t="shared" ref="T53:T58" si="412">IF(M53="","",X53*COS(RADIANS(W53)))</f>
        <v>2.3181359866031843</v>
      </c>
      <c r="U53" s="629">
        <f t="shared" ref="U53:U58" si="413">IF(M53="","",X53*SIN(RADIANS(W53)))</f>
        <v>2.6447884159722896</v>
      </c>
      <c r="V53" s="636">
        <f t="shared" ref="V53:V58" si="414">IF(M53="","",Y53)</f>
        <v>-0.96110249152511451</v>
      </c>
      <c r="W53" s="585">
        <f t="shared" si="224"/>
        <v>48.765692959105081</v>
      </c>
      <c r="X53" s="629">
        <f t="shared" ref="X53:X58" si="415">IF(M53="","",R53)</f>
        <v>3.5169106070023917</v>
      </c>
      <c r="Y53" s="630">
        <f t="shared" si="223"/>
        <v>-0.96110249152511451</v>
      </c>
      <c r="Z53" s="632">
        <f t="shared" si="243"/>
        <v>0.915148016025634</v>
      </c>
      <c r="AA53" s="629">
        <f t="shared" si="244"/>
        <v>0.34910864866356078</v>
      </c>
      <c r="AB53" s="629">
        <f t="shared" si="245"/>
        <v>-0.2015620504773869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0.915148016025634</v>
      </c>
      <c r="AE53" s="629">
        <f t="shared" ref="AE53:AE58" si="418">IF(M53="","",AA53*(1/SQRT(Z53^2+AA53^2+AB53^2)))</f>
        <v>0.34910864866356078</v>
      </c>
      <c r="AF53" s="633">
        <f t="shared" ref="AF53:AF58" si="419">IF(M53="","",AB53*(1/SQRT(Z53^2+AA53^2+AB53^2)))</f>
        <v>-0.2015620504773869</v>
      </c>
      <c r="AG53" s="602">
        <f t="shared" ref="AG53:AG58" si="420">IF(M53="","",DEGREES(ATAN2(-AF53,AE53)))</f>
        <v>59.999498016913471</v>
      </c>
      <c r="AH53" s="603">
        <f t="shared" ref="AH53:AH58" si="421">IF(M53="","",DEGREES(ACOS(AD53)))</f>
        <v>23.773243965297784</v>
      </c>
      <c r="AI53" s="585">
        <f t="shared" ref="AI53:AI58" si="422">IF(M53="","",DEGREES(-ACOS(-AF53)))</f>
        <v>-78.371681628598381</v>
      </c>
      <c r="AJ53" s="586">
        <f t="shared" ref="AJ53:AJ58" si="423">IF(M53="","",DEGREES(ATAN2(-AE53,AD53)))</f>
        <v>110.88074236671046</v>
      </c>
      <c r="AK53" s="635">
        <f t="shared" ref="AK53:AK58" si="424">IF(M53="","",(COS(RADIANS((90-$Q$8)-W53))*AD53)+(-SIN(RADIANS((90-$Q$8)-W53))*AE53))</f>
        <v>0.87239579938885825</v>
      </c>
      <c r="AL53" s="629">
        <f t="shared" ref="AL53:AL58" si="425">IF(M53="","",(SIN(RADIANS((90-$Q$8)-W53))*AD53)+(COS(RADIANS((90-$Q$8)-W53))*AE53))</f>
        <v>-0.44530698289609894</v>
      </c>
      <c r="AM53" s="634">
        <f t="shared" ref="AM53:AM58" si="426">IF(M53="","",AF53)</f>
        <v>-0.2015620504773869</v>
      </c>
      <c r="AN53" s="581">
        <f t="shared" ref="AN53:AN58" si="427">IF(M53="","",DEGREES(ATAN2(-AM53,AL53)))</f>
        <v>-65.646772157052453</v>
      </c>
      <c r="AO53" s="582">
        <f t="shared" si="94"/>
        <v>29.261748213204758</v>
      </c>
      <c r="AP53" s="585">
        <f t="shared" ref="AP53:AP58" si="428">IF(M53="","",DEGREES(ATAN2(AK53,AL53)))</f>
        <v>-27.041650714152063</v>
      </c>
      <c r="AQ53" s="586">
        <f t="shared" si="246"/>
        <v>0.64819087790063967</v>
      </c>
      <c r="AS53" s="52">
        <f t="shared" si="406"/>
        <v>-311.23430704089492</v>
      </c>
      <c r="AT53" s="72">
        <f t="shared" si="247"/>
        <v>-0.74438193116460238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6.2220000000000004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0.122</v>
      </c>
      <c r="II53" s="734" cm="1">
        <f t="array" ref="II53">IFERROR(ROUND(VALUE(IF($IH53&lt;1,$IH53+LARGE((IF($M$9:$M$150="",0,$M$9:$M$150)-MOD(IF($M$9:$M$150="",0,$M$9:$M$150),1)),1),$IH53)),4),"")</f>
        <v>6.1219999999999999</v>
      </c>
      <c r="IJ53" s="533">
        <f t="shared" si="112"/>
        <v>1613</v>
      </c>
      <c r="IK53" s="533">
        <f t="shared" si="382"/>
        <v>1313</v>
      </c>
      <c r="IL53" s="727">
        <f t="shared" si="225"/>
        <v>13.874597678682079</v>
      </c>
      <c r="IM53" s="759">
        <v>2.1977268487328701E-4</v>
      </c>
      <c r="IN53" s="5">
        <f t="shared" si="226"/>
        <v>0</v>
      </c>
      <c r="IO53" s="771">
        <v>0</v>
      </c>
      <c r="IP53" s="9">
        <f t="shared" si="227"/>
        <v>-3.4676</v>
      </c>
      <c r="IQ53" s="5">
        <f t="shared" si="228"/>
        <v>-0.94380000000000019</v>
      </c>
      <c r="IR53" s="5">
        <f t="shared" si="383"/>
        <v>0.314</v>
      </c>
      <c r="IS53" s="5">
        <f t="shared" si="229"/>
        <v>0.28626473121171658</v>
      </c>
      <c r="IT53" s="727">
        <f t="shared" si="230"/>
        <v>65.653742841188176</v>
      </c>
      <c r="IU53" s="9">
        <f t="shared" si="231"/>
        <v>-3.5169106070023917</v>
      </c>
      <c r="IV53" s="5">
        <f t="shared" si="232"/>
        <v>-0.96110249152511451</v>
      </c>
      <c r="IW53" s="5">
        <f t="shared" si="384"/>
        <v>0.26600000000000001</v>
      </c>
      <c r="IX53" s="5">
        <f t="shared" si="233"/>
        <v>0.23205728263743633</v>
      </c>
      <c r="IY53" s="762">
        <f t="shared" si="234"/>
        <v>65.646772157052453</v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0.9659258360722075</v>
      </c>
      <c r="F156" s="170">
        <f t="shared" si="929"/>
        <v>5.0271535051510802E-2</v>
      </c>
      <c r="G156" s="170">
        <f t="shared" si="929"/>
        <v>-0.2538898421988795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0.96136899540475529</v>
      </c>
      <c r="F157" s="170">
        <f t="shared" si="929"/>
        <v>-0.1385968298478702</v>
      </c>
      <c r="G157" s="170">
        <f t="shared" si="929"/>
        <v>-0.23782466951637329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0.92268705899980497</v>
      </c>
      <c r="F158" s="170">
        <f t="shared" si="929"/>
        <v>-0.32309129626743638</v>
      </c>
      <c r="G158" s="170">
        <f t="shared" si="929"/>
        <v>-0.21038204635975533</v>
      </c>
      <c r="H158" s="139"/>
      <c r="I158" s="86"/>
      <c r="J158" s="79">
        <f t="shared" si="930"/>
        <v>1.119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0.86871621831821177</v>
      </c>
      <c r="F159" s="170">
        <f t="shared" si="929"/>
        <v>-0.48346437469027631</v>
      </c>
      <c r="G159" s="170">
        <f t="shared" si="929"/>
        <v>-0.10767697263688891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0.84264327581422005</v>
      </c>
      <c r="F160" s="170">
        <f t="shared" si="929"/>
        <v>-0.53847219958421955</v>
      </c>
      <c r="G160" s="170">
        <f t="shared" si="929"/>
        <v>-1.1339743345092632E-7</v>
      </c>
      <c r="H160" s="139"/>
      <c r="I160" s="86"/>
      <c r="J160" s="79">
        <f t="shared" si="930"/>
        <v>1.131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0.75979265026324105</v>
      </c>
      <c r="F161" s="170">
        <f t="shared" si="929"/>
        <v>-0.59722840183746528</v>
      </c>
      <c r="G161" s="170">
        <f t="shared" si="929"/>
        <v>-0.25696957922024088</v>
      </c>
      <c r="H161" s="139"/>
      <c r="I161" s="86"/>
      <c r="J161" s="79">
        <f t="shared" si="930"/>
        <v>1.2190000000000001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0.66905320966224602</v>
      </c>
      <c r="F162" s="170">
        <f t="shared" si="929"/>
        <v>-0.73254894382510138</v>
      </c>
      <c r="G162" s="170">
        <f t="shared" si="929"/>
        <v>-0.12545854909640605</v>
      </c>
      <c r="H162" s="139"/>
      <c r="I162" s="86"/>
      <c r="J162" s="79">
        <f t="shared" si="930"/>
        <v>1.2250000000000001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0.44922946245717088</v>
      </c>
      <c r="F163" s="170">
        <f t="shared" si="929"/>
        <v>-0.8584934189848169</v>
      </c>
      <c r="G163" s="170">
        <f t="shared" si="929"/>
        <v>-0.24734983246446915</v>
      </c>
      <c r="H163" s="139"/>
      <c r="I163" s="86"/>
      <c r="J163" s="79">
        <f t="shared" si="930"/>
        <v>2.1120000000000001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0.28030820540228157</v>
      </c>
      <c r="F164" s="170">
        <f t="shared" si="929"/>
        <v>-0.93436269861339827</v>
      </c>
      <c r="G164" s="170">
        <f t="shared" si="929"/>
        <v>-0.21998558458235465</v>
      </c>
      <c r="H164" s="139"/>
      <c r="I164" s="86"/>
      <c r="J164" s="79">
        <f t="shared" si="930"/>
        <v>2.1179999999999999</v>
      </c>
    </row>
    <row r="165" spans="5:16" x14ac:dyDescent="0.25">
      <c r="E165" s="170">
        <f t="shared" si="929"/>
        <v>0.10957576557834696</v>
      </c>
      <c r="F165" s="170">
        <f t="shared" si="929"/>
        <v>-0.98537019244814161</v>
      </c>
      <c r="G165" s="170">
        <f t="shared" si="929"/>
        <v>-0.13053250718741144</v>
      </c>
      <c r="H165" s="139"/>
      <c r="I165" s="86"/>
      <c r="J165" s="79">
        <f t="shared" si="930"/>
        <v>2.1240000000000001</v>
      </c>
    </row>
    <row r="166" spans="5:16" x14ac:dyDescent="0.25">
      <c r="E166" s="170">
        <f t="shared" si="929"/>
        <v>2.4785688933568362E-2</v>
      </c>
      <c r="F166" s="170">
        <f t="shared" si="929"/>
        <v>-0.99969278762231528</v>
      </c>
      <c r="G166" s="170">
        <f t="shared" si="929"/>
        <v>-1.1339743464931705E-7</v>
      </c>
      <c r="H166" s="139"/>
      <c r="I166" s="86"/>
      <c r="J166" s="79">
        <f t="shared" si="930"/>
        <v>2.13</v>
      </c>
    </row>
    <row r="167" spans="5:16" x14ac:dyDescent="0.25">
      <c r="E167" s="170">
        <f t="shared" si="929"/>
        <v>-4.1338218386609796E-2</v>
      </c>
      <c r="F167" s="170">
        <f t="shared" si="929"/>
        <v>-0.96150185668817323</v>
      </c>
      <c r="G167" s="170">
        <f t="shared" si="929"/>
        <v>-0.27167136633406286</v>
      </c>
      <c r="H167" s="139"/>
      <c r="I167" s="86"/>
      <c r="J167" s="79">
        <f t="shared" si="930"/>
        <v>2.218</v>
      </c>
    </row>
    <row r="168" spans="5:16" x14ac:dyDescent="0.25">
      <c r="E168" s="170">
        <f t="shared" si="929"/>
        <v>-0.20828994290938768</v>
      </c>
      <c r="F168" s="170">
        <f t="shared" si="929"/>
        <v>-0.96601526469261123</v>
      </c>
      <c r="G168" s="170">
        <f t="shared" si="929"/>
        <v>-0.15306798510357547</v>
      </c>
      <c r="H168" s="139"/>
      <c r="I168" s="86"/>
      <c r="J168" s="79">
        <f t="shared" si="930"/>
        <v>2.2240000000000002</v>
      </c>
    </row>
    <row r="169" spans="5:16" x14ac:dyDescent="0.25">
      <c r="E169" s="170">
        <f t="shared" si="929"/>
        <v>-0.34813087525095332</v>
      </c>
      <c r="F169" s="170">
        <f t="shared" si="929"/>
        <v>-0.89131262511701725</v>
      </c>
      <c r="G169" s="170">
        <f t="shared" si="929"/>
        <v>-0.29045946017304541</v>
      </c>
      <c r="H169" s="139"/>
      <c r="I169" s="86"/>
      <c r="J169" s="79">
        <f t="shared" si="930"/>
        <v>3.1019999999999999</v>
      </c>
    </row>
    <row r="170" spans="5:16" x14ac:dyDescent="0.25">
      <c r="E170" s="170">
        <f t="shared" si="929"/>
        <v>-0.36322680060507884</v>
      </c>
      <c r="F170" s="170">
        <f t="shared" si="929"/>
        <v>-0.89753345769932691</v>
      </c>
      <c r="G170" s="170">
        <f t="shared" si="929"/>
        <v>-0.24999996726497567</v>
      </c>
      <c r="H170" s="139"/>
      <c r="I170" s="86"/>
      <c r="J170" s="79">
        <f t="shared" si="930"/>
        <v>3.105</v>
      </c>
    </row>
    <row r="171" spans="5:16" x14ac:dyDescent="0.25">
      <c r="E171" s="170">
        <f t="shared" si="929"/>
        <v>-0.44388606816458703</v>
      </c>
      <c r="F171" s="170">
        <f t="shared" si="929"/>
        <v>-0.85742423332878082</v>
      </c>
      <c r="G171" s="170">
        <f t="shared" si="929"/>
        <v>-0.26036290555671765</v>
      </c>
      <c r="H171" s="139"/>
      <c r="I171" s="86"/>
      <c r="J171" s="79">
        <f t="shared" si="930"/>
        <v>3.109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-0.59502871497474785</v>
      </c>
      <c r="F172" s="170">
        <f t="shared" si="929"/>
        <v>-0.7704594609324289</v>
      </c>
      <c r="G172" s="170">
        <f t="shared" si="929"/>
        <v>-0.2287641742389121</v>
      </c>
      <c r="H172" s="139"/>
      <c r="I172" s="86"/>
      <c r="J172" s="79">
        <f t="shared" si="930"/>
        <v>3.1150000000000002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-0.74038955362334802</v>
      </c>
      <c r="F173" s="170">
        <f t="shared" si="929"/>
        <v>-0.64611383099203257</v>
      </c>
      <c r="G173" s="170">
        <f t="shared" si="929"/>
        <v>-0.18536511615247075</v>
      </c>
      <c r="H173" s="139"/>
      <c r="I173" s="86"/>
      <c r="J173" s="79">
        <f t="shared" si="930"/>
        <v>3.121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-0.85090850029736598</v>
      </c>
      <c r="F174" s="170">
        <f t="shared" si="933"/>
        <v>-0.5213260973920687</v>
      </c>
      <c r="G174" s="170">
        <f t="shared" si="933"/>
        <v>-6.4605141433503599E-2</v>
      </c>
      <c r="H174" s="139"/>
      <c r="I174" s="86"/>
      <c r="J174" s="79">
        <f t="shared" si="930"/>
        <v>3.1269999999999998</v>
      </c>
    </row>
    <row r="175" spans="5:16" x14ac:dyDescent="0.25">
      <c r="E175" s="170">
        <f t="shared" si="933"/>
        <v>-0.85336642677369801</v>
      </c>
      <c r="F175" s="170">
        <f t="shared" si="933"/>
        <v>-0.52131155910403337</v>
      </c>
      <c r="G175" s="170">
        <f t="shared" si="933"/>
        <v>-1.1339743539479448E-7</v>
      </c>
      <c r="H175" s="139"/>
      <c r="I175" s="86"/>
      <c r="J175" s="79">
        <f t="shared" si="930"/>
        <v>3.133</v>
      </c>
    </row>
    <row r="176" spans="5:16" x14ac:dyDescent="0.25">
      <c r="E176" s="170">
        <f t="shared" si="933"/>
        <v>-0.80721276902066641</v>
      </c>
      <c r="F176" s="170">
        <f t="shared" si="933"/>
        <v>-0.51191919039670752</v>
      </c>
      <c r="G176" s="170">
        <f t="shared" si="933"/>
        <v>-0.29384738901948371</v>
      </c>
      <c r="H176" s="139"/>
      <c r="I176" s="86"/>
      <c r="J176" s="79">
        <f t="shared" si="930"/>
        <v>3.2149999999999999</v>
      </c>
    </row>
    <row r="177" spans="5:10" x14ac:dyDescent="0.25">
      <c r="E177" s="170">
        <f t="shared" si="933"/>
        <v>-0.90077811842623512</v>
      </c>
      <c r="F177" s="170">
        <f t="shared" si="933"/>
        <v>-0.37309424568246641</v>
      </c>
      <c r="G177" s="170">
        <f t="shared" si="933"/>
        <v>-0.22225990462322012</v>
      </c>
      <c r="H177" s="139"/>
      <c r="I177" s="86"/>
      <c r="J177" s="79">
        <f t="shared" si="930"/>
        <v>3.2210000000000001</v>
      </c>
    </row>
    <row r="178" spans="5:10" x14ac:dyDescent="0.25">
      <c r="E178" s="170">
        <f t="shared" si="933"/>
        <v>-0.96276485909874798</v>
      </c>
      <c r="F178" s="170">
        <f t="shared" si="933"/>
        <v>-7.5377712465980365E-2</v>
      </c>
      <c r="G178" s="170">
        <f t="shared" si="933"/>
        <v>-0.25961900267115307</v>
      </c>
      <c r="H178" s="139"/>
      <c r="I178" s="86"/>
      <c r="J178" s="79">
        <f t="shared" si="930"/>
        <v>4.1079999999999997</v>
      </c>
    </row>
    <row r="179" spans="5:10" x14ac:dyDescent="0.25">
      <c r="E179" s="170">
        <f t="shared" si="933"/>
        <v>-0.96917505632063894</v>
      </c>
      <c r="F179" s="170">
        <f t="shared" si="933"/>
        <v>9.5689576518877204E-2</v>
      </c>
      <c r="G179" s="170">
        <f t="shared" si="933"/>
        <v>-0.22703130874732819</v>
      </c>
      <c r="H179" s="139"/>
      <c r="I179" s="86"/>
      <c r="J179" s="79">
        <f t="shared" si="930"/>
        <v>4.1139999999999999</v>
      </c>
    </row>
    <row r="180" spans="5:10" x14ac:dyDescent="0.25">
      <c r="E180" s="170">
        <f t="shared" si="933"/>
        <v>-0.93681638148103885</v>
      </c>
      <c r="F180" s="170">
        <f t="shared" si="933"/>
        <v>0.28698412480998664</v>
      </c>
      <c r="G180" s="170">
        <f t="shared" si="933"/>
        <v>-0.20003794513996306</v>
      </c>
      <c r="H180" s="139"/>
      <c r="I180" s="86"/>
      <c r="J180" s="79">
        <f t="shared" si="930"/>
        <v>4.12</v>
      </c>
    </row>
    <row r="181" spans="5:10" x14ac:dyDescent="0.25">
      <c r="E181" s="170">
        <f t="shared" si="933"/>
        <v>-0.88893863166330334</v>
      </c>
      <c r="F181" s="170">
        <f t="shared" si="933"/>
        <v>0.44954690159154276</v>
      </c>
      <c r="G181" s="170">
        <f t="shared" si="933"/>
        <v>-8.7725095645532811E-2</v>
      </c>
      <c r="H181" s="139"/>
      <c r="I181" s="86"/>
      <c r="J181" s="79">
        <f t="shared" si="930"/>
        <v>4.1260000000000003</v>
      </c>
    </row>
    <row r="182" spans="5:10" x14ac:dyDescent="0.25">
      <c r="E182" s="170">
        <f t="shared" si="933"/>
        <v>-0.87815233607720744</v>
      </c>
      <c r="F182" s="170">
        <f t="shared" si="933"/>
        <v>0.47838109770572085</v>
      </c>
      <c r="G182" s="170">
        <f t="shared" si="933"/>
        <v>-1.1339743347626701E-7</v>
      </c>
      <c r="H182" s="139"/>
      <c r="I182" s="86"/>
      <c r="J182" s="79">
        <f t="shared" si="930"/>
        <v>4.1319999999999997</v>
      </c>
    </row>
    <row r="183" spans="5:10" x14ac:dyDescent="0.25">
      <c r="E183" s="170">
        <f t="shared" si="933"/>
        <v>-0.85690834876539601</v>
      </c>
      <c r="F183" s="170">
        <f t="shared" si="933"/>
        <v>0.42155486572856354</v>
      </c>
      <c r="G183" s="170">
        <f t="shared" si="933"/>
        <v>-0.29664722651111269</v>
      </c>
      <c r="H183" s="139"/>
      <c r="I183" s="86"/>
      <c r="J183" s="79">
        <f t="shared" si="930"/>
        <v>4.2140000000000004</v>
      </c>
    </row>
    <row r="184" spans="5:10" x14ac:dyDescent="0.25">
      <c r="E184" s="170">
        <f t="shared" si="933"/>
        <v>-0.78662645879645754</v>
      </c>
      <c r="F184" s="170">
        <f t="shared" si="933"/>
        <v>0.56801231087346304</v>
      </c>
      <c r="G184" s="170">
        <f t="shared" si="933"/>
        <v>-0.24203476819980549</v>
      </c>
      <c r="H184" s="139"/>
      <c r="I184" s="86"/>
      <c r="J184" s="79">
        <f t="shared" si="930"/>
        <v>4.22</v>
      </c>
    </row>
    <row r="185" spans="5:10" x14ac:dyDescent="0.25">
      <c r="E185" s="170">
        <f t="shared" si="933"/>
        <v>-0.5409756035608122</v>
      </c>
      <c r="F185" s="170">
        <f t="shared" si="933"/>
        <v>0.80302267260615134</v>
      </c>
      <c r="G185" s="170">
        <f t="shared" si="933"/>
        <v>-0.24999996726497561</v>
      </c>
      <c r="H185" s="139"/>
      <c r="I185" s="86"/>
      <c r="J185" s="79">
        <f t="shared" si="930"/>
        <v>5.1029999999999998</v>
      </c>
    </row>
    <row r="186" spans="5:10" x14ac:dyDescent="0.25">
      <c r="E186" s="170">
        <f t="shared" si="933"/>
        <v>-0.5409756035608122</v>
      </c>
      <c r="F186" s="170">
        <f t="shared" si="933"/>
        <v>0.80302267260615146</v>
      </c>
      <c r="G186" s="170">
        <f t="shared" si="933"/>
        <v>-0.24999996726497573</v>
      </c>
      <c r="H186" s="139"/>
      <c r="I186" s="86"/>
      <c r="J186" s="79">
        <f t="shared" si="930"/>
        <v>5.1059999999999999</v>
      </c>
    </row>
    <row r="187" spans="5:10" x14ac:dyDescent="0.25">
      <c r="E187" s="170">
        <f t="shared" si="933"/>
        <v>-0.41155486721175794</v>
      </c>
      <c r="F187" s="170">
        <f t="shared" si="933"/>
        <v>0.8752771966730446</v>
      </c>
      <c r="G187" s="170">
        <f t="shared" si="933"/>
        <v>-0.25399295316699039</v>
      </c>
      <c r="H187" s="139"/>
      <c r="I187" s="86"/>
      <c r="J187" s="79">
        <f t="shared" si="930"/>
        <v>5.1109999999999998</v>
      </c>
    </row>
    <row r="188" spans="5:10" x14ac:dyDescent="0.25">
      <c r="E188" s="170">
        <f t="shared" si="933"/>
        <v>-0.24374473823470552</v>
      </c>
      <c r="F188" s="170">
        <f t="shared" si="933"/>
        <v>0.94336425628633513</v>
      </c>
      <c r="G188" s="170">
        <f t="shared" si="933"/>
        <v>-0.22506084187220343</v>
      </c>
      <c r="H188" s="139"/>
      <c r="I188" s="86"/>
      <c r="J188" s="79">
        <f t="shared" si="930"/>
        <v>5.117</v>
      </c>
    </row>
    <row r="189" spans="5:10" x14ac:dyDescent="0.25">
      <c r="E189" s="170">
        <f t="shared" si="933"/>
        <v>-6.5673892525084931E-2</v>
      </c>
      <c r="F189" s="170">
        <f t="shared" si="933"/>
        <v>0.9864579988926816</v>
      </c>
      <c r="G189" s="170">
        <f t="shared" si="933"/>
        <v>-0.15029157082567862</v>
      </c>
      <c r="H189" s="139"/>
      <c r="I189" s="86"/>
      <c r="J189" s="79">
        <f t="shared" si="930"/>
        <v>5.1230000000000002</v>
      </c>
    </row>
    <row r="190" spans="5:10" x14ac:dyDescent="0.25">
      <c r="E190" s="170">
        <f t="shared" si="933"/>
        <v>4.5008966164509008E-2</v>
      </c>
      <c r="F190" s="170">
        <f t="shared" si="933"/>
        <v>0.99898658297536169</v>
      </c>
      <c r="G190" s="170">
        <f t="shared" si="933"/>
        <v>-1.1339743343635084E-7</v>
      </c>
      <c r="H190" s="139"/>
      <c r="I190" s="86"/>
      <c r="J190" s="79">
        <f t="shared" si="930"/>
        <v>5.1289999999999996</v>
      </c>
    </row>
    <row r="191" spans="5:10" x14ac:dyDescent="0.25">
      <c r="E191" s="170">
        <f t="shared" si="933"/>
        <v>8.0371911059008191E-2</v>
      </c>
      <c r="F191" s="170">
        <f t="shared" si="933"/>
        <v>0.9562917711627833</v>
      </c>
      <c r="G191" s="170">
        <f t="shared" si="933"/>
        <v>-0.28115192391137928</v>
      </c>
      <c r="H191" s="139"/>
      <c r="I191" s="86"/>
      <c r="J191" s="79">
        <f t="shared" si="930"/>
        <v>5.2169999999999996</v>
      </c>
    </row>
    <row r="192" spans="5:10" x14ac:dyDescent="0.25">
      <c r="E192" s="170">
        <f t="shared" si="933"/>
        <v>0.24942101822439394</v>
      </c>
      <c r="F192" s="170">
        <f t="shared" si="933"/>
        <v>0.95200122879292537</v>
      </c>
      <c r="G192" s="170">
        <f t="shared" si="933"/>
        <v>-0.17743397657908377</v>
      </c>
      <c r="H192" s="139"/>
      <c r="I192" s="86"/>
      <c r="J192" s="79">
        <f t="shared" si="930"/>
        <v>5.2229999999999999</v>
      </c>
    </row>
    <row r="193" spans="5:10" x14ac:dyDescent="0.25">
      <c r="E193" s="170">
        <f t="shared" si="933"/>
        <v>0.46728741843227944</v>
      </c>
      <c r="F193" s="170">
        <f t="shared" si="933"/>
        <v>0.84549115777901107</v>
      </c>
      <c r="G193" s="170">
        <f t="shared" si="933"/>
        <v>-0.25843213943394022</v>
      </c>
      <c r="H193" s="139"/>
      <c r="I193" s="86"/>
      <c r="J193" s="79">
        <f t="shared" si="930"/>
        <v>6.11</v>
      </c>
    </row>
    <row r="194" spans="5:10" x14ac:dyDescent="0.25">
      <c r="E194" s="170">
        <f t="shared" ref="E194:G213" si="934">E49*-1</f>
        <v>0.61847770749815967</v>
      </c>
      <c r="F194" s="170">
        <f t="shared" si="934"/>
        <v>0.75165837188544671</v>
      </c>
      <c r="G194" s="170">
        <f t="shared" si="934"/>
        <v>-0.22911791135208184</v>
      </c>
      <c r="H194" s="139"/>
      <c r="I194" s="86"/>
      <c r="J194" s="79">
        <f t="shared" si="930"/>
        <v>6.1159999999999997</v>
      </c>
    </row>
    <row r="195" spans="5:10" x14ac:dyDescent="0.25">
      <c r="E195" s="170">
        <f t="shared" si="934"/>
        <v>0.76078421483327752</v>
      </c>
      <c r="F195" s="170">
        <f t="shared" si="934"/>
        <v>0.62650644404609657</v>
      </c>
      <c r="G195" s="170">
        <f t="shared" si="934"/>
        <v>-0.16940204848002549</v>
      </c>
      <c r="H195" s="139"/>
      <c r="I195" s="86"/>
      <c r="J195" s="79">
        <f t="shared" si="930"/>
        <v>6.1219999999999999</v>
      </c>
    </row>
    <row r="196" spans="5:10" x14ac:dyDescent="0.25">
      <c r="E196" s="170">
        <f t="shared" si="934"/>
        <v>0.85336619031200778</v>
      </c>
      <c r="F196" s="170">
        <f t="shared" si="934"/>
        <v>0.52131194618228094</v>
      </c>
      <c r="G196" s="170">
        <f t="shared" si="934"/>
        <v>-1.1339743101492228E-7</v>
      </c>
      <c r="H196" s="139"/>
      <c r="I196" s="86"/>
      <c r="J196" s="79">
        <f t="shared" si="930"/>
        <v>6.1280000000000001</v>
      </c>
    </row>
    <row r="197" spans="5:10" x14ac:dyDescent="0.25">
      <c r="E197" s="170">
        <f t="shared" si="934"/>
        <v>0.82171887895835394</v>
      </c>
      <c r="F197" s="170">
        <f t="shared" si="934"/>
        <v>0.49051012751018302</v>
      </c>
      <c r="G197" s="170">
        <f t="shared" si="934"/>
        <v>-0.29013427714313605</v>
      </c>
      <c r="H197" s="139"/>
      <c r="I197" s="86"/>
      <c r="J197" s="79">
        <f t="shared" si="930"/>
        <v>6.2160000000000002</v>
      </c>
    </row>
    <row r="198" spans="5:10" x14ac:dyDescent="0.25">
      <c r="E198" s="170">
        <f t="shared" si="934"/>
        <v>0.915148016025634</v>
      </c>
      <c r="F198" s="170">
        <f t="shared" si="934"/>
        <v>0.34910864866356078</v>
      </c>
      <c r="G198" s="170">
        <f t="shared" si="934"/>
        <v>-0.2015620504773869</v>
      </c>
      <c r="H198" s="139"/>
      <c r="I198" s="86"/>
      <c r="J198" s="79">
        <f t="shared" si="930"/>
        <v>6.2220000000000004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302D33C-8C25-401F-BC69-6F27532B7EA3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F5CCE584-C461-41AA-8CD1-4D3E9B3750BF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7.875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1.119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1.2190000000000001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1.2250000000000001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2.1120000000000001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2.1179999999999999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2.1240000000000001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2.13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2.218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2.2240000000000002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3.1019999999999999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3.105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3.109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3.1150000000000002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3.121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3.1269999999999998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3.133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3.2149999999999999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3.2210000000000001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4.1079999999999997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4.1139999999999999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4.12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4.1260000000000003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4.1319999999999997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4.2140000000000004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4.22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5.1029999999999998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5.1059999999999999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5.1109999999999998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5.117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5.1230000000000002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5.1289999999999996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5.2169999999999996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5.2229999999999999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6.11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6.1159999999999997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6.1219999999999999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6.1280000000000001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6.2160000000000002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6.2220000000000004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2023-03-28T19:17:23Z</dcterms:modified>
</cp:coreProperties>
</file>