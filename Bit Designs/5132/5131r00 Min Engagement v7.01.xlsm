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5132\"/>
    </mc:Choice>
  </mc:AlternateContent>
  <xr:revisionPtr revIDLastSave="0" documentId="13_ncr:1_{411DBF79-03D0-483A-88F3-257C082CCCFC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17" i="4" l="1"/>
  <c r="AS17" i="4"/>
  <c r="AR17" i="4"/>
  <c r="AP17" i="4"/>
  <c r="AV17" i="4" s="1"/>
  <c r="AX17" i="4" s="1"/>
  <c r="AN17" i="4"/>
  <c r="AQ17" i="4" s="1"/>
  <c r="AI17" i="4" s="1"/>
  <c r="AL17" i="4"/>
  <c r="AJ17" i="4"/>
  <c r="AT37" i="4"/>
  <c r="AS37" i="4"/>
  <c r="AP37" i="4"/>
  <c r="AV37" i="4" s="1"/>
  <c r="AX37" i="4" s="1"/>
  <c r="AO37" i="4"/>
  <c r="AR37" i="4" s="1"/>
  <c r="AJ37" i="4"/>
  <c r="AT36" i="4"/>
  <c r="AS36" i="4"/>
  <c r="AP36" i="4"/>
  <c r="AV36" i="4" s="1"/>
  <c r="AX36" i="4" s="1"/>
  <c r="AO36" i="4"/>
  <c r="AR36" i="4" s="1"/>
  <c r="AJ36" i="4"/>
  <c r="AT35" i="4"/>
  <c r="AS35" i="4"/>
  <c r="AP35" i="4"/>
  <c r="AV35" i="4" s="1"/>
  <c r="AX35" i="4" s="1"/>
  <c r="AO35" i="4"/>
  <c r="AR35" i="4" s="1"/>
  <c r="AJ35" i="4"/>
  <c r="AT34" i="4"/>
  <c r="AS34" i="4"/>
  <c r="AQ34" i="4"/>
  <c r="AP34" i="4"/>
  <c r="AV34" i="4" s="1"/>
  <c r="AX34" i="4" s="1"/>
  <c r="AO34" i="4"/>
  <c r="AR34" i="4" s="1"/>
  <c r="AJ34" i="4"/>
  <c r="AT33" i="4"/>
  <c r="AS33" i="4"/>
  <c r="AP33" i="4"/>
  <c r="AV33" i="4" s="1"/>
  <c r="AX33" i="4" s="1"/>
  <c r="AO33" i="4"/>
  <c r="AR33" i="4" s="1"/>
  <c r="AJ33" i="4"/>
  <c r="AT32" i="4"/>
  <c r="AS32" i="4"/>
  <c r="AQ32" i="4"/>
  <c r="AP32" i="4"/>
  <c r="AV32" i="4" s="1"/>
  <c r="AX32" i="4" s="1"/>
  <c r="AO32" i="4"/>
  <c r="AR32" i="4" s="1"/>
  <c r="AW31" i="4"/>
  <c r="AV31" i="4"/>
  <c r="AX31" i="4" s="1"/>
  <c r="AU31" i="4"/>
  <c r="AT31" i="4"/>
  <c r="AS31" i="4"/>
  <c r="AR31" i="4"/>
  <c r="AP31" i="4"/>
  <c r="AO31" i="4"/>
  <c r="AQ31" i="4" s="1"/>
  <c r="AI31" i="4" s="1"/>
  <c r="AU30" i="4"/>
  <c r="AW30" i="4" s="1"/>
  <c r="AT30" i="4"/>
  <c r="AS30" i="4"/>
  <c r="AR30" i="4"/>
  <c r="AQ30" i="4"/>
  <c r="AP30" i="4"/>
  <c r="AV30" i="4" s="1"/>
  <c r="AX30" i="4" s="1"/>
  <c r="AO30" i="4"/>
  <c r="AJ30" i="4"/>
  <c r="AI30" i="4"/>
  <c r="AV29" i="4"/>
  <c r="AX29" i="4" s="1"/>
  <c r="AU29" i="4"/>
  <c r="AW29" i="4" s="1"/>
  <c r="AT29" i="4"/>
  <c r="AS29" i="4"/>
  <c r="AR29" i="4"/>
  <c r="AQ29" i="4"/>
  <c r="AI29" i="4" s="1"/>
  <c r="AP29" i="4"/>
  <c r="AO29" i="4"/>
  <c r="AU28" i="4"/>
  <c r="AW28" i="4" s="1"/>
  <c r="AT28" i="4"/>
  <c r="AS28" i="4"/>
  <c r="AR28" i="4"/>
  <c r="AP28" i="4"/>
  <c r="AV28" i="4" s="1"/>
  <c r="AX28" i="4" s="1"/>
  <c r="AN28" i="4"/>
  <c r="AQ28" i="4" s="1"/>
  <c r="AI28" i="4" s="1"/>
  <c r="AL28" i="4"/>
  <c r="AJ28" i="4"/>
  <c r="AV27" i="4"/>
  <c r="AX27" i="4" s="1"/>
  <c r="AU27" i="4"/>
  <c r="AW27" i="4" s="1"/>
  <c r="AT27" i="4"/>
  <c r="AS27" i="4"/>
  <c r="AR27" i="4"/>
  <c r="AQ27" i="4"/>
  <c r="AI27" i="4" s="1"/>
  <c r="AP27" i="4"/>
  <c r="AN27" i="4"/>
  <c r="AL27" i="4"/>
  <c r="AJ27" i="4"/>
  <c r="AV26" i="4"/>
  <c r="AX26" i="4" s="1"/>
  <c r="AT26" i="4"/>
  <c r="AS26" i="4"/>
  <c r="AR26" i="4"/>
  <c r="AQ26" i="4"/>
  <c r="AI26" i="4" s="1"/>
  <c r="AP26" i="4"/>
  <c r="AU26" i="4" s="1"/>
  <c r="AW26" i="4" s="1"/>
  <c r="AN26" i="4"/>
  <c r="AL26" i="4"/>
  <c r="AJ26" i="4"/>
  <c r="AV25" i="4"/>
  <c r="AX25" i="4" s="1"/>
  <c r="AT25" i="4"/>
  <c r="AS25" i="4"/>
  <c r="AR25" i="4"/>
  <c r="AQ25" i="4"/>
  <c r="AI25" i="4" s="1"/>
  <c r="AP25" i="4"/>
  <c r="AU25" i="4" s="1"/>
  <c r="AW25" i="4" s="1"/>
  <c r="AN25" i="4"/>
  <c r="AL25" i="4"/>
  <c r="AJ25" i="4"/>
  <c r="AT24" i="4"/>
  <c r="AS24" i="4"/>
  <c r="AR24" i="4"/>
  <c r="AQ24" i="4"/>
  <c r="AP24" i="4"/>
  <c r="AU24" i="4" s="1"/>
  <c r="AW24" i="4" s="1"/>
  <c r="AN24" i="4"/>
  <c r="AL24" i="4"/>
  <c r="AJ24" i="4"/>
  <c r="AU23" i="4"/>
  <c r="AW23" i="4" s="1"/>
  <c r="AT23" i="4"/>
  <c r="AS23" i="4"/>
  <c r="AR23" i="4"/>
  <c r="AQ23" i="4"/>
  <c r="AP23" i="4"/>
  <c r="AV23" i="4" s="1"/>
  <c r="AX23" i="4" s="1"/>
  <c r="AN23" i="4"/>
  <c r="AL23" i="4"/>
  <c r="AJ23" i="4"/>
  <c r="AU22" i="4"/>
  <c r="AW22" i="4" s="1"/>
  <c r="AT22" i="4"/>
  <c r="AS22" i="4"/>
  <c r="AR22" i="4"/>
  <c r="AQ22" i="4"/>
  <c r="AP22" i="4"/>
  <c r="AV22" i="4" s="1"/>
  <c r="AX22" i="4" s="1"/>
  <c r="AN22" i="4"/>
  <c r="AL22" i="4"/>
  <c r="AJ22" i="4"/>
  <c r="AW21" i="4"/>
  <c r="AU21" i="4"/>
  <c r="AT21" i="4"/>
  <c r="AS21" i="4"/>
  <c r="AR21" i="4"/>
  <c r="AP21" i="4"/>
  <c r="AN21" i="4"/>
  <c r="AQ21" i="4" s="1"/>
  <c r="AL21" i="4"/>
  <c r="AJ21" i="4"/>
  <c r="AT20" i="4"/>
  <c r="AS20" i="4"/>
  <c r="AR20" i="4"/>
  <c r="AP20" i="4"/>
  <c r="AV20" i="4" s="1"/>
  <c r="AX20" i="4" s="1"/>
  <c r="AN20" i="4"/>
  <c r="AQ20" i="4" s="1"/>
  <c r="AI20" i="4" s="1"/>
  <c r="AL20" i="4"/>
  <c r="AJ20" i="4"/>
  <c r="AU19" i="4"/>
  <c r="AT19" i="4"/>
  <c r="AW19" i="4" s="1"/>
  <c r="AS19" i="4"/>
  <c r="AR19" i="4"/>
  <c r="AQ19" i="4"/>
  <c r="AI19" i="4" s="1"/>
  <c r="AP19" i="4"/>
  <c r="AV19" i="4" s="1"/>
  <c r="AX19" i="4" s="1"/>
  <c r="AN19" i="4"/>
  <c r="AL19" i="4"/>
  <c r="AJ19" i="4"/>
  <c r="AV18" i="4"/>
  <c r="AX18" i="4" s="1"/>
  <c r="AU18" i="4"/>
  <c r="AT18" i="4"/>
  <c r="AW18" i="4" s="1"/>
  <c r="AS18" i="4"/>
  <c r="AR18" i="4"/>
  <c r="AQ18" i="4"/>
  <c r="AI18" i="4" s="1"/>
  <c r="AP18" i="4"/>
  <c r="AN18" i="4"/>
  <c r="AL18" i="4"/>
  <c r="AJ18" i="4"/>
  <c r="C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AU17" i="4" l="1"/>
  <c r="AW17" i="4" s="1"/>
  <c r="AI21" i="4"/>
  <c r="AV24" i="4"/>
  <c r="AX24" i="4" s="1"/>
  <c r="AU32" i="4"/>
  <c r="AW32" i="4" s="1"/>
  <c r="AQ33" i="4"/>
  <c r="AI34" i="4"/>
  <c r="AU34" i="4"/>
  <c r="AW34" i="4" s="1"/>
  <c r="AQ35" i="4"/>
  <c r="AI35" i="4" s="1"/>
  <c r="AI36" i="4"/>
  <c r="AU36" i="4"/>
  <c r="AW36" i="4" s="1"/>
  <c r="AQ37" i="4"/>
  <c r="AV21" i="4"/>
  <c r="AX21" i="4" s="1"/>
  <c r="AI23" i="4"/>
  <c r="AI32" i="4"/>
  <c r="AU20" i="4"/>
  <c r="AW20" i="4" s="1"/>
  <c r="AI22" i="4"/>
  <c r="AI33" i="4"/>
  <c r="AU33" i="4"/>
  <c r="AW33" i="4" s="1"/>
  <c r="AU35" i="4"/>
  <c r="AW35" i="4" s="1"/>
  <c r="AQ36" i="4"/>
  <c r="AI37" i="4"/>
  <c r="AU37" i="4"/>
  <c r="AW37" i="4" s="1"/>
  <c r="AI24" i="4"/>
  <c r="KG14" i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O226" i="1"/>
  <c r="J69" i="1"/>
  <c r="J70" i="1"/>
  <c r="O225" i="1"/>
  <c r="T225" i="1"/>
  <c r="G70" i="1" s="1"/>
  <c r="P225" i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Q223" i="1"/>
  <c r="T223" i="1"/>
  <c r="G68" i="1" s="1"/>
  <c r="P223" i="1"/>
  <c r="J68" i="1"/>
  <c r="S223" i="1"/>
  <c r="F68" i="1" s="1"/>
  <c r="O223" i="1"/>
  <c r="R223" i="1"/>
  <c r="E68" i="1" s="1"/>
  <c r="V223" i="1"/>
  <c r="I68" i="1" s="1"/>
  <c r="Q222" i="1"/>
  <c r="P222" i="1"/>
  <c r="J67" i="1"/>
  <c r="O222" i="1"/>
  <c r="V222" i="1"/>
  <c r="I67" i="1" s="1"/>
  <c r="R222" i="1"/>
  <c r="E67" i="1" s="1"/>
  <c r="S222" i="1"/>
  <c r="F67" i="1" s="1"/>
  <c r="T222" i="1"/>
  <c r="G67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O220" i="1"/>
  <c r="S220" i="1"/>
  <c r="F65" i="1" s="1"/>
  <c r="Q218" i="1"/>
  <c r="T219" i="1"/>
  <c r="G64" i="1" s="1"/>
  <c r="S219" i="1"/>
  <c r="F64" i="1" s="1"/>
  <c r="R219" i="1"/>
  <c r="E64" i="1" s="1"/>
  <c r="V219" i="1"/>
  <c r="I64" i="1" s="1"/>
  <c r="P219" i="1"/>
  <c r="Q219" i="1"/>
  <c r="O219" i="1"/>
  <c r="J64" i="1"/>
  <c r="O218" i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T169" i="1"/>
  <c r="G14" i="1" s="1"/>
  <c r="R175" i="1"/>
  <c r="E20" i="1" s="1"/>
  <c r="S180" i="1"/>
  <c r="F25" i="1" s="1"/>
  <c r="R191" i="1"/>
  <c r="E36" i="1" s="1"/>
  <c r="S212" i="1"/>
  <c r="F57" i="1" s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T185" i="1"/>
  <c r="G30" i="1" s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55" i="4"/>
  <c r="AT55" i="4"/>
  <c r="AS55" i="4"/>
  <c r="AP55" i="4"/>
  <c r="AV55" i="4" s="1"/>
  <c r="AX55" i="4" s="1"/>
  <c r="AO55" i="4"/>
  <c r="AR55" i="4" s="1"/>
  <c r="AQ57" i="4"/>
  <c r="AT57" i="4"/>
  <c r="AS57" i="4"/>
  <c r="AP57" i="4"/>
  <c r="AV57" i="4" s="1"/>
  <c r="AO57" i="4"/>
  <c r="AR57" i="4" s="1"/>
  <c r="AJ57" i="4"/>
  <c r="U258" i="1" l="1"/>
  <c r="H103" i="1" s="1"/>
  <c r="C92" i="1"/>
  <c r="B89" i="1"/>
  <c r="C75" i="1"/>
  <c r="C83" i="1"/>
  <c r="D86" i="1"/>
  <c r="D91" i="1"/>
  <c r="D96" i="1"/>
  <c r="B102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75" i="1"/>
  <c r="B90" i="1"/>
  <c r="B100" i="1"/>
  <c r="B94" i="1"/>
  <c r="B96" i="1"/>
  <c r="B105" i="1"/>
  <c r="B83" i="1"/>
  <c r="D73" i="1"/>
  <c r="C99" i="1"/>
  <c r="C144" i="1"/>
  <c r="B133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78" i="1"/>
  <c r="B79" i="1"/>
  <c r="C85" i="1"/>
  <c r="B86" i="1"/>
  <c r="B103" i="1"/>
  <c r="C120" i="1"/>
  <c r="B128" i="1"/>
  <c r="C133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B73" i="1"/>
  <c r="B76" i="1"/>
  <c r="D78" i="1"/>
  <c r="C81" i="1"/>
  <c r="C84" i="1"/>
  <c r="B92" i="1"/>
  <c r="D99" i="1"/>
  <c r="B95" i="1"/>
  <c r="C105" i="1"/>
  <c r="C112" i="1"/>
  <c r="B120" i="1"/>
  <c r="C73" i="1"/>
  <c r="D79" i="1"/>
  <c r="B87" i="1"/>
  <c r="B88" i="1"/>
  <c r="D89" i="1"/>
  <c r="B101" i="1"/>
  <c r="B99" i="1"/>
  <c r="D103" i="1"/>
  <c r="D11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V164" i="1"/>
  <c r="I9" i="1" s="1"/>
  <c r="T164" i="1"/>
  <c r="G9" i="1" s="1"/>
  <c r="S164" i="1"/>
  <c r="F9" i="1" s="1"/>
  <c r="AU55" i="4"/>
  <c r="AW55" i="4" s="1"/>
  <c r="AI55" i="4"/>
  <c r="AX57" i="4"/>
  <c r="AI57" i="4"/>
  <c r="AU57" i="4"/>
  <c r="AW57" i="4" s="1"/>
  <c r="B80" i="1" l="1"/>
  <c r="B104" i="1"/>
  <c r="D104" i="1"/>
  <c r="D80" i="1"/>
  <c r="AT58" i="4"/>
  <c r="AS58" i="4"/>
  <c r="AP58" i="4"/>
  <c r="AV58" i="4" s="1"/>
  <c r="AX58" i="4" s="1"/>
  <c r="AO58" i="4"/>
  <c r="AR58" i="4" s="1"/>
  <c r="AJ58" i="4"/>
  <c r="AQ58" i="4" l="1"/>
  <c r="AI58" i="4" s="1"/>
  <c r="AU58" i="4"/>
  <c r="AW58" i="4" s="1"/>
  <c r="AJ53" i="4" l="1"/>
  <c r="AQ53" i="4"/>
  <c r="AT53" i="4"/>
  <c r="AS53" i="4"/>
  <c r="AP53" i="4"/>
  <c r="AV53" i="4" s="1"/>
  <c r="AX53" i="4" s="1"/>
  <c r="AO53" i="4"/>
  <c r="AR53" i="4" s="1"/>
  <c r="AU53" i="4" l="1"/>
  <c r="AW53" i="4" s="1"/>
  <c r="AI53" i="4"/>
  <c r="AJ60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44" i="4"/>
  <c r="AJ59" i="4"/>
  <c r="AJ56" i="4"/>
  <c r="AJ51" i="4"/>
  <c r="AJ50" i="4"/>
  <c r="AJ49" i="4"/>
  <c r="AJ48" i="4"/>
  <c r="AJ47" i="4"/>
  <c r="AJ46" i="4"/>
  <c r="AJ45" i="4"/>
  <c r="AJ43" i="4"/>
  <c r="AJ42" i="4"/>
  <c r="AJ41" i="4"/>
  <c r="AJ16" i="4"/>
  <c r="AJ15" i="4"/>
  <c r="AJ14" i="4"/>
  <c r="AL15" i="4"/>
  <c r="AP60" i="4"/>
  <c r="JB25" i="7" l="1" a="1"/>
  <c r="JB25" i="7" s="1"/>
  <c r="BC14" i="4" a="1"/>
  <c r="BC14" i="4" s="1"/>
  <c r="AP15" i="4"/>
  <c r="AP14" i="4"/>
  <c r="AV15" i="4" l="1"/>
  <c r="AV14" i="4"/>
  <c r="AU15" i="4"/>
  <c r="AU14" i="4"/>
  <c r="AT60" i="4"/>
  <c r="AT59" i="4"/>
  <c r="AT56" i="4"/>
  <c r="AT54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16" i="4"/>
  <c r="AT15" i="4"/>
  <c r="AT14" i="4"/>
  <c r="AS60" i="4"/>
  <c r="AS59" i="4"/>
  <c r="AS56" i="4"/>
  <c r="AS54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16" i="4"/>
  <c r="AS15" i="4"/>
  <c r="AS14" i="4"/>
  <c r="AR46" i="4"/>
  <c r="AU60" i="4"/>
  <c r="AP59" i="4"/>
  <c r="AU59" i="4" s="1"/>
  <c r="AP56" i="4"/>
  <c r="AP54" i="4"/>
  <c r="AP52" i="4"/>
  <c r="AP51" i="4"/>
  <c r="AP50" i="4"/>
  <c r="AP49" i="4"/>
  <c r="AP48" i="4"/>
  <c r="AV48" i="4" s="1"/>
  <c r="AP47" i="4"/>
  <c r="AV47" i="4" s="1"/>
  <c r="AP46" i="4"/>
  <c r="AP45" i="4"/>
  <c r="AV45" i="4" s="1"/>
  <c r="AP44" i="4"/>
  <c r="AV44" i="4" s="1"/>
  <c r="AP43" i="4"/>
  <c r="AV43" i="4" s="1"/>
  <c r="AP42" i="4"/>
  <c r="AV42" i="4" s="1"/>
  <c r="AP41" i="4"/>
  <c r="AP16" i="4"/>
  <c r="AR14" i="4"/>
  <c r="AR51" i="4"/>
  <c r="AR50" i="4"/>
  <c r="AR49" i="4"/>
  <c r="AR48" i="4"/>
  <c r="AR47" i="4"/>
  <c r="AR45" i="4"/>
  <c r="AR43" i="4"/>
  <c r="AR42" i="4"/>
  <c r="AR41" i="4"/>
  <c r="AR16" i="4"/>
  <c r="AR15" i="4"/>
  <c r="AR44" i="4"/>
  <c r="AN48" i="4"/>
  <c r="AQ48" i="4" s="1"/>
  <c r="AL48" i="4"/>
  <c r="AN47" i="4"/>
  <c r="AQ47" i="4" s="1"/>
  <c r="AL47" i="4"/>
  <c r="AN43" i="4"/>
  <c r="AQ43" i="4" s="1"/>
  <c r="AL43" i="4"/>
  <c r="AL51" i="4"/>
  <c r="AL50" i="4"/>
  <c r="AL49" i="4"/>
  <c r="AL46" i="4"/>
  <c r="AN51" i="4"/>
  <c r="AQ51" i="4" s="1"/>
  <c r="AN50" i="4"/>
  <c r="AQ50" i="4" s="1"/>
  <c r="AN49" i="4"/>
  <c r="AQ49" i="4" s="1"/>
  <c r="AN46" i="4"/>
  <c r="AQ46" i="4" s="1"/>
  <c r="AN45" i="4"/>
  <c r="AQ45" i="4" s="1"/>
  <c r="AL45" i="4"/>
  <c r="AN44" i="4"/>
  <c r="AQ44" i="4" s="1"/>
  <c r="AL44" i="4"/>
  <c r="AL42" i="4"/>
  <c r="AL41" i="4"/>
  <c r="AL16" i="4"/>
  <c r="AL14" i="4"/>
  <c r="AN41" i="4"/>
  <c r="AQ41" i="4" s="1"/>
  <c r="AN42" i="4"/>
  <c r="AQ42" i="4" s="1"/>
  <c r="AN16" i="4"/>
  <c r="AQ16" i="4" s="1"/>
  <c r="AN15" i="4"/>
  <c r="AQ15" i="4" s="1"/>
  <c r="AI15" i="4" s="1"/>
  <c r="AN14" i="4"/>
  <c r="AQ14" i="4" s="1"/>
  <c r="AI14" i="4" s="1"/>
  <c r="AU46" i="4" l="1"/>
  <c r="AV46" i="4"/>
  <c r="K188" i="1"/>
  <c r="K226" i="1"/>
  <c r="X226" i="1" s="1"/>
  <c r="K199" i="1"/>
  <c r="K169" i="1"/>
  <c r="X169" i="1" s="1"/>
  <c r="K168" i="1"/>
  <c r="X168" i="1" s="1"/>
  <c r="AI43" i="4"/>
  <c r="AI51" i="4"/>
  <c r="JE25" i="7" a="1"/>
  <c r="JE25" i="7" s="1"/>
  <c r="JC25" i="7" a="1"/>
  <c r="JC25" i="7" s="1"/>
  <c r="JD25" i="7" a="1"/>
  <c r="JD25" i="7" s="1"/>
  <c r="AU49" i="4"/>
  <c r="AW49" i="4" s="1"/>
  <c r="AI49" i="4"/>
  <c r="AU42" i="4"/>
  <c r="AI42" i="4"/>
  <c r="AU50" i="4"/>
  <c r="AW50" i="4" s="1"/>
  <c r="AI50" i="4"/>
  <c r="AI44" i="4"/>
  <c r="AV52" i="4"/>
  <c r="AU45" i="4"/>
  <c r="AW45" i="4" s="1"/>
  <c r="AI45" i="4"/>
  <c r="AV49" i="4"/>
  <c r="AU41" i="4"/>
  <c r="AW41" i="4" s="1"/>
  <c r="AI41" i="4"/>
  <c r="AI46" i="4"/>
  <c r="AU47" i="4"/>
  <c r="AW47" i="4" s="1"/>
  <c r="AI47" i="4"/>
  <c r="AU54" i="4"/>
  <c r="AU16" i="4"/>
  <c r="AW16" i="4" s="1"/>
  <c r="AI16" i="4"/>
  <c r="K174" i="1" s="1"/>
  <c r="AU56" i="4"/>
  <c r="AU48" i="4"/>
  <c r="AW48" i="4" s="1"/>
  <c r="AI48" i="4"/>
  <c r="AX48" i="4"/>
  <c r="AV51" i="4"/>
  <c r="AX51" i="4" s="1"/>
  <c r="AV54" i="4"/>
  <c r="AV50" i="4"/>
  <c r="AX50" i="4" s="1"/>
  <c r="AX42" i="4"/>
  <c r="AV56" i="4"/>
  <c r="AX43" i="4"/>
  <c r="AV59" i="4"/>
  <c r="AU43" i="4"/>
  <c r="AW43" i="4" s="1"/>
  <c r="AU51" i="4"/>
  <c r="AW51" i="4" s="1"/>
  <c r="AV16" i="4"/>
  <c r="AX16" i="4" s="1"/>
  <c r="AX44" i="4"/>
  <c r="AV60" i="4"/>
  <c r="AU44" i="4"/>
  <c r="AW44" i="4" s="1"/>
  <c r="AU52" i="4"/>
  <c r="AV41" i="4"/>
  <c r="AX41" i="4" s="1"/>
  <c r="AX46" i="4"/>
  <c r="AW60" i="4"/>
  <c r="AX14" i="4"/>
  <c r="AW14" i="4"/>
  <c r="AX47" i="4"/>
  <c r="AX15" i="4"/>
  <c r="AX49" i="4"/>
  <c r="AX45" i="4"/>
  <c r="AW15" i="4"/>
  <c r="AW42" i="4"/>
  <c r="AW46" i="4"/>
  <c r="K223" i="1" l="1"/>
  <c r="X223" i="1" s="1"/>
  <c r="K183" i="1"/>
  <c r="K219" i="1"/>
  <c r="K196" i="1"/>
  <c r="K197" i="1"/>
  <c r="K190" i="1"/>
  <c r="K14" i="1"/>
  <c r="A14" i="1" s="1"/>
  <c r="U169" i="1"/>
  <c r="H14" i="1" s="1"/>
  <c r="K184" i="1"/>
  <c r="K185" i="1"/>
  <c r="K170" i="1"/>
  <c r="X170" i="1" s="1"/>
  <c r="K227" i="1"/>
  <c r="X227" i="1" s="1"/>
  <c r="K204" i="1"/>
  <c r="K205" i="1"/>
  <c r="K198" i="1"/>
  <c r="K186" i="1"/>
  <c r="K171" i="1"/>
  <c r="X171" i="1" s="1"/>
  <c r="K175" i="1"/>
  <c r="K213" i="1"/>
  <c r="K206" i="1"/>
  <c r="K71" i="1"/>
  <c r="A71" i="1" s="1"/>
  <c r="U226" i="1"/>
  <c r="H71" i="1" s="1"/>
  <c r="K201" i="1"/>
  <c r="K215" i="1"/>
  <c r="K220" i="1"/>
  <c r="X220" i="1" s="1"/>
  <c r="K221" i="1"/>
  <c r="X221" i="1" s="1"/>
  <c r="K214" i="1"/>
  <c r="K208" i="1"/>
  <c r="K202" i="1"/>
  <c r="K187" i="1"/>
  <c r="K191" i="1"/>
  <c r="K222" i="1"/>
  <c r="X222" i="1" s="1"/>
  <c r="K216" i="1"/>
  <c r="K172" i="1"/>
  <c r="X172" i="1" s="1"/>
  <c r="K13" i="1"/>
  <c r="A13" i="1" s="1"/>
  <c r="U168" i="1"/>
  <c r="H13" i="1" s="1"/>
  <c r="K207" i="1"/>
  <c r="K224" i="1"/>
  <c r="X224" i="1" s="1"/>
  <c r="K218" i="1"/>
  <c r="X218" i="1" s="1"/>
  <c r="K203" i="1"/>
  <c r="AS6" i="1"/>
  <c r="AS5" i="7"/>
  <c r="AS6" i="7" s="1"/>
  <c r="C1" i="7"/>
  <c r="X219" i="1" l="1"/>
  <c r="K64" i="1" s="1"/>
  <c r="A64" i="1" s="1"/>
  <c r="X216" i="1"/>
  <c r="U216" i="1" s="1"/>
  <c r="H61" i="1" s="1"/>
  <c r="X215" i="1"/>
  <c r="K60" i="1" s="1"/>
  <c r="A60" i="1" s="1"/>
  <c r="X214" i="1"/>
  <c r="K59" i="1" s="1"/>
  <c r="A59" i="1" s="1"/>
  <c r="X213" i="1"/>
  <c r="K58" i="1" s="1"/>
  <c r="A58" i="1" s="1"/>
  <c r="X208" i="1"/>
  <c r="K53" i="1" s="1"/>
  <c r="A53" i="1" s="1"/>
  <c r="X206" i="1"/>
  <c r="U206" i="1" s="1"/>
  <c r="H51" i="1" s="1"/>
  <c r="X205" i="1"/>
  <c r="U205" i="1" s="1"/>
  <c r="H50" i="1" s="1"/>
  <c r="K67" i="1"/>
  <c r="A67" i="1" s="1"/>
  <c r="U222" i="1"/>
  <c r="H67" i="1" s="1"/>
  <c r="K69" i="1"/>
  <c r="A69" i="1" s="1"/>
  <c r="U224" i="1"/>
  <c r="H69" i="1" s="1"/>
  <c r="K65" i="1"/>
  <c r="A65" i="1" s="1"/>
  <c r="U220" i="1"/>
  <c r="H65" i="1" s="1"/>
  <c r="B14" i="1"/>
  <c r="C14" i="1"/>
  <c r="D14" i="1"/>
  <c r="K63" i="1"/>
  <c r="A63" i="1" s="1"/>
  <c r="U218" i="1"/>
  <c r="H63" i="1" s="1"/>
  <c r="K66" i="1"/>
  <c r="A66" i="1" s="1"/>
  <c r="U221" i="1"/>
  <c r="H66" i="1" s="1"/>
  <c r="K17" i="1"/>
  <c r="A17" i="1" s="1"/>
  <c r="U172" i="1"/>
  <c r="H17" i="1" s="1"/>
  <c r="K72" i="1"/>
  <c r="A72" i="1" s="1"/>
  <c r="U227" i="1"/>
  <c r="H72" i="1" s="1"/>
  <c r="U223" i="1"/>
  <c r="H68" i="1" s="1"/>
  <c r="K68" i="1"/>
  <c r="A68" i="1" s="1"/>
  <c r="C13" i="1"/>
  <c r="D13" i="1"/>
  <c r="B13" i="1"/>
  <c r="U171" i="1"/>
  <c r="H16" i="1" s="1"/>
  <c r="K16" i="1"/>
  <c r="A16" i="1" s="1"/>
  <c r="B71" i="1"/>
  <c r="D71" i="1"/>
  <c r="C71" i="1"/>
  <c r="U170" i="1"/>
  <c r="H15" i="1" s="1"/>
  <c r="K15" i="1"/>
  <c r="A15" i="1" s="1"/>
  <c r="AO60" i="4"/>
  <c r="AQ60" i="4" s="1"/>
  <c r="AO59" i="4"/>
  <c r="AO56" i="4"/>
  <c r="AO54" i="4"/>
  <c r="AO52" i="4"/>
  <c r="U219" i="1" l="1"/>
  <c r="H64" i="1" s="1"/>
  <c r="K61" i="1"/>
  <c r="A61" i="1" s="1"/>
  <c r="D61" i="1" s="1"/>
  <c r="U215" i="1"/>
  <c r="H60" i="1" s="1"/>
  <c r="U214" i="1"/>
  <c r="H59" i="1" s="1"/>
  <c r="U213" i="1"/>
  <c r="H58" i="1" s="1"/>
  <c r="U208" i="1"/>
  <c r="H53" i="1" s="1"/>
  <c r="K51" i="1"/>
  <c r="A51" i="1" s="1"/>
  <c r="D51" i="1" s="1"/>
  <c r="K50" i="1"/>
  <c r="A50" i="1" s="1"/>
  <c r="B50" i="1" s="1"/>
  <c r="D65" i="1"/>
  <c r="C65" i="1"/>
  <c r="B65" i="1"/>
  <c r="C64" i="1"/>
  <c r="D64" i="1"/>
  <c r="B64" i="1"/>
  <c r="D53" i="1"/>
  <c r="B53" i="1"/>
  <c r="C53" i="1"/>
  <c r="D68" i="1"/>
  <c r="C68" i="1"/>
  <c r="B68" i="1"/>
  <c r="C59" i="1"/>
  <c r="B59" i="1"/>
  <c r="D59" i="1"/>
  <c r="B15" i="1"/>
  <c r="D15" i="1"/>
  <c r="C15" i="1"/>
  <c r="C66" i="1"/>
  <c r="D66" i="1"/>
  <c r="B66" i="1"/>
  <c r="D58" i="1"/>
  <c r="B58" i="1"/>
  <c r="C58" i="1"/>
  <c r="B69" i="1"/>
  <c r="C69" i="1"/>
  <c r="D69" i="1"/>
  <c r="D16" i="1"/>
  <c r="C16" i="1"/>
  <c r="B16" i="1"/>
  <c r="C63" i="1"/>
  <c r="B63" i="1"/>
  <c r="D63" i="1"/>
  <c r="C60" i="1"/>
  <c r="B60" i="1"/>
  <c r="D60" i="1"/>
  <c r="B72" i="1"/>
  <c r="C72" i="1"/>
  <c r="D72" i="1"/>
  <c r="D17" i="1"/>
  <c r="B17" i="1"/>
  <c r="C17" i="1"/>
  <c r="B67" i="1"/>
  <c r="D67" i="1"/>
  <c r="C67" i="1"/>
  <c r="AQ52" i="4"/>
  <c r="AI52" i="4" s="1"/>
  <c r="AR52" i="4"/>
  <c r="AR54" i="4"/>
  <c r="AQ54" i="4"/>
  <c r="AI54" i="4" s="1"/>
  <c r="AQ56" i="4"/>
  <c r="AI56" i="4" s="1"/>
  <c r="AR56" i="4"/>
  <c r="AQ59" i="4"/>
  <c r="AI59" i="4" s="1"/>
  <c r="AR59" i="4"/>
  <c r="AI60" i="4"/>
  <c r="AR60" i="4"/>
  <c r="AX56" i="4"/>
  <c r="AX60" i="4"/>
  <c r="AX54" i="4"/>
  <c r="AW54" i="4"/>
  <c r="AX52" i="4"/>
  <c r="AW52" i="4"/>
  <c r="AX59" i="4"/>
  <c r="AW59" i="4"/>
  <c r="AW56" i="4"/>
  <c r="B51" i="1" l="1"/>
  <c r="C61" i="1"/>
  <c r="B61" i="1"/>
  <c r="C51" i="1"/>
  <c r="D50" i="1"/>
  <c r="C50" i="1"/>
  <c r="K189" i="1"/>
  <c r="K211" i="1"/>
  <c r="K182" i="1"/>
  <c r="K200" i="1"/>
  <c r="K165" i="1"/>
  <c r="X165" i="1" s="1"/>
  <c r="K173" i="1"/>
  <c r="X173" i="1" s="1"/>
  <c r="K178" i="1"/>
  <c r="K209" i="1"/>
  <c r="X196" i="1" s="1"/>
  <c r="K166" i="1"/>
  <c r="X166" i="1" s="1"/>
  <c r="K180" i="1"/>
  <c r="K194" i="1"/>
  <c r="K167" i="1"/>
  <c r="X167" i="1" s="1"/>
  <c r="K181" i="1"/>
  <c r="K212" i="1"/>
  <c r="K179" i="1"/>
  <c r="K176" i="1"/>
  <c r="K164" i="1"/>
  <c r="X164" i="1" s="1"/>
  <c r="K217" i="1"/>
  <c r="X207" i="1" s="1"/>
  <c r="K192" i="1"/>
  <c r="K195" i="1"/>
  <c r="K177" i="1"/>
  <c r="X177" i="1" s="1"/>
  <c r="K210" i="1"/>
  <c r="X197" i="1" s="1"/>
  <c r="K225" i="1"/>
  <c r="X225" i="1" s="1"/>
  <c r="K193" i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X198" i="1" l="1"/>
  <c r="U198" i="1" s="1"/>
  <c r="H43" i="1" s="1"/>
  <c r="X199" i="1"/>
  <c r="U199" i="1" s="1"/>
  <c r="H44" i="1" s="1"/>
  <c r="X190" i="1"/>
  <c r="X188" i="1"/>
  <c r="U188" i="1" s="1"/>
  <c r="H33" i="1" s="1"/>
  <c r="X179" i="1"/>
  <c r="U179" i="1" s="1"/>
  <c r="H24" i="1" s="1"/>
  <c r="X178" i="1"/>
  <c r="K23" i="1" s="1"/>
  <c r="A23" i="1" s="1"/>
  <c r="U197" i="1"/>
  <c r="H42" i="1" s="1"/>
  <c r="K42" i="1"/>
  <c r="A42" i="1" s="1"/>
  <c r="K41" i="1"/>
  <c r="A41" i="1" s="1"/>
  <c r="U196" i="1"/>
  <c r="H41" i="1" s="1"/>
  <c r="X200" i="1"/>
  <c r="U200" i="1" s="1"/>
  <c r="H45" i="1" s="1"/>
  <c r="X191" i="1"/>
  <c r="X182" i="1"/>
  <c r="U182" i="1" s="1"/>
  <c r="H27" i="1" s="1"/>
  <c r="X175" i="1"/>
  <c r="K20" i="1" s="1"/>
  <c r="A20" i="1" s="1"/>
  <c r="K52" i="1"/>
  <c r="A52" i="1" s="1"/>
  <c r="U207" i="1"/>
  <c r="H52" i="1" s="1"/>
  <c r="X189" i="1"/>
  <c r="U189" i="1" s="1"/>
  <c r="H34" i="1" s="1"/>
  <c r="X183" i="1"/>
  <c r="X176" i="1"/>
  <c r="K21" i="1" s="1"/>
  <c r="A21" i="1" s="1"/>
  <c r="X180" i="1"/>
  <c r="K25" i="1" s="1"/>
  <c r="A25" i="1" s="1"/>
  <c r="X174" i="1"/>
  <c r="X217" i="1"/>
  <c r="U217" i="1" s="1"/>
  <c r="H62" i="1" s="1"/>
  <c r="X212" i="1"/>
  <c r="K57" i="1" s="1"/>
  <c r="A57" i="1" s="1"/>
  <c r="X204" i="1"/>
  <c r="X211" i="1"/>
  <c r="K56" i="1" s="1"/>
  <c r="A56" i="1" s="1"/>
  <c r="X203" i="1"/>
  <c r="X210" i="1"/>
  <c r="U210" i="1" s="1"/>
  <c r="H55" i="1" s="1"/>
  <c r="X202" i="1"/>
  <c r="X209" i="1"/>
  <c r="K54" i="1" s="1"/>
  <c r="A54" i="1" s="1"/>
  <c r="X201" i="1"/>
  <c r="X195" i="1"/>
  <c r="U195" i="1" s="1"/>
  <c r="H40" i="1" s="1"/>
  <c r="X187" i="1"/>
  <c r="X194" i="1"/>
  <c r="K39" i="1" s="1"/>
  <c r="A39" i="1" s="1"/>
  <c r="X186" i="1"/>
  <c r="X193" i="1"/>
  <c r="U193" i="1" s="1"/>
  <c r="H38" i="1" s="1"/>
  <c r="X185" i="1"/>
  <c r="X192" i="1"/>
  <c r="K37" i="1" s="1"/>
  <c r="A37" i="1" s="1"/>
  <c r="X184" i="1"/>
  <c r="X181" i="1"/>
  <c r="U181" i="1" s="1"/>
  <c r="H26" i="1" s="1"/>
  <c r="K70" i="1"/>
  <c r="A70" i="1" s="1"/>
  <c r="U225" i="1"/>
  <c r="H70" i="1" s="1"/>
  <c r="U173" i="1"/>
  <c r="H18" i="1" s="1"/>
  <c r="K18" i="1"/>
  <c r="A18" i="1" s="1"/>
  <c r="U177" i="1"/>
  <c r="H22" i="1" s="1"/>
  <c r="K22" i="1"/>
  <c r="A22" i="1" s="1"/>
  <c r="K10" i="1"/>
  <c r="A10" i="1" s="1"/>
  <c r="U165" i="1"/>
  <c r="H10" i="1" s="1"/>
  <c r="U167" i="1"/>
  <c r="H12" i="1" s="1"/>
  <c r="K12" i="1"/>
  <c r="A12" i="1" s="1"/>
  <c r="U164" i="1"/>
  <c r="H9" i="1" s="1"/>
  <c r="K9" i="1"/>
  <c r="K11" i="1"/>
  <c r="A11" i="1" s="1"/>
  <c r="U166" i="1"/>
  <c r="H11" i="1" s="1"/>
  <c r="Z10" i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K43" i="1" l="1"/>
  <c r="A43" i="1" s="1"/>
  <c r="D43" i="1" s="1"/>
  <c r="K44" i="1"/>
  <c r="A44" i="1" s="1"/>
  <c r="D44" i="1" s="1"/>
  <c r="K35" i="1"/>
  <c r="A35" i="1" s="1"/>
  <c r="U190" i="1"/>
  <c r="H35" i="1" s="1"/>
  <c r="K33" i="1"/>
  <c r="A33" i="1" s="1"/>
  <c r="D33" i="1" s="1"/>
  <c r="K24" i="1"/>
  <c r="A24" i="1" s="1"/>
  <c r="B24" i="1" s="1"/>
  <c r="U178" i="1"/>
  <c r="H23" i="1" s="1"/>
  <c r="U175" i="1"/>
  <c r="H20" i="1" s="1"/>
  <c r="B42" i="1"/>
  <c r="D42" i="1"/>
  <c r="C42" i="1"/>
  <c r="D41" i="1"/>
  <c r="B41" i="1"/>
  <c r="C41" i="1"/>
  <c r="K45" i="1"/>
  <c r="A45" i="1" s="1"/>
  <c r="D45" i="1" s="1"/>
  <c r="K36" i="1"/>
  <c r="A36" i="1" s="1"/>
  <c r="U191" i="1"/>
  <c r="H36" i="1" s="1"/>
  <c r="K27" i="1"/>
  <c r="A27" i="1" s="1"/>
  <c r="B27" i="1" s="1"/>
  <c r="B52" i="1"/>
  <c r="C52" i="1"/>
  <c r="D52" i="1"/>
  <c r="K34" i="1"/>
  <c r="A34" i="1" s="1"/>
  <c r="D34" i="1" s="1"/>
  <c r="U180" i="1"/>
  <c r="H25" i="1" s="1"/>
  <c r="U183" i="1"/>
  <c r="H28" i="1" s="1"/>
  <c r="K28" i="1"/>
  <c r="A28" i="1" s="1"/>
  <c r="U176" i="1"/>
  <c r="H21" i="1" s="1"/>
  <c r="IY21" i="1" s="1"/>
  <c r="C20" i="1"/>
  <c r="D20" i="1"/>
  <c r="B20" i="1"/>
  <c r="U174" i="1"/>
  <c r="H19" i="1" s="1"/>
  <c r="K19" i="1"/>
  <c r="A19" i="1" s="1"/>
  <c r="K62" i="1"/>
  <c r="A62" i="1" s="1"/>
  <c r="D62" i="1" s="1"/>
  <c r="U212" i="1"/>
  <c r="H57" i="1" s="1"/>
  <c r="U211" i="1"/>
  <c r="H56" i="1" s="1"/>
  <c r="K49" i="1"/>
  <c r="A49" i="1" s="1"/>
  <c r="U204" i="1"/>
  <c r="H49" i="1" s="1"/>
  <c r="U203" i="1"/>
  <c r="H48" i="1" s="1"/>
  <c r="K48" i="1"/>
  <c r="A48" i="1" s="1"/>
  <c r="K55" i="1"/>
  <c r="A55" i="1" s="1"/>
  <c r="D55" i="1" s="1"/>
  <c r="U202" i="1"/>
  <c r="H47" i="1" s="1"/>
  <c r="K47" i="1"/>
  <c r="A47" i="1" s="1"/>
  <c r="U209" i="1"/>
  <c r="H54" i="1" s="1"/>
  <c r="K46" i="1"/>
  <c r="A46" i="1" s="1"/>
  <c r="U201" i="1"/>
  <c r="H46" i="1" s="1"/>
  <c r="U194" i="1"/>
  <c r="H39" i="1" s="1"/>
  <c r="K40" i="1"/>
  <c r="A40" i="1" s="1"/>
  <c r="D40" i="1" s="1"/>
  <c r="U187" i="1"/>
  <c r="H32" i="1" s="1"/>
  <c r="K32" i="1"/>
  <c r="A32" i="1" s="1"/>
  <c r="K38" i="1"/>
  <c r="A38" i="1" s="1"/>
  <c r="B38" i="1" s="1"/>
  <c r="K31" i="1"/>
  <c r="A31" i="1" s="1"/>
  <c r="U186" i="1"/>
  <c r="H31" i="1" s="1"/>
  <c r="U185" i="1"/>
  <c r="H30" i="1" s="1"/>
  <c r="K30" i="1"/>
  <c r="A30" i="1" s="1"/>
  <c r="U192" i="1"/>
  <c r="H37" i="1" s="1"/>
  <c r="U184" i="1"/>
  <c r="H29" i="1" s="1"/>
  <c r="K29" i="1"/>
  <c r="A29" i="1" s="1"/>
  <c r="K26" i="1"/>
  <c r="A26" i="1" s="1"/>
  <c r="C26" i="1" s="1"/>
  <c r="C37" i="1"/>
  <c r="D37" i="1"/>
  <c r="B37" i="1"/>
  <c r="C54" i="1"/>
  <c r="D54" i="1"/>
  <c r="B54" i="1"/>
  <c r="D25" i="1"/>
  <c r="C25" i="1"/>
  <c r="B25" i="1"/>
  <c r="D18" i="1"/>
  <c r="C18" i="1"/>
  <c r="B18" i="1"/>
  <c r="B11" i="1"/>
  <c r="C11" i="1"/>
  <c r="D11" i="1"/>
  <c r="B10" i="1"/>
  <c r="D10" i="1"/>
  <c r="C10" i="1"/>
  <c r="B23" i="1"/>
  <c r="D23" i="1"/>
  <c r="C23" i="1"/>
  <c r="A9" i="1"/>
  <c r="D12" i="1"/>
  <c r="C12" i="1"/>
  <c r="B12" i="1"/>
  <c r="D57" i="1"/>
  <c r="B57" i="1"/>
  <c r="C57" i="1"/>
  <c r="B22" i="1"/>
  <c r="D22" i="1"/>
  <c r="C22" i="1"/>
  <c r="B21" i="1"/>
  <c r="C21" i="1"/>
  <c r="D21" i="1"/>
  <c r="C56" i="1"/>
  <c r="D56" i="1"/>
  <c r="B56" i="1"/>
  <c r="B39" i="1"/>
  <c r="D39" i="1"/>
  <c r="C39" i="1"/>
  <c r="C70" i="1"/>
  <c r="B70" i="1"/>
  <c r="D70" i="1"/>
  <c r="JS9" i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Q16" i="1"/>
  <c r="IY59" i="1"/>
  <c r="IP59" i="1"/>
  <c r="IT59" i="1"/>
  <c r="IP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M36" i="1" l="1"/>
  <c r="B43" i="1"/>
  <c r="C43" i="1"/>
  <c r="C44" i="1"/>
  <c r="B44" i="1"/>
  <c r="C33" i="1"/>
  <c r="D35" i="1"/>
  <c r="B35" i="1"/>
  <c r="C35" i="1"/>
  <c r="B33" i="1"/>
  <c r="D24" i="1"/>
  <c r="C24" i="1"/>
  <c r="C45" i="1"/>
  <c r="B45" i="1"/>
  <c r="B36" i="1"/>
  <c r="D36" i="1"/>
  <c r="P36" i="1" s="1"/>
  <c r="S36" i="1" s="1"/>
  <c r="Y36" i="1" s="1"/>
  <c r="C36" i="1"/>
  <c r="O36" i="1" s="1"/>
  <c r="IL28" i="1"/>
  <c r="D27" i="1"/>
  <c r="C27" i="1"/>
  <c r="IL59" i="1"/>
  <c r="B34" i="1"/>
  <c r="C34" i="1"/>
  <c r="C28" i="1"/>
  <c r="D28" i="1"/>
  <c r="B28" i="1"/>
  <c r="D19" i="1"/>
  <c r="B19" i="1"/>
  <c r="N19" i="1" s="1"/>
  <c r="C19" i="1"/>
  <c r="IM46" i="1"/>
  <c r="B62" i="1"/>
  <c r="C62" i="1"/>
  <c r="C55" i="1"/>
  <c r="B55" i="1"/>
  <c r="B49" i="1"/>
  <c r="D49" i="1"/>
  <c r="C49" i="1"/>
  <c r="AV47" i="1"/>
  <c r="D48" i="1"/>
  <c r="B48" i="1"/>
  <c r="C48" i="1"/>
  <c r="B47" i="1"/>
  <c r="C47" i="1"/>
  <c r="D47" i="1"/>
  <c r="D46" i="1"/>
  <c r="C46" i="1"/>
  <c r="B46" i="1"/>
  <c r="B40" i="1"/>
  <c r="C38" i="1"/>
  <c r="C40" i="1"/>
  <c r="D38" i="1"/>
  <c r="C32" i="1"/>
  <c r="B32" i="1"/>
  <c r="N32" i="1" s="1"/>
  <c r="D32" i="1"/>
  <c r="D26" i="1"/>
  <c r="D31" i="1"/>
  <c r="B31" i="1"/>
  <c r="C31" i="1"/>
  <c r="B26" i="1"/>
  <c r="L2" i="1" a="1"/>
  <c r="L2" i="1" s="1"/>
  <c r="L5" i="1" a="1"/>
  <c r="L5" i="1" s="1"/>
  <c r="C30" i="1"/>
  <c r="B30" i="1"/>
  <c r="D30" i="1"/>
  <c r="B29" i="1"/>
  <c r="C29" i="1"/>
  <c r="D29" i="1"/>
  <c r="L6" i="1" a="1"/>
  <c r="L6" i="1" s="1"/>
  <c r="B9" i="1"/>
  <c r="N9" i="1" s="1"/>
  <c r="D9" i="1"/>
  <c r="C9" i="1"/>
  <c r="O9" i="1" s="1"/>
  <c r="AD150" i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GB141" i="1"/>
  <c r="BR141" i="1"/>
  <c r="FV141" i="1"/>
  <c r="FN141" i="1"/>
  <c r="EJ141" i="1"/>
  <c r="EE141" i="1"/>
  <c r="ET141" i="1"/>
  <c r="CU141" i="1"/>
  <c r="DC141" i="1"/>
  <c r="GV141" i="1"/>
  <c r="GQ141" i="1"/>
  <c r="GP141" i="1"/>
  <c r="HD141" i="1"/>
  <c r="BE141" i="1"/>
  <c r="CB141" i="1"/>
  <c r="DI141" i="1"/>
  <c r="FO141" i="1"/>
  <c r="CJ141" i="1"/>
  <c r="DD141" i="1"/>
  <c r="EC141" i="1"/>
  <c r="GE141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Q130" i="1"/>
  <c r="DD130" i="1"/>
  <c r="CI130" i="1"/>
  <c r="DG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CL138" i="1"/>
  <c r="DQ138" i="1"/>
  <c r="GC138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GA142" i="1"/>
  <c r="FU142" i="1"/>
  <c r="EO142" i="1"/>
  <c r="EH139" i="1"/>
  <c r="FV138" i="1"/>
  <c r="FS138" i="1"/>
  <c r="GB138" i="1"/>
  <c r="BQ142" i="1"/>
  <c r="GN142" i="1"/>
  <c r="GF139" i="1"/>
  <c r="EF139" i="1"/>
  <c r="CQ138" i="1"/>
  <c r="DB138" i="1"/>
  <c r="EH138" i="1"/>
  <c r="FA138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DQ142" i="1"/>
  <c r="DK142" i="1"/>
  <c r="FN139" i="1"/>
  <c r="BZ138" i="1"/>
  <c r="FZ138" i="1"/>
  <c r="GP138" i="1"/>
  <c r="DY138" i="1"/>
  <c r="AZ132" i="1"/>
  <c r="GM132" i="1" s="1"/>
  <c r="BD132" i="1"/>
  <c r="DH132" i="1" s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DU136" i="1"/>
  <c r="BL136" i="1"/>
  <c r="BS136" i="1"/>
  <c r="GM136" i="1"/>
  <c r="DP138" i="1"/>
  <c r="GD138" i="1"/>
  <c r="FI138" i="1"/>
  <c r="DE132" i="1"/>
  <c r="BJ136" i="1"/>
  <c r="DO136" i="1"/>
  <c r="CY136" i="1"/>
  <c r="GL138" i="1"/>
  <c r="CH138" i="1"/>
  <c r="CX138" i="1"/>
  <c r="BE138" i="1"/>
  <c r="FN138" i="1"/>
  <c r="BV132" i="1"/>
  <c r="BS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BZ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DF132" i="1"/>
  <c r="BY132" i="1"/>
  <c r="GW132" i="1"/>
  <c r="BH132" i="1"/>
  <c r="CI132" i="1"/>
  <c r="DB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CO132" i="1"/>
  <c r="DG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F132" i="1"/>
  <c r="HI132" i="1"/>
  <c r="GL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DC132" i="1"/>
  <c r="GJ132" i="1"/>
  <c r="GK132" i="1" s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CO130" i="1"/>
  <c r="GJ130" i="1"/>
  <c r="GK130" i="1" s="1"/>
  <c r="GL130" i="1"/>
  <c r="DC130" i="1"/>
  <c r="DB130" i="1"/>
  <c r="DE130" i="1"/>
  <c r="BG130" i="1"/>
  <c r="AZ130" i="1"/>
  <c r="GM130" i="1" s="1"/>
  <c r="BH130" i="1"/>
  <c r="BS130" i="1"/>
  <c r="BD130" i="1"/>
  <c r="DH130" i="1" s="1"/>
  <c r="BW130" i="1"/>
  <c r="BY130" i="1"/>
  <c r="GW130" i="1"/>
  <c r="DF130" i="1"/>
  <c r="HI130" i="1"/>
  <c r="BF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ET130" i="1" s="1"/>
  <c r="AC131" i="1"/>
  <c r="AE132" i="1"/>
  <c r="ET132" i="1" s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EU130" i="1" s="1"/>
  <c r="EY130" i="1" s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AB33" i="1"/>
  <c r="M190" i="7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IW140" i="1" l="1"/>
  <c r="IG140" i="1" s="1"/>
  <c r="IW136" i="1"/>
  <c r="IG136" i="1" s="1"/>
  <c r="EU132" i="1"/>
  <c r="EY132" i="1" s="1"/>
  <c r="ES132" i="1"/>
  <c r="DK130" i="1"/>
  <c r="ES130" i="1"/>
  <c r="FK130" i="1" s="1"/>
  <c r="JC9" i="1"/>
  <c r="JD15" i="1" s="1" a="1"/>
  <c r="JD15" i="1" s="1"/>
  <c r="JD12" i="1" a="1"/>
  <c r="JD12" i="1" s="1"/>
  <c r="DJ132" i="1"/>
  <c r="DI132" i="1"/>
  <c r="DK132" i="1"/>
  <c r="FK132" i="1"/>
  <c r="GV132" i="1"/>
  <c r="GU132" i="1" s="1"/>
  <c r="CD132" i="1"/>
  <c r="BI132" i="1"/>
  <c r="BL132" i="1"/>
  <c r="DI130" i="1"/>
  <c r="GV130" i="1"/>
  <c r="GU130" i="1" s="1"/>
  <c r="DJ130" i="1"/>
  <c r="CD130" i="1"/>
  <c r="BI130" i="1"/>
  <c r="BL130" i="1"/>
  <c r="IR140" i="1"/>
  <c r="IR139" i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BK132" i="1" s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AV124" i="1"/>
  <c r="N279" i="7"/>
  <c r="N166" i="7"/>
  <c r="AV11" i="1"/>
  <c r="AV68" i="1"/>
  <c r="BM68" i="1" s="1"/>
  <c r="N223" i="7"/>
  <c r="AV108" i="1"/>
  <c r="N263" i="7"/>
  <c r="N199" i="7"/>
  <c r="AV44" i="1"/>
  <c r="AV100" i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N257" i="7"/>
  <c r="AV110" i="1"/>
  <c r="N265" i="7"/>
  <c r="AV118" i="1"/>
  <c r="EO118" i="1" s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N259" i="7"/>
  <c r="AV120" i="1"/>
  <c r="BW120" i="1" s="1"/>
  <c r="N275" i="7"/>
  <c r="AV128" i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N253" i="7"/>
  <c r="AV106" i="1"/>
  <c r="N261" i="7"/>
  <c r="AV114" i="1"/>
  <c r="GM114" i="1" s="1"/>
  <c r="N269" i="7"/>
  <c r="AV122" i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BJ130" i="1" s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BN132" i="1" l="1"/>
  <c r="BM132" i="1"/>
  <c r="BJ132" i="1"/>
  <c r="BM130" i="1"/>
  <c r="BQ130" i="1" s="1"/>
  <c r="BK130" i="1"/>
  <c r="BN130" i="1"/>
  <c r="JC23" i="1"/>
  <c r="JD29" i="1" s="1" a="1"/>
  <c r="JD29" i="1" s="1"/>
  <c r="JD26" i="1" a="1"/>
  <c r="JD26" i="1" s="1"/>
  <c r="JD9" i="1" a="1"/>
  <c r="JD9" i="1" s="1"/>
  <c r="JD25" i="1" a="1"/>
  <c r="JD25" i="1" s="1"/>
  <c r="JD16" i="1" a="1"/>
  <c r="JD16" i="1" s="1"/>
  <c r="GX130" i="1"/>
  <c r="GX132" i="1"/>
  <c r="DT132" i="1"/>
  <c r="DT130" i="1"/>
  <c r="IS126" i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M129" i="1" s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V93" i="1"/>
  <c r="IX93" i="1"/>
  <c r="IS16" i="1"/>
  <c r="AQ9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X54" i="1"/>
  <c r="IS63" i="1"/>
  <c r="IS42" i="1"/>
  <c r="IX39" i="1"/>
  <c r="IS36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ET54" i="1" s="1"/>
  <c r="Q17" i="1"/>
  <c r="GT70" i="1"/>
  <c r="V11" i="1"/>
  <c r="CM70" i="1"/>
  <c r="CE70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BZ70" i="1"/>
  <c r="EU70" i="1"/>
  <c r="EY70" i="1"/>
  <c r="EW70" i="1"/>
  <c r="DA70" i="1"/>
  <c r="CN70" i="1"/>
  <c r="BI70" i="1"/>
  <c r="HH70" i="1"/>
  <c r="FV70" i="1"/>
  <c r="AZ70" i="1"/>
  <c r="FA70" i="1"/>
  <c r="EZ70" i="1"/>
  <c r="FP70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ET100" i="1" s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ET112" i="1" s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BZ112" i="1"/>
  <c r="Q111" i="1"/>
  <c r="V110" i="1"/>
  <c r="R110" i="1"/>
  <c r="X110" i="1" s="1"/>
  <c r="ET102" i="1"/>
  <c r="BH102" i="1"/>
  <c r="DF102" i="1"/>
  <c r="BD102" i="1"/>
  <c r="DH102" i="1" s="1"/>
  <c r="BF102" i="1"/>
  <c r="BL102" i="1" s="1"/>
  <c r="DB102" i="1"/>
  <c r="R98" i="1"/>
  <c r="X98" i="1" s="1"/>
  <c r="V91" i="1"/>
  <c r="GA82" i="1"/>
  <c r="EZ82" i="1"/>
  <c r="CT82" i="1"/>
  <c r="DL82" i="1"/>
  <c r="BJ82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GL54" i="1"/>
  <c r="BF54" i="1"/>
  <c r="BI54" i="1" s="1"/>
  <c r="V55" i="1"/>
  <c r="V44" i="1"/>
  <c r="V37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FL59" i="1"/>
  <c r="CI54" i="1"/>
  <c r="BV54" i="1"/>
  <c r="BZ54" i="1"/>
  <c r="BH54" i="1"/>
  <c r="DF54" i="1"/>
  <c r="BY54" i="1"/>
  <c r="DC54" i="1"/>
  <c r="AD53" i="1"/>
  <c r="AH53" i="1" s="1"/>
  <c r="BB53" i="1"/>
  <c r="BG36" i="1"/>
  <c r="BS36" i="1"/>
  <c r="BV36" i="1"/>
  <c r="GL36" i="1"/>
  <c r="DG36" i="1"/>
  <c r="BH36" i="1"/>
  <c r="BF36" i="1"/>
  <c r="DE36" i="1"/>
  <c r="BD36" i="1"/>
  <c r="R31" i="1"/>
  <c r="X31" i="1" s="1"/>
  <c r="JO31" i="1" s="1"/>
  <c r="AE15" i="1"/>
  <c r="GW13" i="1"/>
  <c r="AD39" i="1"/>
  <c r="AH39" i="1" s="1"/>
  <c r="BG106" i="1"/>
  <c r="CN92" i="1"/>
  <c r="DG92" i="1"/>
  <c r="EH93" i="1"/>
  <c r="CS125" i="1"/>
  <c r="BY93" i="1"/>
  <c r="EF53" i="1"/>
  <c r="EA53" i="1"/>
  <c r="CV129" i="1"/>
  <c r="CM125" i="1"/>
  <c r="BD106" i="1"/>
  <c r="FP74" i="1"/>
  <c r="GM92" i="1"/>
  <c r="FB92" i="1"/>
  <c r="FJ93" i="1"/>
  <c r="CW88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S71" i="1"/>
  <c r="CY92" i="1"/>
  <c r="BE92" i="1"/>
  <c r="BM92" i="1"/>
  <c r="CF125" i="1"/>
  <c r="CT125" i="1"/>
  <c r="DB106" i="1"/>
  <c r="EJ74" i="1"/>
  <c r="BT106" i="1"/>
  <c r="GA92" i="1"/>
  <c r="CX92" i="1"/>
  <c r="EH92" i="1"/>
  <c r="GJ106" i="1"/>
  <c r="GK106" i="1" s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BZ128" i="1"/>
  <c r="BV128" i="1"/>
  <c r="DC128" i="1"/>
  <c r="GJ128" i="1"/>
  <c r="GK128" i="1" s="1"/>
  <c r="BW128" i="1"/>
  <c r="BY128" i="1"/>
  <c r="DD128" i="1"/>
  <c r="CI128" i="1"/>
  <c r="GL128" i="1"/>
  <c r="BT128" i="1"/>
  <c r="HI128" i="1"/>
  <c r="BG128" i="1"/>
  <c r="BF128" i="1"/>
  <c r="BI128" i="1" s="1"/>
  <c r="AZ128" i="1"/>
  <c r="GM128" i="1" s="1"/>
  <c r="DE128" i="1"/>
  <c r="CO128" i="1"/>
  <c r="BS128" i="1"/>
  <c r="DB128" i="1"/>
  <c r="BH128" i="1"/>
  <c r="DG128" i="1"/>
  <c r="BD128" i="1"/>
  <c r="DH128" i="1" s="1"/>
  <c r="GW128" i="1"/>
  <c r="DF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AZ106" i="1"/>
  <c r="GM106" i="1" s="1"/>
  <c r="BY106" i="1"/>
  <c r="BW106" i="1"/>
  <c r="BZ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CM129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CJ129" i="1"/>
  <c r="CQ129" i="1"/>
  <c r="CL125" i="1"/>
  <c r="CP125" i="1"/>
  <c r="FD74" i="1"/>
  <c r="GW106" i="1"/>
  <c r="GL106" i="1"/>
  <c r="DE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DF106" i="1"/>
  <c r="DG106" i="1"/>
  <c r="GF74" i="1"/>
  <c r="DQ74" i="1"/>
  <c r="EC74" i="1"/>
  <c r="DZ74" i="1"/>
  <c r="CU125" i="1"/>
  <c r="AE21" i="1"/>
  <c r="DD106" i="1"/>
  <c r="CI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V30" i="1"/>
  <c r="GT129" i="1"/>
  <c r="AZ125" i="1"/>
  <c r="CK125" i="1"/>
  <c r="HI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BF88" i="1"/>
  <c r="DC56" i="1"/>
  <c r="EK88" i="1"/>
  <c r="CY129" i="1"/>
  <c r="V42" i="1"/>
  <c r="CQ125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Z74" i="1"/>
  <c r="CN129" i="1"/>
  <c r="CG125" i="1"/>
  <c r="DA125" i="1"/>
  <c r="HG74" i="1"/>
  <c r="D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FE67" i="1"/>
  <c r="CX109" i="1"/>
  <c r="CJ77" i="1"/>
  <c r="HE90" i="1"/>
  <c r="DA90" i="1"/>
  <c r="CK105" i="1"/>
  <c r="Q13" i="1"/>
  <c r="AE22" i="1"/>
  <c r="ET22" i="1" s="1"/>
  <c r="AF21" i="1"/>
  <c r="EU21" i="1" s="1"/>
  <c r="EY21" i="1" s="1"/>
  <c r="CQ77" i="1"/>
  <c r="CG105" i="1"/>
  <c r="HI122" i="1"/>
  <c r="BW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GK122" i="1" s="1"/>
  <c r="DO90" i="1"/>
  <c r="HG58" i="1"/>
  <c r="CI109" i="1"/>
  <c r="CK77" i="1"/>
  <c r="CR105" i="1"/>
  <c r="DE122" i="1"/>
  <c r="GI90" i="1"/>
  <c r="CS90" i="1"/>
  <c r="DU77" i="1"/>
  <c r="EH26" i="1"/>
  <c r="GM119" i="1"/>
  <c r="BF109" i="1"/>
  <c r="CL77" i="1"/>
  <c r="AC9" i="1"/>
  <c r="GY90" i="1"/>
  <c r="ER90" i="1"/>
  <c r="BI77" i="1"/>
  <c r="CW26" i="1"/>
  <c r="GV58" i="1"/>
  <c r="CL109" i="1"/>
  <c r="GE58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CI122" i="1"/>
  <c r="FZ90" i="1"/>
  <c r="FZ58" i="1"/>
  <c r="FU109" i="1"/>
  <c r="BP109" i="1"/>
  <c r="FY26" i="1"/>
  <c r="FL67" i="1"/>
  <c r="CD105" i="1"/>
  <c r="CN77" i="1"/>
  <c r="GX105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DB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DG33" i="1"/>
  <c r="BF32" i="1"/>
  <c r="DE32" i="1"/>
  <c r="ER87" i="1"/>
  <c r="CK87" i="1"/>
  <c r="GM87" i="1"/>
  <c r="DU87" i="1"/>
  <c r="BB87" i="1"/>
  <c r="EP87" i="1"/>
  <c r="BV87" i="1"/>
  <c r="DK87" i="1"/>
  <c r="DX87" i="1"/>
  <c r="GL124" i="1"/>
  <c r="BS124" i="1"/>
  <c r="AC22" i="1"/>
  <c r="AF22" i="1"/>
  <c r="AM22" i="1" s="1"/>
  <c r="CW77" i="1"/>
  <c r="GV90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DF122" i="1"/>
  <c r="BH122" i="1"/>
  <c r="CZ109" i="1"/>
  <c r="CM77" i="1"/>
  <c r="CZ77" i="1"/>
  <c r="CH105" i="1"/>
  <c r="CN105" i="1"/>
  <c r="GR90" i="1"/>
  <c r="DY58" i="1"/>
  <c r="BZ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BL36" i="1" s="1"/>
  <c r="CT77" i="1"/>
  <c r="CJ109" i="1"/>
  <c r="CO77" i="1"/>
  <c r="CS105" i="1"/>
  <c r="BY122" i="1"/>
  <c r="BD122" i="1"/>
  <c r="DH122" i="1" s="1"/>
  <c r="BF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CX119" i="1"/>
  <c r="CR109" i="1"/>
  <c r="CQ109" i="1"/>
  <c r="CX77" i="1"/>
  <c r="CF77" i="1"/>
  <c r="CY105" i="1"/>
  <c r="CT105" i="1"/>
  <c r="FW90" i="1"/>
  <c r="GL122" i="1"/>
  <c r="DC122" i="1"/>
  <c r="BV122" i="1"/>
  <c r="BG122" i="1"/>
  <c r="BS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DD122" i="1"/>
  <c r="DK122" i="1" s="1"/>
  <c r="AZ122" i="1"/>
  <c r="GM122" i="1" s="1"/>
  <c r="HG90" i="1"/>
  <c r="DU90" i="1"/>
  <c r="FE90" i="1"/>
  <c r="BT90" i="1"/>
  <c r="CE90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GO62" i="1"/>
  <c r="AC49" i="1"/>
  <c r="DD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BF126" i="1"/>
  <c r="BI126" i="1" s="1"/>
  <c r="BO117" i="1"/>
  <c r="AZ126" i="1"/>
  <c r="GM126" i="1" s="1"/>
  <c r="GK120" i="1"/>
  <c r="BI120" i="1"/>
  <c r="AE59" i="1"/>
  <c r="GW98" i="1"/>
  <c r="GB121" i="1"/>
  <c r="BX121" i="1"/>
  <c r="DW121" i="1"/>
  <c r="EP121" i="1"/>
  <c r="FW117" i="1"/>
  <c r="CC117" i="1"/>
  <c r="DG120" i="1"/>
  <c r="GQ120" i="1"/>
  <c r="DB32" i="1"/>
  <c r="AC59" i="1"/>
  <c r="DN72" i="1"/>
  <c r="BD121" i="1"/>
  <c r="FX66" i="1"/>
  <c r="AC44" i="1"/>
  <c r="FL117" i="1"/>
  <c r="BK117" i="1"/>
  <c r="CQ120" i="1"/>
  <c r="CH120" i="1"/>
  <c r="DX121" i="1"/>
  <c r="CW117" i="1"/>
  <c r="FM117" i="1"/>
  <c r="DZ120" i="1"/>
  <c r="FZ127" i="1"/>
  <c r="ET121" i="1"/>
  <c r="ED121" i="1"/>
  <c r="BE121" i="1"/>
  <c r="GF120" i="1"/>
  <c r="GG121" i="1"/>
  <c r="DV121" i="1"/>
  <c r="BF121" i="1"/>
  <c r="AD44" i="1"/>
  <c r="AH44" i="1" s="1"/>
  <c r="AF52" i="1"/>
  <c r="AM52" i="1" s="1"/>
  <c r="EB120" i="1"/>
  <c r="BX120" i="1"/>
  <c r="Q31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DH121" i="1"/>
  <c r="DY121" i="1"/>
  <c r="BU121" i="1"/>
  <c r="BP121" i="1"/>
  <c r="AZ117" i="1"/>
  <c r="CU117" i="1"/>
  <c r="GE121" i="1"/>
  <c r="GA66" i="1"/>
  <c r="HG121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121" i="1"/>
  <c r="FL121" i="1"/>
  <c r="CJ85" i="1"/>
  <c r="CM117" i="1"/>
  <c r="CY117" i="1"/>
  <c r="CX85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DQ121" i="1"/>
  <c r="FP121" i="1"/>
  <c r="CZ117" i="1"/>
  <c r="CK117" i="1"/>
  <c r="CW127" i="1"/>
  <c r="DE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BZ99" i="1"/>
  <c r="BH99" i="1"/>
  <c r="DD99" i="1"/>
  <c r="GJ99" i="1"/>
  <c r="GK99" i="1" s="1"/>
  <c r="DG99" i="1"/>
  <c r="BY99" i="1"/>
  <c r="C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DK33" i="1" s="1"/>
  <c r="GW33" i="1"/>
  <c r="DE33" i="1"/>
  <c r="DF33" i="1"/>
  <c r="DB33" i="1"/>
  <c r="DC33" i="1"/>
  <c r="DF104" i="1"/>
  <c r="BG104" i="1"/>
  <c r="CO104" i="1"/>
  <c r="DC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DD55" i="1"/>
  <c r="HI55" i="1"/>
  <c r="BS72" i="1"/>
  <c r="DS72" i="1"/>
  <c r="DS73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B104" i="1"/>
  <c r="AZ104" i="1"/>
  <c r="GM104" i="1" s="1"/>
  <c r="CD119" i="1"/>
  <c r="DZ119" i="1"/>
  <c r="EL119" i="1"/>
  <c r="CO55" i="1"/>
  <c r="BG55" i="1"/>
  <c r="CV72" i="1"/>
  <c r="CJ72" i="1"/>
  <c r="DW73" i="1"/>
  <c r="ES73" i="1"/>
  <c r="BD33" i="1"/>
  <c r="DH33" i="1" s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DK119" i="1"/>
  <c r="EC119" i="1"/>
  <c r="FX119" i="1"/>
  <c r="BS33" i="1"/>
  <c r="BG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CI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BG99" i="1"/>
  <c r="BF99" i="1"/>
  <c r="BI99" i="1" s="1"/>
  <c r="BD99" i="1"/>
  <c r="DH99" i="1" s="1"/>
  <c r="DB99" i="1"/>
  <c r="HI99" i="1"/>
  <c r="BS99" i="1"/>
  <c r="GL104" i="1"/>
  <c r="BS104" i="1"/>
  <c r="CI104" i="1"/>
  <c r="BY104" i="1"/>
  <c r="GJ104" i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C99" i="1"/>
  <c r="BT99" i="1"/>
  <c r="GD77" i="1"/>
  <c r="FP87" i="1"/>
  <c r="DA87" i="1"/>
  <c r="EL116" i="1"/>
  <c r="FH84" i="1"/>
  <c r="AE53" i="1"/>
  <c r="R30" i="1"/>
  <c r="X30" i="1" s="1"/>
  <c r="JO30" i="1" s="1"/>
  <c r="CI99" i="1"/>
  <c r="AZ99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BV99" i="1"/>
  <c r="BW99" i="1"/>
  <c r="GL99" i="1"/>
  <c r="GV99" i="1" s="1"/>
  <c r="DD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DF99" i="1"/>
  <c r="B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DG126" i="1"/>
  <c r="GJ126" i="1"/>
  <c r="GK126" i="1" s="1"/>
  <c r="BY126" i="1"/>
  <c r="BS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I36" i="1"/>
  <c r="BT36" i="1"/>
  <c r="DD36" i="1"/>
  <c r="DH36" i="1"/>
  <c r="DF36" i="1"/>
  <c r="DB36" i="1"/>
  <c r="DI36" i="1" s="1"/>
  <c r="BY36" i="1"/>
  <c r="BZ36" i="1"/>
  <c r="DC36" i="1"/>
  <c r="BW36" i="1"/>
  <c r="AZ36" i="1"/>
  <c r="CO36" i="1"/>
  <c r="HI36" i="1"/>
  <c r="CI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BZ126" i="1"/>
  <c r="BT126" i="1"/>
  <c r="CI126" i="1"/>
  <c r="BW126" i="1"/>
  <c r="CO126" i="1"/>
  <c r="EO52" i="1"/>
  <c r="DX52" i="1"/>
  <c r="DF126" i="1"/>
  <c r="DC126" i="1"/>
  <c r="FJ52" i="1"/>
  <c r="GG52" i="1"/>
  <c r="BV126" i="1"/>
  <c r="DE126" i="1"/>
  <c r="BD126" i="1"/>
  <c r="DH126" i="1" s="1"/>
  <c r="ES86" i="1"/>
  <c r="BL86" i="1"/>
  <c r="GX86" i="1"/>
  <c r="EN52" i="1"/>
  <c r="HG52" i="1"/>
  <c r="EW52" i="1"/>
  <c r="HA53" i="1"/>
  <c r="GL126" i="1"/>
  <c r="BH126" i="1"/>
  <c r="HI126" i="1"/>
  <c r="CC52" i="1"/>
  <c r="GO52" i="1"/>
  <c r="GY52" i="1"/>
  <c r="HC52" i="1"/>
  <c r="BG126" i="1"/>
  <c r="GW126" i="1"/>
  <c r="HF52" i="1"/>
  <c r="FT52" i="1"/>
  <c r="FR52" i="1"/>
  <c r="CJ70" i="1"/>
  <c r="CY70" i="1"/>
  <c r="BW70" i="1"/>
  <c r="DY70" i="1"/>
  <c r="CC70" i="1"/>
  <c r="ES70" i="1"/>
  <c r="DK70" i="1"/>
  <c r="CD70" i="1"/>
  <c r="BD70" i="1"/>
  <c r="EJ70" i="1"/>
  <c r="CR70" i="1"/>
  <c r="DU70" i="1"/>
  <c r="BG102" i="1"/>
  <c r="CI102" i="1"/>
  <c r="GL102" i="1"/>
  <c r="BY102" i="1"/>
  <c r="EU102" i="1"/>
  <c r="EY102" i="1" s="1"/>
  <c r="DE102" i="1"/>
  <c r="DD102" i="1"/>
  <c r="GZ35" i="1"/>
  <c r="GX70" i="1"/>
  <c r="GK70" i="1"/>
  <c r="GH70" i="1"/>
  <c r="HA70" i="1"/>
  <c r="GD70" i="1"/>
  <c r="GB70" i="1"/>
  <c r="BA70" i="1"/>
  <c r="EV70" i="1"/>
  <c r="CW70" i="1"/>
  <c r="CG70" i="1"/>
  <c r="EN70" i="1"/>
  <c r="FX70" i="1"/>
  <c r="DP70" i="1"/>
  <c r="CZ70" i="1"/>
  <c r="EH70" i="1"/>
  <c r="DC70" i="1"/>
  <c r="BE70" i="1"/>
  <c r="EG70" i="1"/>
  <c r="DT70" i="1"/>
  <c r="BY70" i="1"/>
  <c r="DW70" i="1"/>
  <c r="DG112" i="1"/>
  <c r="CL70" i="1"/>
  <c r="BV70" i="1"/>
  <c r="BT102" i="1"/>
  <c r="DG102" i="1"/>
  <c r="FO70" i="1"/>
  <c r="FZ70" i="1"/>
  <c r="FI70" i="1"/>
  <c r="GG70" i="1"/>
  <c r="EX70" i="1"/>
  <c r="GE70" i="1"/>
  <c r="FE70" i="1"/>
  <c r="HB70" i="1"/>
  <c r="BL70" i="1"/>
  <c r="ED70" i="1"/>
  <c r="DQ70" i="1"/>
  <c r="FS70" i="1"/>
  <c r="ER70" i="1"/>
  <c r="DO70" i="1"/>
  <c r="CA70" i="1"/>
  <c r="DJ70" i="1"/>
  <c r="DE70" i="1"/>
  <c r="BQ70" i="1"/>
  <c r="DR70" i="1"/>
  <c r="CO102" i="1"/>
  <c r="EI70" i="1"/>
  <c r="BV102" i="1"/>
  <c r="ES102" i="1"/>
  <c r="FK102" i="1" s="1"/>
  <c r="GF70" i="1"/>
  <c r="GN70" i="1"/>
  <c r="FF70" i="1"/>
  <c r="GA70" i="1"/>
  <c r="EA70" i="1"/>
  <c r="FU70" i="1"/>
  <c r="FQ70" i="1"/>
  <c r="GQ70" i="1"/>
  <c r="CP70" i="1"/>
  <c r="CI78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GW102" i="1"/>
  <c r="GJ102" i="1"/>
  <c r="GK102" i="1" s="1"/>
  <c r="HC70" i="1"/>
  <c r="HE70" i="1"/>
  <c r="EF70" i="1"/>
  <c r="FW70" i="1"/>
  <c r="BN70" i="1"/>
  <c r="FL70" i="1"/>
  <c r="FK70" i="1"/>
  <c r="FD70" i="1"/>
  <c r="CH70" i="1"/>
  <c r="DH70" i="1"/>
  <c r="DZ70" i="1"/>
  <c r="FM70" i="1"/>
  <c r="BH70" i="1"/>
  <c r="DF70" i="1"/>
  <c r="CF70" i="1"/>
  <c r="FC70" i="1"/>
  <c r="DN70" i="1"/>
  <c r="CO70" i="1"/>
  <c r="BS70" i="1"/>
  <c r="BP70" i="1"/>
  <c r="AZ102" i="1"/>
  <c r="GM102" i="1" s="1"/>
  <c r="GV70" i="1"/>
  <c r="GU70" i="1"/>
  <c r="GP70" i="1"/>
  <c r="FY70" i="1"/>
  <c r="HD70" i="1"/>
  <c r="FJ70" i="1"/>
  <c r="CQ70" i="1"/>
  <c r="FG70" i="1"/>
  <c r="CU70" i="1"/>
  <c r="CH78" i="1"/>
  <c r="CT70" i="1"/>
  <c r="BM70" i="1"/>
  <c r="ET70" i="1"/>
  <c r="DX70" i="1"/>
  <c r="BU70" i="1"/>
  <c r="EL70" i="1"/>
  <c r="FN70" i="1"/>
  <c r="BK70" i="1"/>
  <c r="EM70" i="1"/>
  <c r="FT70" i="1"/>
  <c r="CB70" i="1"/>
  <c r="BS102" i="1"/>
  <c r="HI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GW100" i="1"/>
  <c r="BG100" i="1"/>
  <c r="CI100" i="1"/>
  <c r="CO100" i="1"/>
  <c r="DD100" i="1"/>
  <c r="BS100" i="1"/>
  <c r="CG85" i="1"/>
  <c r="DA85" i="1"/>
  <c r="DD98" i="1"/>
  <c r="GJ98" i="1"/>
  <c r="GK98" i="1" s="1"/>
  <c r="BF98" i="1"/>
  <c r="BG98" i="1"/>
  <c r="HF66" i="1"/>
  <c r="GW66" i="1"/>
  <c r="GG66" i="1"/>
  <c r="FS66" i="1"/>
  <c r="FR66" i="1"/>
  <c r="DV66" i="1"/>
  <c r="EP66" i="1"/>
  <c r="CZ63" i="1"/>
  <c r="DQ85" i="1"/>
  <c r="BE85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BT98" i="1"/>
  <c r="BH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BW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DA63" i="1"/>
  <c r="CI85" i="1"/>
  <c r="CI98" i="1"/>
  <c r="BS98" i="1"/>
  <c r="BV98" i="1"/>
  <c r="BZ98" i="1"/>
  <c r="FH66" i="1"/>
  <c r="HC66" i="1"/>
  <c r="DL66" i="1"/>
  <c r="FW66" i="1"/>
  <c r="EO66" i="1"/>
  <c r="BJ66" i="1"/>
  <c r="CY66" i="1"/>
  <c r="GW31" i="1"/>
  <c r="BP63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AZ98" i="1"/>
  <c r="GM98" i="1" s="1"/>
  <c r="DG98" i="1"/>
  <c r="DB98" i="1"/>
  <c r="DC98" i="1"/>
  <c r="BY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DF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CP85" i="1"/>
  <c r="CQ85" i="1"/>
  <c r="GL98" i="1"/>
  <c r="CO98" i="1"/>
  <c r="BD98" i="1"/>
  <c r="DH98" i="1" s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BY108" i="1"/>
  <c r="AZ108" i="1"/>
  <c r="GM108" i="1" s="1"/>
  <c r="BH108" i="1"/>
  <c r="BF108" i="1"/>
  <c r="BI108" i="1" s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ET33" i="1" s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HI112" i="1"/>
  <c r="BD112" i="1"/>
  <c r="DH112" i="1" s="1"/>
  <c r="GM112" i="1"/>
  <c r="CO112" i="1"/>
  <c r="BT112" i="1"/>
  <c r="BV112" i="1"/>
  <c r="GJ112" i="1"/>
  <c r="GK112" i="1" s="1"/>
  <c r="BG112" i="1"/>
  <c r="BW112" i="1"/>
  <c r="BY112" i="1"/>
  <c r="GL112" i="1"/>
  <c r="BF112" i="1"/>
  <c r="BI112" i="1" s="1"/>
  <c r="CI112" i="1"/>
  <c r="GW112" i="1"/>
  <c r="DE112" i="1"/>
  <c r="DI112" i="1" s="1"/>
  <c r="DF112" i="1"/>
  <c r="BS112" i="1"/>
  <c r="DD112" i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HI110" i="1"/>
  <c r="BH110" i="1"/>
  <c r="BG110" i="1"/>
  <c r="GW110" i="1"/>
  <c r="DB110" i="1"/>
  <c r="BF110" i="1"/>
  <c r="BI110" i="1" s="1"/>
  <c r="DG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BZ100" i="1"/>
  <c r="BF100" i="1"/>
  <c r="BI100" i="1" s="1"/>
  <c r="GJ100" i="1"/>
  <c r="GK100" i="1" s="1"/>
  <c r="DC100" i="1"/>
  <c r="DF100" i="1"/>
  <c r="BH100" i="1"/>
  <c r="BT100" i="1"/>
  <c r="HI100" i="1"/>
  <c r="AZ100" i="1"/>
  <c r="GL100" i="1"/>
  <c r="DB100" i="1"/>
  <c r="DG100" i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HI124" i="1"/>
  <c r="BF124" i="1"/>
  <c r="GW124" i="1"/>
  <c r="CI124" i="1"/>
  <c r="DC124" i="1"/>
  <c r="CO124" i="1"/>
  <c r="BG124" i="1"/>
  <c r="BV124" i="1"/>
  <c r="BZ124" i="1"/>
  <c r="BY124" i="1"/>
  <c r="BW124" i="1"/>
  <c r="DD124" i="1"/>
  <c r="DB124" i="1"/>
  <c r="BH124" i="1"/>
  <c r="DE124" i="1"/>
  <c r="AZ124" i="1"/>
  <c r="GM124" i="1" s="1"/>
  <c r="GJ124" i="1"/>
  <c r="GK124" i="1" s="1"/>
  <c r="DF124" i="1"/>
  <c r="BT124" i="1"/>
  <c r="BD124" i="1"/>
  <c r="DH124" i="1" s="1"/>
  <c r="DG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BS108" i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ET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ET122" i="1" s="1"/>
  <c r="AE125" i="1"/>
  <c r="AD84" i="1"/>
  <c r="AH84" i="1" s="1"/>
  <c r="AC92" i="1"/>
  <c r="AD124" i="1"/>
  <c r="AH124" i="1" s="1"/>
  <c r="AE128" i="1"/>
  <c r="ET128" i="1" s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BL106" i="1" s="1"/>
  <c r="R79" i="1"/>
  <c r="X79" i="1" s="1"/>
  <c r="JO79" i="1" s="1"/>
  <c r="Q79" i="1"/>
  <c r="AE124" i="1"/>
  <c r="ET124" i="1" s="1"/>
  <c r="Q123" i="1"/>
  <c r="AF103" i="1"/>
  <c r="AI103" i="1" s="1"/>
  <c r="AF61" i="1"/>
  <c r="AI61" i="1" s="1"/>
  <c r="AF120" i="1"/>
  <c r="AI120" i="1" s="1"/>
  <c r="AD115" i="1"/>
  <c r="AH115" i="1" s="1"/>
  <c r="AF124" i="1"/>
  <c r="EU124" i="1" s="1"/>
  <c r="EY124" i="1" s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ET126" i="1" s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EY106" i="1" s="1"/>
  <c r="R41" i="1"/>
  <c r="X41" i="1" s="1"/>
  <c r="AD108" i="1"/>
  <c r="ES108" i="1" s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Q129" i="1"/>
  <c r="AE129" i="1"/>
  <c r="V128" i="1"/>
  <c r="AF128" i="1"/>
  <c r="EU128" i="1" s="1"/>
  <c r="AD128" i="1"/>
  <c r="AH128" i="1" s="1"/>
  <c r="V127" i="1"/>
  <c r="AD127" i="1"/>
  <c r="AH127" i="1" s="1"/>
  <c r="AE127" i="1"/>
  <c r="AF126" i="1"/>
  <c r="EU126" i="1" s="1"/>
  <c r="EY126" i="1" s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ES122" i="1" s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ES110" i="1" s="1"/>
  <c r="AE110" i="1"/>
  <c r="ET110" i="1" s="1"/>
  <c r="AC110" i="1"/>
  <c r="AF110" i="1"/>
  <c r="EU110" i="1" s="1"/>
  <c r="EY110" i="1" s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EY104" i="1" s="1"/>
  <c r="AC104" i="1"/>
  <c r="V103" i="1"/>
  <c r="AE103" i="1"/>
  <c r="R103" i="1"/>
  <c r="X103" i="1" s="1"/>
  <c r="V99" i="1"/>
  <c r="AC99" i="1"/>
  <c r="AD99" i="1"/>
  <c r="AH99" i="1" s="1"/>
  <c r="AF99" i="1"/>
  <c r="EU99" i="1" s="1"/>
  <c r="EY99" i="1" s="1"/>
  <c r="AE99" i="1"/>
  <c r="ET99" i="1" s="1"/>
  <c r="R99" i="1"/>
  <c r="X99" i="1" s="1"/>
  <c r="IR108" i="1" s="1"/>
  <c r="AC98" i="1"/>
  <c r="AE98" i="1"/>
  <c r="ET98" i="1" s="1"/>
  <c r="AF98" i="1"/>
  <c r="EU98" i="1" s="1"/>
  <c r="EY98" i="1" s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40" i="1" l="1"/>
  <c r="IS39" i="1"/>
  <c r="IS23" i="1"/>
  <c r="GV36" i="1"/>
  <c r="GU36" i="1" s="1"/>
  <c r="DK36" i="1"/>
  <c r="ES36" i="1"/>
  <c r="FK36" i="1" s="1"/>
  <c r="DJ36" i="1"/>
  <c r="GM36" i="1"/>
  <c r="EU36" i="1"/>
  <c r="CD36" i="1"/>
  <c r="GV33" i="1"/>
  <c r="GU33" i="1" s="1"/>
  <c r="CD33" i="1"/>
  <c r="DI33" i="1"/>
  <c r="DJ33" i="1"/>
  <c r="BL33" i="1"/>
  <c r="EU33" i="1"/>
  <c r="ES33" i="1"/>
  <c r="FK33" i="1" s="1"/>
  <c r="JD23" i="1" a="1"/>
  <c r="JD23" i="1" s="1"/>
  <c r="JD30" i="1" a="1"/>
  <c r="JD30" i="1" s="1"/>
  <c r="BO132" i="1"/>
  <c r="BQ132" i="1"/>
  <c r="BR132" i="1"/>
  <c r="BP132" i="1"/>
  <c r="AI129" i="1"/>
  <c r="BR130" i="1"/>
  <c r="BO130" i="1"/>
  <c r="BP130" i="1"/>
  <c r="DK126" i="1"/>
  <c r="ES128" i="1"/>
  <c r="FK128" i="1" s="1"/>
  <c r="ES126" i="1"/>
  <c r="FK126" i="1" s="1"/>
  <c r="DI102" i="1"/>
  <c r="GV124" i="1"/>
  <c r="GU124" i="1" s="1"/>
  <c r="DI108" i="1"/>
  <c r="BI102" i="1"/>
  <c r="DK54" i="1"/>
  <c r="DK112" i="1"/>
  <c r="ES124" i="1"/>
  <c r="FK124" i="1" s="1"/>
  <c r="BL124" i="1"/>
  <c r="EU122" i="1"/>
  <c r="EY122" i="1" s="1"/>
  <c r="ES100" i="1"/>
  <c r="FK100" i="1" s="1"/>
  <c r="DJ108" i="1"/>
  <c r="ES112" i="1"/>
  <c r="FK112" i="1" s="1"/>
  <c r="EU112" i="1"/>
  <c r="EY112" i="1" s="1"/>
  <c r="CD108" i="1"/>
  <c r="FK108" i="1"/>
  <c r="EU108" i="1"/>
  <c r="EY108" i="1" s="1"/>
  <c r="DJ106" i="1"/>
  <c r="ES106" i="1"/>
  <c r="FK106" i="1" s="1"/>
  <c r="ES104" i="1"/>
  <c r="FK104" i="1" s="1"/>
  <c r="EU100" i="1"/>
  <c r="EY100" i="1" s="1"/>
  <c r="ES99" i="1"/>
  <c r="FK99" i="1" s="1"/>
  <c r="ES98" i="1"/>
  <c r="FK98" i="1" s="1"/>
  <c r="BL98" i="1"/>
  <c r="GV54" i="1"/>
  <c r="GX54" i="1" s="1"/>
  <c r="ES54" i="1"/>
  <c r="FK54" i="1" s="1"/>
  <c r="IS22" i="1"/>
  <c r="IS26" i="1"/>
  <c r="IS21" i="1"/>
  <c r="BL112" i="1"/>
  <c r="GV112" i="1"/>
  <c r="GU112" i="1" s="1"/>
  <c r="DJ112" i="1"/>
  <c r="CD112" i="1"/>
  <c r="FK110" i="1"/>
  <c r="GV110" i="1"/>
  <c r="GU110" i="1" s="1"/>
  <c r="CD110" i="1"/>
  <c r="DK110" i="1"/>
  <c r="DJ110" i="1"/>
  <c r="DI110" i="1"/>
  <c r="DK108" i="1"/>
  <c r="GV108" i="1"/>
  <c r="GX108" i="1" s="1"/>
  <c r="GV128" i="1"/>
  <c r="GU128" i="1" s="1"/>
  <c r="DK100" i="1"/>
  <c r="DJ128" i="1"/>
  <c r="DK128" i="1"/>
  <c r="BL128" i="1"/>
  <c r="DI126" i="1"/>
  <c r="DI128" i="1"/>
  <c r="CD128" i="1"/>
  <c r="EY128" i="1"/>
  <c r="DJ102" i="1"/>
  <c r="DI106" i="1"/>
  <c r="DK106" i="1"/>
  <c r="GV106" i="1"/>
  <c r="GX106" i="1" s="1"/>
  <c r="CD106" i="1"/>
  <c r="GV126" i="1"/>
  <c r="GU126" i="1" s="1"/>
  <c r="BL126" i="1"/>
  <c r="DJ126" i="1"/>
  <c r="CD126" i="1"/>
  <c r="DI104" i="1"/>
  <c r="BI124" i="1"/>
  <c r="DK124" i="1"/>
  <c r="GV104" i="1"/>
  <c r="GX104" i="1" s="1"/>
  <c r="DJ124" i="1"/>
  <c r="DJ54" i="1"/>
  <c r="DJ104" i="1"/>
  <c r="DK104" i="1"/>
  <c r="BL104" i="1"/>
  <c r="GK104" i="1"/>
  <c r="CD104" i="1"/>
  <c r="BI98" i="1"/>
  <c r="DI124" i="1"/>
  <c r="CD124" i="1"/>
  <c r="GV100" i="1"/>
  <c r="GX100" i="1" s="1"/>
  <c r="CD102" i="1"/>
  <c r="GV102" i="1"/>
  <c r="GU102" i="1" s="1"/>
  <c r="DK102" i="1"/>
  <c r="DJ122" i="1"/>
  <c r="CD122" i="1"/>
  <c r="GV122" i="1"/>
  <c r="GX122" i="1" s="1"/>
  <c r="DI122" i="1"/>
  <c r="FK122" i="1"/>
  <c r="BI122" i="1"/>
  <c r="DI100" i="1"/>
  <c r="BL100" i="1"/>
  <c r="DI99" i="1"/>
  <c r="DK99" i="1"/>
  <c r="GV98" i="1"/>
  <c r="GX98" i="1" s="1"/>
  <c r="DJ100" i="1"/>
  <c r="DK98" i="1"/>
  <c r="GM100" i="1"/>
  <c r="CD100" i="1"/>
  <c r="BL99" i="1"/>
  <c r="DJ99" i="1"/>
  <c r="GU99" i="1"/>
  <c r="GX99" i="1"/>
  <c r="CD99" i="1"/>
  <c r="GM99" i="1"/>
  <c r="CD98" i="1"/>
  <c r="DJ98" i="1"/>
  <c r="DI98" i="1"/>
  <c r="DI54" i="1"/>
  <c r="CD54" i="1"/>
  <c r="BL54" i="1"/>
  <c r="AG118" i="1"/>
  <c r="IR126" i="1"/>
  <c r="IR125" i="1"/>
  <c r="IR120" i="1"/>
  <c r="IR119" i="1"/>
  <c r="IR107" i="1"/>
  <c r="AG102" i="1"/>
  <c r="BK102" i="1" s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BJ124" i="1" s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N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J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36" i="1" s="1"/>
  <c r="GN3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BM106" i="1" s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M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BJ128" i="1" s="1"/>
  <c r="AI128" i="1"/>
  <c r="AM128" i="1"/>
  <c r="AJ128" i="1"/>
  <c r="AG127" i="1"/>
  <c r="AM126" i="1"/>
  <c r="AI126" i="1"/>
  <c r="AG126" i="1"/>
  <c r="BN126" i="1" s="1"/>
  <c r="AJ125" i="1"/>
  <c r="AH122" i="1"/>
  <c r="BL122" i="1" s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J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BM99" i="1" s="1"/>
  <c r="AG98" i="1"/>
  <c r="BJ98" i="1" s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GX36" i="1" l="1"/>
  <c r="DT36" i="1"/>
  <c r="EY36" i="1"/>
  <c r="BK36" i="1"/>
  <c r="BP36" i="1" s="1"/>
  <c r="BM36" i="1"/>
  <c r="BJ36" i="1"/>
  <c r="GX33" i="1"/>
  <c r="DT33" i="1"/>
  <c r="BA112" i="1"/>
  <c r="GN112" i="1" s="1"/>
  <c r="BA33" i="1"/>
  <c r="GN33" i="1" s="1"/>
  <c r="EY33" i="1"/>
  <c r="BM33" i="1"/>
  <c r="BQ33" i="1" s="1"/>
  <c r="BK33" i="1"/>
  <c r="BN33" i="1"/>
  <c r="BN128" i="1"/>
  <c r="BM128" i="1"/>
  <c r="BQ128" i="1" s="1"/>
  <c r="BK128" i="1"/>
  <c r="DT112" i="1"/>
  <c r="GX126" i="1"/>
  <c r="BM126" i="1"/>
  <c r="BJ126" i="1"/>
  <c r="BK126" i="1"/>
  <c r="BP126" i="1" s="1"/>
  <c r="GX124" i="1"/>
  <c r="BK124" i="1"/>
  <c r="BM124" i="1"/>
  <c r="BN124" i="1"/>
  <c r="BM122" i="1"/>
  <c r="BJ122" i="1"/>
  <c r="BK122" i="1"/>
  <c r="BN122" i="1"/>
  <c r="DT108" i="1"/>
  <c r="BN112" i="1"/>
  <c r="BJ112" i="1"/>
  <c r="BQ112" i="1" s="1"/>
  <c r="BK112" i="1"/>
  <c r="BK110" i="1"/>
  <c r="BN110" i="1"/>
  <c r="BM110" i="1"/>
  <c r="BQ110" i="1" s="1"/>
  <c r="BN108" i="1"/>
  <c r="BK108" i="1"/>
  <c r="BM108" i="1"/>
  <c r="BJ108" i="1"/>
  <c r="BJ106" i="1"/>
  <c r="BQ106" i="1" s="1"/>
  <c r="BK106" i="1"/>
  <c r="BN106" i="1"/>
  <c r="BM104" i="1"/>
  <c r="BQ104" i="1" s="1"/>
  <c r="BN104" i="1"/>
  <c r="BK104" i="1"/>
  <c r="BJ102" i="1"/>
  <c r="BN102" i="1"/>
  <c r="BP102" i="1" s="1"/>
  <c r="BM102" i="1"/>
  <c r="BK100" i="1"/>
  <c r="BP100" i="1" s="1"/>
  <c r="BJ100" i="1"/>
  <c r="GU54" i="1"/>
  <c r="BM100" i="1"/>
  <c r="BJ99" i="1"/>
  <c r="BK99" i="1"/>
  <c r="BN99" i="1"/>
  <c r="BK98" i="1"/>
  <c r="BN98" i="1"/>
  <c r="BM98" i="1"/>
  <c r="BQ98" i="1" s="1"/>
  <c r="BJ54" i="1"/>
  <c r="BQ54" i="1" s="1"/>
  <c r="BN54" i="1"/>
  <c r="BK54" i="1"/>
  <c r="GX112" i="1"/>
  <c r="BA130" i="1"/>
  <c r="GN130" i="1" s="1"/>
  <c r="BA132" i="1"/>
  <c r="GN132" i="1" s="1"/>
  <c r="DT110" i="1"/>
  <c r="GX110" i="1"/>
  <c r="BA110" i="1"/>
  <c r="GN110" i="1" s="1"/>
  <c r="GU108" i="1"/>
  <c r="GX128" i="1"/>
  <c r="BA128" i="1"/>
  <c r="GN128" i="1" s="1"/>
  <c r="BA108" i="1"/>
  <c r="GN108" i="1" s="1"/>
  <c r="DT126" i="1"/>
  <c r="DT128" i="1"/>
  <c r="DT102" i="1"/>
  <c r="DT106" i="1"/>
  <c r="GU106" i="1"/>
  <c r="BA126" i="1"/>
  <c r="GN126" i="1" s="1"/>
  <c r="BA106" i="1"/>
  <c r="GN106" i="1" s="1"/>
  <c r="DT104" i="1"/>
  <c r="GU104" i="1"/>
  <c r="DT54" i="1"/>
  <c r="DT124" i="1"/>
  <c r="BA98" i="1"/>
  <c r="GN98" i="1" s="1"/>
  <c r="BA104" i="1"/>
  <c r="GN104" i="1" s="1"/>
  <c r="BA124" i="1"/>
  <c r="GN124" i="1" s="1"/>
  <c r="GU100" i="1"/>
  <c r="GX102" i="1"/>
  <c r="BA102" i="1"/>
  <c r="GN102" i="1" s="1"/>
  <c r="GU122" i="1"/>
  <c r="DT122" i="1"/>
  <c r="BA122" i="1"/>
  <c r="GN122" i="1" s="1"/>
  <c r="DT100" i="1"/>
  <c r="GU98" i="1"/>
  <c r="DT99" i="1"/>
  <c r="BA100" i="1"/>
  <c r="GN100" i="1" s="1"/>
  <c r="GU56" i="1"/>
  <c r="BA99" i="1"/>
  <c r="GN99" i="1" s="1"/>
  <c r="DT98" i="1"/>
  <c r="BA46" i="1"/>
  <c r="GN46" i="1" s="1"/>
  <c r="BA54" i="1"/>
  <c r="GN54" i="1" s="1"/>
  <c r="JT52" i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R36" i="1" l="1"/>
  <c r="BQ36" i="1"/>
  <c r="BO36" i="1"/>
  <c r="BP33" i="1"/>
  <c r="BO33" i="1"/>
  <c r="BR33" i="1"/>
  <c r="BP128" i="1"/>
  <c r="BO128" i="1"/>
  <c r="BR128" i="1"/>
  <c r="BQ126" i="1"/>
  <c r="BR126" i="1"/>
  <c r="BO126" i="1"/>
  <c r="BR124" i="1"/>
  <c r="BP124" i="1"/>
  <c r="BO124" i="1"/>
  <c r="BQ124" i="1"/>
  <c r="BQ122" i="1"/>
  <c r="BP122" i="1"/>
  <c r="BO122" i="1"/>
  <c r="BR122" i="1"/>
  <c r="BP112" i="1"/>
  <c r="BR112" i="1"/>
  <c r="BO112" i="1"/>
  <c r="BO110" i="1"/>
  <c r="BR110" i="1"/>
  <c r="BP110" i="1"/>
  <c r="HZ9" i="1"/>
  <c r="BQ108" i="1"/>
  <c r="BP108" i="1"/>
  <c r="BO108" i="1"/>
  <c r="BR108" i="1"/>
  <c r="BP106" i="1"/>
  <c r="BO106" i="1"/>
  <c r="BO104" i="1"/>
  <c r="BR106" i="1"/>
  <c r="BR104" i="1"/>
  <c r="BP104" i="1"/>
  <c r="BO102" i="1"/>
  <c r="BR102" i="1"/>
  <c r="BQ102" i="1"/>
  <c r="BO100" i="1"/>
  <c r="BR100" i="1"/>
  <c r="BP98" i="1"/>
  <c r="BQ100" i="1"/>
  <c r="BP99" i="1"/>
  <c r="BR99" i="1"/>
  <c r="BQ99" i="1"/>
  <c r="BO99" i="1"/>
  <c r="BO98" i="1"/>
  <c r="BR98" i="1"/>
  <c r="BR54" i="1"/>
  <c r="BO54" i="1"/>
  <c r="BP54" i="1"/>
  <c r="AK150" i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9" i="1" a="1"/>
  <c r="KC9" i="1" s="1"/>
  <c r="KE9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42" i="1" l="1"/>
  <c r="IN140" i="1"/>
  <c r="IN141" i="1"/>
  <c r="IN139" i="1"/>
  <c r="IN125" i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V140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IV139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8" i="1" l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87" i="1"/>
  <c r="IV74" i="1"/>
  <c r="IQ39" i="7"/>
  <c r="IV73" i="1"/>
  <c r="IT37" i="7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JA72" i="1"/>
  <c r="IV77" i="1"/>
  <c r="JA71" i="1"/>
  <c r="IZ71" i="1"/>
  <c r="IV32" i="1"/>
  <c r="JA36" i="1"/>
  <c r="IV37" i="1"/>
  <c r="IV31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JA18" i="1"/>
  <c r="IV27" i="1"/>
  <c r="JA22" i="1"/>
  <c r="JA33" i="1"/>
  <c r="JA54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IU139" i="1" s="1"/>
  <c r="AP130" i="1"/>
  <c r="AP137" i="1"/>
  <c r="AO137" i="1"/>
  <c r="AO127" i="1"/>
  <c r="AP127" i="1"/>
  <c r="AP131" i="1"/>
  <c r="AO131" i="1"/>
  <c r="IU140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IV40" i="1" l="1"/>
  <c r="IV57" i="1"/>
  <c r="IV47" i="1"/>
  <c r="IV58" i="1"/>
  <c r="IV59" i="1"/>
  <c r="IV71" i="1"/>
  <c r="IV61" i="1"/>
  <c r="IV38" i="1"/>
  <c r="IV21" i="1"/>
  <c r="HN15" i="1"/>
  <c r="IV26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2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JV31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50" i="1" l="1"/>
  <c r="JV26" i="1"/>
  <c r="JV51" i="1"/>
  <c r="JV35" i="1"/>
  <c r="JV34" i="1"/>
  <c r="JV43" i="1"/>
  <c r="JV49" i="1"/>
  <c r="JV48" i="1"/>
  <c r="JV47" i="1"/>
  <c r="JV45" i="1"/>
  <c r="JV42" i="1"/>
  <c r="JV24" i="1"/>
  <c r="JV30" i="1"/>
  <c r="JV41" i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20" i="1" l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BU33" i="1" l="1"/>
  <c r="CA33" i="1"/>
  <c r="BX33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CB33" i="1" l="1"/>
  <c r="CG33" i="1" s="1"/>
  <c r="CC33" i="1"/>
  <c r="CE33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GZ12" i="1"/>
  <c r="GZ10" i="1"/>
  <c r="EJ20" i="1"/>
  <c r="EL20" i="1"/>
  <c r="EB21" i="1"/>
  <c r="GI14" i="1"/>
  <c r="GE14" i="1"/>
  <c r="GF14" i="1" s="1"/>
  <c r="EK20" i="1"/>
  <c r="EF20" i="1"/>
  <c r="GR12" i="1"/>
  <c r="GT12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CJ33" i="1" l="1"/>
  <c r="CM33" i="1" s="1"/>
  <c r="CK33" i="1"/>
  <c r="CF33" i="1"/>
  <c r="CL33" i="1" s="1"/>
  <c r="CH33" i="1"/>
  <c r="HA10" i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GZ11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CA36" i="1" l="1"/>
  <c r="BU36" i="1"/>
  <c r="BX36" i="1"/>
  <c r="CN33" i="1"/>
  <c r="CP33" i="1" s="1"/>
  <c r="CR33" i="1"/>
  <c r="HD10" i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CC36" i="1" l="1"/>
  <c r="CE36" i="1"/>
  <c r="CB36" i="1"/>
  <c r="CG36" i="1" s="1"/>
  <c r="CQ33" i="1"/>
  <c r="IC40" i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CJ36" i="1" l="1"/>
  <c r="CM36" i="1" s="1"/>
  <c r="CK36" i="1"/>
  <c r="CH36" i="1"/>
  <c r="CF36" i="1"/>
  <c r="CL36" i="1" s="1"/>
  <c r="CS33" i="1"/>
  <c r="CU33" i="1" s="1"/>
  <c r="HM41" i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CN36" i="1" l="1"/>
  <c r="CP36" i="1" s="1"/>
  <c r="CR36" i="1"/>
  <c r="CT33" i="1"/>
  <c r="CV33" i="1" s="1"/>
  <c r="CY33" i="1"/>
  <c r="CZ33" i="1"/>
  <c r="DA33" i="1"/>
  <c r="HU42" i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CQ36" i="1" l="1"/>
  <c r="CX33" i="1"/>
  <c r="DQ33" i="1" s="1"/>
  <c r="CW33" i="1"/>
  <c r="DP33" i="1" s="1"/>
  <c r="DO33" i="1"/>
  <c r="DU33" i="1" s="1"/>
  <c r="DL33" i="1"/>
  <c r="IC43" i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CS36" i="1" l="1"/>
  <c r="CT36" i="1" s="1"/>
  <c r="DM33" i="1"/>
  <c r="DN33" i="1"/>
  <c r="DS33" i="1"/>
  <c r="DY33" i="1" s="1"/>
  <c r="DV33" i="1"/>
  <c r="DW33" i="1"/>
  <c r="DX33" i="1" s="1"/>
  <c r="DR33" i="1"/>
  <c r="FJ21" i="1"/>
  <c r="GQ21" i="1" s="1"/>
  <c r="IE44" i="1"/>
  <c r="HN44" i="1"/>
  <c r="GA20" i="1"/>
  <c r="GP20" i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CU36" i="1" l="1"/>
  <c r="CY36" i="1" s="1"/>
  <c r="CV36" i="1"/>
  <c r="CW36" i="1"/>
  <c r="CX36" i="1"/>
  <c r="EA33" i="1"/>
  <c r="DZ33" i="1"/>
  <c r="ID45" i="1"/>
  <c r="HN45" i="1"/>
  <c r="GP21" i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DA36" i="1" l="1"/>
  <c r="DQ36" i="1" s="1"/>
  <c r="CZ36" i="1"/>
  <c r="DP36" i="1" s="1"/>
  <c r="DN36" i="1"/>
  <c r="DM36" i="1"/>
  <c r="DL36" i="1"/>
  <c r="DO36" i="1"/>
  <c r="EC33" i="1"/>
  <c r="EB33" i="1"/>
  <c r="ED33" i="1"/>
  <c r="IA46" i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DS36" i="1" l="1"/>
  <c r="DU36" i="1"/>
  <c r="DW36" i="1"/>
  <c r="DX36" i="1" s="1"/>
  <c r="DV36" i="1"/>
  <c r="DR36" i="1"/>
  <c r="EL33" i="1"/>
  <c r="EH33" i="1"/>
  <c r="EJ33" i="1"/>
  <c r="EI33" i="1"/>
  <c r="EK33" i="1"/>
  <c r="EE33" i="1"/>
  <c r="EG33" i="1"/>
  <c r="EF33" i="1"/>
  <c r="HK47" i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DY36" i="1" l="1"/>
  <c r="DZ36" i="1"/>
  <c r="EA36" i="1"/>
  <c r="EN33" i="1"/>
  <c r="EO33" i="1"/>
  <c r="ER33" i="1" s="1"/>
  <c r="EM33" i="1"/>
  <c r="HK48" i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C36" i="1" l="1"/>
  <c r="ED36" i="1"/>
  <c r="EB36" i="1"/>
  <c r="EQ33" i="1"/>
  <c r="EZ33" i="1" s="1"/>
  <c r="FC33" i="1" s="1"/>
  <c r="EP33" i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EL36" i="1" l="1"/>
  <c r="EI36" i="1"/>
  <c r="EH36" i="1"/>
  <c r="EJ36" i="1"/>
  <c r="EK36" i="1"/>
  <c r="EF36" i="1"/>
  <c r="EE36" i="1"/>
  <c r="EG36" i="1"/>
  <c r="EV33" i="1"/>
  <c r="FA33" i="1"/>
  <c r="FB33" i="1"/>
  <c r="FF33" i="1"/>
  <c r="FI33" i="1" s="1"/>
  <c r="FY33" i="1"/>
  <c r="HE33" i="1" s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EN36" i="1" l="1"/>
  <c r="EM36" i="1"/>
  <c r="EO36" i="1"/>
  <c r="ER36" i="1" s="1"/>
  <c r="FL33" i="1"/>
  <c r="FO33" i="1"/>
  <c r="HB33" i="1"/>
  <c r="HF33" i="1" s="1"/>
  <c r="HG33" i="1" s="1"/>
  <c r="FD33" i="1"/>
  <c r="FV33" i="1" s="1"/>
  <c r="FE33" i="1"/>
  <c r="EX33" i="1"/>
  <c r="EW33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EP36" i="1" l="1"/>
  <c r="EQ36" i="1"/>
  <c r="EZ36" i="1" s="1"/>
  <c r="FC36" i="1" s="1"/>
  <c r="FH33" i="1"/>
  <c r="HH33" i="1"/>
  <c r="FU33" i="1"/>
  <c r="FG3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FF36" i="1" l="1"/>
  <c r="FI36" i="1" s="1"/>
  <c r="FY36" i="1"/>
  <c r="HE36" i="1" s="1"/>
  <c r="FB36" i="1"/>
  <c r="FA36" i="1"/>
  <c r="EV36" i="1"/>
  <c r="FJ33" i="1"/>
  <c r="GQ33" i="1" s="1"/>
  <c r="FW33" i="1"/>
  <c r="FX33" i="1" s="1"/>
  <c r="FZ33" i="1" s="1"/>
  <c r="FM33" i="1"/>
  <c r="FN33" i="1" s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48" i="1"/>
  <c r="BE48" i="1" s="1"/>
  <c r="FE36" i="1" l="1"/>
  <c r="EW36" i="1"/>
  <c r="FD36" i="1"/>
  <c r="FV36" i="1" s="1"/>
  <c r="HB36" i="1"/>
  <c r="HF36" i="1" s="1"/>
  <c r="HG36" i="1" s="1"/>
  <c r="EX36" i="1"/>
  <c r="FL36" i="1"/>
  <c r="FO36" i="1"/>
  <c r="GA33" i="1"/>
  <c r="GP33" i="1"/>
  <c r="GD33" i="1"/>
  <c r="FR33" i="1"/>
  <c r="FP33" i="1"/>
  <c r="FQ33" i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HH36" i="1" l="1"/>
  <c r="FH36" i="1"/>
  <c r="FS33" i="1"/>
  <c r="FU36" i="1"/>
  <c r="FG36" i="1"/>
  <c r="GB33" i="1"/>
  <c r="GC33" i="1"/>
  <c r="GO33" i="1"/>
  <c r="FT33" i="1"/>
  <c r="IA55" i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GD32" i="1" s="1"/>
  <c r="IE55" i="1"/>
  <c r="HK55" i="1"/>
  <c r="HS56" i="1" s="1"/>
  <c r="HL56" i="1" s="1"/>
  <c r="HY56" i="1" s="1"/>
  <c r="HM55" i="1"/>
  <c r="FM32" i="1"/>
  <c r="FN32" i="1" s="1"/>
  <c r="FQ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GA32" i="1" l="1"/>
  <c r="FP32" i="1"/>
  <c r="GC32" i="1" s="1"/>
  <c r="FW36" i="1"/>
  <c r="FX36" i="1" s="1"/>
  <c r="FZ36" i="1" s="1"/>
  <c r="FM36" i="1"/>
  <c r="FN36" i="1" s="1"/>
  <c r="FJ36" i="1"/>
  <c r="GQ36" i="1" s="1"/>
  <c r="GI33" i="1"/>
  <c r="FR32" i="1"/>
  <c r="FT32" i="1" s="1"/>
  <c r="GH33" i="1"/>
  <c r="GE33" i="1"/>
  <c r="GF33" i="1" s="1"/>
  <c r="GG33" i="1"/>
  <c r="GP32" i="1"/>
  <c r="HR36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BB54" i="1" s="1"/>
  <c r="BE54" i="1" s="1"/>
  <c r="EG40" i="1" l="1"/>
  <c r="EJ40" i="1"/>
  <c r="EH40" i="1"/>
  <c r="EI40" i="1"/>
  <c r="GB32" i="1"/>
  <c r="GE32" i="1" s="1"/>
  <c r="GF32" i="1" s="1"/>
  <c r="GO32" i="1"/>
  <c r="HM36" i="1" s="1"/>
  <c r="GP36" i="1"/>
  <c r="GD36" i="1"/>
  <c r="GA36" i="1"/>
  <c r="FR36" i="1"/>
  <c r="FP36" i="1"/>
  <c r="FQ36" i="1"/>
  <c r="FS32" i="1"/>
  <c r="GY33" i="1"/>
  <c r="GZ33" i="1" s="1"/>
  <c r="GS33" i="1"/>
  <c r="GT33" i="1" s="1"/>
  <c r="BU54" i="1"/>
  <c r="CA54" i="1"/>
  <c r="BX54" i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EM40" i="1"/>
  <c r="EN40" i="1"/>
  <c r="EO40" i="1"/>
  <c r="ER40" i="1" s="1"/>
  <c r="AS55" i="1"/>
  <c r="AT55" i="1" s="1"/>
  <c r="GH32" i="1" l="1"/>
  <c r="GI32" i="1"/>
  <c r="GG32" i="1"/>
  <c r="EX37" i="1"/>
  <c r="FS36" i="1"/>
  <c r="GC36" i="1"/>
  <c r="GB36" i="1"/>
  <c r="GO36" i="1"/>
  <c r="FT36" i="1"/>
  <c r="HA33" i="1"/>
  <c r="HD33" i="1" s="1"/>
  <c r="GR33" i="1"/>
  <c r="CC54" i="1"/>
  <c r="CE54" i="1"/>
  <c r="CB54" i="1"/>
  <c r="CG54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HA30" i="1"/>
  <c r="HC30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GY32" i="1" l="1"/>
  <c r="GZ32" i="1" s="1"/>
  <c r="IE36" i="1" s="1"/>
  <c r="GS32" i="1"/>
  <c r="HY36" i="1" s="1"/>
  <c r="GI36" i="1"/>
  <c r="GG36" i="1"/>
  <c r="GE36" i="1"/>
  <c r="GF36" i="1" s="1"/>
  <c r="GH36" i="1"/>
  <c r="HC33" i="1"/>
  <c r="CJ54" i="1"/>
  <c r="CM54" i="1" s="1"/>
  <c r="CF54" i="1"/>
  <c r="CL54" i="1" s="1"/>
  <c r="CK54" i="1"/>
  <c r="CH54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IA36" i="1"/>
  <c r="FL37" i="1"/>
  <c r="HH37" i="1"/>
  <c r="FD37" i="1"/>
  <c r="FG37" i="1" s="1"/>
  <c r="FW37" i="1" s="1"/>
  <c r="FE37" i="1"/>
  <c r="FH37" i="1" s="1"/>
  <c r="FO37" i="1"/>
  <c r="DL46" i="1"/>
  <c r="FG38" i="1"/>
  <c r="FW38" i="1" s="1"/>
  <c r="FX38" i="1" s="1"/>
  <c r="FZ38" i="1" s="1"/>
  <c r="CW46" i="1"/>
  <c r="DP46" i="1" s="1"/>
  <c r="CX46" i="1"/>
  <c r="DN46" i="1" s="1"/>
  <c r="HA31" i="1"/>
  <c r="HD31" i="1" s="1"/>
  <c r="CP49" i="1"/>
  <c r="CS49" i="1" s="1"/>
  <c r="CU49" i="1" s="1"/>
  <c r="GZ31" i="1"/>
  <c r="IE30" i="1" s="1"/>
  <c r="GR31" i="1"/>
  <c r="IB30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GT32" i="1" l="1"/>
  <c r="IC36" i="1" s="1"/>
  <c r="HA32" i="1"/>
  <c r="HD32" i="1" s="1"/>
  <c r="GR32" i="1"/>
  <c r="IB36" i="1" s="1"/>
  <c r="FM38" i="1"/>
  <c r="FN38" i="1" s="1"/>
  <c r="FP38" i="1" s="1"/>
  <c r="GY36" i="1"/>
  <c r="GZ36" i="1" s="1"/>
  <c r="GS36" i="1"/>
  <c r="CN54" i="1"/>
  <c r="CQ54" i="1" s="1"/>
  <c r="CR54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FR38" i="1" l="1"/>
  <c r="FQ38" i="1"/>
  <c r="GR36" i="1"/>
  <c r="GT36" i="1"/>
  <c r="HA36" i="1"/>
  <c r="CP54" i="1"/>
  <c r="CS54" i="1" s="1"/>
  <c r="CU54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DP48" i="1"/>
  <c r="EO44" i="1"/>
  <c r="ER44" i="1" s="1"/>
  <c r="EN44" i="1"/>
  <c r="EM44" i="1"/>
  <c r="FG40" i="1"/>
  <c r="FV40" i="1"/>
  <c r="DY47" i="1"/>
  <c r="AS59" i="1"/>
  <c r="AT59" i="1" s="1"/>
  <c r="BB56" i="1"/>
  <c r="BE56" i="1" s="1"/>
  <c r="FT38" i="1" l="1"/>
  <c r="FS38" i="1"/>
  <c r="HD36" i="1"/>
  <c r="HC36" i="1"/>
  <c r="CT54" i="1"/>
  <c r="CY54" i="1"/>
  <c r="CZ54" i="1"/>
  <c r="DA54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X54" i="1" l="1"/>
  <c r="CV54" i="1"/>
  <c r="CW54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DP54" i="1" l="1"/>
  <c r="DM54" i="1"/>
  <c r="DO54" i="1"/>
  <c r="DL54" i="1"/>
  <c r="DN54" i="1"/>
  <c r="DQ54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DV54" i="1" l="1"/>
  <c r="DR54" i="1"/>
  <c r="DW54" i="1"/>
  <c r="DX54" i="1" s="1"/>
  <c r="DS54" i="1"/>
  <c r="DU54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EA54" i="1" l="1"/>
  <c r="DY54" i="1"/>
  <c r="DZ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ED54" i="1" l="1"/>
  <c r="EC54" i="1"/>
  <c r="EB54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C39" i="1" s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HD39" i="1" l="1"/>
  <c r="EG54" i="1"/>
  <c r="EK54" i="1"/>
  <c r="EF54" i="1"/>
  <c r="EE54" i="1"/>
  <c r="EH54" i="1"/>
  <c r="EL54" i="1"/>
  <c r="EI54" i="1"/>
  <c r="EJ54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EO54" i="1" l="1"/>
  <c r="ER54" i="1" s="1"/>
  <c r="EM54" i="1"/>
  <c r="EN54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EQ54" i="1" l="1"/>
  <c r="EZ54" i="1" s="1"/>
  <c r="FC54" i="1" s="1"/>
  <c r="EP54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FB54" i="1" l="1"/>
  <c r="FA54" i="1"/>
  <c r="EV54" i="1"/>
  <c r="FY54" i="1"/>
  <c r="HE54" i="1" s="1"/>
  <c r="FF54" i="1"/>
  <c r="FI54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HB54" i="1" l="1"/>
  <c r="HF54" i="1" s="1"/>
  <c r="HG54" i="1" s="1"/>
  <c r="FE54" i="1"/>
  <c r="FD54" i="1"/>
  <c r="FV54" i="1" s="1"/>
  <c r="EW54" i="1"/>
  <c r="EX54" i="1"/>
  <c r="FL54" i="1"/>
  <c r="FO54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FH54" i="1" l="1"/>
  <c r="FU54" i="1"/>
  <c r="FG54" i="1"/>
  <c r="HH54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FW54" i="1" l="1"/>
  <c r="FX54" i="1" s="1"/>
  <c r="FZ54" i="1" s="1"/>
  <c r="FJ54" i="1"/>
  <c r="GQ54" i="1" s="1"/>
  <c r="HQ9" i="1" s="1"/>
  <c r="FM54" i="1"/>
  <c r="FN54" i="1" s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FR54" i="1" l="1"/>
  <c r="FP54" i="1"/>
  <c r="FQ54" i="1"/>
  <c r="GA54" i="1"/>
  <c r="GP54" i="1"/>
  <c r="HR9" i="1" s="1"/>
  <c r="GD54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FS54" i="1" l="1"/>
  <c r="GB54" i="1"/>
  <c r="GC54" i="1"/>
  <c r="GO54" i="1"/>
  <c r="HM9" i="1" s="1"/>
  <c r="FT54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GE54" i="1" l="1"/>
  <c r="GF54" i="1" s="1"/>
  <c r="GH54" i="1"/>
  <c r="GG54" i="1"/>
  <c r="GI54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GY54" i="1" l="1"/>
  <c r="GS5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GT54" i="1" l="1"/>
  <c r="IC9" i="1" s="1"/>
  <c r="GR54" i="1"/>
  <c r="IB9" i="1" s="1"/>
  <c r="HA54" i="1"/>
  <c r="HY9" i="1"/>
  <c r="GZ54" i="1"/>
  <c r="IE9" i="1" s="1"/>
  <c r="IA9" i="1"/>
  <c r="HQ27" i="1"/>
  <c r="HQ13" i="1"/>
  <c r="HQ1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HD54" i="1" l="1"/>
  <c r="HC54" i="1"/>
  <c r="HR27" i="1"/>
  <c r="HR13" i="1"/>
  <c r="HR1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27" i="1" l="1"/>
  <c r="HM13" i="1"/>
  <c r="HM1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IA13" i="1" l="1"/>
  <c r="HY13" i="1"/>
  <c r="HY11" i="1"/>
  <c r="IA1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A27" i="1"/>
  <c r="GT56" i="1"/>
  <c r="HY27" i="1"/>
  <c r="HA56" i="1"/>
  <c r="HD56" i="1" s="1"/>
  <c r="GR56" i="1"/>
  <c r="GZ55" i="1"/>
  <c r="GT55" i="1"/>
  <c r="GR55" i="1"/>
  <c r="HA55" i="1"/>
  <c r="GS57" i="1"/>
  <c r="HY33" i="1" s="1"/>
  <c r="GY57" i="1"/>
  <c r="IA33" i="1" s="1"/>
  <c r="AS79" i="1"/>
  <c r="AT79" i="1" s="1"/>
  <c r="IE27" i="1" l="1"/>
  <c r="IE13" i="1"/>
  <c r="IB27" i="1"/>
  <c r="IB13" i="1"/>
  <c r="IC27" i="1"/>
  <c r="IC13" i="1"/>
  <c r="IB11" i="1"/>
  <c r="IE11" i="1"/>
  <c r="IC1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T57" i="1"/>
  <c r="IC33" i="1" s="1"/>
  <c r="GR57" i="1"/>
  <c r="IB33" i="1" s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BB98" i="1" s="1"/>
  <c r="BE98" i="1" s="1"/>
  <c r="CA98" i="1" l="1"/>
  <c r="BU98" i="1"/>
  <c r="BX98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BB99" i="1" s="1"/>
  <c r="BE99" i="1" s="1"/>
  <c r="CA99" i="1" l="1"/>
  <c r="BX99" i="1"/>
  <c r="BU99" i="1"/>
  <c r="CB98" i="1"/>
  <c r="CG98" i="1" s="1"/>
  <c r="CC98" i="1"/>
  <c r="CE98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BB100" i="1" s="1"/>
  <c r="BE100" i="1" s="1"/>
  <c r="CJ98" i="1" l="1"/>
  <c r="CM98" i="1" s="1"/>
  <c r="BX100" i="1"/>
  <c r="CA100" i="1"/>
  <c r="BU100" i="1"/>
  <c r="CE99" i="1"/>
  <c r="CC99" i="1"/>
  <c r="CB99" i="1"/>
  <c r="CG99" i="1" s="1"/>
  <c r="CF98" i="1"/>
  <c r="CL98" i="1" s="1"/>
  <c r="CH98" i="1"/>
  <c r="CK98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CB100" i="1" l="1"/>
  <c r="CG100" i="1" s="1"/>
  <c r="CC100" i="1"/>
  <c r="CE100" i="1"/>
  <c r="CK99" i="1"/>
  <c r="CH99" i="1"/>
  <c r="CF99" i="1"/>
  <c r="CL99" i="1" s="1"/>
  <c r="CJ99" i="1"/>
  <c r="CN98" i="1"/>
  <c r="CP98" i="1" s="1"/>
  <c r="CR98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BB102" i="1" s="1"/>
  <c r="BE102" i="1" s="1"/>
  <c r="BX102" i="1" l="1"/>
  <c r="CA102" i="1"/>
  <c r="BU102" i="1"/>
  <c r="CJ100" i="1"/>
  <c r="CM100" i="1" s="1"/>
  <c r="CQ98" i="1"/>
  <c r="CS98" i="1" s="1"/>
  <c r="CU98" i="1" s="1"/>
  <c r="CK100" i="1"/>
  <c r="CF100" i="1"/>
  <c r="CL100" i="1" s="1"/>
  <c r="CH100" i="1"/>
  <c r="CM99" i="1"/>
  <c r="CR99" i="1"/>
  <c r="CN99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CC102" i="1" l="1"/>
  <c r="CB102" i="1"/>
  <c r="CG102" i="1" s="1"/>
  <c r="CE102" i="1"/>
  <c r="CQ99" i="1"/>
  <c r="CN100" i="1"/>
  <c r="CQ100" i="1" s="1"/>
  <c r="CR100" i="1"/>
  <c r="CT98" i="1"/>
  <c r="CV98" i="1" s="1"/>
  <c r="CP99" i="1"/>
  <c r="CY98" i="1"/>
  <c r="CZ98" i="1"/>
  <c r="DA98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BB104" i="1" s="1"/>
  <c r="BE104" i="1" s="1"/>
  <c r="CJ102" i="1" l="1"/>
  <c r="CM102" i="1" s="1"/>
  <c r="BU104" i="1"/>
  <c r="BX104" i="1"/>
  <c r="CA104" i="1"/>
  <c r="CF102" i="1"/>
  <c r="CL102" i="1" s="1"/>
  <c r="CK102" i="1"/>
  <c r="CH102" i="1"/>
  <c r="CS99" i="1"/>
  <c r="CT99" i="1" s="1"/>
  <c r="CP100" i="1"/>
  <c r="CS100" i="1" s="1"/>
  <c r="CX98" i="1"/>
  <c r="DN98" i="1" s="1"/>
  <c r="CW98" i="1"/>
  <c r="DP98" i="1" s="1"/>
  <c r="DO98" i="1"/>
  <c r="DL98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CB104" i="1" l="1"/>
  <c r="CG104" i="1" s="1"/>
  <c r="CE104" i="1"/>
  <c r="CC104" i="1"/>
  <c r="DQ98" i="1"/>
  <c r="CN102" i="1"/>
  <c r="CP102" i="1" s="1"/>
  <c r="CU99" i="1"/>
  <c r="CZ99" i="1" s="1"/>
  <c r="CR102" i="1"/>
  <c r="CU100" i="1"/>
  <c r="CT100" i="1"/>
  <c r="DM98" i="1"/>
  <c r="CV99" i="1"/>
  <c r="CW99" i="1"/>
  <c r="CX99" i="1"/>
  <c r="DW98" i="1"/>
  <c r="DX98" i="1" s="1"/>
  <c r="DV98" i="1"/>
  <c r="DR98" i="1"/>
  <c r="DS98" i="1"/>
  <c r="DU98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BB106" i="1" s="1"/>
  <c r="BE106" i="1" s="1"/>
  <c r="CQ102" i="1" l="1"/>
  <c r="CS102" i="1" s="1"/>
  <c r="CU102" i="1" s="1"/>
  <c r="BX106" i="1"/>
  <c r="BU106" i="1"/>
  <c r="CA106" i="1"/>
  <c r="CJ104" i="1"/>
  <c r="CM104" i="1" s="1"/>
  <c r="CK104" i="1"/>
  <c r="CH104" i="1"/>
  <c r="CF104" i="1"/>
  <c r="CL104" i="1" s="1"/>
  <c r="DA99" i="1"/>
  <c r="DQ99" i="1" s="1"/>
  <c r="CY99" i="1"/>
  <c r="DO99" i="1" s="1"/>
  <c r="DY98" i="1"/>
  <c r="CV100" i="1"/>
  <c r="CW100" i="1"/>
  <c r="CX100" i="1"/>
  <c r="CY100" i="1"/>
  <c r="CZ100" i="1"/>
  <c r="DA100" i="1"/>
  <c r="DN99" i="1"/>
  <c r="DM99" i="1"/>
  <c r="DL99" i="1"/>
  <c r="DP99" i="1"/>
  <c r="DZ98" i="1"/>
  <c r="EA98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CR104" i="1" l="1"/>
  <c r="CE106" i="1"/>
  <c r="CB106" i="1"/>
  <c r="CG106" i="1" s="1"/>
  <c r="CC106" i="1"/>
  <c r="CN104" i="1"/>
  <c r="CP104" i="1" s="1"/>
  <c r="CT102" i="1"/>
  <c r="CV102" i="1" s="1"/>
  <c r="DA102" i="1"/>
  <c r="CY102" i="1"/>
  <c r="CZ102" i="1"/>
  <c r="DQ100" i="1"/>
  <c r="DN100" i="1"/>
  <c r="DP100" i="1"/>
  <c r="DM100" i="1"/>
  <c r="DO100" i="1"/>
  <c r="DL100" i="1"/>
  <c r="DR99" i="1"/>
  <c r="DW99" i="1"/>
  <c r="DX99" i="1" s="1"/>
  <c r="DV99" i="1"/>
  <c r="DU99" i="1"/>
  <c r="DS99" i="1"/>
  <c r="EC98" i="1"/>
  <c r="ED98" i="1"/>
  <c r="EB98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BB108" i="1" s="1"/>
  <c r="BE108" i="1" s="1"/>
  <c r="BU108" i="1" l="1"/>
  <c r="CA108" i="1"/>
  <c r="BX108" i="1"/>
  <c r="CF106" i="1"/>
  <c r="CL106" i="1" s="1"/>
  <c r="CH106" i="1"/>
  <c r="CK106" i="1"/>
  <c r="CJ106" i="1"/>
  <c r="CQ104" i="1"/>
  <c r="CX102" i="1"/>
  <c r="DQ102" i="1" s="1"/>
  <c r="CW102" i="1"/>
  <c r="DM102" i="1" s="1"/>
  <c r="DO102" i="1"/>
  <c r="DU102" i="1" s="1"/>
  <c r="DL102" i="1"/>
  <c r="DW100" i="1"/>
  <c r="DX100" i="1" s="1"/>
  <c r="DV100" i="1"/>
  <c r="DR100" i="1"/>
  <c r="DU100" i="1"/>
  <c r="DS100" i="1"/>
  <c r="EA99" i="1"/>
  <c r="DY99" i="1"/>
  <c r="DZ99" i="1"/>
  <c r="EI98" i="1"/>
  <c r="EL98" i="1"/>
  <c r="EJ98" i="1"/>
  <c r="EH98" i="1"/>
  <c r="EG98" i="1"/>
  <c r="EK98" i="1"/>
  <c r="EF98" i="1"/>
  <c r="EE98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CE108" i="1" l="1"/>
  <c r="CB108" i="1"/>
  <c r="CG108" i="1" s="1"/>
  <c r="CC108" i="1"/>
  <c r="DN102" i="1"/>
  <c r="CM106" i="1"/>
  <c r="CR106" i="1"/>
  <c r="CN106" i="1"/>
  <c r="DS102" i="1"/>
  <c r="DY102" i="1" s="1"/>
  <c r="DP102" i="1"/>
  <c r="CS104" i="1"/>
  <c r="CU104" i="1" s="1"/>
  <c r="DW102" i="1"/>
  <c r="DX102" i="1" s="1"/>
  <c r="DR102" i="1"/>
  <c r="DV102" i="1"/>
  <c r="DY100" i="1"/>
  <c r="DZ100" i="1"/>
  <c r="EA100" i="1"/>
  <c r="EC99" i="1"/>
  <c r="EB99" i="1"/>
  <c r="ED99" i="1"/>
  <c r="EO98" i="1"/>
  <c r="ER98" i="1" s="1"/>
  <c r="EN98" i="1"/>
  <c r="EM9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CQ106" i="1" l="1"/>
  <c r="BU110" i="1"/>
  <c r="BX110" i="1"/>
  <c r="CA110" i="1"/>
  <c r="CF108" i="1"/>
  <c r="CL108" i="1" s="1"/>
  <c r="CK108" i="1"/>
  <c r="CH108" i="1"/>
  <c r="CJ108" i="1"/>
  <c r="DZ102" i="1"/>
  <c r="CP106" i="1"/>
  <c r="CT104" i="1"/>
  <c r="CW104" i="1" s="1"/>
  <c r="CY104" i="1"/>
  <c r="CZ104" i="1"/>
  <c r="DA104" i="1"/>
  <c r="EA102" i="1"/>
  <c r="EB100" i="1"/>
  <c r="ED100" i="1"/>
  <c r="EC100" i="1"/>
  <c r="EL99" i="1"/>
  <c r="EI99" i="1"/>
  <c r="EH99" i="1"/>
  <c r="EJ99" i="1"/>
  <c r="EK99" i="1"/>
  <c r="EF99" i="1"/>
  <c r="EE99" i="1"/>
  <c r="EG99" i="1"/>
  <c r="EQ98" i="1"/>
  <c r="EZ98" i="1" s="1"/>
  <c r="FC98" i="1" s="1"/>
  <c r="EP98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S106" i="1" l="1"/>
  <c r="CT106" i="1" s="1"/>
  <c r="CW106" i="1" s="1"/>
  <c r="CC110" i="1"/>
  <c r="CE110" i="1"/>
  <c r="CB110" i="1"/>
  <c r="CG110" i="1" s="1"/>
  <c r="EC102" i="1"/>
  <c r="EK102" i="1" s="1"/>
  <c r="CV104" i="1"/>
  <c r="DO104" i="1" s="1"/>
  <c r="CM108" i="1"/>
  <c r="CR108" i="1"/>
  <c r="CX104" i="1"/>
  <c r="DQ104" i="1" s="1"/>
  <c r="CN108" i="1"/>
  <c r="DP104" i="1"/>
  <c r="DM104" i="1"/>
  <c r="ED102" i="1"/>
  <c r="EB102" i="1"/>
  <c r="EK100" i="1"/>
  <c r="EG100" i="1"/>
  <c r="EE100" i="1"/>
  <c r="EF100" i="1"/>
  <c r="EL100" i="1"/>
  <c r="EJ100" i="1"/>
  <c r="EH100" i="1"/>
  <c r="EI100" i="1"/>
  <c r="EM99" i="1"/>
  <c r="EO99" i="1"/>
  <c r="ER99" i="1" s="1"/>
  <c r="EN99" i="1"/>
  <c r="FA98" i="1"/>
  <c r="EV98" i="1"/>
  <c r="FB98" i="1"/>
  <c r="FF98" i="1"/>
  <c r="FI98" i="1" s="1"/>
  <c r="FY98" i="1"/>
  <c r="HE98" i="1" s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U106" i="1" l="1"/>
  <c r="CZ106" i="1" s="1"/>
  <c r="DP106" i="1" s="1"/>
  <c r="DL104" i="1"/>
  <c r="BX112" i="1"/>
  <c r="BU112" i="1"/>
  <c r="CA112" i="1"/>
  <c r="EG102" i="1"/>
  <c r="EE102" i="1"/>
  <c r="CJ110" i="1"/>
  <c r="CM110" i="1" s="1"/>
  <c r="EF102" i="1"/>
  <c r="CP108" i="1"/>
  <c r="CK110" i="1"/>
  <c r="CH110" i="1"/>
  <c r="CF110" i="1"/>
  <c r="CL110" i="1" s="1"/>
  <c r="DU104" i="1"/>
  <c r="DN104" i="1"/>
  <c r="CV106" i="1"/>
  <c r="DL106" i="1" s="1"/>
  <c r="CX106" i="1"/>
  <c r="DN106" i="1" s="1"/>
  <c r="CQ108" i="1"/>
  <c r="DS104" i="1"/>
  <c r="DM106" i="1"/>
  <c r="EL102" i="1"/>
  <c r="EH102" i="1"/>
  <c r="EJ102" i="1"/>
  <c r="EI102" i="1"/>
  <c r="EM102" i="1"/>
  <c r="EO102" i="1"/>
  <c r="ER102" i="1" s="1"/>
  <c r="EN102" i="1"/>
  <c r="EN100" i="1"/>
  <c r="EO100" i="1"/>
  <c r="ER100" i="1" s="1"/>
  <c r="EM100" i="1"/>
  <c r="EQ99" i="1"/>
  <c r="EZ99" i="1" s="1"/>
  <c r="FC99" i="1" s="1"/>
  <c r="EP99" i="1"/>
  <c r="EX98" i="1"/>
  <c r="HB98" i="1"/>
  <c r="HF98" i="1" s="1"/>
  <c r="HG98" i="1" s="1"/>
  <c r="EW98" i="1"/>
  <c r="FE98" i="1"/>
  <c r="FD98" i="1"/>
  <c r="FV98" i="1" s="1"/>
  <c r="FL98" i="1"/>
  <c r="FO98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DA106" i="1" l="1"/>
  <c r="DQ106" i="1" s="1"/>
  <c r="CY106" i="1"/>
  <c r="DO106" i="1" s="1"/>
  <c r="DU106" i="1" s="1"/>
  <c r="DW104" i="1"/>
  <c r="DX104" i="1" s="1"/>
  <c r="CC112" i="1"/>
  <c r="CB112" i="1"/>
  <c r="CG112" i="1" s="1"/>
  <c r="CE112" i="1"/>
  <c r="DV104" i="1"/>
  <c r="DR104" i="1"/>
  <c r="CN110" i="1"/>
  <c r="CP110" i="1" s="1"/>
  <c r="CR110" i="1"/>
  <c r="DY104" i="1"/>
  <c r="CS108" i="1"/>
  <c r="CT108" i="1" s="1"/>
  <c r="DW106" i="1"/>
  <c r="DX106" i="1" s="1"/>
  <c r="DR106" i="1"/>
  <c r="DV106" i="1"/>
  <c r="EQ102" i="1"/>
  <c r="EZ102" i="1" s="1"/>
  <c r="FC102" i="1" s="1"/>
  <c r="EP102" i="1"/>
  <c r="EP100" i="1"/>
  <c r="EQ100" i="1"/>
  <c r="EZ100" i="1" s="1"/>
  <c r="FC100" i="1" s="1"/>
  <c r="FH98" i="1"/>
  <c r="FB99" i="1"/>
  <c r="EV99" i="1"/>
  <c r="FA99" i="1"/>
  <c r="FF99" i="1"/>
  <c r="FI99" i="1" s="1"/>
  <c r="FY99" i="1"/>
  <c r="HE99" i="1" s="1"/>
  <c r="FU98" i="1"/>
  <c r="FG98" i="1"/>
  <c r="HH98" i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CJ112" i="1" l="1"/>
  <c r="CM112" i="1" s="1"/>
  <c r="EA104" i="1"/>
  <c r="DZ104" i="1"/>
  <c r="DS106" i="1"/>
  <c r="DY106" i="1" s="1"/>
  <c r="CK112" i="1"/>
  <c r="CH112" i="1"/>
  <c r="CF112" i="1"/>
  <c r="CL112" i="1" s="1"/>
  <c r="CQ110" i="1"/>
  <c r="CU108" i="1"/>
  <c r="CV108" i="1"/>
  <c r="CW108" i="1"/>
  <c r="CX108" i="1"/>
  <c r="EA106" i="1"/>
  <c r="EV102" i="1"/>
  <c r="FA102" i="1"/>
  <c r="FB102" i="1"/>
  <c r="FY102" i="1"/>
  <c r="HE102" i="1" s="1"/>
  <c r="FF102" i="1"/>
  <c r="FI102" i="1" s="1"/>
  <c r="FF100" i="1"/>
  <c r="FI100" i="1" s="1"/>
  <c r="FY100" i="1"/>
  <c r="HE100" i="1" s="1"/>
  <c r="EV100" i="1"/>
  <c r="FB100" i="1"/>
  <c r="FA100" i="1"/>
  <c r="FL99" i="1"/>
  <c r="FO99" i="1"/>
  <c r="EX99" i="1"/>
  <c r="EW99" i="1"/>
  <c r="HB99" i="1"/>
  <c r="HF99" i="1" s="1"/>
  <c r="HH99" i="1" s="1"/>
  <c r="FD99" i="1"/>
  <c r="FV99" i="1" s="1"/>
  <c r="FE99" i="1"/>
  <c r="FW98" i="1"/>
  <c r="FX98" i="1" s="1"/>
  <c r="FZ98" i="1" s="1"/>
  <c r="FM98" i="1"/>
  <c r="FN98" i="1" s="1"/>
  <c r="FJ98" i="1"/>
  <c r="GQ98" i="1" s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DZ106" i="1" l="1"/>
  <c r="EB106" i="1" s="1"/>
  <c r="EB104" i="1"/>
  <c r="ED104" i="1"/>
  <c r="EL104" i="1" s="1"/>
  <c r="EC104" i="1"/>
  <c r="EK104" i="1" s="1"/>
  <c r="CN112" i="1"/>
  <c r="CQ112" i="1" s="1"/>
  <c r="CR112" i="1"/>
  <c r="CS110" i="1"/>
  <c r="CT110" i="1" s="1"/>
  <c r="DN108" i="1"/>
  <c r="DM108" i="1"/>
  <c r="DL108" i="1"/>
  <c r="CY108" i="1"/>
  <c r="DO108" i="1" s="1"/>
  <c r="DA108" i="1"/>
  <c r="DQ108" i="1" s="1"/>
  <c r="CZ108" i="1"/>
  <c r="DP108" i="1" s="1"/>
  <c r="FL102" i="1"/>
  <c r="FO102" i="1"/>
  <c r="HB102" i="1"/>
  <c r="HF102" i="1" s="1"/>
  <c r="HG102" i="1" s="1"/>
  <c r="FE102" i="1"/>
  <c r="EW102" i="1"/>
  <c r="EX102" i="1"/>
  <c r="FD102" i="1"/>
  <c r="FV102" i="1" s="1"/>
  <c r="FL100" i="1"/>
  <c r="FO100" i="1"/>
  <c r="FE100" i="1"/>
  <c r="EX100" i="1"/>
  <c r="HB100" i="1"/>
  <c r="HF100" i="1" s="1"/>
  <c r="HH100" i="1" s="1"/>
  <c r="FD100" i="1"/>
  <c r="FV100" i="1" s="1"/>
  <c r="EW100" i="1"/>
  <c r="FH99" i="1"/>
  <c r="FU99" i="1"/>
  <c r="FG99" i="1"/>
  <c r="HG99" i="1"/>
  <c r="FP98" i="1"/>
  <c r="FR98" i="1"/>
  <c r="FQ98" i="1"/>
  <c r="GD98" i="1"/>
  <c r="GP98" i="1"/>
  <c r="GA98" i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ED106" i="1" l="1"/>
  <c r="EJ106" i="1" s="1"/>
  <c r="EI104" i="1"/>
  <c r="EC106" i="1"/>
  <c r="EG106" i="1" s="1"/>
  <c r="EM104" i="1"/>
  <c r="EH104" i="1"/>
  <c r="EN104" i="1"/>
  <c r="EJ104" i="1"/>
  <c r="EF104" i="1"/>
  <c r="EO104" i="1"/>
  <c r="ER104" i="1" s="1"/>
  <c r="EE104" i="1"/>
  <c r="EG104" i="1"/>
  <c r="CP112" i="1"/>
  <c r="CS112" i="1" s="1"/>
  <c r="CU110" i="1"/>
  <c r="CY110" i="1" s="1"/>
  <c r="CV110" i="1"/>
  <c r="CW110" i="1"/>
  <c r="CX110" i="1"/>
  <c r="DR108" i="1"/>
  <c r="DW108" i="1"/>
  <c r="DX108" i="1" s="1"/>
  <c r="DV108" i="1"/>
  <c r="DU108" i="1"/>
  <c r="DS108" i="1"/>
  <c r="EF106" i="1"/>
  <c r="EK106" i="1"/>
  <c r="EM106" i="1" s="1"/>
  <c r="HG100" i="1"/>
  <c r="FH102" i="1"/>
  <c r="FU102" i="1"/>
  <c r="FG102" i="1"/>
  <c r="FH100" i="1"/>
  <c r="HH102" i="1"/>
  <c r="FS98" i="1"/>
  <c r="FG100" i="1"/>
  <c r="FU100" i="1"/>
  <c r="FJ99" i="1"/>
  <c r="GQ99" i="1" s="1"/>
  <c r="HQ12" i="1" s="1"/>
  <c r="FW99" i="1"/>
  <c r="FX99" i="1" s="1"/>
  <c r="FZ99" i="1" s="1"/>
  <c r="FM99" i="1"/>
  <c r="FN99" i="1" s="1"/>
  <c r="FT98" i="1"/>
  <c r="GO98" i="1"/>
  <c r="GB98" i="1"/>
  <c r="GC98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EQ104" i="1" l="1"/>
  <c r="EZ104" i="1" s="1"/>
  <c r="FC104" i="1" s="1"/>
  <c r="FY104" i="1" s="1"/>
  <c r="HE104" i="1" s="1"/>
  <c r="EL106" i="1"/>
  <c r="EP104" i="1"/>
  <c r="EH106" i="1"/>
  <c r="EI106" i="1"/>
  <c r="EE106" i="1"/>
  <c r="CU112" i="1"/>
  <c r="CT112" i="1"/>
  <c r="DA110" i="1"/>
  <c r="DQ110" i="1" s="1"/>
  <c r="CZ110" i="1"/>
  <c r="DP110" i="1" s="1"/>
  <c r="DN110" i="1"/>
  <c r="DM110" i="1"/>
  <c r="DL110" i="1"/>
  <c r="DO110" i="1"/>
  <c r="EA108" i="1"/>
  <c r="DY108" i="1"/>
  <c r="DZ108" i="1"/>
  <c r="EN106" i="1"/>
  <c r="EP106" i="1" s="1"/>
  <c r="EV106" i="1" s="1"/>
  <c r="EO106" i="1"/>
  <c r="ER106" i="1" s="1"/>
  <c r="EV104" i="1"/>
  <c r="FJ102" i="1"/>
  <c r="GQ102" i="1" s="1"/>
  <c r="FM102" i="1"/>
  <c r="FN102" i="1" s="1"/>
  <c r="FW102" i="1"/>
  <c r="FX102" i="1" s="1"/>
  <c r="FZ102" i="1" s="1"/>
  <c r="GH98" i="1"/>
  <c r="FM100" i="1"/>
  <c r="FN100" i="1" s="1"/>
  <c r="FJ100" i="1"/>
  <c r="GQ100" i="1" s="1"/>
  <c r="HQ14" i="1" s="1"/>
  <c r="FW100" i="1"/>
  <c r="FX100" i="1" s="1"/>
  <c r="FZ100" i="1" s="1"/>
  <c r="FQ99" i="1"/>
  <c r="FR99" i="1"/>
  <c r="FP99" i="1"/>
  <c r="GP99" i="1"/>
  <c r="HR12" i="1" s="1"/>
  <c r="GD99" i="1"/>
  <c r="GA99" i="1"/>
  <c r="GE98" i="1"/>
  <c r="GF98" i="1" s="1"/>
  <c r="GG98" i="1"/>
  <c r="GI98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FA104" i="1" l="1"/>
  <c r="FB104" i="1"/>
  <c r="FF104" i="1"/>
  <c r="FI104" i="1" s="1"/>
  <c r="CV112" i="1"/>
  <c r="CW112" i="1"/>
  <c r="CX112" i="1"/>
  <c r="CY112" i="1"/>
  <c r="CZ112" i="1"/>
  <c r="DA112" i="1"/>
  <c r="DW110" i="1"/>
  <c r="DX110" i="1" s="1"/>
  <c r="DV110" i="1"/>
  <c r="DR110" i="1"/>
  <c r="DU110" i="1"/>
  <c r="DS110" i="1"/>
  <c r="EQ106" i="1"/>
  <c r="EZ106" i="1" s="1"/>
  <c r="FC106" i="1" s="1"/>
  <c r="FF106" i="1" s="1"/>
  <c r="FI106" i="1" s="1"/>
  <c r="ED108" i="1"/>
  <c r="EC108" i="1"/>
  <c r="EB108" i="1"/>
  <c r="GY98" i="1"/>
  <c r="EW106" i="1"/>
  <c r="EX106" i="1"/>
  <c r="HB106" i="1"/>
  <c r="HF106" i="1" s="1"/>
  <c r="FL104" i="1"/>
  <c r="FO104" i="1"/>
  <c r="EX104" i="1"/>
  <c r="HB104" i="1"/>
  <c r="HF104" i="1" s="1"/>
  <c r="HH104" i="1" s="1"/>
  <c r="EW104" i="1"/>
  <c r="FE104" i="1"/>
  <c r="FD104" i="1"/>
  <c r="FV104" i="1" s="1"/>
  <c r="GP102" i="1"/>
  <c r="GA102" i="1"/>
  <c r="GD102" i="1"/>
  <c r="FR102" i="1"/>
  <c r="FP102" i="1"/>
  <c r="FQ102" i="1"/>
  <c r="GS98" i="1"/>
  <c r="GP100" i="1"/>
  <c r="HR14" i="1" s="1"/>
  <c r="GA100" i="1"/>
  <c r="GD100" i="1"/>
  <c r="FQ100" i="1"/>
  <c r="FP100" i="1"/>
  <c r="FR100" i="1"/>
  <c r="FT99" i="1"/>
  <c r="GB99" i="1"/>
  <c r="GO99" i="1"/>
  <c r="HM12" i="1" s="1"/>
  <c r="GC99" i="1"/>
  <c r="FS99" i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GZ98" i="1" l="1"/>
  <c r="DO112" i="1"/>
  <c r="DU112" i="1" s="1"/>
  <c r="DQ112" i="1"/>
  <c r="DN112" i="1"/>
  <c r="DP112" i="1"/>
  <c r="DM112" i="1"/>
  <c r="DL112" i="1"/>
  <c r="DY110" i="1"/>
  <c r="FB106" i="1"/>
  <c r="FY106" i="1"/>
  <c r="HE106" i="1" s="1"/>
  <c r="HH106" i="1" s="1"/>
  <c r="DZ110" i="1"/>
  <c r="EA110" i="1"/>
  <c r="FS102" i="1"/>
  <c r="FA106" i="1"/>
  <c r="EK108" i="1"/>
  <c r="EG108" i="1"/>
  <c r="EE108" i="1"/>
  <c r="EF108" i="1"/>
  <c r="GR98" i="1"/>
  <c r="EL108" i="1"/>
  <c r="EH108" i="1"/>
  <c r="EJ108" i="1"/>
  <c r="EI108" i="1"/>
  <c r="FU106" i="1"/>
  <c r="HG104" i="1"/>
  <c r="FH104" i="1"/>
  <c r="FT100" i="1"/>
  <c r="FU104" i="1"/>
  <c r="FG104" i="1"/>
  <c r="GO102" i="1"/>
  <c r="GB102" i="1"/>
  <c r="GC102" i="1"/>
  <c r="FT102" i="1"/>
  <c r="HA98" i="1"/>
  <c r="HD98" i="1" s="1"/>
  <c r="GT98" i="1"/>
  <c r="GB100" i="1"/>
  <c r="GC100" i="1"/>
  <c r="GO100" i="1"/>
  <c r="HM14" i="1" s="1"/>
  <c r="FS100" i="1"/>
  <c r="GH99" i="1"/>
  <c r="GG99" i="1"/>
  <c r="GE99" i="1"/>
  <c r="GF99" i="1" s="1"/>
  <c r="GI99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G106" i="1" l="1"/>
  <c r="DS112" i="1"/>
  <c r="DY112" i="1" s="1"/>
  <c r="FL106" i="1"/>
  <c r="DR112" i="1"/>
  <c r="DV112" i="1"/>
  <c r="DW112" i="1"/>
  <c r="DX112" i="1" s="1"/>
  <c r="EA112" i="1" s="1"/>
  <c r="FD106" i="1"/>
  <c r="FV106" i="1" s="1"/>
  <c r="FE106" i="1"/>
  <c r="FH106" i="1" s="1"/>
  <c r="EC110" i="1"/>
  <c r="EB110" i="1"/>
  <c r="ED110" i="1"/>
  <c r="FO106" i="1"/>
  <c r="EM108" i="1"/>
  <c r="EO108" i="1"/>
  <c r="ER108" i="1" s="1"/>
  <c r="EN108" i="1"/>
  <c r="GH102" i="1"/>
  <c r="HC98" i="1"/>
  <c r="GI102" i="1"/>
  <c r="FM104" i="1"/>
  <c r="FN104" i="1" s="1"/>
  <c r="FJ104" i="1"/>
  <c r="GQ104" i="1" s="1"/>
  <c r="HQ16" i="1" s="1"/>
  <c r="FW104" i="1"/>
  <c r="FX104" i="1" s="1"/>
  <c r="FZ104" i="1" s="1"/>
  <c r="GG102" i="1"/>
  <c r="GE102" i="1"/>
  <c r="GF102" i="1" s="1"/>
  <c r="GH100" i="1"/>
  <c r="GS99" i="1"/>
  <c r="GI100" i="1"/>
  <c r="GY99" i="1"/>
  <c r="GG100" i="1"/>
  <c r="GE100" i="1"/>
  <c r="GF100" i="1" s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IA12" i="1" l="1"/>
  <c r="GT99" i="1"/>
  <c r="IC12" i="1" s="1"/>
  <c r="DZ112" i="1"/>
  <c r="ED112" i="1" s="1"/>
  <c r="HY12" i="1"/>
  <c r="FG106" i="1"/>
  <c r="FW106" i="1" s="1"/>
  <c r="FX106" i="1" s="1"/>
  <c r="FZ106" i="1" s="1"/>
  <c r="GY102" i="1"/>
  <c r="GZ102" i="1" s="1"/>
  <c r="EL110" i="1"/>
  <c r="EI110" i="1"/>
  <c r="EH110" i="1"/>
  <c r="EJ110" i="1"/>
  <c r="EK110" i="1"/>
  <c r="EF110" i="1"/>
  <c r="EE110" i="1"/>
  <c r="EG110" i="1"/>
  <c r="GS102" i="1"/>
  <c r="HA102" i="1" s="1"/>
  <c r="EP108" i="1"/>
  <c r="EQ108" i="1"/>
  <c r="EZ108" i="1" s="1"/>
  <c r="FC108" i="1" s="1"/>
  <c r="GA104" i="1"/>
  <c r="GD104" i="1"/>
  <c r="GP104" i="1"/>
  <c r="HR16" i="1" s="1"/>
  <c r="GY100" i="1"/>
  <c r="GZ100" i="1" s="1"/>
  <c r="IE14" i="1" s="1"/>
  <c r="FP104" i="1"/>
  <c r="FR104" i="1"/>
  <c r="FQ104" i="1"/>
  <c r="GR99" i="1"/>
  <c r="HA99" i="1"/>
  <c r="HC99" i="1" s="1"/>
  <c r="GZ99" i="1"/>
  <c r="IE12" i="1" s="1"/>
  <c r="GS100" i="1"/>
  <c r="IA14" i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BB122" i="1" s="1"/>
  <c r="BE122" i="1" s="1"/>
  <c r="IB12" i="1" l="1"/>
  <c r="EB112" i="1"/>
  <c r="EC112" i="1"/>
  <c r="EG112" i="1" s="1"/>
  <c r="BU122" i="1"/>
  <c r="BX122" i="1"/>
  <c r="CA122" i="1"/>
  <c r="FS104" i="1"/>
  <c r="EL112" i="1"/>
  <c r="EJ112" i="1"/>
  <c r="EH112" i="1"/>
  <c r="EI112" i="1"/>
  <c r="FM106" i="1"/>
  <c r="FN106" i="1" s="1"/>
  <c r="FP106" i="1" s="1"/>
  <c r="FJ106" i="1"/>
  <c r="GQ106" i="1" s="1"/>
  <c r="GR102" i="1"/>
  <c r="EN110" i="1"/>
  <c r="EM110" i="1"/>
  <c r="EO110" i="1"/>
  <c r="ER110" i="1" s="1"/>
  <c r="HD99" i="1"/>
  <c r="GT102" i="1"/>
  <c r="FY108" i="1"/>
  <c r="HE108" i="1" s="1"/>
  <c r="FF108" i="1"/>
  <c r="FI108" i="1" s="1"/>
  <c r="EV108" i="1"/>
  <c r="FB108" i="1"/>
  <c r="FA108" i="1"/>
  <c r="GD106" i="1"/>
  <c r="GA106" i="1"/>
  <c r="GP106" i="1"/>
  <c r="FT104" i="1"/>
  <c r="GO104" i="1"/>
  <c r="HM16" i="1" s="1"/>
  <c r="GB104" i="1"/>
  <c r="GC104" i="1"/>
  <c r="GR100" i="1"/>
  <c r="IB14" i="1" s="1"/>
  <c r="HA100" i="1"/>
  <c r="HD100" i="1" s="1"/>
  <c r="HD102" i="1"/>
  <c r="HC102" i="1"/>
  <c r="HY14" i="1"/>
  <c r="GT100" i="1"/>
  <c r="IC14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EF112" i="1" l="1"/>
  <c r="EE112" i="1"/>
  <c r="EK112" i="1"/>
  <c r="EN112" i="1" s="1"/>
  <c r="CB122" i="1"/>
  <c r="CG122" i="1" s="1"/>
  <c r="CC122" i="1"/>
  <c r="CE122" i="1"/>
  <c r="FQ106" i="1"/>
  <c r="FR106" i="1"/>
  <c r="EP110" i="1"/>
  <c r="EQ110" i="1"/>
  <c r="EZ110" i="1" s="1"/>
  <c r="FC110" i="1" s="1"/>
  <c r="GH104" i="1"/>
  <c r="FL108" i="1"/>
  <c r="FO108" i="1"/>
  <c r="FE108" i="1"/>
  <c r="HB108" i="1"/>
  <c r="HF108" i="1" s="1"/>
  <c r="HG108" i="1" s="1"/>
  <c r="EX108" i="1"/>
  <c r="EW108" i="1"/>
  <c r="FD108" i="1"/>
  <c r="FV108" i="1" s="1"/>
  <c r="GC106" i="1"/>
  <c r="GO106" i="1"/>
  <c r="GB106" i="1"/>
  <c r="HC100" i="1"/>
  <c r="GI104" i="1"/>
  <c r="GG104" i="1"/>
  <c r="GE104" i="1"/>
  <c r="GF104" i="1" s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BB124" i="1" s="1"/>
  <c r="BE124" i="1" s="1"/>
  <c r="EM112" i="1" l="1"/>
  <c r="EP112" i="1" s="1"/>
  <c r="EO112" i="1"/>
  <c r="ER112" i="1" s="1"/>
  <c r="FS106" i="1"/>
  <c r="CJ122" i="1"/>
  <c r="CM122" i="1" s="1"/>
  <c r="CA124" i="1"/>
  <c r="BX124" i="1"/>
  <c r="BU124" i="1"/>
  <c r="FT106" i="1"/>
  <c r="CK122" i="1"/>
  <c r="CF122" i="1"/>
  <c r="CL122" i="1" s="1"/>
  <c r="CH122" i="1"/>
  <c r="GS104" i="1"/>
  <c r="GT104" i="1" s="1"/>
  <c r="IC16" i="1" s="1"/>
  <c r="GY104" i="1"/>
  <c r="FH108" i="1"/>
  <c r="FY110" i="1"/>
  <c r="HE110" i="1" s="1"/>
  <c r="FF110" i="1"/>
  <c r="FI110" i="1" s="1"/>
  <c r="EV110" i="1"/>
  <c r="FA110" i="1"/>
  <c r="FB110" i="1"/>
  <c r="FG108" i="1"/>
  <c r="FU108" i="1"/>
  <c r="HH108" i="1"/>
  <c r="GI106" i="1"/>
  <c r="GG106" i="1"/>
  <c r="GE106" i="1"/>
  <c r="GF106" i="1" s="1"/>
  <c r="GH106" i="1"/>
  <c r="HY16" i="1"/>
  <c r="IA16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GZ104" i="1" l="1"/>
  <c r="IE16" i="1" s="1"/>
  <c r="EQ112" i="1"/>
  <c r="EZ112" i="1" s="1"/>
  <c r="FC112" i="1" s="1"/>
  <c r="CE124" i="1"/>
  <c r="CB124" i="1"/>
  <c r="CG124" i="1" s="1"/>
  <c r="CC124" i="1"/>
  <c r="HA104" i="1"/>
  <c r="HC104" i="1" s="1"/>
  <c r="CN122" i="1"/>
  <c r="CQ122" i="1" s="1"/>
  <c r="CR122" i="1"/>
  <c r="FY112" i="1"/>
  <c r="HE112" i="1" s="1"/>
  <c r="FF112" i="1"/>
  <c r="FI112" i="1" s="1"/>
  <c r="EV112" i="1"/>
  <c r="FA112" i="1"/>
  <c r="FB112" i="1"/>
  <c r="GR104" i="1"/>
  <c r="FL110" i="1"/>
  <c r="FO110" i="1"/>
  <c r="EX110" i="1"/>
  <c r="HB110" i="1"/>
  <c r="HF110" i="1" s="1"/>
  <c r="HH110" i="1" s="1"/>
  <c r="EW110" i="1"/>
  <c r="FE110" i="1"/>
  <c r="FD110" i="1"/>
  <c r="FV110" i="1" s="1"/>
  <c r="FM108" i="1"/>
  <c r="FN108" i="1" s="1"/>
  <c r="FJ108" i="1"/>
  <c r="GQ108" i="1" s="1"/>
  <c r="HQ18" i="1" s="1"/>
  <c r="FW108" i="1"/>
  <c r="FX108" i="1" s="1"/>
  <c r="FZ108" i="1" s="1"/>
  <c r="GY106" i="1"/>
  <c r="GS106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BB126" i="1" s="1"/>
  <c r="BE126" i="1" s="1"/>
  <c r="IB16" i="1" l="1"/>
  <c r="HD104" i="1"/>
  <c r="BX126" i="1"/>
  <c r="BU126" i="1"/>
  <c r="CA126" i="1"/>
  <c r="CF124" i="1"/>
  <c r="CL124" i="1" s="1"/>
  <c r="CK124" i="1"/>
  <c r="CH124" i="1"/>
  <c r="CJ124" i="1"/>
  <c r="CP122" i="1"/>
  <c r="CS122" i="1" s="1"/>
  <c r="FL112" i="1"/>
  <c r="FO112" i="1"/>
  <c r="FE112" i="1"/>
  <c r="EW112" i="1"/>
  <c r="EX112" i="1"/>
  <c r="HB112" i="1"/>
  <c r="HF112" i="1" s="1"/>
  <c r="HG112" i="1" s="1"/>
  <c r="FD112" i="1"/>
  <c r="FV112" i="1" s="1"/>
  <c r="HG110" i="1"/>
  <c r="FG110" i="1"/>
  <c r="FU110" i="1"/>
  <c r="FH110" i="1"/>
  <c r="GD108" i="1"/>
  <c r="GA108" i="1"/>
  <c r="GP108" i="1"/>
  <c r="HR18" i="1" s="1"/>
  <c r="FP108" i="1"/>
  <c r="FR108" i="1"/>
  <c r="FQ108" i="1"/>
  <c r="GT106" i="1"/>
  <c r="GR106" i="1"/>
  <c r="HA106" i="1"/>
  <c r="GZ106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CB126" i="1" l="1"/>
  <c r="CG126" i="1" s="1"/>
  <c r="CE126" i="1"/>
  <c r="CC126" i="1"/>
  <c r="CR124" i="1"/>
  <c r="CM124" i="1"/>
  <c r="CN124" i="1"/>
  <c r="CU122" i="1"/>
  <c r="CT122" i="1"/>
  <c r="FH112" i="1"/>
  <c r="HH112" i="1"/>
  <c r="FG112" i="1"/>
  <c r="FU112" i="1"/>
  <c r="FM110" i="1"/>
  <c r="FN110" i="1" s="1"/>
  <c r="FJ110" i="1"/>
  <c r="GQ110" i="1" s="1"/>
  <c r="FW110" i="1"/>
  <c r="FX110" i="1" s="1"/>
  <c r="FZ110" i="1" s="1"/>
  <c r="FS108" i="1"/>
  <c r="FT108" i="1"/>
  <c r="GC108" i="1"/>
  <c r="GB108" i="1"/>
  <c r="GO108" i="1"/>
  <c r="HM18" i="1" s="1"/>
  <c r="HD106" i="1"/>
  <c r="HC106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BB128" i="1" s="1"/>
  <c r="BE128" i="1" s="1"/>
  <c r="BU128" i="1" l="1"/>
  <c r="CA128" i="1"/>
  <c r="BX128" i="1"/>
  <c r="CQ124" i="1"/>
  <c r="CJ126" i="1"/>
  <c r="CM126" i="1" s="1"/>
  <c r="CF126" i="1"/>
  <c r="CL126" i="1" s="1"/>
  <c r="CK126" i="1"/>
  <c r="CH126" i="1"/>
  <c r="CP124" i="1"/>
  <c r="CV122" i="1"/>
  <c r="CW122" i="1"/>
  <c r="CX122" i="1"/>
  <c r="CY122" i="1"/>
  <c r="CZ122" i="1"/>
  <c r="DA122" i="1"/>
  <c r="GI108" i="1"/>
  <c r="FM112" i="1"/>
  <c r="FN112" i="1" s="1"/>
  <c r="FW112" i="1"/>
  <c r="FX112" i="1" s="1"/>
  <c r="FZ112" i="1" s="1"/>
  <c r="FJ112" i="1"/>
  <c r="GQ112" i="1" s="1"/>
  <c r="HQ26" i="1" s="1"/>
  <c r="GD110" i="1"/>
  <c r="GP110" i="1"/>
  <c r="GA110" i="1"/>
  <c r="FQ110" i="1"/>
  <c r="FR110" i="1"/>
  <c r="FP110" i="1"/>
  <c r="GE108" i="1"/>
  <c r="GF108" i="1" s="1"/>
  <c r="GG108" i="1"/>
  <c r="GH108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Q24" i="1" l="1"/>
  <c r="CR126" i="1"/>
  <c r="CB128" i="1"/>
  <c r="CG128" i="1" s="1"/>
  <c r="CE128" i="1"/>
  <c r="CC128" i="1"/>
  <c r="CS124" i="1"/>
  <c r="CT124" i="1" s="1"/>
  <c r="HQ22" i="1"/>
  <c r="CN126" i="1"/>
  <c r="CQ126" i="1" s="1"/>
  <c r="DQ122" i="1"/>
  <c r="DN122" i="1"/>
  <c r="HQ20" i="1"/>
  <c r="DP122" i="1"/>
  <c r="DM122" i="1"/>
  <c r="DO122" i="1"/>
  <c r="DL122" i="1"/>
  <c r="GA112" i="1"/>
  <c r="GD112" i="1"/>
  <c r="GP112" i="1"/>
  <c r="HR26" i="1" s="1"/>
  <c r="FR112" i="1"/>
  <c r="FP112" i="1"/>
  <c r="FQ112" i="1"/>
  <c r="FT110" i="1"/>
  <c r="GC110" i="1"/>
  <c r="GO110" i="1"/>
  <c r="GB110" i="1"/>
  <c r="FS110" i="1"/>
  <c r="GS108" i="1"/>
  <c r="GY108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BB130" i="1" s="1"/>
  <c r="BE130" i="1" s="1"/>
  <c r="BU130" i="1" l="1"/>
  <c r="BX130" i="1"/>
  <c r="CA130" i="1"/>
  <c r="HR24" i="1"/>
  <c r="CU124" i="1"/>
  <c r="CZ124" i="1" s="1"/>
  <c r="CF128" i="1"/>
  <c r="CL128" i="1" s="1"/>
  <c r="CH128" i="1"/>
  <c r="CK128" i="1"/>
  <c r="CJ128" i="1"/>
  <c r="CP126" i="1"/>
  <c r="CS126" i="1" s="1"/>
  <c r="CU126" i="1" s="1"/>
  <c r="HR22" i="1"/>
  <c r="DA124" i="1"/>
  <c r="CV124" i="1"/>
  <c r="CX124" i="1"/>
  <c r="CW124" i="1"/>
  <c r="HR20" i="1"/>
  <c r="DV122" i="1"/>
  <c r="DW122" i="1"/>
  <c r="DX122" i="1" s="1"/>
  <c r="DR122" i="1"/>
  <c r="DU122" i="1"/>
  <c r="DS122" i="1"/>
  <c r="FS112" i="1"/>
  <c r="GB112" i="1"/>
  <c r="GC112" i="1"/>
  <c r="GO112" i="1"/>
  <c r="HM26" i="1" s="1"/>
  <c r="FT112" i="1"/>
  <c r="GI110" i="1"/>
  <c r="GE110" i="1"/>
  <c r="GF110" i="1" s="1"/>
  <c r="GG110" i="1"/>
  <c r="GH110" i="1"/>
  <c r="GZ108" i="1"/>
  <c r="IE18" i="1" s="1"/>
  <c r="IA18" i="1"/>
  <c r="GT108" i="1"/>
  <c r="IC18" i="1" s="1"/>
  <c r="GR108" i="1"/>
  <c r="IB18" i="1" s="1"/>
  <c r="HY18" i="1"/>
  <c r="HA108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CY124" i="1" l="1"/>
  <c r="DO124" i="1" s="1"/>
  <c r="HM24" i="1"/>
  <c r="CB130" i="1"/>
  <c r="CG130" i="1" s="1"/>
  <c r="CE130" i="1"/>
  <c r="CC130" i="1"/>
  <c r="CM128" i="1"/>
  <c r="CR128" i="1"/>
  <c r="CN128" i="1"/>
  <c r="HM22" i="1"/>
  <c r="CT126" i="1"/>
  <c r="CY126" i="1"/>
  <c r="CZ126" i="1"/>
  <c r="DA126" i="1"/>
  <c r="DM124" i="1"/>
  <c r="DN124" i="1"/>
  <c r="DL124" i="1"/>
  <c r="DP124" i="1"/>
  <c r="DQ124" i="1"/>
  <c r="EA122" i="1"/>
  <c r="GH112" i="1"/>
  <c r="DY122" i="1"/>
  <c r="GI112" i="1"/>
  <c r="HM20" i="1"/>
  <c r="DZ122" i="1"/>
  <c r="GE112" i="1"/>
  <c r="GF112" i="1" s="1"/>
  <c r="GG112" i="1"/>
  <c r="GY110" i="1"/>
  <c r="GS110" i="1"/>
  <c r="HD108" i="1"/>
  <c r="HC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BB132" i="1" s="1"/>
  <c r="BE132" i="1" s="1"/>
  <c r="CP128" i="1" l="1"/>
  <c r="BU132" i="1"/>
  <c r="CA132" i="1"/>
  <c r="BX132" i="1"/>
  <c r="CQ128" i="1"/>
  <c r="CS128" i="1" s="1"/>
  <c r="CT128" i="1" s="1"/>
  <c r="CJ130" i="1"/>
  <c r="CM130" i="1" s="1"/>
  <c r="CF130" i="1"/>
  <c r="CL130" i="1" s="1"/>
  <c r="CK130" i="1"/>
  <c r="CH130" i="1"/>
  <c r="GY112" i="1"/>
  <c r="CV126" i="1"/>
  <c r="CW126" i="1"/>
  <c r="CX126" i="1"/>
  <c r="GS112" i="1"/>
  <c r="HY26" i="1" s="1"/>
  <c r="IA22" i="1"/>
  <c r="DV124" i="1"/>
  <c r="DW124" i="1"/>
  <c r="DX124" i="1" s="1"/>
  <c r="DR124" i="1"/>
  <c r="HY22" i="1"/>
  <c r="DS124" i="1"/>
  <c r="DU124" i="1"/>
  <c r="EC122" i="1"/>
  <c r="EB122" i="1"/>
  <c r="ED122" i="1"/>
  <c r="HY20" i="1"/>
  <c r="IA20" i="1"/>
  <c r="GT110" i="1"/>
  <c r="GR110" i="1"/>
  <c r="HA110" i="1"/>
  <c r="GZ110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CR130" i="1" l="1"/>
  <c r="IA26" i="1"/>
  <c r="CB132" i="1"/>
  <c r="CG132" i="1" s="1"/>
  <c r="CC132" i="1"/>
  <c r="CE132" i="1"/>
  <c r="GZ112" i="1"/>
  <c r="IE26" i="1" s="1"/>
  <c r="CU128" i="1"/>
  <c r="CZ128" i="1" s="1"/>
  <c r="HA112" i="1"/>
  <c r="HD112" i="1" s="1"/>
  <c r="CN130" i="1"/>
  <c r="CP130" i="1" s="1"/>
  <c r="IE24" i="1"/>
  <c r="HY24" i="1"/>
  <c r="IA24" i="1"/>
  <c r="CV128" i="1"/>
  <c r="CW128" i="1"/>
  <c r="CX128" i="1"/>
  <c r="GR112" i="1"/>
  <c r="IB26" i="1" s="1"/>
  <c r="IE22" i="1"/>
  <c r="DY124" i="1"/>
  <c r="DN126" i="1"/>
  <c r="IB22" i="1"/>
  <c r="DM126" i="1"/>
  <c r="GT112" i="1"/>
  <c r="IC26" i="1" s="1"/>
  <c r="DL126" i="1"/>
  <c r="DO126" i="1"/>
  <c r="DP126" i="1"/>
  <c r="DQ126" i="1"/>
  <c r="EA124" i="1"/>
  <c r="DZ124" i="1"/>
  <c r="IE20" i="1"/>
  <c r="IB20" i="1"/>
  <c r="IC20" i="1"/>
  <c r="EI122" i="1"/>
  <c r="EL122" i="1"/>
  <c r="EH122" i="1"/>
  <c r="EJ122" i="1"/>
  <c r="EK122" i="1"/>
  <c r="EG122" i="1"/>
  <c r="EE122" i="1"/>
  <c r="EF122" i="1"/>
  <c r="HD110" i="1"/>
  <c r="HC110" i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CJ132" i="1" l="1"/>
  <c r="HC112" i="1"/>
  <c r="CY128" i="1"/>
  <c r="DA128" i="1"/>
  <c r="DQ128" i="1" s="1"/>
  <c r="CM132" i="1"/>
  <c r="CH132" i="1"/>
  <c r="CK132" i="1"/>
  <c r="CF132" i="1"/>
  <c r="CL132" i="1" s="1"/>
  <c r="IC24" i="1"/>
  <c r="IB24" i="1"/>
  <c r="CQ130" i="1"/>
  <c r="DL128" i="1"/>
  <c r="DP128" i="1"/>
  <c r="DO128" i="1"/>
  <c r="DN128" i="1"/>
  <c r="DM128" i="1"/>
  <c r="DW126" i="1"/>
  <c r="DX126" i="1" s="1"/>
  <c r="DR126" i="1"/>
  <c r="DV126" i="1"/>
  <c r="IC22" i="1"/>
  <c r="DS126" i="1"/>
  <c r="DU126" i="1"/>
  <c r="EC124" i="1"/>
  <c r="EB124" i="1"/>
  <c r="ED124" i="1"/>
  <c r="EM122" i="1"/>
  <c r="EN122" i="1"/>
  <c r="EO122" i="1"/>
  <c r="ER122" i="1" s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CN132" i="1" l="1"/>
  <c r="CQ132" i="1" s="1"/>
  <c r="CR132" i="1"/>
  <c r="CS130" i="1"/>
  <c r="CT130" i="1" s="1"/>
  <c r="DU128" i="1"/>
  <c r="DS128" i="1"/>
  <c r="DW128" i="1"/>
  <c r="DX128" i="1" s="1"/>
  <c r="DV128" i="1"/>
  <c r="DR128" i="1"/>
  <c r="DY126" i="1"/>
  <c r="DZ126" i="1"/>
  <c r="EA126" i="1"/>
  <c r="EL124" i="1"/>
  <c r="EJ124" i="1"/>
  <c r="EH124" i="1"/>
  <c r="EI124" i="1"/>
  <c r="EK124" i="1"/>
  <c r="EG124" i="1"/>
  <c r="EF124" i="1"/>
  <c r="EE124" i="1"/>
  <c r="EP122" i="1"/>
  <c r="EQ122" i="1"/>
  <c r="EZ122" i="1" s="1"/>
  <c r="FC122" i="1" s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CP132" i="1" l="1"/>
  <c r="CS132" i="1" s="1"/>
  <c r="DY128" i="1"/>
  <c r="CU130" i="1"/>
  <c r="CW130" i="1"/>
  <c r="CV130" i="1"/>
  <c r="CX130" i="1"/>
  <c r="DZ128" i="1"/>
  <c r="EA128" i="1"/>
  <c r="ED126" i="1"/>
  <c r="EL126" i="1" s="1"/>
  <c r="EB126" i="1"/>
  <c r="EC126" i="1"/>
  <c r="EO124" i="1"/>
  <c r="ER124" i="1" s="1"/>
  <c r="EN124" i="1"/>
  <c r="EM124" i="1"/>
  <c r="FF122" i="1"/>
  <c r="FI122" i="1" s="1"/>
  <c r="FY122" i="1"/>
  <c r="HE122" i="1" s="1"/>
  <c r="FA122" i="1"/>
  <c r="EV122" i="1"/>
  <c r="FB122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CU132" i="1" l="1"/>
  <c r="CT132" i="1"/>
  <c r="EC128" i="1"/>
  <c r="EF128" i="1" s="1"/>
  <c r="ED128" i="1"/>
  <c r="EL128" i="1" s="1"/>
  <c r="EB128" i="1"/>
  <c r="DN130" i="1"/>
  <c r="DL130" i="1"/>
  <c r="DM130" i="1"/>
  <c r="CY130" i="1"/>
  <c r="DO130" i="1" s="1"/>
  <c r="CZ130" i="1"/>
  <c r="DP130" i="1" s="1"/>
  <c r="DA130" i="1"/>
  <c r="DQ130" i="1" s="1"/>
  <c r="EJ126" i="1"/>
  <c r="EH126" i="1"/>
  <c r="EI126" i="1"/>
  <c r="EI128" i="1"/>
  <c r="EK126" i="1"/>
  <c r="EE126" i="1"/>
  <c r="EF126" i="1"/>
  <c r="EG126" i="1"/>
  <c r="EP124" i="1"/>
  <c r="EQ124" i="1"/>
  <c r="EZ124" i="1" s="1"/>
  <c r="FC124" i="1" s="1"/>
  <c r="FE122" i="1"/>
  <c r="FD122" i="1"/>
  <c r="FV122" i="1" s="1"/>
  <c r="EW122" i="1"/>
  <c r="HB122" i="1"/>
  <c r="HF122" i="1" s="1"/>
  <c r="HG122" i="1" s="1"/>
  <c r="EX122" i="1"/>
  <c r="FL122" i="1"/>
  <c r="FO122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EJ128" i="1" l="1"/>
  <c r="EG128" i="1"/>
  <c r="EK128" i="1"/>
  <c r="EO128" i="1" s="1"/>
  <c r="ER128" i="1" s="1"/>
  <c r="CV132" i="1"/>
  <c r="CW132" i="1"/>
  <c r="CX132" i="1"/>
  <c r="EH128" i="1"/>
  <c r="CY132" i="1"/>
  <c r="CZ132" i="1"/>
  <c r="DA132" i="1"/>
  <c r="EE128" i="1"/>
  <c r="DW130" i="1"/>
  <c r="DX130" i="1" s="1"/>
  <c r="DR130" i="1"/>
  <c r="DV130" i="1"/>
  <c r="DS130" i="1"/>
  <c r="DU130" i="1"/>
  <c r="FH122" i="1"/>
  <c r="EM126" i="1"/>
  <c r="EN126" i="1"/>
  <c r="EO126" i="1"/>
  <c r="ER126" i="1" s="1"/>
  <c r="HH122" i="1"/>
  <c r="FF124" i="1"/>
  <c r="FI124" i="1" s="1"/>
  <c r="FY124" i="1"/>
  <c r="HE124" i="1" s="1"/>
  <c r="FA124" i="1"/>
  <c r="EV124" i="1"/>
  <c r="FB124" i="1"/>
  <c r="FU122" i="1"/>
  <c r="FG122" i="1"/>
  <c r="AT138" i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EN128" i="1" l="1"/>
  <c r="EM128" i="1"/>
  <c r="DQ132" i="1"/>
  <c r="DN132" i="1"/>
  <c r="DP132" i="1"/>
  <c r="DM132" i="1"/>
  <c r="DO132" i="1"/>
  <c r="DL132" i="1"/>
  <c r="DY130" i="1"/>
  <c r="DZ130" i="1"/>
  <c r="EA130" i="1"/>
  <c r="EQ128" i="1"/>
  <c r="EZ128" i="1" s="1"/>
  <c r="FC128" i="1" s="1"/>
  <c r="EP128" i="1"/>
  <c r="EQ126" i="1"/>
  <c r="EZ126" i="1" s="1"/>
  <c r="FC126" i="1" s="1"/>
  <c r="EP126" i="1"/>
  <c r="FE124" i="1"/>
  <c r="FD124" i="1"/>
  <c r="FV124" i="1" s="1"/>
  <c r="HB124" i="1"/>
  <c r="HF124" i="1" s="1"/>
  <c r="HH124" i="1" s="1"/>
  <c r="EX124" i="1"/>
  <c r="EW124" i="1"/>
  <c r="FL124" i="1"/>
  <c r="FO124" i="1"/>
  <c r="FW122" i="1"/>
  <c r="FX122" i="1" s="1"/>
  <c r="FZ122" i="1" s="1"/>
  <c r="FM122" i="1"/>
  <c r="FN122" i="1" s="1"/>
  <c r="FJ122" i="1"/>
  <c r="GQ122" i="1" s="1"/>
  <c r="HQ15" i="1" s="1"/>
  <c r="AT139" i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DW132" i="1" l="1"/>
  <c r="DX132" i="1" s="1"/>
  <c r="DV132" i="1"/>
  <c r="DR132" i="1"/>
  <c r="DS132" i="1"/>
  <c r="DU132" i="1"/>
  <c r="EB130" i="1"/>
  <c r="EC130" i="1"/>
  <c r="ED130" i="1"/>
  <c r="EV128" i="1"/>
  <c r="FA128" i="1"/>
  <c r="FB128" i="1"/>
  <c r="FH124" i="1"/>
  <c r="FF128" i="1"/>
  <c r="FI128" i="1" s="1"/>
  <c r="FY128" i="1"/>
  <c r="HE128" i="1" s="1"/>
  <c r="HG124" i="1"/>
  <c r="EV126" i="1"/>
  <c r="FA126" i="1"/>
  <c r="FB126" i="1"/>
  <c r="FY126" i="1"/>
  <c r="HE126" i="1" s="1"/>
  <c r="FF126" i="1"/>
  <c r="FI126" i="1" s="1"/>
  <c r="FG124" i="1"/>
  <c r="FU124" i="1"/>
  <c r="FP122" i="1"/>
  <c r="FQ122" i="1"/>
  <c r="FR122" i="1"/>
  <c r="GD122" i="1"/>
  <c r="GA122" i="1"/>
  <c r="GP122" i="1"/>
  <c r="HR15" i="1" s="1"/>
  <c r="AT140" i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DY132" i="1" l="1"/>
  <c r="DZ132" i="1"/>
  <c r="EA132" i="1"/>
  <c r="EL130" i="1"/>
  <c r="EH130" i="1"/>
  <c r="EI130" i="1"/>
  <c r="EJ130" i="1"/>
  <c r="EK130" i="1"/>
  <c r="EE130" i="1"/>
  <c r="EF130" i="1"/>
  <c r="EG130" i="1"/>
  <c r="FL128" i="1"/>
  <c r="FO128" i="1"/>
  <c r="FD128" i="1"/>
  <c r="FV128" i="1" s="1"/>
  <c r="EX128" i="1"/>
  <c r="FE128" i="1"/>
  <c r="HB128" i="1"/>
  <c r="HF128" i="1" s="1"/>
  <c r="HH128" i="1" s="1"/>
  <c r="EW128" i="1"/>
  <c r="FL126" i="1"/>
  <c r="FO126" i="1"/>
  <c r="HB126" i="1"/>
  <c r="HF126" i="1" s="1"/>
  <c r="HH126" i="1" s="1"/>
  <c r="EW126" i="1"/>
  <c r="EX126" i="1"/>
  <c r="FE126" i="1"/>
  <c r="FD126" i="1"/>
  <c r="FV126" i="1" s="1"/>
  <c r="FT122" i="1"/>
  <c r="FJ124" i="1"/>
  <c r="GQ124" i="1" s="1"/>
  <c r="HQ17" i="1" s="1"/>
  <c r="FM124" i="1"/>
  <c r="FN124" i="1" s="1"/>
  <c r="FW124" i="1"/>
  <c r="FX124" i="1" s="1"/>
  <c r="FZ124" i="1" s="1"/>
  <c r="FS122" i="1"/>
  <c r="GO122" i="1"/>
  <c r="HM15" i="1" s="1"/>
  <c r="GB122" i="1"/>
  <c r="GC122" i="1"/>
  <c r="AT141" i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ED132" i="1" l="1"/>
  <c r="EC132" i="1"/>
  <c r="EB132" i="1"/>
  <c r="EM130" i="1"/>
  <c r="EO130" i="1"/>
  <c r="ER130" i="1" s="1"/>
  <c r="EN130" i="1"/>
  <c r="FU128" i="1"/>
  <c r="FG128" i="1"/>
  <c r="FH128" i="1"/>
  <c r="HG128" i="1"/>
  <c r="FH126" i="1"/>
  <c r="FU126" i="1"/>
  <c r="FG126" i="1"/>
  <c r="HG126" i="1"/>
  <c r="GH122" i="1"/>
  <c r="GP124" i="1"/>
  <c r="HR17" i="1" s="1"/>
  <c r="GA124" i="1"/>
  <c r="GD124" i="1"/>
  <c r="FQ124" i="1"/>
  <c r="FR124" i="1"/>
  <c r="FP124" i="1"/>
  <c r="GE122" i="1"/>
  <c r="GF122" i="1" s="1"/>
  <c r="GG122" i="1"/>
  <c r="GI122" i="1"/>
  <c r="GY122" i="1" s="1"/>
  <c r="AT142" i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GS122" i="1" l="1"/>
  <c r="EK132" i="1"/>
  <c r="EG132" i="1"/>
  <c r="EE132" i="1"/>
  <c r="EF132" i="1"/>
  <c r="EL132" i="1"/>
  <c r="EJ132" i="1"/>
  <c r="EH132" i="1"/>
  <c r="EI132" i="1"/>
  <c r="EQ130" i="1"/>
  <c r="EZ130" i="1" s="1"/>
  <c r="FC130" i="1" s="1"/>
  <c r="EP130" i="1"/>
  <c r="FT124" i="1"/>
  <c r="FW128" i="1"/>
  <c r="FX128" i="1" s="1"/>
  <c r="FZ128" i="1" s="1"/>
  <c r="FM128" i="1"/>
  <c r="FN128" i="1" s="1"/>
  <c r="FJ128" i="1"/>
  <c r="GQ128" i="1" s="1"/>
  <c r="HQ21" i="1" s="1"/>
  <c r="FW126" i="1"/>
  <c r="FX126" i="1" s="1"/>
  <c r="FZ126" i="1" s="1"/>
  <c r="FM126" i="1"/>
  <c r="FN126" i="1" s="1"/>
  <c r="FJ126" i="1"/>
  <c r="GQ126" i="1" s="1"/>
  <c r="HQ19" i="1" s="1"/>
  <c r="GC124" i="1"/>
  <c r="GO124" i="1"/>
  <c r="HM17" i="1" s="1"/>
  <c r="GB124" i="1"/>
  <c r="FS124" i="1"/>
  <c r="GZ122" i="1"/>
  <c r="IE15" i="1" s="1"/>
  <c r="IA15" i="1"/>
  <c r="GR122" i="1"/>
  <c r="IB15" i="1" s="1"/>
  <c r="GT122" i="1"/>
  <c r="IC15" i="1" s="1"/>
  <c r="HY15" i="1"/>
  <c r="HA122" i="1"/>
  <c r="AT143" i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EM132" i="1" l="1"/>
  <c r="EO132" i="1"/>
  <c r="ER132" i="1" s="1"/>
  <c r="EN132" i="1"/>
  <c r="FA130" i="1"/>
  <c r="EV130" i="1"/>
  <c r="FB130" i="1"/>
  <c r="FY130" i="1"/>
  <c r="HE130" i="1" s="1"/>
  <c r="FF130" i="1"/>
  <c r="FI130" i="1" s="1"/>
  <c r="FR128" i="1"/>
  <c r="FP128" i="1"/>
  <c r="FQ128" i="1"/>
  <c r="GI124" i="1"/>
  <c r="GD128" i="1"/>
  <c r="GA128" i="1"/>
  <c r="GP128" i="1"/>
  <c r="HR21" i="1" s="1"/>
  <c r="FP126" i="1"/>
  <c r="FR126" i="1"/>
  <c r="FQ126" i="1"/>
  <c r="GD126" i="1"/>
  <c r="GP126" i="1"/>
  <c r="HR19" i="1" s="1"/>
  <c r="GA126" i="1"/>
  <c r="GE124" i="1"/>
  <c r="GF124" i="1" s="1"/>
  <c r="GG124" i="1"/>
  <c r="GH124" i="1"/>
  <c r="HD122" i="1"/>
  <c r="HC122" i="1"/>
  <c r="AT144" i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EP132" i="1" l="1"/>
  <c r="EQ132" i="1"/>
  <c r="EZ132" i="1" s="1"/>
  <c r="FC132" i="1" s="1"/>
  <c r="FS128" i="1"/>
  <c r="FE130" i="1"/>
  <c r="HB130" i="1"/>
  <c r="HF130" i="1" s="1"/>
  <c r="HH130" i="1" s="1"/>
  <c r="EW130" i="1"/>
  <c r="FD130" i="1"/>
  <c r="FV130" i="1" s="1"/>
  <c r="EX130" i="1"/>
  <c r="FL130" i="1"/>
  <c r="FO130" i="1"/>
  <c r="GC128" i="1"/>
  <c r="GB128" i="1"/>
  <c r="GO128" i="1"/>
  <c r="HM21" i="1" s="1"/>
  <c r="FT128" i="1"/>
  <c r="FS126" i="1"/>
  <c r="FT126" i="1"/>
  <c r="GC126" i="1"/>
  <c r="GO126" i="1"/>
  <c r="HM19" i="1" s="1"/>
  <c r="GB126" i="1"/>
  <c r="GS124" i="1"/>
  <c r="GY124" i="1"/>
  <c r="AT145" i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FY132" i="1" l="1"/>
  <c r="HE132" i="1" s="1"/>
  <c r="FF132" i="1"/>
  <c r="FI132" i="1" s="1"/>
  <c r="FH130" i="1"/>
  <c r="FB132" i="1"/>
  <c r="EV132" i="1"/>
  <c r="FA132" i="1"/>
  <c r="FU130" i="1"/>
  <c r="FG130" i="1"/>
  <c r="HG130" i="1"/>
  <c r="GG128" i="1"/>
  <c r="GE128" i="1"/>
  <c r="GF128" i="1" s="1"/>
  <c r="GH128" i="1"/>
  <c r="GI128" i="1"/>
  <c r="GH126" i="1"/>
  <c r="GG126" i="1"/>
  <c r="GE126" i="1"/>
  <c r="GF126" i="1" s="1"/>
  <c r="GI126" i="1"/>
  <c r="GZ124" i="1"/>
  <c r="IE17" i="1" s="1"/>
  <c r="IA17" i="1"/>
  <c r="GT124" i="1"/>
  <c r="IC17" i="1" s="1"/>
  <c r="GR124" i="1"/>
  <c r="IB17" i="1" s="1"/>
  <c r="HY17" i="1"/>
  <c r="HA124" i="1"/>
  <c r="AT146" i="1"/>
  <c r="AS147" i="1"/>
  <c r="HN150" i="1"/>
  <c r="HT150" i="1"/>
  <c r="HM150" i="1"/>
  <c r="IB150" i="1"/>
  <c r="IE150" i="1"/>
  <c r="IA150" i="1"/>
  <c r="HV150" i="1"/>
  <c r="HZ150" i="1"/>
  <c r="HZ6" i="1" s="1"/>
  <c r="IC150" i="1"/>
  <c r="ID150" i="1"/>
  <c r="ID6" i="1" s="1"/>
  <c r="HY150" i="1"/>
  <c r="HQ150" i="1"/>
  <c r="HU150" i="1"/>
  <c r="HX150" i="1"/>
  <c r="HX6" i="1" s="1"/>
  <c r="HW150" i="1"/>
  <c r="HW6" i="1" s="1"/>
  <c r="HW4" i="1" s="1"/>
  <c r="HR150" i="1"/>
  <c r="FL132" i="1" l="1"/>
  <c r="FO132" i="1"/>
  <c r="HB132" i="1"/>
  <c r="HF132" i="1" s="1"/>
  <c r="HG132" i="1" s="1"/>
  <c r="HG8" i="1" s="1"/>
  <c r="EW132" i="1"/>
  <c r="EX132" i="1"/>
  <c r="FE132" i="1"/>
  <c r="FD132" i="1"/>
  <c r="FV132" i="1" s="1"/>
  <c r="GY126" i="1"/>
  <c r="GZ126" i="1" s="1"/>
  <c r="IE19" i="1" s="1"/>
  <c r="FM130" i="1"/>
  <c r="FN130" i="1" s="1"/>
  <c r="FJ130" i="1"/>
  <c r="GQ130" i="1" s="1"/>
  <c r="HQ23" i="1" s="1"/>
  <c r="FW130" i="1"/>
  <c r="FX130" i="1" s="1"/>
  <c r="FZ130" i="1" s="1"/>
  <c r="GS126" i="1"/>
  <c r="HA126" i="1" s="1"/>
  <c r="GY128" i="1"/>
  <c r="GS128" i="1"/>
  <c r="IA19" i="1"/>
  <c r="HY19" i="1"/>
  <c r="HD124" i="1"/>
  <c r="HC124" i="1"/>
  <c r="AT147" i="1"/>
  <c r="AS148" i="1"/>
  <c r="HH132" i="1" l="1"/>
  <c r="HH8" i="1" s="1"/>
  <c r="HF8" i="1" s="1"/>
  <c r="FH132" i="1"/>
  <c r="FU132" i="1"/>
  <c r="FG132" i="1"/>
  <c r="GR126" i="1"/>
  <c r="IB19" i="1" s="1"/>
  <c r="GT126" i="1"/>
  <c r="IC19" i="1" s="1"/>
  <c r="GD130" i="1"/>
  <c r="GP130" i="1"/>
  <c r="HR23" i="1" s="1"/>
  <c r="GA130" i="1"/>
  <c r="FP130" i="1"/>
  <c r="FR130" i="1"/>
  <c r="FQ130" i="1"/>
  <c r="GT128" i="1"/>
  <c r="IC21" i="1" s="1"/>
  <c r="GR128" i="1"/>
  <c r="IB21" i="1" s="1"/>
  <c r="HY21" i="1"/>
  <c r="HA128" i="1"/>
  <c r="GZ128" i="1"/>
  <c r="IE21" i="1" s="1"/>
  <c r="IA21" i="1"/>
  <c r="HC126" i="1"/>
  <c r="HD126" i="1"/>
  <c r="AT148" i="1"/>
  <c r="AS149" i="1"/>
  <c r="HE8" i="1" l="1"/>
  <c r="FJ132" i="1"/>
  <c r="GQ132" i="1" s="1"/>
  <c r="HQ25" i="1" s="1"/>
  <c r="FM132" i="1"/>
  <c r="FN132" i="1" s="1"/>
  <c r="FW132" i="1"/>
  <c r="FX132" i="1" s="1"/>
  <c r="FZ132" i="1" s="1"/>
  <c r="FS130" i="1"/>
  <c r="FT130" i="1"/>
  <c r="GC130" i="1"/>
  <c r="GB130" i="1"/>
  <c r="GI130" i="1" s="1"/>
  <c r="GO130" i="1"/>
  <c r="HM23" i="1" s="1"/>
  <c r="HC128" i="1"/>
  <c r="HD128" i="1"/>
  <c r="AT149" i="1"/>
  <c r="AS150" i="1"/>
  <c r="AT150" i="1" s="1"/>
  <c r="GD132" i="1" l="1"/>
  <c r="GP132" i="1"/>
  <c r="HR25" i="1" s="1"/>
  <c r="GA132" i="1"/>
  <c r="FP132" i="1"/>
  <c r="FQ132" i="1"/>
  <c r="FR132" i="1"/>
  <c r="GG130" i="1"/>
  <c r="GE130" i="1"/>
  <c r="GF130" i="1" s="1"/>
  <c r="GH130" i="1"/>
  <c r="FT132" i="1" l="1"/>
  <c r="FS132" i="1"/>
  <c r="GC132" i="1"/>
  <c r="GO132" i="1"/>
  <c r="HM25" i="1" s="1"/>
  <c r="GB132" i="1"/>
  <c r="GY130" i="1"/>
  <c r="GS130" i="1"/>
  <c r="GE132" i="1" l="1"/>
  <c r="GF132" i="1" s="1"/>
  <c r="GG132" i="1"/>
  <c r="GH132" i="1"/>
  <c r="GI132" i="1"/>
  <c r="HA130" i="1"/>
  <c r="GT130" i="1"/>
  <c r="IC23" i="1" s="1"/>
  <c r="GR130" i="1"/>
  <c r="IB23" i="1" s="1"/>
  <c r="HY23" i="1"/>
  <c r="GZ130" i="1"/>
  <c r="IE23" i="1" s="1"/>
  <c r="IA23" i="1"/>
  <c r="GS132" i="1" l="1"/>
  <c r="GS2" i="1" s="1"/>
  <c r="GY132" i="1"/>
  <c r="GY2" i="1" s="1"/>
  <c r="HD130" i="1"/>
  <c r="HC130" i="1"/>
  <c r="GZ132" i="1" l="1"/>
  <c r="IE25" i="1" s="1"/>
  <c r="IE6" i="1" s="1"/>
  <c r="IA25" i="1"/>
  <c r="IA6" i="1" s="1"/>
  <c r="GT132" i="1"/>
  <c r="IC25" i="1" s="1"/>
  <c r="IC6" i="1" s="1"/>
  <c r="GR132" i="1"/>
  <c r="HY25" i="1"/>
  <c r="HY6" i="1" s="1"/>
  <c r="HA132" i="1"/>
  <c r="IB25" i="1" l="1"/>
  <c r="IB6" i="1" s="1"/>
  <c r="GR2" i="1"/>
  <c r="HD132" i="1"/>
  <c r="HD8" i="1" s="1"/>
  <c r="HH3" i="1" s="1"/>
  <c r="HC132" i="1"/>
  <c r="HC8" i="1" s="1"/>
  <c r="HG3" i="1" l="1"/>
  <c r="HB8" i="1"/>
  <c r="HA8" i="1"/>
  <c r="HF3" i="1" l="1"/>
  <c r="HE3" i="1"/>
  <c r="HA4" i="1" l="1"/>
  <c r="HW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<sst xmlns="http://schemas.openxmlformats.org/spreadsheetml/2006/main" count="959" uniqueCount="407">
  <si>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</si>
  <si>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</si>
  <si>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</si>
  <si>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</si>
  <si>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</si>
  <si>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</si>
  <si>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</si>
  <si>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</si>
  <si>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</si>
  <si>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</si>
  <si>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</si>
  <si>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</si>
  <si>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</si>
  <si>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</si>
  <si>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</si>
  <si>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</si>
  <si>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</si>
  <si>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</si>
  <si>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</si>
  <si>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</si>
  <si>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</si>
  <si>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</si>
  <si>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</si>
  <si>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</si>
  <si>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</si>
  <si>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</si>
  <si>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</si>
  <si>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</si>
  <si>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</si>
  <si>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</si>
  <si>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</si>
  <si>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</si>
  <si>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</si>
  <si>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</si>
  <si>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</si>
  <si>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</si>
  <si>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</si>
  <si>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</si>
  <si>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</si>
  <si>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</si>
  <si>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</si>
  <si>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</si>
  <si>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</si>
  <si>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</si>
  <si>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</si>
  <si>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</si>
  <si>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</si>
  <si>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</si>
  <si>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</si>
  <si>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</si>
  <si>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</si>
  <si>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</si>
  <si>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</si>
  <si>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</si>
  <si>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</si>
  <si>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</si>
  <si>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</si>
  <si>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</si>
  <si>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</si>
  <si>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</si>
  <si>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</si>
  <si>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</si>
  <si>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</si>
  <si>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</si>
  <si>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</si>
  <si>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</si>
  <si>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</si>
  <si>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</si>
  <si>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</si>
  <si>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</si>
  <si>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</si>
  <si>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</si>
  <si>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</si>
  <si>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</si>
  <si>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</si>
  <si>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</si>
  <si>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</si>
  <si>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</si>
  <si>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</si>
  <si>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</si>
  <si>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</si>
  <si>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</si>
  <si>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</si>
  <si>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</si>
  <si>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</si>
  <si>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</si>
  <si>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</si>
  <si>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</si>
  <si>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</si>
  <si>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</si>
  <si>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</si>
  <si>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</si>
  <si>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</si>
  <si>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</si>
  <si>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</si>
  <si>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</si>
  <si>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</si>
  <si>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</si>
  <si>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</si>
  <si>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</si>
  <si>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</si>
  <si>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</si>
  <si>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</si>
  <si>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</si>
  <si>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</si>
  <si>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</si>
  <si>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</si>
  <si>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</si>
  <si>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</si>
  <si>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</si>
  <si>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</si>
  <si>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</si>
  <si>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</si>
  <si>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</si>
  <si>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</si>
  <si>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</si>
  <si>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</si>
  <si>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</si>
  <si>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</si>
  <si>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</si>
  <si>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</si>
  <si>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</si>
  <si>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</si>
  <si>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</si>
  <si>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</si>
  <si>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</si>
  <si>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</si>
  <si>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</si>
  <si>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</si>
  <si>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</si>
  <si>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</si>
  <si>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</si>
  <si>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</si>
  <si>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</si>
  <si>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</si>
  <si>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</si>
  <si>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</si>
  <si>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</si>
  <si>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</si>
  <si>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</si>
  <si>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</si>
  <si>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</si>
  <si>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</si>
  <si>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</si>
  <si>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</si>
  <si>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</si>
  <si>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</si>
  <si>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</si>
  <si>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</si>
  <si>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</si>
  <si>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</si>
  <si>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</si>
  <si>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</si>
  <si>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</si>
  <si>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</si>
  <si>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</si>
  <si>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</si>
  <si>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</si>
  <si>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</si>
  <si>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</si>
  <si>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</si>
  <si>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</si>
  <si>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</si>
  <si>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</si>
  <si>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</si>
  <si>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</si>
  <si>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</si>
  <si>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</si>
  <si>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</si>
  <si>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</si>
  <si>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</si>
  <si>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</si>
  <si>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</si>
  <si>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</si>
  <si>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</si>
  <si>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</si>
  <si>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</si>
  <si>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</si>
  <si>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</si>
  <si>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</si>
  <si>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</si>
  <si>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</si>
  <si>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</si>
  <si>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</si>
  <si>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</si>
  <si>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</si>
  <si>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</si>
  <si>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</si>
  <si>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</si>
  <si>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</si>
  <si>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</si>
  <si>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</si>
  <si>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</si>
  <si>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</si>
  <si>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</si>
  <si>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</si>
  <si>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</si>
  <si>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</si>
  <si>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</si>
  <si>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</si>
  <si>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</si>
  <si>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</si>
  <si>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</si>
  <si>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</si>
  <si>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</si>
  <si>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</si>
  <si>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</si>
  <si>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</si>
  <si>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</si>
  <si>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</si>
  <si>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</si>
  <si>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</si>
  <si>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</si>
  <si>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</si>
  <si>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</si>
  <si>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</si>
  <si>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</si>
  <si>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</si>
  <si>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</si>
  <si>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</si>
  <si>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</si>
  <si>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</si>
  <si>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</si>
  <si>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</si>
  <si>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</si>
  <si>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</si>
  <si>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</si>
  <si>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</si>
  <si>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</si>
  <si>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</si>
  <si>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</si>
  <si>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</si>
  <si>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</si>
  <si>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</si>
  <si>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</si>
  <si>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</si>
  <si>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</si>
  <si>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</si>
  <si>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</si>
  <si>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</si>
  <si>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</si>
  <si>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</si>
  <si>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</si>
  <si>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</si>
  <si>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</si>
  <si>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</si>
  <si>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</si>
  <si>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</si>
  <si>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</si>
  <si>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</si>
  <si>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</si>
  <si>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</si>
  <si>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</si>
  <si>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</si>
  <si>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</si>
  <si>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</si>
  <si>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</si>
  <si>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</si>
  <si>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</si>
  <si>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</si>
  <si>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</si>
  <si>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</si>
  <si>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</si>
  <si>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</si>
  <si>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</si>
  <si>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</si>
  <si>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</si>
  <si>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</si>
  <si>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</si>
  <si>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</si>
  <si>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</si>
  <si>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</si>
  <si>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</si>
  <si>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</si>
  <si>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</si>
  <si>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</si>
  <si>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</si>
  <si>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</si>
  <si>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</si>
  <si>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</si>
  <si>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</si>
  <si>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</si>
  <si>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</si>
  <si>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</si>
  <si>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</si>
  <si>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</si>
  <si>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</si>
  <si>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</si>
  <si>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</si>
  <si>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</si>
  <si>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</si>
  <si>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</si>
  <si>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</si>
  <si>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</si>
  <si>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</si>
  <si>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</si>
  <si>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</si>
  <si>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</si>
  <si>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</si>
  <si>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</si>
  <si>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</si>
  <si>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</si>
  <si>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</si>
  <si>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</si>
  <si>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</si>
  <si>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</si>
  <si>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</si>
  <si>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</si>
  <si>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</si>
  <si>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</si>
  <si>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</si>
  <si>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</si>
  <si>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</si>
  <si>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</si>
  <si>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</si>
  <si>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</si>
  <si>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</si>
  <si>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</si>
  <si>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</si>
  <si>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</si>
  <si>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</si>
  <si>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</si>
  <si>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</si>
  <si>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</si>
  <si>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</si>
  <si>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</si>
  <si>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</si>
  <si>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</si>
  <si>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</si>
  <si>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</si>
  <si>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</si>
  <si>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</si>
  <si>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</si>
  <si>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</si>
  <si>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</si>
  <si>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</si>
  <si>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</si>
  <si>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</si>
  <si>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</si>
  <si>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</si>
  <si>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</si>
  <si>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</si>
  <si>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</si>
  <si>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</si>
  <si>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</si>
  <si>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</si>
  <si>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</si>
  <si>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</si>
  <si>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</si>
  <si>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</si>
  <si>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</si>
  <si>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</si>
  <si>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</si>
  <si>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</si>
  <si>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</si>
  <si>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</si>
  <si>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</si>
  <si>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</si>
  <si>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</si>
  <si>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</si>
  <si>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</si>
  <si>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</si>
  <si>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</si>
  <si>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</si>
  <si>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</si>
  <si>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</si>
  <si>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</si>
  <si>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</si>
  <si>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</si>
  <si>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</si>
  <si>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</si>
  <si>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</si>
  <si>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</si>
  <si>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</si>
  <si>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</si>
  <si>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</si>
  <si>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</si>
  <si>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</si>
  <si>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</si>
  <si>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</si>
  <si>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</si>
  <si>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</si>
  <si>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</si>
  <si>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</si>
  <si>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</si>
  <si>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</si>
  <si>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</si>
  <si>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</si>
  <si>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</si>
  <si>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</si>
  <si>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</si>
  <si>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</si>
  <si>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</si>
  <si>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</si>
  <si>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</si>
  <si>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</si>
  <si>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</si>
  <si>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</si>
  <si>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</si>
  <si>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</si>
  <si>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</si>
  <si>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</si>
  <si>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</si>
  <si>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</si>
  <si>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</si>
  <si>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</si>
  <si>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3336r00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</si>
</sst>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42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26" fillId="68" borderId="30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7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68" borderId="136" xfId="0" applyFont="1" applyFill="1" applyBorder="1" applyAlignment="1">
      <alignment horizontal="center" vertical="center"/>
    </xf>
    <xf numFmtId="0" fontId="23" fillId="68" borderId="33" xfId="0" applyFont="1" applyFill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16.999997545504023</c:v>
                </c:pt>
                <c:pt idx="14">
                  <c:v>17.557234892466685</c:v>
                </c:pt>
                <c:pt idx="15">
                  <c:v>18.191791525237271</c:v>
                </c:pt>
                <c:pt idx="16">
                  <c:v>18.84716480429584</c:v>
                </c:pt>
                <c:pt idx="17">
                  <c:v>19.496204765841739</c:v>
                </c:pt>
                <c:pt idx="18">
                  <c:v>20.139507751966054</c:v>
                </c:pt>
                <c:pt idx="19">
                  <c:v>20.77316044123717</c:v>
                </c:pt>
                <c:pt idx="20">
                  <c:v>21.396027328803722</c:v>
                </c:pt>
                <c:pt idx="21">
                  <c:v>22.006106562992301</c:v>
                </c:pt>
                <c:pt idx="22">
                  <c:v>22.631945538722999</c:v>
                </c:pt>
                <c:pt idx="23">
                  <c:v>23.240909449771621</c:v>
                </c:pt>
                <c:pt idx="24">
                  <c:v>23.844168115410664</c:v>
                </c:pt>
                <c:pt idx="25">
                  <c:v>24.437356757626215</c:v>
                </c:pt>
                <c:pt idx="26">
                  <c:v>25.021322267368383</c:v>
                </c:pt>
                <c:pt idx="27">
                  <c:v>25.567195624126704</c:v>
                </c:pt>
                <c:pt idx="28">
                  <c:v>26.139590973359716</c:v>
                </c:pt>
                <c:pt idx="29">
                  <c:v>26.675149069588691</c:v>
                </c:pt>
                <c:pt idx="30">
                  <c:v>27.115551073509771</c:v>
                </c:pt>
                <c:pt idx="31">
                  <c:v>27.636408627754115</c:v>
                </c:pt>
                <c:pt idx="32">
                  <c:v>28.145671489683849</c:v>
                </c:pt>
                <c:pt idx="33">
                  <c:v>28.586335476153177</c:v>
                </c:pt>
                <c:pt idx="34">
                  <c:v>29.581606776662387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C31" sqref="C31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84" t="s">
        <v>77</v>
      </c>
      <c r="D1" s="984"/>
      <c r="E1" s="984"/>
      <c r="F1" s="984"/>
      <c r="G1" s="984"/>
      <c r="H1" s="984"/>
      <c r="I1" s="984"/>
      <c r="J1" s="984"/>
      <c r="K1" s="984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9" t="s">
        <v>80</v>
      </c>
      <c r="B6" s="1009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6" t="s">
        <v>370</v>
      </c>
      <c r="AQ7" s="1006"/>
      <c r="AR7" s="1006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9">
        <v>9</v>
      </c>
      <c r="D9" s="1003"/>
      <c r="E9" s="1003"/>
      <c r="F9" s="1003"/>
      <c r="G9" s="1003"/>
      <c r="H9" s="1003"/>
      <c r="I9" s="1003"/>
      <c r="J9" s="1003"/>
      <c r="K9" s="1000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21"/>
      <c r="C10" s="1022"/>
      <c r="D10" s="1022"/>
      <c r="E10" s="1022"/>
      <c r="F10" s="1022"/>
      <c r="G10" s="1022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7"/>
      <c r="B11" s="1010" t="s">
        <v>33</v>
      </c>
      <c r="C11" s="1015" t="s">
        <v>34</v>
      </c>
      <c r="D11" s="1015"/>
      <c r="E11" s="1014" t="s">
        <v>39</v>
      </c>
      <c r="F11" s="1010" t="s">
        <v>35</v>
      </c>
      <c r="G11" s="1010" t="s">
        <v>36</v>
      </c>
      <c r="H11" s="1010" t="s">
        <v>43</v>
      </c>
      <c r="I11" s="1001" t="s">
        <v>67</v>
      </c>
      <c r="J11" s="1015" t="s">
        <v>56</v>
      </c>
      <c r="K11" s="1015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24" t="s">
        <v>338</v>
      </c>
      <c r="AN11" s="1003"/>
      <c r="AO11" s="1003"/>
      <c r="AP11" s="1003"/>
      <c r="AQ11" s="1003"/>
      <c r="AR11" s="1025"/>
      <c r="AS11" s="1032" t="s">
        <v>345</v>
      </c>
      <c r="AT11" s="1033"/>
      <c r="AU11" s="1033"/>
      <c r="AV11" s="1034"/>
      <c r="BC11" s="419"/>
    </row>
    <row r="12" spans="1:55" ht="15.75" thickBot="1" x14ac:dyDescent="0.3">
      <c r="A12" s="1016"/>
      <c r="B12" s="1011"/>
      <c r="C12" s="48" t="s">
        <v>8</v>
      </c>
      <c r="D12" s="49" t="s">
        <v>10</v>
      </c>
      <c r="E12" s="1011"/>
      <c r="F12" s="1011"/>
      <c r="G12" s="1011"/>
      <c r="H12" s="1011"/>
      <c r="I12" s="1002"/>
      <c r="J12" s="52" t="s">
        <v>8</v>
      </c>
      <c r="K12" s="53" t="s">
        <v>10</v>
      </c>
      <c r="M12" s="31"/>
      <c r="N12" s="31"/>
      <c r="O12" s="993" t="s">
        <v>46</v>
      </c>
      <c r="P12" s="994"/>
      <c r="Q12" s="1012" t="s">
        <v>45</v>
      </c>
      <c r="R12" s="1013"/>
      <c r="S12" s="1013"/>
      <c r="T12" s="1013"/>
      <c r="U12" s="1013"/>
      <c r="V12" s="1013"/>
      <c r="W12" s="1013"/>
      <c r="X12" s="1013"/>
      <c r="Y12" s="1013"/>
      <c r="Z12" s="1013"/>
      <c r="AA12" s="1013"/>
      <c r="AB12" s="1013"/>
      <c r="AC12" s="1013"/>
      <c r="AD12" s="1013"/>
      <c r="AE12" s="999"/>
      <c r="AF12" s="987" t="s">
        <v>56</v>
      </c>
      <c r="AG12" s="988"/>
      <c r="AH12" s="31"/>
      <c r="AK12" s="1007" t="s">
        <v>346</v>
      </c>
      <c r="AL12" s="1023"/>
      <c r="AM12" s="1026" t="s">
        <v>343</v>
      </c>
      <c r="AN12" s="1027"/>
      <c r="AO12" s="1008"/>
      <c r="AP12" s="1007" t="s">
        <v>371</v>
      </c>
      <c r="AQ12" s="1008"/>
      <c r="AR12" s="743" t="s">
        <v>369</v>
      </c>
      <c r="AS12" s="1029" t="s">
        <v>343</v>
      </c>
      <c r="AT12" s="1008"/>
      <c r="AU12" s="1030" t="s">
        <v>344</v>
      </c>
      <c r="AV12" s="1031"/>
      <c r="AW12" s="1035" t="s">
        <v>342</v>
      </c>
      <c r="AX12" s="1036"/>
      <c r="AZ12" s="1007" t="s">
        <v>60</v>
      </c>
      <c r="BA12" s="1008"/>
      <c r="BC12" s="1028" t="s">
        <v>374</v>
      </c>
    </row>
    <row r="13" spans="1:55" ht="15.75" thickBot="1" x14ac:dyDescent="0.3">
      <c r="A13" s="63" t="s">
        <v>57</v>
      </c>
      <c r="B13" s="1017" t="s">
        <v>97</v>
      </c>
      <c r="C13" s="1019" t="str">
        <f>SUBSTITUTE(ADDRESS(1,COLUMN(Assy.Model!X9),4),"1","")</f>
        <v>X</v>
      </c>
      <c r="D13" s="97" t="str">
        <f>SUBSTITUTE(ADDRESS(1,COLUMN(Assy.Model!Y9),4),"1","")</f>
        <v>Y</v>
      </c>
      <c r="E13" s="1004" t="str">
        <f>SUBSTITUTE(ADDRESS(1,COLUMN(Assy.Model!H9),4),"1","")</f>
        <v>H</v>
      </c>
      <c r="F13" s="1004" t="str">
        <f>SUBSTITUTE(ADDRESS(1,COLUMN(Assy.Model!AN9),4),"1","")</f>
        <v>AN</v>
      </c>
      <c r="G13" s="1004" t="str">
        <f>SUBSTITUTE(ADDRESS(1,COLUMN(Assy.Model!AO9),4),"1","")</f>
        <v>AO</v>
      </c>
      <c r="H13" s="1004" t="str">
        <f>SUBSTITUTE(ADDRESS(1,COLUMN(Assy.Model!AO9),4),"1","")</f>
        <v>AO</v>
      </c>
      <c r="I13" s="1004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95"/>
      <c r="P13" s="996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28"/>
    </row>
    <row r="14" spans="1:55" x14ac:dyDescent="0.25">
      <c r="A14" s="61" t="s">
        <v>58</v>
      </c>
      <c r="B14" s="1018"/>
      <c r="C14" s="1020"/>
      <c r="D14" s="98" t="str">
        <f>SUBSTITUTE(ADDRESS(1,COLUMN(Assy.Model!AT9),4),"1","")</f>
        <v>AT</v>
      </c>
      <c r="E14" s="1005"/>
      <c r="F14" s="1005"/>
      <c r="G14" s="1005"/>
      <c r="H14" s="1005"/>
      <c r="I14" s="1005"/>
      <c r="J14" s="87">
        <v>0</v>
      </c>
      <c r="K14" s="88">
        <v>0</v>
      </c>
      <c r="L14" s="31"/>
      <c r="M14" s="185">
        <v>6.25E-2</v>
      </c>
      <c r="N14" s="31">
        <v>32</v>
      </c>
      <c r="O14" s="991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6" si="6">AK14</f>
        <v>1108</v>
      </c>
      <c r="AM14" s="694">
        <v>0.433</v>
      </c>
      <c r="AN14" s="191">
        <f t="shared" ref="AN14:AN1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17" si="8">($AN14-($AO14/2))</f>
        <v>0.315</v>
      </c>
      <c r="AR14" s="766">
        <f t="shared" ref="AR14:AR17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17" si="10">($AU14-$AT14)/2</f>
        <v>2.5000000000000022E-3</v>
      </c>
      <c r="AX14" s="698">
        <f t="shared" ref="AX14:AX17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47">_xlfn._xlws.FILTER(IF(AJ14:AJ60,AK14:AK60,""),IF(AJ14:AJ60,AK14:AK60,"")&lt;&gt;"")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91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16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17" si="14">($AM15+AS$9)</f>
        <v>0.432</v>
      </c>
      <c r="AT15" s="8">
        <f t="shared" si="14"/>
        <v>0.434</v>
      </c>
      <c r="AU15" s="173">
        <f t="shared" ref="AU15:AV1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91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91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ref="AI17" si="16">ROUND(((ROUND(AP17,6)*1000000)+AQ17),6)</f>
        <v>438000.52</v>
      </c>
      <c r="AJ17" s="780" t="b">
        <f>TRUE</f>
        <v>1</v>
      </c>
      <c r="AK17" s="683">
        <v>1113</v>
      </c>
      <c r="AL17" s="750">
        <f t="shared" ref="AL17" si="17">AK17</f>
        <v>1113</v>
      </c>
      <c r="AM17" s="689">
        <v>0.433</v>
      </c>
      <c r="AN17" s="5">
        <f t="shared" si="7"/>
        <v>0.52</v>
      </c>
      <c r="AO17" s="691"/>
      <c r="AP17" s="770">
        <f>($AM17+AP$9)+0.002</f>
        <v>0.438</v>
      </c>
      <c r="AQ17" s="8">
        <f t="shared" si="8"/>
        <v>0.52</v>
      </c>
      <c r="AR17" s="177">
        <f t="shared" si="9"/>
        <v>0.2165</v>
      </c>
      <c r="AS17" s="4">
        <f t="shared" si="14"/>
        <v>0.432</v>
      </c>
      <c r="AT17" s="8">
        <f t="shared" si="14"/>
        <v>0.434</v>
      </c>
      <c r="AU17" s="173">
        <f t="shared" si="15"/>
        <v>0.439</v>
      </c>
      <c r="AV17" s="6">
        <f t="shared" si="15"/>
        <v>0.442</v>
      </c>
      <c r="AW17" s="173">
        <f t="shared" si="10"/>
        <v>2.5000000000000022E-3</v>
      </c>
      <c r="AX17" s="8">
        <f t="shared" si="11"/>
        <v>5.0000000000000044E-3</v>
      </c>
      <c r="AY17" s="219"/>
      <c r="AZ17" s="746" t="s">
        <v>366</v>
      </c>
      <c r="BA17" s="691">
        <v>0.52</v>
      </c>
      <c r="BC17" s="82">
        <v>1113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91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ref="AI18:AI30" si="18">ROUND(((ROUND(AP18,6)*1000000)+AQ18),6)</f>
        <v>484000.52</v>
      </c>
      <c r="AJ18" s="780" t="b">
        <f>TRUE</f>
        <v>1</v>
      </c>
      <c r="AK18" s="683">
        <v>1213</v>
      </c>
      <c r="AL18" s="750">
        <f>AK18</f>
        <v>1213</v>
      </c>
      <c r="AM18" s="689">
        <v>0.48099999999999998</v>
      </c>
      <c r="AN18" s="5">
        <f t="shared" ref="AN18:AN28" si="19">INDEX($BA$14:$BA$18,MATCH(RIGHT($AK18,2),$AZ$14:$AZ$18,0))</f>
        <v>0.52</v>
      </c>
      <c r="AO18" s="691"/>
      <c r="AP18" s="9">
        <f t="shared" ref="AP18:AP28" si="20">($AM18+AP$9)</f>
        <v>0.48399999999999999</v>
      </c>
      <c r="AQ18" s="8">
        <f t="shared" ref="AQ18:AQ28" si="21">($AN18-($AO18/2))</f>
        <v>0.52</v>
      </c>
      <c r="AR18" s="177">
        <f t="shared" ref="AR18:AR37" si="22">IF($AO18&lt;0,$AO18/2,$AM18/2)</f>
        <v>0.24049999999999999</v>
      </c>
      <c r="AS18" s="4">
        <f t="shared" ref="AS18:AT34" si="23">($AM18+AS$9)</f>
        <v>0.48</v>
      </c>
      <c r="AT18" s="8">
        <f t="shared" si="23"/>
        <v>0.48199999999999998</v>
      </c>
      <c r="AU18" s="173">
        <f t="shared" ref="AU18:AV28" si="24">($AP18+AU$9)</f>
        <v>0.48499999999999999</v>
      </c>
      <c r="AV18" s="6">
        <f t="shared" si="24"/>
        <v>0.48799999999999999</v>
      </c>
      <c r="AW18" s="173">
        <f t="shared" ref="AW18:AW37" si="25">($AU18-$AT18)/2</f>
        <v>1.5000000000000013E-3</v>
      </c>
      <c r="AX18" s="8">
        <f t="shared" ref="AX18:AX37" si="26">($AV18-$AS18)/2</f>
        <v>4.0000000000000036E-3</v>
      </c>
      <c r="AY18" s="219"/>
      <c r="AZ18" s="747" t="s">
        <v>367</v>
      </c>
      <c r="BA18" s="692">
        <v>0.63</v>
      </c>
      <c r="BC18" s="82">
        <v>1213</v>
      </c>
    </row>
    <row r="19" spans="2:55" x14ac:dyDescent="0.25">
      <c r="B19" s="31" t="s">
        <v>79</v>
      </c>
      <c r="C19" s="74">
        <v>8.5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91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8"/>
        <v>532000.31499999994</v>
      </c>
      <c r="AJ19" s="780" t="b">
        <f>TRUE</f>
        <v>1</v>
      </c>
      <c r="AK19" s="683">
        <v>1308</v>
      </c>
      <c r="AL19" s="750">
        <f>AK19</f>
        <v>1308</v>
      </c>
      <c r="AM19" s="689">
        <v>0.52900000000000003</v>
      </c>
      <c r="AN19" s="5">
        <f t="shared" si="19"/>
        <v>0.315</v>
      </c>
      <c r="AO19" s="691"/>
      <c r="AP19" s="9">
        <f t="shared" si="20"/>
        <v>0.53200000000000003</v>
      </c>
      <c r="AQ19" s="8">
        <f t="shared" si="21"/>
        <v>0.315</v>
      </c>
      <c r="AR19" s="177">
        <f t="shared" si="22"/>
        <v>0.26450000000000001</v>
      </c>
      <c r="AS19" s="4">
        <f t="shared" si="23"/>
        <v>0.52800000000000002</v>
      </c>
      <c r="AT19" s="8">
        <f t="shared" si="23"/>
        <v>0.53</v>
      </c>
      <c r="AU19" s="173">
        <f t="shared" si="24"/>
        <v>0.53300000000000003</v>
      </c>
      <c r="AV19" s="6">
        <f t="shared" si="24"/>
        <v>0.53600000000000003</v>
      </c>
      <c r="AW19" s="173">
        <f t="shared" si="25"/>
        <v>1.5000000000000013E-3</v>
      </c>
      <c r="AX19" s="8">
        <f t="shared" si="26"/>
        <v>4.0000000000000036E-3</v>
      </c>
      <c r="BC19" s="82">
        <v>1308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92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8"/>
        <v>532000.39399999997</v>
      </c>
      <c r="AJ20" s="780" t="b">
        <f>TRUE</f>
        <v>1</v>
      </c>
      <c r="AK20" s="683">
        <v>1310</v>
      </c>
      <c r="AL20" s="750">
        <f>AK20</f>
        <v>1310</v>
      </c>
      <c r="AM20" s="689">
        <v>0.52900000000000003</v>
      </c>
      <c r="AN20" s="5">
        <f t="shared" si="19"/>
        <v>0.39400000000000002</v>
      </c>
      <c r="AO20" s="691"/>
      <c r="AP20" s="9">
        <f t="shared" si="20"/>
        <v>0.53200000000000003</v>
      </c>
      <c r="AQ20" s="8">
        <f t="shared" si="21"/>
        <v>0.39400000000000002</v>
      </c>
      <c r="AR20" s="177">
        <f t="shared" si="22"/>
        <v>0.26450000000000001</v>
      </c>
      <c r="AS20" s="4">
        <f t="shared" si="23"/>
        <v>0.52800000000000002</v>
      </c>
      <c r="AT20" s="8">
        <f t="shared" si="23"/>
        <v>0.53</v>
      </c>
      <c r="AU20" s="173">
        <f t="shared" si="24"/>
        <v>0.53300000000000003</v>
      </c>
      <c r="AV20" s="6">
        <f t="shared" si="24"/>
        <v>0.53600000000000003</v>
      </c>
      <c r="AW20" s="173">
        <f t="shared" si="25"/>
        <v>1.5000000000000013E-3</v>
      </c>
      <c r="AX20" s="8">
        <f t="shared" si="26"/>
        <v>4.0000000000000036E-3</v>
      </c>
      <c r="BC20" s="82">
        <v>1310</v>
      </c>
    </row>
    <row r="21" spans="2:55" x14ac:dyDescent="0.25">
      <c r="B21" s="999" t="s">
        <v>64</v>
      </c>
      <c r="C21" s="1003"/>
      <c r="D21" s="1003"/>
      <c r="E21" s="1003"/>
      <c r="F21" s="1000"/>
      <c r="G21" s="31"/>
      <c r="H21" s="31"/>
      <c r="I21" s="31"/>
      <c r="AI21" s="783">
        <f t="shared" si="18"/>
        <v>532000.52</v>
      </c>
      <c r="AJ21" s="780" t="b">
        <f>TRUE</f>
        <v>1</v>
      </c>
      <c r="AK21" s="683">
        <v>1313</v>
      </c>
      <c r="AL21" s="750">
        <f t="shared" ref="AL21:AL28" si="27">AK21</f>
        <v>1313</v>
      </c>
      <c r="AM21" s="689">
        <v>0.52900000000000003</v>
      </c>
      <c r="AN21" s="5">
        <f t="shared" si="19"/>
        <v>0.52</v>
      </c>
      <c r="AO21" s="691"/>
      <c r="AP21" s="9">
        <f t="shared" si="20"/>
        <v>0.53200000000000003</v>
      </c>
      <c r="AQ21" s="8">
        <f t="shared" si="21"/>
        <v>0.52</v>
      </c>
      <c r="AR21" s="177">
        <f t="shared" si="22"/>
        <v>0.26450000000000001</v>
      </c>
      <c r="AS21" s="4">
        <f t="shared" si="23"/>
        <v>0.52800000000000002</v>
      </c>
      <c r="AT21" s="8">
        <f t="shared" si="23"/>
        <v>0.53</v>
      </c>
      <c r="AU21" s="173">
        <f t="shared" si="24"/>
        <v>0.53300000000000003</v>
      </c>
      <c r="AV21" s="6">
        <f t="shared" si="24"/>
        <v>0.53600000000000003</v>
      </c>
      <c r="AW21" s="173">
        <f t="shared" si="25"/>
        <v>1.5000000000000013E-3</v>
      </c>
      <c r="AX21" s="8">
        <f t="shared" si="26"/>
        <v>4.0000000000000036E-3</v>
      </c>
      <c r="BC21" s="82">
        <v>1313</v>
      </c>
    </row>
    <row r="22" spans="2:55" x14ac:dyDescent="0.25">
      <c r="B22" s="997"/>
      <c r="C22" s="999" t="s">
        <v>63</v>
      </c>
      <c r="D22" s="1000"/>
      <c r="E22" s="1001" t="s">
        <v>60</v>
      </c>
      <c r="F22" s="1001" t="s">
        <v>61</v>
      </c>
      <c r="G22" s="31"/>
      <c r="H22" s="31"/>
      <c r="I22" s="31"/>
      <c r="AI22" s="783">
        <f t="shared" si="18"/>
        <v>580000.52</v>
      </c>
      <c r="AJ22" s="780" t="b">
        <f>TRUE</f>
        <v>1</v>
      </c>
      <c r="AK22" s="683">
        <v>1513</v>
      </c>
      <c r="AL22" s="750">
        <f t="shared" si="27"/>
        <v>1513</v>
      </c>
      <c r="AM22" s="689">
        <v>0.57699999999999996</v>
      </c>
      <c r="AN22" s="5">
        <f t="shared" si="19"/>
        <v>0.52</v>
      </c>
      <c r="AO22" s="691"/>
      <c r="AP22" s="9">
        <f t="shared" si="20"/>
        <v>0.57999999999999996</v>
      </c>
      <c r="AQ22" s="8">
        <f t="shared" si="21"/>
        <v>0.52</v>
      </c>
      <c r="AR22" s="177">
        <f t="shared" si="22"/>
        <v>0.28849999999999998</v>
      </c>
      <c r="AS22" s="4">
        <f t="shared" si="23"/>
        <v>0.57599999999999996</v>
      </c>
      <c r="AT22" s="8">
        <f t="shared" si="23"/>
        <v>0.57799999999999996</v>
      </c>
      <c r="AU22" s="173">
        <f t="shared" si="24"/>
        <v>0.58099999999999996</v>
      </c>
      <c r="AV22" s="6">
        <f t="shared" si="24"/>
        <v>0.58399999999999996</v>
      </c>
      <c r="AW22" s="173">
        <f t="shared" si="25"/>
        <v>1.5000000000000013E-3</v>
      </c>
      <c r="AX22" s="8">
        <f t="shared" si="26"/>
        <v>4.0000000000000036E-3</v>
      </c>
      <c r="BC22" s="82">
        <v>1513</v>
      </c>
    </row>
    <row r="23" spans="2:55" ht="15.75" thickBot="1" x14ac:dyDescent="0.3">
      <c r="B23" s="998"/>
      <c r="C23" s="56" t="s">
        <v>8</v>
      </c>
      <c r="D23" s="56" t="s">
        <v>9</v>
      </c>
      <c r="E23" s="1002"/>
      <c r="F23" s="1002"/>
      <c r="G23" s="31"/>
      <c r="H23" s="31"/>
      <c r="I23" s="31"/>
      <c r="N23" s="31"/>
      <c r="AI23" s="783">
        <f t="shared" si="18"/>
        <v>628000.31499999994</v>
      </c>
      <c r="AJ23" s="780" t="b">
        <f>TRUE</f>
        <v>1</v>
      </c>
      <c r="AK23" s="683">
        <v>1608</v>
      </c>
      <c r="AL23" s="750">
        <f t="shared" si="27"/>
        <v>1608</v>
      </c>
      <c r="AM23" s="689">
        <v>0.625</v>
      </c>
      <c r="AN23" s="5">
        <f t="shared" si="19"/>
        <v>0.315</v>
      </c>
      <c r="AO23" s="691"/>
      <c r="AP23" s="9">
        <f t="shared" si="20"/>
        <v>0.628</v>
      </c>
      <c r="AQ23" s="8">
        <f t="shared" si="21"/>
        <v>0.315</v>
      </c>
      <c r="AR23" s="177">
        <f t="shared" si="22"/>
        <v>0.3125</v>
      </c>
      <c r="AS23" s="4">
        <f t="shared" si="23"/>
        <v>0.624</v>
      </c>
      <c r="AT23" s="8">
        <f t="shared" si="23"/>
        <v>0.626</v>
      </c>
      <c r="AU23" s="173">
        <f t="shared" si="24"/>
        <v>0.629</v>
      </c>
      <c r="AV23" s="6">
        <f t="shared" si="24"/>
        <v>0.63200000000000001</v>
      </c>
      <c r="AW23" s="173">
        <f t="shared" si="25"/>
        <v>1.5000000000000013E-3</v>
      </c>
      <c r="AX23" s="8">
        <f t="shared" si="26"/>
        <v>4.0000000000000036E-3</v>
      </c>
      <c r="BC23" s="82">
        <v>1608</v>
      </c>
    </row>
    <row r="24" spans="2:55" x14ac:dyDescent="0.25">
      <c r="B24" s="54" t="s">
        <v>59</v>
      </c>
      <c r="C24" s="54">
        <v>0</v>
      </c>
      <c r="D24" s="989">
        <v>0</v>
      </c>
      <c r="E24" s="989">
        <v>2</v>
      </c>
      <c r="F24" s="989">
        <v>270</v>
      </c>
      <c r="G24" s="31"/>
      <c r="H24" s="31"/>
      <c r="I24" s="31"/>
      <c r="N24" s="31"/>
      <c r="AI24" s="783">
        <f t="shared" si="18"/>
        <v>628000.39399999997</v>
      </c>
      <c r="AJ24" s="780" t="b">
        <f>TRUE</f>
        <v>1</v>
      </c>
      <c r="AK24" s="683">
        <v>1610</v>
      </c>
      <c r="AL24" s="750">
        <f t="shared" si="27"/>
        <v>1610</v>
      </c>
      <c r="AM24" s="689">
        <v>0.625</v>
      </c>
      <c r="AN24" s="5">
        <f t="shared" si="19"/>
        <v>0.39400000000000002</v>
      </c>
      <c r="AO24" s="691"/>
      <c r="AP24" s="9">
        <f t="shared" si="20"/>
        <v>0.628</v>
      </c>
      <c r="AQ24" s="8">
        <f t="shared" si="21"/>
        <v>0.39400000000000002</v>
      </c>
      <c r="AR24" s="177">
        <f t="shared" si="22"/>
        <v>0.3125</v>
      </c>
      <c r="AS24" s="4">
        <f t="shared" si="23"/>
        <v>0.624</v>
      </c>
      <c r="AT24" s="8">
        <f t="shared" si="23"/>
        <v>0.626</v>
      </c>
      <c r="AU24" s="173">
        <f t="shared" si="24"/>
        <v>0.629</v>
      </c>
      <c r="AV24" s="6">
        <f t="shared" si="24"/>
        <v>0.63200000000000001</v>
      </c>
      <c r="AW24" s="173">
        <f t="shared" si="25"/>
        <v>1.5000000000000013E-3</v>
      </c>
      <c r="AX24" s="8">
        <f t="shared" si="26"/>
        <v>4.0000000000000036E-3</v>
      </c>
      <c r="BC24" s="82">
        <v>1610</v>
      </c>
    </row>
    <row r="25" spans="2:55" x14ac:dyDescent="0.25">
      <c r="B25" s="55" t="s">
        <v>62</v>
      </c>
      <c r="C25" s="84">
        <f>C19/2</f>
        <v>4.25</v>
      </c>
      <c r="D25" s="990"/>
      <c r="E25" s="990"/>
      <c r="F25" s="990"/>
      <c r="G25" s="31"/>
      <c r="H25" s="31"/>
      <c r="I25" s="31"/>
      <c r="AI25" s="783">
        <f t="shared" si="18"/>
        <v>628000.52</v>
      </c>
      <c r="AJ25" s="780" t="b">
        <f>TRUE</f>
        <v>1</v>
      </c>
      <c r="AK25" s="683">
        <v>1613</v>
      </c>
      <c r="AL25" s="750">
        <f t="shared" si="27"/>
        <v>1613</v>
      </c>
      <c r="AM25" s="689">
        <v>0.625</v>
      </c>
      <c r="AN25" s="5">
        <f t="shared" si="19"/>
        <v>0.52</v>
      </c>
      <c r="AO25" s="691"/>
      <c r="AP25" s="9">
        <f t="shared" si="20"/>
        <v>0.628</v>
      </c>
      <c r="AQ25" s="8">
        <f t="shared" si="21"/>
        <v>0.52</v>
      </c>
      <c r="AR25" s="177">
        <f t="shared" si="22"/>
        <v>0.3125</v>
      </c>
      <c r="AS25" s="4">
        <f t="shared" si="23"/>
        <v>0.624</v>
      </c>
      <c r="AT25" s="8">
        <f t="shared" si="23"/>
        <v>0.626</v>
      </c>
      <c r="AU25" s="173">
        <f t="shared" si="24"/>
        <v>0.629</v>
      </c>
      <c r="AV25" s="6">
        <f t="shared" si="24"/>
        <v>0.63200000000000001</v>
      </c>
      <c r="AW25" s="173">
        <f t="shared" si="25"/>
        <v>1.5000000000000013E-3</v>
      </c>
      <c r="AX25" s="8">
        <f t="shared" si="26"/>
        <v>4.0000000000000036E-3</v>
      </c>
      <c r="BC25" s="82">
        <v>1613</v>
      </c>
    </row>
    <row r="26" spans="2:55" x14ac:dyDescent="0.25">
      <c r="G26" s="31"/>
      <c r="H26" s="31"/>
      <c r="I26" s="31"/>
      <c r="AI26" s="783">
        <f t="shared" si="18"/>
        <v>668000.52</v>
      </c>
      <c r="AJ26" s="780" t="b">
        <f>TRUE</f>
        <v>1</v>
      </c>
      <c r="AK26" s="683">
        <v>1713</v>
      </c>
      <c r="AL26" s="750">
        <f t="shared" si="27"/>
        <v>1713</v>
      </c>
      <c r="AM26" s="689">
        <v>0.66500000000000004</v>
      </c>
      <c r="AN26" s="5">
        <f t="shared" si="19"/>
        <v>0.52</v>
      </c>
      <c r="AO26" s="691"/>
      <c r="AP26" s="9">
        <f t="shared" si="20"/>
        <v>0.66800000000000004</v>
      </c>
      <c r="AQ26" s="8">
        <f t="shared" si="21"/>
        <v>0.52</v>
      </c>
      <c r="AR26" s="177">
        <f t="shared" si="22"/>
        <v>0.33250000000000002</v>
      </c>
      <c r="AS26" s="4">
        <f t="shared" si="23"/>
        <v>0.66400000000000003</v>
      </c>
      <c r="AT26" s="8">
        <f t="shared" si="23"/>
        <v>0.66600000000000004</v>
      </c>
      <c r="AU26" s="173">
        <f t="shared" si="24"/>
        <v>0.66900000000000004</v>
      </c>
      <c r="AV26" s="6">
        <f t="shared" si="24"/>
        <v>0.67200000000000004</v>
      </c>
      <c r="AW26" s="173">
        <f t="shared" si="25"/>
        <v>1.5000000000000013E-3</v>
      </c>
      <c r="AX26" s="8">
        <f t="shared" si="26"/>
        <v>4.0000000000000036E-3</v>
      </c>
      <c r="BC26" s="82">
        <v>1713</v>
      </c>
    </row>
    <row r="27" spans="2:55" x14ac:dyDescent="0.25">
      <c r="B27" s="985" t="s">
        <v>302</v>
      </c>
      <c r="C27" s="985"/>
      <c r="D27" s="985"/>
      <c r="E27" s="985"/>
      <c r="F27" s="985"/>
      <c r="G27" s="31"/>
      <c r="H27" s="31"/>
      <c r="I27" s="31"/>
      <c r="AI27" s="783">
        <f t="shared" si="18"/>
        <v>711000.52</v>
      </c>
      <c r="AJ27" s="780" t="b">
        <f>TRUE</f>
        <v>1</v>
      </c>
      <c r="AK27" s="683">
        <v>1813</v>
      </c>
      <c r="AL27" s="750">
        <f t="shared" si="27"/>
        <v>1813</v>
      </c>
      <c r="AM27" s="689">
        <v>0.70799999999999996</v>
      </c>
      <c r="AN27" s="5">
        <f t="shared" si="19"/>
        <v>0.52</v>
      </c>
      <c r="AO27" s="691"/>
      <c r="AP27" s="9">
        <f t="shared" si="20"/>
        <v>0.71099999999999997</v>
      </c>
      <c r="AQ27" s="8">
        <f t="shared" si="21"/>
        <v>0.52</v>
      </c>
      <c r="AR27" s="177">
        <f t="shared" si="22"/>
        <v>0.35399999999999998</v>
      </c>
      <c r="AS27" s="4">
        <f t="shared" si="23"/>
        <v>0.70699999999999996</v>
      </c>
      <c r="AT27" s="8">
        <f t="shared" si="23"/>
        <v>0.70899999999999996</v>
      </c>
      <c r="AU27" s="173">
        <f t="shared" si="24"/>
        <v>0.71199999999999997</v>
      </c>
      <c r="AV27" s="6">
        <f t="shared" si="24"/>
        <v>0.71499999999999997</v>
      </c>
      <c r="AW27" s="173">
        <f t="shared" si="25"/>
        <v>1.5000000000000013E-3</v>
      </c>
      <c r="AX27" s="8">
        <f t="shared" si="26"/>
        <v>4.0000000000000036E-3</v>
      </c>
      <c r="BC27" s="82">
        <v>1813</v>
      </c>
    </row>
    <row r="28" spans="2:55" ht="15.75" thickBot="1" x14ac:dyDescent="0.3">
      <c r="B28" s="986" t="s">
        <v>406</v>
      </c>
      <c r="C28" s="986"/>
      <c r="D28" s="986"/>
      <c r="E28" s="986"/>
      <c r="F28" s="986"/>
      <c r="G28" s="31"/>
      <c r="H28" s="31"/>
      <c r="I28" s="31"/>
      <c r="AI28" s="783">
        <f t="shared" si="18"/>
        <v>753000.52</v>
      </c>
      <c r="AJ28" s="780" t="b">
        <f>TRUE</f>
        <v>1</v>
      </c>
      <c r="AK28" s="48">
        <v>1913</v>
      </c>
      <c r="AL28" s="751">
        <f t="shared" si="27"/>
        <v>1913</v>
      </c>
      <c r="AM28" s="752">
        <v>0.75</v>
      </c>
      <c r="AN28" s="494">
        <f t="shared" si="19"/>
        <v>0.52</v>
      </c>
      <c r="AO28" s="753"/>
      <c r="AP28" s="496">
        <f t="shared" si="20"/>
        <v>0.753</v>
      </c>
      <c r="AQ28" s="499">
        <f t="shared" si="21"/>
        <v>0.52</v>
      </c>
      <c r="AR28" s="506">
        <f t="shared" si="22"/>
        <v>0.375</v>
      </c>
      <c r="AS28" s="498">
        <f t="shared" si="23"/>
        <v>0.749</v>
      </c>
      <c r="AT28" s="499">
        <f t="shared" si="23"/>
        <v>0.751</v>
      </c>
      <c r="AU28" s="502">
        <f t="shared" si="24"/>
        <v>0.754</v>
      </c>
      <c r="AV28" s="497">
        <f t="shared" si="24"/>
        <v>0.75700000000000001</v>
      </c>
      <c r="AW28" s="502">
        <f t="shared" si="25"/>
        <v>1.5000000000000013E-3</v>
      </c>
      <c r="AX28" s="499">
        <f t="shared" si="26"/>
        <v>4.0000000000000036E-3</v>
      </c>
      <c r="BC28" s="82">
        <v>1913</v>
      </c>
    </row>
    <row r="29" spans="2:55" x14ac:dyDescent="0.25">
      <c r="B29" s="96"/>
      <c r="D29" s="96"/>
      <c r="AI29" s="783">
        <f t="shared" si="18"/>
        <v>390000.212</v>
      </c>
      <c r="AJ29" s="780" t="b">
        <v>1</v>
      </c>
      <c r="AK29" s="754" t="s">
        <v>330</v>
      </c>
      <c r="AL29" s="755" t="s">
        <v>332</v>
      </c>
      <c r="AM29" s="756">
        <v>0.38</v>
      </c>
      <c r="AN29" s="757">
        <v>0.438</v>
      </c>
      <c r="AO29" s="758">
        <f>0.225*2</f>
        <v>0.45</v>
      </c>
      <c r="AP29" s="772">
        <f t="shared" ref="AP29:AP34" si="28">($AM29+AP$9)+0.007</f>
        <v>0.39</v>
      </c>
      <c r="AQ29" s="771">
        <f>($AN29-($AO29/2))-0.001</f>
        <v>0.21199999999999999</v>
      </c>
      <c r="AR29" s="767">
        <f t="shared" si="22"/>
        <v>0.19</v>
      </c>
      <c r="AS29" s="760">
        <f t="shared" si="23"/>
        <v>0.379</v>
      </c>
      <c r="AT29" s="761">
        <f t="shared" si="23"/>
        <v>0.38100000000000001</v>
      </c>
      <c r="AU29" s="778">
        <f>($AP29+AU$9)-0.002</f>
        <v>0.38900000000000001</v>
      </c>
      <c r="AV29" s="779">
        <f>($AP29+AV$9)-0.002</f>
        <v>0.39200000000000002</v>
      </c>
      <c r="AW29" s="759">
        <f t="shared" si="25"/>
        <v>4.0000000000000036E-3</v>
      </c>
      <c r="AX29" s="761">
        <f t="shared" si="26"/>
        <v>6.5000000000000058E-3</v>
      </c>
      <c r="BC29" s="82" t="str">
        <v>CPS-31783r1</v>
      </c>
    </row>
    <row r="30" spans="2:55" x14ac:dyDescent="0.25">
      <c r="AF30" s="96"/>
      <c r="AI30" s="783">
        <f t="shared" si="18"/>
        <v>390000.43800000002</v>
      </c>
      <c r="AJ30" s="780" t="b">
        <f>TRUE</f>
        <v>1</v>
      </c>
      <c r="AK30" s="815" t="s">
        <v>381</v>
      </c>
      <c r="AL30" s="687" t="s">
        <v>332</v>
      </c>
      <c r="AM30" s="689">
        <v>0.38</v>
      </c>
      <c r="AN30" s="684">
        <v>0.438</v>
      </c>
      <c r="AO30" s="691">
        <f>0.225*2</f>
        <v>0.45</v>
      </c>
      <c r="AP30" s="770">
        <f t="shared" si="28"/>
        <v>0.39</v>
      </c>
      <c r="AQ30" s="774">
        <f>AN30</f>
        <v>0.438</v>
      </c>
      <c r="AR30" s="177">
        <f t="shared" si="22"/>
        <v>0.19</v>
      </c>
      <c r="AS30" s="4">
        <f t="shared" si="23"/>
        <v>0.379</v>
      </c>
      <c r="AT30" s="8">
        <f t="shared" si="23"/>
        <v>0.38100000000000001</v>
      </c>
      <c r="AU30" s="762">
        <f>($AP30+AU$9)-0.002</f>
        <v>0.38900000000000001</v>
      </c>
      <c r="AV30" s="763">
        <f>($AP30+AV$9)-0.002</f>
        <v>0.39200000000000002</v>
      </c>
      <c r="AW30" s="173">
        <f t="shared" si="25"/>
        <v>4.0000000000000036E-3</v>
      </c>
      <c r="AX30" s="8">
        <f t="shared" si="26"/>
        <v>6.5000000000000058E-3</v>
      </c>
      <c r="BC30" s="82" t="str">
        <v>&lt;&gt;CS CPS-31783r1</v>
      </c>
    </row>
    <row r="31" spans="2:55" x14ac:dyDescent="0.25">
      <c r="AF31" s="96"/>
      <c r="AI31" s="783">
        <f t="shared" ref="AI31:AI37" si="29">ROUND(((ROUND(AP31,6)*1000000)+AQ31),6)</f>
        <v>514000.45500000002</v>
      </c>
      <c r="AJ31" s="780" t="b">
        <v>0</v>
      </c>
      <c r="AK31" s="683" t="s">
        <v>327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8"/>
        <v>0.51400000000000001</v>
      </c>
      <c r="AQ31" s="8">
        <f>($AN31-($AO31/2))</f>
        <v>0.45499999999999996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5"/>
        <v>3.5000000000000031E-3</v>
      </c>
      <c r="AX31" s="8">
        <f t="shared" si="26"/>
        <v>5.5000000000000049E-3</v>
      </c>
      <c r="BC31" s="82" t="str">
        <v>CPS-32193r1</v>
      </c>
    </row>
    <row r="32" spans="2:55" x14ac:dyDescent="0.25">
      <c r="AI32" s="783">
        <f t="shared" si="29"/>
        <v>514000.71</v>
      </c>
      <c r="AJ32" s="780" t="b">
        <v>0</v>
      </c>
      <c r="AK32" s="815" t="s">
        <v>383</v>
      </c>
      <c r="AL32" s="687" t="s">
        <v>333</v>
      </c>
      <c r="AM32" s="689">
        <v>0.504</v>
      </c>
      <c r="AN32" s="684">
        <v>0.71</v>
      </c>
      <c r="AO32" s="691">
        <f>0.255*2</f>
        <v>0.51</v>
      </c>
      <c r="AP32" s="770">
        <f t="shared" si="28"/>
        <v>0.51400000000000001</v>
      </c>
      <c r="AQ32" s="774">
        <f>AN32</f>
        <v>0.71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5"/>
        <v>3.5000000000000031E-3</v>
      </c>
      <c r="AX32" s="8">
        <f t="shared" si="26"/>
        <v>5.5000000000000049E-3</v>
      </c>
      <c r="BC32" s="82" t="str">
        <v>&lt;&gt;CS CPS-32193r1</v>
      </c>
    </row>
    <row r="33" spans="35:55" x14ac:dyDescent="0.25">
      <c r="AI33" s="783">
        <f t="shared" si="29"/>
        <v>514000.41499999998</v>
      </c>
      <c r="AJ33" s="780" t="b">
        <f>TRUE</f>
        <v>1</v>
      </c>
      <c r="AK33" s="683" t="s">
        <v>325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8"/>
        <v>0.51400000000000001</v>
      </c>
      <c r="AQ33" s="8">
        <f>($AN33-($AO33/2))</f>
        <v>0.41500000000000004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5"/>
        <v>3.5000000000000031E-3</v>
      </c>
      <c r="AX33" s="8">
        <f t="shared" si="26"/>
        <v>5.5000000000000049E-3</v>
      </c>
      <c r="BC33" s="82">
        <v>1213</v>
      </c>
    </row>
    <row r="34" spans="35:55" x14ac:dyDescent="0.25">
      <c r="AI34" s="783">
        <f t="shared" si="29"/>
        <v>514000.67</v>
      </c>
      <c r="AJ34" s="780" t="b">
        <f>TRUE</f>
        <v>1</v>
      </c>
      <c r="AK34" s="815" t="s">
        <v>382</v>
      </c>
      <c r="AL34" s="687" t="s">
        <v>333</v>
      </c>
      <c r="AM34" s="689">
        <v>0.504</v>
      </c>
      <c r="AN34" s="684">
        <v>0.67</v>
      </c>
      <c r="AO34" s="691">
        <f>0.255*2</f>
        <v>0.51</v>
      </c>
      <c r="AP34" s="770">
        <f t="shared" si="28"/>
        <v>0.51400000000000001</v>
      </c>
      <c r="AQ34" s="774">
        <f>AN34</f>
        <v>0.67</v>
      </c>
      <c r="AR34" s="177">
        <f t="shared" si="22"/>
        <v>0.252</v>
      </c>
      <c r="AS34" s="4">
        <f t="shared" si="23"/>
        <v>0.503</v>
      </c>
      <c r="AT34" s="8">
        <f t="shared" si="23"/>
        <v>0.505</v>
      </c>
      <c r="AU34" s="762">
        <f>($AP34+AU$9)-0.003</f>
        <v>0.51200000000000001</v>
      </c>
      <c r="AV34" s="763">
        <f>($AP34+AV$9)-0.004</f>
        <v>0.51400000000000001</v>
      </c>
      <c r="AW34" s="173">
        <f t="shared" si="25"/>
        <v>3.5000000000000031E-3</v>
      </c>
      <c r="AX34" s="8">
        <f t="shared" si="26"/>
        <v>5.5000000000000049E-3</v>
      </c>
      <c r="BC34" s="82">
        <v>1308</v>
      </c>
    </row>
    <row r="35" spans="35:55" ht="15" customHeight="1" x14ac:dyDescent="0.25">
      <c r="AI35" s="783">
        <f t="shared" si="29"/>
        <v>450000.33189999999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8">
        <f>($AN35-($AO35/2))</f>
        <v>0.33190000000000008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5"/>
        <v>2.150000000000013E-3</v>
      </c>
      <c r="AX35" s="8">
        <f t="shared" si="26"/>
        <v>5.3499999999999936E-3</v>
      </c>
      <c r="BC35" s="82">
        <v>1310</v>
      </c>
    </row>
    <row r="36" spans="35:55" x14ac:dyDescent="0.25">
      <c r="AI36" s="783">
        <f t="shared" si="29"/>
        <v>450000.33199999999</v>
      </c>
      <c r="AJ36" s="780" t="b">
        <f>FALSE</f>
        <v>0</v>
      </c>
      <c r="AK36" s="683" t="s">
        <v>331</v>
      </c>
      <c r="AL36" s="687" t="s">
        <v>334</v>
      </c>
      <c r="AM36" s="689">
        <v>0.4415</v>
      </c>
      <c r="AN36" s="684">
        <v>0.55000000000000004</v>
      </c>
      <c r="AO36" s="691">
        <f>0.2181*2</f>
        <v>0.43619999999999998</v>
      </c>
      <c r="AP36" s="770">
        <f>($AM36+AP$9)+0.0055</f>
        <v>0.45</v>
      </c>
      <c r="AQ36" s="774">
        <f>($AN36-($AO36/2))+0.0001</f>
        <v>0.33200000000000007</v>
      </c>
      <c r="AR36" s="177">
        <f t="shared" si="22"/>
        <v>0.22075</v>
      </c>
      <c r="AS36" s="775">
        <f>($AM36+AS$9)+0.0008</f>
        <v>0.44130000000000003</v>
      </c>
      <c r="AT36" s="774">
        <f>($AM36+AT$9)-0.0008</f>
        <v>0.44169999999999998</v>
      </c>
      <c r="AU36" s="762">
        <f>($AP36+AU$9)-0.005</f>
        <v>0.44600000000000001</v>
      </c>
      <c r="AV36" s="763">
        <f>($AP36+AV$9)-0.002</f>
        <v>0.45200000000000001</v>
      </c>
      <c r="AW36" s="173">
        <f t="shared" si="25"/>
        <v>2.150000000000013E-3</v>
      </c>
      <c r="AX36" s="8">
        <f t="shared" si="26"/>
        <v>5.3499999999999936E-3</v>
      </c>
      <c r="BC36" s="82">
        <v>1313</v>
      </c>
    </row>
    <row r="37" spans="35:55" x14ac:dyDescent="0.25">
      <c r="AI37" s="783">
        <f t="shared" si="29"/>
        <v>525000.40700000001</v>
      </c>
      <c r="AJ37" s="780" t="b">
        <f>FALSE</f>
        <v>0</v>
      </c>
      <c r="AK37" s="685" t="s">
        <v>326</v>
      </c>
      <c r="AL37" s="688" t="s">
        <v>335</v>
      </c>
      <c r="AM37" s="690">
        <v>0.51459999999999995</v>
      </c>
      <c r="AN37" s="686">
        <v>0.67</v>
      </c>
      <c r="AO37" s="692">
        <f>0.263*2</f>
        <v>0.52600000000000002</v>
      </c>
      <c r="AP37" s="773">
        <f>($AM37+AP$9)+0.0074</f>
        <v>0.52499999999999991</v>
      </c>
      <c r="AQ37" s="665">
        <f>($AN37-($AO37/2))</f>
        <v>0.40700000000000003</v>
      </c>
      <c r="AR37" s="768">
        <f t="shared" si="22"/>
        <v>0.25729999999999997</v>
      </c>
      <c r="AS37" s="776">
        <f>($AM37+AS$9)+0.0008</f>
        <v>0.51439999999999997</v>
      </c>
      <c r="AT37" s="777">
        <f>($AM37+AT$9)-0.0008</f>
        <v>0.51479999999999992</v>
      </c>
      <c r="AU37" s="764">
        <f>($AP37+AU$9)-0.005</f>
        <v>0.52099999999999991</v>
      </c>
      <c r="AV37" s="765">
        <f>($AP37+AV$9)-0.002</f>
        <v>0.52699999999999991</v>
      </c>
      <c r="AW37" s="176">
        <f t="shared" si="25"/>
        <v>3.0999999999999917E-3</v>
      </c>
      <c r="AX37" s="665">
        <f t="shared" si="26"/>
        <v>6.2999999999999723E-3</v>
      </c>
      <c r="BC37" s="82">
        <v>1513</v>
      </c>
    </row>
    <row r="38" spans="35:55" x14ac:dyDescent="0.25">
      <c r="AI38" s="417"/>
      <c r="AJ38" s="417"/>
      <c r="AK38" s="417"/>
      <c r="AL38" s="417"/>
      <c r="BC38" s="82">
        <v>1608</v>
      </c>
    </row>
    <row r="39" spans="35:55" x14ac:dyDescent="0.25">
      <c r="AI39" s="417"/>
      <c r="AK39" s="417"/>
      <c r="AL39" s="417"/>
      <c r="BC39" s="82">
        <v>1610</v>
      </c>
    </row>
    <row r="40" spans="35:55" x14ac:dyDescent="0.25">
      <c r="AI40" s="417"/>
      <c r="AJ40" s="417"/>
      <c r="AK40" s="417"/>
      <c r="AL40" s="417"/>
      <c r="BC40" s="82">
        <v>1613</v>
      </c>
    </row>
    <row r="41" spans="35:55" x14ac:dyDescent="0.25">
      <c r="AI41" s="783">
        <f t="shared" ref="AI41:AI53" si="30">ROUND(((ROUND(AP41,6)*1000000)+AQ41),6)</f>
        <v>484000.52</v>
      </c>
      <c r="AJ41" s="780" t="b">
        <f>TRUE</f>
        <v>1</v>
      </c>
      <c r="AK41" s="683">
        <v>1213</v>
      </c>
      <c r="AL41" s="750">
        <f>AK41</f>
        <v>1213</v>
      </c>
      <c r="AM41" s="689">
        <v>0.48099999999999998</v>
      </c>
      <c r="AN41" s="5">
        <f t="shared" ref="AN41:AN51" si="31">INDEX($BA$14:$BA$18,MATCH(RIGHT($AK41,2),$AZ$14:$AZ$18,0))</f>
        <v>0.52</v>
      </c>
      <c r="AO41" s="691"/>
      <c r="AP41" s="9">
        <f t="shared" ref="AP41:AP51" si="32">($AM41+AP$9)</f>
        <v>0.48399999999999999</v>
      </c>
      <c r="AQ41" s="8">
        <f t="shared" ref="AQ41:AQ51" si="33">($AN41-($AO41/2))</f>
        <v>0.52</v>
      </c>
      <c r="AR41" s="177">
        <f t="shared" ref="AR41:AR60" si="34">IF($AO41&lt;0,$AO41/2,$AM41/2)</f>
        <v>0.24049999999999999</v>
      </c>
      <c r="AS41" s="4">
        <f t="shared" ref="AS41:AT57" si="35">($AM41+AS$9)</f>
        <v>0.48</v>
      </c>
      <c r="AT41" s="8">
        <f t="shared" si="35"/>
        <v>0.48199999999999998</v>
      </c>
      <c r="AU41" s="173">
        <f t="shared" ref="AU41:AV51" si="36">($AP41+AU$9)</f>
        <v>0.48499999999999999</v>
      </c>
      <c r="AV41" s="6">
        <f t="shared" si="36"/>
        <v>0.48799999999999999</v>
      </c>
      <c r="AW41" s="173">
        <f t="shared" ref="AW41:AW60" si="37">($AU41-$AT41)/2</f>
        <v>1.5000000000000013E-3</v>
      </c>
      <c r="AX41" s="8">
        <f t="shared" ref="AX41:AX60" si="38">($AV41-$AS41)/2</f>
        <v>4.0000000000000036E-3</v>
      </c>
      <c r="BC41" s="82">
        <v>1713</v>
      </c>
    </row>
    <row r="42" spans="35:55" x14ac:dyDescent="0.25">
      <c r="AI42" s="783">
        <f t="shared" si="30"/>
        <v>532000.31499999994</v>
      </c>
      <c r="AJ42" s="780" t="b">
        <f>TRUE</f>
        <v>1</v>
      </c>
      <c r="AK42" s="683">
        <v>1308</v>
      </c>
      <c r="AL42" s="750">
        <f>AK42</f>
        <v>1308</v>
      </c>
      <c r="AM42" s="689">
        <v>0.52900000000000003</v>
      </c>
      <c r="AN42" s="5">
        <f t="shared" si="31"/>
        <v>0.315</v>
      </c>
      <c r="AO42" s="691"/>
      <c r="AP42" s="9">
        <f t="shared" si="32"/>
        <v>0.53200000000000003</v>
      </c>
      <c r="AQ42" s="8">
        <f t="shared" si="33"/>
        <v>0.315</v>
      </c>
      <c r="AR42" s="177">
        <f t="shared" si="34"/>
        <v>0.26450000000000001</v>
      </c>
      <c r="AS42" s="4">
        <f t="shared" si="35"/>
        <v>0.52800000000000002</v>
      </c>
      <c r="AT42" s="8">
        <f t="shared" si="35"/>
        <v>0.53</v>
      </c>
      <c r="AU42" s="173">
        <f t="shared" si="36"/>
        <v>0.53300000000000003</v>
      </c>
      <c r="AV42" s="6">
        <f t="shared" si="36"/>
        <v>0.53600000000000003</v>
      </c>
      <c r="AW42" s="173">
        <f t="shared" si="37"/>
        <v>1.5000000000000013E-3</v>
      </c>
      <c r="AX42" s="8">
        <f t="shared" si="38"/>
        <v>4.0000000000000036E-3</v>
      </c>
      <c r="BC42" s="82">
        <v>1813</v>
      </c>
    </row>
    <row r="43" spans="35:55" x14ac:dyDescent="0.25">
      <c r="AI43" s="783">
        <f t="shared" si="30"/>
        <v>532000.39399999997</v>
      </c>
      <c r="AJ43" s="780" t="b">
        <f>TRUE</f>
        <v>1</v>
      </c>
      <c r="AK43" s="683">
        <v>1310</v>
      </c>
      <c r="AL43" s="750">
        <f>AK43</f>
        <v>1310</v>
      </c>
      <c r="AM43" s="689">
        <v>0.52900000000000003</v>
      </c>
      <c r="AN43" s="5">
        <f t="shared" si="31"/>
        <v>0.39400000000000002</v>
      </c>
      <c r="AO43" s="691"/>
      <c r="AP43" s="9">
        <f t="shared" si="32"/>
        <v>0.53200000000000003</v>
      </c>
      <c r="AQ43" s="8">
        <f t="shared" si="33"/>
        <v>0.39400000000000002</v>
      </c>
      <c r="AR43" s="177">
        <f t="shared" si="34"/>
        <v>0.26450000000000001</v>
      </c>
      <c r="AS43" s="4">
        <f t="shared" si="35"/>
        <v>0.52800000000000002</v>
      </c>
      <c r="AT43" s="8">
        <f t="shared" si="35"/>
        <v>0.53</v>
      </c>
      <c r="AU43" s="173">
        <f t="shared" si="36"/>
        <v>0.53300000000000003</v>
      </c>
      <c r="AV43" s="6">
        <f t="shared" si="36"/>
        <v>0.53600000000000003</v>
      </c>
      <c r="AW43" s="173">
        <f t="shared" si="37"/>
        <v>1.5000000000000013E-3</v>
      </c>
      <c r="AX43" s="8">
        <f t="shared" si="38"/>
        <v>4.0000000000000036E-3</v>
      </c>
      <c r="BC43" s="82">
        <v>1913</v>
      </c>
    </row>
    <row r="44" spans="35:55" x14ac:dyDescent="0.25">
      <c r="AI44" s="783">
        <f t="shared" si="30"/>
        <v>532000.52</v>
      </c>
      <c r="AJ44" s="780" t="b">
        <f>TRUE</f>
        <v>1</v>
      </c>
      <c r="AK44" s="683">
        <v>1313</v>
      </c>
      <c r="AL44" s="750">
        <f t="shared" ref="AL44:AL51" si="39">AK44</f>
        <v>1313</v>
      </c>
      <c r="AM44" s="689">
        <v>0.52900000000000003</v>
      </c>
      <c r="AN44" s="5">
        <f t="shared" si="31"/>
        <v>0.52</v>
      </c>
      <c r="AO44" s="691"/>
      <c r="AP44" s="9">
        <f t="shared" si="32"/>
        <v>0.53200000000000003</v>
      </c>
      <c r="AQ44" s="8">
        <f t="shared" si="33"/>
        <v>0.52</v>
      </c>
      <c r="AR44" s="177">
        <f t="shared" si="34"/>
        <v>0.26450000000000001</v>
      </c>
      <c r="AS44" s="4">
        <f t="shared" si="35"/>
        <v>0.52800000000000002</v>
      </c>
      <c r="AT44" s="8">
        <f t="shared" si="35"/>
        <v>0.53</v>
      </c>
      <c r="AU44" s="173">
        <f t="shared" si="36"/>
        <v>0.53300000000000003</v>
      </c>
      <c r="AV44" s="6">
        <f t="shared" si="36"/>
        <v>0.53600000000000003</v>
      </c>
      <c r="AW44" s="173">
        <f t="shared" si="37"/>
        <v>1.5000000000000013E-3</v>
      </c>
      <c r="AX44" s="8">
        <f t="shared" si="38"/>
        <v>4.0000000000000036E-3</v>
      </c>
      <c r="BC44" s="82" t="str">
        <v>CPS-31783r1</v>
      </c>
    </row>
    <row r="45" spans="35:55" x14ac:dyDescent="0.25">
      <c r="AI45" s="783">
        <f t="shared" si="30"/>
        <v>580000.52</v>
      </c>
      <c r="AJ45" s="780" t="b">
        <f>TRUE</f>
        <v>1</v>
      </c>
      <c r="AK45" s="683">
        <v>1513</v>
      </c>
      <c r="AL45" s="750">
        <f t="shared" si="39"/>
        <v>1513</v>
      </c>
      <c r="AM45" s="689">
        <v>0.57699999999999996</v>
      </c>
      <c r="AN45" s="5">
        <f t="shared" si="31"/>
        <v>0.52</v>
      </c>
      <c r="AO45" s="691"/>
      <c r="AP45" s="9">
        <f t="shared" si="32"/>
        <v>0.57999999999999996</v>
      </c>
      <c r="AQ45" s="8">
        <f t="shared" si="33"/>
        <v>0.52</v>
      </c>
      <c r="AR45" s="177">
        <f t="shared" si="34"/>
        <v>0.28849999999999998</v>
      </c>
      <c r="AS45" s="4">
        <f t="shared" si="35"/>
        <v>0.57599999999999996</v>
      </c>
      <c r="AT45" s="8">
        <f t="shared" si="35"/>
        <v>0.57799999999999996</v>
      </c>
      <c r="AU45" s="173">
        <f t="shared" si="36"/>
        <v>0.58099999999999996</v>
      </c>
      <c r="AV45" s="6">
        <f t="shared" si="36"/>
        <v>0.58399999999999996</v>
      </c>
      <c r="AW45" s="173">
        <f t="shared" si="37"/>
        <v>1.5000000000000013E-3</v>
      </c>
      <c r="AX45" s="8">
        <f t="shared" si="38"/>
        <v>4.0000000000000036E-3</v>
      </c>
      <c r="BC45" s="82" t="str">
        <v>&lt;&gt;CS CPS-31783r1</v>
      </c>
    </row>
    <row r="46" spans="35:55" ht="15" customHeight="1" x14ac:dyDescent="0.25">
      <c r="AI46" s="783">
        <f t="shared" si="30"/>
        <v>628000.31499999994</v>
      </c>
      <c r="AJ46" s="780" t="b">
        <f>TRUE</f>
        <v>1</v>
      </c>
      <c r="AK46" s="683">
        <v>1608</v>
      </c>
      <c r="AL46" s="750">
        <f t="shared" si="39"/>
        <v>1608</v>
      </c>
      <c r="AM46" s="689">
        <v>0.625</v>
      </c>
      <c r="AN46" s="5">
        <f t="shared" si="31"/>
        <v>0.315</v>
      </c>
      <c r="AO46" s="691"/>
      <c r="AP46" s="9">
        <f t="shared" si="32"/>
        <v>0.628</v>
      </c>
      <c r="AQ46" s="8">
        <f t="shared" si="33"/>
        <v>0.315</v>
      </c>
      <c r="AR46" s="177">
        <f t="shared" si="34"/>
        <v>0.3125</v>
      </c>
      <c r="AS46" s="4">
        <f t="shared" si="35"/>
        <v>0.624</v>
      </c>
      <c r="AT46" s="8">
        <f t="shared" si="35"/>
        <v>0.626</v>
      </c>
      <c r="AU46" s="173">
        <f t="shared" si="36"/>
        <v>0.629</v>
      </c>
      <c r="AV46" s="6">
        <f t="shared" si="36"/>
        <v>0.63200000000000001</v>
      </c>
      <c r="AW46" s="173">
        <f t="shared" si="37"/>
        <v>1.5000000000000013E-3</v>
      </c>
      <c r="AX46" s="8">
        <f t="shared" si="38"/>
        <v>4.0000000000000036E-3</v>
      </c>
      <c r="BC46" s="82" t="str">
        <v>CPS-32193r1</v>
      </c>
    </row>
    <row r="47" spans="35:55" x14ac:dyDescent="0.25">
      <c r="AI47" s="783">
        <f t="shared" si="30"/>
        <v>628000.39399999997</v>
      </c>
      <c r="AJ47" s="780" t="b">
        <f>TRUE</f>
        <v>1</v>
      </c>
      <c r="AK47" s="683">
        <v>1610</v>
      </c>
      <c r="AL47" s="750">
        <f t="shared" si="39"/>
        <v>1610</v>
      </c>
      <c r="AM47" s="689">
        <v>0.625</v>
      </c>
      <c r="AN47" s="5">
        <f t="shared" si="31"/>
        <v>0.39400000000000002</v>
      </c>
      <c r="AO47" s="691"/>
      <c r="AP47" s="9">
        <f t="shared" si="32"/>
        <v>0.628</v>
      </c>
      <c r="AQ47" s="8">
        <f t="shared" si="33"/>
        <v>0.39400000000000002</v>
      </c>
      <c r="AR47" s="177">
        <f t="shared" si="34"/>
        <v>0.3125</v>
      </c>
      <c r="AS47" s="4">
        <f t="shared" si="35"/>
        <v>0.624</v>
      </c>
      <c r="AT47" s="8">
        <f t="shared" si="35"/>
        <v>0.626</v>
      </c>
      <c r="AU47" s="173">
        <f t="shared" si="36"/>
        <v>0.629</v>
      </c>
      <c r="AV47" s="6">
        <f t="shared" si="36"/>
        <v>0.63200000000000001</v>
      </c>
      <c r="AW47" s="173">
        <f t="shared" si="37"/>
        <v>1.5000000000000013E-3</v>
      </c>
      <c r="AX47" s="8">
        <f t="shared" si="38"/>
        <v>4.0000000000000036E-3</v>
      </c>
      <c r="BC47" s="82" t="str">
        <v>&lt;&gt;CS CPS-32193r1</v>
      </c>
    </row>
    <row r="48" spans="35:55" x14ac:dyDescent="0.25">
      <c r="AI48" s="783">
        <f t="shared" si="30"/>
        <v>628000.52</v>
      </c>
      <c r="AJ48" s="780" t="b">
        <f>TRUE</f>
        <v>1</v>
      </c>
      <c r="AK48" s="683">
        <v>1613</v>
      </c>
      <c r="AL48" s="750">
        <f t="shared" si="39"/>
        <v>1613</v>
      </c>
      <c r="AM48" s="689">
        <v>0.625</v>
      </c>
      <c r="AN48" s="5">
        <f t="shared" si="31"/>
        <v>0.52</v>
      </c>
      <c r="AO48" s="691"/>
      <c r="AP48" s="9">
        <f t="shared" si="32"/>
        <v>0.628</v>
      </c>
      <c r="AQ48" s="8">
        <f t="shared" si="33"/>
        <v>0.52</v>
      </c>
      <c r="AR48" s="177">
        <f t="shared" si="34"/>
        <v>0.3125</v>
      </c>
      <c r="AS48" s="4">
        <f t="shared" si="35"/>
        <v>0.624</v>
      </c>
      <c r="AT48" s="8">
        <f t="shared" si="35"/>
        <v>0.626</v>
      </c>
      <c r="AU48" s="173">
        <f t="shared" si="36"/>
        <v>0.629</v>
      </c>
      <c r="AV48" s="6">
        <f t="shared" si="36"/>
        <v>0.63200000000000001</v>
      </c>
      <c r="AW48" s="173">
        <f t="shared" si="37"/>
        <v>1.5000000000000013E-3</v>
      </c>
      <c r="AX48" s="8">
        <f t="shared" si="38"/>
        <v>4.0000000000000036E-3</v>
      </c>
    </row>
    <row r="49" spans="2:50" x14ac:dyDescent="0.25">
      <c r="AI49" s="783">
        <f t="shared" si="30"/>
        <v>668000.52</v>
      </c>
      <c r="AJ49" s="780" t="b">
        <f>TRUE</f>
        <v>1</v>
      </c>
      <c r="AK49" s="683">
        <v>1713</v>
      </c>
      <c r="AL49" s="750">
        <f t="shared" si="39"/>
        <v>1713</v>
      </c>
      <c r="AM49" s="689">
        <v>0.66500000000000004</v>
      </c>
      <c r="AN49" s="5">
        <f t="shared" si="31"/>
        <v>0.52</v>
      </c>
      <c r="AO49" s="691"/>
      <c r="AP49" s="9">
        <f t="shared" si="32"/>
        <v>0.66800000000000004</v>
      </c>
      <c r="AQ49" s="8">
        <f t="shared" si="33"/>
        <v>0.52</v>
      </c>
      <c r="AR49" s="177">
        <f t="shared" si="34"/>
        <v>0.33250000000000002</v>
      </c>
      <c r="AS49" s="4">
        <f t="shared" si="35"/>
        <v>0.66400000000000003</v>
      </c>
      <c r="AT49" s="8">
        <f t="shared" si="35"/>
        <v>0.66600000000000004</v>
      </c>
      <c r="AU49" s="173">
        <f t="shared" si="36"/>
        <v>0.66900000000000004</v>
      </c>
      <c r="AV49" s="6">
        <f t="shared" si="36"/>
        <v>0.67200000000000004</v>
      </c>
      <c r="AW49" s="173">
        <f t="shared" si="37"/>
        <v>1.5000000000000013E-3</v>
      </c>
      <c r="AX49" s="8">
        <f t="shared" si="38"/>
        <v>4.0000000000000036E-3</v>
      </c>
    </row>
    <row r="50" spans="2:50" x14ac:dyDescent="0.25">
      <c r="AI50" s="783">
        <f t="shared" si="30"/>
        <v>711000.52</v>
      </c>
      <c r="AJ50" s="780" t="b">
        <f>TRUE</f>
        <v>1</v>
      </c>
      <c r="AK50" s="683">
        <v>1813</v>
      </c>
      <c r="AL50" s="750">
        <f t="shared" si="39"/>
        <v>1813</v>
      </c>
      <c r="AM50" s="689">
        <v>0.70799999999999996</v>
      </c>
      <c r="AN50" s="5">
        <f t="shared" si="31"/>
        <v>0.52</v>
      </c>
      <c r="AO50" s="691"/>
      <c r="AP50" s="9">
        <f t="shared" si="32"/>
        <v>0.71099999999999997</v>
      </c>
      <c r="AQ50" s="8">
        <f t="shared" si="33"/>
        <v>0.52</v>
      </c>
      <c r="AR50" s="177">
        <f t="shared" si="34"/>
        <v>0.35399999999999998</v>
      </c>
      <c r="AS50" s="4">
        <f t="shared" si="35"/>
        <v>0.70699999999999996</v>
      </c>
      <c r="AT50" s="8">
        <f t="shared" si="35"/>
        <v>0.70899999999999996</v>
      </c>
      <c r="AU50" s="173">
        <f t="shared" si="36"/>
        <v>0.71199999999999997</v>
      </c>
      <c r="AV50" s="6">
        <f t="shared" si="36"/>
        <v>0.71499999999999997</v>
      </c>
      <c r="AW50" s="173">
        <f t="shared" si="37"/>
        <v>1.5000000000000013E-3</v>
      </c>
      <c r="AX50" s="8">
        <f t="shared" si="38"/>
        <v>4.0000000000000036E-3</v>
      </c>
    </row>
    <row r="51" spans="2:50" ht="15.75" thickBot="1" x14ac:dyDescent="0.3">
      <c r="AI51" s="783">
        <f t="shared" si="30"/>
        <v>753000.52</v>
      </c>
      <c r="AJ51" s="780" t="b">
        <f>TRUE</f>
        <v>1</v>
      </c>
      <c r="AK51" s="48">
        <v>1913</v>
      </c>
      <c r="AL51" s="751">
        <f t="shared" si="39"/>
        <v>1913</v>
      </c>
      <c r="AM51" s="752">
        <v>0.75</v>
      </c>
      <c r="AN51" s="494">
        <f t="shared" si="31"/>
        <v>0.52</v>
      </c>
      <c r="AO51" s="753"/>
      <c r="AP51" s="496">
        <f t="shared" si="32"/>
        <v>0.753</v>
      </c>
      <c r="AQ51" s="499">
        <f t="shared" si="33"/>
        <v>0.52</v>
      </c>
      <c r="AR51" s="506">
        <f t="shared" si="34"/>
        <v>0.375</v>
      </c>
      <c r="AS51" s="498">
        <f t="shared" si="35"/>
        <v>0.749</v>
      </c>
      <c r="AT51" s="499">
        <f t="shared" si="35"/>
        <v>0.751</v>
      </c>
      <c r="AU51" s="502">
        <f t="shared" si="36"/>
        <v>0.754</v>
      </c>
      <c r="AV51" s="497">
        <f t="shared" si="36"/>
        <v>0.75700000000000001</v>
      </c>
      <c r="AW51" s="502">
        <f t="shared" si="37"/>
        <v>1.5000000000000013E-3</v>
      </c>
      <c r="AX51" s="499">
        <f t="shared" si="38"/>
        <v>4.0000000000000036E-3</v>
      </c>
    </row>
    <row r="52" spans="2:50" x14ac:dyDescent="0.25">
      <c r="AI52" s="783">
        <f t="shared" si="30"/>
        <v>390000.212</v>
      </c>
      <c r="AJ52" s="780" t="b">
        <v>1</v>
      </c>
      <c r="AK52" s="754" t="s">
        <v>330</v>
      </c>
      <c r="AL52" s="755" t="s">
        <v>332</v>
      </c>
      <c r="AM52" s="756">
        <v>0.38</v>
      </c>
      <c r="AN52" s="757">
        <v>0.438</v>
      </c>
      <c r="AO52" s="758">
        <f>0.225*2</f>
        <v>0.45</v>
      </c>
      <c r="AP52" s="772">
        <f t="shared" ref="AP52:AP57" si="40">($AM52+AP$9)+0.007</f>
        <v>0.39</v>
      </c>
      <c r="AQ52" s="771">
        <f>($AN52-($AO52/2))-0.001</f>
        <v>0.21199999999999999</v>
      </c>
      <c r="AR52" s="767">
        <f t="shared" si="34"/>
        <v>0.19</v>
      </c>
      <c r="AS52" s="760">
        <f t="shared" si="35"/>
        <v>0.379</v>
      </c>
      <c r="AT52" s="761">
        <f t="shared" si="35"/>
        <v>0.38100000000000001</v>
      </c>
      <c r="AU52" s="778">
        <f>($AP52+AU$9)-0.002</f>
        <v>0.38900000000000001</v>
      </c>
      <c r="AV52" s="779">
        <f>($AP52+AV$9)-0.002</f>
        <v>0.39200000000000002</v>
      </c>
      <c r="AW52" s="759">
        <f t="shared" si="37"/>
        <v>4.0000000000000036E-3</v>
      </c>
      <c r="AX52" s="761">
        <f t="shared" si="38"/>
        <v>6.5000000000000058E-3</v>
      </c>
    </row>
    <row r="53" spans="2:50" x14ac:dyDescent="0.25">
      <c r="AI53" s="783">
        <f t="shared" si="30"/>
        <v>390000.43800000002</v>
      </c>
      <c r="AJ53" s="780" t="b">
        <f>TRUE</f>
        <v>1</v>
      </c>
      <c r="AK53" s="815" t="s">
        <v>381</v>
      </c>
      <c r="AL53" s="687" t="s">
        <v>332</v>
      </c>
      <c r="AM53" s="689">
        <v>0.38</v>
      </c>
      <c r="AN53" s="684">
        <v>0.438</v>
      </c>
      <c r="AO53" s="691">
        <f>0.225*2</f>
        <v>0.45</v>
      </c>
      <c r="AP53" s="770">
        <f t="shared" si="40"/>
        <v>0.39</v>
      </c>
      <c r="AQ53" s="774">
        <f>AN53</f>
        <v>0.438</v>
      </c>
      <c r="AR53" s="177">
        <f t="shared" si="34"/>
        <v>0.19</v>
      </c>
      <c r="AS53" s="4">
        <f t="shared" si="35"/>
        <v>0.379</v>
      </c>
      <c r="AT53" s="8">
        <f t="shared" si="35"/>
        <v>0.38100000000000001</v>
      </c>
      <c r="AU53" s="762">
        <f>($AP53+AU$9)-0.002</f>
        <v>0.38900000000000001</v>
      </c>
      <c r="AV53" s="763">
        <f>($AP53+AV$9)-0.002</f>
        <v>0.39200000000000002</v>
      </c>
      <c r="AW53" s="173">
        <f t="shared" si="37"/>
        <v>4.0000000000000036E-3</v>
      </c>
      <c r="AX53" s="8">
        <f t="shared" si="38"/>
        <v>6.5000000000000058E-3</v>
      </c>
    </row>
    <row r="54" spans="2:50" x14ac:dyDescent="0.25">
      <c r="AI54" s="783">
        <f t="shared" ref="AI54:AI60" si="41">ROUND(((ROUND(AP54,6)*1000000)+AQ54),6)</f>
        <v>514000.45500000002</v>
      </c>
      <c r="AJ54" s="780" t="b">
        <v>0</v>
      </c>
      <c r="AK54" s="683" t="s">
        <v>327</v>
      </c>
      <c r="AL54" s="687" t="s">
        <v>333</v>
      </c>
      <c r="AM54" s="689">
        <v>0.504</v>
      </c>
      <c r="AN54" s="684">
        <v>0.71</v>
      </c>
      <c r="AO54" s="691">
        <f>0.255*2</f>
        <v>0.51</v>
      </c>
      <c r="AP54" s="770">
        <f t="shared" si="40"/>
        <v>0.51400000000000001</v>
      </c>
      <c r="AQ54" s="8">
        <f>($AN54-($AO54/2))</f>
        <v>0.45499999999999996</v>
      </c>
      <c r="AR54" s="177">
        <f t="shared" si="34"/>
        <v>0.252</v>
      </c>
      <c r="AS54" s="4">
        <f t="shared" si="35"/>
        <v>0.503</v>
      </c>
      <c r="AT54" s="8">
        <f t="shared" si="35"/>
        <v>0.505</v>
      </c>
      <c r="AU54" s="762">
        <f>($AP54+AU$9)-0.003</f>
        <v>0.51200000000000001</v>
      </c>
      <c r="AV54" s="763">
        <f>($AP54+AV$9)-0.004</f>
        <v>0.51400000000000001</v>
      </c>
      <c r="AW54" s="173">
        <f t="shared" si="37"/>
        <v>3.5000000000000031E-3</v>
      </c>
      <c r="AX54" s="8">
        <f t="shared" si="38"/>
        <v>5.5000000000000049E-3</v>
      </c>
    </row>
    <row r="55" spans="2:50" x14ac:dyDescent="0.25">
      <c r="AI55" s="783">
        <f t="shared" si="41"/>
        <v>514000.71</v>
      </c>
      <c r="AJ55" s="780" t="b">
        <v>0</v>
      </c>
      <c r="AK55" s="815" t="s">
        <v>383</v>
      </c>
      <c r="AL55" s="687" t="s">
        <v>333</v>
      </c>
      <c r="AM55" s="689">
        <v>0.504</v>
      </c>
      <c r="AN55" s="684">
        <v>0.71</v>
      </c>
      <c r="AO55" s="691">
        <f>0.255*2</f>
        <v>0.51</v>
      </c>
      <c r="AP55" s="770">
        <f t="shared" si="40"/>
        <v>0.51400000000000001</v>
      </c>
      <c r="AQ55" s="774">
        <f>AN55</f>
        <v>0.71</v>
      </c>
      <c r="AR55" s="177">
        <f t="shared" si="34"/>
        <v>0.252</v>
      </c>
      <c r="AS55" s="4">
        <f t="shared" si="35"/>
        <v>0.503</v>
      </c>
      <c r="AT55" s="8">
        <f t="shared" si="35"/>
        <v>0.505</v>
      </c>
      <c r="AU55" s="762">
        <f>($AP55+AU$9)-0.003</f>
        <v>0.51200000000000001</v>
      </c>
      <c r="AV55" s="763">
        <f>($AP55+AV$9)-0.004</f>
        <v>0.51400000000000001</v>
      </c>
      <c r="AW55" s="173">
        <f t="shared" si="37"/>
        <v>3.5000000000000031E-3</v>
      </c>
      <c r="AX55" s="8">
        <f t="shared" si="38"/>
        <v>5.5000000000000049E-3</v>
      </c>
    </row>
    <row r="56" spans="2:50" x14ac:dyDescent="0.25">
      <c r="AI56" s="783">
        <f t="shared" si="41"/>
        <v>514000.41499999998</v>
      </c>
      <c r="AJ56" s="780" t="b">
        <f>TRUE</f>
        <v>1</v>
      </c>
      <c r="AK56" s="683" t="s">
        <v>325</v>
      </c>
      <c r="AL56" s="687" t="s">
        <v>333</v>
      </c>
      <c r="AM56" s="689">
        <v>0.504</v>
      </c>
      <c r="AN56" s="684">
        <v>0.67</v>
      </c>
      <c r="AO56" s="691">
        <f>0.255*2</f>
        <v>0.51</v>
      </c>
      <c r="AP56" s="770">
        <f t="shared" si="40"/>
        <v>0.51400000000000001</v>
      </c>
      <c r="AQ56" s="8">
        <f>($AN56-($AO56/2))</f>
        <v>0.41500000000000004</v>
      </c>
      <c r="AR56" s="177">
        <f t="shared" si="34"/>
        <v>0.252</v>
      </c>
      <c r="AS56" s="4">
        <f t="shared" si="35"/>
        <v>0.503</v>
      </c>
      <c r="AT56" s="8">
        <f t="shared" si="35"/>
        <v>0.505</v>
      </c>
      <c r="AU56" s="762">
        <f>($AP56+AU$9)-0.003</f>
        <v>0.51200000000000001</v>
      </c>
      <c r="AV56" s="763">
        <f>($AP56+AV$9)-0.004</f>
        <v>0.51400000000000001</v>
      </c>
      <c r="AW56" s="173">
        <f t="shared" si="37"/>
        <v>3.5000000000000031E-3</v>
      </c>
      <c r="AX56" s="8">
        <f t="shared" si="38"/>
        <v>5.5000000000000049E-3</v>
      </c>
    </row>
    <row r="57" spans="2:50" x14ac:dyDescent="0.25">
      <c r="AI57" s="783">
        <f t="shared" si="41"/>
        <v>514000.67</v>
      </c>
      <c r="AJ57" s="780" t="b">
        <f>TRUE</f>
        <v>1</v>
      </c>
      <c r="AK57" s="815" t="s">
        <v>382</v>
      </c>
      <c r="AL57" s="687" t="s">
        <v>333</v>
      </c>
      <c r="AM57" s="689">
        <v>0.504</v>
      </c>
      <c r="AN57" s="684">
        <v>0.67</v>
      </c>
      <c r="AO57" s="691">
        <f>0.255*2</f>
        <v>0.51</v>
      </c>
      <c r="AP57" s="770">
        <f t="shared" si="40"/>
        <v>0.51400000000000001</v>
      </c>
      <c r="AQ57" s="774">
        <f>AN57</f>
        <v>0.67</v>
      </c>
      <c r="AR57" s="177">
        <f t="shared" si="34"/>
        <v>0.252</v>
      </c>
      <c r="AS57" s="4">
        <f t="shared" si="35"/>
        <v>0.503</v>
      </c>
      <c r="AT57" s="8">
        <f t="shared" si="35"/>
        <v>0.505</v>
      </c>
      <c r="AU57" s="762">
        <f>($AP57+AU$9)-0.003</f>
        <v>0.51200000000000001</v>
      </c>
      <c r="AV57" s="763">
        <f>($AP57+AV$9)-0.004</f>
        <v>0.51400000000000001</v>
      </c>
      <c r="AW57" s="173">
        <f t="shared" si="37"/>
        <v>3.5000000000000031E-3</v>
      </c>
      <c r="AX57" s="8">
        <f t="shared" si="38"/>
        <v>5.5000000000000049E-3</v>
      </c>
    </row>
    <row r="58" spans="2:50" x14ac:dyDescent="0.25">
      <c r="AI58" s="783">
        <f t="shared" si="41"/>
        <v>450000.33189999999</v>
      </c>
      <c r="AJ58" s="780" t="b">
        <f>FALSE</f>
        <v>0</v>
      </c>
      <c r="AK58" s="683" t="s">
        <v>331</v>
      </c>
      <c r="AL58" s="687" t="s">
        <v>334</v>
      </c>
      <c r="AM58" s="689">
        <v>0.4415</v>
      </c>
      <c r="AN58" s="684">
        <v>0.55000000000000004</v>
      </c>
      <c r="AO58" s="691">
        <f>0.2181*2</f>
        <v>0.43619999999999998</v>
      </c>
      <c r="AP58" s="770">
        <f>($AM58+AP$9)+0.0055</f>
        <v>0.45</v>
      </c>
      <c r="AQ58" s="8">
        <f>($AN58-($AO58/2))</f>
        <v>0.33190000000000008</v>
      </c>
      <c r="AR58" s="177">
        <f t="shared" si="34"/>
        <v>0.22075</v>
      </c>
      <c r="AS58" s="775">
        <f>($AM58+AS$9)+0.0008</f>
        <v>0.44130000000000003</v>
      </c>
      <c r="AT58" s="774">
        <f>($AM58+AT$9)-0.0008</f>
        <v>0.44169999999999998</v>
      </c>
      <c r="AU58" s="762">
        <f>($AP58+AU$9)-0.005</f>
        <v>0.44600000000000001</v>
      </c>
      <c r="AV58" s="763">
        <f>($AP58+AV$9)-0.002</f>
        <v>0.45200000000000001</v>
      </c>
      <c r="AW58" s="173">
        <f t="shared" si="37"/>
        <v>2.150000000000013E-3</v>
      </c>
      <c r="AX58" s="8">
        <f t="shared" si="38"/>
        <v>5.3499999999999936E-3</v>
      </c>
    </row>
    <row r="59" spans="2:50" x14ac:dyDescent="0.25">
      <c r="AI59" s="783">
        <f t="shared" si="41"/>
        <v>450000.33199999999</v>
      </c>
      <c r="AJ59" s="780" t="b">
        <f>FALSE</f>
        <v>0</v>
      </c>
      <c r="AK59" s="683" t="s">
        <v>331</v>
      </c>
      <c r="AL59" s="687" t="s">
        <v>334</v>
      </c>
      <c r="AM59" s="689">
        <v>0.4415</v>
      </c>
      <c r="AN59" s="684">
        <v>0.55000000000000004</v>
      </c>
      <c r="AO59" s="691">
        <f>0.2181*2</f>
        <v>0.43619999999999998</v>
      </c>
      <c r="AP59" s="770">
        <f>($AM59+AP$9)+0.0055</f>
        <v>0.45</v>
      </c>
      <c r="AQ59" s="774">
        <f>($AN59-($AO59/2))+0.0001</f>
        <v>0.33200000000000007</v>
      </c>
      <c r="AR59" s="177">
        <f t="shared" si="34"/>
        <v>0.22075</v>
      </c>
      <c r="AS59" s="775">
        <f>($AM59+AS$9)+0.0008</f>
        <v>0.44130000000000003</v>
      </c>
      <c r="AT59" s="774">
        <f>($AM59+AT$9)-0.0008</f>
        <v>0.44169999999999998</v>
      </c>
      <c r="AU59" s="762">
        <f>($AP59+AU$9)-0.005</f>
        <v>0.44600000000000001</v>
      </c>
      <c r="AV59" s="763">
        <f>($AP59+AV$9)-0.002</f>
        <v>0.45200000000000001</v>
      </c>
      <c r="AW59" s="173">
        <f t="shared" si="37"/>
        <v>2.150000000000013E-3</v>
      </c>
      <c r="AX59" s="8">
        <f t="shared" si="38"/>
        <v>5.3499999999999936E-3</v>
      </c>
    </row>
    <row r="60" spans="2:50" x14ac:dyDescent="0.25">
      <c r="AI60" s="783">
        <f t="shared" si="41"/>
        <v>525000.40700000001</v>
      </c>
      <c r="AJ60" s="780" t="b">
        <f>FALSE</f>
        <v>0</v>
      </c>
      <c r="AK60" s="685" t="s">
        <v>326</v>
      </c>
      <c r="AL60" s="688" t="s">
        <v>335</v>
      </c>
      <c r="AM60" s="690">
        <v>0.51459999999999995</v>
      </c>
      <c r="AN60" s="686">
        <v>0.67</v>
      </c>
      <c r="AO60" s="692">
        <f>0.263*2</f>
        <v>0.52600000000000002</v>
      </c>
      <c r="AP60" s="773">
        <f>($AM60+AP$9)+0.0074</f>
        <v>0.52499999999999991</v>
      </c>
      <c r="AQ60" s="665">
        <f>($AN60-($AO60/2))</f>
        <v>0.40700000000000003</v>
      </c>
      <c r="AR60" s="768">
        <f t="shared" si="34"/>
        <v>0.25729999999999997</v>
      </c>
      <c r="AS60" s="776">
        <f>($AM60+AS$9)+0.0008</f>
        <v>0.51439999999999997</v>
      </c>
      <c r="AT60" s="777">
        <f>($AM60+AT$9)-0.0008</f>
        <v>0.51479999999999992</v>
      </c>
      <c r="AU60" s="764">
        <f>($AP60+AU$9)-0.005</f>
        <v>0.52099999999999991</v>
      </c>
      <c r="AV60" s="765">
        <f>($AP60+AV$9)-0.002</f>
        <v>0.52699999999999991</v>
      </c>
      <c r="AW60" s="176">
        <f t="shared" si="37"/>
        <v>3.0999999999999917E-3</v>
      </c>
      <c r="AX60" s="665">
        <f t="shared" si="38"/>
        <v>6.2999999999999723E-3</v>
      </c>
    </row>
    <row r="62" spans="2:50" x14ac:dyDescent="0.25">
      <c r="B62" s="31"/>
    </row>
    <row r="63" spans="2:50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03" t="s">
        <v>95</v>
      </c>
      <c r="D3" s="1003"/>
      <c r="E3" s="1003"/>
      <c r="F3" s="1003"/>
      <c r="G3" s="1003"/>
      <c r="H3" s="1003"/>
      <c r="I3" s="1003"/>
      <c r="J3" s="1003"/>
      <c r="K3" s="1025"/>
      <c r="L3" s="1083"/>
      <c r="M3" s="1003"/>
      <c r="N3" s="1003"/>
      <c r="O3" s="1003"/>
      <c r="P3" s="1003"/>
      <c r="Q3" s="1003"/>
      <c r="R3" s="1000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5" t="s">
        <v>86</v>
      </c>
      <c r="C4" s="1066" t="s">
        <v>82</v>
      </c>
      <c r="D4" s="1003" t="s">
        <v>83</v>
      </c>
      <c r="E4" s="1003"/>
      <c r="F4" s="1003"/>
      <c r="G4" s="1003"/>
      <c r="H4" s="1003"/>
      <c r="I4" s="1003"/>
      <c r="J4" s="1003"/>
      <c r="K4" s="1003"/>
      <c r="L4" s="146" t="s">
        <v>91</v>
      </c>
      <c r="M4" s="999" t="s">
        <v>94</v>
      </c>
      <c r="N4" s="1003"/>
      <c r="O4" s="1003"/>
      <c r="P4" s="1025"/>
      <c r="Q4" s="1003" t="s">
        <v>52</v>
      </c>
      <c r="R4" s="1000"/>
      <c r="S4" s="103"/>
      <c r="T4" s="999">
        <v>350</v>
      </c>
      <c r="U4" s="1003"/>
      <c r="V4" s="1003" t="s">
        <v>76</v>
      </c>
      <c r="W4" s="1003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6"/>
      <c r="C5" s="1067"/>
      <c r="D5" s="1051" t="s">
        <v>85</v>
      </c>
      <c r="E5" s="1069" t="s">
        <v>89</v>
      </c>
      <c r="F5" s="1015" t="s">
        <v>34</v>
      </c>
      <c r="G5" s="1015"/>
      <c r="H5" s="1014" t="s">
        <v>39</v>
      </c>
      <c r="I5" s="1010" t="s">
        <v>35</v>
      </c>
      <c r="J5" s="1010" t="s">
        <v>36</v>
      </c>
      <c r="K5" s="1077" t="s">
        <v>67</v>
      </c>
      <c r="L5" s="147" t="s">
        <v>92</v>
      </c>
      <c r="M5" s="1001" t="s">
        <v>90</v>
      </c>
      <c r="N5" s="1001" t="s">
        <v>47</v>
      </c>
      <c r="O5" s="1079" t="s">
        <v>84</v>
      </c>
      <c r="P5" s="1080"/>
      <c r="Q5" s="1081" t="s">
        <v>84</v>
      </c>
      <c r="R5" s="1082"/>
      <c r="S5" s="103"/>
      <c r="T5" s="993" t="s">
        <v>46</v>
      </c>
      <c r="U5" s="1084"/>
      <c r="V5" s="1036" t="s">
        <v>45</v>
      </c>
      <c r="W5" s="988"/>
      <c r="X5" s="988"/>
      <c r="Y5" s="988"/>
      <c r="Z5" s="988"/>
      <c r="AA5" s="988"/>
      <c r="AB5" s="988"/>
      <c r="AC5" s="988"/>
      <c r="AD5" s="988"/>
      <c r="AE5" s="988"/>
      <c r="AF5" s="988"/>
      <c r="AG5" s="988"/>
      <c r="AH5" s="988"/>
      <c r="AI5" s="988"/>
      <c r="AJ5" s="988"/>
      <c r="AK5" s="31"/>
      <c r="AL5" s="31"/>
    </row>
    <row r="6" spans="2:38" ht="15" customHeight="1" thickBot="1" x14ac:dyDescent="0.3">
      <c r="B6" s="1047"/>
      <c r="C6" s="1068"/>
      <c r="D6" s="1052"/>
      <c r="E6" s="1070"/>
      <c r="F6" s="104" t="s">
        <v>8</v>
      </c>
      <c r="G6" s="105" t="s">
        <v>10</v>
      </c>
      <c r="H6" s="1065"/>
      <c r="I6" s="1065"/>
      <c r="J6" s="1065"/>
      <c r="K6" s="1078"/>
      <c r="L6" s="148" t="s">
        <v>93</v>
      </c>
      <c r="M6" s="1076"/>
      <c r="N6" s="1076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78"/>
      <c r="U6" s="1085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53">
        <f>ROW(Assy.Model!B9)</f>
        <v>9</v>
      </c>
      <c r="D7" s="1042" t="str">
        <f>SUBSTITUTE(ADDRESS(1,COLUMN(Assy.Model!B9),4),"1","")</f>
        <v>B</v>
      </c>
      <c r="E7" s="1056" t="str">
        <f>SUBSTITUTE(ADDRESS(1,COLUMN(Assy.Model!M9),4),"1","")</f>
        <v>M</v>
      </c>
      <c r="F7" s="1059" t="str">
        <f>SUBSTITUTE(ADDRESS(1,COLUMN(Assy.Model!X9),4),"1","")</f>
        <v>X</v>
      </c>
      <c r="G7" s="1048" t="str">
        <f>SUBSTITUTE(ADDRESS(1,COLUMN(Assy.Model!AT9),4),"1","")</f>
        <v>AT</v>
      </c>
      <c r="H7" s="1062" t="str">
        <f>SUBSTITUTE(ADDRESS(1,COLUMN(Assy.Model!H9),4),"1","")</f>
        <v>H</v>
      </c>
      <c r="I7" s="1062" t="str">
        <f>SUBSTITUTE(ADDRESS(1,COLUMN(Assy.Model!AN9),4),"1","")</f>
        <v>AN</v>
      </c>
      <c r="J7" s="1062" t="str">
        <f>SUBSTITUTE(ADDRESS(1,COLUMN(Assy.Model!AO9),4),"1","")</f>
        <v>AO</v>
      </c>
      <c r="K7" s="1071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9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7" t="s">
        <v>81</v>
      </c>
      <c r="C8" s="1054"/>
      <c r="D8" s="1043"/>
      <c r="E8" s="1057"/>
      <c r="F8" s="1060"/>
      <c r="G8" s="1049"/>
      <c r="H8" s="1063"/>
      <c r="I8" s="1063"/>
      <c r="J8" s="1063"/>
      <c r="K8" s="1072"/>
      <c r="L8" s="149" t="s">
        <v>93</v>
      </c>
      <c r="M8" s="1074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40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7"/>
      <c r="C9" s="1054"/>
      <c r="D9" s="1043"/>
      <c r="E9" s="1057"/>
      <c r="F9" s="1060"/>
      <c r="G9" s="1049"/>
      <c r="H9" s="1063"/>
      <c r="I9" s="1063"/>
      <c r="J9" s="1063"/>
      <c r="K9" s="1072"/>
      <c r="L9" s="149" t="s">
        <v>92</v>
      </c>
      <c r="M9" s="1074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40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7"/>
      <c r="C10" s="1054"/>
      <c r="D10" s="1043"/>
      <c r="E10" s="1057"/>
      <c r="F10" s="1060"/>
      <c r="G10" s="1049"/>
      <c r="H10" s="1063"/>
      <c r="I10" s="1063"/>
      <c r="J10" s="1063"/>
      <c r="K10" s="1072"/>
      <c r="L10" s="149" t="s">
        <v>92</v>
      </c>
      <c r="M10" s="1074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40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7"/>
      <c r="C11" s="1054"/>
      <c r="D11" s="1043"/>
      <c r="E11" s="1057"/>
      <c r="F11" s="1060"/>
      <c r="G11" s="1049"/>
      <c r="H11" s="1063"/>
      <c r="I11" s="1063"/>
      <c r="J11" s="1063"/>
      <c r="K11" s="1072"/>
      <c r="L11" s="149" t="s">
        <v>92</v>
      </c>
      <c r="M11" s="1074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40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7"/>
      <c r="C12" s="1054"/>
      <c r="D12" s="1043"/>
      <c r="E12" s="1057"/>
      <c r="F12" s="1060"/>
      <c r="G12" s="1049"/>
      <c r="H12" s="1063"/>
      <c r="I12" s="1063"/>
      <c r="J12" s="1063"/>
      <c r="K12" s="1072"/>
      <c r="L12" s="149" t="s">
        <v>92</v>
      </c>
      <c r="M12" s="1074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40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7"/>
      <c r="C13" s="1054"/>
      <c r="D13" s="1043"/>
      <c r="E13" s="1057"/>
      <c r="F13" s="1060"/>
      <c r="G13" s="1049"/>
      <c r="H13" s="1063"/>
      <c r="I13" s="1063"/>
      <c r="J13" s="1063"/>
      <c r="K13" s="1072"/>
      <c r="L13" s="149" t="s">
        <v>92</v>
      </c>
      <c r="M13" s="1074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40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8"/>
      <c r="C14" s="1055"/>
      <c r="D14" s="1044"/>
      <c r="E14" s="1058"/>
      <c r="F14" s="1061"/>
      <c r="G14" s="1050"/>
      <c r="H14" s="1064"/>
      <c r="I14" s="1064"/>
      <c r="J14" s="1064"/>
      <c r="K14" s="1073"/>
      <c r="L14" s="150" t="s">
        <v>93</v>
      </c>
      <c r="M14" s="1075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41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139" t="str">
        <f>CONCATENATE(Settings!$C$19," ",Settings!$B$28)</f>
        <v>8.5 3336r00</v>
      </c>
      <c r="D1" s="1139"/>
      <c r="E1" s="1139"/>
      <c r="F1" s="1139"/>
      <c r="G1" s="1139"/>
      <c r="H1" s="1139"/>
      <c r="I1" s="1139"/>
      <c r="J1" s="1139"/>
      <c r="K1" s="1139"/>
      <c r="L1" s="709"/>
      <c r="M1" s="958">
        <f>IFERROR(LARGE(M9:M150,1),"Null")</f>
        <v>6.1349999999999998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151" t="s">
        <v>306</v>
      </c>
      <c r="C2" s="1152"/>
      <c r="D2" s="1152"/>
      <c r="E2" s="1152"/>
      <c r="F2" s="1152"/>
      <c r="G2" s="1152"/>
      <c r="H2" s="1152"/>
      <c r="I2" s="1152"/>
      <c r="J2" s="1152"/>
      <c r="K2" s="1153"/>
      <c r="L2" s="1102" t="str" cm="1">
        <f t="array" ref="L2">IF(OR($K$9:$K$150="Undefined"),"Undefined Element","")</f>
        <v/>
      </c>
      <c r="M2" s="1159" t="s">
        <v>0</v>
      </c>
      <c r="N2" s="1119" t="s">
        <v>1</v>
      </c>
      <c r="O2" s="1120"/>
      <c r="P2" s="1120"/>
      <c r="Q2" s="1120"/>
      <c r="R2" s="1120"/>
      <c r="S2" s="1120"/>
      <c r="T2" s="1120"/>
      <c r="U2" s="1120"/>
      <c r="V2" s="1120"/>
      <c r="W2" s="1120"/>
      <c r="X2" s="1120"/>
      <c r="Y2" s="1121"/>
      <c r="Z2" s="1119" t="s">
        <v>2</v>
      </c>
      <c r="AA2" s="1120"/>
      <c r="AB2" s="1120"/>
      <c r="AC2" s="1120"/>
      <c r="AD2" s="1120"/>
      <c r="AE2" s="1120"/>
      <c r="AF2" s="1120"/>
      <c r="AG2" s="1120"/>
      <c r="AH2" s="1120"/>
      <c r="AI2" s="1120"/>
      <c r="AJ2" s="1120"/>
      <c r="AK2" s="1120"/>
      <c r="AL2" s="1120"/>
      <c r="AM2" s="1120"/>
      <c r="AN2" s="1120"/>
      <c r="AO2" s="1120"/>
      <c r="AP2" s="1120"/>
      <c r="AQ2" s="1189"/>
      <c r="AS2" s="1127" t="s">
        <v>44</v>
      </c>
      <c r="AT2" s="1128"/>
      <c r="AV2" s="1117" t="s">
        <v>0</v>
      </c>
      <c r="AW2" s="1119" t="s">
        <v>109</v>
      </c>
      <c r="AX2" s="1120"/>
      <c r="AY2" s="1120"/>
      <c r="AZ2" s="1120"/>
      <c r="BA2" s="1120"/>
      <c r="BB2" s="1120"/>
      <c r="BC2" s="1120"/>
      <c r="BD2" s="1120"/>
      <c r="BE2" s="1189"/>
      <c r="BF2" s="1195" t="s">
        <v>115</v>
      </c>
      <c r="BG2" s="1120"/>
      <c r="BH2" s="1120"/>
      <c r="BI2" s="1120"/>
      <c r="BJ2" s="1120"/>
      <c r="BK2" s="1120"/>
      <c r="BL2" s="1120"/>
      <c r="BM2" s="1120"/>
      <c r="BN2" s="1120"/>
      <c r="BO2" s="1120"/>
      <c r="BP2" s="1120"/>
      <c r="BQ2" s="1120"/>
      <c r="BR2" s="1120"/>
      <c r="BS2" s="1120"/>
      <c r="BT2" s="1120"/>
      <c r="BU2" s="1120"/>
      <c r="BV2" s="1120"/>
      <c r="BW2" s="1120"/>
      <c r="BX2" s="1120"/>
      <c r="BY2" s="1120"/>
      <c r="BZ2" s="1120"/>
      <c r="CA2" s="1120"/>
      <c r="CB2" s="1120"/>
      <c r="CC2" s="1120"/>
      <c r="CD2" s="1120"/>
      <c r="CE2" s="1120"/>
      <c r="CF2" s="1120"/>
      <c r="CG2" s="1120"/>
      <c r="CH2" s="1120"/>
      <c r="CI2" s="1120"/>
      <c r="CJ2" s="1120"/>
      <c r="CK2" s="1120"/>
      <c r="CL2" s="1120"/>
      <c r="CM2" s="1120"/>
      <c r="CN2" s="1120"/>
      <c r="CO2" s="1120"/>
      <c r="CP2" s="1120"/>
      <c r="CQ2" s="1120"/>
      <c r="CR2" s="1120"/>
      <c r="CS2" s="1120"/>
      <c r="CT2" s="1120"/>
      <c r="CU2" s="1120"/>
      <c r="CV2" s="1120"/>
      <c r="CW2" s="1120"/>
      <c r="CX2" s="1120"/>
      <c r="CY2" s="1120"/>
      <c r="CZ2" s="1120"/>
      <c r="DA2" s="1120"/>
      <c r="DB2" s="1120"/>
      <c r="DC2" s="1120"/>
      <c r="DD2" s="1120"/>
      <c r="DE2" s="1120"/>
      <c r="DF2" s="1120"/>
      <c r="DG2" s="1120"/>
      <c r="DH2" s="1120"/>
      <c r="DI2" s="1120"/>
      <c r="DJ2" s="1120"/>
      <c r="DK2" s="1120"/>
      <c r="DL2" s="1120"/>
      <c r="DM2" s="1120"/>
      <c r="DN2" s="1120"/>
      <c r="DO2" s="1120"/>
      <c r="DP2" s="1120"/>
      <c r="DQ2" s="1120"/>
      <c r="DR2" s="1120"/>
      <c r="DS2" s="1120"/>
      <c r="DT2" s="1120"/>
      <c r="DU2" s="1120"/>
      <c r="DV2" s="1120"/>
      <c r="DW2" s="1120"/>
      <c r="DX2" s="1120"/>
      <c r="DY2" s="1120"/>
      <c r="DZ2" s="1120"/>
      <c r="EA2" s="1120"/>
      <c r="EB2" s="1120"/>
      <c r="EC2" s="1120"/>
      <c r="ED2" s="1120"/>
      <c r="EE2" s="1120"/>
      <c r="EF2" s="1120"/>
      <c r="EG2" s="1120"/>
      <c r="EH2" s="1120"/>
      <c r="EI2" s="1120"/>
      <c r="EJ2" s="1120"/>
      <c r="EK2" s="1120"/>
      <c r="EL2" s="1120"/>
      <c r="EM2" s="1120"/>
      <c r="EN2" s="1120"/>
      <c r="EO2" s="1120"/>
      <c r="EP2" s="1120"/>
      <c r="EQ2" s="1120"/>
      <c r="ER2" s="1121"/>
      <c r="ES2" s="1382" t="s">
        <v>196</v>
      </c>
      <c r="ET2" s="1383"/>
      <c r="EU2" s="1383"/>
      <c r="EV2" s="1383"/>
      <c r="EW2" s="1383"/>
      <c r="EX2" s="1383"/>
      <c r="EY2" s="1383"/>
      <c r="EZ2" s="1383"/>
      <c r="FA2" s="1383"/>
      <c r="FB2" s="1383"/>
      <c r="FC2" s="1383"/>
      <c r="FD2" s="1383"/>
      <c r="FE2" s="1383"/>
      <c r="FF2" s="1384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57" t="str">
        <f>IFERROR(CONCATENATE("Sum of Lateral Forces = ",ROUND(HE3,0)," lbs @ ",ROUND(HF3,1),"° Relative to Blade 1"),"")</f>
        <v/>
      </c>
      <c r="HX2" s="1357"/>
      <c r="HY2" s="1357"/>
      <c r="HZ2" s="1357"/>
      <c r="IA2" s="1357"/>
      <c r="IB2" s="1357"/>
      <c r="IC2" s="1357"/>
      <c r="ID2" s="1357"/>
      <c r="IE2" s="1357"/>
      <c r="IF2" s="860"/>
      <c r="IN2" s="31"/>
      <c r="IO2" s="323"/>
      <c r="JC2" s="82"/>
      <c r="JD2" s="82"/>
      <c r="JE2" s="82"/>
    </row>
    <row r="3" spans="1:296" ht="15" customHeight="1" x14ac:dyDescent="0.25">
      <c r="B3" s="1154"/>
      <c r="C3" s="1115"/>
      <c r="D3" s="1115"/>
      <c r="E3" s="1115"/>
      <c r="F3" s="1115"/>
      <c r="G3" s="1115"/>
      <c r="H3" s="1115"/>
      <c r="I3" s="1115"/>
      <c r="J3" s="1115"/>
      <c r="K3" s="1155"/>
      <c r="L3" s="1102"/>
      <c r="M3" s="1154"/>
      <c r="N3" s="1122"/>
      <c r="O3" s="1123"/>
      <c r="P3" s="1123"/>
      <c r="Q3" s="1123"/>
      <c r="R3" s="1123"/>
      <c r="S3" s="1123"/>
      <c r="T3" s="1123"/>
      <c r="U3" s="1123"/>
      <c r="V3" s="1123"/>
      <c r="W3" s="1123"/>
      <c r="X3" s="1123"/>
      <c r="Y3" s="1124"/>
      <c r="Z3" s="1122"/>
      <c r="AA3" s="1123"/>
      <c r="AB3" s="1123"/>
      <c r="AC3" s="1123"/>
      <c r="AD3" s="1123"/>
      <c r="AE3" s="1123"/>
      <c r="AF3" s="1123"/>
      <c r="AG3" s="1123"/>
      <c r="AH3" s="1123"/>
      <c r="AI3" s="1123"/>
      <c r="AJ3" s="1123"/>
      <c r="AK3" s="1123"/>
      <c r="AL3" s="1123"/>
      <c r="AM3" s="1123"/>
      <c r="AN3" s="1123"/>
      <c r="AO3" s="1123"/>
      <c r="AP3" s="1123"/>
      <c r="AQ3" s="1190"/>
      <c r="AS3" s="415">
        <v>100</v>
      </c>
      <c r="AT3" s="412" t="s">
        <v>45</v>
      </c>
      <c r="AV3" s="1118"/>
      <c r="AW3" s="1211"/>
      <c r="AX3" s="1197"/>
      <c r="AY3" s="1197"/>
      <c r="AZ3" s="1197"/>
      <c r="BA3" s="1197"/>
      <c r="BB3" s="1197"/>
      <c r="BC3" s="1197"/>
      <c r="BD3" s="1197"/>
      <c r="BE3" s="1212"/>
      <c r="BF3" s="1196"/>
      <c r="BG3" s="1197"/>
      <c r="BH3" s="1197"/>
      <c r="BI3" s="1197"/>
      <c r="BJ3" s="1197"/>
      <c r="BK3" s="1197"/>
      <c r="BL3" s="1197"/>
      <c r="BM3" s="1197"/>
      <c r="BN3" s="1197"/>
      <c r="BO3" s="1197"/>
      <c r="BP3" s="1197"/>
      <c r="BQ3" s="1197"/>
      <c r="BR3" s="1197"/>
      <c r="BS3" s="1197"/>
      <c r="BT3" s="1197"/>
      <c r="BU3" s="1197"/>
      <c r="BV3" s="1197"/>
      <c r="BW3" s="1197"/>
      <c r="BX3" s="1197"/>
      <c r="BY3" s="1197"/>
      <c r="BZ3" s="1197"/>
      <c r="CA3" s="1197"/>
      <c r="CB3" s="1197"/>
      <c r="CC3" s="1197"/>
      <c r="CD3" s="1197"/>
      <c r="CE3" s="1197"/>
      <c r="CF3" s="1197"/>
      <c r="CG3" s="1197"/>
      <c r="CH3" s="1197"/>
      <c r="CI3" s="1197"/>
      <c r="CJ3" s="1197"/>
      <c r="CK3" s="1197"/>
      <c r="CL3" s="1197"/>
      <c r="CM3" s="1197"/>
      <c r="CN3" s="1197"/>
      <c r="CO3" s="1197"/>
      <c r="CP3" s="1197"/>
      <c r="CQ3" s="1197"/>
      <c r="CR3" s="1197"/>
      <c r="CS3" s="1197"/>
      <c r="CT3" s="1197"/>
      <c r="CU3" s="1197"/>
      <c r="CV3" s="1197"/>
      <c r="CW3" s="1197"/>
      <c r="CX3" s="1197"/>
      <c r="CY3" s="1197"/>
      <c r="CZ3" s="1197"/>
      <c r="DA3" s="1197"/>
      <c r="DB3" s="1197"/>
      <c r="DC3" s="1197"/>
      <c r="DD3" s="1197"/>
      <c r="DE3" s="1197"/>
      <c r="DF3" s="1197"/>
      <c r="DG3" s="1197"/>
      <c r="DH3" s="1197"/>
      <c r="DI3" s="1197"/>
      <c r="DJ3" s="1197"/>
      <c r="DK3" s="1197"/>
      <c r="DL3" s="1197"/>
      <c r="DM3" s="1197"/>
      <c r="DN3" s="1197"/>
      <c r="DO3" s="1197"/>
      <c r="DP3" s="1197"/>
      <c r="DQ3" s="1197"/>
      <c r="DR3" s="1197"/>
      <c r="DS3" s="1197"/>
      <c r="DT3" s="1197"/>
      <c r="DU3" s="1197"/>
      <c r="DV3" s="1197"/>
      <c r="DW3" s="1197"/>
      <c r="DX3" s="1197"/>
      <c r="DY3" s="1197"/>
      <c r="DZ3" s="1197"/>
      <c r="EA3" s="1197"/>
      <c r="EB3" s="1197"/>
      <c r="EC3" s="1197"/>
      <c r="ED3" s="1197"/>
      <c r="EE3" s="1197"/>
      <c r="EF3" s="1197"/>
      <c r="EG3" s="1197"/>
      <c r="EH3" s="1197"/>
      <c r="EI3" s="1197"/>
      <c r="EJ3" s="1197"/>
      <c r="EK3" s="1197"/>
      <c r="EL3" s="1197"/>
      <c r="EM3" s="1197"/>
      <c r="EN3" s="1197"/>
      <c r="EO3" s="1197"/>
      <c r="EP3" s="1197"/>
      <c r="EQ3" s="1197"/>
      <c r="ER3" s="1198"/>
      <c r="ES3" s="1211"/>
      <c r="ET3" s="1197"/>
      <c r="EU3" s="1197"/>
      <c r="EV3" s="1197"/>
      <c r="EW3" s="1197"/>
      <c r="EX3" s="1197"/>
      <c r="EY3" s="1197"/>
      <c r="EZ3" s="1197"/>
      <c r="FA3" s="1197"/>
      <c r="FB3" s="1197"/>
      <c r="FC3" s="1197"/>
      <c r="FD3" s="1197"/>
      <c r="FE3" s="1197"/>
      <c r="FF3" s="1198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156"/>
      <c r="C4" s="1157"/>
      <c r="D4" s="1157"/>
      <c r="E4" s="1157"/>
      <c r="F4" s="1157"/>
      <c r="G4" s="1157"/>
      <c r="H4" s="1157"/>
      <c r="I4" s="1157"/>
      <c r="J4" s="1157"/>
      <c r="K4" s="1158"/>
      <c r="L4" s="1102"/>
      <c r="M4" s="1154"/>
      <c r="N4" s="1163" t="s">
        <v>3</v>
      </c>
      <c r="O4" s="1111"/>
      <c r="P4" s="1111"/>
      <c r="Q4" s="1112" t="s">
        <v>4</v>
      </c>
      <c r="R4" s="1111"/>
      <c r="S4" s="1113"/>
      <c r="T4" s="1172" t="str">
        <f>N4</f>
        <v>Cartesian Coordinates</v>
      </c>
      <c r="U4" s="1143"/>
      <c r="V4" s="1173"/>
      <c r="W4" s="1143" t="str">
        <f>$Q$4</f>
        <v>Polar XY; Cartesian Z</v>
      </c>
      <c r="X4" s="1143"/>
      <c r="Y4" s="1144"/>
      <c r="Z4" s="1163" t="s">
        <v>3</v>
      </c>
      <c r="AA4" s="1111"/>
      <c r="AB4" s="1111"/>
      <c r="AC4" s="1111"/>
      <c r="AD4" s="1111"/>
      <c r="AE4" s="1111"/>
      <c r="AF4" s="1111"/>
      <c r="AG4" s="1110" t="s">
        <v>31</v>
      </c>
      <c r="AH4" s="1111"/>
      <c r="AI4" s="1111"/>
      <c r="AJ4" s="1113"/>
      <c r="AK4" s="1191" t="s">
        <v>32</v>
      </c>
      <c r="AL4" s="1192"/>
      <c r="AM4" s="1192"/>
      <c r="AN4" s="1192"/>
      <c r="AO4" s="1192"/>
      <c r="AP4" s="1192"/>
      <c r="AQ4" s="1193"/>
      <c r="AS4" s="416">
        <v>125</v>
      </c>
      <c r="AT4" s="413" t="s">
        <v>46</v>
      </c>
      <c r="AV4" s="1118"/>
      <c r="AW4" s="1222" t="s">
        <v>112</v>
      </c>
      <c r="AX4" s="1204"/>
      <c r="AY4" s="994"/>
      <c r="AZ4" s="1208"/>
      <c r="BA4" s="1209"/>
      <c r="BB4" s="1213" t="s">
        <v>113</v>
      </c>
      <c r="BC4" s="1143" t="str">
        <f>$Q$4</f>
        <v>Polar XY; Cartesian Z</v>
      </c>
      <c r="BD4" s="1143"/>
      <c r="BE4" s="1216"/>
      <c r="BF4" s="1226" t="s">
        <v>129</v>
      </c>
      <c r="BG4" s="1227"/>
      <c r="BH4" s="1227"/>
      <c r="BI4" s="1227"/>
      <c r="BJ4" s="1227"/>
      <c r="BK4" s="1227"/>
      <c r="BL4" s="1227"/>
      <c r="BM4" s="1227"/>
      <c r="BN4" s="1227"/>
      <c r="BO4" s="1227"/>
      <c r="BP4" s="1227"/>
      <c r="BQ4" s="1227"/>
      <c r="BR4" s="1227"/>
      <c r="BS4" s="1227"/>
      <c r="BT4" s="1227"/>
      <c r="BU4" s="1227"/>
      <c r="BV4" s="1227"/>
      <c r="BW4" s="1227"/>
      <c r="BX4" s="1227"/>
      <c r="BY4" s="1227"/>
      <c r="BZ4" s="1227"/>
      <c r="CA4" s="1227"/>
      <c r="CB4" s="1227"/>
      <c r="CC4" s="1227"/>
      <c r="CD4" s="1227"/>
      <c r="CE4" s="1227"/>
      <c r="CF4" s="1227"/>
      <c r="CG4" s="1227"/>
      <c r="CH4" s="1227"/>
      <c r="CI4" s="1227"/>
      <c r="CJ4" s="1227"/>
      <c r="CK4" s="1227"/>
      <c r="CL4" s="1227"/>
      <c r="CM4" s="1227"/>
      <c r="CN4" s="1228"/>
      <c r="CO4" s="1199" t="s">
        <v>192</v>
      </c>
      <c r="CP4" s="1200"/>
      <c r="CQ4" s="1200"/>
      <c r="CR4" s="1200"/>
      <c r="CS4" s="1200"/>
      <c r="CT4" s="1200"/>
      <c r="CU4" s="1200"/>
      <c r="CV4" s="1200"/>
      <c r="CW4" s="1200"/>
      <c r="CX4" s="1200"/>
      <c r="CY4" s="1200"/>
      <c r="CZ4" s="1200"/>
      <c r="DA4" s="1201"/>
      <c r="DB4" s="1379" t="s">
        <v>389</v>
      </c>
      <c r="DC4" s="1380"/>
      <c r="DD4" s="1380"/>
      <c r="DE4" s="1380"/>
      <c r="DF4" s="1380"/>
      <c r="DG4" s="1380"/>
      <c r="DH4" s="1380"/>
      <c r="DI4" s="1380"/>
      <c r="DJ4" s="1380"/>
      <c r="DK4" s="1380"/>
      <c r="DL4" s="1380"/>
      <c r="DM4" s="1380"/>
      <c r="DN4" s="1380"/>
      <c r="DO4" s="1380"/>
      <c r="DP4" s="1380"/>
      <c r="DQ4" s="1380"/>
      <c r="DR4" s="1380"/>
      <c r="DS4" s="1380"/>
      <c r="DT4" s="1380"/>
      <c r="DU4" s="1380"/>
      <c r="DV4" s="1380"/>
      <c r="DW4" s="1380"/>
      <c r="DX4" s="1380"/>
      <c r="DY4" s="1380"/>
      <c r="DZ4" s="1380"/>
      <c r="EA4" s="1380"/>
      <c r="EB4" s="1380"/>
      <c r="EC4" s="1380"/>
      <c r="ED4" s="1380"/>
      <c r="EE4" s="1380"/>
      <c r="EF4" s="1380"/>
      <c r="EG4" s="1380"/>
      <c r="EH4" s="1380"/>
      <c r="EI4" s="1380"/>
      <c r="EJ4" s="1380"/>
      <c r="EK4" s="1380"/>
      <c r="EL4" s="1380"/>
      <c r="EM4" s="1380"/>
      <c r="EN4" s="1380"/>
      <c r="EO4" s="1380"/>
      <c r="EP4" s="1380"/>
      <c r="EQ4" s="1380"/>
      <c r="ER4" s="1381"/>
      <c r="ES4" s="1266" t="s">
        <v>195</v>
      </c>
      <c r="ET4" s="1267"/>
      <c r="EU4" s="1267"/>
      <c r="EV4" s="1267"/>
      <c r="EW4" s="1267"/>
      <c r="EX4" s="1267"/>
      <c r="EY4" s="1268"/>
      <c r="EZ4" s="1292" t="s">
        <v>200</v>
      </c>
      <c r="FA4" s="1293"/>
      <c r="FB4" s="1293"/>
      <c r="FC4" s="1293"/>
      <c r="FD4" s="1293"/>
      <c r="FE4" s="1293"/>
      <c r="FF4" s="1294"/>
      <c r="FG4" s="325"/>
      <c r="FP4" s="1339" t="s">
        <v>228</v>
      </c>
      <c r="FZ4" s="1339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12" t="s">
        <v>235</v>
      </c>
      <c r="GK4" s="1013"/>
      <c r="GL4" s="1013"/>
      <c r="GM4" s="1013"/>
      <c r="GN4" s="1319"/>
      <c r="GO4" s="1321" t="s">
        <v>228</v>
      </c>
      <c r="GP4" s="1325" t="s">
        <v>227</v>
      </c>
      <c r="GR4" s="1330" t="s">
        <v>257</v>
      </c>
      <c r="GS4" s="1083" t="s">
        <v>255</v>
      </c>
      <c r="GT4" s="1003"/>
      <c r="GU4" s="1003"/>
      <c r="GV4" s="1003"/>
      <c r="GW4" s="1003"/>
      <c r="GX4" s="1003"/>
      <c r="GY4" s="1003"/>
      <c r="GZ4" s="1003"/>
      <c r="HA4" s="1282" t="str">
        <f>IFERROR(CONCATENATE("Lateral Forces = ",ROUND(HE3,0)," lbs @ ",ROUND(HF3,1),"° Relative to Blade 1"),"")</f>
        <v/>
      </c>
      <c r="HB4" s="1283"/>
      <c r="HC4" s="1283"/>
      <c r="HD4" s="1283"/>
      <c r="HE4" s="1283"/>
      <c r="HF4" s="1283"/>
      <c r="HG4" s="1283"/>
      <c r="HH4" s="1284"/>
      <c r="HI4" s="1287" t="s">
        <v>0</v>
      </c>
      <c r="HV4" s="861"/>
      <c r="HW4" s="1358" t="e">
        <f>CONCATENATE("Yeield Strength of Rock = ",IF(HW6&gt;1000,(ROUNDDOWN(HW6,-3)/1000),""), IF(HW6&gt;1000,",",""),RIGHT(HW6,3)," psi (Tangential Force)")</f>
        <v>#DIV/0!</v>
      </c>
      <c r="HX4" s="1358"/>
      <c r="HY4" s="1358"/>
      <c r="HZ4" s="1358"/>
      <c r="IA4" s="1358"/>
      <c r="IB4" s="1358"/>
      <c r="IC4" s="1358"/>
      <c r="ID4" s="1358"/>
      <c r="IE4" s="1358"/>
      <c r="IF4" s="858"/>
      <c r="IG4" s="1009" t="s">
        <v>372</v>
      </c>
      <c r="IH4" s="1009"/>
      <c r="II4" s="710" cm="1">
        <f t="array" ref="II4">MAX(MOD(IF($II$9:$II$150="",0,($II$9:$II$150*1000)),100))</f>
        <v>40</v>
      </c>
      <c r="IN4" s="31"/>
      <c r="IO4" s="710"/>
    </row>
    <row r="5" spans="1:296" ht="15" customHeight="1" thickBot="1" x14ac:dyDescent="0.3">
      <c r="A5" s="139">
        <v>0.02</v>
      </c>
      <c r="B5" s="1145" t="str">
        <f>CONCATENATE(B7," ; ",E7," ; ",H7)</f>
        <v>Absolute-Point ; Incremental-Vector Point ; Pocket Info.</v>
      </c>
      <c r="C5" s="1146"/>
      <c r="D5" s="1146"/>
      <c r="E5" s="1146"/>
      <c r="F5" s="1146"/>
      <c r="G5" s="1146"/>
      <c r="H5" s="1146"/>
      <c r="I5" s="1146"/>
      <c r="J5" s="1146"/>
      <c r="K5" s="1147"/>
      <c r="L5" s="813" t="str" cm="1">
        <f t="array" ref="L5">IF(OR(IF(LEFT($K$9:$K$150,4)="&lt;&gt;CS",TRUE,FALSE)),"Wrong CS","")</f>
        <v/>
      </c>
      <c r="M5" s="1154"/>
      <c r="N5" s="1182" t="s">
        <v>5</v>
      </c>
      <c r="O5" s="1089"/>
      <c r="P5" s="1089"/>
      <c r="Q5" s="1088" t="s">
        <v>6</v>
      </c>
      <c r="R5" s="1089"/>
      <c r="S5" s="1090"/>
      <c r="T5" s="1107" t="str">
        <f>CONCATENATE("Relative to ",M8,"'s θ about Z Axis")</f>
        <v>Relative to 1.116's θ about Z Axis</v>
      </c>
      <c r="U5" s="1108"/>
      <c r="V5" s="1183"/>
      <c r="W5" s="1108" t="str">
        <f>CONCATENATE("Relative to ",M8,"'s θ about Z Axis")</f>
        <v>Relative to 1.116's θ about Z Axis</v>
      </c>
      <c r="X5" s="1108"/>
      <c r="Y5" s="1174"/>
      <c r="Z5" s="1164" t="str">
        <f>N5</f>
        <v>Relative to World_CS</v>
      </c>
      <c r="AA5" s="1108"/>
      <c r="AB5" s="1108"/>
      <c r="AC5" s="1108"/>
      <c r="AD5" s="1108"/>
      <c r="AE5" s="1108"/>
      <c r="AF5" s="1108"/>
      <c r="AG5" s="1107" t="str">
        <f>N5</f>
        <v>Relative to World_CS</v>
      </c>
      <c r="AH5" s="1108"/>
      <c r="AI5" s="1108"/>
      <c r="AJ5" s="1109"/>
      <c r="AK5" s="1194" t="s">
        <v>7</v>
      </c>
      <c r="AL5" s="1089"/>
      <c r="AM5" s="1089"/>
      <c r="AN5" s="1089"/>
      <c r="AO5" s="1089"/>
      <c r="AP5" s="1089"/>
      <c r="AQ5" s="1090"/>
      <c r="AS5" s="167">
        <f>(((AS4*12)/60)/AS3)</f>
        <v>0.25</v>
      </c>
      <c r="AT5" s="413" t="s">
        <v>47</v>
      </c>
      <c r="AV5" s="1118"/>
      <c r="AW5" s="1223"/>
      <c r="AX5" s="1224"/>
      <c r="AY5" s="1225"/>
      <c r="AZ5" s="1210"/>
      <c r="BA5" s="984"/>
      <c r="BB5" s="1214"/>
      <c r="BC5" s="1219" t="str">
        <f>$W$5</f>
        <v>Relative to 1.116's θ about Z Axis</v>
      </c>
      <c r="BD5" s="1108"/>
      <c r="BE5" s="1109"/>
      <c r="BF5" s="1083" t="s">
        <v>128</v>
      </c>
      <c r="BG5" s="1003"/>
      <c r="BH5" s="1003"/>
      <c r="BI5" s="1003"/>
      <c r="BJ5" s="1003"/>
      <c r="BK5" s="1003"/>
      <c r="BL5" s="1003"/>
      <c r="BM5" s="1003"/>
      <c r="BN5" s="1003"/>
      <c r="BO5" s="1003"/>
      <c r="BP5" s="1003"/>
      <c r="BQ5" s="1003"/>
      <c r="BR5" s="1025"/>
      <c r="BS5" s="1083" t="s">
        <v>130</v>
      </c>
      <c r="BT5" s="1003"/>
      <c r="BU5" s="1003"/>
      <c r="BV5" s="1003"/>
      <c r="BW5" s="1003"/>
      <c r="BX5" s="1003"/>
      <c r="BY5" s="1003"/>
      <c r="BZ5" s="1003"/>
      <c r="CA5" s="1003"/>
      <c r="CB5" s="1003"/>
      <c r="CC5" s="1003"/>
      <c r="CD5" s="1003"/>
      <c r="CE5" s="1025"/>
      <c r="CF5" s="1083" t="s">
        <v>138</v>
      </c>
      <c r="CG5" s="1003"/>
      <c r="CH5" s="1025"/>
      <c r="CI5" s="1083" t="s">
        <v>139</v>
      </c>
      <c r="CJ5" s="1003"/>
      <c r="CK5" s="1003"/>
      <c r="CL5" s="1003"/>
      <c r="CM5" s="1003"/>
      <c r="CN5" s="1025"/>
      <c r="CO5" s="1202" t="s">
        <v>266</v>
      </c>
      <c r="CP5" s="1202" t="s">
        <v>149</v>
      </c>
      <c r="CQ5" s="1204"/>
      <c r="CR5" s="1204"/>
      <c r="CS5" s="1084"/>
      <c r="CT5" s="1204" t="s">
        <v>150</v>
      </c>
      <c r="CU5" s="994"/>
      <c r="CV5" s="1083" t="s">
        <v>161</v>
      </c>
      <c r="CW5" s="1003"/>
      <c r="CX5" s="1003"/>
      <c r="CY5" s="1003"/>
      <c r="CZ5" s="1003"/>
      <c r="DA5" s="1025"/>
      <c r="DB5" s="1083" t="s">
        <v>162</v>
      </c>
      <c r="DC5" s="1003"/>
      <c r="DD5" s="1003"/>
      <c r="DE5" s="1003"/>
      <c r="DF5" s="1003"/>
      <c r="DG5" s="1003"/>
      <c r="DH5" s="1025"/>
      <c r="DI5" s="1238" t="s">
        <v>172</v>
      </c>
      <c r="DJ5" s="1238"/>
      <c r="DK5" s="1239"/>
      <c r="DL5" s="1363" t="s">
        <v>173</v>
      </c>
      <c r="DM5" s="1238"/>
      <c r="DN5" s="1364"/>
      <c r="DO5" s="1242" t="s">
        <v>174</v>
      </c>
      <c r="DP5" s="1243"/>
      <c r="DQ5" s="1243"/>
      <c r="DR5" s="1184" t="s">
        <v>186</v>
      </c>
      <c r="DS5" s="1184"/>
      <c r="DT5" s="1184"/>
      <c r="DU5" s="1184"/>
      <c r="DV5" s="1184"/>
      <c r="DW5" s="1184"/>
      <c r="DX5" s="1202" t="s">
        <v>189</v>
      </c>
      <c r="DY5" s="1045" t="s">
        <v>149</v>
      </c>
      <c r="DZ5" s="1184"/>
      <c r="EA5" s="1184"/>
      <c r="EB5" s="1184"/>
      <c r="EC5" s="1184" t="s">
        <v>150</v>
      </c>
      <c r="ED5" s="1184"/>
      <c r="EE5" s="1330" t="s">
        <v>193</v>
      </c>
      <c r="EF5" s="1330"/>
      <c r="EG5" s="1308"/>
      <c r="EH5" s="1367" t="s">
        <v>194</v>
      </c>
      <c r="EI5" s="1368"/>
      <c r="EJ5" s="1369"/>
      <c r="EK5" s="1184" t="s">
        <v>187</v>
      </c>
      <c r="EL5" s="1202"/>
      <c r="EM5" s="1083" t="s">
        <v>188</v>
      </c>
      <c r="EN5" s="1003"/>
      <c r="EO5" s="1003"/>
      <c r="EP5" s="1003"/>
      <c r="EQ5" s="1003"/>
      <c r="ER5" s="1230"/>
      <c r="ES5" s="1222" t="s">
        <v>201</v>
      </c>
      <c r="ET5" s="1204"/>
      <c r="EU5" s="1084"/>
      <c r="EV5" s="1269" t="s">
        <v>221</v>
      </c>
      <c r="EW5" s="1270"/>
      <c r="EX5" s="1270"/>
      <c r="EY5" s="1271"/>
      <c r="EZ5" s="1250" t="s">
        <v>199</v>
      </c>
      <c r="FA5" s="1079" t="s">
        <v>201</v>
      </c>
      <c r="FB5" s="1301"/>
      <c r="FC5" s="1080"/>
      <c r="FD5" s="1305" t="s">
        <v>221</v>
      </c>
      <c r="FE5" s="1306"/>
      <c r="FF5" s="1307"/>
      <c r="FJ5" s="31" t="s">
        <v>390</v>
      </c>
      <c r="FP5" s="1340"/>
      <c r="FQ5" s="31"/>
      <c r="FR5" s="31"/>
      <c r="FS5" s="31"/>
      <c r="FT5" s="31"/>
      <c r="FZ5" s="1340"/>
      <c r="GJ5" s="1317" t="s">
        <v>262</v>
      </c>
      <c r="GK5" s="1373" t="s">
        <v>260</v>
      </c>
      <c r="GL5" s="1375" t="s">
        <v>110</v>
      </c>
      <c r="GM5" s="1375" t="s">
        <v>111</v>
      </c>
      <c r="GN5" s="1376"/>
      <c r="GO5" s="1322"/>
      <c r="GP5" s="1326"/>
      <c r="GQ5" s="31"/>
      <c r="GR5" s="1102"/>
      <c r="GS5" s="1210" t="s">
        <v>244</v>
      </c>
      <c r="GT5" s="1336"/>
      <c r="GU5" s="1332" t="s">
        <v>245</v>
      </c>
      <c r="GV5" s="1333"/>
      <c r="GW5" s="1334"/>
      <c r="GX5" s="1335"/>
      <c r="GY5" s="1320" t="s">
        <v>107</v>
      </c>
      <c r="GZ5" s="986"/>
      <c r="HA5" s="1279" t="s">
        <v>244</v>
      </c>
      <c r="HB5" s="1280"/>
      <c r="HC5" s="1280"/>
      <c r="HD5" s="1281"/>
      <c r="HE5" s="1290" t="s">
        <v>245</v>
      </c>
      <c r="HF5" s="1280"/>
      <c r="HG5" s="1280"/>
      <c r="HH5" s="1291"/>
      <c r="HI5" s="1288"/>
      <c r="HM5" s="909"/>
      <c r="HS5" s="909"/>
      <c r="HT5" s="909"/>
      <c r="HU5" s="909"/>
      <c r="HV5" s="910"/>
      <c r="HW5" s="1276" t="s">
        <v>245</v>
      </c>
      <c r="HX5" s="1277"/>
      <c r="HY5" s="1275" t="s">
        <v>388</v>
      </c>
      <c r="HZ5" s="1276"/>
      <c r="IA5" s="1276"/>
      <c r="IB5" s="1277"/>
      <c r="IC5" s="1275" t="s">
        <v>254</v>
      </c>
      <c r="ID5" s="1276"/>
      <c r="IE5" s="1277"/>
      <c r="IF5" s="858"/>
    </row>
    <row r="6" spans="1:296" ht="15" customHeight="1" thickBot="1" x14ac:dyDescent="0.4">
      <c r="B6" s="1148"/>
      <c r="C6" s="1149"/>
      <c r="D6" s="1149"/>
      <c r="E6" s="1149"/>
      <c r="F6" s="1149"/>
      <c r="G6" s="1149"/>
      <c r="H6" s="1149"/>
      <c r="I6" s="1149"/>
      <c r="J6" s="1149"/>
      <c r="K6" s="1150"/>
      <c r="L6" s="1102" t="str" cm="1">
        <f t="array" ref="L6">IF(OR($K$9:$K$150="Inactive"),"Inactive Element","")</f>
        <v/>
      </c>
      <c r="M6" s="1154"/>
      <c r="N6" s="1178" t="s">
        <v>8</v>
      </c>
      <c r="O6" s="1180" t="s">
        <v>9</v>
      </c>
      <c r="P6" s="1086" t="s">
        <v>10</v>
      </c>
      <c r="Q6" s="1103" t="s">
        <v>11</v>
      </c>
      <c r="R6" s="1104"/>
      <c r="S6" s="1175" t="s">
        <v>10</v>
      </c>
      <c r="T6" s="1135" t="str">
        <f>N6</f>
        <v>X</v>
      </c>
      <c r="U6" s="1137" t="str">
        <f>O6</f>
        <v>Y</v>
      </c>
      <c r="V6" s="1170" t="str">
        <f>P6</f>
        <v>Z</v>
      </c>
      <c r="W6" s="1161" t="str">
        <f>$Q$6</f>
        <v>Projected XY</v>
      </c>
      <c r="X6" s="1162"/>
      <c r="Y6" s="1133" t="str">
        <f>$S$6</f>
        <v>Z</v>
      </c>
      <c r="Z6" s="1114" t="s">
        <v>12</v>
      </c>
      <c r="AA6" s="1115"/>
      <c r="AB6" s="1115"/>
      <c r="AC6" s="1116"/>
      <c r="AD6" s="1112" t="s">
        <v>13</v>
      </c>
      <c r="AE6" s="1111"/>
      <c r="AF6" s="1111"/>
      <c r="AG6" s="1110" t="s">
        <v>7</v>
      </c>
      <c r="AH6" s="1111"/>
      <c r="AI6" s="1112" t="s">
        <v>14</v>
      </c>
      <c r="AJ6" s="1113"/>
      <c r="AK6" s="1186" t="str">
        <f>AD6</f>
        <v>Unit Vector</v>
      </c>
      <c r="AL6" s="1187"/>
      <c r="AM6" s="1188"/>
      <c r="AN6" s="34" t="s">
        <v>15</v>
      </c>
      <c r="AO6" s="35" t="s">
        <v>16</v>
      </c>
      <c r="AP6" s="680" t="s">
        <v>17</v>
      </c>
      <c r="AQ6" s="1125" t="s">
        <v>108</v>
      </c>
      <c r="AS6" s="168">
        <f>(AS5/360)</f>
        <v>6.9444444444444447E-4</v>
      </c>
      <c r="AT6" s="414" t="s">
        <v>48</v>
      </c>
      <c r="AV6" s="1118"/>
      <c r="AW6" s="1105" t="s">
        <v>105</v>
      </c>
      <c r="AX6" s="1106"/>
      <c r="AY6" s="188" t="s">
        <v>110</v>
      </c>
      <c r="AZ6" s="1220" t="s">
        <v>111</v>
      </c>
      <c r="BA6" s="1221"/>
      <c r="BB6" s="1215"/>
      <c r="BC6" s="1161" t="str">
        <f>$Q$6</f>
        <v>Projected XY</v>
      </c>
      <c r="BD6" s="1162"/>
      <c r="BE6" s="1217" t="str">
        <f>$S$6</f>
        <v>Z</v>
      </c>
      <c r="BF6" s="1029" t="s">
        <v>125</v>
      </c>
      <c r="BG6" s="1027"/>
      <c r="BH6" s="1229"/>
      <c r="BI6" s="1007" t="s">
        <v>126</v>
      </c>
      <c r="BJ6" s="1027"/>
      <c r="BK6" s="1008"/>
      <c r="BL6" s="1030" t="s">
        <v>127</v>
      </c>
      <c r="BM6" s="1027"/>
      <c r="BN6" s="1031"/>
      <c r="BO6" s="1029" t="s">
        <v>135</v>
      </c>
      <c r="BP6" s="1027"/>
      <c r="BQ6" s="1027"/>
      <c r="BR6" s="1031"/>
      <c r="BS6" s="1029" t="s">
        <v>125</v>
      </c>
      <c r="BT6" s="1027"/>
      <c r="BU6" s="1229"/>
      <c r="BV6" s="1007" t="s">
        <v>126</v>
      </c>
      <c r="BW6" s="1027"/>
      <c r="BX6" s="1008"/>
      <c r="BY6" s="1030" t="s">
        <v>127</v>
      </c>
      <c r="BZ6" s="1027"/>
      <c r="CA6" s="1031"/>
      <c r="CB6" s="1029" t="s">
        <v>135</v>
      </c>
      <c r="CC6" s="1027"/>
      <c r="CD6" s="1027"/>
      <c r="CE6" s="1031"/>
      <c r="CF6" s="1035" t="s">
        <v>136</v>
      </c>
      <c r="CG6" s="1207"/>
      <c r="CH6" s="1207"/>
      <c r="CI6" s="1233" t="s">
        <v>137</v>
      </c>
      <c r="CJ6" s="1207"/>
      <c r="CK6" s="1036"/>
      <c r="CL6" s="1231" t="s">
        <v>140</v>
      </c>
      <c r="CM6" s="1207"/>
      <c r="CN6" s="1232"/>
      <c r="CO6" s="1203"/>
      <c r="CP6" s="1203"/>
      <c r="CQ6" s="1099"/>
      <c r="CR6" s="1099"/>
      <c r="CS6" s="1205"/>
      <c r="CT6" s="1099"/>
      <c r="CU6" s="1206"/>
      <c r="CV6" s="1177" t="s">
        <v>147</v>
      </c>
      <c r="CW6" s="1027"/>
      <c r="CX6" s="1008"/>
      <c r="CY6" s="1257" t="s">
        <v>148</v>
      </c>
      <c r="CZ6" s="1258"/>
      <c r="DA6" s="1259"/>
      <c r="DB6" s="1234" t="s">
        <v>175</v>
      </c>
      <c r="DC6" s="1235"/>
      <c r="DD6" s="1236"/>
      <c r="DE6" s="1237" t="s">
        <v>176</v>
      </c>
      <c r="DF6" s="1235"/>
      <c r="DG6" s="1236"/>
      <c r="DH6" s="242" t="s">
        <v>29</v>
      </c>
      <c r="DI6" s="1240"/>
      <c r="DJ6" s="1240"/>
      <c r="DK6" s="1241"/>
      <c r="DL6" s="1365"/>
      <c r="DM6" s="1240"/>
      <c r="DN6" s="1366"/>
      <c r="DO6" s="1244"/>
      <c r="DP6" s="1245"/>
      <c r="DQ6" s="1245"/>
      <c r="DR6" s="1185"/>
      <c r="DS6" s="1185"/>
      <c r="DT6" s="1185"/>
      <c r="DU6" s="1185"/>
      <c r="DV6" s="1185"/>
      <c r="DW6" s="1185"/>
      <c r="DX6" s="1203"/>
      <c r="DY6" s="1341"/>
      <c r="DZ6" s="1185"/>
      <c r="EA6" s="1185"/>
      <c r="EB6" s="1185"/>
      <c r="EC6" s="1185"/>
      <c r="ED6" s="1185"/>
      <c r="EE6" s="1337"/>
      <c r="EF6" s="1337"/>
      <c r="EG6" s="1338"/>
      <c r="EH6" s="1370"/>
      <c r="EI6" s="1371"/>
      <c r="EJ6" s="1372"/>
      <c r="EK6" s="1185"/>
      <c r="EL6" s="1203"/>
      <c r="EM6" s="1296" t="s">
        <v>198</v>
      </c>
      <c r="EN6" s="1263"/>
      <c r="EO6" s="1362"/>
      <c r="EP6" s="1262" t="s">
        <v>197</v>
      </c>
      <c r="EQ6" s="1263"/>
      <c r="ER6" s="1264"/>
      <c r="ES6" s="1098"/>
      <c r="ET6" s="1099"/>
      <c r="EU6" s="1205"/>
      <c r="EV6" s="263" t="s">
        <v>220</v>
      </c>
      <c r="EW6" s="1262" t="s">
        <v>201</v>
      </c>
      <c r="EX6" s="1263"/>
      <c r="EY6" s="1295"/>
      <c r="EZ6" s="1251"/>
      <c r="FA6" s="1302"/>
      <c r="FB6" s="1303"/>
      <c r="FC6" s="1304"/>
      <c r="FD6" s="1296" t="s">
        <v>201</v>
      </c>
      <c r="FE6" s="1263"/>
      <c r="FF6" s="1264"/>
      <c r="FG6" s="1298" t="s">
        <v>223</v>
      </c>
      <c r="FH6" s="1299"/>
      <c r="FI6" s="1300"/>
      <c r="FJ6" s="1184" t="s">
        <v>202</v>
      </c>
      <c r="FK6" s="1202" t="s">
        <v>213</v>
      </c>
      <c r="FL6" s="1204"/>
      <c r="FM6" s="1084"/>
      <c r="FN6" s="1260" t="s">
        <v>203</v>
      </c>
      <c r="FO6" s="1253" t="s">
        <v>226</v>
      </c>
      <c r="FP6" s="1255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81" t="s">
        <v>217</v>
      </c>
      <c r="FV6" s="1301"/>
      <c r="FW6" s="1082"/>
      <c r="FX6" s="1260" t="s">
        <v>218</v>
      </c>
      <c r="FY6" s="1253" t="s">
        <v>226</v>
      </c>
      <c r="FZ6" s="1255" t="s">
        <v>224</v>
      </c>
      <c r="GA6" s="1385" t="s">
        <v>237</v>
      </c>
      <c r="GB6" s="318" t="s">
        <v>206</v>
      </c>
      <c r="GC6" s="319" t="s">
        <v>238</v>
      </c>
      <c r="GD6" s="320" t="s">
        <v>225</v>
      </c>
      <c r="GE6" s="1315"/>
      <c r="GF6" s="1308" t="s">
        <v>256</v>
      </c>
      <c r="GG6" s="318" t="s">
        <v>206</v>
      </c>
      <c r="GH6" s="319" t="s">
        <v>238</v>
      </c>
      <c r="GI6" s="320" t="s">
        <v>225</v>
      </c>
      <c r="GJ6" s="1318"/>
      <c r="GK6" s="1374"/>
      <c r="GL6" s="1377"/>
      <c r="GM6" s="1377"/>
      <c r="GN6" s="1378"/>
      <c r="GO6" s="1323" t="s">
        <v>236</v>
      </c>
      <c r="GP6" s="1327" t="s">
        <v>224</v>
      </c>
      <c r="GQ6" s="1204" t="s">
        <v>202</v>
      </c>
      <c r="GR6" s="1102"/>
      <c r="GS6" s="1285" t="s">
        <v>248</v>
      </c>
      <c r="GT6" s="1286"/>
      <c r="GU6" s="1278" t="s">
        <v>247</v>
      </c>
      <c r="GV6" s="1258"/>
      <c r="GW6" s="1258"/>
      <c r="GX6" s="340" t="s">
        <v>106</v>
      </c>
      <c r="GY6" s="1007" t="s">
        <v>246</v>
      </c>
      <c r="GZ6" s="1229"/>
      <c r="HA6" s="1265" t="s">
        <v>248</v>
      </c>
      <c r="HB6" s="1235"/>
      <c r="HC6" s="1235"/>
      <c r="HD6" s="1236"/>
      <c r="HE6" s="1007" t="s">
        <v>247</v>
      </c>
      <c r="HF6" s="1027"/>
      <c r="HG6" s="1027"/>
      <c r="HH6" s="1031"/>
      <c r="HI6" s="1288"/>
      <c r="HM6" s="915" t="s">
        <v>392</v>
      </c>
      <c r="HN6" s="1248" t="s">
        <v>393</v>
      </c>
      <c r="HO6" s="1248"/>
      <c r="HP6" s="1248"/>
      <c r="HQ6" s="1248"/>
      <c r="HR6" s="1249"/>
      <c r="HS6" s="1223" t="s">
        <v>105</v>
      </c>
      <c r="HT6" s="1224"/>
      <c r="HU6" s="1224"/>
      <c r="HV6" s="1359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165" t="s">
        <v>40</v>
      </c>
      <c r="C7" s="1166"/>
      <c r="D7" s="1167"/>
      <c r="E7" s="1168" t="s">
        <v>41</v>
      </c>
      <c r="F7" s="1166"/>
      <c r="G7" s="1169"/>
      <c r="H7" s="1140" t="s">
        <v>98</v>
      </c>
      <c r="I7" s="1141"/>
      <c r="J7" s="1142"/>
      <c r="K7" s="169"/>
      <c r="L7" s="1102"/>
      <c r="M7" s="1160"/>
      <c r="N7" s="1179"/>
      <c r="O7" s="1181"/>
      <c r="P7" s="1087"/>
      <c r="Q7" s="980" t="s">
        <v>18</v>
      </c>
      <c r="R7" s="981" t="s">
        <v>19</v>
      </c>
      <c r="S7" s="1176"/>
      <c r="T7" s="1136"/>
      <c r="U7" s="1138"/>
      <c r="V7" s="1171"/>
      <c r="W7" s="37" t="str">
        <f>$Q$7</f>
        <v>&lt; θ°</v>
      </c>
      <c r="X7" s="27" t="str">
        <f>$R$7</f>
        <v>r</v>
      </c>
      <c r="Y7" s="1134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982" t="s">
        <v>26</v>
      </c>
      <c r="AO7" s="983" t="s">
        <v>27</v>
      </c>
      <c r="AP7" s="723" t="s">
        <v>28</v>
      </c>
      <c r="AQ7" s="1126"/>
      <c r="AS7" s="1131" t="s">
        <v>54</v>
      </c>
      <c r="AT7" s="1129" t="s">
        <v>53</v>
      </c>
      <c r="AV7" s="1118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15"/>
      <c r="BC7" s="37" t="str">
        <f>$Q$7</f>
        <v>&lt; θ°</v>
      </c>
      <c r="BD7" s="27" t="str">
        <f>$R$7</f>
        <v>r</v>
      </c>
      <c r="BE7" s="1218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52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97"/>
      <c r="FK7" s="358" t="s">
        <v>210</v>
      </c>
      <c r="FL7" s="361" t="s">
        <v>211</v>
      </c>
      <c r="FM7" s="907" t="s">
        <v>212</v>
      </c>
      <c r="FN7" s="1261"/>
      <c r="FO7" s="1254"/>
      <c r="FP7" s="1256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61"/>
      <c r="FY7" s="1254"/>
      <c r="FZ7" s="1256"/>
      <c r="GA7" s="1386"/>
      <c r="GB7" s="212" t="s">
        <v>231</v>
      </c>
      <c r="GC7" s="127" t="s">
        <v>232</v>
      </c>
      <c r="GD7" s="213" t="s">
        <v>233</v>
      </c>
      <c r="GE7" s="1316"/>
      <c r="GF7" s="1309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24"/>
      <c r="GP7" s="1328"/>
      <c r="GQ7" s="1329"/>
      <c r="GR7" s="1331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89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46" t="s">
        <v>394</v>
      </c>
      <c r="HP7" s="1247"/>
      <c r="HQ7" s="1306" t="s">
        <v>390</v>
      </c>
      <c r="HR7" s="1307"/>
      <c r="HS7" s="897" t="s">
        <v>29</v>
      </c>
      <c r="HT7" s="898" t="s">
        <v>110</v>
      </c>
      <c r="HU7" s="1360" t="s">
        <v>391</v>
      </c>
      <c r="HV7" s="1361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33" t="s">
        <v>33</v>
      </c>
      <c r="IJ7" s="1272" t="s">
        <v>376</v>
      </c>
      <c r="IK7" s="1029" t="s">
        <v>324</v>
      </c>
      <c r="IL7" s="1030"/>
      <c r="IM7" s="1030"/>
      <c r="IN7" s="1027"/>
      <c r="IO7" s="1027"/>
      <c r="IP7" s="1027"/>
      <c r="IQ7" s="1008"/>
      <c r="IR7" s="1007" t="s">
        <v>320</v>
      </c>
      <c r="IS7" s="1027"/>
      <c r="IT7" s="1027"/>
      <c r="IU7" s="1027"/>
      <c r="IV7" s="1027"/>
      <c r="IW7" s="1007" t="s">
        <v>319</v>
      </c>
      <c r="IX7" s="1027"/>
      <c r="IY7" s="1027"/>
      <c r="IZ7" s="1027"/>
      <c r="JA7" s="1008"/>
      <c r="JC7" s="725"/>
      <c r="JD7" s="1091" t="s">
        <v>355</v>
      </c>
      <c r="JE7" s="1091"/>
      <c r="JF7" s="1091"/>
      <c r="JG7" s="1092"/>
      <c r="JH7" s="786"/>
      <c r="JI7" s="786"/>
      <c r="JY7">
        <v>14.75</v>
      </c>
    </row>
    <row r="8" spans="1:296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02"/>
      <c r="M8" s="411" cm="1">
        <f t="array" ref="M8">IF(AND(ISNUMBER('SN#.Run#'!$P$1),COUNT($M$9:$M$150)&gt;='SN#.Run#'!$P$1),INDEX($M$9:$M$150,'SN#.Run#'!$P$1),"")</f>
        <v>1.1160000000000001</v>
      </c>
      <c r="N8" s="551"/>
      <c r="O8" s="552"/>
      <c r="P8" s="562"/>
      <c r="Q8" s="554">
        <f>IFERROR(INDEX(Q$9:Q$150,MATCH($M$8,$M$9:$M$150,0)),"")</f>
        <v>89.300000101067496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-0.13790041590765442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32"/>
      <c r="AT8" s="1130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74"/>
      <c r="IJ8" s="1273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0</v>
      </c>
      <c r="C9" s="641">
        <f t="shared" si="2"/>
        <v>0.2942008873098762</v>
      </c>
      <c r="D9" s="642">
        <f t="shared" si="2"/>
        <v>-0.48810147211403998</v>
      </c>
      <c r="E9" s="643">
        <f t="shared" ref="E9:K9" si="3">R164</f>
        <v>-0.92050487609870546</v>
      </c>
      <c r="F9" s="641">
        <f t="shared" si="3"/>
        <v>-5.1000624776863762E-2</v>
      </c>
      <c r="G9" s="644">
        <f t="shared" si="3"/>
        <v>0.38738831855242689</v>
      </c>
      <c r="H9" s="643">
        <f t="shared" si="3"/>
        <v>0.26450000000000001</v>
      </c>
      <c r="I9" s="641">
        <f t="shared" si="3"/>
        <v>0.52</v>
      </c>
      <c r="J9" s="940">
        <f>IF(W164=0,"",W164)</f>
        <v>1.101</v>
      </c>
      <c r="K9" s="805">
        <f t="shared" si="3"/>
        <v>1313</v>
      </c>
      <c r="M9" s="163">
        <f t="shared" ref="M9:M40" si="4">IF(J9="","",VALUE(J9))</f>
        <v>1.101</v>
      </c>
      <c r="N9" s="566">
        <f t="shared" ref="N9:N40" si="5">IF(M9="","",B9)</f>
        <v>0</v>
      </c>
      <c r="O9" s="567">
        <f t="shared" ref="O9:O40" si="6">IF(M9="","",C9)</f>
        <v>0.2942008873098762</v>
      </c>
      <c r="P9" s="568">
        <f t="shared" ref="P9:P40" si="7">IF(M9="","",D9)</f>
        <v>-0.48810147211403998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0.2942008873098762</v>
      </c>
      <c r="S9" s="569">
        <f>IF(M9="","",P9)</f>
        <v>-0.48810147211403998</v>
      </c>
      <c r="T9" s="570">
        <f>IF(M9="","",X9*COS(RADIANS(W9)))</f>
        <v>0.29417893100410109</v>
      </c>
      <c r="U9" s="567">
        <f>IF(M9="","",X9*SIN(RADIANS(W9)))</f>
        <v>3.5942519670751783E-3</v>
      </c>
      <c r="V9" s="571">
        <f>IF(M9="","",Y9)</f>
        <v>-0.48810147211403998</v>
      </c>
      <c r="W9" s="526">
        <f t="shared" ref="W9:W14" si="8">IF(M9="","",IF(Q9-$Q$8&lt;0,360+Q9-$Q$8,Q9-$Q$8))</f>
        <v>0.69999989893250358</v>
      </c>
      <c r="X9" s="572">
        <f>IF(M9="","",R9)</f>
        <v>0.2942008873098762</v>
      </c>
      <c r="Y9" s="573">
        <f t="shared" ref="Y9:Y15" si="9">IF(M9="","",S9)</f>
        <v>-0.48810147211403998</v>
      </c>
      <c r="Z9" s="566">
        <f t="shared" ref="Z9:Z40" si="10">IF(M9="","",-E9)</f>
        <v>0.92050487609870546</v>
      </c>
      <c r="AA9" s="567">
        <f t="shared" ref="AA9:AA40" si="11">IF(M9="","",-F9)</f>
        <v>5.1000624776863762E-2</v>
      </c>
      <c r="AB9" s="567">
        <f t="shared" ref="AB9:AB40" si="12">IF(M9="","",-G9)</f>
        <v>-0.38738831855242689</v>
      </c>
      <c r="AC9" s="571">
        <f>IF(M9="","",SQRT(Z9^2+AA9^2+AB9^2))</f>
        <v>1</v>
      </c>
      <c r="AD9" s="574">
        <f>IF(M9="","",Z9*(1/SQRT(Z9^2+AA9^2+AB9^2)))</f>
        <v>0.92050487609870546</v>
      </c>
      <c r="AE9" s="567">
        <f>IF(M9="","",AA9*(1/SQRT(Z9^2+AA9^2+AB9^2)))</f>
        <v>5.1000624776863762E-2</v>
      </c>
      <c r="AF9" s="568">
        <f>IF(M9="","",AB9*(1/SQRT(Z9^2+AA9^2+AB9^2)))</f>
        <v>-0.38738831855242689</v>
      </c>
      <c r="AG9" s="542">
        <f>IF(M9="","",DEGREES(ATAN2(-AF9,AE9)))</f>
        <v>7.4999978342684246</v>
      </c>
      <c r="AH9" s="543">
        <f>IF(M9="","",DEGREES(ACOS(AD9)))</f>
        <v>22.999996679211336</v>
      </c>
      <c r="AI9" s="526">
        <f>IF(M9="","",DEGREES(-ACOS(-AF9)))</f>
        <v>-67.207909744473397</v>
      </c>
      <c r="AJ9" s="544">
        <f>IF(M9="","",DEGREES(ATAN2(-AE9,AD9)))</f>
        <v>93.171233626464101</v>
      </c>
      <c r="AK9" s="570">
        <f>IF(M9="","",(COS(RADIANS((90-$Q$8)-W9))*AD9)+(-SIN(RADIANS((90-$Q$8)-W9))*AE9))</f>
        <v>0.92050487609870546</v>
      </c>
      <c r="AL9" s="567">
        <f>IF(M9="","",(SIN(RADIANS((90-$Q$8)-W9))*AD9)+(COS(RADIANS((90-$Q$8)-W9))*AE9))</f>
        <v>5.1000624776863762E-2</v>
      </c>
      <c r="AM9" s="569">
        <f>IF(M9="","",AF9)</f>
        <v>-0.38738831855242689</v>
      </c>
      <c r="AN9" s="524">
        <f>IF(M9="","",DEGREES(ATAN2(-AM9,AL9)))</f>
        <v>7.4999978342684246</v>
      </c>
      <c r="AO9" s="525">
        <f>IF(ROUND(IF(M9="",0,DEGREES(ACOS(AK9))),4)=90,0,IF(M9="","",DEGREES(ACOS(AK9))))</f>
        <v>22.999996679211336</v>
      </c>
      <c r="AP9" s="722">
        <f>IF(M9="","",DEGREES(ATAN2(AK9,AL9)))</f>
        <v>3.1712336264641157</v>
      </c>
      <c r="AQ9" s="527">
        <f t="shared" ref="AQ9:AQ40" si="13">IF(M9="","",DEGREES(ATAN(($AS$5*SIN(RADIANS(90)))/(($X9*2*PI())-($AS$5*COS(RADIANS(90)))))))</f>
        <v>7.7021449400370425</v>
      </c>
      <c r="AR9" s="979"/>
      <c r="AS9" s="953">
        <f>IF(M9="","",W9)</f>
        <v>0.69999989893250358</v>
      </c>
      <c r="AT9" s="949">
        <f t="shared" ref="AT9:AT40" si="14">IF(M9="","",Y9+(((AS9-$AS$9)*$AS$6)*-1))</f>
        <v>-0.48810147211403998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1313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1313</v>
      </c>
      <c r="JD9" s="727" cm="1">
        <f t="array" ref="JD9">IF($JC9="","",COUNT(IF(IF($IK$9:$IK$150="",$IL$9:$IL$150,"")=$JC9,$II$9:$II$150,"")))</f>
        <v>40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0.2942008873098762</v>
      </c>
      <c r="JP9" s="961">
        <f>AN9</f>
        <v>7.4999978342684246</v>
      </c>
      <c r="JQ9" s="961">
        <f>AO9</f>
        <v>22.999996679211336</v>
      </c>
      <c r="JS9" s="82" cm="1">
        <f t="array" ref="JS9:JS49">_xlfn.UNIQUE(_xlfn.SORTBY(JM$9:JM$88,$JM$9:$JM$88))</f>
        <v>1</v>
      </c>
      <c r="JT9" s="322">
        <f>INDEX($JM$9:$JQ$88,MATCH($JS9,$JM$9:$JM$88,0),3)</f>
        <v>0.2942008873098762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22.999996679211336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</v>
      </c>
      <c r="B10" s="578">
        <f>IFERROR(O165+($A10*-E10),"")</f>
        <v>-1.7074049960401645E-17</v>
      </c>
      <c r="C10" s="572">
        <f>IFERROR(P165+($A10*-F10),"")</f>
        <v>0.8853026700728529</v>
      </c>
      <c r="D10" s="576">
        <f>IFERROR(Q165+($A10*-G10),"")</f>
        <v>-0.32970099437819911</v>
      </c>
      <c r="E10" s="580">
        <f t="shared" ref="E10:K10" si="93">R165</f>
        <v>-0.95630476848795665</v>
      </c>
      <c r="F10" s="572">
        <f t="shared" si="93"/>
        <v>-3.0561156319032234E-2</v>
      </c>
      <c r="G10" s="579">
        <f t="shared" si="93"/>
        <v>0.29077002165223192</v>
      </c>
      <c r="H10" s="580">
        <f t="shared" si="93"/>
        <v>0.26450000000000001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1313</v>
      </c>
      <c r="M10" s="164">
        <f t="shared" si="4"/>
        <v>1.1040000000000001</v>
      </c>
      <c r="N10" s="575">
        <f t="shared" si="5"/>
        <v>-1.7074049960401645E-17</v>
      </c>
      <c r="O10" s="572">
        <f t="shared" si="6"/>
        <v>0.8853026700728529</v>
      </c>
      <c r="P10" s="576">
        <f t="shared" si="7"/>
        <v>-0.32970099437819911</v>
      </c>
      <c r="Q10" s="528">
        <f>IF(M10="","",IF(DEGREES(ATAN2(N10,O10))&lt;0,DEGREES(ATAN2(N10,O10))+360,IF(DEGREES(ATAN2(N10,O10))&gt;360,DEGREES(ATAN2(N10,O10))-360,DEGREES(ATAN2(N10,O10)))))</f>
        <v>90</v>
      </c>
      <c r="R10" s="572">
        <f t="shared" ref="R10:R105" si="95">IF(M10="","",SQRT(N10^2+O10^2))</f>
        <v>0.8853026700728529</v>
      </c>
      <c r="S10" s="577">
        <f t="shared" ref="S10:S105" si="96">IF(M10="","",P10)</f>
        <v>-0.32970099437819911</v>
      </c>
      <c r="T10" s="578">
        <f t="shared" ref="T10:T105" si="97">IF(M10="","",X10*COS(RADIANS(W10)))</f>
        <v>0.88523659965306112</v>
      </c>
      <c r="U10" s="572">
        <f t="shared" ref="U10:U105" si="98">IF(M10="","",X10*SIN(RADIANS(W10)))</f>
        <v>1.0815741898204128E-2</v>
      </c>
      <c r="V10" s="579">
        <f>IF(M10="","",Y10)</f>
        <v>-0.32970099437819911</v>
      </c>
      <c r="W10" s="528">
        <f t="shared" si="8"/>
        <v>0.69999989893250358</v>
      </c>
      <c r="X10" s="572">
        <f t="shared" ref="X10:X105" si="99">IF(M10="","",R10)</f>
        <v>0.8853026700728529</v>
      </c>
      <c r="Y10" s="573">
        <f t="shared" si="9"/>
        <v>-0.32970099437819911</v>
      </c>
      <c r="Z10" s="575">
        <f>IF(M10="","",-E10)</f>
        <v>0.95630476848795665</v>
      </c>
      <c r="AA10" s="572">
        <f t="shared" si="11"/>
        <v>3.0561156319032234E-2</v>
      </c>
      <c r="AB10" s="572">
        <f t="shared" si="12"/>
        <v>-0.29077002165223192</v>
      </c>
      <c r="AC10" s="579">
        <f t="shared" ref="AC10:AC105" si="100">IF(M10="","",SQRT(Z10^2+AA10^2+AB10^2))</f>
        <v>1</v>
      </c>
      <c r="AD10" s="580">
        <f>IF(M10="","",Z10*(1/SQRT(Z10^2+AA10^2+AB10^2)))</f>
        <v>0.95630476848795665</v>
      </c>
      <c r="AE10" s="572">
        <f t="shared" ref="AE10:AE105" si="101">IF(M10="","",AA10*(1/SQRT(Z10^2+AA10^2+AB10^2)))</f>
        <v>3.0561156319032234E-2</v>
      </c>
      <c r="AF10" s="576">
        <f t="shared" ref="AF10:AF105" si="102">IF(M10="","",AB10*(1/SQRT(Z10^2+AA10^2+AB10^2)))</f>
        <v>-0.29077002165223192</v>
      </c>
      <c r="AG10" s="545">
        <f t="shared" ref="AG10:AG105" si="103">IF(M10="","",DEGREES(ATAN2(-AF10,AE10)))</f>
        <v>5.999999133707302</v>
      </c>
      <c r="AH10" s="546">
        <f t="shared" ref="AH10:AH105" si="104">IF(M10="","",DEGREES(ACOS(AD10)))</f>
        <v>16.999997545504019</v>
      </c>
      <c r="AI10" s="528">
        <f t="shared" ref="AI10:AI105" si="105">IF(M10="","",DEGREES(-ACOS(-AF10)))</f>
        <v>-73.095938286051293</v>
      </c>
      <c r="AJ10" s="529">
        <f t="shared" ref="AJ10:AJ105" si="106">IF(M10="","",DEGREES(ATAN2(-AE10,AD10)))</f>
        <v>91.830409716894792</v>
      </c>
      <c r="AK10" s="578">
        <f>IF(M10="","",(COS(RADIANS((90-$Q$8)-W10))*AD10)+(-SIN(RADIANS((90-$Q$8)-W10))*AE10))</f>
        <v>0.95630476848795665</v>
      </c>
      <c r="AL10" s="572">
        <f t="shared" ref="AL10:AL105" si="107">IF(M10="","",(SIN(RADIANS((90-$Q$8)-W10))*AD10)+(COS(RADIANS((90-$Q$8)-W10))*AE10))</f>
        <v>3.0561156319032234E-2</v>
      </c>
      <c r="AM10" s="577">
        <f t="shared" ref="AM10:AM105" si="108">IF(M10="","",AF10)</f>
        <v>-0.29077002165223192</v>
      </c>
      <c r="AN10" s="524">
        <f t="shared" ref="AN10:AN105" si="109">IF(M10="","",DEGREES(ATAN2(-AM10,AL10)))</f>
        <v>5.999999133707302</v>
      </c>
      <c r="AO10" s="525">
        <f t="shared" ref="AO10:AO54" si="110">IF(ROUND(IF(M10="",0,DEGREES(ACOS(AK10))),4)=90,0,IF(M10="","",DEGREES(ACOS(AK10))))</f>
        <v>16.999997545504019</v>
      </c>
      <c r="AP10" s="528">
        <f t="shared" ref="AP10:AP105" si="111">IF(M10="","",DEGREES(ATAN2(AK10,AL10)))</f>
        <v>1.830409716894787</v>
      </c>
      <c r="AQ10" s="529">
        <f t="shared" si="13"/>
        <v>2.5733498863167332</v>
      </c>
      <c r="AR10" s="979"/>
      <c r="AS10" s="954">
        <f>IF($M10="","",IF(AND($W10&lt;($AS$9+180),$W10&gt;($AS$9-180)),$W10,IF($W10&gt;($AS$9+180),$W10-360,IF($W10&lt;($AS$9-180),$W10+360,"Error"))))</f>
        <v>0.69999989893250358</v>
      </c>
      <c r="AT10" s="950">
        <f t="shared" si="14"/>
        <v>-0.32970099437819911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1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1313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0.15751694224710405</v>
      </c>
      <c r="JO10" s="162">
        <f t="shared" ref="JO10:JO70" si="134">X10</f>
        <v>0.8853026700728529</v>
      </c>
      <c r="JP10" s="961">
        <f t="shared" ref="JP10:JP70" si="135">AN10</f>
        <v>5.999999133707302</v>
      </c>
      <c r="JQ10" s="961">
        <f t="shared" ref="JQ10:JQ70" si="136">AO10</f>
        <v>16.999997545504019</v>
      </c>
      <c r="JS10" s="82">
        <v>2</v>
      </c>
      <c r="JT10" s="322">
        <f t="shared" ref="JT10:JT53" si="137">INDEX($JM$9:$JQ$88,MATCH($JS10,$JM$9:$JM$88,0),3)</f>
        <v>0.49120148146366821</v>
      </c>
      <c r="JU10" s="963">
        <f t="shared" ref="JU10:JU53" si="138">INDEX($JM$9:$JQ$88,MATCH($JS10,$JM$9:$JM$88,0),2)</f>
        <v>5.2496764714396058E-2</v>
      </c>
      <c r="JV10" s="961">
        <v>9</v>
      </c>
      <c r="JW10" s="961">
        <f t="shared" si="92"/>
        <v>19.999997112357679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9.9095967158325955</v>
      </c>
      <c r="KD10" s="969">
        <v>6</v>
      </c>
      <c r="KE10" s="968">
        <f t="shared" ref="KE10:KE48" si="140">KD10-KC10</f>
        <v>-3.9095967158325955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</v>
      </c>
      <c r="B11" s="578">
        <f t="shared" ref="B11:D11" si="142">IFERROR(O166+($A11*-E11),"")</f>
        <v>2.1342562450502056E-18</v>
      </c>
      <c r="C11" s="572">
        <f t="shared" si="142"/>
        <v>1.482804472138288</v>
      </c>
      <c r="D11" s="576">
        <f t="shared" si="142"/>
        <v>-0.20100060621782836</v>
      </c>
      <c r="E11" s="580">
        <f>R166</f>
        <v>-0.95630476848795665</v>
      </c>
      <c r="F11" s="572">
        <f t="shared" ref="F11:K11" si="143">S166</f>
        <v>-1.5301548393736849E-2</v>
      </c>
      <c r="G11" s="579">
        <f t="shared" si="143"/>
        <v>0.29197097866731525</v>
      </c>
      <c r="H11" s="580">
        <f t="shared" si="143"/>
        <v>0.26450000000000001</v>
      </c>
      <c r="I11" s="572">
        <f t="shared" si="143"/>
        <v>0.52</v>
      </c>
      <c r="J11" s="483">
        <f t="shared" si="94"/>
        <v>1.107</v>
      </c>
      <c r="K11" s="806">
        <f t="shared" si="143"/>
        <v>1313</v>
      </c>
      <c r="L11" s="720" t="s">
        <v>323</v>
      </c>
      <c r="M11" s="164">
        <f t="shared" si="4"/>
        <v>1.107</v>
      </c>
      <c r="N11" s="575">
        <f t="shared" si="5"/>
        <v>2.1342562450502056E-18</v>
      </c>
      <c r="O11" s="572">
        <f t="shared" si="6"/>
        <v>1.482804472138288</v>
      </c>
      <c r="P11" s="576">
        <f t="shared" si="7"/>
        <v>-0.20100060621782836</v>
      </c>
      <c r="Q11" s="528">
        <f t="shared" ref="Q11:Q73" si="144">IF(M11="","",IF(DEGREES(ATAN2(N11,O11))&lt;0,DEGREES(ATAN2(N11,O11))+360,IF(DEGREES(ATAN2(N11,O11))&gt;360,DEGREES(ATAN2(N11,O11))-360,DEGREES(ATAN2(N11,O11)))))</f>
        <v>90</v>
      </c>
      <c r="R11" s="572">
        <f t="shared" si="95"/>
        <v>1.482804472138288</v>
      </c>
      <c r="S11" s="577">
        <f t="shared" si="96"/>
        <v>-0.20100060621782836</v>
      </c>
      <c r="T11" s="578">
        <f t="shared" si="97"/>
        <v>1.4826938099690039</v>
      </c>
      <c r="U11" s="572">
        <f t="shared" si="98"/>
        <v>1.8115420859208271E-2</v>
      </c>
      <c r="V11" s="579">
        <f t="shared" ref="V11:V105" si="145">IF(M11="","",Y11)</f>
        <v>-0.20100060621782836</v>
      </c>
      <c r="W11" s="528">
        <f t="shared" si="8"/>
        <v>0.69999989893250358</v>
      </c>
      <c r="X11" s="572">
        <f>IF(M11="","",R11)</f>
        <v>1.482804472138288</v>
      </c>
      <c r="Y11" s="573">
        <f t="shared" si="9"/>
        <v>-0.20100060621782836</v>
      </c>
      <c r="Z11" s="575">
        <f t="shared" si="10"/>
        <v>0.95630476848795665</v>
      </c>
      <c r="AA11" s="572">
        <f t="shared" si="11"/>
        <v>1.5301548393736849E-2</v>
      </c>
      <c r="AB11" s="572">
        <f t="shared" si="12"/>
        <v>-0.29197097866731525</v>
      </c>
      <c r="AC11" s="579">
        <f t="shared" si="100"/>
        <v>1</v>
      </c>
      <c r="AD11" s="580">
        <f t="shared" ref="AD11:AD105" si="146">IF(M11="","",Z11*(1/SQRT(Z11^2+AA11^2+AB11^2)))</f>
        <v>0.95630476848795665</v>
      </c>
      <c r="AE11" s="572">
        <f t="shared" si="101"/>
        <v>1.5301548393736849E-2</v>
      </c>
      <c r="AF11" s="576">
        <f t="shared" si="102"/>
        <v>-0.29197097866731525</v>
      </c>
      <c r="AG11" s="545">
        <f>IF(M11="","",DEGREES(ATAN2(-AF11,AE11)))</f>
        <v>2.9999995668536474</v>
      </c>
      <c r="AH11" s="546">
        <f t="shared" si="104"/>
        <v>16.999997545504019</v>
      </c>
      <c r="AI11" s="528">
        <f t="shared" si="105"/>
        <v>-73.02400745338953</v>
      </c>
      <c r="AJ11" s="529">
        <f t="shared" si="106"/>
        <v>90.916694513968423</v>
      </c>
      <c r="AK11" s="578">
        <f>IF(M11="","",(COS(RADIANS((90-$Q$8)-W11))*AD11)+(-SIN(RADIANS((90-$Q$8)-W11))*AE11))</f>
        <v>0.95630476848795665</v>
      </c>
      <c r="AL11" s="572">
        <f t="shared" si="107"/>
        <v>1.5301548393736849E-2</v>
      </c>
      <c r="AM11" s="577">
        <f t="shared" si="108"/>
        <v>-0.29197097866731525</v>
      </c>
      <c r="AN11" s="524">
        <f>IF(M11="","",DEGREES(ATAN2(-AM11,AL11)))</f>
        <v>2.9999995668536474</v>
      </c>
      <c r="AO11" s="525">
        <f>IF(ROUND(IF(M11="",0,DEGREES(ACOS(AK11))),4)=90,0,IF(M11="","",DEGREES(ACOS(AK11))))</f>
        <v>16.999997545504019</v>
      </c>
      <c r="AP11" s="528">
        <f t="shared" si="111"/>
        <v>0.91669451396843182</v>
      </c>
      <c r="AQ11" s="529">
        <f>IF(M11="","",DEGREES(ATAN(($AS$5*SIN(RADIANS(90)))/(($X11*2*PI())-($AS$5*COS(RADIANS(90)))))))</f>
        <v>1.5370736677959596</v>
      </c>
      <c r="AR11" s="979"/>
      <c r="AS11" s="954">
        <f t="shared" ref="AS11:AS42" si="147">IF(G11="","",IF(AND(W11&lt;(AS10+180),W11&gt;(AS10-180)),W11,IF(W11&gt;(AS10+180),W11-360,IF(W11&lt;(AS10-180),W11+360,"Error"))))</f>
        <v>0.69999989893250358</v>
      </c>
      <c r="AT11" s="950">
        <f t="shared" si="14"/>
        <v>-0.20100060621782836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 t="str">
        <f t="shared" si="131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1313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0.31673936314482809</v>
      </c>
      <c r="JO11" s="162">
        <f t="shared" si="134"/>
        <v>1.482804472138288</v>
      </c>
      <c r="JP11" s="961">
        <f t="shared" si="135"/>
        <v>2.9999995668536474</v>
      </c>
      <c r="JQ11" s="961">
        <f t="shared" si="136"/>
        <v>16.999997545504019</v>
      </c>
      <c r="JS11" s="82">
        <v>3</v>
      </c>
      <c r="JT11" s="322">
        <f t="shared" si="137"/>
        <v>0.68830207591906112</v>
      </c>
      <c r="JU11" s="963">
        <f t="shared" si="138"/>
        <v>0.10502017753270804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7.8206329653212832</v>
      </c>
      <c r="KD11" s="969">
        <v>4</v>
      </c>
      <c r="KE11" s="968">
        <f t="shared" si="140"/>
        <v>-3.8206329653212832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</v>
      </c>
      <c r="B12" s="578">
        <f t="shared" ref="B12:D12" si="245">IFERROR(O167+($A12*-E12),"")</f>
        <v>2.1882298867989258E-3</v>
      </c>
      <c r="C12" s="572">
        <f t="shared" si="245"/>
        <v>2.0896051564981786</v>
      </c>
      <c r="D12" s="576">
        <f t="shared" si="245"/>
        <v>-0.12120036554030247</v>
      </c>
      <c r="E12" s="580">
        <f t="shared" ref="E12:K12" si="246">R167</f>
        <v>-0.95630424413539195</v>
      </c>
      <c r="F12" s="572">
        <f t="shared" si="246"/>
        <v>1.0014396841347044E-3</v>
      </c>
      <c r="G12" s="579">
        <f t="shared" si="246"/>
        <v>0.29237166375556251</v>
      </c>
      <c r="H12" s="580">
        <f t="shared" si="246"/>
        <v>0.26450000000000001</v>
      </c>
      <c r="I12" s="572">
        <f t="shared" si="246"/>
        <v>0.52</v>
      </c>
      <c r="J12" s="483">
        <f t="shared" si="94"/>
        <v>1.1100000000000001</v>
      </c>
      <c r="K12" s="806">
        <f t="shared" si="246"/>
        <v>1313</v>
      </c>
      <c r="L12" s="716" t="s">
        <v>357</v>
      </c>
      <c r="M12" s="164">
        <f t="shared" si="4"/>
        <v>1.1100000000000001</v>
      </c>
      <c r="N12" s="575">
        <f t="shared" si="5"/>
        <v>2.1882298867989258E-3</v>
      </c>
      <c r="O12" s="572">
        <f t="shared" si="6"/>
        <v>2.0896051564981786</v>
      </c>
      <c r="P12" s="576">
        <f t="shared" si="7"/>
        <v>-0.12120036554030247</v>
      </c>
      <c r="Q12" s="528">
        <f>IF(M12="","",IF(DEGREES(ATAN2(N12,O12))&lt;0,DEGREES(ATAN2(N12,O12))+360,IF(DEGREES(ATAN2(N12,O12))&gt;360,DEGREES(ATAN2(N12,O12))-360,DEGREES(ATAN2(N12,O12)))))</f>
        <v>89.940000008662935</v>
      </c>
      <c r="R12" s="572">
        <f t="shared" si="95"/>
        <v>2.0896063022526072</v>
      </c>
      <c r="S12" s="577">
        <f t="shared" si="96"/>
        <v>-0.12120036554030247</v>
      </c>
      <c r="T12" s="578">
        <f>IF(M12="","",X12*COS(RADIANS(W12)))</f>
        <v>2.0894759422033546</v>
      </c>
      <c r="U12" s="572">
        <f t="shared" si="98"/>
        <v>2.3340637678062746E-2</v>
      </c>
      <c r="V12" s="579">
        <f t="shared" si="145"/>
        <v>-0.12120036554030247</v>
      </c>
      <c r="W12" s="528">
        <f>IF(M12="","",IF(Q12-$Q$8&lt;0,360+Q12-$Q$8,Q12-$Q$8))</f>
        <v>0.63999990759543834</v>
      </c>
      <c r="X12" s="572">
        <f t="shared" si="99"/>
        <v>2.0896063022526072</v>
      </c>
      <c r="Y12" s="573">
        <f t="shared" si="9"/>
        <v>-0.12120036554030247</v>
      </c>
      <c r="Z12" s="575">
        <f t="shared" si="10"/>
        <v>0.95630424413539195</v>
      </c>
      <c r="AA12" s="572">
        <f t="shared" si="11"/>
        <v>-1.0014396841347044E-3</v>
      </c>
      <c r="AB12" s="572">
        <f t="shared" si="12"/>
        <v>-0.29237166375556251</v>
      </c>
      <c r="AC12" s="579">
        <f t="shared" si="100"/>
        <v>1</v>
      </c>
      <c r="AD12" s="580">
        <f t="shared" si="146"/>
        <v>0.95630424413539195</v>
      </c>
      <c r="AE12" s="572">
        <f t="shared" si="101"/>
        <v>-1.0014396841347044E-3</v>
      </c>
      <c r="AF12" s="576">
        <f t="shared" si="102"/>
        <v>-0.29237166375556251</v>
      </c>
      <c r="AG12" s="545">
        <f t="shared" si="103"/>
        <v>-0.19625035549443148</v>
      </c>
      <c r="AH12" s="546">
        <f t="shared" si="104"/>
        <v>17.000100302044899</v>
      </c>
      <c r="AI12" s="528">
        <f t="shared" si="105"/>
        <v>-73.00000245449597</v>
      </c>
      <c r="AJ12" s="529">
        <f t="shared" si="106"/>
        <v>89.940000008662935</v>
      </c>
      <c r="AK12" s="578">
        <f t="shared" ref="AK12:AK105" si="247">IF(M12="","",(COS(RADIANS((90-$Q$8)-W12))*AD12)+(-SIN(RADIANS((90-$Q$8)-W12))*AE12))</f>
        <v>0.95630476848795665</v>
      </c>
      <c r="AL12" s="572">
        <f>IF(M12="","",(SIN(RADIANS((90-$Q$8)-W12))*AD12)+(COS(RADIANS((90-$Q$8)-W12))*AE12))</f>
        <v>-1.9949319973733282E-16</v>
      </c>
      <c r="AM12" s="577">
        <f t="shared" si="108"/>
        <v>-0.29237166375556251</v>
      </c>
      <c r="AN12" s="524">
        <f>IF(M12="","",DEGREES(ATAN2(-AM12,AL12)))</f>
        <v>-3.9094480770426749E-14</v>
      </c>
      <c r="AO12" s="525">
        <f t="shared" si="110"/>
        <v>16.999997545504019</v>
      </c>
      <c r="AP12" s="528">
        <f t="shared" si="111"/>
        <v>-1.1952380415902381E-14</v>
      </c>
      <c r="AQ12" s="529">
        <f t="shared" si="13"/>
        <v>1.0908519799103658</v>
      </c>
      <c r="AR12" s="979"/>
      <c r="AS12" s="954">
        <f t="shared" si="147"/>
        <v>0.63999990759543834</v>
      </c>
      <c r="AT12" s="950">
        <f>IF(M12="","",Y12+(((AS12-$AS$9)*$AS$6)*-1))</f>
        <v>-0.12115869887965174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 t="str">
        <f t="shared" si="131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1313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10</v>
      </c>
      <c r="JN12" s="960">
        <f>($JO12-SMALL($JO$9:$JO$88,1))/((Settings!$C$19/2)-((Settings!$C$19/2)-LARGE($JO$9:$JO$88,1))-SMALL($JO$9:$JO$88,1))</f>
        <v>0.47844005770673415</v>
      </c>
      <c r="JO12" s="162">
        <f t="shared" si="134"/>
        <v>2.0896063022526072</v>
      </c>
      <c r="JP12" s="961">
        <f t="shared" si="135"/>
        <v>-3.9094480770426749E-14</v>
      </c>
      <c r="JQ12" s="961">
        <f t="shared" si="136"/>
        <v>16.999997545504019</v>
      </c>
      <c r="JS12" s="82">
        <v>4</v>
      </c>
      <c r="JT12" s="322">
        <f t="shared" si="137"/>
        <v>0.8853026700728529</v>
      </c>
      <c r="JU12" s="963">
        <f t="shared" si="138"/>
        <v>0.15751694224710405</v>
      </c>
      <c r="JV12" s="964">
        <v>3</v>
      </c>
      <c r="JW12" s="961">
        <f t="shared" si="92"/>
        <v>16.999997545504019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5.7370399516310782</v>
      </c>
      <c r="KD12" s="968">
        <v>3</v>
      </c>
      <c r="KE12" s="968">
        <f t="shared" si="140"/>
        <v>-2.7370399516310782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</v>
      </c>
      <c r="B13" s="578">
        <f t="shared" ref="B13:D13" si="259">IFERROR(O168+($A13*-E13),"")</f>
        <v>3.3942590890975614E-2</v>
      </c>
      <c r="C13" s="572">
        <f t="shared" si="259"/>
        <v>2.7781010333402238</v>
      </c>
      <c r="D13" s="576">
        <f t="shared" si="259"/>
        <v>-0.13790041590765442</v>
      </c>
      <c r="E13" s="580">
        <f t="shared" ref="E13:K13" si="260">R168</f>
        <v>-0.93670848281053865</v>
      </c>
      <c r="F13" s="572">
        <f t="shared" si="260"/>
        <v>0.1320432400784157</v>
      </c>
      <c r="G13" s="579">
        <f t="shared" si="260"/>
        <v>0.32425576476043222</v>
      </c>
      <c r="H13" s="580">
        <f t="shared" si="260"/>
        <v>0.26450000000000001</v>
      </c>
      <c r="I13" s="572">
        <f t="shared" si="260"/>
        <v>0.52</v>
      </c>
      <c r="J13" s="483">
        <f t="shared" si="94"/>
        <v>1.1160000000000001</v>
      </c>
      <c r="K13" s="806">
        <f t="shared" si="260"/>
        <v>1313</v>
      </c>
      <c r="L13" s="717" t="str">
        <f>IF($L12=$JJ$22,$JJ$29,IF($L12=$JK$22,$JK$29,""))</f>
        <v/>
      </c>
      <c r="M13" s="164">
        <f t="shared" si="4"/>
        <v>1.1160000000000001</v>
      </c>
      <c r="N13" s="575">
        <f t="shared" si="5"/>
        <v>3.3942590890975614E-2</v>
      </c>
      <c r="O13" s="572">
        <f t="shared" si="6"/>
        <v>2.7781010333402238</v>
      </c>
      <c r="P13" s="576">
        <f t="shared" si="7"/>
        <v>-0.13790041590765442</v>
      </c>
      <c r="Q13" s="528">
        <f t="shared" si="144"/>
        <v>89.300000101067496</v>
      </c>
      <c r="R13" s="572">
        <f t="shared" si="95"/>
        <v>2.7783083793780725</v>
      </c>
      <c r="S13" s="577">
        <f t="shared" si="96"/>
        <v>-0.13790041590765442</v>
      </c>
      <c r="T13" s="578">
        <f>IF(M13="","",X13*COS(RADIANS(W13)))</f>
        <v>2.7783083793780725</v>
      </c>
      <c r="U13" s="572">
        <f t="shared" si="98"/>
        <v>0</v>
      </c>
      <c r="V13" s="579">
        <f t="shared" si="145"/>
        <v>-0.13790041590765442</v>
      </c>
      <c r="W13" s="528">
        <f t="shared" si="8"/>
        <v>0</v>
      </c>
      <c r="X13" s="572">
        <f t="shared" si="99"/>
        <v>2.7783083793780725</v>
      </c>
      <c r="Y13" s="573">
        <f t="shared" si="9"/>
        <v>-0.13790041590765442</v>
      </c>
      <c r="Z13" s="575">
        <f t="shared" si="10"/>
        <v>0.93670848281053865</v>
      </c>
      <c r="AA13" s="572">
        <f t="shared" si="11"/>
        <v>-0.1320432400784157</v>
      </c>
      <c r="AB13" s="572">
        <f t="shared" si="12"/>
        <v>-0.32425576476043222</v>
      </c>
      <c r="AC13" s="579">
        <f t="shared" si="100"/>
        <v>1</v>
      </c>
      <c r="AD13" s="580">
        <f>IF(M13="","",Z13*(1/SQRT(Z13^2+AA13^2+AB13^2)))</f>
        <v>0.93670848281053865</v>
      </c>
      <c r="AE13" s="572">
        <f t="shared" si="101"/>
        <v>-0.1320432400784157</v>
      </c>
      <c r="AF13" s="576">
        <f t="shared" si="102"/>
        <v>-0.32425576476043222</v>
      </c>
      <c r="AG13" s="545">
        <f>IF(M13="","",DEGREES(ATAN2(-AF13,AE13)))</f>
        <v>-22.157106933765721</v>
      </c>
      <c r="AH13" s="546">
        <f t="shared" si="104"/>
        <v>20.494061358138879</v>
      </c>
      <c r="AI13" s="528">
        <f t="shared" si="105"/>
        <v>-71.079508173080825</v>
      </c>
      <c r="AJ13" s="529">
        <f t="shared" si="106"/>
        <v>81.976161514537409</v>
      </c>
      <c r="AK13" s="578">
        <f t="shared" si="247"/>
        <v>0.93825174810002043</v>
      </c>
      <c r="AL13" s="572">
        <f t="shared" si="107"/>
        <v>-0.12058961898473325</v>
      </c>
      <c r="AM13" s="577">
        <f t="shared" si="108"/>
        <v>-0.32425576476043222</v>
      </c>
      <c r="AN13" s="524">
        <f t="shared" si="109"/>
        <v>-20.399997054604864</v>
      </c>
      <c r="AO13" s="525">
        <f t="shared" si="110"/>
        <v>20.239997077705965</v>
      </c>
      <c r="AP13" s="528">
        <f t="shared" si="111"/>
        <v>-7.323838586530079</v>
      </c>
      <c r="AQ13" s="529">
        <f t="shared" si="13"/>
        <v>0.82048875963197243</v>
      </c>
      <c r="AR13" s="979"/>
      <c r="AS13" s="954">
        <f t="shared" si="147"/>
        <v>0</v>
      </c>
      <c r="AT13" s="950">
        <f t="shared" si="14"/>
        <v>-0.13741430486672906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 t="str">
        <f t="shared" si="131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61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1.1160000000000001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1313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16</v>
      </c>
      <c r="JN13" s="960">
        <f>($JO13-SMALL($JO$9:$JO$88,1))/((Settings!$C$19/2)-((Settings!$C$19/2)-LARGE($JO$9:$JO$88,1))-SMALL($JO$9:$JO$88,1))</f>
        <v>0.66196554937579299</v>
      </c>
      <c r="JO13" s="162">
        <f t="shared" si="134"/>
        <v>2.7783083793780725</v>
      </c>
      <c r="JP13" s="961">
        <f t="shared" si="135"/>
        <v>-20.399997054604864</v>
      </c>
      <c r="JQ13" s="961">
        <f t="shared" si="136"/>
        <v>20.239997077705965</v>
      </c>
      <c r="JS13" s="82">
        <v>5</v>
      </c>
      <c r="JT13" s="322">
        <f t="shared" si="137"/>
        <v>1.082403264528246</v>
      </c>
      <c r="JU13" s="963">
        <f t="shared" si="138"/>
        <v>0.21004035506541605</v>
      </c>
      <c r="JV13" s="964">
        <v>3</v>
      </c>
      <c r="JW13" s="961">
        <f t="shared" si="92"/>
        <v>16.999997545504019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3.6550453693308</v>
      </c>
      <c r="KD13" s="968">
        <v>3</v>
      </c>
      <c r="KE13" s="968">
        <f t="shared" si="140"/>
        <v>-0.65504536933080004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</v>
      </c>
      <c r="B14" s="578">
        <f t="shared" ref="B14:D14" si="262">IFERROR(O169+($A14*-E14),"")</f>
        <v>9.2484865406622971E-2</v>
      </c>
      <c r="C14" s="572">
        <f t="shared" si="262"/>
        <v>3.3959511193631271</v>
      </c>
      <c r="D14" s="576">
        <f t="shared" si="262"/>
        <v>-0.43890132372639273</v>
      </c>
      <c r="E14" s="580">
        <f t="shared" ref="E14:K14" si="263">R169</f>
        <v>-0.90977180558200366</v>
      </c>
      <c r="F14" s="572">
        <f t="shared" si="263"/>
        <v>0.28521473355675742</v>
      </c>
      <c r="G14" s="579">
        <f t="shared" si="263"/>
        <v>0.30160871593872884</v>
      </c>
      <c r="H14" s="580">
        <f t="shared" si="263"/>
        <v>0.26450000000000001</v>
      </c>
      <c r="I14" s="572">
        <f t="shared" si="263"/>
        <v>0.52</v>
      </c>
      <c r="J14" s="483">
        <f t="shared" si="94"/>
        <v>1.1220000000000001</v>
      </c>
      <c r="K14" s="806">
        <f t="shared" si="263"/>
        <v>1313</v>
      </c>
      <c r="L14" s="719" t="s">
        <v>358</v>
      </c>
      <c r="M14" s="164">
        <f t="shared" si="4"/>
        <v>1.1220000000000001</v>
      </c>
      <c r="N14" s="575">
        <f t="shared" si="5"/>
        <v>9.2484865406622971E-2</v>
      </c>
      <c r="O14" s="572">
        <f t="shared" si="6"/>
        <v>3.3959511193631271</v>
      </c>
      <c r="P14" s="576">
        <f t="shared" si="7"/>
        <v>-0.43890132372639273</v>
      </c>
      <c r="Q14" s="528">
        <f t="shared" si="144"/>
        <v>88.440000225236105</v>
      </c>
      <c r="R14" s="572">
        <f t="shared" si="95"/>
        <v>3.3972102459861029</v>
      </c>
      <c r="S14" s="577">
        <f>IF(M14="","",P14)</f>
        <v>-0.43890132372639273</v>
      </c>
      <c r="T14" s="578">
        <f t="shared" si="97"/>
        <v>3.3968275659659772</v>
      </c>
      <c r="U14" s="572">
        <f t="shared" si="98"/>
        <v>-5.0989631559867438E-2</v>
      </c>
      <c r="V14" s="579">
        <f t="shared" si="145"/>
        <v>-0.43890132372639273</v>
      </c>
      <c r="W14" s="528">
        <f t="shared" si="8"/>
        <v>359.14000012416858</v>
      </c>
      <c r="X14" s="572">
        <f t="shared" si="99"/>
        <v>3.3972102459861029</v>
      </c>
      <c r="Y14" s="573">
        <f t="shared" si="9"/>
        <v>-0.43890132372639273</v>
      </c>
      <c r="Z14" s="575">
        <f t="shared" si="10"/>
        <v>0.90977180558200366</v>
      </c>
      <c r="AA14" s="572">
        <f t="shared" si="11"/>
        <v>-0.28521473355675742</v>
      </c>
      <c r="AB14" s="572">
        <f t="shared" si="12"/>
        <v>-0.30160871593872884</v>
      </c>
      <c r="AC14" s="579">
        <f t="shared" si="100"/>
        <v>1</v>
      </c>
      <c r="AD14" s="580">
        <f>IF(M14="","",Z14*(1/SQRT(Z14^2+AA14^2+AB14^2)))</f>
        <v>0.90977180558200366</v>
      </c>
      <c r="AE14" s="572">
        <f t="shared" si="101"/>
        <v>-0.28521473355675742</v>
      </c>
      <c r="AF14" s="576">
        <f t="shared" si="102"/>
        <v>-0.30160871593872884</v>
      </c>
      <c r="AG14" s="545">
        <f t="shared" si="103"/>
        <v>-43.39975421977924</v>
      </c>
      <c r="AH14" s="546">
        <f t="shared" si="104"/>
        <v>24.52616422193881</v>
      </c>
      <c r="AI14" s="528">
        <f t="shared" si="105"/>
        <v>-72.44574802068054</v>
      </c>
      <c r="AJ14" s="529">
        <f t="shared" si="106"/>
        <v>72.593718975808656</v>
      </c>
      <c r="AK14" s="578">
        <f>IF(M14="","",(COS(RADIANS((90-$Q$8)-W14))*AD14)+(-SIN(RADIANS((90-$Q$8)-W14))*AE14))</f>
        <v>0.91719923176899198</v>
      </c>
      <c r="AL14" s="572">
        <f t="shared" si="107"/>
        <v>-0.26034160580314913</v>
      </c>
      <c r="AM14" s="577">
        <f t="shared" si="108"/>
        <v>-0.30160871593872884</v>
      </c>
      <c r="AN14" s="524">
        <f t="shared" si="109"/>
        <v>-40.799994109209649</v>
      </c>
      <c r="AO14" s="525">
        <f t="shared" si="110"/>
        <v>23.479996609907896</v>
      </c>
      <c r="AP14" s="528">
        <f>IF(M14="","",DEGREES(ATAN2(AK14,AL14)))</f>
        <v>-15.846281249427417</v>
      </c>
      <c r="AQ14" s="529">
        <f t="shared" si="13"/>
        <v>0.67102776538890052</v>
      </c>
      <c r="AR14" s="979"/>
      <c r="AS14" s="954">
        <f t="shared" si="147"/>
        <v>-0.85999987583142001</v>
      </c>
      <c r="AT14" s="950">
        <f>IF(M14="","",Y14+(((AS14-$AS$9)*$AS$6)*-1))</f>
        <v>-0.43781799054947335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1.1220000000000001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1313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22</v>
      </c>
      <c r="JN14" s="960">
        <f>($JO14-SMALL($JO$9:$JO$88,1))/((Settings!$C$19/2)-((Settings!$C$19/2)-LARGE($JO$9:$JO$88,1))-SMALL($JO$9:$JO$88,1))</f>
        <v>0.82689066451152771</v>
      </c>
      <c r="JO14" s="162">
        <f t="shared" si="134"/>
        <v>3.3972102459861029</v>
      </c>
      <c r="JP14" s="961">
        <f t="shared" si="135"/>
        <v>-40.799994109209649</v>
      </c>
      <c r="JQ14" s="961">
        <f t="shared" si="136"/>
        <v>23.479996609907896</v>
      </c>
      <c r="JS14" s="82">
        <v>6</v>
      </c>
      <c r="JT14" s="322">
        <f t="shared" si="137"/>
        <v>1.2809038632060517</v>
      </c>
      <c r="JU14" s="963">
        <f t="shared" si="138"/>
        <v>0.26293684133855116</v>
      </c>
      <c r="JV14" s="964">
        <v>3</v>
      </c>
      <c r="JW14" s="961">
        <f t="shared" si="92"/>
        <v>16.999997545504019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3</v>
      </c>
      <c r="KD14" s="968">
        <v>3</v>
      </c>
      <c r="KE14" s="968">
        <f t="shared" si="140"/>
        <v>0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</v>
      </c>
      <c r="B15" s="578">
        <f t="shared" ref="B15:D15" si="266">IFERROR(O170+($A15*-E15),"")</f>
        <v>0.14778624866124448</v>
      </c>
      <c r="C15" s="572">
        <f t="shared" si="266"/>
        <v>3.8295610164664127</v>
      </c>
      <c r="D15" s="576">
        <f t="shared" si="266"/>
        <v>-0.97210293186244201</v>
      </c>
      <c r="E15" s="580">
        <f t="shared" ref="E15:K15" si="267">R170</f>
        <v>-0.87735608559071832</v>
      </c>
      <c r="F15" s="572">
        <f t="shared" si="267"/>
        <v>0.4281656582630099</v>
      </c>
      <c r="G15" s="579">
        <f t="shared" si="267"/>
        <v>0.21661132971554331</v>
      </c>
      <c r="H15" s="580">
        <f t="shared" si="267"/>
        <v>0.26450000000000001</v>
      </c>
      <c r="I15" s="572">
        <f t="shared" si="267"/>
        <v>0.52</v>
      </c>
      <c r="J15" s="483">
        <f t="shared" si="94"/>
        <v>1.1279999999999999</v>
      </c>
      <c r="K15" s="806">
        <f t="shared" si="267"/>
        <v>1313</v>
      </c>
      <c r="L15" s="814" t="str">
        <f>IF($L14=$JJ$22,$JJ$29,IF($L14=$JK$22,$JK$29,""))</f>
        <v/>
      </c>
      <c r="M15" s="164">
        <f t="shared" si="4"/>
        <v>1.1279999999999999</v>
      </c>
      <c r="N15" s="575">
        <f t="shared" si="5"/>
        <v>0.14778624866124448</v>
      </c>
      <c r="O15" s="572">
        <f t="shared" si="6"/>
        <v>3.8295610164664127</v>
      </c>
      <c r="P15" s="576">
        <f t="shared" si="7"/>
        <v>-0.97210293186244201</v>
      </c>
      <c r="Q15" s="528">
        <f t="shared" si="144"/>
        <v>87.790000319084498</v>
      </c>
      <c r="R15" s="572">
        <f t="shared" si="95"/>
        <v>3.8324115585532597</v>
      </c>
      <c r="S15" s="577">
        <f t="shared" si="96"/>
        <v>-0.97210293186244201</v>
      </c>
      <c r="T15" s="578">
        <f t="shared" si="97"/>
        <v>3.8310807195726246</v>
      </c>
      <c r="U15" s="572">
        <f t="shared" si="98"/>
        <v>-0.10098947594440341</v>
      </c>
      <c r="V15" s="579">
        <f t="shared" si="145"/>
        <v>-0.97210293186244201</v>
      </c>
      <c r="W15" s="528">
        <f t="shared" ref="W15:W78" si="268">IF(M15="","",IF(Q15-$Q$8&lt;0,360+Q15-$Q$8,Q15-$Q$8))</f>
        <v>358.49000021801697</v>
      </c>
      <c r="X15" s="572">
        <f>IF(M15="","",R15)</f>
        <v>3.8324115585532597</v>
      </c>
      <c r="Y15" s="573">
        <f t="shared" si="9"/>
        <v>-0.97210293186244201</v>
      </c>
      <c r="Z15" s="575">
        <f t="shared" si="10"/>
        <v>0.87735608559071832</v>
      </c>
      <c r="AA15" s="572">
        <f t="shared" si="11"/>
        <v>-0.4281656582630099</v>
      </c>
      <c r="AB15" s="572">
        <f t="shared" si="12"/>
        <v>-0.21661132971554331</v>
      </c>
      <c r="AC15" s="579">
        <f t="shared" si="100"/>
        <v>1</v>
      </c>
      <c r="AD15" s="580">
        <f t="shared" si="146"/>
        <v>0.87735608559071832</v>
      </c>
      <c r="AE15" s="572">
        <f t="shared" si="101"/>
        <v>-0.4281656582630099</v>
      </c>
      <c r="AF15" s="576">
        <f t="shared" si="102"/>
        <v>-0.21661132971554331</v>
      </c>
      <c r="AG15" s="545">
        <f t="shared" si="103"/>
        <v>-63.164903933316801</v>
      </c>
      <c r="AH15" s="546">
        <f t="shared" si="104"/>
        <v>28.6749440749755</v>
      </c>
      <c r="AI15" s="528">
        <f t="shared" si="105"/>
        <v>-77.489922337972857</v>
      </c>
      <c r="AJ15" s="529">
        <f t="shared" si="106"/>
        <v>63.986786066223644</v>
      </c>
      <c r="AK15" s="578">
        <f t="shared" si="247"/>
        <v>0.89321452226031206</v>
      </c>
      <c r="AL15" s="572">
        <f t="shared" si="107"/>
        <v>-0.39401440209990679</v>
      </c>
      <c r="AM15" s="577">
        <f t="shared" si="108"/>
        <v>-0.21661132971554331</v>
      </c>
      <c r="AN15" s="524">
        <f>IF(M15="","",DEGREES(ATAN2(-AM15,AL15)))</f>
        <v>-61.199991163814495</v>
      </c>
      <c r="AO15" s="525">
        <f t="shared" si="110"/>
        <v>26.719996142109807</v>
      </c>
      <c r="AP15" s="528">
        <f t="shared" si="111"/>
        <v>-23.803214252860819</v>
      </c>
      <c r="AQ15" s="529">
        <f t="shared" si="13"/>
        <v>0.59483296412948417</v>
      </c>
      <c r="AR15" s="979"/>
      <c r="AS15" s="954">
        <f t="shared" si="147"/>
        <v>-1.5099997819830264</v>
      </c>
      <c r="AT15" s="950">
        <f t="shared" si="14"/>
        <v>-0.97056820986180625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1.1279999999999999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1313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40</v>
      </c>
      <c r="JE15" s="31"/>
      <c r="JF15" s="219"/>
      <c r="JG15" s="219"/>
      <c r="JH15" s="219"/>
      <c r="JI15" s="219"/>
      <c r="JM15" s="489">
        <f t="shared" si="133"/>
        <v>28</v>
      </c>
      <c r="JN15" s="960">
        <f>($JO15-SMALL($JO$9:$JO$88,1))/((Settings!$C$19/2)-((Settings!$C$19/2)-LARGE($JO$9:$JO$88,1))-SMALL($JO$9:$JO$88,1))</f>
        <v>0.94286321275368545</v>
      </c>
      <c r="JO15" s="162">
        <f t="shared" si="134"/>
        <v>3.8324115585532597</v>
      </c>
      <c r="JP15" s="961">
        <f t="shared" si="135"/>
        <v>-61.199991163814495</v>
      </c>
      <c r="JQ15" s="961">
        <f t="shared" si="136"/>
        <v>26.719996142109807</v>
      </c>
      <c r="JS15" s="82">
        <v>7</v>
      </c>
      <c r="JT15" s="322">
        <f t="shared" si="137"/>
        <v>1.482804472138288</v>
      </c>
      <c r="JU15" s="963">
        <f t="shared" si="138"/>
        <v>0.31673936314482809</v>
      </c>
      <c r="JV15" s="964">
        <v>3</v>
      </c>
      <c r="JW15" s="961">
        <f t="shared" si="92"/>
        <v>16.999997545504019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</v>
      </c>
      <c r="B16" s="578">
        <f t="shared" ref="B16:D16" si="269">IFERROR(O171+($A16*-E16),"")</f>
        <v>0.16834358522751358</v>
      </c>
      <c r="C16" s="572">
        <f t="shared" si="269"/>
        <v>3.9998710821588048</v>
      </c>
      <c r="D16" s="576">
        <f t="shared" si="269"/>
        <v>-1.6387049423341062</v>
      </c>
      <c r="E16" s="580">
        <f t="shared" ref="E16:K16" si="270">R171</f>
        <v>-0.8448336888316279</v>
      </c>
      <c r="F16" s="572">
        <f t="shared" si="270"/>
        <v>0.53003194157069755</v>
      </c>
      <c r="G16" s="579">
        <f t="shared" si="270"/>
        <v>7.2953266753045032E-2</v>
      </c>
      <c r="H16" s="580">
        <f t="shared" si="270"/>
        <v>0.26450000000000001</v>
      </c>
      <c r="I16" s="572">
        <f t="shared" si="270"/>
        <v>0.52</v>
      </c>
      <c r="J16" s="483">
        <f t="shared" si="94"/>
        <v>1.1339999999999999</v>
      </c>
      <c r="K16" s="806">
        <f t="shared" si="270"/>
        <v>1313</v>
      </c>
      <c r="L16" s="309"/>
      <c r="M16" s="164">
        <f t="shared" si="4"/>
        <v>1.1339999999999999</v>
      </c>
      <c r="N16" s="575">
        <f t="shared" si="5"/>
        <v>0.16834358522751358</v>
      </c>
      <c r="O16" s="572">
        <f t="shared" si="6"/>
        <v>3.9998710821588048</v>
      </c>
      <c r="P16" s="576">
        <f t="shared" si="7"/>
        <v>-1.6387049423341062</v>
      </c>
      <c r="Q16" s="528">
        <f>IF(M16="","",IF(DEGREES(ATAN2(N16,O16))&lt;0,DEGREES(ATAN2(N16,O16))+360,IF(DEGREES(ATAN2(N16,O16))&gt;360,DEGREES(ATAN2(N16,O16))-360,DEGREES(ATAN2(N16,O16)))))</f>
        <v>87.590000347960924</v>
      </c>
      <c r="R16" s="572">
        <f t="shared" si="95"/>
        <v>4.003412074290817</v>
      </c>
      <c r="S16" s="577">
        <f t="shared" si="96"/>
        <v>-1.6387049423341062</v>
      </c>
      <c r="T16" s="578">
        <f t="shared" si="97"/>
        <v>4.0016292239323974</v>
      </c>
      <c r="U16" s="572">
        <f t="shared" si="98"/>
        <v>-0.11946460039568887</v>
      </c>
      <c r="V16" s="579">
        <f t="shared" si="145"/>
        <v>-1.6387049423341062</v>
      </c>
      <c r="W16" s="528">
        <f>IF(M16="","",IF(Q16-$Q$8&lt;0,360+Q16-$Q$8,Q16-$Q$8))</f>
        <v>358.29000024689344</v>
      </c>
      <c r="X16" s="572">
        <f t="shared" si="99"/>
        <v>4.003412074290817</v>
      </c>
      <c r="Y16" s="573">
        <f t="shared" ref="Y16:Y75" si="271">IF(M16="","",S16)</f>
        <v>-1.6387049423341062</v>
      </c>
      <c r="Z16" s="575">
        <f t="shared" si="10"/>
        <v>0.8448336888316279</v>
      </c>
      <c r="AA16" s="572">
        <f t="shared" si="11"/>
        <v>-0.53003194157069755</v>
      </c>
      <c r="AB16" s="572">
        <f t="shared" si="12"/>
        <v>-7.2953266753045032E-2</v>
      </c>
      <c r="AC16" s="579">
        <f t="shared" si="100"/>
        <v>1</v>
      </c>
      <c r="AD16" s="580">
        <f t="shared" si="146"/>
        <v>0.8448336888316279</v>
      </c>
      <c r="AE16" s="572">
        <f t="shared" si="101"/>
        <v>-0.53003194157069755</v>
      </c>
      <c r="AF16" s="576">
        <f t="shared" si="102"/>
        <v>-7.2953266753045032E-2</v>
      </c>
      <c r="AG16" s="545">
        <f t="shared" si="103"/>
        <v>-82.163086046231157</v>
      </c>
      <c r="AH16" s="546">
        <f t="shared" si="104"/>
        <v>32.34587861033387</v>
      </c>
      <c r="AI16" s="528">
        <f t="shared" si="105"/>
        <v>-85.816369096470837</v>
      </c>
      <c r="AJ16" s="529">
        <f t="shared" si="106"/>
        <v>57.89665334175519</v>
      </c>
      <c r="AK16" s="578">
        <f t="shared" si="247"/>
        <v>0.86637429626444551</v>
      </c>
      <c r="AL16" s="572">
        <f t="shared" si="107"/>
        <v>-0.49403785243880466</v>
      </c>
      <c r="AM16" s="577">
        <f t="shared" si="108"/>
        <v>-7.2953266753045032E-2</v>
      </c>
      <c r="AN16" s="524">
        <f t="shared" si="109"/>
        <v>-81.599988218419384</v>
      </c>
      <c r="AO16" s="525">
        <f t="shared" si="110"/>
        <v>29.959995674311763</v>
      </c>
      <c r="AP16" s="528">
        <f t="shared" si="111"/>
        <v>-29.693347006205716</v>
      </c>
      <c r="AQ16" s="529">
        <f t="shared" si="13"/>
        <v>0.56942716160903406</v>
      </c>
      <c r="AR16" s="979"/>
      <c r="AS16" s="954">
        <f t="shared" si="147"/>
        <v>-1.7099997531065583</v>
      </c>
      <c r="AT16" s="950">
        <f t="shared" si="14"/>
        <v>-1.6370313314646348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1.1339999999999999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1313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34</v>
      </c>
      <c r="JN16" s="960">
        <f>($JO16-SMALL($JO$9:$JO$88,1))/((Settings!$C$19/2)-((Settings!$C$19/2)-LARGE($JO$9:$JO$88,1))-SMALL($JO$9:$JO$88,1))</f>
        <v>0.98843147044993829</v>
      </c>
      <c r="JO16" s="162">
        <f t="shared" si="134"/>
        <v>4.003412074290817</v>
      </c>
      <c r="JP16" s="961">
        <f t="shared" si="135"/>
        <v>-81.599988218419384</v>
      </c>
      <c r="JQ16" s="961">
        <f t="shared" si="136"/>
        <v>29.959995674311763</v>
      </c>
      <c r="JS16" s="82">
        <v>8</v>
      </c>
      <c r="JT16" s="322">
        <f t="shared" si="137"/>
        <v>1.6851050822769285</v>
      </c>
      <c r="JU16" s="963">
        <f t="shared" si="138"/>
        <v>0.37064847736676887</v>
      </c>
      <c r="JV16" s="964">
        <v>3</v>
      </c>
      <c r="JW16" s="961">
        <f t="shared" si="92"/>
        <v>16.999997545504005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</v>
      </c>
      <c r="B17" s="578">
        <f t="shared" ref="B17:D17" si="272">IFERROR(O172+($A17*-E17),"")</f>
        <v>0.17158042328866707</v>
      </c>
      <c r="C17" s="572">
        <f t="shared" si="272"/>
        <v>4.0431853738133761</v>
      </c>
      <c r="D17" s="576">
        <f t="shared" si="272"/>
        <v>-2.4088072649627108</v>
      </c>
      <c r="E17" s="580">
        <f t="shared" ref="E17:K17" si="273">R172</f>
        <v>-0.83941727580075176</v>
      </c>
      <c r="F17" s="572">
        <f t="shared" si="273"/>
        <v>0.54168432056223648</v>
      </c>
      <c r="G17" s="579">
        <f t="shared" si="273"/>
        <v>4.4234985523600272E-2</v>
      </c>
      <c r="H17" s="580">
        <f t="shared" si="273"/>
        <v>0.26450000000000001</v>
      </c>
      <c r="I17" s="572">
        <f t="shared" si="273"/>
        <v>0.52</v>
      </c>
      <c r="J17" s="483">
        <f t="shared" si="94"/>
        <v>1.1399999999999999</v>
      </c>
      <c r="K17" s="806">
        <f t="shared" si="273"/>
        <v>1313</v>
      </c>
      <c r="M17" s="164">
        <f t="shared" si="4"/>
        <v>1.1399999999999999</v>
      </c>
      <c r="N17" s="575">
        <f t="shared" si="5"/>
        <v>0.17158042328866707</v>
      </c>
      <c r="O17" s="572">
        <f t="shared" si="6"/>
        <v>4.0431853738133761</v>
      </c>
      <c r="P17" s="576">
        <f t="shared" si="7"/>
        <v>-2.4088072649627108</v>
      </c>
      <c r="Q17" s="528">
        <f>IF(M17="","",IF(DEGREES(ATAN2(N17,O17))&lt;0,DEGREES(ATAN2(N17,O17))+360,IF(DEGREES(ATAN2(N17,O17))&gt;360,DEGREES(ATAN2(N17,O17))-360,DEGREES(ATAN2(N17,O17)))))</f>
        <v>87.570000350848531</v>
      </c>
      <c r="R17" s="572">
        <f>IF(M17="","",SQRT(N17^2+O17^2))</f>
        <v>4.0468244104080338</v>
      </c>
      <c r="S17" s="577">
        <f>IF(M17="","",P17)</f>
        <v>-2.4088072649627108</v>
      </c>
      <c r="T17" s="578">
        <f>IF(M17="","",X17*COS(RADIANS(W17)))</f>
        <v>4.0449798274751965</v>
      </c>
      <c r="U17" s="572">
        <f>IF(M17="","",X17*SIN(RADIANS(W17)))</f>
        <v>-0.12217202622966353</v>
      </c>
      <c r="V17" s="579">
        <f>IF(M17="","",Y17)</f>
        <v>-2.4088072649627108</v>
      </c>
      <c r="W17" s="528">
        <f t="shared" si="268"/>
        <v>358.27000024978105</v>
      </c>
      <c r="X17" s="572">
        <f>IF(M17="","",R17)</f>
        <v>4.0468244104080338</v>
      </c>
      <c r="Y17" s="573">
        <f t="shared" si="271"/>
        <v>-2.4088072649627108</v>
      </c>
      <c r="Z17" s="575">
        <f t="shared" si="10"/>
        <v>0.83941727580075176</v>
      </c>
      <c r="AA17" s="572">
        <f t="shared" si="11"/>
        <v>-0.54168432056223648</v>
      </c>
      <c r="AB17" s="572">
        <f t="shared" si="12"/>
        <v>-4.4234985523600272E-2</v>
      </c>
      <c r="AC17" s="579">
        <f>IF(M17="","",SQRT(Z17^2+AA17^2+AB17^2))</f>
        <v>1</v>
      </c>
      <c r="AD17" s="580">
        <f>IF(M17="","",Z17*(1/SQRT(Z17^2+AA17^2+AB17^2)))</f>
        <v>0.83941727580075176</v>
      </c>
      <c r="AE17" s="572">
        <f>IF(M17="","",AA17*(1/SQRT(Z17^2+AA17^2+AB17^2)))</f>
        <v>-0.54168432056223648</v>
      </c>
      <c r="AF17" s="576">
        <f>IF(M17="","",AB17*(1/SQRT(Z17^2+AA17^2+AB17^2)))</f>
        <v>-4.4234985523600272E-2</v>
      </c>
      <c r="AG17" s="545">
        <f>IF(M17="","",DEGREES(ATAN2(-AF17,AE17)))</f>
        <v>-85.331475454058562</v>
      </c>
      <c r="AH17" s="546">
        <f>IF(M17="","",DEGREES(ACOS(AD17)))</f>
        <v>32.921363551991512</v>
      </c>
      <c r="AI17" s="528">
        <f>IF(M17="","",DEGREES(-ACOS(-AF17)))</f>
        <v>-87.464694744176228</v>
      </c>
      <c r="AJ17" s="529">
        <f>IF(M17="","",DEGREES(ATAN2(-AE17,AD17)))</f>
        <v>57.165444357570728</v>
      </c>
      <c r="AK17" s="578">
        <f>IF(M17="","",(COS(RADIANS((90-$Q$8)-W17))*AD17)+(-SIN(RADIANS((90-$Q$8)-W17))*AE17))</f>
        <v>0.86162919945004401</v>
      </c>
      <c r="AL17" s="572">
        <f>IF(M17="","",(SIN(RADIANS((90-$Q$8)-W17))*AD17)+(COS(RADIANS((90-$Q$8)-W17))*AE17))</f>
        <v>-0.50560695081337959</v>
      </c>
      <c r="AM17" s="577">
        <f>IF(M17="","",AF17)</f>
        <v>-4.4234985523600272E-2</v>
      </c>
      <c r="AN17" s="524">
        <f>IF(M17="","",DEGREES(ATAN2(-AM17,AL17)))</f>
        <v>-84.999987727520178</v>
      </c>
      <c r="AO17" s="525">
        <f t="shared" si="110"/>
        <v>30.499995596345482</v>
      </c>
      <c r="AP17" s="528">
        <f>IF(M17="","",DEGREES(ATAN2(AK17,AL17)))</f>
        <v>-30.404555993277821</v>
      </c>
      <c r="AQ17" s="529">
        <f t="shared" si="13"/>
        <v>0.56331902367347431</v>
      </c>
      <c r="AR17" s="979"/>
      <c r="AS17" s="954">
        <f t="shared" si="147"/>
        <v>-1.7299997502189512</v>
      </c>
      <c r="AT17" s="950">
        <f t="shared" si="14"/>
        <v>-2.4071197652063558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1.1399999999999999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1313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40</v>
      </c>
      <c r="JN17" s="960">
        <f>($JO17-SMALL($JO$9:$JO$88,1))/((Settings!$C$19/2)-((Settings!$C$19/2)-LARGE($JO$9:$JO$88,1))-SMALL($JO$9:$JO$88,1))</f>
        <v>0.99999999999999978</v>
      </c>
      <c r="JO17" s="162">
        <f t="shared" si="134"/>
        <v>4.0468244104080338</v>
      </c>
      <c r="JP17" s="961">
        <f t="shared" si="135"/>
        <v>-84.999987727520178</v>
      </c>
      <c r="JQ17" s="961">
        <f t="shared" si="136"/>
        <v>30.499995596345482</v>
      </c>
      <c r="JS17" s="82">
        <v>9</v>
      </c>
      <c r="JT17" s="322">
        <f t="shared" si="137"/>
        <v>1.8874056924155687</v>
      </c>
      <c r="JU17" s="963">
        <f t="shared" si="138"/>
        <v>0.42455759158870959</v>
      </c>
      <c r="JV17" s="964">
        <v>3</v>
      </c>
      <c r="JW17" s="961">
        <f t="shared" si="92"/>
        <v>16.999997545504069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</v>
      </c>
      <c r="B18" s="578">
        <f t="shared" ref="B18:D18" si="274">IFERROR(O173+($A18*-E18),"")</f>
        <v>2.320878892338524</v>
      </c>
      <c r="C18" s="572">
        <f t="shared" si="274"/>
        <v>1.3098812953518033</v>
      </c>
      <c r="D18" s="576">
        <f t="shared" si="274"/>
        <v>-0.11490034653944506</v>
      </c>
      <c r="E18" s="580">
        <f>R173</f>
        <v>-0.37691278958117597</v>
      </c>
      <c r="F18" s="572">
        <f t="shared" ref="F18:K18" si="275">S173</f>
        <v>0.8683415611848575</v>
      </c>
      <c r="G18" s="579">
        <f t="shared" si="275"/>
        <v>0.32236575836955866</v>
      </c>
      <c r="H18" s="580">
        <f t="shared" si="275"/>
        <v>0.26450000000000001</v>
      </c>
      <c r="I18" s="572">
        <f t="shared" si="275"/>
        <v>0.52</v>
      </c>
      <c r="J18" s="483">
        <f t="shared" si="94"/>
        <v>2.1150000000000002</v>
      </c>
      <c r="K18" s="806">
        <f t="shared" si="275"/>
        <v>1313</v>
      </c>
      <c r="L18" s="720" t="s">
        <v>322</v>
      </c>
      <c r="M18" s="164">
        <f t="shared" si="4"/>
        <v>2.1150000000000002</v>
      </c>
      <c r="N18" s="575">
        <f t="shared" si="5"/>
        <v>2.320878892338524</v>
      </c>
      <c r="O18" s="572">
        <f t="shared" si="6"/>
        <v>1.3098812953518033</v>
      </c>
      <c r="P18" s="576">
        <f t="shared" si="7"/>
        <v>-0.11490034653944506</v>
      </c>
      <c r="Q18" s="528">
        <f t="shared" si="144"/>
        <v>29.439956766219328</v>
      </c>
      <c r="R18" s="572">
        <f>IF(M18="","",SQRT(N18^2+O18^2))</f>
        <v>2.6650080376642418</v>
      </c>
      <c r="S18" s="577">
        <f>IF(M18="","",P18)</f>
        <v>-0.11490034653944506</v>
      </c>
      <c r="T18" s="578">
        <f>IF(M18="","",X18*COS(RADIANS(W18)))</f>
        <v>1.3381377137667654</v>
      </c>
      <c r="U18" s="572">
        <f>IF(M18="","",X18*SIN(RADIANS(W18)))</f>
        <v>-2.3047028658397739</v>
      </c>
      <c r="V18" s="579">
        <f>IF(M18="","",Y18)</f>
        <v>-0.11490034653944506</v>
      </c>
      <c r="W18" s="528">
        <f t="shared" si="268"/>
        <v>300.13995666515183</v>
      </c>
      <c r="X18" s="572">
        <f>IF(M18="","",R18)</f>
        <v>2.6650080376642418</v>
      </c>
      <c r="Y18" s="573">
        <f t="shared" si="271"/>
        <v>-0.11490034653944506</v>
      </c>
      <c r="Z18" s="575">
        <f t="shared" si="10"/>
        <v>0.37691278958117597</v>
      </c>
      <c r="AA18" s="572">
        <f t="shared" si="11"/>
        <v>-0.8683415611848575</v>
      </c>
      <c r="AB18" s="572">
        <f t="shared" si="12"/>
        <v>-0.32236575836955866</v>
      </c>
      <c r="AC18" s="579">
        <f>IF(M18="","",SQRT(Z18^2+AA18^2+AB18^2))</f>
        <v>1</v>
      </c>
      <c r="AD18" s="580">
        <f>IF(M18="","",Z18*(1/SQRT(Z18^2+AA18^2+AB18^2)))</f>
        <v>0.37691278958117597</v>
      </c>
      <c r="AE18" s="572">
        <f>IF(M18="","",AA18*(1/SQRT(Z18^2+AA18^2+AB18^2)))</f>
        <v>-0.8683415611848575</v>
      </c>
      <c r="AF18" s="576">
        <f>IF(M18="","",AB18*(1/SQRT(Z18^2+AA18^2+AB18^2)))</f>
        <v>-0.32236575836955866</v>
      </c>
      <c r="AG18" s="545">
        <f>IF(M18="","",DEGREES(ATAN2(-AF18,AE18)))</f>
        <v>-69.632906931992395</v>
      </c>
      <c r="AH18" s="546">
        <f>IF(M18="","",DEGREES(ACOS(AD18)))</f>
        <v>67.857415653099835</v>
      </c>
      <c r="AI18" s="528">
        <f>IF(M18="","",DEGREES(-ACOS(-AF18)))</f>
        <v>-71.193943587176378</v>
      </c>
      <c r="AJ18" s="529">
        <f>IF(M18="","",DEGREES(ATAN2(-AE18,AD18)))</f>
        <v>23.463761381000953</v>
      </c>
      <c r="AK18" s="578">
        <f>IF(M18="","",(COS(RADIANS((90-$Q$8)-W18))*AD18)+(-SIN(RADIANS((90-$Q$8)-W18))*AE18))</f>
        <v>0.94147056154641728</v>
      </c>
      <c r="AL18" s="572">
        <f>IF(M18="","",(SIN(RADIANS((90-$Q$8)-W18))*AD18)+(COS(RADIANS((90-$Q$8)-W18))*AE18))</f>
        <v>-9.8557087884601602E-2</v>
      </c>
      <c r="AM18" s="577">
        <f>IF(M18="","",AF18)</f>
        <v>-0.32236575836955866</v>
      </c>
      <c r="AN18" s="524">
        <f>IF(M18="","",DEGREES(ATAN2(-AM18,AL18)))</f>
        <v>-16.99999754550397</v>
      </c>
      <c r="AO18" s="525">
        <f t="shared" si="110"/>
        <v>19.69999715567231</v>
      </c>
      <c r="AP18" s="528">
        <f>IF(M18="","",DEGREES(ATAN2(AK18,AL18)))</f>
        <v>-5.976195385218352</v>
      </c>
      <c r="AQ18" s="529">
        <f t="shared" si="13"/>
        <v>0.8553660002383805</v>
      </c>
      <c r="AR18" s="979"/>
      <c r="AS18" s="954">
        <f t="shared" si="147"/>
        <v>-59.860043334848172</v>
      </c>
      <c r="AT18" s="950">
        <f t="shared" si="14"/>
        <v>-7.2844760960430702E-2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2.1150000000000002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79"/>
        <v>1313</v>
      </c>
      <c r="IM18" s="482" t="str">
        <f t="shared" si="242"/>
        <v/>
      </c>
      <c r="IN18" s="670" t="str">
        <f t="shared" si="81"/>
        <v/>
      </c>
      <c r="IO18" s="702">
        <v>5.3280645820409797E-2</v>
      </c>
      <c r="IP18" s="5" t="str">
        <f t="shared" si="82"/>
        <v/>
      </c>
      <c r="IQ18" s="714">
        <v>70</v>
      </c>
      <c r="IR18" s="9" t="str">
        <f t="shared" si="132"/>
        <v/>
      </c>
      <c r="IS18" s="5" t="str">
        <f t="shared" si="83"/>
        <v/>
      </c>
      <c r="IT18" s="5" t="str">
        <f t="shared" si="84"/>
        <v/>
      </c>
      <c r="IU18" s="5" t="str">
        <f t="shared" si="85"/>
        <v/>
      </c>
      <c r="IV18" s="670" t="str">
        <f t="shared" si="86"/>
        <v/>
      </c>
      <c r="IW18" s="9" t="str">
        <f t="shared" si="87"/>
        <v/>
      </c>
      <c r="IX18" s="5" t="str">
        <f t="shared" si="88"/>
        <v/>
      </c>
      <c r="IY18" s="5" t="str">
        <f t="shared" si="89"/>
        <v/>
      </c>
      <c r="IZ18" s="5" t="str">
        <f t="shared" si="90"/>
        <v/>
      </c>
      <c r="JA18" s="705" t="str">
        <f t="shared" si="91"/>
        <v/>
      </c>
      <c r="JM18" s="489">
        <f t="shared" si="133"/>
        <v>15</v>
      </c>
      <c r="JN18" s="960">
        <f>($JO18-SMALL($JO$9:$JO$88,1))/((Settings!$C$19/2)-((Settings!$C$19/2)-LARGE($JO$9:$JO$88,1))-SMALL($JO$9:$JO$88,1))</f>
        <v>0.63177324763903631</v>
      </c>
      <c r="JO18" s="162">
        <f t="shared" si="134"/>
        <v>2.6650080376642418</v>
      </c>
      <c r="JP18" s="961">
        <f t="shared" si="135"/>
        <v>-16.99999754550397</v>
      </c>
      <c r="JQ18" s="961">
        <f t="shared" si="136"/>
        <v>19.69999715567231</v>
      </c>
      <c r="JS18" s="82">
        <v>10</v>
      </c>
      <c r="JT18" s="322">
        <f t="shared" si="137"/>
        <v>2.0896063022526072</v>
      </c>
      <c r="JU18" s="963">
        <f t="shared" si="138"/>
        <v>0.47844005770673415</v>
      </c>
      <c r="JV18" s="964">
        <v>3</v>
      </c>
      <c r="JW18" s="961">
        <f t="shared" si="92"/>
        <v>16.999997545504019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</v>
      </c>
      <c r="B19" s="578">
        <f t="shared" ref="B19:D19" si="276">IFERROR(O174+($A19*-E19),"")</f>
        <v>2.9014175958024184</v>
      </c>
      <c r="C19" s="572">
        <f t="shared" si="276"/>
        <v>1.5805877966400108</v>
      </c>
      <c r="D19" s="576">
        <f t="shared" si="276"/>
        <v>-0.37050111743137043</v>
      </c>
      <c r="E19" s="580">
        <f t="shared" ref="E19:K19" si="277">R174</f>
        <v>-0.23266203607140878</v>
      </c>
      <c r="F19" s="572">
        <f t="shared" si="277"/>
        <v>0.92195096447197011</v>
      </c>
      <c r="G19" s="579">
        <f t="shared" si="277"/>
        <v>0.30963655481921176</v>
      </c>
      <c r="H19" s="580">
        <f t="shared" si="277"/>
        <v>0.26450000000000001</v>
      </c>
      <c r="I19" s="572">
        <f t="shared" si="277"/>
        <v>0.52</v>
      </c>
      <c r="J19" s="483">
        <f t="shared" si="94"/>
        <v>2.121</v>
      </c>
      <c r="K19" s="806">
        <f t="shared" si="277"/>
        <v>1313</v>
      </c>
      <c r="L19" s="718" t="s">
        <v>357</v>
      </c>
      <c r="M19" s="164">
        <f t="shared" si="4"/>
        <v>2.121</v>
      </c>
      <c r="N19" s="575">
        <f t="shared" si="5"/>
        <v>2.9014175958024184</v>
      </c>
      <c r="O19" s="572">
        <f t="shared" si="6"/>
        <v>1.5805877966400108</v>
      </c>
      <c r="P19" s="576">
        <f t="shared" si="7"/>
        <v>-0.37050111743137043</v>
      </c>
      <c r="Q19" s="528">
        <f t="shared" si="144"/>
        <v>28.579956890387937</v>
      </c>
      <c r="R19" s="572">
        <f>IF(M19="","",SQRT(N19^2+O19^2))</f>
        <v>3.3040099648940542</v>
      </c>
      <c r="S19" s="577">
        <f>IF(M19="","",P19)</f>
        <v>-0.37050111743137043</v>
      </c>
      <c r="T19" s="578">
        <f>IF(M19="","",X19*COS(RADIANS(W19)))</f>
        <v>1.6159164529438406</v>
      </c>
      <c r="U19" s="572">
        <f>IF(M19="","",X19*SIN(RADIANS(W19)))</f>
        <v>-2.8818910224407523</v>
      </c>
      <c r="V19" s="579">
        <f>IF(M19="","",Y19)</f>
        <v>-0.37050111743137043</v>
      </c>
      <c r="W19" s="528">
        <f t="shared" si="268"/>
        <v>299.27995678932047</v>
      </c>
      <c r="X19" s="572">
        <f>IF(M19="","",R19)</f>
        <v>3.3040099648940542</v>
      </c>
      <c r="Y19" s="573">
        <f t="shared" si="271"/>
        <v>-0.37050111743137043</v>
      </c>
      <c r="Z19" s="575">
        <f t="shared" si="10"/>
        <v>0.23266203607140878</v>
      </c>
      <c r="AA19" s="572">
        <f t="shared" si="11"/>
        <v>-0.92195096447197011</v>
      </c>
      <c r="AB19" s="572">
        <f t="shared" si="12"/>
        <v>-0.30963655481921176</v>
      </c>
      <c r="AC19" s="579">
        <f>IF(M19="","",SQRT(Z19^2+AA19^2+AB19^2))</f>
        <v>1</v>
      </c>
      <c r="AD19" s="580">
        <f>IF(M19="","",Z19*(1/SQRT(Z19^2+AA19^2+AB19^2)))</f>
        <v>0.23266203607140878</v>
      </c>
      <c r="AE19" s="572">
        <f>IF(M19="","",AA19*(1/SQRT(Z19^2+AA19^2+AB19^2)))</f>
        <v>-0.92195096447197011</v>
      </c>
      <c r="AF19" s="576">
        <f>IF(M19="","",AB19*(1/SQRT(Z19^2+AA19^2+AB19^2)))</f>
        <v>-0.30963655481921176</v>
      </c>
      <c r="AG19" s="545">
        <f>IF(M19="","",DEGREES(ATAN2(-AF19,AE19)))</f>
        <v>-71.435412150054731</v>
      </c>
      <c r="AH19" s="546">
        <f>IF(M19="","",DEGREES(ACOS(AD19)))</f>
        <v>76.54615223142477</v>
      </c>
      <c r="AI19" s="528">
        <f>IF(M19="","",DEGREES(-ACOS(-AF19)))</f>
        <v>-71.962671031416733</v>
      </c>
      <c r="AJ19" s="529">
        <f>IF(M19="","",DEGREES(ATAN2(-AE19,AD19)))</f>
        <v>14.163348483763828</v>
      </c>
      <c r="AK19" s="578">
        <f>IF(M19="","",(COS(RADIANS((90-$Q$8)-W19))*AD19)+(-SIN(RADIANS((90-$Q$8)-W19))*AE19))</f>
        <v>0.92091354386681989</v>
      </c>
      <c r="AL19" s="572">
        <f>IF(M19="","",(SIN(RADIANS((90-$Q$8)-W19))*AD19)+(COS(RADIANS((90-$Q$8)-W19))*AE19))</f>
        <v>-0.23673497553666248</v>
      </c>
      <c r="AM19" s="577">
        <f>IF(M19="","",AF19)</f>
        <v>-0.30963655481921176</v>
      </c>
      <c r="AN19" s="524">
        <f>IF(M19="","",DEGREES(ATAN2(-AM19,AL19)))</f>
        <v>-37.399994600108911</v>
      </c>
      <c r="AO19" s="525">
        <f t="shared" si="110"/>
        <v>22.939996687874267</v>
      </c>
      <c r="AP19" s="528">
        <f>IF(M19="","",DEGREES(ATAN2(AK19,AL19)))</f>
        <v>-14.41660840662413</v>
      </c>
      <c r="AQ19" s="529">
        <f t="shared" si="13"/>
        <v>0.68995446784967196</v>
      </c>
      <c r="AR19" s="979"/>
      <c r="AS19" s="954">
        <f t="shared" si="147"/>
        <v>-60.720043210679535</v>
      </c>
      <c r="AT19" s="950">
        <f t="shared" si="14"/>
        <v>-0.32784830971636209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2.121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79"/>
        <v>1313</v>
      </c>
      <c r="IM19" s="482" t="str">
        <f t="shared" si="242"/>
        <v/>
      </c>
      <c r="IN19" s="670" t="str">
        <f t="shared" si="81"/>
        <v/>
      </c>
      <c r="IO19" s="702">
        <v>4.0709936985448503E-2</v>
      </c>
      <c r="IP19" s="5" t="str">
        <f t="shared" si="82"/>
        <v/>
      </c>
      <c r="IQ19" s="714">
        <v>80</v>
      </c>
      <c r="IR19" s="9" t="str">
        <f t="shared" si="132"/>
        <v/>
      </c>
      <c r="IS19" s="5" t="str">
        <f t="shared" si="83"/>
        <v/>
      </c>
      <c r="IT19" s="5" t="str">
        <f t="shared" si="84"/>
        <v/>
      </c>
      <c r="IU19" s="5" t="str">
        <f t="shared" si="85"/>
        <v/>
      </c>
      <c r="IV19" s="670" t="str">
        <f t="shared" si="86"/>
        <v/>
      </c>
      <c r="IW19" s="9" t="str">
        <f t="shared" si="87"/>
        <v/>
      </c>
      <c r="IX19" s="5" t="str">
        <f t="shared" si="88"/>
        <v/>
      </c>
      <c r="IY19" s="5" t="str">
        <f t="shared" si="89"/>
        <v/>
      </c>
      <c r="IZ19" s="5" t="str">
        <f t="shared" si="90"/>
        <v/>
      </c>
      <c r="JA19" s="705" t="str">
        <f t="shared" si="91"/>
        <v/>
      </c>
      <c r="JD19" s="1093" t="s">
        <v>356</v>
      </c>
      <c r="JE19" s="1094"/>
      <c r="JF19" s="1094"/>
      <c r="JG19" s="1094"/>
      <c r="JH19" s="1094"/>
      <c r="JI19" s="1094"/>
      <c r="JJ19" s="1094"/>
      <c r="JK19" s="1095"/>
      <c r="JM19" s="489">
        <f t="shared" si="133"/>
        <v>21</v>
      </c>
      <c r="JN19" s="960">
        <f>($JO19-SMALL($JO$9:$JO$88,1))/((Settings!$C$19/2)-((Settings!$C$19/2)-LARGE($JO$9:$JO$88,1))-SMALL($JO$9:$JO$88,1))</f>
        <v>0.80205463166187418</v>
      </c>
      <c r="JO19" s="162">
        <f t="shared" si="134"/>
        <v>3.3040099648940542</v>
      </c>
      <c r="JP19" s="961">
        <f t="shared" si="135"/>
        <v>-37.399994600108911</v>
      </c>
      <c r="JQ19" s="961">
        <f t="shared" si="136"/>
        <v>22.939996687874267</v>
      </c>
      <c r="JS19" s="82">
        <v>11</v>
      </c>
      <c r="JT19" s="322">
        <f t="shared" si="137"/>
        <v>2.2043066481888505</v>
      </c>
      <c r="JU19" s="963">
        <f t="shared" si="138"/>
        <v>0.50900543289831401</v>
      </c>
      <c r="JV19" s="964">
        <v>3</v>
      </c>
      <c r="JW19" s="961">
        <f t="shared" si="92"/>
        <v>17.539997467537663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</v>
      </c>
      <c r="B20" s="578">
        <f t="shared" ref="B20:D20" si="278">IFERROR(O175+($A20*-E20),"")</f>
        <v>3.3385655105526095</v>
      </c>
      <c r="C20" s="572">
        <f t="shared" si="278"/>
        <v>1.765438734363165</v>
      </c>
      <c r="D20" s="576">
        <f t="shared" si="278"/>
        <v>-0.8709026266423221</v>
      </c>
      <c r="E20" s="580">
        <f t="shared" ref="E20:K20" si="279">R175</f>
        <v>-8.9478724306049334E-2</v>
      </c>
      <c r="F20" s="572">
        <f t="shared" si="279"/>
        <v>0.96784349367843892</v>
      </c>
      <c r="G20" s="579">
        <f t="shared" si="279"/>
        <v>0.23510110514601104</v>
      </c>
      <c r="H20" s="580">
        <f t="shared" si="279"/>
        <v>0.26450000000000001</v>
      </c>
      <c r="I20" s="572">
        <f t="shared" si="279"/>
        <v>0.52</v>
      </c>
      <c r="J20" s="483">
        <f t="shared" si="94"/>
        <v>2.1269999999999998</v>
      </c>
      <c r="K20" s="806">
        <f t="shared" si="279"/>
        <v>1313</v>
      </c>
      <c r="L20" s="717" t="str">
        <f>IF($L19=$JJ$22,$JJ$30,IF($L19=$JK$22,$JK$30,""))</f>
        <v/>
      </c>
      <c r="M20" s="164">
        <f t="shared" si="4"/>
        <v>2.1269999999999998</v>
      </c>
      <c r="N20" s="575">
        <f t="shared" si="5"/>
        <v>3.3385655105526095</v>
      </c>
      <c r="O20" s="572">
        <f t="shared" si="6"/>
        <v>1.765438734363165</v>
      </c>
      <c r="P20" s="576">
        <f t="shared" si="7"/>
        <v>-0.8709026266423221</v>
      </c>
      <c r="Q20" s="528">
        <f t="shared" si="144"/>
        <v>27.869956992899265</v>
      </c>
      <c r="R20" s="572">
        <f>IF(M20="","",SQRT(N20^2+O20^2))</f>
        <v>3.7766113902599536</v>
      </c>
      <c r="S20" s="577">
        <f>IF(M20="","",P20)</f>
        <v>-0.8709026266423221</v>
      </c>
      <c r="T20" s="578">
        <f>IF(M20="","",X20*COS(RADIANS(W20)))</f>
        <v>1.8060942308513048</v>
      </c>
      <c r="U20" s="572">
        <f>IF(M20="","",X20*SIN(RADIANS(W20)))</f>
        <v>-3.3167479889685398</v>
      </c>
      <c r="V20" s="579">
        <f>IF(M20="","",Y20)</f>
        <v>-0.8709026266423221</v>
      </c>
      <c r="W20" s="528">
        <f t="shared" si="268"/>
        <v>298.56995689183179</v>
      </c>
      <c r="X20" s="572">
        <f>IF(M20="","",R20)</f>
        <v>3.7766113902599536</v>
      </c>
      <c r="Y20" s="573">
        <f t="shared" si="271"/>
        <v>-0.8709026266423221</v>
      </c>
      <c r="Z20" s="575">
        <f t="shared" si="10"/>
        <v>8.9478724306049334E-2</v>
      </c>
      <c r="AA20" s="572">
        <f t="shared" si="11"/>
        <v>-0.96784349367843892</v>
      </c>
      <c r="AB20" s="572">
        <f t="shared" si="12"/>
        <v>-0.23510110514601104</v>
      </c>
      <c r="AC20" s="579">
        <f>IF(M20="","",SQRT(Z20^2+AA20^2+AB20^2))</f>
        <v>1</v>
      </c>
      <c r="AD20" s="580">
        <f>IF(M20="","",Z20*(1/SQRT(Z20^2+AA20^2+AB20^2)))</f>
        <v>8.9478724306049334E-2</v>
      </c>
      <c r="AE20" s="572">
        <f>IF(M20="","",AA20*(1/SQRT(Z20^2+AA20^2+AB20^2)))</f>
        <v>-0.96784349367843892</v>
      </c>
      <c r="AF20" s="576">
        <f>IF(M20="","",AB20*(1/SQRT(Z20^2+AA20^2+AB20^2)))</f>
        <v>-0.23510110514601104</v>
      </c>
      <c r="AG20" s="545">
        <f>IF(M20="","",DEGREES(ATAN2(-AF20,AE20)))</f>
        <v>-76.346595744418309</v>
      </c>
      <c r="AH20" s="546">
        <f>IF(M20="","",DEGREES(ACOS(AD20)))</f>
        <v>84.866380799350125</v>
      </c>
      <c r="AI20" s="528">
        <f>IF(M20="","",DEGREES(-ACOS(-AF20)))</f>
        <v>-76.402417350949975</v>
      </c>
      <c r="AJ20" s="529">
        <f>IF(M20="","",DEGREES(ATAN2(-AE20,AD20)))</f>
        <v>5.2820741184082749</v>
      </c>
      <c r="AK20" s="578">
        <f>IF(M20="","",(COS(RADIANS((90-$Q$8)-W20))*AD20)+(-SIN(RADIANS((90-$Q$8)-W20))*AE20))</f>
        <v>0.89741245872946307</v>
      </c>
      <c r="AL20" s="572">
        <f>IF(M20="","",(SIN(RADIANS((90-$Q$8)-W20))*AD20)+(COS(RADIANS((90-$Q$8)-W20))*AE20))</f>
        <v>-0.37333409873230716</v>
      </c>
      <c r="AM20" s="577">
        <f>IF(M20="","",AF20)</f>
        <v>-0.23510110514601104</v>
      </c>
      <c r="AN20" s="524">
        <f>IF(M20="","",DEGREES(ATAN2(-AM20,AL20)))</f>
        <v>-57.7999916547137</v>
      </c>
      <c r="AO20" s="525">
        <f t="shared" si="110"/>
        <v>26.179996220076202</v>
      </c>
      <c r="AP20" s="528">
        <f>IF(M20="","",DEGREES(ATAN2(AK20,AL20)))</f>
        <v>-22.58788287449099</v>
      </c>
      <c r="AQ20" s="529">
        <f t="shared" si="13"/>
        <v>0.60362109137850672</v>
      </c>
      <c r="AR20" s="979"/>
      <c r="AS20" s="954">
        <f t="shared" si="147"/>
        <v>-61.430043108168206</v>
      </c>
      <c r="AT20" s="950">
        <f t="shared" si="14"/>
        <v>-0.82775676344294657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2.1269999999999998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79"/>
        <v>1313</v>
      </c>
      <c r="IM20" s="482" t="str">
        <f t="shared" si="242"/>
        <v/>
      </c>
      <c r="IN20" s="670" t="str">
        <f t="shared" si="81"/>
        <v/>
      </c>
      <c r="IO20" s="702">
        <v>8.6006029042558305E-3</v>
      </c>
      <c r="IP20" s="5" t="str">
        <f t="shared" si="82"/>
        <v/>
      </c>
      <c r="IQ20" s="714">
        <v>140</v>
      </c>
      <c r="IR20" s="9" t="str">
        <f t="shared" si="132"/>
        <v/>
      </c>
      <c r="IS20" s="5" t="str">
        <f t="shared" si="83"/>
        <v/>
      </c>
      <c r="IT20" s="5" t="str">
        <f t="shared" si="84"/>
        <v/>
      </c>
      <c r="IU20" s="5" t="str">
        <f t="shared" si="85"/>
        <v/>
      </c>
      <c r="IV20" s="670" t="str">
        <f t="shared" si="86"/>
        <v/>
      </c>
      <c r="IW20" s="9" t="str">
        <f t="shared" si="87"/>
        <v/>
      </c>
      <c r="IX20" s="5" t="str">
        <f t="shared" si="88"/>
        <v/>
      </c>
      <c r="IY20" s="5" t="str">
        <f t="shared" si="89"/>
        <v/>
      </c>
      <c r="IZ20" s="5" t="str">
        <f t="shared" si="90"/>
        <v/>
      </c>
      <c r="JA20" s="705" t="str">
        <f t="shared" si="91"/>
        <v/>
      </c>
      <c r="JC20" s="31"/>
      <c r="JD20" s="1096" t="s">
        <v>360</v>
      </c>
      <c r="JE20" s="1097"/>
      <c r="JF20" s="1097"/>
      <c r="JG20" s="1097"/>
      <c r="JH20" s="1310" t="s">
        <v>361</v>
      </c>
      <c r="JI20" s="1311"/>
      <c r="JJ20" s="1311"/>
      <c r="JK20" s="1312"/>
      <c r="JM20" s="489">
        <f t="shared" si="133"/>
        <v>27</v>
      </c>
      <c r="JN20" s="960">
        <f>($JO20-SMALL($JO$9:$JO$88,1))/((Settings!$C$19/2)-((Settings!$C$19/2)-LARGE($JO$9:$JO$88,1))-SMALL($JO$9:$JO$88,1))</f>
        <v>0.9279935707685929</v>
      </c>
      <c r="JO20" s="162">
        <f t="shared" si="134"/>
        <v>3.7766113902599536</v>
      </c>
      <c r="JP20" s="961">
        <f t="shared" si="135"/>
        <v>-57.7999916547137</v>
      </c>
      <c r="JQ20" s="961">
        <f t="shared" si="136"/>
        <v>26.179996220076202</v>
      </c>
      <c r="JS20" s="82">
        <v>12</v>
      </c>
      <c r="JT20" s="322">
        <f t="shared" si="137"/>
        <v>2.3193069950298977</v>
      </c>
      <c r="JU20" s="963">
        <f t="shared" si="138"/>
        <v>0.53965075240164195</v>
      </c>
      <c r="JV20" s="964">
        <v>3</v>
      </c>
      <c r="JW20" s="961">
        <f t="shared" si="92"/>
        <v>18.079997389571329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</v>
      </c>
      <c r="B21" s="578">
        <f t="shared" ref="B21:D21" si="281">IFERROR(O176+($A21*-E21),"")</f>
        <v>3.5406612268706388</v>
      </c>
      <c r="C21" s="572">
        <f t="shared" si="281"/>
        <v>1.8510095765015764</v>
      </c>
      <c r="D21" s="576">
        <f t="shared" si="281"/>
        <v>-1.5235045948898582</v>
      </c>
      <c r="E21" s="580">
        <f t="shared" ref="E21:K21" si="282">R176</f>
        <v>2.2561066299856155E-2</v>
      </c>
      <c r="F21" s="572">
        <f t="shared" si="282"/>
        <v>0.99468626550416772</v>
      </c>
      <c r="G21" s="579">
        <f t="shared" si="282"/>
        <v>0.10045014437414143</v>
      </c>
      <c r="H21" s="580">
        <f t="shared" si="282"/>
        <v>0.26450000000000001</v>
      </c>
      <c r="I21" s="572">
        <f t="shared" si="282"/>
        <v>0.52</v>
      </c>
      <c r="J21" s="483">
        <f t="shared" si="94"/>
        <v>2.133</v>
      </c>
      <c r="K21" s="806">
        <f t="shared" si="282"/>
        <v>1313</v>
      </c>
      <c r="L21" s="719" t="s">
        <v>358</v>
      </c>
      <c r="M21" s="164">
        <f t="shared" si="4"/>
        <v>2.133</v>
      </c>
      <c r="N21" s="575">
        <f t="shared" si="5"/>
        <v>3.5406612268706388</v>
      </c>
      <c r="O21" s="572">
        <f t="shared" si="6"/>
        <v>1.8510095765015764</v>
      </c>
      <c r="P21" s="576">
        <f t="shared" si="7"/>
        <v>-1.5235045948898582</v>
      </c>
      <c r="Q21" s="528">
        <f t="shared" si="144"/>
        <v>27.59995703188245</v>
      </c>
      <c r="R21" s="572">
        <f>IF(M21="","",SQRT(N21^2+O21^2))</f>
        <v>3.9953120498611421</v>
      </c>
      <c r="S21" s="577">
        <f>IF(M21="","",P21)</f>
        <v>-1.5235045948898582</v>
      </c>
      <c r="T21" s="578">
        <f>IF(M21="","",X21*COS(RADIANS(W21)))</f>
        <v>1.8941276899891513</v>
      </c>
      <c r="U21" s="572">
        <f>IF(M21="","",X21*SIN(RADIANS(W21)))</f>
        <v>-3.5177832039200485</v>
      </c>
      <c r="V21" s="579">
        <f>IF(M21="","",Y21)</f>
        <v>-1.5235045948898582</v>
      </c>
      <c r="W21" s="528">
        <f t="shared" si="268"/>
        <v>298.29995693081497</v>
      </c>
      <c r="X21" s="572">
        <f>IF(M21="","",R21)</f>
        <v>3.9953120498611421</v>
      </c>
      <c r="Y21" s="573">
        <f t="shared" si="271"/>
        <v>-1.5235045948898582</v>
      </c>
      <c r="Z21" s="575">
        <f t="shared" si="10"/>
        <v>-2.2561066299856155E-2</v>
      </c>
      <c r="AA21" s="572">
        <f t="shared" si="11"/>
        <v>-0.99468626550416772</v>
      </c>
      <c r="AB21" s="572">
        <f t="shared" si="12"/>
        <v>-0.10045014437414143</v>
      </c>
      <c r="AC21" s="579">
        <f>IF(M21="","",SQRT(Z21^2+AA21^2+AB21^2))</f>
        <v>1</v>
      </c>
      <c r="AD21" s="580">
        <f>IF(M21="","",Z21*(1/SQRT(Z21^2+AA21^2+AB21^2)))</f>
        <v>-2.2561066299856155E-2</v>
      </c>
      <c r="AE21" s="572">
        <f>IF(M21="","",AA21*(1/SQRT(Z21^2+AA21^2+AB21^2)))</f>
        <v>-0.99468626550416772</v>
      </c>
      <c r="AF21" s="576">
        <f>IF(M21="","",AB21*(1/SQRT(Z21^2+AA21^2+AB21^2)))</f>
        <v>-0.10045014437414143</v>
      </c>
      <c r="AG21" s="545">
        <f>IF(M21="","",DEGREES(ATAN2(-AF21,AE21)))</f>
        <v>-84.233434870735394</v>
      </c>
      <c r="AH21" s="546">
        <f>IF(M21="","",DEGREES(ACOS(AD21)))</f>
        <v>91.29276356592851</v>
      </c>
      <c r="AI21" s="528">
        <f>IF(M21="","",DEGREES(-ACOS(-AF21)))</f>
        <v>-84.234907627531143</v>
      </c>
      <c r="AJ21" s="529">
        <f>IF(M21="","",DEGREES(ATAN2(-AE21,AD21)))</f>
        <v>-1.2993366078993853</v>
      </c>
      <c r="AK21" s="578">
        <f>IF(M21="","",(COS(RADIANS((90-$Q$8)-W21))*AD21)+(-SIN(RADIANS((90-$Q$8)-W21))*AE21))</f>
        <v>0.87104243672661075</v>
      </c>
      <c r="AL21" s="572">
        <f>IF(M21="","",(SIN(RADIANS((90-$Q$8)-W21))*AD21)+(COS(RADIANS((90-$Q$8)-W21))*AE21))</f>
        <v>-0.48082724747728511</v>
      </c>
      <c r="AM21" s="577">
        <f>IF(M21="","",AF21)</f>
        <v>-0.10045014437414143</v>
      </c>
      <c r="AN21" s="524">
        <f>IF(M21="","",DEGREES(ATAN2(-AM21,AL21)))</f>
        <v>-78.199988709318575</v>
      </c>
      <c r="AO21" s="525">
        <f>IF(ROUND(IF(M21="",0,DEGREES(ACOS(AK21))),4)=90,0,IF(M21="","",DEGREES(ACOS(AK21))))</f>
        <v>29.419995752278147</v>
      </c>
      <c r="AP21" s="528">
        <f>IF(M21="","",DEGREES(ATAN2(AK21,AL21)))</f>
        <v>-28.899293639781838</v>
      </c>
      <c r="AQ21" s="529">
        <f t="shared" si="13"/>
        <v>0.57058153183858695</v>
      </c>
      <c r="AR21" s="979"/>
      <c r="AS21" s="954">
        <f t="shared" si="147"/>
        <v>-61.700043069185028</v>
      </c>
      <c r="AT21" s="950">
        <f t="shared" si="14"/>
        <v>-1.4801712317175544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2.133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79"/>
        <v>1313</v>
      </c>
      <c r="IM21" s="482" t="str">
        <f t="shared" si="242"/>
        <v/>
      </c>
      <c r="IN21" s="670" t="str">
        <f t="shared" si="81"/>
        <v/>
      </c>
      <c r="IO21" s="702">
        <v>7.1089064541766302E-3</v>
      </c>
      <c r="IP21" s="5" t="str">
        <f t="shared" si="82"/>
        <v/>
      </c>
      <c r="IQ21" s="714">
        <v>140</v>
      </c>
      <c r="IR21" s="9" t="str">
        <f t="shared" si="132"/>
        <v/>
      </c>
      <c r="IS21" s="5" t="str">
        <f t="shared" si="83"/>
        <v/>
      </c>
      <c r="IT21" s="5" t="str">
        <f t="shared" si="84"/>
        <v/>
      </c>
      <c r="IU21" s="5" t="str">
        <f t="shared" si="85"/>
        <v/>
      </c>
      <c r="IV21" s="670" t="str">
        <f t="shared" si="86"/>
        <v/>
      </c>
      <c r="IW21" s="9" t="str">
        <f t="shared" si="87"/>
        <v/>
      </c>
      <c r="IX21" s="5" t="str">
        <f t="shared" si="88"/>
        <v/>
      </c>
      <c r="IY21" s="5" t="str">
        <f t="shared" si="89"/>
        <v/>
      </c>
      <c r="IZ21" s="5" t="str">
        <f t="shared" si="90"/>
        <v/>
      </c>
      <c r="JA21" s="705" t="str">
        <f t="shared" si="91"/>
        <v/>
      </c>
      <c r="JC21" s="708"/>
      <c r="JD21" s="1098"/>
      <c r="JE21" s="1099"/>
      <c r="JF21" s="1099"/>
      <c r="JG21" s="1099"/>
      <c r="JH21" s="1313" t="s">
        <v>349</v>
      </c>
      <c r="JI21" s="1314"/>
      <c r="JJ21" s="1100" t="s">
        <v>362</v>
      </c>
      <c r="JK21" s="1101"/>
      <c r="JM21" s="489">
        <f t="shared" si="133"/>
        <v>33</v>
      </c>
      <c r="JN21" s="960">
        <f>($JO21-SMALL($JO$9:$JO$88,1))/((Settings!$C$19/2)-((Settings!$C$19/2)-LARGE($JO$9:$JO$88,1))-SMALL($JO$9:$JO$88,1))</f>
        <v>0.98627297403274705</v>
      </c>
      <c r="JO21" s="162">
        <f t="shared" si="134"/>
        <v>3.9953120498611421</v>
      </c>
      <c r="JP21" s="961">
        <f t="shared" si="135"/>
        <v>-78.199988709318575</v>
      </c>
      <c r="JQ21" s="961">
        <f t="shared" si="136"/>
        <v>29.419995752278147</v>
      </c>
      <c r="JS21" s="82">
        <v>13</v>
      </c>
      <c r="JT21" s="322">
        <f t="shared" si="137"/>
        <v>2.43500734398215</v>
      </c>
      <c r="JU21" s="963">
        <f t="shared" si="138"/>
        <v>0.57048260863238109</v>
      </c>
      <c r="JV21" s="964">
        <v>3</v>
      </c>
      <c r="JW21" s="961">
        <f t="shared" si="92"/>
        <v>18.619997311604973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</v>
      </c>
      <c r="B22" s="578">
        <f t="shared" ref="B22:D22" si="283">IFERROR(O177+($A22*-E22),"")</f>
        <v>3.5872928735312719</v>
      </c>
      <c r="C22" s="572">
        <f t="shared" si="283"/>
        <v>1.8729969696147615</v>
      </c>
      <c r="D22" s="576">
        <f t="shared" si="283"/>
        <v>-2.2936069175184635</v>
      </c>
      <c r="E22" s="580">
        <f t="shared" ref="E22:K22" si="284">R177</f>
        <v>4.9404498857173906E-2</v>
      </c>
      <c r="F22" s="572">
        <f t="shared" si="284"/>
        <v>0.99779880815142219</v>
      </c>
      <c r="G22" s="579">
        <f t="shared" si="284"/>
        <v>4.4234985523600251E-2</v>
      </c>
      <c r="H22" s="580">
        <f t="shared" si="284"/>
        <v>0.26450000000000001</v>
      </c>
      <c r="I22" s="572">
        <f t="shared" si="284"/>
        <v>0.52</v>
      </c>
      <c r="J22" s="483">
        <f t="shared" si="94"/>
        <v>2.1389999999999998</v>
      </c>
      <c r="K22" s="806">
        <f t="shared" si="284"/>
        <v>1313</v>
      </c>
      <c r="L22" s="814" t="str">
        <f>IF($L21=$JJ$22,$JJ$30,IF($L21=$JK$22,$JK$30,""))</f>
        <v/>
      </c>
      <c r="M22" s="164">
        <f t="shared" si="4"/>
        <v>2.1389999999999998</v>
      </c>
      <c r="N22" s="575">
        <f t="shared" si="5"/>
        <v>3.5872928735312719</v>
      </c>
      <c r="O22" s="572">
        <f t="shared" si="6"/>
        <v>1.8729969696147615</v>
      </c>
      <c r="P22" s="576">
        <f t="shared" si="7"/>
        <v>-2.2936069175184635</v>
      </c>
      <c r="Q22" s="528">
        <f t="shared" si="144"/>
        <v>27.569957036213882</v>
      </c>
      <c r="R22" s="572">
        <f t="shared" si="95"/>
        <v>4.0468244104080338</v>
      </c>
      <c r="S22" s="577">
        <f t="shared" si="96"/>
        <v>-2.2936069175184635</v>
      </c>
      <c r="T22" s="578">
        <f t="shared" si="97"/>
        <v>1.9166831409601495</v>
      </c>
      <c r="U22" s="572">
        <f t="shared" si="98"/>
        <v>-3.5641427504848155</v>
      </c>
      <c r="V22" s="579">
        <f t="shared" si="145"/>
        <v>-2.2936069175184635</v>
      </c>
      <c r="W22" s="528">
        <f t="shared" si="268"/>
        <v>298.26995693514641</v>
      </c>
      <c r="X22" s="572">
        <f t="shared" si="99"/>
        <v>4.0468244104080338</v>
      </c>
      <c r="Y22" s="573">
        <f t="shared" si="271"/>
        <v>-2.2936069175184635</v>
      </c>
      <c r="Z22" s="575">
        <f t="shared" si="10"/>
        <v>-4.9404498857173906E-2</v>
      </c>
      <c r="AA22" s="572">
        <f t="shared" si="11"/>
        <v>-0.99779880815142219</v>
      </c>
      <c r="AB22" s="572">
        <f t="shared" si="12"/>
        <v>-4.4234985523600251E-2</v>
      </c>
      <c r="AC22" s="579">
        <f t="shared" si="100"/>
        <v>1</v>
      </c>
      <c r="AD22" s="580">
        <f t="shared" si="146"/>
        <v>-4.9404498857173906E-2</v>
      </c>
      <c r="AE22" s="572">
        <f t="shared" si="101"/>
        <v>-0.99779880815142219</v>
      </c>
      <c r="AF22" s="576">
        <f t="shared" si="102"/>
        <v>-4.4234985523600251E-2</v>
      </c>
      <c r="AG22" s="545">
        <f t="shared" si="103"/>
        <v>-87.461592947895198</v>
      </c>
      <c r="AH22" s="546">
        <f t="shared" si="104"/>
        <v>92.831822058486551</v>
      </c>
      <c r="AI22" s="528">
        <f t="shared" si="105"/>
        <v>-87.464694744176228</v>
      </c>
      <c r="AJ22" s="529">
        <f t="shared" si="106"/>
        <v>-2.8345989570639305</v>
      </c>
      <c r="AK22" s="578">
        <f t="shared" si="247"/>
        <v>0.8616291994500439</v>
      </c>
      <c r="AL22" s="572">
        <f t="shared" si="107"/>
        <v>-0.50560695081337992</v>
      </c>
      <c r="AM22" s="577">
        <f t="shared" si="108"/>
        <v>-4.4234985523600251E-2</v>
      </c>
      <c r="AN22" s="524">
        <f t="shared" si="109"/>
        <v>-84.999987727520178</v>
      </c>
      <c r="AO22" s="525">
        <f t="shared" si="110"/>
        <v>30.499995596345482</v>
      </c>
      <c r="AP22" s="528">
        <f t="shared" si="111"/>
        <v>-30.404555993277839</v>
      </c>
      <c r="AQ22" s="529">
        <f t="shared" si="13"/>
        <v>0.56331902367347431</v>
      </c>
      <c r="AR22" s="979"/>
      <c r="AS22" s="954">
        <f t="shared" si="147"/>
        <v>-61.730043064853589</v>
      </c>
      <c r="AT22" s="950">
        <f t="shared" si="14"/>
        <v>-2.2502527210158343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2.1389999999999998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79"/>
        <v>1313</v>
      </c>
      <c r="IM22" s="482" t="str">
        <f t="shared" si="242"/>
        <v/>
      </c>
      <c r="IN22" s="670" t="str">
        <f t="shared" si="81"/>
        <v/>
      </c>
      <c r="IO22" s="702">
        <v>2.09078940170986E-2</v>
      </c>
      <c r="IP22" s="5" t="str">
        <f t="shared" si="82"/>
        <v/>
      </c>
      <c r="IQ22" s="714">
        <v>310</v>
      </c>
      <c r="IR22" s="9" t="str">
        <f t="shared" si="132"/>
        <v/>
      </c>
      <c r="IS22" s="5" t="str">
        <f t="shared" si="83"/>
        <v/>
      </c>
      <c r="IT22" s="5" t="str">
        <f t="shared" si="84"/>
        <v/>
      </c>
      <c r="IU22" s="5" t="str">
        <f t="shared" si="85"/>
        <v/>
      </c>
      <c r="IV22" s="670" t="str">
        <f t="shared" si="86"/>
        <v/>
      </c>
      <c r="IW22" s="9" t="str">
        <f t="shared" si="87"/>
        <v/>
      </c>
      <c r="IX22" s="5" t="str">
        <f t="shared" si="88"/>
        <v/>
      </c>
      <c r="IY22" s="5" t="str">
        <f t="shared" si="89"/>
        <v/>
      </c>
      <c r="IZ22" s="5" t="str">
        <f t="shared" si="90"/>
        <v/>
      </c>
      <c r="JA22" s="705" t="str">
        <f t="shared" si="91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">IFERROR(TRANSPOSE(_xlfn._xlws.SORT(_xlfn.UNIQUE(_xlfn._xlws.FILTER($IG$9:$IG$150,$IG$9:$IG$150&lt;&gt;"")),,1)),"")</f>
        <v/>
      </c>
      <c r="JI22" s="803"/>
      <c r="JJ22" s="804" t="str" cm="1">
        <f t="array" ref="JJ22">IFERROR(TRANSPOSE(_xlfn._xlws.SORT(_xlfn.UNIQUE(_xlfn._xlws.FILTER($IG$9:$IG$150,$IG$9:$IG$150&lt;&gt;"")),,1)),"")</f>
        <v/>
      </c>
      <c r="JK22" s="803"/>
      <c r="JM22" s="489">
        <f t="shared" si="133"/>
        <v>39</v>
      </c>
      <c r="JN22" s="960">
        <f>($JO22-SMALL($JO$9:$JO$88,1))/((Settings!$C$19/2)-((Settings!$C$19/2)-LARGE($JO$9:$JO$88,1))-SMALL($JO$9:$JO$88,1))</f>
        <v>0.99999999999999978</v>
      </c>
      <c r="JO22" s="162">
        <f t="shared" si="134"/>
        <v>4.0468244104080338</v>
      </c>
      <c r="JP22" s="961">
        <f t="shared" si="135"/>
        <v>-84.999987727520178</v>
      </c>
      <c r="JQ22" s="961">
        <f t="shared" si="136"/>
        <v>30.499995596345482</v>
      </c>
      <c r="JS22" s="82">
        <v>14</v>
      </c>
      <c r="JT22" s="322">
        <f t="shared" si="137"/>
        <v>2.550307691727999</v>
      </c>
      <c r="JU22" s="963">
        <f t="shared" si="138"/>
        <v>0.60120787244745655</v>
      </c>
      <c r="JV22" s="964">
        <v>1.5</v>
      </c>
      <c r="JW22" s="961">
        <f t="shared" si="92"/>
        <v>19.159997233638627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3</v>
      </c>
      <c r="KD22" s="970">
        <v>-7.4</v>
      </c>
      <c r="KE22" s="968">
        <f t="shared" si="140"/>
        <v>-10.4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16.999997545504023</v>
      </c>
      <c r="KG22" s="966">
        <f t="shared" si="244"/>
        <v>-3.837426666666671</v>
      </c>
      <c r="KH22" s="966">
        <f t="shared" si="141"/>
        <v>1.9999975455040229</v>
      </c>
      <c r="KJ22" s="31"/>
    </row>
    <row r="23" spans="1:296" ht="15" customHeight="1" thickTop="1" x14ac:dyDescent="0.25">
      <c r="A23" s="75">
        <f t="shared" si="1"/>
        <v>0</v>
      </c>
      <c r="B23" s="578">
        <f t="shared" ref="B23:D23" si="285">IFERROR(O178+($A23*-E23),"")</f>
        <v>0.62381335164797369</v>
      </c>
      <c r="C23" s="572">
        <f t="shared" si="285"/>
        <v>-0.29088941201118085</v>
      </c>
      <c r="D23" s="576">
        <f t="shared" si="285"/>
        <v>-0.38250115362347936</v>
      </c>
      <c r="E23" s="580">
        <f t="shared" ref="E23:K23" si="286">R178</f>
        <v>0.36363460087020927</v>
      </c>
      <c r="F23" s="572">
        <f t="shared" si="286"/>
        <v>0.87369876335654861</v>
      </c>
      <c r="G23" s="579">
        <f t="shared" si="286"/>
        <v>0.32314137457032849</v>
      </c>
      <c r="H23" s="580">
        <f t="shared" si="286"/>
        <v>0.26450000000000001</v>
      </c>
      <c r="I23" s="572">
        <f t="shared" si="286"/>
        <v>0.52</v>
      </c>
      <c r="J23" s="483">
        <f t="shared" si="94"/>
        <v>3.1030000000000002</v>
      </c>
      <c r="K23" s="806">
        <f t="shared" si="286"/>
        <v>1313</v>
      </c>
      <c r="M23" s="164">
        <f t="shared" si="4"/>
        <v>3.1030000000000002</v>
      </c>
      <c r="N23" s="575">
        <f t="shared" si="5"/>
        <v>0.62381335164797369</v>
      </c>
      <c r="O23" s="572">
        <f t="shared" si="6"/>
        <v>-0.29088941201118085</v>
      </c>
      <c r="P23" s="576">
        <f t="shared" si="7"/>
        <v>-0.38250115362347936</v>
      </c>
      <c r="Q23" s="528">
        <f t="shared" si="144"/>
        <v>334.99996462638171</v>
      </c>
      <c r="R23" s="572">
        <f t="shared" si="95"/>
        <v>0.68830207591906112</v>
      </c>
      <c r="S23" s="577">
        <f t="shared" si="96"/>
        <v>-0.38250115362347936</v>
      </c>
      <c r="T23" s="578">
        <f t="shared" si="97"/>
        <v>-0.28324657570403911</v>
      </c>
      <c r="U23" s="572">
        <f t="shared" si="98"/>
        <v>-0.62732059193559475</v>
      </c>
      <c r="V23" s="579">
        <f t="shared" si="145"/>
        <v>-0.38250115362347936</v>
      </c>
      <c r="W23" s="528">
        <f t="shared" si="268"/>
        <v>245.69996452531421</v>
      </c>
      <c r="X23" s="572">
        <f t="shared" si="99"/>
        <v>0.68830207591906112</v>
      </c>
      <c r="Y23" s="573">
        <f t="shared" si="271"/>
        <v>-0.38250115362347936</v>
      </c>
      <c r="Z23" s="575">
        <f t="shared" si="10"/>
        <v>-0.36363460087020927</v>
      </c>
      <c r="AA23" s="572">
        <f t="shared" si="11"/>
        <v>-0.87369876335654861</v>
      </c>
      <c r="AB23" s="572">
        <f t="shared" si="12"/>
        <v>-0.32314137457032849</v>
      </c>
      <c r="AC23" s="579">
        <f t="shared" si="100"/>
        <v>1</v>
      </c>
      <c r="AD23" s="580">
        <f t="shared" si="146"/>
        <v>-0.36363460087020927</v>
      </c>
      <c r="AE23" s="572">
        <f t="shared" si="101"/>
        <v>-0.87369876335654861</v>
      </c>
      <c r="AF23" s="576">
        <f t="shared" si="102"/>
        <v>-0.32314137457032849</v>
      </c>
      <c r="AG23" s="545">
        <f t="shared" si="103"/>
        <v>-69.702861906523481</v>
      </c>
      <c r="AH23" s="546">
        <f t="shared" si="104"/>
        <v>111.32357784204797</v>
      </c>
      <c r="AI23" s="528">
        <f t="shared" si="105"/>
        <v>-71.146991307140482</v>
      </c>
      <c r="AJ23" s="529">
        <f t="shared" si="106"/>
        <v>-22.597144182585918</v>
      </c>
      <c r="AK23" s="578">
        <f t="shared" si="247"/>
        <v>0.94551859118716819</v>
      </c>
      <c r="AL23" s="572">
        <f t="shared" si="107"/>
        <v>3.9676766000158348E-2</v>
      </c>
      <c r="AM23" s="577">
        <f t="shared" si="108"/>
        <v>-0.32314137457032849</v>
      </c>
      <c r="AN23" s="524">
        <f t="shared" si="109"/>
        <v>6.9999989893251717</v>
      </c>
      <c r="AO23" s="525">
        <f t="shared" si="110"/>
        <v>18.999997256739807</v>
      </c>
      <c r="AP23" s="528">
        <f t="shared" si="111"/>
        <v>2.4028911910323587</v>
      </c>
      <c r="AQ23" s="529">
        <f t="shared" si="13"/>
        <v>3.3084200013461311</v>
      </c>
      <c r="AR23" s="979"/>
      <c r="AS23" s="954">
        <f t="shared" si="147"/>
        <v>-114.30003547468579</v>
      </c>
      <c r="AT23" s="950">
        <f t="shared" si="14"/>
        <v>-0.30264001794735557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/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41"/>
        <v>3.1030000000000002</v>
      </c>
      <c r="IJ23" s="674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7" t="str" cm="1">
        <f t="array" ref="IK23">IFERROR(ROUND(VALUE(IF($IJ23&lt;1,$IJ23+LARGE((IF($M$9:$M$150="",0,$M$9:$M$150)-MOD(IF($M$9:$M$150="",0,$M$9:$M$150),1)),1),$IJ23)),4),"")</f>
        <v/>
      </c>
      <c r="IL23" s="482">
        <f t="shared" si="79"/>
        <v>1313</v>
      </c>
      <c r="IM23" s="482" t="str">
        <f t="shared" si="242"/>
        <v/>
      </c>
      <c r="IN23" s="670" t="str">
        <f t="shared" si="81"/>
        <v/>
      </c>
      <c r="IO23" s="702">
        <v>2.0596001756787202E-2</v>
      </c>
      <c r="IP23" s="5" t="str">
        <f t="shared" si="82"/>
        <v/>
      </c>
      <c r="IQ23" s="714">
        <v>310</v>
      </c>
      <c r="IR23" s="9" t="str">
        <f t="shared" si="132"/>
        <v/>
      </c>
      <c r="IS23" s="5" t="str">
        <f t="shared" si="83"/>
        <v/>
      </c>
      <c r="IT23" s="5" t="str">
        <f t="shared" si="84"/>
        <v/>
      </c>
      <c r="IU23" s="5" t="str">
        <f t="shared" si="85"/>
        <v/>
      </c>
      <c r="IV23" s="670" t="str">
        <f t="shared" si="86"/>
        <v/>
      </c>
      <c r="IW23" s="9" t="str">
        <f t="shared" si="87"/>
        <v/>
      </c>
      <c r="IX23" s="5" t="str">
        <f t="shared" si="88"/>
        <v/>
      </c>
      <c r="IY23" s="5" t="str">
        <f t="shared" si="89"/>
        <v/>
      </c>
      <c r="IZ23" s="5" t="str">
        <f t="shared" si="90"/>
        <v/>
      </c>
      <c r="JA23" s="705" t="str">
        <f t="shared" si="91"/>
        <v/>
      </c>
      <c r="JC23" s="796" t="str" cm="1">
        <f t="array" ref="JC23">IFERROR(_xlfn._xlws.SORT(_xlfn.UNIQUE(_xlfn._xlws.FILTER($IM$9:$IM$150,$IM$9:$IM$150&lt;&gt;"")),,1),"")</f>
        <v/>
      </c>
      <c r="JD23" s="800" t="str" cm="1">
        <f t="array" ref="JD23">IF($JC23="","",COUNT(IF(IF($IK$9:$IK$150&lt;&gt;"",$IM$9:$IM$150,"")=$JC23,$II$9:$II$150,"")))</f>
        <v/>
      </c>
      <c r="JE23" s="191"/>
      <c r="JF23" s="191"/>
      <c r="JG23" s="812"/>
      <c r="JH23" s="737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42"/>
      <c r="JJ23" s="741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42"/>
      <c r="JM23" s="489">
        <f t="shared" si="133"/>
        <v>3</v>
      </c>
      <c r="JN23" s="960">
        <f>($JO23-SMALL($JO$9:$JO$88,1))/((Settings!$C$19/2)-((Settings!$C$19/2)-LARGE($JO$9:$JO$88,1))-SMALL($JO$9:$JO$88,1))</f>
        <v>0.10502017753270804</v>
      </c>
      <c r="JO23" s="162">
        <f t="shared" si="134"/>
        <v>0.68830207591906112</v>
      </c>
      <c r="JP23" s="961">
        <f t="shared" si="135"/>
        <v>6.9999989893251717</v>
      </c>
      <c r="JQ23" s="961">
        <f t="shared" si="136"/>
        <v>18.999997256739807</v>
      </c>
      <c r="JS23" s="82">
        <v>15</v>
      </c>
      <c r="JT23" s="322">
        <f t="shared" si="137"/>
        <v>2.6650080376642418</v>
      </c>
      <c r="JU23" s="963">
        <f t="shared" si="138"/>
        <v>0.63177324763903631</v>
      </c>
      <c r="JV23" s="961">
        <f t="shared" ref="JV23:JV53" si="287">INDEX($JM$9:$JQ$88,MATCH($JS23,$JM$9:$JM$88,0),4)</f>
        <v>-16.99999754550397</v>
      </c>
      <c r="JW23" s="961">
        <f t="shared" si="92"/>
        <v>19.69999715567231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3</v>
      </c>
      <c r="KD23" s="970">
        <v>-11.212033333333332</v>
      </c>
      <c r="KE23" s="968">
        <f t="shared" si="140"/>
        <v>-14.212033333333332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17.557234892466685</v>
      </c>
      <c r="KG23" s="966">
        <f t="shared" si="244"/>
        <v>-3.8120333333333321</v>
      </c>
      <c r="KH23" s="966">
        <f t="shared" si="141"/>
        <v>0.55723734696266192</v>
      </c>
      <c r="KJ23" s="31"/>
    </row>
    <row r="24" spans="1:296" ht="15" customHeight="1" x14ac:dyDescent="0.25">
      <c r="A24" s="75">
        <f t="shared" si="1"/>
        <v>0</v>
      </c>
      <c r="B24" s="578">
        <f t="shared" ref="B24:D24" si="288">IFERROR(O179+($A24*-E24),"")</f>
        <v>1.1608928114570527</v>
      </c>
      <c r="C24" s="572">
        <f t="shared" si="288"/>
        <v>-0.54133408084428525</v>
      </c>
      <c r="D24" s="576">
        <f t="shared" si="288"/>
        <v>-0.23020069428529394</v>
      </c>
      <c r="E24" s="580">
        <f t="shared" ref="E24:K24" si="289">R179</f>
        <v>0.38566842121553396</v>
      </c>
      <c r="F24" s="572">
        <f t="shared" si="289"/>
        <v>0.87532544091975162</v>
      </c>
      <c r="G24" s="579">
        <f t="shared" si="289"/>
        <v>0.29165946128277764</v>
      </c>
      <c r="H24" s="580">
        <f t="shared" si="289"/>
        <v>0.26450000000000001</v>
      </c>
      <c r="I24" s="572">
        <f t="shared" si="289"/>
        <v>0.52</v>
      </c>
      <c r="J24" s="483">
        <f t="shared" si="94"/>
        <v>3.1059999999999999</v>
      </c>
      <c r="K24" s="806">
        <f t="shared" si="289"/>
        <v>1313</v>
      </c>
      <c r="L24" s="82"/>
      <c r="M24" s="164">
        <f t="shared" si="4"/>
        <v>3.1059999999999999</v>
      </c>
      <c r="N24" s="575">
        <f t="shared" si="5"/>
        <v>1.1608928114570527</v>
      </c>
      <c r="O24" s="572">
        <f t="shared" si="6"/>
        <v>-0.54133408084428525</v>
      </c>
      <c r="P24" s="576">
        <f t="shared" si="7"/>
        <v>-0.23020069428529394</v>
      </c>
      <c r="Q24" s="528">
        <f t="shared" si="144"/>
        <v>334.99996462638171</v>
      </c>
      <c r="R24" s="572">
        <f t="shared" si="95"/>
        <v>1.2809038632060517</v>
      </c>
      <c r="S24" s="577">
        <f t="shared" si="96"/>
        <v>-0.23020069428529394</v>
      </c>
      <c r="T24" s="578">
        <f t="shared" si="97"/>
        <v>-0.52711105451010265</v>
      </c>
      <c r="U24" s="572">
        <f t="shared" si="98"/>
        <v>-1.1674196516203739</v>
      </c>
      <c r="V24" s="579">
        <f t="shared" si="145"/>
        <v>-0.23020069428529394</v>
      </c>
      <c r="W24" s="528">
        <f t="shared" si="268"/>
        <v>245.69996452531421</v>
      </c>
      <c r="X24" s="572">
        <f t="shared" si="99"/>
        <v>1.2809038632060517</v>
      </c>
      <c r="Y24" s="573">
        <f t="shared" si="271"/>
        <v>-0.23020069428529394</v>
      </c>
      <c r="Z24" s="575">
        <f t="shared" si="10"/>
        <v>-0.38566842121553396</v>
      </c>
      <c r="AA24" s="572">
        <f t="shared" si="11"/>
        <v>-0.87532544091975162</v>
      </c>
      <c r="AB24" s="572">
        <f t="shared" si="12"/>
        <v>-0.29165946128277764</v>
      </c>
      <c r="AC24" s="579">
        <f t="shared" si="100"/>
        <v>1</v>
      </c>
      <c r="AD24" s="580">
        <f t="shared" si="146"/>
        <v>-0.38566842121553396</v>
      </c>
      <c r="AE24" s="572">
        <f t="shared" si="101"/>
        <v>-0.87532544091975162</v>
      </c>
      <c r="AF24" s="576">
        <f t="shared" si="102"/>
        <v>-0.29165946128277764</v>
      </c>
      <c r="AG24" s="545">
        <f t="shared" si="103"/>
        <v>-71.571866594361211</v>
      </c>
      <c r="AH24" s="546">
        <f t="shared" si="104"/>
        <v>112.68524293621797</v>
      </c>
      <c r="AI24" s="528">
        <f t="shared" si="105"/>
        <v>-73.042668303728448</v>
      </c>
      <c r="AJ24" s="529">
        <f t="shared" si="106"/>
        <v>-23.778291370437785</v>
      </c>
      <c r="AK24" s="578">
        <f>IF(M24="","",(COS(RADIANS((90-$Q$8)-W24))*AD24)+(-SIN(RADIANS((90-$Q$8)-W24))*AE24))</f>
        <v>0.95630476848795665</v>
      </c>
      <c r="AL24" s="572">
        <f t="shared" si="107"/>
        <v>2.0394813346429785E-2</v>
      </c>
      <c r="AM24" s="577">
        <f t="shared" si="108"/>
        <v>-0.29165946128277764</v>
      </c>
      <c r="AN24" s="524">
        <f t="shared" si="109"/>
        <v>3.9999994224715114</v>
      </c>
      <c r="AO24" s="525">
        <f t="shared" si="110"/>
        <v>16.999997545504019</v>
      </c>
      <c r="AP24" s="528">
        <f t="shared" si="111"/>
        <v>1.2217440031804905</v>
      </c>
      <c r="AQ24" s="529">
        <f t="shared" si="13"/>
        <v>1.7792075402998337</v>
      </c>
      <c r="AR24" s="979"/>
      <c r="AS24" s="954">
        <f t="shared" si="147"/>
        <v>-114.30003547468579</v>
      </c>
      <c r="AT24" s="950">
        <f t="shared" si="14"/>
        <v>-0.15033955860917014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3.1059999999999999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1313</v>
      </c>
      <c r="IM24" s="482" t="str">
        <f t="shared" si="242"/>
        <v/>
      </c>
      <c r="IN24" s="670" t="str">
        <f t="shared" si="81"/>
        <v/>
      </c>
      <c r="IO24" s="702"/>
      <c r="IP24" s="5" t="str">
        <f t="shared" si="82"/>
        <v/>
      </c>
      <c r="IQ24" s="714"/>
      <c r="IR24" s="9" t="str">
        <f t="shared" si="13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  <c r="JM24" s="489">
        <f t="shared" si="133"/>
        <v>6</v>
      </c>
      <c r="JN24" s="960">
        <f>($JO24-SMALL($JO$9:$JO$88,1))/((Settings!$C$19/2)-((Settings!$C$19/2)-LARGE($JO$9:$JO$88,1))-SMALL($JO$9:$JO$88,1))</f>
        <v>0.26293684133855116</v>
      </c>
      <c r="JO24" s="162">
        <f t="shared" si="134"/>
        <v>1.2809038632060517</v>
      </c>
      <c r="JP24" s="961">
        <f t="shared" si="135"/>
        <v>3.9999994224715114</v>
      </c>
      <c r="JQ24" s="961">
        <f t="shared" si="136"/>
        <v>16.999997545504019</v>
      </c>
      <c r="JS24" s="82">
        <v>16</v>
      </c>
      <c r="JT24" s="322">
        <f t="shared" si="137"/>
        <v>2.7783083793780725</v>
      </c>
      <c r="JU24" s="963">
        <f t="shared" si="138"/>
        <v>0.66196554937579299</v>
      </c>
      <c r="JV24" s="961">
        <f t="shared" si="287"/>
        <v>-20.399997054604864</v>
      </c>
      <c r="JW24" s="961">
        <f>INDEX($JM$9:$JQ$88,MATCH($JS24,$JM$9:$JM$88,0),5)</f>
        <v>20.239997077705965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3</v>
      </c>
      <c r="KD24" s="970">
        <v>-15.036806666666671</v>
      </c>
      <c r="KE24" s="968">
        <f t="shared" si="140"/>
        <v>-18.036806666666671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18.191791525237271</v>
      </c>
      <c r="KG24" s="966">
        <f t="shared" si="244"/>
        <v>-3.8247733333333382</v>
      </c>
      <c r="KH24" s="966">
        <f t="shared" si="141"/>
        <v>0.63455663277058605</v>
      </c>
      <c r="KJ24" s="31"/>
    </row>
    <row r="25" spans="1:296" ht="15" customHeight="1" x14ac:dyDescent="0.25">
      <c r="A25" s="75">
        <f t="shared" si="1"/>
        <v>0</v>
      </c>
      <c r="B25" s="578">
        <f t="shared" ref="B25:D25" si="290">IFERROR(O180+($A25*-E25),"")</f>
        <v>1.710569983873871</v>
      </c>
      <c r="C25" s="572">
        <f t="shared" si="290"/>
        <v>-0.79765316901046435</v>
      </c>
      <c r="D25" s="576">
        <f t="shared" si="290"/>
        <v>-0.14780044576614437</v>
      </c>
      <c r="E25" s="580">
        <f t="shared" ref="E25:K25" si="291">R180</f>
        <v>0.39952787980279664</v>
      </c>
      <c r="F25" s="572">
        <f t="shared" si="291"/>
        <v>0.86886265882540925</v>
      </c>
      <c r="G25" s="579">
        <f t="shared" si="291"/>
        <v>0.29232713414789691</v>
      </c>
      <c r="H25" s="580">
        <f t="shared" si="291"/>
        <v>0.26450000000000001</v>
      </c>
      <c r="I25" s="572">
        <f t="shared" si="291"/>
        <v>0.52</v>
      </c>
      <c r="J25" s="483">
        <f t="shared" si="94"/>
        <v>3.109</v>
      </c>
      <c r="K25" s="806">
        <f t="shared" si="291"/>
        <v>1313</v>
      </c>
      <c r="L25" s="82"/>
      <c r="M25" s="164">
        <f t="shared" si="4"/>
        <v>3.109</v>
      </c>
      <c r="N25" s="575">
        <f t="shared" si="5"/>
        <v>1.710569983873871</v>
      </c>
      <c r="O25" s="572">
        <f t="shared" si="6"/>
        <v>-0.79765316901046435</v>
      </c>
      <c r="P25" s="576">
        <f t="shared" si="7"/>
        <v>-0.14780044576614437</v>
      </c>
      <c r="Q25" s="528">
        <f t="shared" si="144"/>
        <v>334.99996462638171</v>
      </c>
      <c r="R25" s="572">
        <f>IF(M25="","",SQRT(N25^2+O25^2))</f>
        <v>1.8874056924155687</v>
      </c>
      <c r="S25" s="577">
        <f>IF(M25="","",P25)</f>
        <v>-0.14780044576614437</v>
      </c>
      <c r="T25" s="578">
        <f>IF(M25="","",X25*COS(RADIANS(W25)))</f>
        <v>-0.7766956079962275</v>
      </c>
      <c r="U25" s="572">
        <f>IF(M25="","",X25*SIN(RADIANS(W25)))</f>
        <v>-1.7201872515171313</v>
      </c>
      <c r="V25" s="579">
        <f>IF(M25="","",Y25)</f>
        <v>-0.14780044576614437</v>
      </c>
      <c r="W25" s="528">
        <f t="shared" si="268"/>
        <v>245.69996452531421</v>
      </c>
      <c r="X25" s="572">
        <f>IF(M25="","",R25)</f>
        <v>1.8874056924155687</v>
      </c>
      <c r="Y25" s="573">
        <f t="shared" si="271"/>
        <v>-0.14780044576614437</v>
      </c>
      <c r="Z25" s="575">
        <f t="shared" si="10"/>
        <v>-0.39952787980279664</v>
      </c>
      <c r="AA25" s="572">
        <f t="shared" si="11"/>
        <v>-0.86886265882540925</v>
      </c>
      <c r="AB25" s="572">
        <f t="shared" si="12"/>
        <v>-0.29232713414789691</v>
      </c>
      <c r="AC25" s="579">
        <f>IF(M25="","",SQRT(Z25^2+AA25^2+AB25^2))</f>
        <v>1</v>
      </c>
      <c r="AD25" s="580">
        <f>IF(M25="","",Z25*(1/SQRT(Z25^2+AA25^2+AB25^2)))</f>
        <v>-0.39952787980279664</v>
      </c>
      <c r="AE25" s="572">
        <f>IF(M25="","",AA25*(1/SQRT(Z25^2+AA25^2+AB25^2)))</f>
        <v>-0.86886265882540925</v>
      </c>
      <c r="AF25" s="576">
        <f>IF(M25="","",AB25*(1/SQRT(Z25^2+AA25^2+AB25^2)))</f>
        <v>-0.29232713414789691</v>
      </c>
      <c r="AG25" s="545">
        <f>IF(M25="","",DEGREES(ATAN2(-AF25,AE25)))</f>
        <v>-71.404588207189704</v>
      </c>
      <c r="AH25" s="546">
        <f>IF(M25="","",DEGREES(ACOS(AD25)))</f>
        <v>113.54866728442379</v>
      </c>
      <c r="AI25" s="528">
        <f>IF(M25="","",DEGREES(-ACOS(-AF25)))</f>
        <v>-73.002670370109428</v>
      </c>
      <c r="AJ25" s="529">
        <f>IF(M25="","",DEGREES(ATAN2(-AE25,AD25)))</f>
        <v>-24.694323205907491</v>
      </c>
      <c r="AK25" s="578">
        <f>IF(M25="","",(COS(RADIANS((90-$Q$8)-W25))*AD25)+(-SIN(RADIANS((90-$Q$8)-W25))*AE25))</f>
        <v>0.95630476848795642</v>
      </c>
      <c r="AL25" s="572">
        <f>IF(M25="","",(SIN(RADIANS((90-$Q$8)-W25))*AD25)+(COS(RADIANS((90-$Q$8)-W25))*AE25))</f>
        <v>5.1025883699588603E-3</v>
      </c>
      <c r="AM25" s="577">
        <f>IF(M25="","",AF25)</f>
        <v>-0.29232713414789691</v>
      </c>
      <c r="AN25" s="524">
        <f>IF(M25="","",DEGREES(ATAN2(-AM25,AL25)))</f>
        <v>0.99999985561784366</v>
      </c>
      <c r="AO25" s="525">
        <f>IF(ROUND(IF(M25="",0,DEGREES(ACOS(AK25))),4)=90,0,IF(M25="","",DEGREES(ACOS(AK25))))</f>
        <v>16.999997545504069</v>
      </c>
      <c r="AP25" s="528">
        <f>IF(M25="","",DEGREES(ATAN2(AK25,AL25)))</f>
        <v>0.30571216771078802</v>
      </c>
      <c r="AQ25" s="529">
        <f t="shared" si="13"/>
        <v>1.2076836556203625</v>
      </c>
      <c r="AR25" s="979"/>
      <c r="AS25" s="954">
        <f t="shared" si="147"/>
        <v>-114.30003547468579</v>
      </c>
      <c r="AT25" s="950">
        <f t="shared" si="14"/>
        <v>-6.7939310090020563E-2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3.109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9"/>
        <v>1313</v>
      </c>
      <c r="IM25" s="482" t="str">
        <f t="shared" si="242"/>
        <v/>
      </c>
      <c r="IN25" s="670" t="str">
        <f t="shared" si="81"/>
        <v/>
      </c>
      <c r="IO25" s="702"/>
      <c r="IP25" s="5" t="str">
        <f t="shared" si="82"/>
        <v/>
      </c>
      <c r="IQ25" s="714"/>
      <c r="IR25" s="9" t="str">
        <f t="shared" si="132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  <c r="JM25" s="489">
        <f t="shared" si="133"/>
        <v>9</v>
      </c>
      <c r="JN25" s="960">
        <f>($JO25-SMALL($JO$9:$JO$88,1))/((Settings!$C$19/2)-((Settings!$C$19/2)-LARGE($JO$9:$JO$88,1))-SMALL($JO$9:$JO$88,1))</f>
        <v>0.42455759158870959</v>
      </c>
      <c r="JO25" s="162">
        <f t="shared" si="134"/>
        <v>1.8874056924155687</v>
      </c>
      <c r="JP25" s="961">
        <f t="shared" si="135"/>
        <v>0.99999985561784366</v>
      </c>
      <c r="JQ25" s="961">
        <f t="shared" si="136"/>
        <v>16.999997545504069</v>
      </c>
      <c r="JS25" s="82">
        <v>17</v>
      </c>
      <c r="JT25" s="322">
        <f t="shared" si="137"/>
        <v>2.8896087150598846</v>
      </c>
      <c r="JU25" s="963">
        <f t="shared" si="138"/>
        <v>0.69162488903423092</v>
      </c>
      <c r="JV25" s="961">
        <f t="shared" si="287"/>
        <v>-23.799996563705609</v>
      </c>
      <c r="JW25" s="961">
        <f t="shared" si="92"/>
        <v>20.77999699973962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2.3689790958616732</v>
      </c>
      <c r="KD25" s="970">
        <v>-19.035433333333334</v>
      </c>
      <c r="KE25" s="968">
        <f t="shared" si="140"/>
        <v>-21.404412429195006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18.84716480429584</v>
      </c>
      <c r="KG25" s="966">
        <f t="shared" si="244"/>
        <v>-3.998626666666663</v>
      </c>
      <c r="KH25" s="966">
        <f t="shared" si="141"/>
        <v>0.65537327905856912</v>
      </c>
      <c r="KJ25" s="31"/>
    </row>
    <row r="26" spans="1:296" ht="15" customHeight="1" x14ac:dyDescent="0.25">
      <c r="A26" s="75">
        <f t="shared" si="1"/>
        <v>0</v>
      </c>
      <c r="B26" s="578">
        <f t="shared" ref="B26:D26" si="292">IFERROR(O181+($A26*-E26),"")</f>
        <v>2.3030180112597978</v>
      </c>
      <c r="C26" s="572">
        <f t="shared" si="292"/>
        <v>-1.0955260664630306</v>
      </c>
      <c r="D26" s="576">
        <f t="shared" si="292"/>
        <v>-0.10020030220411177</v>
      </c>
      <c r="E26" s="580">
        <f t="shared" ref="E26:K26" si="293">R181</f>
        <v>0.47546278269233516</v>
      </c>
      <c r="F26" s="572">
        <f t="shared" si="293"/>
        <v>0.81986047172618137</v>
      </c>
      <c r="G26" s="579">
        <f t="shared" si="293"/>
        <v>0.31900462249845984</v>
      </c>
      <c r="H26" s="580">
        <f t="shared" si="293"/>
        <v>0.26450000000000001</v>
      </c>
      <c r="I26" s="572">
        <f t="shared" si="293"/>
        <v>0.52</v>
      </c>
      <c r="J26" s="483">
        <f t="shared" si="94"/>
        <v>3.1139999999999999</v>
      </c>
      <c r="K26" s="806">
        <f t="shared" si="293"/>
        <v>1313</v>
      </c>
      <c r="L26" s="309"/>
      <c r="M26" s="164">
        <f t="shared" si="4"/>
        <v>3.1139999999999999</v>
      </c>
      <c r="N26" s="575">
        <f t="shared" si="5"/>
        <v>2.3030180112597978</v>
      </c>
      <c r="O26" s="572">
        <f t="shared" si="6"/>
        <v>-1.0955260664630306</v>
      </c>
      <c r="P26" s="576">
        <f t="shared" si="7"/>
        <v>-0.10020030220411177</v>
      </c>
      <c r="Q26" s="528">
        <f t="shared" si="144"/>
        <v>334.55996468990986</v>
      </c>
      <c r="R26" s="572">
        <f>IF(M26="","",SQRT(N26^2+O26^2))</f>
        <v>2.550307691727999</v>
      </c>
      <c r="S26" s="577">
        <f>IF(M26="","",P26)</f>
        <v>-0.10020030220411177</v>
      </c>
      <c r="T26" s="578">
        <f>IF(M26="","",X26*COS(RADIANS(W26)))</f>
        <v>-1.0673083380992952</v>
      </c>
      <c r="U26" s="572">
        <f>IF(M26="","",X26*SIN(RADIANS(W26)))</f>
        <v>-2.3162301772299561</v>
      </c>
      <c r="V26" s="579">
        <f>IF(M26="","",Y26)</f>
        <v>-0.10020030220411177</v>
      </c>
      <c r="W26" s="528">
        <f t="shared" si="268"/>
        <v>245.25996458884237</v>
      </c>
      <c r="X26" s="572">
        <f>IF(M26="","",R26)</f>
        <v>2.550307691727999</v>
      </c>
      <c r="Y26" s="573">
        <f t="shared" si="271"/>
        <v>-0.10020030220411177</v>
      </c>
      <c r="Z26" s="575">
        <f t="shared" si="10"/>
        <v>-0.47546278269233516</v>
      </c>
      <c r="AA26" s="572">
        <f t="shared" si="11"/>
        <v>-0.81986047172618137</v>
      </c>
      <c r="AB26" s="572">
        <f t="shared" si="12"/>
        <v>-0.31900462249845984</v>
      </c>
      <c r="AC26" s="579">
        <f>IF(M26="","",SQRT(Z26^2+AA26^2+AB26^2))</f>
        <v>1</v>
      </c>
      <c r="AD26" s="580">
        <f>IF(M26="","",Z26*(1/SQRT(Z26^2+AA26^2+AB26^2)))</f>
        <v>-0.47546278269233516</v>
      </c>
      <c r="AE26" s="572">
        <f>IF(M26="","",AA26*(1/SQRT(Z26^2+AA26^2+AB26^2)))</f>
        <v>-0.81986047172618137</v>
      </c>
      <c r="AF26" s="576">
        <f>IF(M26="","",AB26*(1/SQRT(Z26^2+AA26^2+AB26^2)))</f>
        <v>-0.31900462249845984</v>
      </c>
      <c r="AG26" s="545">
        <f>IF(M26="","",DEGREES(ATAN2(-AF26,AE26)))</f>
        <v>-68.739175826303963</v>
      </c>
      <c r="AH26" s="546">
        <f>IF(M26="","",DEGREES(ACOS(AD26)))</f>
        <v>118.38948603831874</v>
      </c>
      <c r="AI26" s="528">
        <f>IF(M26="","",DEGREES(-ACOS(-AF26)))</f>
        <v>-71.397260643001687</v>
      </c>
      <c r="AJ26" s="529">
        <f>IF(M26="","",DEGREES(ATAN2(-AE26,AD26)))</f>
        <v>-30.110789424743238</v>
      </c>
      <c r="AK26" s="578">
        <f>IF(M26="","",(COS(RADIANS((90-$Q$8)-W26))*AD26)+(-SIN(RADIANS((90-$Q$8)-W26))*AE26))</f>
        <v>0.94460574815800868</v>
      </c>
      <c r="AL26" s="572">
        <f>IF(M26="","",(SIN(RADIANS((90-$Q$8)-W26))*AD26)+(COS(RADIANS((90-$Q$8)-W26))*AE26))</f>
        <v>-7.7175328774577667E-2</v>
      </c>
      <c r="AM26" s="577">
        <f>IF(M26="","",AF26)</f>
        <v>-0.31900462249845984</v>
      </c>
      <c r="AN26" s="524">
        <f>IF(M26="","",DEGREES(ATAN2(-AM26,AL26)))</f>
        <v>-13.59999803640318</v>
      </c>
      <c r="AO26" s="525">
        <f t="shared" si="110"/>
        <v>19.159997233638627</v>
      </c>
      <c r="AP26" s="528">
        <f>IF(M26="","",DEGREES(ATAN2(AK26,AL26)))</f>
        <v>-4.6707541146530804</v>
      </c>
      <c r="AQ26" s="529">
        <f t="shared" si="13"/>
        <v>0.89383006542299503</v>
      </c>
      <c r="AR26" s="979"/>
      <c r="AS26" s="954">
        <f t="shared" si="147"/>
        <v>-114.74003541115763</v>
      </c>
      <c r="AT26" s="950">
        <f t="shared" si="14"/>
        <v>-2.0033611016549172E-2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3.1139999999999999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9"/>
        <v>1313</v>
      </c>
      <c r="IM26" s="482" t="str">
        <f t="shared" si="242"/>
        <v/>
      </c>
      <c r="IN26" s="670" t="str">
        <f t="shared" si="81"/>
        <v/>
      </c>
      <c r="IO26" s="702"/>
      <c r="IP26" s="5" t="str">
        <f t="shared" si="82"/>
        <v/>
      </c>
      <c r="IQ26" s="714"/>
      <c r="IR26" s="9" t="str">
        <f t="shared" si="132"/>
        <v/>
      </c>
      <c r="IS26" s="5" t="str">
        <f t="shared" si="83"/>
        <v/>
      </c>
      <c r="IT26" s="5" t="str">
        <f t="shared" si="84"/>
        <v/>
      </c>
      <c r="IU26" s="5" t="str">
        <f t="shared" si="85"/>
        <v/>
      </c>
      <c r="IV26" s="670" t="str">
        <f t="shared" si="86"/>
        <v/>
      </c>
      <c r="IW26" s="9" t="str">
        <f t="shared" si="87"/>
        <v/>
      </c>
      <c r="IX26" s="5" t="str">
        <f t="shared" si="88"/>
        <v/>
      </c>
      <c r="IY26" s="5" t="str">
        <f t="shared" si="89"/>
        <v/>
      </c>
      <c r="IZ26" s="5" t="str">
        <f t="shared" si="90"/>
        <v/>
      </c>
      <c r="JA26" s="705" t="str">
        <f t="shared" si="91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14</v>
      </c>
      <c r="JN26" s="960">
        <f>($JO26-SMALL($JO$9:$JO$88,1))/((Settings!$C$19/2)-((Settings!$C$19/2)-LARGE($JO$9:$JO$88,1))-SMALL($JO$9:$JO$88,1))</f>
        <v>0.60120787244745655</v>
      </c>
      <c r="JO26" s="162">
        <f t="shared" si="134"/>
        <v>2.550307691727999</v>
      </c>
      <c r="JP26" s="961">
        <f t="shared" si="135"/>
        <v>-13.59999803640318</v>
      </c>
      <c r="JQ26" s="961">
        <f t="shared" si="136"/>
        <v>19.159997233638627</v>
      </c>
      <c r="JS26" s="82">
        <v>18</v>
      </c>
      <c r="JT26" s="322">
        <f t="shared" si="137"/>
        <v>2.9985090435032751</v>
      </c>
      <c r="JU26" s="963">
        <f t="shared" si="138"/>
        <v>0.72064467419868627</v>
      </c>
      <c r="JV26" s="961">
        <f>INDEX($JM$9:$JQ$88,MATCH($JS26,$JM$9:$JM$88,0),4)</f>
        <v>-27.199996072806432</v>
      </c>
      <c r="JW26" s="961">
        <f t="shared" si="92"/>
        <v>21.319996921773289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-10.018221145501453</v>
      </c>
      <c r="KD26" s="970">
        <v>-23.03406</v>
      </c>
      <c r="KE26" s="968">
        <f t="shared" si="140"/>
        <v>-13.015838854498547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19.496204765841739</v>
      </c>
      <c r="KG26" s="966">
        <f t="shared" si="244"/>
        <v>-3.9986266666666666</v>
      </c>
      <c r="KH26" s="966">
        <f t="shared" si="141"/>
        <v>0.64903996154589905</v>
      </c>
      <c r="KJ26" s="31"/>
    </row>
    <row r="27" spans="1:296" ht="15" customHeight="1" x14ac:dyDescent="0.25">
      <c r="A27" s="75">
        <f t="shared" si="1"/>
        <v>0</v>
      </c>
      <c r="B27" s="578">
        <f t="shared" ref="B27:D27" si="294">IFERROR(O182+($A27*-E27),"")</f>
        <v>2.8747286264005139</v>
      </c>
      <c r="C27" s="572">
        <f t="shared" si="294"/>
        <v>-1.4195332113859291</v>
      </c>
      <c r="D27" s="576">
        <f t="shared" si="294"/>
        <v>-0.30900093194681089</v>
      </c>
      <c r="E27" s="580">
        <f t="shared" ref="E27:K27" si="295">R182</f>
        <v>0.60041767410307045</v>
      </c>
      <c r="F27" s="572">
        <f t="shared" si="295"/>
        <v>0.73463741893975021</v>
      </c>
      <c r="G27" s="579">
        <f t="shared" si="295"/>
        <v>0.31592163477388069</v>
      </c>
      <c r="H27" s="580">
        <f t="shared" si="295"/>
        <v>0.26450000000000001</v>
      </c>
      <c r="I27" s="572">
        <f t="shared" si="295"/>
        <v>0.52</v>
      </c>
      <c r="J27" s="483">
        <f t="shared" si="94"/>
        <v>3.12</v>
      </c>
      <c r="K27" s="806">
        <f t="shared" si="295"/>
        <v>1313</v>
      </c>
      <c r="L27" s="309"/>
      <c r="M27" s="164">
        <f t="shared" si="4"/>
        <v>3.12</v>
      </c>
      <c r="N27" s="575">
        <f t="shared" si="5"/>
        <v>2.8747286264005139</v>
      </c>
      <c r="O27" s="572">
        <f t="shared" si="6"/>
        <v>-1.4195332113859291</v>
      </c>
      <c r="P27" s="576">
        <f t="shared" si="7"/>
        <v>-0.30900093194681089</v>
      </c>
      <c r="Q27" s="528">
        <f t="shared" si="144"/>
        <v>333.71996481119083</v>
      </c>
      <c r="R27" s="572">
        <f t="shared" si="95"/>
        <v>3.2061096696267635</v>
      </c>
      <c r="S27" s="577">
        <f t="shared" si="96"/>
        <v>-0.30900093194681089</v>
      </c>
      <c r="T27" s="578">
        <f t="shared" si="97"/>
        <v>-1.3843067142116428</v>
      </c>
      <c r="U27" s="572">
        <f t="shared" si="98"/>
        <v>-2.8918565204143167</v>
      </c>
      <c r="V27" s="579">
        <f t="shared" si="145"/>
        <v>-0.30900093194681089</v>
      </c>
      <c r="W27" s="528">
        <f t="shared" si="268"/>
        <v>244.41996471012334</v>
      </c>
      <c r="X27" s="572">
        <f t="shared" si="99"/>
        <v>3.2061096696267635</v>
      </c>
      <c r="Y27" s="573">
        <f t="shared" si="271"/>
        <v>-0.30900093194681089</v>
      </c>
      <c r="Z27" s="575">
        <f t="shared" si="10"/>
        <v>-0.60041767410307045</v>
      </c>
      <c r="AA27" s="572">
        <f t="shared" si="11"/>
        <v>-0.73463741893975021</v>
      </c>
      <c r="AB27" s="572">
        <f t="shared" si="12"/>
        <v>-0.31592163477388069</v>
      </c>
      <c r="AC27" s="579">
        <f t="shared" si="100"/>
        <v>1</v>
      </c>
      <c r="AD27" s="580">
        <f t="shared" si="146"/>
        <v>-0.60041767410307045</v>
      </c>
      <c r="AE27" s="572">
        <f t="shared" si="101"/>
        <v>-0.73463741893975021</v>
      </c>
      <c r="AF27" s="576">
        <f t="shared" si="102"/>
        <v>-0.31592163477388069</v>
      </c>
      <c r="AG27" s="545">
        <f t="shared" si="103"/>
        <v>-66.73048218529415</v>
      </c>
      <c r="AH27" s="546">
        <f t="shared" si="104"/>
        <v>126.89981721029258</v>
      </c>
      <c r="AI27" s="528">
        <f t="shared" si="105"/>
        <v>-71.583538996254816</v>
      </c>
      <c r="AJ27" s="529">
        <f t="shared" si="106"/>
        <v>-39.259059533099418</v>
      </c>
      <c r="AK27" s="578">
        <f t="shared" si="247"/>
        <v>0.92454605512248866</v>
      </c>
      <c r="AL27" s="572">
        <f t="shared" si="107"/>
        <v>-0.21309179392750721</v>
      </c>
      <c r="AM27" s="577">
        <f t="shared" si="108"/>
        <v>-0.31592163477388069</v>
      </c>
      <c r="AN27" s="524">
        <f t="shared" si="109"/>
        <v>-33.99999509100796</v>
      </c>
      <c r="AO27" s="525">
        <f t="shared" si="110"/>
        <v>22.399996765840548</v>
      </c>
      <c r="AP27" s="528">
        <f t="shared" si="111"/>
        <v>-12.979024344290222</v>
      </c>
      <c r="AQ27" s="529">
        <f t="shared" si="13"/>
        <v>0.71102047034100779</v>
      </c>
      <c r="AR27" s="979"/>
      <c r="AS27" s="954">
        <f t="shared" si="147"/>
        <v>-115.58003528987666</v>
      </c>
      <c r="AT27" s="950">
        <f t="shared" si="14"/>
        <v>-0.22825090751013785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3.12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9"/>
        <v>1313</v>
      </c>
      <c r="IM27" s="482" t="str">
        <f t="shared" si="242"/>
        <v/>
      </c>
      <c r="IN27" s="670" t="str">
        <f t="shared" si="81"/>
        <v/>
      </c>
      <c r="IO27" s="702"/>
      <c r="IP27" s="5" t="str">
        <f t="shared" si="82"/>
        <v/>
      </c>
      <c r="IQ27" s="714"/>
      <c r="IR27" s="9" t="str">
        <f t="shared" si="132"/>
        <v/>
      </c>
      <c r="IS27" s="5" t="str">
        <f t="shared" si="83"/>
        <v/>
      </c>
      <c r="IT27" s="5" t="str">
        <f t="shared" si="84"/>
        <v/>
      </c>
      <c r="IU27" s="5" t="str">
        <f t="shared" si="85"/>
        <v/>
      </c>
      <c r="IV27" s="670" t="str">
        <f t="shared" si="86"/>
        <v/>
      </c>
      <c r="IW27" s="9" t="str">
        <f t="shared" si="87"/>
        <v/>
      </c>
      <c r="IX27" s="5" t="str">
        <f t="shared" si="88"/>
        <v/>
      </c>
      <c r="IY27" s="5" t="str">
        <f t="shared" si="89"/>
        <v/>
      </c>
      <c r="IZ27" s="5" t="str">
        <f t="shared" si="90"/>
        <v/>
      </c>
      <c r="JA27" s="705" t="str">
        <f t="shared" si="91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20</v>
      </c>
      <c r="JN27" s="960">
        <f>($JO27-SMALL($JO$9:$JO$88,1))/((Settings!$C$19/2)-((Settings!$C$19/2)-LARGE($JO$9:$JO$88,1))-SMALL($JO$9:$JO$88,1))</f>
        <v>0.77596613792817171</v>
      </c>
      <c r="JO27" s="162">
        <f t="shared" si="134"/>
        <v>3.2061096696267635</v>
      </c>
      <c r="JP27" s="961">
        <f t="shared" si="135"/>
        <v>-33.99999509100796</v>
      </c>
      <c r="JQ27" s="961">
        <f t="shared" si="136"/>
        <v>22.399996765840548</v>
      </c>
      <c r="JS27" s="82">
        <v>19</v>
      </c>
      <c r="JT27" s="322">
        <f t="shared" si="137"/>
        <v>3.104109361993836</v>
      </c>
      <c r="JU27" s="963">
        <f t="shared" si="138"/>
        <v>0.74878507193391597</v>
      </c>
      <c r="JV27" s="961">
        <f t="shared" si="287"/>
        <v>-30.599995581907258</v>
      </c>
      <c r="JW27" s="961">
        <f t="shared" si="92"/>
        <v>21.859996843806933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-19.767286485131329</v>
      </c>
      <c r="KD27" s="970">
        <v>-27.032773333333331</v>
      </c>
      <c r="KE27" s="968">
        <f t="shared" si="140"/>
        <v>-7.2654868482020021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20.139507751966054</v>
      </c>
      <c r="KG27" s="966">
        <f t="shared" si="244"/>
        <v>-3.9987133333333311</v>
      </c>
      <c r="KH27" s="966">
        <f t="shared" si="141"/>
        <v>0.64330298612431491</v>
      </c>
      <c r="KJ27" s="31"/>
    </row>
    <row r="28" spans="1:296" ht="15" customHeight="1" x14ac:dyDescent="0.25">
      <c r="A28" s="75">
        <f t="shared" si="1"/>
        <v>0</v>
      </c>
      <c r="B28" s="578">
        <f t="shared" ref="B28:D28" si="296">IFERROR(O183+($A28*-E28),"")</f>
        <v>3.307967562556438</v>
      </c>
      <c r="C28" s="572">
        <f t="shared" si="296"/>
        <v>-1.687678509582589</v>
      </c>
      <c r="D28" s="576">
        <f t="shared" si="296"/>
        <v>-0.77400233439104071</v>
      </c>
      <c r="E28" s="580">
        <f t="shared" ref="E28:K28" si="297">R183</f>
        <v>0.72311625031402949</v>
      </c>
      <c r="F28" s="572">
        <f t="shared" si="297"/>
        <v>0.64315826612563565</v>
      </c>
      <c r="G28" s="579">
        <f t="shared" si="297"/>
        <v>0.25189349583910287</v>
      </c>
      <c r="H28" s="580">
        <f t="shared" si="297"/>
        <v>0.26450000000000001</v>
      </c>
      <c r="I28" s="572">
        <f t="shared" si="297"/>
        <v>0.52</v>
      </c>
      <c r="J28" s="483">
        <f t="shared" si="94"/>
        <v>3.1259999999999999</v>
      </c>
      <c r="K28" s="806">
        <f t="shared" si="297"/>
        <v>1313</v>
      </c>
      <c r="L28" s="309"/>
      <c r="M28" s="164">
        <f t="shared" si="4"/>
        <v>3.1259999999999999</v>
      </c>
      <c r="N28" s="575">
        <f t="shared" si="5"/>
        <v>3.307967562556438</v>
      </c>
      <c r="O28" s="572">
        <f t="shared" si="6"/>
        <v>-1.687678509582589</v>
      </c>
      <c r="P28" s="576">
        <f t="shared" si="7"/>
        <v>-0.77400233439104071</v>
      </c>
      <c r="Q28" s="528">
        <f t="shared" si="144"/>
        <v>332.96996491947743</v>
      </c>
      <c r="R28" s="572">
        <f t="shared" si="95"/>
        <v>3.7136112002513793</v>
      </c>
      <c r="S28" s="577">
        <f t="shared" si="96"/>
        <v>-0.77400233439104071</v>
      </c>
      <c r="T28" s="578">
        <f t="shared" si="97"/>
        <v>-1.6471391209587098</v>
      </c>
      <c r="U28" s="572">
        <f t="shared" si="98"/>
        <v>-3.32833905466974</v>
      </c>
      <c r="V28" s="579">
        <f t="shared" si="145"/>
        <v>-0.77400233439104071</v>
      </c>
      <c r="W28" s="528">
        <f t="shared" si="268"/>
        <v>243.66996481840994</v>
      </c>
      <c r="X28" s="572">
        <f t="shared" si="99"/>
        <v>3.7136112002513793</v>
      </c>
      <c r="Y28" s="573">
        <f t="shared" si="271"/>
        <v>-0.77400233439104071</v>
      </c>
      <c r="Z28" s="575">
        <f t="shared" si="10"/>
        <v>-0.72311625031402949</v>
      </c>
      <c r="AA28" s="572">
        <f t="shared" si="11"/>
        <v>-0.64315826612563565</v>
      </c>
      <c r="AB28" s="572">
        <f t="shared" si="12"/>
        <v>-0.25189349583910287</v>
      </c>
      <c r="AC28" s="579">
        <f t="shared" si="100"/>
        <v>1</v>
      </c>
      <c r="AD28" s="580">
        <f t="shared" si="146"/>
        <v>-0.72311625031402949</v>
      </c>
      <c r="AE28" s="572">
        <f t="shared" si="101"/>
        <v>-0.64315826612563565</v>
      </c>
      <c r="AF28" s="576">
        <f t="shared" si="102"/>
        <v>-0.25189349583910287</v>
      </c>
      <c r="AG28" s="545">
        <f t="shared" si="103"/>
        <v>-68.61216177730897</v>
      </c>
      <c r="AH28" s="546">
        <f t="shared" si="104"/>
        <v>136.31236681946314</v>
      </c>
      <c r="AI28" s="528">
        <f t="shared" si="105"/>
        <v>-75.410412152131642</v>
      </c>
      <c r="AJ28" s="529">
        <f t="shared" si="106"/>
        <v>-48.349279802191404</v>
      </c>
      <c r="AK28" s="578">
        <f t="shared" si="247"/>
        <v>0.90153068185811946</v>
      </c>
      <c r="AL28" s="572">
        <f t="shared" si="107"/>
        <v>-0.35184101014860431</v>
      </c>
      <c r="AM28" s="577">
        <f t="shared" si="108"/>
        <v>-0.25189349583910287</v>
      </c>
      <c r="AN28" s="524">
        <f t="shared" si="109"/>
        <v>-54.399992145612913</v>
      </c>
      <c r="AO28" s="525">
        <f t="shared" si="110"/>
        <v>25.639996298042533</v>
      </c>
      <c r="AP28" s="528">
        <f t="shared" si="111"/>
        <v>-21.319244721668852</v>
      </c>
      <c r="AQ28" s="529">
        <f t="shared" si="13"/>
        <v>0.61386054716078953</v>
      </c>
      <c r="AR28" s="979"/>
      <c r="AS28" s="954">
        <f t="shared" si="147"/>
        <v>-116.33003518159006</v>
      </c>
      <c r="AT28" s="950">
        <f t="shared" si="14"/>
        <v>-0.69273147669623336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3.1259999999999999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>IF(ISNUMBER($IK28),INDEX($K$9:$K$150,MATCH($IK28,$M$9:$M$150,0)),$K28)</f>
        <v>1313</v>
      </c>
      <c r="IM28" s="482" t="str">
        <f t="shared" si="242"/>
        <v/>
      </c>
      <c r="IN28" s="670" t="str">
        <f t="shared" si="81"/>
        <v/>
      </c>
      <c r="IO28" s="702"/>
      <c r="IP28" s="5" t="str">
        <f t="shared" si="82"/>
        <v/>
      </c>
      <c r="IQ28" s="714"/>
      <c r="IR28" s="9" t="str">
        <f t="shared" si="132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26</v>
      </c>
      <c r="JN28" s="960">
        <f>($JO28-SMALL($JO$9:$JO$88,1))/((Settings!$C$19/2)-((Settings!$C$19/2)-LARGE($JO$9:$JO$88,1))-SMALL($JO$9:$JO$88,1))</f>
        <v>0.91120526530155221</v>
      </c>
      <c r="JO28" s="162">
        <f t="shared" si="134"/>
        <v>3.7136112002513793</v>
      </c>
      <c r="JP28" s="961">
        <f t="shared" si="135"/>
        <v>-54.399992145612913</v>
      </c>
      <c r="JQ28" s="961">
        <f t="shared" si="136"/>
        <v>25.639996298042533</v>
      </c>
      <c r="JS28" s="82">
        <v>20</v>
      </c>
      <c r="JT28" s="322">
        <f t="shared" si="137"/>
        <v>3.2061096696267635</v>
      </c>
      <c r="JU28" s="963">
        <f t="shared" si="138"/>
        <v>0.77596613792817171</v>
      </c>
      <c r="JV28" s="961">
        <f t="shared" si="287"/>
        <v>-33.99999509100796</v>
      </c>
      <c r="JW28" s="961">
        <f t="shared" si="92"/>
        <v>22.399996765840548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-23.756951565727231</v>
      </c>
      <c r="KD28" s="970">
        <v>-30.969086666666662</v>
      </c>
      <c r="KE28" s="968">
        <f t="shared" si="140"/>
        <v>-7.212135100939431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20.77316044123717</v>
      </c>
      <c r="KG28" s="966">
        <f t="shared" si="244"/>
        <v>-3.9363133333333309</v>
      </c>
      <c r="KH28" s="966">
        <f t="shared" si="141"/>
        <v>0.63365268927111629</v>
      </c>
      <c r="KJ28" s="31"/>
    </row>
    <row r="29" spans="1:296" ht="15" customHeight="1" x14ac:dyDescent="0.25">
      <c r="A29" s="75">
        <f t="shared" si="1"/>
        <v>0</v>
      </c>
      <c r="B29" s="578">
        <f t="shared" ref="B29:D29" si="298">IFERROR(O184+($A29*-E29),"")</f>
        <v>3.5327689136257336</v>
      </c>
      <c r="C29" s="572">
        <f t="shared" si="298"/>
        <v>-1.8304340291404895</v>
      </c>
      <c r="D29" s="576">
        <f t="shared" si="298"/>
        <v>-1.4090042495568167</v>
      </c>
      <c r="E29" s="580">
        <f t="shared" ref="E29:K29" si="299">R184</f>
        <v>0.81666169579427772</v>
      </c>
      <c r="F29" s="572">
        <f t="shared" si="299"/>
        <v>0.5630525513583915</v>
      </c>
      <c r="G29" s="579">
        <f t="shared" si="299"/>
        <v>0.12663135090182259</v>
      </c>
      <c r="H29" s="580">
        <f t="shared" si="299"/>
        <v>0.26450000000000001</v>
      </c>
      <c r="I29" s="572">
        <f t="shared" si="299"/>
        <v>0.52</v>
      </c>
      <c r="J29" s="483">
        <f t="shared" si="94"/>
        <v>3.1320000000000001</v>
      </c>
      <c r="K29" s="806">
        <f t="shared" si="299"/>
        <v>1313</v>
      </c>
      <c r="L29" s="82"/>
      <c r="M29" s="164">
        <f t="shared" si="4"/>
        <v>3.1320000000000001</v>
      </c>
      <c r="N29" s="575">
        <f t="shared" si="5"/>
        <v>3.5327689136257336</v>
      </c>
      <c r="O29" s="572">
        <f t="shared" si="6"/>
        <v>-1.8304340291404895</v>
      </c>
      <c r="P29" s="576">
        <f t="shared" si="7"/>
        <v>-1.4090042495568167</v>
      </c>
      <c r="Q29" s="528">
        <f t="shared" si="144"/>
        <v>332.60996497145499</v>
      </c>
      <c r="R29" s="572">
        <f>IF(M29="","",SQRT(N29^2+O29^2))</f>
        <v>3.9788120000969931</v>
      </c>
      <c r="S29" s="577">
        <f>IF(M29="","",P29)</f>
        <v>-1.4090042495568167</v>
      </c>
      <c r="T29" s="578">
        <f>IF(M29="","",X29*COS(RADIANS(W29)))</f>
        <v>-1.787137588729522</v>
      </c>
      <c r="U29" s="572">
        <f>IF(M29="","",X29*SIN(RADIANS(W29)))</f>
        <v>-3.5548676727925983</v>
      </c>
      <c r="V29" s="579">
        <f>IF(M29="","",Y29)</f>
        <v>-1.4090042495568167</v>
      </c>
      <c r="W29" s="528">
        <f t="shared" si="268"/>
        <v>243.30996487038749</v>
      </c>
      <c r="X29" s="572">
        <f>IF(M29="","",R29)</f>
        <v>3.9788120000969931</v>
      </c>
      <c r="Y29" s="573">
        <f t="shared" si="271"/>
        <v>-1.4090042495568167</v>
      </c>
      <c r="Z29" s="575">
        <f t="shared" si="10"/>
        <v>-0.81666169579427772</v>
      </c>
      <c r="AA29" s="572">
        <f t="shared" si="11"/>
        <v>-0.5630525513583915</v>
      </c>
      <c r="AB29" s="572">
        <f t="shared" si="12"/>
        <v>-0.12663135090182259</v>
      </c>
      <c r="AC29" s="579">
        <f>IF(M29="","",SQRT(Z29^2+AA29^2+AB29^2))</f>
        <v>1</v>
      </c>
      <c r="AD29" s="580">
        <f>IF(M29="","",Z29*(1/SQRT(Z29^2+AA29^2+AB29^2)))</f>
        <v>-0.81666169579427772</v>
      </c>
      <c r="AE29" s="572">
        <f>IF(M29="","",AA29*(1/SQRT(Z29^2+AA29^2+AB29^2)))</f>
        <v>-0.5630525513583915</v>
      </c>
      <c r="AF29" s="576">
        <f>IF(M29="","",AB29*(1/SQRT(Z29^2+AA29^2+AB29^2)))</f>
        <v>-0.12663135090182259</v>
      </c>
      <c r="AG29" s="545">
        <f>IF(M29="","",DEGREES(ATAN2(-AF29,AE29)))</f>
        <v>-77.324989522407762</v>
      </c>
      <c r="AH29" s="546">
        <f>IF(M29="","",DEGREES(ACOS(AD29)))</f>
        <v>144.75199949987748</v>
      </c>
      <c r="AI29" s="528">
        <f>IF(M29="","",DEGREES(-ACOS(-AF29)))</f>
        <v>-82.725025993569602</v>
      </c>
      <c r="AJ29" s="529">
        <f>IF(M29="","",DEGREES(ATAN2(-AE29,AD29)))</f>
        <v>-55.415433870101879</v>
      </c>
      <c r="AK29" s="578">
        <f>IF(M29="","",(COS(RADIANS((90-$Q$8)-W29))*AD29)+(-SIN(RADIANS((90-$Q$8)-W29))*AE29))</f>
        <v>0.87563320618543372</v>
      </c>
      <c r="AL29" s="572">
        <f>IF(M29="","",(SIN(RADIANS((90-$Q$8)-W29))*AD29)+(COS(RADIANS((90-$Q$8)-W29))*AE29))</f>
        <v>-0.46608045356375677</v>
      </c>
      <c r="AM29" s="577">
        <f>IF(M29="","",AF29)</f>
        <v>-0.12663135090182259</v>
      </c>
      <c r="AN29" s="524">
        <f>IF(M29="","",DEGREES(ATAN2(-AM29,AL29)))</f>
        <v>-74.799989200217738</v>
      </c>
      <c r="AO29" s="525">
        <f t="shared" si="110"/>
        <v>28.879995830244454</v>
      </c>
      <c r="AP29" s="528">
        <f>IF(M29="","",DEGREES(ATAN2(AK29,AL29)))</f>
        <v>-28.025398841556832</v>
      </c>
      <c r="AQ29" s="529">
        <f t="shared" si="13"/>
        <v>0.57294756405092173</v>
      </c>
      <c r="AR29" s="979"/>
      <c r="AS29" s="954">
        <f t="shared" si="147"/>
        <v>-116.69003512961251</v>
      </c>
      <c r="AT29" s="950">
        <f t="shared" si="14"/>
        <v>-1.3274833918981048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3.1320000000000001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79"/>
        <v>1313</v>
      </c>
      <c r="IM29" s="482" t="str">
        <f t="shared" si="242"/>
        <v/>
      </c>
      <c r="IN29" s="670" t="str">
        <f t="shared" si="81"/>
        <v/>
      </c>
      <c r="IO29" s="702">
        <v>8.8745372694144196E-3</v>
      </c>
      <c r="IP29" s="5" t="str">
        <f t="shared" si="82"/>
        <v/>
      </c>
      <c r="IQ29" s="714">
        <v>140</v>
      </c>
      <c r="IR29" s="9" t="str">
        <f t="shared" si="132"/>
        <v/>
      </c>
      <c r="IS29" s="5" t="str">
        <f t="shared" si="83"/>
        <v/>
      </c>
      <c r="IT29" s="5" t="str">
        <f t="shared" si="84"/>
        <v/>
      </c>
      <c r="IU29" s="5" t="str">
        <f t="shared" si="85"/>
        <v/>
      </c>
      <c r="IV29" s="670" t="str">
        <f t="shared" si="86"/>
        <v/>
      </c>
      <c r="IW29" s="9" t="str">
        <f t="shared" si="87"/>
        <v/>
      </c>
      <c r="IX29" s="5" t="str">
        <f t="shared" si="88"/>
        <v/>
      </c>
      <c r="IY29" s="5" t="str">
        <f t="shared" si="89"/>
        <v/>
      </c>
      <c r="IZ29" s="5" t="str">
        <f t="shared" si="90"/>
        <v/>
      </c>
      <c r="JA29" s="705" t="str">
        <f t="shared" si="91"/>
        <v/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  <c r="JM29" s="489">
        <f t="shared" si="133"/>
        <v>32</v>
      </c>
      <c r="JN29" s="960">
        <f>($JO29-SMALL($JO$9:$JO$88,1))/((Settings!$C$19/2)-((Settings!$C$19/2)-LARGE($JO$9:$JO$88,1))-SMALL($JO$9:$JO$88,1))</f>
        <v>0.98187603688661773</v>
      </c>
      <c r="JO29" s="162">
        <f t="shared" si="134"/>
        <v>3.9788120000969931</v>
      </c>
      <c r="JP29" s="961">
        <f t="shared" si="135"/>
        <v>-74.799989200217738</v>
      </c>
      <c r="JQ29" s="961">
        <f t="shared" si="136"/>
        <v>28.879995830244454</v>
      </c>
      <c r="JS29" s="82">
        <v>21</v>
      </c>
      <c r="JT29" s="322">
        <f t="shared" si="137"/>
        <v>3.3040099648940542</v>
      </c>
      <c r="JU29" s="963">
        <f t="shared" si="138"/>
        <v>0.80205463166187418</v>
      </c>
      <c r="JV29" s="961">
        <f t="shared" si="287"/>
        <v>-37.399994600108911</v>
      </c>
      <c r="JW29" s="961">
        <f t="shared" si="92"/>
        <v>22.939996687874267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-27.678706042998073</v>
      </c>
      <c r="KD29" s="970">
        <v>-34.905486666666668</v>
      </c>
      <c r="KE29" s="968">
        <f t="shared" si="140"/>
        <v>-7.2267806236685956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21.396027328803722</v>
      </c>
      <c r="KG29" s="966">
        <f t="shared" si="244"/>
        <v>-3.9364000000000061</v>
      </c>
      <c r="KH29" s="966">
        <f t="shared" si="141"/>
        <v>0.62286688756655195</v>
      </c>
      <c r="KJ29" s="31"/>
    </row>
    <row r="30" spans="1:296" ht="15" customHeight="1" x14ac:dyDescent="0.25">
      <c r="A30" s="75">
        <f t="shared" si="1"/>
        <v>0</v>
      </c>
      <c r="B30" s="578">
        <f t="shared" ref="B30:D30" si="300">IFERROR(O185+($A30*-E30),"")</f>
        <v>3.5921815324417627</v>
      </c>
      <c r="C30" s="572">
        <f t="shared" si="300"/>
        <v>-1.8636039403957785</v>
      </c>
      <c r="D30" s="576">
        <f t="shared" si="300"/>
        <v>-2.1784065700742148</v>
      </c>
      <c r="E30" s="580">
        <f t="shared" ref="E30:K30" si="301">R185</f>
        <v>0.84559327897702019</v>
      </c>
      <c r="F30" s="572">
        <f t="shared" si="301"/>
        <v>0.53199179749749748</v>
      </c>
      <c r="G30" s="579">
        <f t="shared" si="301"/>
        <v>4.4234985523600237E-2</v>
      </c>
      <c r="H30" s="580">
        <f t="shared" si="301"/>
        <v>0.26450000000000001</v>
      </c>
      <c r="I30" s="572">
        <f t="shared" si="301"/>
        <v>0.52</v>
      </c>
      <c r="J30" s="483">
        <f t="shared" si="94"/>
        <v>3.1379999999999999</v>
      </c>
      <c r="K30" s="806">
        <f t="shared" si="301"/>
        <v>1313</v>
      </c>
      <c r="L30" s="82"/>
      <c r="M30" s="164">
        <f t="shared" si="4"/>
        <v>3.1379999999999999</v>
      </c>
      <c r="N30" s="575">
        <f t="shared" si="5"/>
        <v>3.5921815324417627</v>
      </c>
      <c r="O30" s="572">
        <f t="shared" si="6"/>
        <v>-1.8636039403957785</v>
      </c>
      <c r="P30" s="576">
        <f t="shared" si="7"/>
        <v>-2.1784065700742148</v>
      </c>
      <c r="Q30" s="528">
        <f t="shared" si="144"/>
        <v>332.57996497578642</v>
      </c>
      <c r="R30" s="572">
        <f>IF(M30="","",SQRT(N30^2+O30^2))</f>
        <v>4.0468244104080329</v>
      </c>
      <c r="S30" s="577">
        <f>IF(M30="","",P30)</f>
        <v>-2.1784065700742148</v>
      </c>
      <c r="T30" s="578">
        <f>IF(M30="","",X30*COS(RADIANS(W30)))</f>
        <v>-1.8195791805948787</v>
      </c>
      <c r="U30" s="572">
        <f>IF(M30="","",X30*SIN(RADIANS(W30)))</f>
        <v>-3.6146810944009977</v>
      </c>
      <c r="V30" s="579">
        <f>IF(M30="","",Y30)</f>
        <v>-2.1784065700742148</v>
      </c>
      <c r="W30" s="528">
        <f t="shared" si="268"/>
        <v>243.27996487471893</v>
      </c>
      <c r="X30" s="572">
        <f>IF(M30="","",R30)</f>
        <v>4.0468244104080329</v>
      </c>
      <c r="Y30" s="573">
        <f t="shared" si="271"/>
        <v>-2.1784065700742148</v>
      </c>
      <c r="Z30" s="575">
        <f t="shared" si="10"/>
        <v>-0.84559327897702019</v>
      </c>
      <c r="AA30" s="572">
        <f t="shared" si="11"/>
        <v>-0.53199179749749748</v>
      </c>
      <c r="AB30" s="572">
        <f t="shared" si="12"/>
        <v>-4.4234985523600237E-2</v>
      </c>
      <c r="AC30" s="579">
        <f>IF(M30="","",SQRT(Z30^2+AA30^2+AB30^2))</f>
        <v>1</v>
      </c>
      <c r="AD30" s="580">
        <f>IF(M30="","",Z30*(1/SQRT(Z30^2+AA30^2+AB30^2)))</f>
        <v>-0.84559327897702019</v>
      </c>
      <c r="AE30" s="572">
        <f>IF(M30="","",AA30*(1/SQRT(Z30^2+AA30^2+AB30^2)))</f>
        <v>-0.53199179749749748</v>
      </c>
      <c r="AF30" s="576">
        <f>IF(M30="","",AB30*(1/SQRT(Z30^2+AA30^2+AB30^2)))</f>
        <v>-4.4234985523600237E-2</v>
      </c>
      <c r="AG30" s="545">
        <f>IF(M30="","",DEGREES(ATAN2(-AF30,AE30)))</f>
        <v>-85.246804416472415</v>
      </c>
      <c r="AH30" s="546">
        <f>IF(M30="","",DEGREES(ACOS(AD30)))</f>
        <v>147.73555663190305</v>
      </c>
      <c r="AI30" s="528">
        <f>IF(M30="","",DEGREES(-ACOS(-AF30)))</f>
        <v>-87.464694744176228</v>
      </c>
      <c r="AJ30" s="529">
        <f>IF(M30="","",DEGREES(ATAN2(-AE30,AD30)))</f>
        <v>-57.824591017491386</v>
      </c>
      <c r="AK30" s="578">
        <f>IF(M30="","",(COS(RADIANS((90-$Q$8)-W30))*AD30)+(-SIN(RADIANS((90-$Q$8)-W30))*AE30))</f>
        <v>0.86162919945004424</v>
      </c>
      <c r="AL30" s="572">
        <f>IF(M30="","",(SIN(RADIANS((90-$Q$8)-W30))*AD30)+(COS(RADIANS((90-$Q$8)-W30))*AE30))</f>
        <v>-0.50560695081337936</v>
      </c>
      <c r="AM30" s="577">
        <f>IF(M30="","",AF30)</f>
        <v>-4.4234985523600237E-2</v>
      </c>
      <c r="AN30" s="524">
        <f>IF(M30="","",DEGREES(ATAN2(-AM30,AL30)))</f>
        <v>-84.999987727520178</v>
      </c>
      <c r="AO30" s="525">
        <f>IF(ROUND(IF(M30="",0,DEGREES(ACOS(AK30))),4)=90,0,IF(M30="","",DEGREES(ACOS(AK30))))</f>
        <v>30.499995596345446</v>
      </c>
      <c r="AP30" s="528">
        <f>IF(M30="","",DEGREES(ATAN2(AK30,AL30)))</f>
        <v>-30.4045559932778</v>
      </c>
      <c r="AQ30" s="529">
        <f t="shared" si="13"/>
        <v>0.56331902367347442</v>
      </c>
      <c r="AR30" s="979"/>
      <c r="AS30" s="954">
        <f t="shared" si="147"/>
        <v>-116.72003512528107</v>
      </c>
      <c r="AT30" s="950">
        <f t="shared" si="14"/>
        <v>-2.0968648790851776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3.1379999999999999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79"/>
        <v>1313</v>
      </c>
      <c r="IM30" s="482" t="str">
        <f t="shared" si="242"/>
        <v/>
      </c>
      <c r="IN30" s="670" t="str">
        <f t="shared" si="81"/>
        <v/>
      </c>
      <c r="IO30" s="702">
        <v>7.3513939942956999E-3</v>
      </c>
      <c r="IP30" s="5" t="str">
        <f t="shared" si="82"/>
        <v/>
      </c>
      <c r="IQ30" s="714">
        <v>140</v>
      </c>
      <c r="IR30" s="9" t="str">
        <f t="shared" si="132"/>
        <v/>
      </c>
      <c r="IS30" s="5" t="str">
        <f t="shared" si="83"/>
        <v/>
      </c>
      <c r="IT30" s="5" t="str">
        <f t="shared" si="84"/>
        <v/>
      </c>
      <c r="IU30" s="5" t="str">
        <f t="shared" si="85"/>
        <v/>
      </c>
      <c r="IV30" s="670" t="str">
        <f t="shared" si="86"/>
        <v/>
      </c>
      <c r="IW30" s="9" t="str">
        <f t="shared" si="87"/>
        <v/>
      </c>
      <c r="IX30" s="5" t="str">
        <f t="shared" si="88"/>
        <v/>
      </c>
      <c r="IY30" s="5" t="str">
        <f t="shared" si="89"/>
        <v/>
      </c>
      <c r="IZ30" s="5" t="str">
        <f t="shared" si="90"/>
        <v/>
      </c>
      <c r="JA30" s="705" t="str">
        <f t="shared" si="91"/>
        <v/>
      </c>
      <c r="JC30" s="31" t="s">
        <v>322</v>
      </c>
      <c r="JD30" s="745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  <c r="JM30" s="489">
        <f t="shared" si="133"/>
        <v>38</v>
      </c>
      <c r="JN30" s="960">
        <f>($JO30-SMALL($JO$9:$JO$88,1))/((Settings!$C$19/2)-((Settings!$C$19/2)-LARGE($JO$9:$JO$88,1))-SMALL($JO$9:$JO$88,1))</f>
        <v>0.99999999999999956</v>
      </c>
      <c r="JO30" s="162">
        <f t="shared" si="134"/>
        <v>4.0468244104080329</v>
      </c>
      <c r="JP30" s="961">
        <f t="shared" si="135"/>
        <v>-84.999987727520178</v>
      </c>
      <c r="JQ30" s="961">
        <f t="shared" si="136"/>
        <v>30.499995596345446</v>
      </c>
      <c r="JS30" s="82">
        <v>22</v>
      </c>
      <c r="JT30" s="322">
        <f t="shared" si="137"/>
        <v>3.3972102459861029</v>
      </c>
      <c r="JU30" s="963">
        <f t="shared" si="138"/>
        <v>0.82689066451152771</v>
      </c>
      <c r="JV30" s="961">
        <f t="shared" si="287"/>
        <v>-40.799994109209649</v>
      </c>
      <c r="JW30" s="961">
        <f t="shared" si="92"/>
        <v>23.479996609907896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-31.51994566566702</v>
      </c>
      <c r="KD30" s="970">
        <v>-38.841799999999999</v>
      </c>
      <c r="KE30" s="968">
        <f t="shared" si="140"/>
        <v>-7.3218543343329792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22.006106562992301</v>
      </c>
      <c r="KG30" s="966">
        <f t="shared" si="244"/>
        <v>-3.9363133333333309</v>
      </c>
      <c r="KH30" s="966">
        <f t="shared" si="141"/>
        <v>0.61007923418857857</v>
      </c>
      <c r="KJ30" s="31"/>
    </row>
    <row r="31" spans="1:296" ht="15" customHeight="1" x14ac:dyDescent="0.25">
      <c r="A31" s="75">
        <f t="shared" si="1"/>
        <v>0</v>
      </c>
      <c r="B31" s="578">
        <f t="shared" ref="B31:D31" si="302">IFERROR(O186+($A31*-E31),"")</f>
        <v>2.8897461896091495E-2</v>
      </c>
      <c r="C31" s="572">
        <f t="shared" si="302"/>
        <v>-2.4348358675571888</v>
      </c>
      <c r="D31" s="576">
        <f t="shared" si="302"/>
        <v>-9.3800282901653292E-2</v>
      </c>
      <c r="E31" s="580">
        <f t="shared" ref="E31:K31" si="303">R186</f>
        <v>0.94826129945451565</v>
      </c>
      <c r="F31" s="572">
        <f t="shared" si="303"/>
        <v>-4.529108636518156E-2</v>
      </c>
      <c r="G31" s="579">
        <f t="shared" si="303"/>
        <v>0.31424389485349624</v>
      </c>
      <c r="H31" s="580">
        <f t="shared" si="303"/>
        <v>0.26450000000000001</v>
      </c>
      <c r="I31" s="572">
        <f t="shared" si="303"/>
        <v>0.52</v>
      </c>
      <c r="J31" s="483">
        <f t="shared" si="94"/>
        <v>4.1130000000000004</v>
      </c>
      <c r="K31" s="806">
        <f t="shared" si="303"/>
        <v>1313</v>
      </c>
      <c r="L31" s="309"/>
      <c r="M31" s="164">
        <f t="shared" si="4"/>
        <v>4.1130000000000004</v>
      </c>
      <c r="N31" s="575">
        <f t="shared" si="5"/>
        <v>2.8897461896091495E-2</v>
      </c>
      <c r="O31" s="572">
        <f t="shared" si="6"/>
        <v>-2.4348358675571888</v>
      </c>
      <c r="P31" s="576">
        <f t="shared" si="7"/>
        <v>-9.3800282901653292E-2</v>
      </c>
      <c r="Q31" s="528">
        <f t="shared" si="144"/>
        <v>270.67997391303936</v>
      </c>
      <c r="R31" s="572">
        <f>IF(M31="","",SQRT(N31^2+O31^2))</f>
        <v>2.43500734398215</v>
      </c>
      <c r="S31" s="577">
        <f>IF(M31="","",P31)</f>
        <v>-9.3800282901653292E-2</v>
      </c>
      <c r="T31" s="578">
        <f>IF(M31="","",X31*COS(RADIANS(W31)))</f>
        <v>-2.4343011147169702</v>
      </c>
      <c r="U31" s="572">
        <f>IF(M31="","",X31*SIN(RADIANS(W31)))</f>
        <v>-5.8641692802322183E-2</v>
      </c>
      <c r="V31" s="579">
        <f>IF(M31="","",Y31)</f>
        <v>-9.3800282901653292E-2</v>
      </c>
      <c r="W31" s="528">
        <f t="shared" si="268"/>
        <v>181.37997381197187</v>
      </c>
      <c r="X31" s="572">
        <f>IF(M31="","",R31)</f>
        <v>2.43500734398215</v>
      </c>
      <c r="Y31" s="573">
        <f t="shared" si="271"/>
        <v>-9.3800282901653292E-2</v>
      </c>
      <c r="Z31" s="575">
        <f t="shared" si="10"/>
        <v>-0.94826129945451565</v>
      </c>
      <c r="AA31" s="572">
        <f t="shared" si="11"/>
        <v>4.529108636518156E-2</v>
      </c>
      <c r="AB31" s="572">
        <f t="shared" si="12"/>
        <v>-0.31424389485349624</v>
      </c>
      <c r="AC31" s="579">
        <f>IF(M31="","",SQRT(Z31^2+AA31^2+AB31^2))</f>
        <v>1</v>
      </c>
      <c r="AD31" s="580">
        <f>IF(M31="","",Z31*(1/SQRT(Z31^2+AA31^2+AB31^2)))</f>
        <v>-0.94826129945451565</v>
      </c>
      <c r="AE31" s="572">
        <f>IF(M31="","",AA31*(1/SQRT(Z31^2+AA31^2+AB31^2)))</f>
        <v>4.529108636518156E-2</v>
      </c>
      <c r="AF31" s="576">
        <f>IF(M31="","",AB31*(1/SQRT(Z31^2+AA31^2+AB31^2)))</f>
        <v>-0.31424389485349624</v>
      </c>
      <c r="AG31" s="545">
        <f>IF(M31="","",DEGREES(ATAN2(-AF31,AE31)))</f>
        <v>8.2014020468725803</v>
      </c>
      <c r="AH31" s="546">
        <f>IF(M31="","",DEGREES(ACOS(AD31)))</f>
        <v>161.48874371116844</v>
      </c>
      <c r="AI31" s="528">
        <f>IF(M31="","",DEGREES(-ACOS(-AF31)))</f>
        <v>-71.684825540884034</v>
      </c>
      <c r="AJ31" s="529">
        <f>IF(M31="","",DEGREES(ATAN2(-AE31,AD31)))</f>
        <v>-92.734496852054505</v>
      </c>
      <c r="AK31" s="578">
        <f>IF(M31="","",(COS(RADIANS((90-$Q$8)-W31))*AD31)+(-SIN(RADIANS((90-$Q$8)-W31))*AE31))</f>
        <v>0.94765702944947194</v>
      </c>
      <c r="AL31" s="572">
        <f>IF(M31="","",(SIN(RADIANS((90-$Q$8)-W31))*AD31)+(COS(RADIANS((90-$Q$8)-W31))*AE31))</f>
        <v>-5.6541392645634549E-2</v>
      </c>
      <c r="AM31" s="577">
        <f>IF(M31="","",AF31)</f>
        <v>-0.31424389485349624</v>
      </c>
      <c r="AN31" s="524">
        <f>IF(M31="","",DEGREES(ATAN2(-AM31,AL31)))</f>
        <v>-10.199998527302354</v>
      </c>
      <c r="AO31" s="525">
        <f t="shared" si="110"/>
        <v>18.619997311604973</v>
      </c>
      <c r="AP31" s="528">
        <f>IF(M31="","",DEGREES(ATAN2(AK31,AL31)))</f>
        <v>-3.4144707650938653</v>
      </c>
      <c r="AQ31" s="529">
        <f t="shared" si="13"/>
        <v>0.93614656664527685</v>
      </c>
      <c r="AR31" s="979"/>
      <c r="AS31" s="954">
        <f t="shared" si="147"/>
        <v>-178.62002618802813</v>
      </c>
      <c r="AT31" s="950">
        <f t="shared" si="14"/>
        <v>3.0727512992069383E-2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4.1130000000000004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79"/>
        <v>1313</v>
      </c>
      <c r="IM31" s="482" t="str">
        <f t="shared" si="242"/>
        <v/>
      </c>
      <c r="IN31" s="670" t="str">
        <f t="shared" si="81"/>
        <v/>
      </c>
      <c r="IO31" s="702">
        <v>2.1059680121299801E-2</v>
      </c>
      <c r="IP31" s="5" t="str">
        <f t="shared" si="82"/>
        <v/>
      </c>
      <c r="IQ31" s="714">
        <v>290</v>
      </c>
      <c r="IR31" s="9" t="str">
        <f t="shared" si="132"/>
        <v/>
      </c>
      <c r="IS31" s="5" t="str">
        <f t="shared" si="83"/>
        <v/>
      </c>
      <c r="IT31" s="5" t="str">
        <f t="shared" si="84"/>
        <v/>
      </c>
      <c r="IU31" s="5" t="str">
        <f t="shared" si="85"/>
        <v/>
      </c>
      <c r="IV31" s="670" t="str">
        <f t="shared" si="86"/>
        <v/>
      </c>
      <c r="IW31" s="9" t="str">
        <f t="shared" si="87"/>
        <v/>
      </c>
      <c r="IX31" s="5" t="str">
        <f t="shared" si="88"/>
        <v/>
      </c>
      <c r="IY31" s="5" t="str">
        <f t="shared" si="89"/>
        <v/>
      </c>
      <c r="IZ31" s="5" t="str">
        <f t="shared" si="90"/>
        <v/>
      </c>
      <c r="JA31" s="705" t="str">
        <f t="shared" si="91"/>
        <v/>
      </c>
      <c r="JM31" s="489">
        <f t="shared" si="133"/>
        <v>13</v>
      </c>
      <c r="JN31" s="960">
        <f>($JO31-SMALL($JO$9:$JO$88,1))/((Settings!$C$19/2)-((Settings!$C$19/2)-LARGE($JO$9:$JO$88,1))-SMALL($JO$9:$JO$88,1))</f>
        <v>0.57048260863238109</v>
      </c>
      <c r="JO31" s="162">
        <f t="shared" si="134"/>
        <v>2.43500734398215</v>
      </c>
      <c r="JP31" s="961">
        <f t="shared" si="135"/>
        <v>-10.199998527302354</v>
      </c>
      <c r="JQ31" s="961">
        <f t="shared" si="136"/>
        <v>18.619997311604973</v>
      </c>
      <c r="JS31" s="82">
        <v>23</v>
      </c>
      <c r="JT31" s="322">
        <f t="shared" si="137"/>
        <v>3.4852105113949019</v>
      </c>
      <c r="JU31" s="963">
        <f t="shared" si="138"/>
        <v>0.85034099595755197</v>
      </c>
      <c r="JV31" s="961">
        <f t="shared" si="287"/>
        <v>-44.199993618310472</v>
      </c>
      <c r="JW31" s="961">
        <f t="shared" si="92"/>
        <v>24.019996531941555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-35.460413290638094</v>
      </c>
      <c r="KD31" s="970">
        <v>-42.77811333333333</v>
      </c>
      <c r="KE31" s="968">
        <f t="shared" si="140"/>
        <v>-7.3177000426952361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22.631945538722999</v>
      </c>
      <c r="KG31" s="966">
        <f t="shared" si="244"/>
        <v>-3.9363133333333309</v>
      </c>
      <c r="KH31" s="966">
        <f t="shared" si="141"/>
        <v>0.62583897573069791</v>
      </c>
      <c r="KJ31" s="31"/>
    </row>
    <row r="32" spans="1:296" ht="15" customHeight="1" x14ac:dyDescent="0.25">
      <c r="A32" s="75">
        <f t="shared" si="1"/>
        <v>0</v>
      </c>
      <c r="B32" s="578">
        <f t="shared" ref="B32:D32" si="304">IFERROR(O187+($A32*-E32),"")</f>
        <v>-7.0444016610246738E-3</v>
      </c>
      <c r="C32" s="572">
        <f t="shared" si="304"/>
        <v>-3.1041013687737418</v>
      </c>
      <c r="D32" s="576">
        <f t="shared" si="304"/>
        <v>-0.25470076817751724</v>
      </c>
      <c r="E32" s="580">
        <f t="shared" ref="E32:K32" si="305">R187</f>
        <v>0.92766392299641653</v>
      </c>
      <c r="F32" s="572">
        <f t="shared" si="305"/>
        <v>-0.19164211420457011</v>
      </c>
      <c r="G32" s="579">
        <f t="shared" si="305"/>
        <v>0.32048860515484989</v>
      </c>
      <c r="H32" s="580">
        <f t="shared" si="305"/>
        <v>0.26450000000000001</v>
      </c>
      <c r="I32" s="572">
        <f t="shared" si="305"/>
        <v>0.52</v>
      </c>
      <c r="J32" s="483">
        <f t="shared" si="94"/>
        <v>4.1189999999999998</v>
      </c>
      <c r="K32" s="806">
        <f t="shared" si="305"/>
        <v>1313</v>
      </c>
      <c r="L32" s="309"/>
      <c r="M32" s="164">
        <f t="shared" si="4"/>
        <v>4.1189999999999998</v>
      </c>
      <c r="N32" s="575">
        <f t="shared" si="5"/>
        <v>-7.0444016610246738E-3</v>
      </c>
      <c r="O32" s="572">
        <f t="shared" si="6"/>
        <v>-3.1041013687737418</v>
      </c>
      <c r="P32" s="576">
        <f t="shared" si="7"/>
        <v>-0.25470076817751724</v>
      </c>
      <c r="Q32" s="528">
        <f t="shared" si="144"/>
        <v>269.8699740299889</v>
      </c>
      <c r="R32" s="572">
        <f t="shared" si="95"/>
        <v>3.104109361993836</v>
      </c>
      <c r="S32" s="577">
        <f t="shared" si="96"/>
        <v>-0.25470076817751724</v>
      </c>
      <c r="T32" s="578">
        <f t="shared" si="97"/>
        <v>-3.1039557701500446</v>
      </c>
      <c r="U32" s="572">
        <f t="shared" si="98"/>
        <v>-3.0878927604808287E-2</v>
      </c>
      <c r="V32" s="579">
        <f t="shared" si="145"/>
        <v>-0.25470076817751724</v>
      </c>
      <c r="W32" s="528">
        <f t="shared" si="268"/>
        <v>180.5699739289214</v>
      </c>
      <c r="X32" s="572">
        <f t="shared" si="99"/>
        <v>3.104109361993836</v>
      </c>
      <c r="Y32" s="573">
        <f t="shared" si="271"/>
        <v>-0.25470076817751724</v>
      </c>
      <c r="Z32" s="575">
        <f t="shared" si="10"/>
        <v>-0.92766392299641653</v>
      </c>
      <c r="AA32" s="572">
        <f t="shared" si="11"/>
        <v>0.19164211420457011</v>
      </c>
      <c r="AB32" s="572">
        <f t="shared" si="12"/>
        <v>-0.32048860515484989</v>
      </c>
      <c r="AC32" s="579">
        <f t="shared" si="100"/>
        <v>1</v>
      </c>
      <c r="AD32" s="580">
        <f t="shared" si="146"/>
        <v>-0.92766392299641653</v>
      </c>
      <c r="AE32" s="572">
        <f t="shared" si="101"/>
        <v>0.19164211420457011</v>
      </c>
      <c r="AF32" s="576">
        <f t="shared" si="102"/>
        <v>-0.32048860515484989</v>
      </c>
      <c r="AG32" s="545">
        <f t="shared" si="103"/>
        <v>30.878097373117118</v>
      </c>
      <c r="AH32" s="546">
        <f t="shared" si="104"/>
        <v>158.07354292402309</v>
      </c>
      <c r="AI32" s="528">
        <f t="shared" si="105"/>
        <v>-71.307523780122594</v>
      </c>
      <c r="AJ32" s="529">
        <f t="shared" si="106"/>
        <v>-101.67228952238732</v>
      </c>
      <c r="AK32" s="578">
        <f t="shared" si="247"/>
        <v>0.9280964428754368</v>
      </c>
      <c r="AL32" s="572">
        <f t="shared" si="107"/>
        <v>-0.18953639937452663</v>
      </c>
      <c r="AM32" s="577">
        <f t="shared" si="108"/>
        <v>-0.32048860515484989</v>
      </c>
      <c r="AN32" s="524">
        <f t="shared" si="109"/>
        <v>-30.599995581907258</v>
      </c>
      <c r="AO32" s="525">
        <f t="shared" si="110"/>
        <v>21.859996843806933</v>
      </c>
      <c r="AP32" s="528">
        <f t="shared" si="111"/>
        <v>-11.542263552376211</v>
      </c>
      <c r="AQ32" s="529">
        <f t="shared" si="13"/>
        <v>0.73438191857668245</v>
      </c>
      <c r="AR32" s="979"/>
      <c r="AS32" s="954">
        <f t="shared" si="147"/>
        <v>-179.4300260710786</v>
      </c>
      <c r="AT32" s="950">
        <f t="shared" si="14"/>
        <v>-0.12961047236500953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41"/>
        <v>4.1189999999999998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79"/>
        <v>1313</v>
      </c>
      <c r="IM32" s="482" t="str">
        <f t="shared" si="242"/>
        <v/>
      </c>
      <c r="IN32" s="670" t="str">
        <f t="shared" si="81"/>
        <v/>
      </c>
      <c r="IO32" s="702">
        <v>2.0596001756787202E-2</v>
      </c>
      <c r="IP32" s="5" t="str">
        <f t="shared" si="82"/>
        <v/>
      </c>
      <c r="IQ32" s="714">
        <v>310</v>
      </c>
      <c r="IR32" s="9" t="str">
        <f t="shared" si="132"/>
        <v/>
      </c>
      <c r="IS32" s="5" t="str">
        <f t="shared" si="83"/>
        <v/>
      </c>
      <c r="IT32" s="5" t="str">
        <f t="shared" si="84"/>
        <v/>
      </c>
      <c r="IU32" s="5" t="str">
        <f t="shared" si="85"/>
        <v/>
      </c>
      <c r="IV32" s="670" t="str">
        <f t="shared" si="86"/>
        <v/>
      </c>
      <c r="IW32" s="9" t="str">
        <f t="shared" si="87"/>
        <v/>
      </c>
      <c r="IX32" s="5" t="str">
        <f t="shared" si="88"/>
        <v/>
      </c>
      <c r="IY32" s="5" t="str">
        <f t="shared" si="89"/>
        <v/>
      </c>
      <c r="IZ32" s="5" t="str">
        <f t="shared" si="90"/>
        <v/>
      </c>
      <c r="JA32" s="705" t="str">
        <f t="shared" si="91"/>
        <v/>
      </c>
      <c r="JM32" s="489">
        <f t="shared" si="133"/>
        <v>19</v>
      </c>
      <c r="JN32" s="960">
        <f>($JO32-SMALL($JO$9:$JO$88,1))/((Settings!$C$19/2)-((Settings!$C$19/2)-LARGE($JO$9:$JO$88,1))-SMALL($JO$9:$JO$88,1))</f>
        <v>0.74878507193391597</v>
      </c>
      <c r="JO32" s="162">
        <f t="shared" si="134"/>
        <v>3.104109361993836</v>
      </c>
      <c r="JP32" s="961">
        <f t="shared" si="135"/>
        <v>-30.599995581907258</v>
      </c>
      <c r="JQ32" s="961">
        <f t="shared" si="136"/>
        <v>21.859996843806933</v>
      </c>
      <c r="JS32" s="82">
        <v>24</v>
      </c>
      <c r="JT32" s="322">
        <f t="shared" si="137"/>
        <v>3.5675107596124502</v>
      </c>
      <c r="JU32" s="963">
        <f t="shared" si="138"/>
        <v>0.87227238548036812</v>
      </c>
      <c r="JV32" s="961">
        <f t="shared" si="287"/>
        <v>-47.599993127411324</v>
      </c>
      <c r="JW32" s="961">
        <f t="shared" si="92"/>
        <v>24.559996453975234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-39.294630508351581</v>
      </c>
      <c r="KD32" s="970">
        <v>-46.714513333333329</v>
      </c>
      <c r="KE32" s="968">
        <f t="shared" si="140"/>
        <v>-7.4198828249817481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23.240909449771621</v>
      </c>
      <c r="KG32" s="966">
        <f t="shared" si="244"/>
        <v>-3.936399999999999</v>
      </c>
      <c r="KH32" s="966">
        <f t="shared" si="141"/>
        <v>0.60896391104862246</v>
      </c>
      <c r="KJ32" s="31"/>
    </row>
    <row r="33" spans="1:296" ht="15" customHeight="1" x14ac:dyDescent="0.25">
      <c r="A33" s="75">
        <f t="shared" si="1"/>
        <v>0</v>
      </c>
      <c r="B33" s="578">
        <f t="shared" ref="B33:D33" si="306">IFERROR(O188+($A33*-E33),"")</f>
        <v>-5.9143791147200545E-2</v>
      </c>
      <c r="C33" s="572">
        <f t="shared" si="306"/>
        <v>-3.6433309677923318</v>
      </c>
      <c r="D33" s="576">
        <f t="shared" si="306"/>
        <v>-0.68180205631500179</v>
      </c>
      <c r="E33" s="580">
        <f t="shared" ref="E33:K33" si="307">R188</f>
        <v>0.90009864135216411</v>
      </c>
      <c r="F33" s="572">
        <f t="shared" si="307"/>
        <v>-0.34431992035653103</v>
      </c>
      <c r="G33" s="579">
        <f t="shared" si="307"/>
        <v>0.26695735292675615</v>
      </c>
      <c r="H33" s="580">
        <f t="shared" si="307"/>
        <v>0.26450000000000001</v>
      </c>
      <c r="I33" s="572">
        <f t="shared" si="307"/>
        <v>0.52</v>
      </c>
      <c r="J33" s="483">
        <f t="shared" si="94"/>
        <v>4.125</v>
      </c>
      <c r="K33" s="806">
        <f t="shared" si="307"/>
        <v>1313</v>
      </c>
      <c r="L33" s="309"/>
      <c r="M33" s="164">
        <f t="shared" si="4"/>
        <v>4.125</v>
      </c>
      <c r="N33" s="575">
        <f t="shared" si="5"/>
        <v>-5.9143791147200545E-2</v>
      </c>
      <c r="O33" s="572">
        <f t="shared" si="6"/>
        <v>-3.6433309677923318</v>
      </c>
      <c r="P33" s="576">
        <f t="shared" si="7"/>
        <v>-0.68180205631500179</v>
      </c>
      <c r="Q33" s="528">
        <f t="shared" si="144"/>
        <v>269.0699741454946</v>
      </c>
      <c r="R33" s="572">
        <f t="shared" si="95"/>
        <v>3.6438109897339448</v>
      </c>
      <c r="S33" s="577">
        <f t="shared" si="96"/>
        <v>-0.68180205631500179</v>
      </c>
      <c r="T33" s="578">
        <f t="shared" si="97"/>
        <v>-3.6437816244851597</v>
      </c>
      <c r="U33" s="572">
        <f t="shared" si="98"/>
        <v>1.4628806176870946E-2</v>
      </c>
      <c r="V33" s="579">
        <f t="shared" si="145"/>
        <v>-0.68180205631500179</v>
      </c>
      <c r="W33" s="528">
        <f t="shared" si="268"/>
        <v>179.7699740444271</v>
      </c>
      <c r="X33" s="572">
        <f t="shared" si="99"/>
        <v>3.6438109897339448</v>
      </c>
      <c r="Y33" s="573">
        <f t="shared" si="271"/>
        <v>-0.68180205631500179</v>
      </c>
      <c r="Z33" s="575">
        <f t="shared" si="10"/>
        <v>-0.90009864135216411</v>
      </c>
      <c r="AA33" s="572">
        <f t="shared" si="11"/>
        <v>0.34431992035653103</v>
      </c>
      <c r="AB33" s="572">
        <f t="shared" si="12"/>
        <v>-0.26695735292675615</v>
      </c>
      <c r="AC33" s="579">
        <f t="shared" si="100"/>
        <v>1</v>
      </c>
      <c r="AD33" s="580">
        <f t="shared" si="146"/>
        <v>-0.90009864135216411</v>
      </c>
      <c r="AE33" s="572">
        <f t="shared" si="101"/>
        <v>0.34431992035653103</v>
      </c>
      <c r="AF33" s="576">
        <f t="shared" si="102"/>
        <v>-0.26695735292675615</v>
      </c>
      <c r="AG33" s="545">
        <f t="shared" si="103"/>
        <v>52.212942576086469</v>
      </c>
      <c r="AH33" s="546">
        <f t="shared" si="104"/>
        <v>154.17103623263947</v>
      </c>
      <c r="AI33" s="528">
        <f t="shared" si="105"/>
        <v>-74.516708469147375</v>
      </c>
      <c r="AJ33" s="529">
        <f t="shared" si="106"/>
        <v>-110.93364004970073</v>
      </c>
      <c r="AK33" s="578">
        <f t="shared" si="247"/>
        <v>0.90556882584199605</v>
      </c>
      <c r="AL33" s="572">
        <f t="shared" si="107"/>
        <v>-0.32966478941720234</v>
      </c>
      <c r="AM33" s="577">
        <f t="shared" si="108"/>
        <v>-0.26695735292675615</v>
      </c>
      <c r="AN33" s="524">
        <f t="shared" si="109"/>
        <v>-50.999992636512111</v>
      </c>
      <c r="AO33" s="525">
        <f t="shared" si="110"/>
        <v>25.099996376008878</v>
      </c>
      <c r="AP33" s="528">
        <f t="shared" si="111"/>
        <v>-20.003614195195315</v>
      </c>
      <c r="AQ33" s="529">
        <f t="shared" si="13"/>
        <v>0.6256186273414911</v>
      </c>
      <c r="AR33" s="979"/>
      <c r="AS33" s="954">
        <f t="shared" si="147"/>
        <v>-180.2300259555729</v>
      </c>
      <c r="AT33" s="950">
        <f t="shared" si="14"/>
        <v>-0.5561562050271508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4.125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1313</v>
      </c>
      <c r="IM33" s="482" t="str">
        <f t="shared" si="24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  <c r="JM33" s="489">
        <f t="shared" si="133"/>
        <v>25</v>
      </c>
      <c r="JN33" s="960">
        <f>($JO33-SMALL($JO$9:$JO$88,1))/((Settings!$C$19/2)-((Settings!$C$19/2)-LARGE($JO$9:$JO$88,1))-SMALL($JO$9:$JO$88,1))</f>
        <v>0.8926048887682283</v>
      </c>
      <c r="JO33" s="162">
        <f t="shared" si="134"/>
        <v>3.6438109897339448</v>
      </c>
      <c r="JP33" s="961">
        <f t="shared" si="135"/>
        <v>-50.999992636512111</v>
      </c>
      <c r="JQ33" s="961">
        <f t="shared" si="136"/>
        <v>25.099996376008878</v>
      </c>
      <c r="JS33" s="82">
        <v>25</v>
      </c>
      <c r="JT33" s="322">
        <f t="shared" si="137"/>
        <v>3.6438109897339448</v>
      </c>
      <c r="JU33" s="963">
        <f t="shared" si="138"/>
        <v>0.8926048887682283</v>
      </c>
      <c r="JV33" s="961">
        <f t="shared" si="287"/>
        <v>-50.999992636512111</v>
      </c>
      <c r="JW33" s="961">
        <f t="shared" si="92"/>
        <v>25.099996376008878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-43.092925810523376</v>
      </c>
      <c r="KD33" s="970">
        <v>-50.650826666666667</v>
      </c>
      <c r="KE33" s="968">
        <f t="shared" si="140"/>
        <v>-7.5579008561432914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23.844168115410664</v>
      </c>
      <c r="KG33" s="966">
        <f t="shared" si="244"/>
        <v>-3.936313333333338</v>
      </c>
      <c r="KH33" s="966">
        <f t="shared" si="141"/>
        <v>0.60325866563904285</v>
      </c>
      <c r="KJ33" s="31"/>
    </row>
    <row r="34" spans="1:296" ht="15" customHeight="1" x14ac:dyDescent="0.25">
      <c r="A34" s="75">
        <f t="shared" si="1"/>
        <v>0</v>
      </c>
      <c r="B34" s="578">
        <f t="shared" ref="B34:D34" si="308">IFERROR(O189+($A34*-E34),"")</f>
        <v>-9.4541974027462936E-2</v>
      </c>
      <c r="C34" s="572">
        <f t="shared" si="308"/>
        <v>-3.9530815536871788</v>
      </c>
      <c r="D34" s="576">
        <f t="shared" si="308"/>
        <v>-1.2962039093509903</v>
      </c>
      <c r="E34" s="580">
        <f t="shared" ref="E34:K34" si="309">R189</f>
        <v>0.86913765600239912</v>
      </c>
      <c r="F34" s="572">
        <f t="shared" si="309"/>
        <v>-0.47082317744358915</v>
      </c>
      <c r="G34" s="579">
        <f t="shared" si="309"/>
        <v>0.15141093256623844</v>
      </c>
      <c r="H34" s="580">
        <f t="shared" si="309"/>
        <v>0.26450000000000001</v>
      </c>
      <c r="I34" s="572">
        <f t="shared" si="309"/>
        <v>0.52</v>
      </c>
      <c r="J34" s="483">
        <f t="shared" si="94"/>
        <v>4.1310000000000002</v>
      </c>
      <c r="K34" s="806">
        <f t="shared" si="309"/>
        <v>1313</v>
      </c>
      <c r="L34" s="309"/>
      <c r="M34" s="164">
        <f t="shared" si="4"/>
        <v>4.1310000000000002</v>
      </c>
      <c r="N34" s="575">
        <f t="shared" si="5"/>
        <v>-9.4541974027462936E-2</v>
      </c>
      <c r="O34" s="572">
        <f t="shared" si="6"/>
        <v>-3.9530815536871788</v>
      </c>
      <c r="P34" s="576">
        <f t="shared" si="7"/>
        <v>-1.2962039093509903</v>
      </c>
      <c r="Q34" s="528">
        <f t="shared" si="144"/>
        <v>268.62997420902269</v>
      </c>
      <c r="R34" s="572">
        <f>IF(M34="","",SQRT(N34^2+O34^2))</f>
        <v>3.9542119259031692</v>
      </c>
      <c r="S34" s="577">
        <f>IF(M34="","",P34)</f>
        <v>-1.2962039093509903</v>
      </c>
      <c r="T34" s="578">
        <f>IF(M34="","",X34*COS(RADIANS(W34)))</f>
        <v>-3.95394155316266</v>
      </c>
      <c r="U34" s="572">
        <f>IF(M34="","",X34*SIN(RADIANS(W34)))</f>
        <v>4.6240124659242057E-2</v>
      </c>
      <c r="V34" s="579">
        <f>IF(M34="","",Y34)</f>
        <v>-1.2962039093509903</v>
      </c>
      <c r="W34" s="528">
        <f t="shared" si="268"/>
        <v>179.32997410795519</v>
      </c>
      <c r="X34" s="572">
        <f>IF(M34="","",R34)</f>
        <v>3.9542119259031692</v>
      </c>
      <c r="Y34" s="573">
        <f t="shared" si="271"/>
        <v>-1.2962039093509903</v>
      </c>
      <c r="Z34" s="575">
        <f t="shared" si="10"/>
        <v>-0.86913765600239912</v>
      </c>
      <c r="AA34" s="572">
        <f t="shared" si="11"/>
        <v>0.47082317744358915</v>
      </c>
      <c r="AB34" s="572">
        <f t="shared" si="12"/>
        <v>-0.15141093256623844</v>
      </c>
      <c r="AC34" s="579">
        <f>IF(M34="","",SQRT(Z34^2+AA34^2+AB34^2))</f>
        <v>1</v>
      </c>
      <c r="AD34" s="580">
        <f>IF(M34="","",Z34*(1/SQRT(Z34^2+AA34^2+AB34^2)))</f>
        <v>-0.86913765600239912</v>
      </c>
      <c r="AE34" s="572">
        <f>IF(M34="","",AA34*(1/SQRT(Z34^2+AA34^2+AB34^2)))</f>
        <v>0.47082317744358915</v>
      </c>
      <c r="AF34" s="576">
        <f>IF(M34="","",AB34*(1/SQRT(Z34^2+AA34^2+AB34^2)))</f>
        <v>-0.15141093256623844</v>
      </c>
      <c r="AG34" s="545">
        <f>IF(M34="","",DEGREES(ATAN2(-AF34,AE34)))</f>
        <v>72.172848962860897</v>
      </c>
      <c r="AH34" s="546">
        <f>IF(M34="","",DEGREES(ACOS(AD34)))</f>
        <v>150.35858368845169</v>
      </c>
      <c r="AI34" s="528">
        <f>IF(M34="","",DEGREES(-ACOS(-AF34)))</f>
        <v>-81.291298982811426</v>
      </c>
      <c r="AJ34" s="529">
        <f>IF(M34="","",DEGREES(ATAN2(-AE34,AD34)))</f>
        <v>-118.4449816107892</v>
      </c>
      <c r="AK34" s="578">
        <f>IF(M34="","",(COS(RADIANS((90-$Q$8)-W34))*AD34)+(-SIN(RADIANS((90-$Q$8)-W34))*AE34))</f>
        <v>0.8801461968623433</v>
      </c>
      <c r="AL34" s="572">
        <f>IF(M34="","",(SIN(RADIANS((90-$Q$8)-W34))*AD34)+(COS(RADIANS((90-$Q$8)-W34))*AE34))</f>
        <v>-0.44990821469292525</v>
      </c>
      <c r="AM34" s="577">
        <f>IF(M34="","",AF34)</f>
        <v>-0.15141093256623844</v>
      </c>
      <c r="AN34" s="524">
        <f>IF(M34="","",DEGREES(ATAN2(-AM34,AL34)))</f>
        <v>-71.399989691116943</v>
      </c>
      <c r="AO34" s="525">
        <f t="shared" si="110"/>
        <v>28.33999590821081</v>
      </c>
      <c r="AP34" s="528">
        <f>IF(M34="","",DEGREES(ATAN2(AK34,AL34)))</f>
        <v>-27.074955819811912</v>
      </c>
      <c r="AQ34" s="529">
        <f t="shared" si="13"/>
        <v>0.57651176457403353</v>
      </c>
      <c r="AR34" s="979"/>
      <c r="AS34" s="954">
        <f t="shared" si="147"/>
        <v>-180.67002589204481</v>
      </c>
      <c r="AT34" s="950">
        <f t="shared" si="14"/>
        <v>-1.1702525025517005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4.1310000000000002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1313</v>
      </c>
      <c r="IM34" s="482" t="str">
        <f t="shared" si="24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  <c r="JM34" s="489">
        <f t="shared" si="133"/>
        <v>31</v>
      </c>
      <c r="JN34" s="960">
        <f>($JO34-SMALL($JO$9:$JO$88,1))/((Settings!$C$19/2)-((Settings!$C$19/2)-LARGE($JO$9:$JO$88,1))-SMALL($JO$9:$JO$88,1))</f>
        <v>0.97532060332329718</v>
      </c>
      <c r="JO34" s="162">
        <f t="shared" si="134"/>
        <v>3.9542119259031692</v>
      </c>
      <c r="JP34" s="961">
        <f t="shared" si="135"/>
        <v>-71.399989691116943</v>
      </c>
      <c r="JQ34" s="961">
        <f t="shared" si="136"/>
        <v>28.33999590821081</v>
      </c>
      <c r="JS34" s="82">
        <v>26</v>
      </c>
      <c r="JT34" s="322">
        <f t="shared" si="137"/>
        <v>3.7136112002513793</v>
      </c>
      <c r="JU34" s="963">
        <f t="shared" si="138"/>
        <v>0.91120526530155221</v>
      </c>
      <c r="JV34" s="961">
        <f t="shared" si="287"/>
        <v>-54.399992145612913</v>
      </c>
      <c r="JW34" s="961">
        <f t="shared" si="92"/>
        <v>25.639996298042533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-46.827817261510113</v>
      </c>
      <c r="KD34" s="970">
        <v>-54.587139999999998</v>
      </c>
      <c r="KE34" s="968">
        <f t="shared" si="140"/>
        <v>-7.7593227384898853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24.437356757626215</v>
      </c>
      <c r="KG34" s="966">
        <f t="shared" si="244"/>
        <v>-3.9363133333333309</v>
      </c>
      <c r="KH34" s="966">
        <f t="shared" si="141"/>
        <v>0.59318864221555145</v>
      </c>
      <c r="KJ34" s="31"/>
    </row>
    <row r="35" spans="1:296" ht="15" customHeight="1" x14ac:dyDescent="0.25">
      <c r="A35" s="75">
        <f t="shared" si="1"/>
        <v>0</v>
      </c>
      <c r="B35" s="578">
        <f t="shared" ref="B35:D35" si="310">IFERROR(O190+($A35*-E35),"")</f>
        <v>-0.10028673597963784</v>
      </c>
      <c r="C35" s="572">
        <f t="shared" si="310"/>
        <v>-4.04558158727035</v>
      </c>
      <c r="D35" s="576">
        <f t="shared" si="310"/>
        <v>-2.0632062226299674</v>
      </c>
      <c r="E35" s="580">
        <f t="shared" ref="E35:K35" si="311">R190</f>
        <v>0.84883484065411807</v>
      </c>
      <c r="F35" s="572">
        <f t="shared" si="311"/>
        <v>-0.52680421348678008</v>
      </c>
      <c r="G35" s="579">
        <f t="shared" si="311"/>
        <v>4.4234985523600244E-2</v>
      </c>
      <c r="H35" s="580">
        <f t="shared" si="311"/>
        <v>0.26450000000000001</v>
      </c>
      <c r="I35" s="572">
        <f t="shared" si="311"/>
        <v>0.52</v>
      </c>
      <c r="J35" s="483">
        <f t="shared" si="94"/>
        <v>4.1369999999999996</v>
      </c>
      <c r="K35" s="806">
        <f t="shared" si="311"/>
        <v>1313</v>
      </c>
      <c r="L35" s="309"/>
      <c r="M35" s="164">
        <f t="shared" si="4"/>
        <v>4.1369999999999996</v>
      </c>
      <c r="N35" s="575">
        <f t="shared" si="5"/>
        <v>-0.10028673597963784</v>
      </c>
      <c r="O35" s="572">
        <f t="shared" si="6"/>
        <v>-4.04558158727035</v>
      </c>
      <c r="P35" s="576">
        <f t="shared" si="7"/>
        <v>-2.0632062226299674</v>
      </c>
      <c r="Q35" s="528">
        <f t="shared" si="144"/>
        <v>268.57997421624179</v>
      </c>
      <c r="R35" s="572">
        <f>IF(M35="","",SQRT(N35^2+O35^2))</f>
        <v>4.0468244104080346</v>
      </c>
      <c r="S35" s="577">
        <f>IF(M35="","",P35)</f>
        <v>-2.0632062226299674</v>
      </c>
      <c r="T35" s="578">
        <f>IF(M35="","",X35*COS(RADIANS(W35)))</f>
        <v>-4.046504867190345</v>
      </c>
      <c r="U35" s="572">
        <f>IF(M35="","",X35*SIN(RADIANS(W35)))</f>
        <v>5.0854385053614337E-2</v>
      </c>
      <c r="V35" s="579">
        <f>IF(M35="","",Y35)</f>
        <v>-2.0632062226299674</v>
      </c>
      <c r="W35" s="528">
        <f t="shared" si="268"/>
        <v>179.2799741151743</v>
      </c>
      <c r="X35" s="572">
        <f>IF(M35="","",R35)</f>
        <v>4.0468244104080346</v>
      </c>
      <c r="Y35" s="573">
        <f t="shared" si="271"/>
        <v>-2.0632062226299674</v>
      </c>
      <c r="Z35" s="575">
        <f t="shared" si="10"/>
        <v>-0.84883484065411807</v>
      </c>
      <c r="AA35" s="572">
        <f t="shared" si="11"/>
        <v>0.52680421348678008</v>
      </c>
      <c r="AB35" s="572">
        <f t="shared" si="12"/>
        <v>-4.4234985523600244E-2</v>
      </c>
      <c r="AC35" s="579">
        <f>IF(M35="","",SQRT(Z35^2+AA35^2+AB35^2))</f>
        <v>1</v>
      </c>
      <c r="AD35" s="580">
        <f>IF(M35="","",Z35*(1/SQRT(Z35^2+AA35^2+AB35^2)))</f>
        <v>-0.84883484065411807</v>
      </c>
      <c r="AE35" s="572">
        <f>IF(M35="","",AA35*(1/SQRT(Z35^2+AA35^2+AB35^2)))</f>
        <v>0.52680421348678008</v>
      </c>
      <c r="AF35" s="576">
        <f>IF(M35="","",AB35*(1/SQRT(Z35^2+AA35^2+AB35^2)))</f>
        <v>-4.4234985523600244E-2</v>
      </c>
      <c r="AG35" s="545">
        <f>IF(M35="","",DEGREES(ATAN2(-AF35,AE35)))</f>
        <v>85.200216026607094</v>
      </c>
      <c r="AH35" s="546">
        <f>IF(M35="","",DEGREES(ACOS(AD35)))</f>
        <v>148.08516548988331</v>
      </c>
      <c r="AI35" s="528">
        <f>IF(M35="","",DEGREES(-ACOS(-AF35)))</f>
        <v>-87.464694744176228</v>
      </c>
      <c r="AJ35" s="529">
        <f>IF(M35="","",DEGREES(ATAN2(-AE35,AD35)))</f>
        <v>-121.824581777036</v>
      </c>
      <c r="AK35" s="578">
        <f>IF(M35="","",(COS(RADIANS((90-$Q$8)-W35))*AD35)+(-SIN(RADIANS((90-$Q$8)-W35))*AE35))</f>
        <v>0.86162919945004424</v>
      </c>
      <c r="AL35" s="572">
        <f>IF(M35="","",(SIN(RADIANS((90-$Q$8)-W35))*AD35)+(COS(RADIANS((90-$Q$8)-W35))*AE35))</f>
        <v>-0.50560695081337925</v>
      </c>
      <c r="AM35" s="577">
        <f>IF(M35="","",AF35)</f>
        <v>-4.4234985523600244E-2</v>
      </c>
      <c r="AN35" s="524">
        <f>IF(M35="","",DEGREES(ATAN2(-AM35,AL35)))</f>
        <v>-84.999987727520178</v>
      </c>
      <c r="AO35" s="525">
        <f t="shared" si="110"/>
        <v>30.499995596345446</v>
      </c>
      <c r="AP35" s="528">
        <f>IF(M35="","",DEGREES(ATAN2(AK35,AL35)))</f>
        <v>-30.404555993277793</v>
      </c>
      <c r="AQ35" s="529">
        <f t="shared" si="13"/>
        <v>0.56331902367347408</v>
      </c>
      <c r="AR35" s="979"/>
      <c r="AS35" s="954">
        <f t="shared" si="147"/>
        <v>-180.7200258848257</v>
      </c>
      <c r="AT35" s="950">
        <f t="shared" si="14"/>
        <v>-1.9372200936134687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4.1369999999999996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1313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37</v>
      </c>
      <c r="JN35" s="960">
        <f>($JO35-SMALL($JO$9:$JO$88,1))/((Settings!$C$19/2)-((Settings!$C$19/2)-LARGE($JO$9:$JO$88,1))-SMALL($JO$9:$JO$88,1))</f>
        <v>1</v>
      </c>
      <c r="JO35" s="162">
        <f t="shared" si="134"/>
        <v>4.0468244104080346</v>
      </c>
      <c r="JP35" s="961">
        <f t="shared" si="135"/>
        <v>-84.999987727520178</v>
      </c>
      <c r="JQ35" s="961">
        <f t="shared" si="136"/>
        <v>30.499995596345446</v>
      </c>
      <c r="JS35" s="82">
        <v>27</v>
      </c>
      <c r="JT35" s="322">
        <f t="shared" si="137"/>
        <v>3.7766113902599536</v>
      </c>
      <c r="JU35" s="963">
        <f t="shared" si="138"/>
        <v>0.9279935707685929</v>
      </c>
      <c r="JV35" s="961">
        <f t="shared" si="287"/>
        <v>-57.7999916547137</v>
      </c>
      <c r="JW35" s="961">
        <f t="shared" si="92"/>
        <v>26.179996220076202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-50.504637137664531</v>
      </c>
      <c r="KD35" s="970">
        <v>-58.523539999999997</v>
      </c>
      <c r="KE35" s="968">
        <f t="shared" si="140"/>
        <v>-8.0189028623354659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25.021322267368383</v>
      </c>
      <c r="KG35" s="966">
        <f t="shared" si="244"/>
        <v>-3.936399999999999</v>
      </c>
      <c r="KH35" s="966">
        <f t="shared" si="141"/>
        <v>0.58396550974216765</v>
      </c>
      <c r="KJ35" s="31"/>
    </row>
    <row r="36" spans="1:296" ht="15" customHeight="1" x14ac:dyDescent="0.25">
      <c r="A36" s="75">
        <f t="shared" si="1"/>
        <v>0</v>
      </c>
      <c r="B36" s="578">
        <f t="shared" ref="B36:D36" si="312">IFERROR(O191+($A36*-E36),"")</f>
        <v>-0.4023687864453307</v>
      </c>
      <c r="C36" s="572">
        <f t="shared" si="312"/>
        <v>-0.28174146852498344</v>
      </c>
      <c r="D36" s="576">
        <f t="shared" si="312"/>
        <v>-0.43530131286875973</v>
      </c>
      <c r="E36" s="580">
        <f t="shared" ref="E36:K36" si="313">R191</f>
        <v>0.57555437099860174</v>
      </c>
      <c r="F36" s="572">
        <f t="shared" si="313"/>
        <v>-0.7441454016889234</v>
      </c>
      <c r="G36" s="579">
        <f t="shared" si="313"/>
        <v>0.33909406831974337</v>
      </c>
      <c r="H36" s="580">
        <f t="shared" si="313"/>
        <v>0.26450000000000001</v>
      </c>
      <c r="I36" s="572">
        <f t="shared" si="313"/>
        <v>0.52</v>
      </c>
      <c r="J36" s="483">
        <f t="shared" si="94"/>
        <v>5.1020000000000003</v>
      </c>
      <c r="K36" s="806">
        <f t="shared" si="313"/>
        <v>1313</v>
      </c>
      <c r="L36" s="309"/>
      <c r="M36" s="164">
        <f t="shared" si="4"/>
        <v>5.1020000000000003</v>
      </c>
      <c r="N36" s="575">
        <f t="shared" si="5"/>
        <v>-0.4023687864453307</v>
      </c>
      <c r="O36" s="572">
        <f t="shared" si="6"/>
        <v>-0.28174146852498344</v>
      </c>
      <c r="P36" s="576">
        <f t="shared" si="7"/>
        <v>-0.43530131286875973</v>
      </c>
      <c r="Q36" s="528">
        <f t="shared" si="144"/>
        <v>214.99998195223557</v>
      </c>
      <c r="R36" s="572">
        <f>IF(M36="","",SQRT(N36^2+O36^2))</f>
        <v>0.49120148146366821</v>
      </c>
      <c r="S36" s="577">
        <f>IF(M36="","",P36)</f>
        <v>-0.43530131286875973</v>
      </c>
      <c r="T36" s="578">
        <f>IF(M36="","",X36*COS(RADIANS(W36)))</f>
        <v>-0.28663618115996464</v>
      </c>
      <c r="U36" s="572">
        <f>IF(M36="","",X36*SIN(RADIANS(W36)))</f>
        <v>0.39889672227549616</v>
      </c>
      <c r="V36" s="579">
        <f>IF(M36="","",Y36)</f>
        <v>-0.43530131286875973</v>
      </c>
      <c r="W36" s="528">
        <f t="shared" si="268"/>
        <v>125.69998185116808</v>
      </c>
      <c r="X36" s="572">
        <f>IF(M36="","",R36)</f>
        <v>0.49120148146366821</v>
      </c>
      <c r="Y36" s="573">
        <f t="shared" si="271"/>
        <v>-0.43530131286875973</v>
      </c>
      <c r="Z36" s="575">
        <f t="shared" si="10"/>
        <v>-0.57555437099860174</v>
      </c>
      <c r="AA36" s="572">
        <f t="shared" si="11"/>
        <v>0.7441454016889234</v>
      </c>
      <c r="AB36" s="572">
        <f t="shared" si="12"/>
        <v>-0.33909406831974337</v>
      </c>
      <c r="AC36" s="579">
        <f>IF(M36="","",SQRT(Z36^2+AA36^2+AB36^2))</f>
        <v>1</v>
      </c>
      <c r="AD36" s="580">
        <f>IF(M36="","",Z36*(1/SQRT(Z36^2+AA36^2+AB36^2)))</f>
        <v>-0.57555437099860174</v>
      </c>
      <c r="AE36" s="572">
        <f>IF(M36="","",AA36*(1/SQRT(Z36^2+AA36^2+AB36^2)))</f>
        <v>0.7441454016889234</v>
      </c>
      <c r="AF36" s="576">
        <f>IF(M36="","",AB36*(1/SQRT(Z36^2+AA36^2+AB36^2)))</f>
        <v>-0.33909406831974337</v>
      </c>
      <c r="AG36" s="545">
        <f>IF(M36="","",DEGREES(ATAN2(-AF36,AE36)))</f>
        <v>65.502073913838345</v>
      </c>
      <c r="AH36" s="546">
        <f>IF(M36="","",DEGREES(ACOS(AD36)))</f>
        <v>125.13846438404018</v>
      </c>
      <c r="AI36" s="528">
        <f>IF(M36="","",DEGREES(-ACOS(-AF36)))</f>
        <v>-70.178310564604956</v>
      </c>
      <c r="AJ36" s="529">
        <f>IF(M36="","",DEGREES(ATAN2(-AE36,AD36)))</f>
        <v>-142.28007653717006</v>
      </c>
      <c r="AK36" s="578">
        <f>IF(M36="","",(COS(RADIANS((90-$Q$8)-W36))*AD36)+(-SIN(RADIANS((90-$Q$8)-W36))*AE36))</f>
        <v>0.93969263802333458</v>
      </c>
      <c r="AL36" s="572">
        <f>IF(M36="","",(SIN(RADIANS((90-$Q$8)-W36))*AD36)+(COS(RADIANS((90-$Q$8)-W36))*AE36))</f>
        <v>4.4642567971741709E-2</v>
      </c>
      <c r="AM36" s="577">
        <f>IF(M36="","",AF36)</f>
        <v>-0.33909406831974337</v>
      </c>
      <c r="AN36" s="524">
        <f>IF(M36="","",DEGREES(ATAN2(-AM36,AL36)))</f>
        <v>7.499997834268429</v>
      </c>
      <c r="AO36" s="525">
        <f t="shared" si="110"/>
        <v>19.999997112357679</v>
      </c>
      <c r="AP36" s="528">
        <f>IF(M36="","",DEGREES(ATAN2(AK36,AL36)))</f>
        <v>2.7199415105943698</v>
      </c>
      <c r="AQ36" s="529">
        <f t="shared" si="13"/>
        <v>4.6310121997467864</v>
      </c>
      <c r="AR36" s="979"/>
      <c r="AS36" s="954">
        <f t="shared" si="147"/>
        <v>-234.30001814883192</v>
      </c>
      <c r="AT36" s="950">
        <f t="shared" si="14"/>
        <v>-0.27210685589114553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5.1020000000000003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1313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2</v>
      </c>
      <c r="JN36" s="960">
        <f>($JO36-SMALL($JO$9:$JO$88,1))/((Settings!$C$19/2)-((Settings!$C$19/2)-LARGE($JO$9:$JO$88,1))-SMALL($JO$9:$JO$88,1))</f>
        <v>5.2496764714396058E-2</v>
      </c>
      <c r="JO36" s="162">
        <f t="shared" si="134"/>
        <v>0.49120148146366821</v>
      </c>
      <c r="JP36" s="961">
        <f t="shared" si="135"/>
        <v>7.499997834268429</v>
      </c>
      <c r="JQ36" s="961">
        <f t="shared" si="136"/>
        <v>19.999997112357679</v>
      </c>
      <c r="JS36" s="82">
        <v>28</v>
      </c>
      <c r="JT36" s="322">
        <f t="shared" si="137"/>
        <v>3.8324115585532597</v>
      </c>
      <c r="JU36" s="963">
        <f t="shared" si="138"/>
        <v>0.94286321275368545</v>
      </c>
      <c r="JV36" s="961">
        <f t="shared" si="287"/>
        <v>-61.199991163814495</v>
      </c>
      <c r="JW36" s="961">
        <f t="shared" si="92"/>
        <v>26.719996142109807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-53.941617532068811</v>
      </c>
      <c r="KD36" s="970">
        <v>-62.459853333333328</v>
      </c>
      <c r="KE36" s="968">
        <f t="shared" si="140"/>
        <v>-8.5182358012645167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25.567195624126704</v>
      </c>
      <c r="KG36" s="966">
        <f t="shared" si="244"/>
        <v>-3.9363133333333309</v>
      </c>
      <c r="KH36" s="966">
        <f t="shared" si="141"/>
        <v>0.54587335675832094</v>
      </c>
      <c r="KJ36" s="31"/>
    </row>
    <row r="37" spans="1:296" ht="15" customHeight="1" x14ac:dyDescent="0.25">
      <c r="A37" s="75">
        <f t="shared" si="1"/>
        <v>0</v>
      </c>
      <c r="B37" s="578">
        <f t="shared" ref="B37:D37" si="314">IFERROR(O192+($A37*-E37),"")</f>
        <v>-0.88665304244386389</v>
      </c>
      <c r="C37" s="572">
        <f t="shared" si="314"/>
        <v>-0.62084072787345701</v>
      </c>
      <c r="D37" s="576">
        <f t="shared" si="314"/>
        <v>-0.27690083513291885</v>
      </c>
      <c r="E37" s="580">
        <f t="shared" ref="E37:K37" si="315">R192</f>
        <v>0.56938716152390156</v>
      </c>
      <c r="F37" s="572">
        <f t="shared" si="315"/>
        <v>-0.76874338762125927</v>
      </c>
      <c r="G37" s="579">
        <f t="shared" si="315"/>
        <v>0.29125910162661833</v>
      </c>
      <c r="H37" s="580">
        <f t="shared" si="315"/>
        <v>0.26450000000000001</v>
      </c>
      <c r="I37" s="572">
        <f t="shared" si="315"/>
        <v>0.52</v>
      </c>
      <c r="J37" s="483">
        <f t="shared" si="94"/>
        <v>5.1050000000000004</v>
      </c>
      <c r="K37" s="806">
        <f t="shared" si="315"/>
        <v>1313</v>
      </c>
      <c r="L37" s="309"/>
      <c r="M37" s="164">
        <f t="shared" si="4"/>
        <v>5.1050000000000004</v>
      </c>
      <c r="N37" s="575">
        <f t="shared" si="5"/>
        <v>-0.88665304244386389</v>
      </c>
      <c r="O37" s="572">
        <f t="shared" si="6"/>
        <v>-0.62084072787345701</v>
      </c>
      <c r="P37" s="576">
        <f t="shared" si="7"/>
        <v>-0.27690083513291885</v>
      </c>
      <c r="Q37" s="528">
        <f t="shared" si="144"/>
        <v>214.99998195223557</v>
      </c>
      <c r="R37" s="572">
        <f t="shared" si="95"/>
        <v>1.082403264528246</v>
      </c>
      <c r="S37" s="577">
        <f t="shared" si="96"/>
        <v>-0.27690083513291885</v>
      </c>
      <c r="T37" s="578">
        <f t="shared" si="97"/>
        <v>-0.63162663372871686</v>
      </c>
      <c r="U37" s="572">
        <f t="shared" si="98"/>
        <v>0.87900206064942388</v>
      </c>
      <c r="V37" s="579">
        <f t="shared" si="145"/>
        <v>-0.27690083513291885</v>
      </c>
      <c r="W37" s="528">
        <f t="shared" si="268"/>
        <v>125.69998185116808</v>
      </c>
      <c r="X37" s="572">
        <f t="shared" si="99"/>
        <v>1.082403264528246</v>
      </c>
      <c r="Y37" s="573">
        <f t="shared" si="271"/>
        <v>-0.27690083513291885</v>
      </c>
      <c r="Z37" s="575">
        <f t="shared" si="10"/>
        <v>-0.56938716152390156</v>
      </c>
      <c r="AA37" s="572">
        <f t="shared" si="11"/>
        <v>0.76874338762125927</v>
      </c>
      <c r="AB37" s="572">
        <f t="shared" si="12"/>
        <v>-0.29125910162661833</v>
      </c>
      <c r="AC37" s="579">
        <f t="shared" si="100"/>
        <v>1</v>
      </c>
      <c r="AD37" s="580">
        <f t="shared" si="146"/>
        <v>-0.56938716152390156</v>
      </c>
      <c r="AE37" s="572">
        <f t="shared" si="101"/>
        <v>0.76874338762125927</v>
      </c>
      <c r="AF37" s="576">
        <f t="shared" si="102"/>
        <v>-0.29125910162661833</v>
      </c>
      <c r="AG37" s="545">
        <f t="shared" si="103"/>
        <v>69.249459965440082</v>
      </c>
      <c r="AH37" s="546">
        <f t="shared" si="104"/>
        <v>124.7075017122656</v>
      </c>
      <c r="AI37" s="528">
        <f t="shared" si="105"/>
        <v>-73.06664835892677</v>
      </c>
      <c r="AJ37" s="529">
        <f t="shared" si="106"/>
        <v>-143.47366576038036</v>
      </c>
      <c r="AK37" s="578">
        <f t="shared" si="247"/>
        <v>0.95630476848795665</v>
      </c>
      <c r="AL37" s="572">
        <f t="shared" si="107"/>
        <v>2.5481865843202667E-2</v>
      </c>
      <c r="AM37" s="577">
        <f t="shared" si="108"/>
        <v>-0.29125910162661833</v>
      </c>
      <c r="AN37" s="524">
        <f t="shared" si="109"/>
        <v>4.99999927808945</v>
      </c>
      <c r="AO37" s="525">
        <f t="shared" si="110"/>
        <v>16.999997545504019</v>
      </c>
      <c r="AP37" s="528">
        <f t="shared" si="111"/>
        <v>1.5263522873840889</v>
      </c>
      <c r="AQ37" s="529">
        <f t="shared" si="13"/>
        <v>2.1052233454747702</v>
      </c>
      <c r="AR37" s="979"/>
      <c r="AS37" s="954">
        <f t="shared" si="147"/>
        <v>-234.30001814883192</v>
      </c>
      <c r="AT37" s="950">
        <f t="shared" si="14"/>
        <v>-0.11370637815530465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5.1050000000000004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1313</v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>
        <f t="shared" si="133"/>
        <v>5</v>
      </c>
      <c r="JN37" s="960">
        <f>($JO37-SMALL($JO$9:$JO$88,1))/((Settings!$C$19/2)-((Settings!$C$19/2)-LARGE($JO$9:$JO$88,1))-SMALL($JO$9:$JO$88,1))</f>
        <v>0.21004035506541605</v>
      </c>
      <c r="JO37" s="162">
        <f t="shared" si="134"/>
        <v>1.082403264528246</v>
      </c>
      <c r="JP37" s="961">
        <f t="shared" si="135"/>
        <v>4.99999927808945</v>
      </c>
      <c r="JQ37" s="961">
        <f t="shared" si="136"/>
        <v>16.999997545504019</v>
      </c>
      <c r="JS37" s="82">
        <v>29</v>
      </c>
      <c r="JT37" s="322">
        <f t="shared" si="137"/>
        <v>3.8808117045280999</v>
      </c>
      <c r="JU37" s="963">
        <f t="shared" si="138"/>
        <v>0.95576089504899897</v>
      </c>
      <c r="JV37" s="961">
        <f t="shared" si="287"/>
        <v>-64.599990672915354</v>
      </c>
      <c r="JW37" s="961">
        <f t="shared" si="92"/>
        <v>27.25999606414355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-57.545588249461765</v>
      </c>
      <c r="KD37" s="970">
        <v>-66.344253333333327</v>
      </c>
      <c r="KE37" s="968">
        <f t="shared" si="140"/>
        <v>-8.7986650838715619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26.139590973359716</v>
      </c>
      <c r="KG37" s="966">
        <f t="shared" si="244"/>
        <v>-3.8843999999999994</v>
      </c>
      <c r="KH37" s="966">
        <f t="shared" si="141"/>
        <v>0.5723953492330125</v>
      </c>
      <c r="KJ37" s="31"/>
    </row>
    <row r="38" spans="1:296" ht="15" customHeight="1" x14ac:dyDescent="0.25">
      <c r="A38" s="75">
        <f t="shared" si="1"/>
        <v>0</v>
      </c>
      <c r="B38" s="578">
        <f t="shared" ref="B38:D38" si="316">IFERROR(O193+($A38*-E38),"")</f>
        <v>-1.3803575774410153</v>
      </c>
      <c r="C38" s="572">
        <f t="shared" si="316"/>
        <v>-0.96653613316663178</v>
      </c>
      <c r="D38" s="576">
        <f t="shared" si="316"/>
        <v>-0.17440052599198644</v>
      </c>
      <c r="E38" s="580">
        <f t="shared" ref="E38:K38" si="317">R193</f>
        <v>0.55687195444872939</v>
      </c>
      <c r="F38" s="572">
        <f t="shared" si="317"/>
        <v>-0.77750662408252591</v>
      </c>
      <c r="G38" s="579">
        <f t="shared" si="317"/>
        <v>0.2921935588890458</v>
      </c>
      <c r="H38" s="580">
        <f t="shared" si="317"/>
        <v>0.26450000000000001</v>
      </c>
      <c r="I38" s="572">
        <f t="shared" si="317"/>
        <v>0.52</v>
      </c>
      <c r="J38" s="483">
        <f t="shared" si="94"/>
        <v>5.1079999999999997</v>
      </c>
      <c r="K38" s="806">
        <f t="shared" si="317"/>
        <v>1313</v>
      </c>
      <c r="L38" s="309"/>
      <c r="M38" s="164">
        <f t="shared" si="4"/>
        <v>5.1079999999999997</v>
      </c>
      <c r="N38" s="575">
        <f t="shared" si="5"/>
        <v>-1.3803575774410153</v>
      </c>
      <c r="O38" s="572">
        <f t="shared" si="6"/>
        <v>-0.96653613316663178</v>
      </c>
      <c r="P38" s="576">
        <f t="shared" si="7"/>
        <v>-0.17440052599198644</v>
      </c>
      <c r="Q38" s="528">
        <f t="shared" si="144"/>
        <v>214.99998195223557</v>
      </c>
      <c r="R38" s="572">
        <f t="shared" si="95"/>
        <v>1.6851050822769285</v>
      </c>
      <c r="S38" s="577">
        <f t="shared" si="96"/>
        <v>-0.17440052599198644</v>
      </c>
      <c r="T38" s="578">
        <f t="shared" si="97"/>
        <v>-0.98332782750947967</v>
      </c>
      <c r="U38" s="572">
        <f t="shared" si="98"/>
        <v>1.3684463898746713</v>
      </c>
      <c r="V38" s="579">
        <f t="shared" si="145"/>
        <v>-0.17440052599198644</v>
      </c>
      <c r="W38" s="528">
        <f t="shared" si="268"/>
        <v>125.69998185116808</v>
      </c>
      <c r="X38" s="572">
        <f t="shared" si="99"/>
        <v>1.6851050822769285</v>
      </c>
      <c r="Y38" s="573">
        <f t="shared" si="271"/>
        <v>-0.17440052599198644</v>
      </c>
      <c r="Z38" s="575">
        <f t="shared" si="10"/>
        <v>-0.55687195444872939</v>
      </c>
      <c r="AA38" s="572">
        <f t="shared" si="11"/>
        <v>0.77750662408252591</v>
      </c>
      <c r="AB38" s="572">
        <f t="shared" si="12"/>
        <v>-0.2921935588890458</v>
      </c>
      <c r="AC38" s="579">
        <f t="shared" si="100"/>
        <v>1</v>
      </c>
      <c r="AD38" s="580">
        <f t="shared" si="146"/>
        <v>-0.55687195444872939</v>
      </c>
      <c r="AE38" s="572">
        <f t="shared" si="101"/>
        <v>0.77750662408252591</v>
      </c>
      <c r="AF38" s="576">
        <f t="shared" si="102"/>
        <v>-0.2921935588890458</v>
      </c>
      <c r="AG38" s="545">
        <f t="shared" si="103"/>
        <v>69.403355609454565</v>
      </c>
      <c r="AH38" s="546">
        <f t="shared" si="104"/>
        <v>123.83974738727281</v>
      </c>
      <c r="AI38" s="528">
        <f t="shared" si="105"/>
        <v>-73.010673076505498</v>
      </c>
      <c r="AJ38" s="529">
        <f t="shared" si="106"/>
        <v>-144.38870423145318</v>
      </c>
      <c r="AK38" s="578">
        <f t="shared" si="247"/>
        <v>0.95630476848795676</v>
      </c>
      <c r="AL38" s="572">
        <f t="shared" si="107"/>
        <v>1.0203622442519655E-2</v>
      </c>
      <c r="AM38" s="577">
        <f t="shared" si="108"/>
        <v>-0.2921935588890458</v>
      </c>
      <c r="AN38" s="524">
        <f t="shared" si="109"/>
        <v>1.9999997112357835</v>
      </c>
      <c r="AO38" s="525">
        <f t="shared" si="110"/>
        <v>16.999997545504005</v>
      </c>
      <c r="AP38" s="528">
        <f t="shared" si="111"/>
        <v>0.6113138163112618</v>
      </c>
      <c r="AQ38" s="529">
        <f t="shared" si="13"/>
        <v>1.3526177847821115</v>
      </c>
      <c r="AR38" s="979"/>
      <c r="AS38" s="954">
        <f t="shared" si="147"/>
        <v>-234.30001814883192</v>
      </c>
      <c r="AT38" s="950">
        <f t="shared" si="14"/>
        <v>-1.1206069014372239E-2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5.1079999999999997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1313</v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>
        <f t="shared" si="133"/>
        <v>8</v>
      </c>
      <c r="JN38" s="960">
        <f>($JO38-SMALL($JO$9:$JO$88,1))/((Settings!$C$19/2)-((Settings!$C$19/2)-LARGE($JO$9:$JO$88,1))-SMALL($JO$9:$JO$88,1))</f>
        <v>0.37064847736676887</v>
      </c>
      <c r="JO38" s="162">
        <f t="shared" si="134"/>
        <v>1.6851050822769285</v>
      </c>
      <c r="JP38" s="961">
        <f t="shared" si="135"/>
        <v>1.9999997112357835</v>
      </c>
      <c r="JQ38" s="961">
        <f t="shared" si="136"/>
        <v>16.999997545504005</v>
      </c>
      <c r="JS38" s="82">
        <v>30</v>
      </c>
      <c r="JT38" s="322">
        <f t="shared" si="137"/>
        <v>3.9214118269780713</v>
      </c>
      <c r="JU38" s="963">
        <f t="shared" si="138"/>
        <v>0.96658002523886999</v>
      </c>
      <c r="JV38" s="961">
        <f t="shared" si="287"/>
        <v>-67.999990182016148</v>
      </c>
      <c r="JW38" s="961">
        <f t="shared" si="92"/>
        <v>27.79999598617718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-60.917620707200044</v>
      </c>
      <c r="KD38" s="970">
        <v>-70.228653333333327</v>
      </c>
      <c r="KE38" s="968">
        <f t="shared" si="140"/>
        <v>-9.311032626133283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26.675149069588691</v>
      </c>
      <c r="KG38" s="966">
        <f t="shared" si="244"/>
        <v>-3.8843999999999994</v>
      </c>
      <c r="KH38" s="966">
        <f t="shared" si="141"/>
        <v>0.53555809622897499</v>
      </c>
      <c r="KJ38" s="31"/>
    </row>
    <row r="39" spans="1:296" ht="15" customHeight="1" x14ac:dyDescent="0.25">
      <c r="A39" s="75">
        <f t="shared" si="1"/>
        <v>0</v>
      </c>
      <c r="B39" s="578">
        <f t="shared" ref="B39:D39" si="318">IFERROR(O194+($A39*-E39),"")</f>
        <v>-1.9049594491625776</v>
      </c>
      <c r="C39" s="572">
        <f t="shared" si="318"/>
        <v>-1.3229944951664849</v>
      </c>
      <c r="D39" s="576">
        <f t="shared" si="318"/>
        <v>-9.5800288933671526E-2</v>
      </c>
      <c r="E39" s="580">
        <f t="shared" ref="E39:K39" si="319">R194</f>
        <v>0.51208003676422242</v>
      </c>
      <c r="F39" s="572">
        <f t="shared" si="319"/>
        <v>-0.8017546701474596</v>
      </c>
      <c r="G39" s="579">
        <f t="shared" si="319"/>
        <v>0.30816145905075631</v>
      </c>
      <c r="H39" s="580">
        <f t="shared" si="319"/>
        <v>0.26450000000000001</v>
      </c>
      <c r="I39" s="572">
        <f t="shared" si="319"/>
        <v>0.52</v>
      </c>
      <c r="J39" s="483">
        <f t="shared" si="94"/>
        <v>5.1120000000000001</v>
      </c>
      <c r="K39" s="806">
        <f t="shared" si="319"/>
        <v>1313</v>
      </c>
      <c r="L39" s="309"/>
      <c r="M39" s="164">
        <f t="shared" si="4"/>
        <v>5.1120000000000001</v>
      </c>
      <c r="N39" s="575">
        <f t="shared" si="5"/>
        <v>-1.9049594491625776</v>
      </c>
      <c r="O39" s="572">
        <f t="shared" si="6"/>
        <v>-1.3229944951664849</v>
      </c>
      <c r="P39" s="576">
        <f t="shared" si="7"/>
        <v>-9.5800288933671526E-2</v>
      </c>
      <c r="Q39" s="528">
        <f t="shared" si="144"/>
        <v>214.77998198399959</v>
      </c>
      <c r="R39" s="572">
        <f t="shared" si="95"/>
        <v>2.3193069950298977</v>
      </c>
      <c r="S39" s="577">
        <f t="shared" si="96"/>
        <v>-9.5800288933671526E-2</v>
      </c>
      <c r="T39" s="578">
        <f t="shared" si="97"/>
        <v>-1.3461686474881094</v>
      </c>
      <c r="U39" s="572">
        <f t="shared" si="98"/>
        <v>1.8886542589141739</v>
      </c>
      <c r="V39" s="579">
        <f t="shared" si="145"/>
        <v>-9.5800288933671526E-2</v>
      </c>
      <c r="W39" s="528">
        <f t="shared" si="268"/>
        <v>125.47998188293209</v>
      </c>
      <c r="X39" s="572">
        <f t="shared" si="99"/>
        <v>2.3193069950298977</v>
      </c>
      <c r="Y39" s="573">
        <f t="shared" si="271"/>
        <v>-9.5800288933671526E-2</v>
      </c>
      <c r="Z39" s="575">
        <f t="shared" si="10"/>
        <v>-0.51208003676422242</v>
      </c>
      <c r="AA39" s="572">
        <f t="shared" si="11"/>
        <v>0.8017546701474596</v>
      </c>
      <c r="AB39" s="572">
        <f t="shared" si="12"/>
        <v>-0.30816145905075631</v>
      </c>
      <c r="AC39" s="579">
        <f t="shared" si="100"/>
        <v>1</v>
      </c>
      <c r="AD39" s="580">
        <f t="shared" si="146"/>
        <v>-0.51208003676422242</v>
      </c>
      <c r="AE39" s="572">
        <f t="shared" si="101"/>
        <v>0.8017546701474596</v>
      </c>
      <c r="AF39" s="576">
        <f t="shared" si="102"/>
        <v>-0.30816145905075631</v>
      </c>
      <c r="AG39" s="545">
        <f t="shared" si="103"/>
        <v>68.975297044887341</v>
      </c>
      <c r="AH39" s="546">
        <f t="shared" si="104"/>
        <v>120.80247953379804</v>
      </c>
      <c r="AI39" s="528">
        <f t="shared" si="105"/>
        <v>-72.051533644369755</v>
      </c>
      <c r="AJ39" s="529">
        <f t="shared" si="106"/>
        <v>-147.433663068355</v>
      </c>
      <c r="AK39" s="578">
        <f t="shared" si="247"/>
        <v>0.95062413438843829</v>
      </c>
      <c r="AL39" s="572">
        <f t="shared" si="107"/>
        <v>-3.6746023920169124E-2</v>
      </c>
      <c r="AM39" s="577">
        <f t="shared" si="108"/>
        <v>-0.30816145905075631</v>
      </c>
      <c r="AN39" s="524">
        <f t="shared" si="109"/>
        <v>-6.799999018201583</v>
      </c>
      <c r="AO39" s="525">
        <f t="shared" si="110"/>
        <v>18.079997389571329</v>
      </c>
      <c r="AP39" s="528">
        <f t="shared" si="111"/>
        <v>-2.2136450523546021</v>
      </c>
      <c r="AQ39" s="529">
        <f t="shared" si="13"/>
        <v>0.98283798917757759</v>
      </c>
      <c r="AR39" s="979"/>
      <c r="AS39" s="954">
        <f t="shared" si="147"/>
        <v>-234.52001811706791</v>
      </c>
      <c r="AT39" s="950">
        <f t="shared" si="14"/>
        <v>6.7546945799662098E-2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5.1120000000000001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1313</v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>
        <f t="shared" si="133"/>
        <v>12</v>
      </c>
      <c r="JN39" s="960">
        <f>($JO39-SMALL($JO$9:$JO$88,1))/((Settings!$C$19/2)-((Settings!$C$19/2)-LARGE($JO$9:$JO$88,1))-SMALL($JO$9:$JO$88,1))</f>
        <v>0.53965075240164195</v>
      </c>
      <c r="JO39" s="162">
        <f t="shared" si="134"/>
        <v>2.3193069950298977</v>
      </c>
      <c r="JP39" s="961">
        <f t="shared" si="135"/>
        <v>-6.799999018201583</v>
      </c>
      <c r="JQ39" s="961">
        <f t="shared" si="136"/>
        <v>18.079997389571329</v>
      </c>
      <c r="JS39" s="82">
        <v>31</v>
      </c>
      <c r="JT39" s="322">
        <f t="shared" si="137"/>
        <v>3.9542119259031692</v>
      </c>
      <c r="JU39" s="963">
        <f t="shared" si="138"/>
        <v>0.97532060332329718</v>
      </c>
      <c r="JV39" s="961">
        <f t="shared" si="287"/>
        <v>-71.399989691116943</v>
      </c>
      <c r="JW39" s="961">
        <f t="shared" si="92"/>
        <v>28.33999590821081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-63.690522213369462</v>
      </c>
      <c r="KD39" s="970">
        <v>-74.113140000000001</v>
      </c>
      <c r="KE39" s="968">
        <f t="shared" si="140"/>
        <v>-10.422617786630539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27.115551073509771</v>
      </c>
      <c r="KG39" s="966">
        <f t="shared" si="244"/>
        <v>-3.8844866666666746</v>
      </c>
      <c r="KH39" s="966">
        <f t="shared" si="141"/>
        <v>0.4404020039210792</v>
      </c>
      <c r="KJ39" s="31"/>
    </row>
    <row r="40" spans="1:296" ht="15" customHeight="1" x14ac:dyDescent="0.25">
      <c r="A40" s="75">
        <f t="shared" si="1"/>
        <v>0</v>
      </c>
      <c r="B40" s="578">
        <f t="shared" ref="B40:D40" si="320">IFERROR(O195+($A40*-E40),"")</f>
        <v>-2.4855844977590573</v>
      </c>
      <c r="C40" s="572">
        <f t="shared" si="320"/>
        <v>-1.6771780431638084</v>
      </c>
      <c r="D40" s="576">
        <f t="shared" si="320"/>
        <v>-0.20800062732989225</v>
      </c>
      <c r="E40" s="580">
        <f t="shared" ref="E40:K40" si="321">R195</f>
        <v>0.38329718890326075</v>
      </c>
      <c r="F40" s="572">
        <f t="shared" si="321"/>
        <v>-0.86516737853860193</v>
      </c>
      <c r="G40" s="579">
        <f t="shared" si="321"/>
        <v>0.32337079659657225</v>
      </c>
      <c r="H40" s="580">
        <f t="shared" si="321"/>
        <v>0.26450000000000001</v>
      </c>
      <c r="I40" s="572">
        <f t="shared" si="321"/>
        <v>0.52</v>
      </c>
      <c r="J40" s="483">
        <f t="shared" si="94"/>
        <v>5.1180000000000003</v>
      </c>
      <c r="K40" s="806">
        <f t="shared" si="321"/>
        <v>1313</v>
      </c>
      <c r="L40" s="309"/>
      <c r="M40" s="164">
        <f t="shared" si="4"/>
        <v>5.1180000000000003</v>
      </c>
      <c r="N40" s="575">
        <f t="shared" si="5"/>
        <v>-2.4855844977590573</v>
      </c>
      <c r="O40" s="572">
        <f t="shared" si="6"/>
        <v>-1.6771780431638084</v>
      </c>
      <c r="P40" s="576">
        <f t="shared" si="7"/>
        <v>-0.20800062732989225</v>
      </c>
      <c r="Q40" s="528">
        <f t="shared" si="144"/>
        <v>214.00998209517385</v>
      </c>
      <c r="R40" s="572">
        <f t="shared" si="95"/>
        <v>2.9985090435032751</v>
      </c>
      <c r="S40" s="577">
        <f t="shared" si="96"/>
        <v>-0.20800062732989225</v>
      </c>
      <c r="T40" s="578">
        <f t="shared" si="97"/>
        <v>-1.7074192583341623</v>
      </c>
      <c r="U40" s="572">
        <f t="shared" si="98"/>
        <v>2.4649089152016437</v>
      </c>
      <c r="V40" s="579">
        <f t="shared" si="145"/>
        <v>-0.20800062732989225</v>
      </c>
      <c r="W40" s="528">
        <f t="shared" si="268"/>
        <v>124.70998199410636</v>
      </c>
      <c r="X40" s="572">
        <f t="shared" si="99"/>
        <v>2.9985090435032751</v>
      </c>
      <c r="Y40" s="573">
        <f t="shared" si="271"/>
        <v>-0.20800062732989225</v>
      </c>
      <c r="Z40" s="575">
        <f t="shared" si="10"/>
        <v>-0.38329718890326075</v>
      </c>
      <c r="AA40" s="572">
        <f t="shared" si="11"/>
        <v>0.86516737853860193</v>
      </c>
      <c r="AB40" s="572">
        <f t="shared" si="12"/>
        <v>-0.32337079659657225</v>
      </c>
      <c r="AC40" s="579">
        <f t="shared" si="100"/>
        <v>1</v>
      </c>
      <c r="AD40" s="580">
        <f t="shared" si="146"/>
        <v>-0.38329718890326075</v>
      </c>
      <c r="AE40" s="572">
        <f t="shared" si="101"/>
        <v>0.86516737853860193</v>
      </c>
      <c r="AF40" s="576">
        <f t="shared" si="102"/>
        <v>-0.32337079659657225</v>
      </c>
      <c r="AG40" s="545">
        <f t="shared" si="103"/>
        <v>69.505928550411753</v>
      </c>
      <c r="AH40" s="546">
        <f t="shared" si="104"/>
        <v>112.53806827652321</v>
      </c>
      <c r="AI40" s="528">
        <f t="shared" si="105"/>
        <v>-71.133100623658834</v>
      </c>
      <c r="AJ40" s="529">
        <f t="shared" si="106"/>
        <v>-156.10510509764535</v>
      </c>
      <c r="AK40" s="578">
        <f t="shared" si="247"/>
        <v>0.93156439175978734</v>
      </c>
      <c r="AL40" s="572">
        <f t="shared" si="107"/>
        <v>-0.16618998740512536</v>
      </c>
      <c r="AM40" s="577">
        <f t="shared" si="108"/>
        <v>-0.32337079659657225</v>
      </c>
      <c r="AN40" s="524">
        <f t="shared" si="109"/>
        <v>-27.199996072806432</v>
      </c>
      <c r="AO40" s="525">
        <f t="shared" si="110"/>
        <v>21.319996921773289</v>
      </c>
      <c r="AP40" s="528">
        <f t="shared" si="111"/>
        <v>-10.1150871928192</v>
      </c>
      <c r="AQ40" s="529">
        <f t="shared" si="13"/>
        <v>0.76024210979696294</v>
      </c>
      <c r="AR40" s="979"/>
      <c r="AS40" s="954">
        <f t="shared" si="147"/>
        <v>-235.29001800589364</v>
      </c>
      <c r="AT40" s="950">
        <f t="shared" si="14"/>
        <v>-4.4118670451540748E-2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5.1180000000000003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1313</v>
      </c>
      <c r="IM40" s="482" t="str">
        <f t="shared" si="242"/>
        <v/>
      </c>
      <c r="IN40" s="670" t="str">
        <f t="shared" si="81"/>
        <v/>
      </c>
      <c r="IO40" s="702"/>
      <c r="IP40" s="5" t="str">
        <f t="shared" si="82"/>
        <v/>
      </c>
      <c r="IQ40" s="714"/>
      <c r="IR40" s="9" t="str">
        <f t="shared" si="13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  <c r="JM40" s="489">
        <f t="shared" si="133"/>
        <v>18</v>
      </c>
      <c r="JN40" s="960">
        <f>($JO40-SMALL($JO$9:$JO$88,1))/((Settings!$C$19/2)-((Settings!$C$19/2)-LARGE($JO$9:$JO$88,1))-SMALL($JO$9:$JO$88,1))</f>
        <v>0.72064467419868627</v>
      </c>
      <c r="JO40" s="162">
        <f t="shared" si="134"/>
        <v>2.9985090435032751</v>
      </c>
      <c r="JP40" s="961">
        <f t="shared" si="135"/>
        <v>-27.199996072806432</v>
      </c>
      <c r="JQ40" s="961">
        <f t="shared" si="136"/>
        <v>21.319996921773289</v>
      </c>
      <c r="JS40" s="82">
        <v>32</v>
      </c>
      <c r="JT40" s="322">
        <f t="shared" si="137"/>
        <v>3.9788120000969931</v>
      </c>
      <c r="JU40" s="963">
        <f t="shared" si="138"/>
        <v>0.98187603688661773</v>
      </c>
      <c r="JV40" s="961">
        <f t="shared" si="287"/>
        <v>-74.799989200217738</v>
      </c>
      <c r="JW40" s="961">
        <f t="shared" si="92"/>
        <v>28.879995830244454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-66.969995703056057</v>
      </c>
      <c r="KD40" s="970">
        <v>-76.096977142857128</v>
      </c>
      <c r="KE40" s="968">
        <f t="shared" si="140"/>
        <v>-9.1269814398010709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27.636408627754115</v>
      </c>
      <c r="KG40" s="966">
        <f t="shared" si="244"/>
        <v>-1.9838371428571264</v>
      </c>
      <c r="KH40" s="966">
        <f t="shared" si="141"/>
        <v>0.5208575542443441</v>
      </c>
      <c r="KJ40" s="31"/>
    </row>
    <row r="41" spans="1:296" ht="15" customHeight="1" x14ac:dyDescent="0.25">
      <c r="A41" s="75">
        <f t="shared" ref="A41:A72" si="322">IF($K41="","",IF(AND($A$8="Y",ISNUMBER($K41)),$A$5,0))</f>
        <v>0</v>
      </c>
      <c r="B41" s="578">
        <f t="shared" ref="B41:D41" si="323">IFERROR(O196+($A41*-E41),"")</f>
        <v>-2.9858479940693243</v>
      </c>
      <c r="C41" s="572">
        <f t="shared" si="323"/>
        <v>-1.952394626161114</v>
      </c>
      <c r="D41" s="576">
        <f t="shared" si="323"/>
        <v>-0.59500179452541235</v>
      </c>
      <c r="E41" s="580">
        <f t="shared" ref="E41:K41" si="324">R196</f>
        <v>0.24086566162374121</v>
      </c>
      <c r="F41" s="572">
        <f t="shared" si="324"/>
        <v>-0.92921035201955138</v>
      </c>
      <c r="G41" s="579">
        <f t="shared" si="324"/>
        <v>0.28027103801545189</v>
      </c>
      <c r="H41" s="580">
        <f t="shared" si="324"/>
        <v>0.26450000000000001</v>
      </c>
      <c r="I41" s="572">
        <f t="shared" si="324"/>
        <v>0.52</v>
      </c>
      <c r="J41" s="483">
        <f t="shared" si="94"/>
        <v>5.1239999999999997</v>
      </c>
      <c r="K41" s="806">
        <f t="shared" si="324"/>
        <v>1313</v>
      </c>
      <c r="L41" s="309"/>
      <c r="M41" s="164">
        <f t="shared" ref="M41:M72" si="325">IF(J41="","",VALUE(J41))</f>
        <v>5.1239999999999997</v>
      </c>
      <c r="N41" s="575">
        <f t="shared" ref="N41:N72" si="326">IF(M41="","",B41)</f>
        <v>-2.9858479940693243</v>
      </c>
      <c r="O41" s="572">
        <f t="shared" ref="O41:O72" si="327">IF(M41="","",C41)</f>
        <v>-1.952394626161114</v>
      </c>
      <c r="P41" s="576">
        <f t="shared" ref="P41:P72" si="328">IF(M41="","",D41)</f>
        <v>-0.59500179452541235</v>
      </c>
      <c r="Q41" s="528">
        <f t="shared" si="144"/>
        <v>213.17998221501102</v>
      </c>
      <c r="R41" s="572">
        <f t="shared" si="95"/>
        <v>3.5675107596124502</v>
      </c>
      <c r="S41" s="577">
        <f t="shared" si="96"/>
        <v>-0.59500179452541235</v>
      </c>
      <c r="T41" s="578">
        <f t="shared" si="97"/>
        <v>-1.9887270205002476</v>
      </c>
      <c r="U41" s="572">
        <f t="shared" si="98"/>
        <v>2.9617727559491818</v>
      </c>
      <c r="V41" s="579">
        <f t="shared" si="145"/>
        <v>-0.59500179452541235</v>
      </c>
      <c r="W41" s="528">
        <f t="shared" si="268"/>
        <v>123.87998211394353</v>
      </c>
      <c r="X41" s="572">
        <f t="shared" si="99"/>
        <v>3.5675107596124502</v>
      </c>
      <c r="Y41" s="573">
        <f t="shared" si="271"/>
        <v>-0.59500179452541235</v>
      </c>
      <c r="Z41" s="575">
        <f t="shared" ref="Z41:Z72" si="329">IF(M41="","",-E41)</f>
        <v>-0.24086566162374121</v>
      </c>
      <c r="AA41" s="572">
        <f t="shared" ref="AA41:AA72" si="330">IF(M41="","",-F41)</f>
        <v>0.92921035201955138</v>
      </c>
      <c r="AB41" s="572">
        <f t="shared" ref="AB41:AB72" si="331">IF(M41="","",-G41)</f>
        <v>-0.28027103801545189</v>
      </c>
      <c r="AC41" s="579">
        <f t="shared" si="100"/>
        <v>1</v>
      </c>
      <c r="AD41" s="580">
        <f t="shared" si="146"/>
        <v>-0.24086566162374121</v>
      </c>
      <c r="AE41" s="572">
        <f t="shared" si="101"/>
        <v>0.92921035201955138</v>
      </c>
      <c r="AF41" s="576">
        <f t="shared" si="102"/>
        <v>-0.28027103801545189</v>
      </c>
      <c r="AG41" s="545">
        <f t="shared" si="103"/>
        <v>73.215490977791944</v>
      </c>
      <c r="AH41" s="546">
        <f t="shared" si="104"/>
        <v>103.93763803245859</v>
      </c>
      <c r="AI41" s="528">
        <f t="shared" si="105"/>
        <v>-73.723618235410868</v>
      </c>
      <c r="AJ41" s="529">
        <f t="shared" si="106"/>
        <v>-165.46789797529163</v>
      </c>
      <c r="AK41" s="578">
        <f t="shared" si="247"/>
        <v>0.90952653198989886</v>
      </c>
      <c r="AL41" s="572">
        <f t="shared" si="107"/>
        <v>-0.30693587743398232</v>
      </c>
      <c r="AM41" s="577">
        <f t="shared" si="108"/>
        <v>-0.28027103801545189</v>
      </c>
      <c r="AN41" s="524">
        <f t="shared" si="109"/>
        <v>-47.599993127411324</v>
      </c>
      <c r="AO41" s="525">
        <f t="shared" si="110"/>
        <v>24.559996453975234</v>
      </c>
      <c r="AP41" s="528">
        <f t="shared" si="111"/>
        <v>-18.647880190302669</v>
      </c>
      <c r="AQ41" s="529">
        <f t="shared" ref="AQ41:AQ72" si="332">IF(M41="","",DEGREES(ATAN(($AS$5*SIN(RADIANS(90)))/(($X41*2*PI())-($AS$5*COS(RADIANS(90)))))))</f>
        <v>0.63899796430290523</v>
      </c>
      <c r="AR41" s="979"/>
      <c r="AS41" s="954">
        <f t="shared" si="147"/>
        <v>-236.12001788605647</v>
      </c>
      <c r="AT41" s="950">
        <f t="shared" ref="AT41:AT72" si="333">IF(M41="","",Y41+(((AS41-$AS$9)*$AS$6)*-1))</f>
        <v>-0.43054344884139223</v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41"/>
        <v>5.1239999999999997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85">IF(ISNUMBER($IK41),INDEX($K$9:$K$150,MATCH($IK41,$M$9:$M$150,0)),$K41)</f>
        <v>1313</v>
      </c>
      <c r="IM41" s="482" t="str">
        <f t="shared" si="242"/>
        <v/>
      </c>
      <c r="IN41" s="670" t="str">
        <f t="shared" ref="IN41:IN72" si="486">IF(ISNUMBER($IK41),IFERROR(IF(INDEX($W$9:$W$150,MATCH($IK41,$M$9:$M$150,0))&lt;$W41,((INDEX($W$9:$W$150,MATCH($IK41,$M$9:$M$150,0))+360)-$W41),INDEX($W$9:$W$150,MATCH($IK41,$M$9:$M$150,0))-$W41),""),"")</f>
        <v/>
      </c>
      <c r="IO41" s="702">
        <v>5.1520140625573099E-2</v>
      </c>
      <c r="IP41" s="5" t="str">
        <f t="shared" ref="IP41:IP72" si="487">IF(ISNUMBER($IK41),(($IQ41*12)/60)/$AS$3,"")</f>
        <v/>
      </c>
      <c r="IQ41" s="714">
        <v>80</v>
      </c>
      <c r="IR41" s="9" t="str">
        <f t="shared" ref="IR41:IR72" si="488">IF(ISNUMBER($IK41),(INDEX($X$9:$X$150,MATCH($IK41,$M$9:$M$150,0))*-1),"")</f>
        <v/>
      </c>
      <c r="IS41" s="5" t="str">
        <f t="shared" ref="IS41:IS72" si="489">IF(ISNUMBER($IK41),INDEX($Y$9:$Y$150,MATCH($IK41,$M$9:$M$150,0)),"")</f>
        <v/>
      </c>
      <c r="IT41" s="5" t="str">
        <f t="shared" ref="IT41:IT72" si="490">IF(ISNUMBER($IK41),INDEX($H$9:$H$150,MATCH($IK41,$M$9:$M$150,0)),"")</f>
        <v/>
      </c>
      <c r="IU41" s="5" t="str">
        <f t="shared" ref="IU41:IU72" si="491">IF(ISNUMBER($IK41),$IT41*COS(RADIANS(INDEX($AO$9:$AO$150,MATCH($IK41,$M$9:$M$150,0)))),"")</f>
        <v/>
      </c>
      <c r="IV41" s="670" t="str">
        <f t="shared" ref="IV41:IV72" si="492">IF(ISNUMBER($IK41),(-1*INDEX($AN$9:$AN$150,MATCH($IK41,$M$9:$M$150,0))),"")</f>
        <v/>
      </c>
      <c r="IW41" s="9" t="str">
        <f t="shared" ref="IW41:IW72" si="493">IF(ISNUMBER($IK41),-$X41,"")</f>
        <v/>
      </c>
      <c r="IX41" s="5" t="str">
        <f t="shared" ref="IX41:IX72" si="494">IF(ISNUMBER($IK41),$Y41,"")</f>
        <v/>
      </c>
      <c r="IY41" s="5" t="str">
        <f t="shared" ref="IY41:IY72" si="495">IF(ISNUMBER($IK41),$H41,"")</f>
        <v/>
      </c>
      <c r="IZ41" s="5" t="str">
        <f t="shared" ref="IZ41:IZ72" si="496">IF(ISNUMBER($IK41),$IY41*COS(RADIANS($AO41)),"")</f>
        <v/>
      </c>
      <c r="JA41" s="705" t="str">
        <f t="shared" ref="JA41:JA72" si="497">IF(ISNUMBER($IK41),(-1*$AN41),"")</f>
        <v/>
      </c>
      <c r="JM41" s="489">
        <f t="shared" si="133"/>
        <v>24</v>
      </c>
      <c r="JN41" s="960">
        <f>($JO41-SMALL($JO$9:$JO$88,1))/((Settings!$C$19/2)-((Settings!$C$19/2)-LARGE($JO$9:$JO$88,1))-SMALL($JO$9:$JO$88,1))</f>
        <v>0.87227238548036812</v>
      </c>
      <c r="JO41" s="162">
        <f t="shared" si="134"/>
        <v>3.5675107596124502</v>
      </c>
      <c r="JP41" s="961">
        <f t="shared" si="135"/>
        <v>-47.599993127411324</v>
      </c>
      <c r="JQ41" s="961">
        <f t="shared" si="136"/>
        <v>24.559996453975234</v>
      </c>
      <c r="JS41" s="82">
        <v>33</v>
      </c>
      <c r="JT41" s="322">
        <f t="shared" si="137"/>
        <v>3.9953120498611421</v>
      </c>
      <c r="JU41" s="963">
        <f t="shared" si="138"/>
        <v>0.98627297403274705</v>
      </c>
      <c r="JV41" s="961">
        <f t="shared" si="287"/>
        <v>-78.199988709318575</v>
      </c>
      <c r="JW41" s="961">
        <f t="shared" si="92"/>
        <v>29.419995752278147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-70.176465574465652</v>
      </c>
      <c r="KD41" s="970">
        <v>-78.080814285714283</v>
      </c>
      <c r="KE41" s="968">
        <f t="shared" si="140"/>
        <v>-7.9043487112486304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28.145671489683849</v>
      </c>
      <c r="KG41" s="966">
        <f t="shared" si="244"/>
        <v>-1.9838371428571548</v>
      </c>
      <c r="KH41" s="966">
        <f t="shared" si="141"/>
        <v>0.50926286192973436</v>
      </c>
      <c r="KJ41" s="31"/>
    </row>
    <row r="42" spans="1:296" ht="15" customHeight="1" x14ac:dyDescent="0.25">
      <c r="A42" s="75">
        <f t="shared" si="322"/>
        <v>0</v>
      </c>
      <c r="B42" s="578">
        <f t="shared" ref="B42:D42" si="498">IFERROR(O197+($A42*-E42),"")</f>
        <v>-3.3010197813055635</v>
      </c>
      <c r="C42" s="572">
        <f t="shared" si="498"/>
        <v>-2.11677564238463</v>
      </c>
      <c r="D42" s="576">
        <f t="shared" si="498"/>
        <v>-1.1853035748755818</v>
      </c>
      <c r="E42" s="580">
        <f t="shared" ref="E42:K42" si="499">R197</f>
        <v>0.11348272551365081</v>
      </c>
      <c r="F42" s="572">
        <f t="shared" si="499"/>
        <v>-0.9780580459819922</v>
      </c>
      <c r="G42" s="579">
        <f t="shared" si="499"/>
        <v>0.17471156143736088</v>
      </c>
      <c r="H42" s="580">
        <f t="shared" si="499"/>
        <v>0.26450000000000001</v>
      </c>
      <c r="I42" s="572">
        <f t="shared" si="499"/>
        <v>0.52</v>
      </c>
      <c r="J42" s="483">
        <f t="shared" si="94"/>
        <v>5.13</v>
      </c>
      <c r="K42" s="806">
        <f t="shared" si="499"/>
        <v>1313</v>
      </c>
      <c r="L42" s="309"/>
      <c r="M42" s="164">
        <f t="shared" si="325"/>
        <v>5.13</v>
      </c>
      <c r="N42" s="575">
        <f t="shared" si="326"/>
        <v>-3.3010197813055635</v>
      </c>
      <c r="O42" s="572">
        <f t="shared" si="327"/>
        <v>-2.11677564238463</v>
      </c>
      <c r="P42" s="576">
        <f t="shared" si="328"/>
        <v>-1.1853035748755818</v>
      </c>
      <c r="Q42" s="528">
        <f t="shared" si="144"/>
        <v>212.66998228864585</v>
      </c>
      <c r="R42" s="572">
        <f t="shared" ref="R42:R47" si="500">IF(M42="","",SQRT(N42^2+O42^2))</f>
        <v>3.9214118269780713</v>
      </c>
      <c r="S42" s="577">
        <f t="shared" ref="S42:S47" si="501">IF(M42="","",P42)</f>
        <v>-1.1853035748755818</v>
      </c>
      <c r="T42" s="578">
        <f t="shared" ref="T42:T47" si="502">IF(M42="","",X42*COS(RADIANS(W42)))</f>
        <v>-2.1569462223482536</v>
      </c>
      <c r="U42" s="572">
        <f t="shared" ref="U42:U47" si="503">IF(M42="","",X42*SIN(RADIANS(W42)))</f>
        <v>3.2749127790921535</v>
      </c>
      <c r="V42" s="579">
        <f t="shared" ref="V42:V47" si="504">IF(M42="","",Y42)</f>
        <v>-1.1853035748755818</v>
      </c>
      <c r="W42" s="528">
        <f t="shared" si="268"/>
        <v>123.36998218757836</v>
      </c>
      <c r="X42" s="572">
        <f t="shared" ref="X42:X47" si="505">IF(M42="","",R42)</f>
        <v>3.9214118269780713</v>
      </c>
      <c r="Y42" s="573">
        <f t="shared" si="271"/>
        <v>-1.1853035748755818</v>
      </c>
      <c r="Z42" s="575">
        <f t="shared" si="329"/>
        <v>-0.11348272551365081</v>
      </c>
      <c r="AA42" s="572">
        <f t="shared" si="330"/>
        <v>0.9780580459819922</v>
      </c>
      <c r="AB42" s="572">
        <f t="shared" si="331"/>
        <v>-0.17471156143736088</v>
      </c>
      <c r="AC42" s="579">
        <f t="shared" ref="AC42:AC47" si="506">IF(M42="","",SQRT(Z42^2+AA42^2+AB42^2))</f>
        <v>1</v>
      </c>
      <c r="AD42" s="580">
        <f t="shared" ref="AD42:AD47" si="507">IF(M42="","",Z42*(1/SQRT(Z42^2+AA42^2+AB42^2)))</f>
        <v>-0.11348272551365081</v>
      </c>
      <c r="AE42" s="572">
        <f t="shared" ref="AE42:AE47" si="508">IF(M42="","",AA42*(1/SQRT(Z42^2+AA42^2+AB42^2)))</f>
        <v>0.9780580459819922</v>
      </c>
      <c r="AF42" s="576">
        <f t="shared" ref="AF42:AF47" si="509">IF(M42="","",AB42*(1/SQRT(Z42^2+AA42^2+AB42^2)))</f>
        <v>-0.17471156143736088</v>
      </c>
      <c r="AG42" s="545">
        <f t="shared" ref="AG42:AG47" si="510">IF(M42="","",DEGREES(ATAN2(-AF42,AE42)))</f>
        <v>79.872016426429653</v>
      </c>
      <c r="AH42" s="546">
        <f t="shared" ref="AH42:AH47" si="511">IF(M42="","",DEGREES(ACOS(AD42)))</f>
        <v>96.516118713649504</v>
      </c>
      <c r="AI42" s="528">
        <f t="shared" ref="AI42:AI47" si="512">IF(M42="","",DEGREES(-ACOS(-AF42)))</f>
        <v>-79.938126791780718</v>
      </c>
      <c r="AJ42" s="529">
        <f t="shared" ref="AJ42:AJ47" si="513">IF(M42="","",DEGREES(ATAN2(-AE42,AD42)))</f>
        <v>-173.38164406527216</v>
      </c>
      <c r="AK42" s="578">
        <f t="shared" ref="AK42:AK47" si="514">IF(M42="","",(COS(RADIANS((90-$Q$8)-W42))*AD42)+(-SIN(RADIANS((90-$Q$8)-W42))*AE42))</f>
        <v>0.88458100788752914</v>
      </c>
      <c r="AL42" s="572">
        <f t="shared" ref="AL42:AL47" si="515">IF(M42="","",(SIN(RADIANS((90-$Q$8)-W42))*AD42)+(COS(RADIANS((90-$Q$8)-W42))*AE42))</f>
        <v>-0.43242607551441958</v>
      </c>
      <c r="AM42" s="577">
        <f t="shared" ref="AM42:AM47" si="516">IF(M42="","",AF42)</f>
        <v>-0.17471156143736088</v>
      </c>
      <c r="AN42" s="524">
        <f t="shared" ref="AN42:AN47" si="517">IF(M42="","",DEGREES(ATAN2(-AM42,AL42)))</f>
        <v>-67.999990182016148</v>
      </c>
      <c r="AO42" s="525">
        <f t="shared" si="110"/>
        <v>27.79999598617718</v>
      </c>
      <c r="AP42" s="528">
        <f t="shared" ref="AP42:AP47" si="518">IF(M42="","",DEGREES(ATAN2(AK42,AL42)))</f>
        <v>-26.051626353917996</v>
      </c>
      <c r="AQ42" s="529">
        <f t="shared" si="332"/>
        <v>0.58133358676017144</v>
      </c>
      <c r="AR42" s="979"/>
      <c r="AS42" s="954">
        <f t="shared" si="147"/>
        <v>-236.63001781242164</v>
      </c>
      <c r="AT42" s="950">
        <f t="shared" si="333"/>
        <v>-1.0204910625760304</v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41"/>
        <v>5.13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85"/>
        <v>1313</v>
      </c>
      <c r="IM42" s="482" t="str">
        <f t="shared" si="242"/>
        <v/>
      </c>
      <c r="IN42" s="670" t="str">
        <f t="shared" si="486"/>
        <v/>
      </c>
      <c r="IO42" s="702">
        <v>3.9607104365600401E-2</v>
      </c>
      <c r="IP42" s="5" t="str">
        <f t="shared" si="487"/>
        <v/>
      </c>
      <c r="IQ42" s="714">
        <v>80</v>
      </c>
      <c r="IR42" s="9" t="str">
        <f t="shared" si="488"/>
        <v/>
      </c>
      <c r="IS42" s="5" t="str">
        <f t="shared" si="489"/>
        <v/>
      </c>
      <c r="IT42" s="5" t="str">
        <f t="shared" si="490"/>
        <v/>
      </c>
      <c r="IU42" s="5" t="str">
        <f t="shared" si="491"/>
        <v/>
      </c>
      <c r="IV42" s="670" t="str">
        <f t="shared" si="492"/>
        <v/>
      </c>
      <c r="IW42" s="9" t="str">
        <f t="shared" si="493"/>
        <v/>
      </c>
      <c r="IX42" s="5" t="str">
        <f t="shared" si="494"/>
        <v/>
      </c>
      <c r="IY42" s="5" t="str">
        <f t="shared" si="495"/>
        <v/>
      </c>
      <c r="IZ42" s="5" t="str">
        <f t="shared" si="496"/>
        <v/>
      </c>
      <c r="JA42" s="705" t="str">
        <f t="shared" si="497"/>
        <v/>
      </c>
      <c r="JM42" s="489">
        <f t="shared" si="133"/>
        <v>30</v>
      </c>
      <c r="JN42" s="960">
        <f>($JO42-SMALL($JO$9:$JO$88,1))/((Settings!$C$19/2)-((Settings!$C$19/2)-LARGE($JO$9:$JO$88,1))-SMALL($JO$9:$JO$88,1))</f>
        <v>0.96658002523886999</v>
      </c>
      <c r="JO42" s="162">
        <f t="shared" si="134"/>
        <v>3.9214118269780713</v>
      </c>
      <c r="JP42" s="961">
        <f t="shared" si="135"/>
        <v>-67.999990182016148</v>
      </c>
      <c r="JQ42" s="961">
        <f t="shared" si="136"/>
        <v>27.79999598617718</v>
      </c>
      <c r="JS42" s="82">
        <v>34</v>
      </c>
      <c r="JT42" s="322">
        <f t="shared" si="137"/>
        <v>4.003412074290817</v>
      </c>
      <c r="JU42" s="963">
        <f t="shared" si="138"/>
        <v>0.98843147044993829</v>
      </c>
      <c r="JV42" s="961">
        <f t="shared" si="287"/>
        <v>-81.599988218419384</v>
      </c>
      <c r="JW42" s="961">
        <f t="shared" si="92"/>
        <v>29.959995674311763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28.586335476153177</v>
      </c>
      <c r="KG42" s="966">
        <f t="shared" si="244"/>
        <v>-1.9838371428571406</v>
      </c>
      <c r="KH42" s="966">
        <f t="shared" si="141"/>
        <v>0.44066398646932825</v>
      </c>
      <c r="KJ42" s="31"/>
    </row>
    <row r="43" spans="1:296" ht="15" customHeight="1" x14ac:dyDescent="0.25">
      <c r="A43" s="75">
        <f t="shared" si="322"/>
        <v>0</v>
      </c>
      <c r="B43" s="578">
        <f t="shared" ref="B43:D43" si="522">IFERROR(O198+($A43*-E43),"")</f>
        <v>-3.4096380822602321</v>
      </c>
      <c r="C43" s="572">
        <f t="shared" si="522"/>
        <v>-2.1797146502868414</v>
      </c>
      <c r="D43" s="576">
        <f t="shared" si="522"/>
        <v>-1.9480058751857188</v>
      </c>
      <c r="E43" s="580">
        <f t="shared" ref="E43:K43" si="523">R198</f>
        <v>3.8096309444734515E-2</v>
      </c>
      <c r="F43" s="572">
        <f t="shared" si="523"/>
        <v>-0.99829451429045624</v>
      </c>
      <c r="G43" s="579">
        <f t="shared" si="523"/>
        <v>4.4234985523600237E-2</v>
      </c>
      <c r="H43" s="580">
        <f t="shared" si="523"/>
        <v>0.26450000000000001</v>
      </c>
      <c r="I43" s="572">
        <f t="shared" si="523"/>
        <v>0.52</v>
      </c>
      <c r="J43" s="483">
        <f t="shared" si="94"/>
        <v>5.1360000000000001</v>
      </c>
      <c r="K43" s="806">
        <f t="shared" si="523"/>
        <v>1313</v>
      </c>
      <c r="L43" s="309"/>
      <c r="M43" s="164">
        <f t="shared" si="325"/>
        <v>5.1360000000000001</v>
      </c>
      <c r="N43" s="575">
        <f t="shared" si="326"/>
        <v>-3.4096380822602321</v>
      </c>
      <c r="O43" s="572">
        <f t="shared" si="327"/>
        <v>-2.1797146502868414</v>
      </c>
      <c r="P43" s="576">
        <f t="shared" si="328"/>
        <v>-1.9480058751857188</v>
      </c>
      <c r="Q43" s="528">
        <f t="shared" si="144"/>
        <v>212.58998230019648</v>
      </c>
      <c r="R43" s="572">
        <f t="shared" si="500"/>
        <v>4.0468244104080329</v>
      </c>
      <c r="S43" s="577">
        <f t="shared" si="501"/>
        <v>-1.9480058751857188</v>
      </c>
      <c r="T43" s="578">
        <f t="shared" si="502"/>
        <v>-2.2212075227741903</v>
      </c>
      <c r="U43" s="572">
        <f t="shared" si="503"/>
        <v>3.3827540480273859</v>
      </c>
      <c r="V43" s="579">
        <f t="shared" si="504"/>
        <v>-1.9480058751857188</v>
      </c>
      <c r="W43" s="528">
        <f t="shared" si="268"/>
        <v>123.28998219912899</v>
      </c>
      <c r="X43" s="572">
        <f t="shared" si="505"/>
        <v>4.0468244104080329</v>
      </c>
      <c r="Y43" s="573">
        <f t="shared" si="271"/>
        <v>-1.9480058751857188</v>
      </c>
      <c r="Z43" s="575">
        <f t="shared" si="329"/>
        <v>-3.8096309444734515E-2</v>
      </c>
      <c r="AA43" s="572">
        <f t="shared" si="330"/>
        <v>0.99829451429045624</v>
      </c>
      <c r="AB43" s="572">
        <f t="shared" si="331"/>
        <v>-4.4234985523600237E-2</v>
      </c>
      <c r="AC43" s="579">
        <f t="shared" si="506"/>
        <v>1</v>
      </c>
      <c r="AD43" s="580">
        <f t="shared" si="507"/>
        <v>-3.8096309444734515E-2</v>
      </c>
      <c r="AE43" s="572">
        <f t="shared" si="508"/>
        <v>0.99829451429045624</v>
      </c>
      <c r="AF43" s="576">
        <f t="shared" si="509"/>
        <v>-4.4234985523600237E-2</v>
      </c>
      <c r="AG43" s="545">
        <f t="shared" si="510"/>
        <v>87.462851754062953</v>
      </c>
      <c r="AH43" s="546">
        <f t="shared" si="511"/>
        <v>92.183286074524901</v>
      </c>
      <c r="AI43" s="528">
        <f t="shared" si="512"/>
        <v>-87.464694744176228</v>
      </c>
      <c r="AJ43" s="529">
        <f t="shared" si="513"/>
        <v>-177.81457369308131</v>
      </c>
      <c r="AK43" s="578">
        <f t="shared" si="514"/>
        <v>0.86162919945004413</v>
      </c>
      <c r="AL43" s="572">
        <f t="shared" si="515"/>
        <v>-0.50560695081337936</v>
      </c>
      <c r="AM43" s="577">
        <f t="shared" si="516"/>
        <v>-4.4234985523600237E-2</v>
      </c>
      <c r="AN43" s="524">
        <f t="shared" si="517"/>
        <v>-84.999987727520178</v>
      </c>
      <c r="AO43" s="525">
        <f t="shared" si="110"/>
        <v>30.499995596345457</v>
      </c>
      <c r="AP43" s="528">
        <f t="shared" si="518"/>
        <v>-30.404555993277807</v>
      </c>
      <c r="AQ43" s="529">
        <f t="shared" si="332"/>
        <v>0.56331902367347442</v>
      </c>
      <c r="AR43" s="979"/>
      <c r="AS43" s="954">
        <f t="shared" ref="AS43:AS74" si="524">IF(G43="","",IF(AND(W43&lt;(AS42+180),W43&gt;(AS42-180)),W43,IF(W43&gt;(AS42+180),W43-360,IF(W43&lt;(AS42-180),W43+360,"Error"))))</f>
        <v>-236.71001780087101</v>
      </c>
      <c r="AT43" s="950">
        <f t="shared" si="333"/>
        <v>-1.783137807338633</v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41"/>
        <v>5.1360000000000001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85"/>
        <v>1313</v>
      </c>
      <c r="IM43" s="482" t="str">
        <f t="shared" si="242"/>
        <v/>
      </c>
      <c r="IN43" s="670" t="str">
        <f t="shared" si="486"/>
        <v/>
      </c>
      <c r="IO43" s="702">
        <v>9.1691308993507806E-3</v>
      </c>
      <c r="IP43" s="5" t="str">
        <f t="shared" si="487"/>
        <v/>
      </c>
      <c r="IQ43" s="714">
        <v>140</v>
      </c>
      <c r="IR43" s="9" t="str">
        <f t="shared" si="488"/>
        <v/>
      </c>
      <c r="IS43" s="5" t="str">
        <f t="shared" si="489"/>
        <v/>
      </c>
      <c r="IT43" s="5" t="str">
        <f t="shared" si="490"/>
        <v/>
      </c>
      <c r="IU43" s="5" t="str">
        <f t="shared" si="491"/>
        <v/>
      </c>
      <c r="IV43" s="670" t="str">
        <f t="shared" si="492"/>
        <v/>
      </c>
      <c r="IW43" s="9" t="str">
        <f t="shared" si="493"/>
        <v/>
      </c>
      <c r="IX43" s="5" t="str">
        <f t="shared" si="494"/>
        <v/>
      </c>
      <c r="IY43" s="5" t="str">
        <f t="shared" si="495"/>
        <v/>
      </c>
      <c r="IZ43" s="5" t="str">
        <f t="shared" si="496"/>
        <v/>
      </c>
      <c r="JA43" s="705" t="str">
        <f t="shared" si="497"/>
        <v/>
      </c>
      <c r="JM43" s="489">
        <f t="shared" si="133"/>
        <v>36</v>
      </c>
      <c r="JN43" s="960">
        <f>($JO43-SMALL($JO$9:$JO$88,1))/((Settings!$C$19/2)-((Settings!$C$19/2)-LARGE($JO$9:$JO$88,1))-SMALL($JO$9:$JO$88,1))</f>
        <v>0.99999999999999956</v>
      </c>
      <c r="JO43" s="162">
        <f t="shared" si="134"/>
        <v>4.0468244104080329</v>
      </c>
      <c r="JP43" s="961">
        <f t="shared" si="135"/>
        <v>-84.999987727520178</v>
      </c>
      <c r="JQ43" s="961">
        <f t="shared" si="136"/>
        <v>30.499995596345457</v>
      </c>
      <c r="JS43" s="82">
        <v>35</v>
      </c>
      <c r="JT43" s="322">
        <f t="shared" si="137"/>
        <v>4.0468244104080346</v>
      </c>
      <c r="JU43" s="963">
        <f t="shared" si="138"/>
        <v>1</v>
      </c>
      <c r="JV43" s="961">
        <f t="shared" si="287"/>
        <v>-84.999987727520207</v>
      </c>
      <c r="JW43" s="961">
        <f t="shared" si="92"/>
        <v>30.499995596345446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29.581606776662387</v>
      </c>
      <c r="KG43" s="966">
        <f t="shared" si="244"/>
        <v>-1.9838371428571548</v>
      </c>
      <c r="KH43" s="966">
        <f t="shared" si="141"/>
        <v>0.99527130050920931</v>
      </c>
      <c r="KJ43" s="31"/>
    </row>
    <row r="44" spans="1:296" ht="15" customHeight="1" x14ac:dyDescent="0.25">
      <c r="A44" s="75">
        <f t="shared" si="322"/>
        <v>0</v>
      </c>
      <c r="B44" s="578">
        <f t="shared" ref="B44:D44" si="527">IFERROR(O199+($A44*-E44),"")</f>
        <v>-1.9064797699469747</v>
      </c>
      <c r="C44" s="572">
        <f t="shared" si="527"/>
        <v>1.1064821218765786</v>
      </c>
      <c r="D44" s="576">
        <f t="shared" si="527"/>
        <v>-0.10610031999856512</v>
      </c>
      <c r="E44" s="580">
        <f t="shared" ref="E44:K44" si="528">R199</f>
        <v>-0.49408425732901073</v>
      </c>
      <c r="F44" s="572">
        <f t="shared" si="528"/>
        <v>-0.81570547148363437</v>
      </c>
      <c r="G44" s="579">
        <f t="shared" si="528"/>
        <v>0.30084103850921318</v>
      </c>
      <c r="H44" s="580">
        <f t="shared" si="528"/>
        <v>0.26450000000000001</v>
      </c>
      <c r="I44" s="572">
        <f t="shared" si="528"/>
        <v>0.52</v>
      </c>
      <c r="J44" s="483">
        <f t="shared" si="94"/>
        <v>6.1109999999999998</v>
      </c>
      <c r="K44" s="806">
        <f t="shared" si="528"/>
        <v>1313</v>
      </c>
      <c r="L44" s="309"/>
      <c r="M44" s="164">
        <f t="shared" si="325"/>
        <v>6.1109999999999998</v>
      </c>
      <c r="N44" s="575">
        <f t="shared" si="326"/>
        <v>-1.9064797699469747</v>
      </c>
      <c r="O44" s="572">
        <f t="shared" si="327"/>
        <v>1.1064821218765786</v>
      </c>
      <c r="P44" s="576">
        <f t="shared" si="328"/>
        <v>-0.10610031999856512</v>
      </c>
      <c r="Q44" s="528">
        <f t="shared" si="144"/>
        <v>149.86999135584276</v>
      </c>
      <c r="R44" s="572">
        <f t="shared" si="500"/>
        <v>2.2043066481888505</v>
      </c>
      <c r="S44" s="577">
        <f t="shared" si="501"/>
        <v>-0.10610031999856512</v>
      </c>
      <c r="T44" s="578">
        <f t="shared" si="502"/>
        <v>1.0831080831848439</v>
      </c>
      <c r="U44" s="572">
        <f t="shared" si="503"/>
        <v>1.9198553798109943</v>
      </c>
      <c r="V44" s="579">
        <f t="shared" si="504"/>
        <v>-0.10610031999856512</v>
      </c>
      <c r="W44" s="528">
        <f t="shared" si="268"/>
        <v>60.56999125477526</v>
      </c>
      <c r="X44" s="572">
        <f t="shared" si="505"/>
        <v>2.2043066481888505</v>
      </c>
      <c r="Y44" s="573">
        <f t="shared" si="271"/>
        <v>-0.10610031999856512</v>
      </c>
      <c r="Z44" s="575">
        <f t="shared" si="329"/>
        <v>0.49408425732901073</v>
      </c>
      <c r="AA44" s="572">
        <f t="shared" si="330"/>
        <v>0.81570547148363437</v>
      </c>
      <c r="AB44" s="572">
        <f t="shared" si="331"/>
        <v>-0.30084103850921318</v>
      </c>
      <c r="AC44" s="579">
        <f t="shared" si="506"/>
        <v>1</v>
      </c>
      <c r="AD44" s="580">
        <f t="shared" si="507"/>
        <v>0.49408425732901073</v>
      </c>
      <c r="AE44" s="572">
        <f t="shared" si="508"/>
        <v>0.81570547148363437</v>
      </c>
      <c r="AF44" s="576">
        <f t="shared" si="509"/>
        <v>-0.30084103850921318</v>
      </c>
      <c r="AG44" s="545">
        <f t="shared" si="510"/>
        <v>69.755477834499388</v>
      </c>
      <c r="AH44" s="546">
        <f t="shared" si="511"/>
        <v>60.390616658015595</v>
      </c>
      <c r="AI44" s="528">
        <f t="shared" si="512"/>
        <v>-72.491875160175368</v>
      </c>
      <c r="AJ44" s="529">
        <f t="shared" si="513"/>
        <v>148.7961219435565</v>
      </c>
      <c r="AK44" s="578">
        <f t="shared" si="514"/>
        <v>0.95350679941956729</v>
      </c>
      <c r="AL44" s="572">
        <f t="shared" si="515"/>
        <v>-1.7873248427508315E-2</v>
      </c>
      <c r="AM44" s="577">
        <f t="shared" si="516"/>
        <v>-0.30084103850921318</v>
      </c>
      <c r="AN44" s="524">
        <f t="shared" si="517"/>
        <v>-3.399999509100788</v>
      </c>
      <c r="AO44" s="525">
        <f t="shared" si="110"/>
        <v>17.539997467537663</v>
      </c>
      <c r="AP44" s="528">
        <f t="shared" si="518"/>
        <v>-1.0738694122862573</v>
      </c>
      <c r="AQ44" s="529">
        <f t="shared" si="332"/>
        <v>1.034102532671505</v>
      </c>
      <c r="AR44" s="979"/>
      <c r="AS44" s="954">
        <f t="shared" si="524"/>
        <v>-299.43000874522477</v>
      </c>
      <c r="AT44" s="950">
        <f t="shared" si="333"/>
        <v>0.102323297115433</v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41"/>
        <v>6.1109999999999998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85"/>
        <v>1313</v>
      </c>
      <c r="IM44" s="482" t="str">
        <f t="shared" si="242"/>
        <v/>
      </c>
      <c r="IN44" s="670" t="str">
        <f t="shared" si="486"/>
        <v/>
      </c>
      <c r="IO44" s="702">
        <v>7.6066951695147296E-3</v>
      </c>
      <c r="IP44" s="5" t="str">
        <f t="shared" si="487"/>
        <v/>
      </c>
      <c r="IQ44" s="714">
        <v>140</v>
      </c>
      <c r="IR44" s="9" t="str">
        <f t="shared" si="488"/>
        <v/>
      </c>
      <c r="IS44" s="5" t="str">
        <f t="shared" si="489"/>
        <v/>
      </c>
      <c r="IT44" s="5" t="str">
        <f t="shared" si="490"/>
        <v/>
      </c>
      <c r="IU44" s="5" t="str">
        <f t="shared" si="491"/>
        <v/>
      </c>
      <c r="IV44" s="670" t="str">
        <f t="shared" si="492"/>
        <v/>
      </c>
      <c r="IW44" s="9" t="str">
        <f t="shared" si="493"/>
        <v/>
      </c>
      <c r="IX44" s="5" t="str">
        <f t="shared" si="494"/>
        <v/>
      </c>
      <c r="IY44" s="5" t="str">
        <f t="shared" si="495"/>
        <v/>
      </c>
      <c r="IZ44" s="5" t="str">
        <f t="shared" si="496"/>
        <v/>
      </c>
      <c r="JA44" s="705" t="str">
        <f t="shared" si="497"/>
        <v/>
      </c>
      <c r="JM44" s="489">
        <f t="shared" si="133"/>
        <v>11</v>
      </c>
      <c r="JN44" s="960">
        <f>($JO44-SMALL($JO$9:$JO$88,1))/((Settings!$C$19/2)-((Settings!$C$19/2)-LARGE($JO$9:$JO$88,1))-SMALL($JO$9:$JO$88,1))</f>
        <v>0.50900543289831401</v>
      </c>
      <c r="JO44" s="162">
        <f t="shared" si="134"/>
        <v>2.2043066481888505</v>
      </c>
      <c r="JP44" s="961">
        <f t="shared" si="135"/>
        <v>-3.399999509100788</v>
      </c>
      <c r="JQ44" s="961">
        <f t="shared" si="136"/>
        <v>17.539997467537663</v>
      </c>
      <c r="JS44" s="82">
        <v>36</v>
      </c>
      <c r="JT44" s="322">
        <f t="shared" si="137"/>
        <v>4.0468244104080329</v>
      </c>
      <c r="JU44" s="963">
        <f t="shared" si="138"/>
        <v>0.99999999999999956</v>
      </c>
      <c r="JV44" s="961">
        <f t="shared" si="287"/>
        <v>-84.999987727520178</v>
      </c>
      <c r="JW44" s="961">
        <f t="shared" si="92"/>
        <v>30.499995596345457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0.51839322333761473</v>
      </c>
      <c r="KJ44" s="31"/>
    </row>
    <row r="45" spans="1:296" ht="15" customHeight="1" x14ac:dyDescent="0.25">
      <c r="A45" s="75">
        <f t="shared" si="322"/>
        <v>0</v>
      </c>
      <c r="B45" s="578">
        <f t="shared" ref="B45:D45" si="529">IFERROR(O200+($A45*-E45),"")</f>
        <v>-2.4810242203165869</v>
      </c>
      <c r="C45" s="572">
        <f t="shared" si="529"/>
        <v>1.4813363373496613</v>
      </c>
      <c r="D45" s="576">
        <f t="shared" si="529"/>
        <v>-0.16890050940393606</v>
      </c>
      <c r="E45" s="580">
        <f t="shared" ref="E45:K45" si="530">R200</f>
        <v>-0.60222100944859724</v>
      </c>
      <c r="F45" s="572">
        <f t="shared" si="530"/>
        <v>-0.72935468140984649</v>
      </c>
      <c r="G45" s="579">
        <f t="shared" si="530"/>
        <v>0.32460992665698607</v>
      </c>
      <c r="H45" s="580">
        <f t="shared" si="530"/>
        <v>0.26450000000000001</v>
      </c>
      <c r="I45" s="572">
        <f t="shared" si="530"/>
        <v>0.52</v>
      </c>
      <c r="J45" s="483">
        <f t="shared" si="94"/>
        <v>6.117</v>
      </c>
      <c r="K45" s="806">
        <f t="shared" si="530"/>
        <v>1313</v>
      </c>
      <c r="L45" s="309"/>
      <c r="M45" s="164">
        <f t="shared" si="325"/>
        <v>6.117</v>
      </c>
      <c r="N45" s="575">
        <f t="shared" si="326"/>
        <v>-2.4810242203165869</v>
      </c>
      <c r="O45" s="572">
        <f t="shared" si="327"/>
        <v>1.4813363373496613</v>
      </c>
      <c r="P45" s="576">
        <f t="shared" si="328"/>
        <v>-0.16890050940393606</v>
      </c>
      <c r="Q45" s="528">
        <f t="shared" si="144"/>
        <v>149.159991458354</v>
      </c>
      <c r="R45" s="572">
        <f t="shared" si="500"/>
        <v>2.8896087150598846</v>
      </c>
      <c r="S45" s="577">
        <f t="shared" si="501"/>
        <v>-0.16890050940393606</v>
      </c>
      <c r="T45" s="578">
        <f t="shared" si="502"/>
        <v>1.4509151141519698</v>
      </c>
      <c r="U45" s="572">
        <f t="shared" si="503"/>
        <v>2.4989365453479233</v>
      </c>
      <c r="V45" s="579">
        <f t="shared" si="504"/>
        <v>-0.16890050940393606</v>
      </c>
      <c r="W45" s="528">
        <f t="shared" si="268"/>
        <v>59.859991357286503</v>
      </c>
      <c r="X45" s="572">
        <f t="shared" si="505"/>
        <v>2.8896087150598846</v>
      </c>
      <c r="Y45" s="573">
        <f t="shared" si="271"/>
        <v>-0.16890050940393606</v>
      </c>
      <c r="Z45" s="575">
        <f t="shared" si="329"/>
        <v>0.60222100944859724</v>
      </c>
      <c r="AA45" s="572">
        <f t="shared" si="330"/>
        <v>0.72935468140984649</v>
      </c>
      <c r="AB45" s="572">
        <f t="shared" si="331"/>
        <v>-0.32460992665698607</v>
      </c>
      <c r="AC45" s="579">
        <f t="shared" si="506"/>
        <v>1</v>
      </c>
      <c r="AD45" s="580">
        <f t="shared" si="507"/>
        <v>0.60222100944859724</v>
      </c>
      <c r="AE45" s="572">
        <f t="shared" si="508"/>
        <v>0.72935468140984649</v>
      </c>
      <c r="AF45" s="576">
        <f t="shared" si="509"/>
        <v>-0.32460992665698607</v>
      </c>
      <c r="AG45" s="545">
        <f t="shared" si="510"/>
        <v>66.007848057369202</v>
      </c>
      <c r="AH45" s="546">
        <f t="shared" si="511"/>
        <v>52.970868113058707</v>
      </c>
      <c r="AI45" s="528">
        <f t="shared" si="512"/>
        <v>-71.058055805195721</v>
      </c>
      <c r="AJ45" s="529">
        <f t="shared" si="513"/>
        <v>140.45384659238357</v>
      </c>
      <c r="AK45" s="578">
        <f t="shared" si="514"/>
        <v>0.93494959373235731</v>
      </c>
      <c r="AL45" s="572">
        <f t="shared" si="515"/>
        <v>-0.1431700132550327</v>
      </c>
      <c r="AM45" s="577">
        <f t="shared" si="516"/>
        <v>-0.32460992665698607</v>
      </c>
      <c r="AN45" s="524">
        <f t="shared" si="517"/>
        <v>-23.799996563705609</v>
      </c>
      <c r="AO45" s="525">
        <f t="shared" si="110"/>
        <v>20.77999699973962</v>
      </c>
      <c r="AP45" s="528">
        <f t="shared" si="518"/>
        <v>-8.7061448659704297</v>
      </c>
      <c r="AQ45" s="529">
        <f t="shared" si="332"/>
        <v>0.78888970553460047</v>
      </c>
      <c r="AR45" s="979"/>
      <c r="AS45" s="954">
        <f t="shared" si="524"/>
        <v>-300.1400086427135</v>
      </c>
      <c r="AT45" s="950">
        <f t="shared" si="333"/>
        <v>4.0016163194429244E-2</v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41"/>
        <v>6.117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85"/>
        <v>1313</v>
      </c>
      <c r="IM45" s="482" t="str">
        <f t="shared" si="242"/>
        <v/>
      </c>
      <c r="IN45" s="670" t="str">
        <f t="shared" si="486"/>
        <v/>
      </c>
      <c r="IO45" s="702">
        <v>2.09608067072167E-2</v>
      </c>
      <c r="IP45" s="5" t="str">
        <f t="shared" si="487"/>
        <v/>
      </c>
      <c r="IQ45" s="714">
        <v>280</v>
      </c>
      <c r="IR45" s="9" t="str">
        <f t="shared" si="488"/>
        <v/>
      </c>
      <c r="IS45" s="5" t="str">
        <f t="shared" si="489"/>
        <v/>
      </c>
      <c r="IT45" s="5" t="str">
        <f t="shared" si="490"/>
        <v/>
      </c>
      <c r="IU45" s="5" t="str">
        <f t="shared" si="491"/>
        <v/>
      </c>
      <c r="IV45" s="670" t="str">
        <f t="shared" si="492"/>
        <v/>
      </c>
      <c r="IW45" s="9" t="str">
        <f t="shared" si="493"/>
        <v/>
      </c>
      <c r="IX45" s="5" t="str">
        <f t="shared" si="494"/>
        <v/>
      </c>
      <c r="IY45" s="5" t="str">
        <f t="shared" si="495"/>
        <v/>
      </c>
      <c r="IZ45" s="5" t="str">
        <f t="shared" si="496"/>
        <v/>
      </c>
      <c r="JA45" s="705" t="str">
        <f t="shared" si="497"/>
        <v/>
      </c>
      <c r="JM45" s="489">
        <f t="shared" si="133"/>
        <v>17</v>
      </c>
      <c r="JN45" s="960">
        <f>($JO45-SMALL($JO$9:$JO$88,1))/((Settings!$C$19/2)-((Settings!$C$19/2)-LARGE($JO$9:$JO$88,1))-SMALL($JO$9:$JO$88,1))</f>
        <v>0.69162488903423092</v>
      </c>
      <c r="JO45" s="162">
        <f t="shared" si="134"/>
        <v>2.8896087150598846</v>
      </c>
      <c r="JP45" s="961">
        <f t="shared" si="135"/>
        <v>-23.799996563705609</v>
      </c>
      <c r="JQ45" s="961">
        <f t="shared" si="136"/>
        <v>20.77999699973962</v>
      </c>
      <c r="JS45" s="82">
        <v>37</v>
      </c>
      <c r="JT45" s="322">
        <f t="shared" si="137"/>
        <v>4.0468244104080346</v>
      </c>
      <c r="JU45" s="963">
        <f t="shared" si="138"/>
        <v>1</v>
      </c>
      <c r="JV45" s="961">
        <f t="shared" si="287"/>
        <v>-84.999987727520178</v>
      </c>
      <c r="JW45" s="961">
        <f t="shared" si="92"/>
        <v>30.499995596345446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>
        <f t="shared" si="322"/>
        <v>0</v>
      </c>
      <c r="B46" s="578">
        <f t="shared" ref="B46:D46" si="531">IFERROR(O201+($A46*-E46),"")</f>
        <v>-2.9655751435783837</v>
      </c>
      <c r="C46" s="572">
        <f t="shared" si="531"/>
        <v>1.8308621948490724</v>
      </c>
      <c r="D46" s="576">
        <f t="shared" si="531"/>
        <v>-0.51390154992707449</v>
      </c>
      <c r="E46" s="580">
        <f t="shared" ref="E46:K46" si="532">R201</f>
        <v>-0.72130537038369391</v>
      </c>
      <c r="F46" s="572">
        <f t="shared" si="532"/>
        <v>-0.62813871744368865</v>
      </c>
      <c r="G46" s="579">
        <f t="shared" si="532"/>
        <v>0.29182240199107412</v>
      </c>
      <c r="H46" s="580">
        <f t="shared" si="532"/>
        <v>0.26450000000000001</v>
      </c>
      <c r="I46" s="572">
        <f t="shared" si="532"/>
        <v>0.52</v>
      </c>
      <c r="J46" s="483">
        <f t="shared" si="94"/>
        <v>6.1230000000000002</v>
      </c>
      <c r="K46" s="806">
        <f t="shared" si="532"/>
        <v>1313</v>
      </c>
      <c r="L46" s="309"/>
      <c r="M46" s="164">
        <f t="shared" si="325"/>
        <v>6.1230000000000002</v>
      </c>
      <c r="N46" s="575">
        <f t="shared" si="326"/>
        <v>-2.9655751435783837</v>
      </c>
      <c r="O46" s="572">
        <f t="shared" si="327"/>
        <v>1.8308621948490724</v>
      </c>
      <c r="P46" s="576">
        <f t="shared" si="328"/>
        <v>-0.51390154992707449</v>
      </c>
      <c r="Q46" s="528">
        <f t="shared" si="144"/>
        <v>148.30999158107883</v>
      </c>
      <c r="R46" s="572">
        <f t="shared" si="500"/>
        <v>3.4852105113949019</v>
      </c>
      <c r="S46" s="577">
        <f t="shared" si="501"/>
        <v>-0.51390154992707449</v>
      </c>
      <c r="T46" s="578">
        <f t="shared" si="502"/>
        <v>1.7944951282459434</v>
      </c>
      <c r="U46" s="572">
        <f t="shared" si="503"/>
        <v>2.9877214634967375</v>
      </c>
      <c r="V46" s="579">
        <f t="shared" si="504"/>
        <v>-0.51390154992707449</v>
      </c>
      <c r="W46" s="528">
        <f t="shared" si="268"/>
        <v>59.009991480011337</v>
      </c>
      <c r="X46" s="572">
        <f t="shared" si="505"/>
        <v>3.4852105113949019</v>
      </c>
      <c r="Y46" s="573">
        <f t="shared" si="271"/>
        <v>-0.51390154992707449</v>
      </c>
      <c r="Z46" s="575">
        <f t="shared" si="329"/>
        <v>0.72130537038369391</v>
      </c>
      <c r="AA46" s="572">
        <f t="shared" si="330"/>
        <v>0.62813871744368865</v>
      </c>
      <c r="AB46" s="572">
        <f t="shared" si="331"/>
        <v>-0.29182240199107412</v>
      </c>
      <c r="AC46" s="579">
        <f t="shared" si="506"/>
        <v>1</v>
      </c>
      <c r="AD46" s="580">
        <f t="shared" si="507"/>
        <v>0.72130537038369391</v>
      </c>
      <c r="AE46" s="572">
        <f t="shared" si="508"/>
        <v>0.62813871744368865</v>
      </c>
      <c r="AF46" s="576">
        <f t="shared" si="509"/>
        <v>-0.29182240199107412</v>
      </c>
      <c r="AG46" s="545">
        <f t="shared" si="510"/>
        <v>65.081232734223548</v>
      </c>
      <c r="AH46" s="546">
        <f t="shared" si="511"/>
        <v>43.837640341531269</v>
      </c>
      <c r="AI46" s="528">
        <f t="shared" si="512"/>
        <v>-73.032907884983402</v>
      </c>
      <c r="AJ46" s="529">
        <f t="shared" si="513"/>
        <v>131.05052278958661</v>
      </c>
      <c r="AK46" s="578">
        <f t="shared" si="514"/>
        <v>0.91340344875558577</v>
      </c>
      <c r="AL46" s="572">
        <f t="shared" si="515"/>
        <v>-0.28378482252855253</v>
      </c>
      <c r="AM46" s="577">
        <f t="shared" si="516"/>
        <v>-0.29182240199107412</v>
      </c>
      <c r="AN46" s="524">
        <f t="shared" si="517"/>
        <v>-44.199993618310472</v>
      </c>
      <c r="AO46" s="525">
        <f t="shared" si="110"/>
        <v>24.019996531941555</v>
      </c>
      <c r="AP46" s="528">
        <f t="shared" si="518"/>
        <v>-17.259468791492214</v>
      </c>
      <c r="AQ46" s="529">
        <f t="shared" si="332"/>
        <v>0.65408605570541667</v>
      </c>
      <c r="AR46" s="979"/>
      <c r="AS46" s="954">
        <f t="shared" si="524"/>
        <v>-300.99000851998869</v>
      </c>
      <c r="AT46" s="950">
        <f t="shared" si="333"/>
        <v>-0.304394599636157</v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41"/>
        <v>6.1230000000000002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85"/>
        <v>1313</v>
      </c>
      <c r="IM46" s="482" t="str">
        <f t="shared" si="242"/>
        <v/>
      </c>
      <c r="IN46" s="670" t="str">
        <f t="shared" si="486"/>
        <v/>
      </c>
      <c r="IO46" s="702">
        <v>2.0596001756787202E-2</v>
      </c>
      <c r="IP46" s="5" t="str">
        <f t="shared" si="487"/>
        <v/>
      </c>
      <c r="IQ46" s="714">
        <v>310</v>
      </c>
      <c r="IR46" s="9" t="str">
        <f t="shared" si="488"/>
        <v/>
      </c>
      <c r="IS46" s="5" t="str">
        <f t="shared" si="489"/>
        <v/>
      </c>
      <c r="IT46" s="5" t="str">
        <f t="shared" si="490"/>
        <v/>
      </c>
      <c r="IU46" s="5" t="str">
        <f t="shared" si="491"/>
        <v/>
      </c>
      <c r="IV46" s="670" t="str">
        <f t="shared" si="492"/>
        <v/>
      </c>
      <c r="IW46" s="9" t="str">
        <f t="shared" si="493"/>
        <v/>
      </c>
      <c r="IX46" s="5" t="str">
        <f t="shared" si="494"/>
        <v/>
      </c>
      <c r="IY46" s="5" t="str">
        <f t="shared" si="495"/>
        <v/>
      </c>
      <c r="IZ46" s="5" t="str">
        <f t="shared" si="496"/>
        <v/>
      </c>
      <c r="JA46" s="705" t="str">
        <f t="shared" si="497"/>
        <v/>
      </c>
      <c r="JM46" s="489">
        <f t="shared" si="133"/>
        <v>23</v>
      </c>
      <c r="JN46" s="960">
        <f>($JO46-SMALL($JO$9:$JO$88,1))/((Settings!$C$19/2)-((Settings!$C$19/2)-LARGE($JO$9:$JO$88,1))-SMALL($JO$9:$JO$88,1))</f>
        <v>0.85034099595755197</v>
      </c>
      <c r="JO46" s="162">
        <f t="shared" si="134"/>
        <v>3.4852105113949019</v>
      </c>
      <c r="JP46" s="961">
        <f t="shared" si="135"/>
        <v>-44.199993618310472</v>
      </c>
      <c r="JQ46" s="961">
        <f t="shared" si="136"/>
        <v>24.019996531941555</v>
      </c>
      <c r="JS46" s="82">
        <v>38</v>
      </c>
      <c r="JT46" s="322">
        <f t="shared" si="137"/>
        <v>4.0468244104080329</v>
      </c>
      <c r="JU46" s="963">
        <f t="shared" si="138"/>
        <v>0.99999999999999956</v>
      </c>
      <c r="JV46" s="961">
        <f t="shared" si="287"/>
        <v>-84.999987727520178</v>
      </c>
      <c r="JW46" s="961">
        <f t="shared" si="92"/>
        <v>30.499995596345446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>
        <f t="shared" si="322"/>
        <v>0</v>
      </c>
      <c r="B47" s="578">
        <f t="shared" ref="B47:D47" si="533">IFERROR(O202+($A47*-E47),"")</f>
        <v>-3.2810253795702726</v>
      </c>
      <c r="C47" s="572">
        <f t="shared" si="533"/>
        <v>2.0725761613552458</v>
      </c>
      <c r="D47" s="576">
        <f t="shared" si="533"/>
        <v>-1.0771032485433973</v>
      </c>
      <c r="E47" s="580">
        <f t="shared" ref="E47:K47" si="534">R202</f>
        <v>-0.82455086763885588</v>
      </c>
      <c r="F47" s="572">
        <f t="shared" si="534"/>
        <v>-0.53058217867979074</v>
      </c>
      <c r="G47" s="579">
        <f t="shared" si="534"/>
        <v>0.19646480179262821</v>
      </c>
      <c r="H47" s="580">
        <f t="shared" si="534"/>
        <v>0.26450000000000001</v>
      </c>
      <c r="I47" s="572">
        <f t="shared" si="534"/>
        <v>0.52</v>
      </c>
      <c r="J47" s="483">
        <f t="shared" si="94"/>
        <v>6.1289999999999996</v>
      </c>
      <c r="K47" s="806">
        <f t="shared" si="534"/>
        <v>1313</v>
      </c>
      <c r="L47" s="309"/>
      <c r="M47" s="164">
        <f t="shared" si="325"/>
        <v>6.1289999999999996</v>
      </c>
      <c r="N47" s="575">
        <f t="shared" si="326"/>
        <v>-3.2810253795702726</v>
      </c>
      <c r="O47" s="572">
        <f t="shared" si="327"/>
        <v>2.0725761613552458</v>
      </c>
      <c r="P47" s="576">
        <f t="shared" si="328"/>
        <v>-1.0771032485433973</v>
      </c>
      <c r="Q47" s="528">
        <f t="shared" si="144"/>
        <v>147.71999166626435</v>
      </c>
      <c r="R47" s="572">
        <f t="shared" si="500"/>
        <v>3.8808117045280999</v>
      </c>
      <c r="S47" s="577">
        <f t="shared" si="501"/>
        <v>-1.0771032485433973</v>
      </c>
      <c r="T47" s="578">
        <f t="shared" si="502"/>
        <v>2.0323372003217388</v>
      </c>
      <c r="U47" s="572">
        <f t="shared" si="503"/>
        <v>3.3061011766415578</v>
      </c>
      <c r="V47" s="579">
        <f t="shared" si="504"/>
        <v>-1.0771032485433973</v>
      </c>
      <c r="W47" s="528">
        <f t="shared" si="268"/>
        <v>58.419991565196852</v>
      </c>
      <c r="X47" s="572">
        <f t="shared" si="505"/>
        <v>3.8808117045280999</v>
      </c>
      <c r="Y47" s="573">
        <f t="shared" si="271"/>
        <v>-1.0771032485433973</v>
      </c>
      <c r="Z47" s="575">
        <f t="shared" si="329"/>
        <v>0.82455086763885588</v>
      </c>
      <c r="AA47" s="572">
        <f t="shared" si="330"/>
        <v>0.53058217867979074</v>
      </c>
      <c r="AB47" s="572">
        <f t="shared" si="331"/>
        <v>-0.19646480179262821</v>
      </c>
      <c r="AC47" s="579">
        <f t="shared" si="506"/>
        <v>1</v>
      </c>
      <c r="AD47" s="580">
        <f t="shared" si="507"/>
        <v>0.82455086763885588</v>
      </c>
      <c r="AE47" s="572">
        <f t="shared" si="508"/>
        <v>0.53058217867979074</v>
      </c>
      <c r="AF47" s="576">
        <f t="shared" si="509"/>
        <v>-0.19646480179262821</v>
      </c>
      <c r="AG47" s="545">
        <f t="shared" si="510"/>
        <v>69.681337480931717</v>
      </c>
      <c r="AH47" s="546">
        <f t="shared" si="511"/>
        <v>34.45701741438419</v>
      </c>
      <c r="AI47" s="528">
        <f t="shared" si="512"/>
        <v>-78.669694048250349</v>
      </c>
      <c r="AJ47" s="529">
        <f t="shared" si="513"/>
        <v>122.7604797882895</v>
      </c>
      <c r="AK47" s="578">
        <f t="shared" si="514"/>
        <v>0.8889372453355473</v>
      </c>
      <c r="AL47" s="572">
        <f t="shared" si="515"/>
        <v>-0.4137537377617661</v>
      </c>
      <c r="AM47" s="577">
        <f t="shared" si="516"/>
        <v>-0.19646480179262821</v>
      </c>
      <c r="AN47" s="524">
        <f t="shared" si="517"/>
        <v>-64.599990672915354</v>
      </c>
      <c r="AO47" s="525">
        <f t="shared" si="110"/>
        <v>27.25999606414355</v>
      </c>
      <c r="AP47" s="528">
        <f t="shared" si="518"/>
        <v>-24.959511877974865</v>
      </c>
      <c r="AQ47" s="529">
        <f t="shared" si="332"/>
        <v>0.58741493553732438</v>
      </c>
      <c r="AR47" s="979"/>
      <c r="AS47" s="954">
        <f t="shared" si="524"/>
        <v>-301.58000843480318</v>
      </c>
      <c r="AT47" s="950">
        <f t="shared" si="333"/>
        <v>-0.86718657608941419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41"/>
        <v>6.1289999999999996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85"/>
        <v>1313</v>
      </c>
      <c r="IM47" s="482" t="str">
        <f t="shared" si="242"/>
        <v/>
      </c>
      <c r="IN47" s="670" t="str">
        <f t="shared" si="486"/>
        <v/>
      </c>
      <c r="IO47" s="702"/>
      <c r="IP47" s="5" t="str">
        <f t="shared" si="487"/>
        <v/>
      </c>
      <c r="IQ47" s="714"/>
      <c r="IR47" s="9" t="str">
        <f t="shared" si="488"/>
        <v/>
      </c>
      <c r="IS47" s="5" t="str">
        <f t="shared" si="489"/>
        <v/>
      </c>
      <c r="IT47" s="5" t="str">
        <f t="shared" si="490"/>
        <v/>
      </c>
      <c r="IU47" s="5" t="str">
        <f t="shared" si="491"/>
        <v/>
      </c>
      <c r="IV47" s="670" t="str">
        <f t="shared" si="492"/>
        <v/>
      </c>
      <c r="IW47" s="9" t="str">
        <f t="shared" si="493"/>
        <v/>
      </c>
      <c r="IX47" s="5" t="str">
        <f t="shared" si="494"/>
        <v/>
      </c>
      <c r="IY47" s="5" t="str">
        <f t="shared" si="495"/>
        <v/>
      </c>
      <c r="IZ47" s="5" t="str">
        <f t="shared" si="496"/>
        <v/>
      </c>
      <c r="JA47" s="705" t="str">
        <f t="shared" si="497"/>
        <v/>
      </c>
      <c r="JM47" s="489">
        <f t="shared" si="133"/>
        <v>29</v>
      </c>
      <c r="JN47" s="960">
        <f>($JO47-SMALL($JO$9:$JO$88,1))/((Settings!$C$19/2)-((Settings!$C$19/2)-LARGE($JO$9:$JO$88,1))-SMALL($JO$9:$JO$88,1))</f>
        <v>0.95576089504899897</v>
      </c>
      <c r="JO47" s="162">
        <f t="shared" si="134"/>
        <v>3.8808117045280999</v>
      </c>
      <c r="JP47" s="961">
        <f t="shared" si="135"/>
        <v>-64.599990672915354</v>
      </c>
      <c r="JQ47" s="961">
        <f t="shared" si="136"/>
        <v>27.25999606414355</v>
      </c>
      <c r="JS47" s="82">
        <v>39</v>
      </c>
      <c r="JT47" s="322">
        <f t="shared" si="137"/>
        <v>4.0468244104080338</v>
      </c>
      <c r="JU47" s="963">
        <f t="shared" si="138"/>
        <v>0.99999999999999978</v>
      </c>
      <c r="JV47" s="961">
        <f t="shared" si="287"/>
        <v>-84.999987727520178</v>
      </c>
      <c r="JW47" s="961">
        <f t="shared" si="92"/>
        <v>30.499995596345482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>
        <f t="shared" si="322"/>
        <v>0</v>
      </c>
      <c r="B48" s="578">
        <f t="shared" ref="B48:D48" si="535">IFERROR(O203+($A48*-E48),"")</f>
        <v>-3.4164680358357762</v>
      </c>
      <c r="C48" s="572">
        <f t="shared" si="535"/>
        <v>2.1689937687293543</v>
      </c>
      <c r="D48" s="576">
        <f t="shared" si="535"/>
        <v>-1.8328055277414714</v>
      </c>
      <c r="E48" s="580">
        <f t="shared" ref="E48:K48" si="536">R203</f>
        <v>-0.88866182122048265</v>
      </c>
      <c r="F48" s="572">
        <f t="shared" si="536"/>
        <v>-0.4564246198013665</v>
      </c>
      <c r="G48" s="579">
        <f t="shared" si="536"/>
        <v>4.423498552359996E-2</v>
      </c>
      <c r="H48" s="580">
        <f t="shared" si="536"/>
        <v>0.26450000000000001</v>
      </c>
      <c r="I48" s="572">
        <f t="shared" si="536"/>
        <v>0.52</v>
      </c>
      <c r="J48" s="483">
        <f t="shared" si="94"/>
        <v>6.1349999999999998</v>
      </c>
      <c r="K48" s="806">
        <f t="shared" si="536"/>
        <v>1313</v>
      </c>
      <c r="L48" s="309"/>
      <c r="M48" s="164">
        <f t="shared" si="325"/>
        <v>6.1349999999999998</v>
      </c>
      <c r="N48" s="575">
        <f t="shared" si="326"/>
        <v>-3.4164680358357762</v>
      </c>
      <c r="O48" s="572">
        <f t="shared" si="327"/>
        <v>2.1689937687293543</v>
      </c>
      <c r="P48" s="576">
        <f t="shared" si="328"/>
        <v>-1.8328055277414714</v>
      </c>
      <c r="Q48" s="528">
        <f t="shared" si="144"/>
        <v>147.58999168503399</v>
      </c>
      <c r="R48" s="572">
        <f t="shared" si="95"/>
        <v>4.0468244104080346</v>
      </c>
      <c r="S48" s="577">
        <f t="shared" si="96"/>
        <v>-1.8328055277414714</v>
      </c>
      <c r="T48" s="578">
        <f t="shared" si="97"/>
        <v>2.1270929092133239</v>
      </c>
      <c r="U48" s="572">
        <f t="shared" si="98"/>
        <v>3.4427116585983111</v>
      </c>
      <c r="V48" s="579">
        <f t="shared" si="145"/>
        <v>-1.8328055277414714</v>
      </c>
      <c r="W48" s="528">
        <f t="shared" si="268"/>
        <v>58.289991583966497</v>
      </c>
      <c r="X48" s="572">
        <f t="shared" si="99"/>
        <v>4.0468244104080346</v>
      </c>
      <c r="Y48" s="573">
        <f t="shared" si="271"/>
        <v>-1.8328055277414714</v>
      </c>
      <c r="Z48" s="575">
        <f t="shared" si="329"/>
        <v>0.88866182122048265</v>
      </c>
      <c r="AA48" s="572">
        <f t="shared" si="330"/>
        <v>0.4564246198013665</v>
      </c>
      <c r="AB48" s="572">
        <f t="shared" si="331"/>
        <v>-4.423498552359996E-2</v>
      </c>
      <c r="AC48" s="579">
        <f t="shared" si="100"/>
        <v>1</v>
      </c>
      <c r="AD48" s="580">
        <f t="shared" si="146"/>
        <v>0.88866182122048265</v>
      </c>
      <c r="AE48" s="572">
        <f t="shared" si="101"/>
        <v>0.4564246198013665</v>
      </c>
      <c r="AF48" s="576">
        <f t="shared" si="102"/>
        <v>-4.423498552359996E-2</v>
      </c>
      <c r="AG48" s="545">
        <f t="shared" si="103"/>
        <v>84.464393385785755</v>
      </c>
      <c r="AH48" s="546">
        <f t="shared" si="104"/>
        <v>27.294429347543829</v>
      </c>
      <c r="AI48" s="528">
        <f t="shared" si="105"/>
        <v>-87.464694744176242</v>
      </c>
      <c r="AJ48" s="529">
        <f t="shared" si="106"/>
        <v>117.18543569175623</v>
      </c>
      <c r="AK48" s="578">
        <f t="shared" si="247"/>
        <v>0.86162919945004424</v>
      </c>
      <c r="AL48" s="572">
        <f t="shared" si="107"/>
        <v>-0.50560695081337903</v>
      </c>
      <c r="AM48" s="577">
        <f t="shared" si="108"/>
        <v>-4.423498552359996E-2</v>
      </c>
      <c r="AN48" s="524">
        <f t="shared" si="109"/>
        <v>-84.999987727520207</v>
      </c>
      <c r="AO48" s="525">
        <f t="shared" si="110"/>
        <v>30.499995596345446</v>
      </c>
      <c r="AP48" s="528">
        <f t="shared" si="111"/>
        <v>-30.404555993277789</v>
      </c>
      <c r="AQ48" s="529">
        <f t="shared" si="332"/>
        <v>0.56331902367347408</v>
      </c>
      <c r="AR48" s="979"/>
      <c r="AS48" s="954">
        <f t="shared" si="524"/>
        <v>-301.71000841603347</v>
      </c>
      <c r="AT48" s="950">
        <f t="shared" si="333"/>
        <v>-1.6227985775227451</v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41"/>
        <v>6.1349999999999998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85"/>
        <v>1313</v>
      </c>
      <c r="IM48" s="482" t="str">
        <f t="shared" si="242"/>
        <v/>
      </c>
      <c r="IN48" s="670" t="str">
        <f t="shared" si="486"/>
        <v/>
      </c>
      <c r="IO48" s="702"/>
      <c r="IP48" s="5" t="str">
        <f t="shared" si="487"/>
        <v/>
      </c>
      <c r="IQ48" s="714"/>
      <c r="IR48" s="9" t="str">
        <f t="shared" si="488"/>
        <v/>
      </c>
      <c r="IS48" s="5" t="str">
        <f t="shared" si="489"/>
        <v/>
      </c>
      <c r="IT48" s="5" t="str">
        <f t="shared" si="490"/>
        <v/>
      </c>
      <c r="IU48" s="5" t="str">
        <f t="shared" si="491"/>
        <v/>
      </c>
      <c r="IV48" s="670" t="str">
        <f t="shared" si="492"/>
        <v/>
      </c>
      <c r="IW48" s="9" t="str">
        <f t="shared" si="493"/>
        <v/>
      </c>
      <c r="IX48" s="5" t="str">
        <f t="shared" si="494"/>
        <v/>
      </c>
      <c r="IY48" s="5" t="str">
        <f t="shared" si="495"/>
        <v/>
      </c>
      <c r="IZ48" s="5" t="str">
        <f t="shared" si="496"/>
        <v/>
      </c>
      <c r="JA48" s="705" t="str">
        <f t="shared" si="497"/>
        <v/>
      </c>
      <c r="JM48" s="489">
        <f t="shared" si="133"/>
        <v>35</v>
      </c>
      <c r="JN48" s="960">
        <f>($JO48-SMALL($JO$9:$JO$88,1))/((Settings!$C$19/2)-((Settings!$C$19/2)-LARGE($JO$9:$JO$88,1))-SMALL($JO$9:$JO$88,1))</f>
        <v>1</v>
      </c>
      <c r="JO48" s="162">
        <f t="shared" si="134"/>
        <v>4.0468244104080346</v>
      </c>
      <c r="JP48" s="961">
        <f t="shared" si="135"/>
        <v>-84.999987727520207</v>
      </c>
      <c r="JQ48" s="961">
        <f t="shared" si="136"/>
        <v>30.499995596345446</v>
      </c>
      <c r="JS48" s="82">
        <v>40</v>
      </c>
      <c r="JT48" s="322">
        <f t="shared" si="137"/>
        <v>4.0468244104080338</v>
      </c>
      <c r="JU48" s="963">
        <f t="shared" si="138"/>
        <v>0.99999999999999978</v>
      </c>
      <c r="JV48" s="961">
        <f t="shared" si="287"/>
        <v>-84.999987727520178</v>
      </c>
      <c r="JW48" s="961">
        <f t="shared" si="92"/>
        <v>30.499995596345482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 t="str">
        <f t="shared" si="322"/>
        <v/>
      </c>
      <c r="B49" s="578" t="str">
        <f t="shared" ref="B49:D49" si="537">IFERROR(O204+($A49*-E49),"")</f>
        <v/>
      </c>
      <c r="C49" s="572" t="str">
        <f t="shared" si="537"/>
        <v/>
      </c>
      <c r="D49" s="576" t="str">
        <f t="shared" si="537"/>
        <v/>
      </c>
      <c r="E49" s="580" t="str">
        <f t="shared" ref="E49:K49" si="538">R204</f>
        <v/>
      </c>
      <c r="F49" s="572" t="str">
        <f t="shared" si="538"/>
        <v/>
      </c>
      <c r="G49" s="579" t="str">
        <f t="shared" si="538"/>
        <v/>
      </c>
      <c r="H49" s="580" t="str">
        <f t="shared" si="538"/>
        <v/>
      </c>
      <c r="I49" s="572" t="str">
        <f t="shared" si="538"/>
        <v/>
      </c>
      <c r="J49" s="483" t="str">
        <f t="shared" si="94"/>
        <v/>
      </c>
      <c r="K49" s="806" t="str">
        <f t="shared" si="538"/>
        <v/>
      </c>
      <c r="L49" s="309"/>
      <c r="M49" s="164" t="str">
        <f t="shared" si="325"/>
        <v/>
      </c>
      <c r="N49" s="575" t="str">
        <f t="shared" si="326"/>
        <v/>
      </c>
      <c r="O49" s="572" t="str">
        <f t="shared" si="327"/>
        <v/>
      </c>
      <c r="P49" s="576" t="str">
        <f t="shared" si="328"/>
        <v/>
      </c>
      <c r="Q49" s="528" t="str">
        <f t="shared" si="144"/>
        <v/>
      </c>
      <c r="R49" s="572" t="str">
        <f t="shared" si="95"/>
        <v/>
      </c>
      <c r="S49" s="577" t="str">
        <f t="shared" si="96"/>
        <v/>
      </c>
      <c r="T49" s="578" t="str">
        <f t="shared" si="97"/>
        <v/>
      </c>
      <c r="U49" s="572" t="str">
        <f t="shared" si="98"/>
        <v/>
      </c>
      <c r="V49" s="579" t="str">
        <f t="shared" si="145"/>
        <v/>
      </c>
      <c r="W49" s="528" t="str">
        <f t="shared" si="268"/>
        <v/>
      </c>
      <c r="X49" s="572" t="str">
        <f t="shared" si="99"/>
        <v/>
      </c>
      <c r="Y49" s="573" t="str">
        <f t="shared" si="271"/>
        <v/>
      </c>
      <c r="Z49" s="575" t="str">
        <f t="shared" si="329"/>
        <v/>
      </c>
      <c r="AA49" s="572" t="str">
        <f t="shared" si="330"/>
        <v/>
      </c>
      <c r="AB49" s="572" t="str">
        <f t="shared" si="331"/>
        <v/>
      </c>
      <c r="AC49" s="579" t="str">
        <f t="shared" si="100"/>
        <v/>
      </c>
      <c r="AD49" s="580" t="str">
        <f t="shared" si="146"/>
        <v/>
      </c>
      <c r="AE49" s="572" t="str">
        <f t="shared" si="101"/>
        <v/>
      </c>
      <c r="AF49" s="576" t="str">
        <f t="shared" si="102"/>
        <v/>
      </c>
      <c r="AG49" s="545" t="str">
        <f t="shared" si="103"/>
        <v/>
      </c>
      <c r="AH49" s="546" t="str">
        <f t="shared" si="104"/>
        <v/>
      </c>
      <c r="AI49" s="528" t="str">
        <f t="shared" si="105"/>
        <v/>
      </c>
      <c r="AJ49" s="529" t="str">
        <f t="shared" si="106"/>
        <v/>
      </c>
      <c r="AK49" s="578" t="str">
        <f t="shared" si="247"/>
        <v/>
      </c>
      <c r="AL49" s="572" t="str">
        <f t="shared" si="107"/>
        <v/>
      </c>
      <c r="AM49" s="577" t="str">
        <f t="shared" si="108"/>
        <v/>
      </c>
      <c r="AN49" s="524" t="str">
        <f t="shared" si="109"/>
        <v/>
      </c>
      <c r="AO49" s="525" t="str">
        <f t="shared" si="110"/>
        <v/>
      </c>
      <c r="AP49" s="528" t="str">
        <f t="shared" si="111"/>
        <v/>
      </c>
      <c r="AQ49" s="529" t="str">
        <f t="shared" si="332"/>
        <v/>
      </c>
      <c r="AR49" s="979"/>
      <c r="AS49" s="954" t="str">
        <f t="shared" si="524"/>
        <v/>
      </c>
      <c r="AT49" s="950" t="str">
        <f t="shared" si="333"/>
        <v/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 t="str">
        <f t="shared" si="241"/>
        <v/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 t="str">
        <f t="shared" si="485"/>
        <v/>
      </c>
      <c r="IM49" s="482" t="str">
        <f t="shared" si="242"/>
        <v/>
      </c>
      <c r="IN49" s="670" t="str">
        <f t="shared" si="486"/>
        <v/>
      </c>
      <c r="IO49" s="702"/>
      <c r="IP49" s="5" t="str">
        <f t="shared" si="487"/>
        <v/>
      </c>
      <c r="IQ49" s="714"/>
      <c r="IR49" s="9" t="str">
        <f t="shared" si="488"/>
        <v/>
      </c>
      <c r="IS49" s="5" t="str">
        <f t="shared" si="489"/>
        <v/>
      </c>
      <c r="IT49" s="5" t="str">
        <f t="shared" si="490"/>
        <v/>
      </c>
      <c r="IU49" s="5" t="str">
        <f t="shared" si="491"/>
        <v/>
      </c>
      <c r="IV49" s="670" t="str">
        <f t="shared" si="492"/>
        <v/>
      </c>
      <c r="IW49" s="9" t="str">
        <f t="shared" si="493"/>
        <v/>
      </c>
      <c r="IX49" s="5" t="str">
        <f t="shared" si="494"/>
        <v/>
      </c>
      <c r="IY49" s="5" t="str">
        <f t="shared" si="495"/>
        <v/>
      </c>
      <c r="IZ49" s="5" t="str">
        <f t="shared" si="496"/>
        <v/>
      </c>
      <c r="JA49" s="705" t="str">
        <f t="shared" si="497"/>
        <v/>
      </c>
      <c r="JM49" s="489" t="e">
        <f t="shared" si="133"/>
        <v>#VALUE!</v>
      </c>
      <c r="JN49" s="960" t="e">
        <f>($JO49-SMALL($JO$9:$JO$88,1))/((Settings!$C$19/2)-((Settings!$C$19/2)-LARGE($JO$9:$JO$88,1))-SMALL($JO$9:$JO$88,1))</f>
        <v>#VALUE!</v>
      </c>
      <c r="JO49" s="162" t="str">
        <f t="shared" si="134"/>
        <v/>
      </c>
      <c r="JP49" s="961" t="str">
        <f t="shared" si="135"/>
        <v/>
      </c>
      <c r="JQ49" s="961" t="str">
        <f t="shared" si="136"/>
        <v/>
      </c>
      <c r="JS49" s="82" t="e">
        <v>#VALUE!</v>
      </c>
      <c r="JT49" s="322" t="e">
        <f t="shared" si="137"/>
        <v>#VALUE!</v>
      </c>
      <c r="JU49" s="963" t="e">
        <f t="shared" si="138"/>
        <v>#VALUE!</v>
      </c>
      <c r="JV49" s="961" t="e">
        <f t="shared" si="287"/>
        <v>#VALUE!</v>
      </c>
      <c r="JW49" s="961" t="e">
        <f t="shared" si="92"/>
        <v>#VALUE!</v>
      </c>
      <c r="JX49" s="1"/>
    </row>
    <row r="50" spans="1:284" ht="15" customHeight="1" x14ac:dyDescent="0.25">
      <c r="A50" s="75" t="str">
        <f t="shared" si="322"/>
        <v/>
      </c>
      <c r="B50" s="578" t="str">
        <f t="shared" ref="B50:D50" si="539">IFERROR(O205+($A50*-E50),"")</f>
        <v/>
      </c>
      <c r="C50" s="572" t="str">
        <f t="shared" si="539"/>
        <v/>
      </c>
      <c r="D50" s="576" t="str">
        <f t="shared" si="539"/>
        <v/>
      </c>
      <c r="E50" s="580" t="str">
        <f t="shared" ref="E50:K50" si="540">R205</f>
        <v/>
      </c>
      <c r="F50" s="572" t="str">
        <f t="shared" si="540"/>
        <v/>
      </c>
      <c r="G50" s="579" t="str">
        <f t="shared" si="540"/>
        <v/>
      </c>
      <c r="H50" s="580" t="str">
        <f t="shared" si="540"/>
        <v/>
      </c>
      <c r="I50" s="572" t="str">
        <f t="shared" si="540"/>
        <v/>
      </c>
      <c r="J50" s="483" t="str">
        <f t="shared" si="94"/>
        <v/>
      </c>
      <c r="K50" s="806" t="str">
        <f t="shared" si="540"/>
        <v/>
      </c>
      <c r="L50" s="309"/>
      <c r="M50" s="164" t="str">
        <f t="shared" si="325"/>
        <v/>
      </c>
      <c r="N50" s="575" t="str">
        <f t="shared" si="326"/>
        <v/>
      </c>
      <c r="O50" s="572" t="str">
        <f t="shared" si="327"/>
        <v/>
      </c>
      <c r="P50" s="576" t="str">
        <f t="shared" si="328"/>
        <v/>
      </c>
      <c r="Q50" s="528" t="str">
        <f t="shared" si="144"/>
        <v/>
      </c>
      <c r="R50" s="572" t="str">
        <f t="shared" si="95"/>
        <v/>
      </c>
      <c r="S50" s="577" t="str">
        <f t="shared" si="96"/>
        <v/>
      </c>
      <c r="T50" s="578" t="str">
        <f t="shared" si="97"/>
        <v/>
      </c>
      <c r="U50" s="572" t="str">
        <f t="shared" si="98"/>
        <v/>
      </c>
      <c r="V50" s="579" t="str">
        <f t="shared" si="145"/>
        <v/>
      </c>
      <c r="W50" s="528" t="str">
        <f t="shared" si="268"/>
        <v/>
      </c>
      <c r="X50" s="572" t="str">
        <f t="shared" si="99"/>
        <v/>
      </c>
      <c r="Y50" s="573" t="str">
        <f t="shared" si="271"/>
        <v/>
      </c>
      <c r="Z50" s="575" t="str">
        <f t="shared" si="329"/>
        <v/>
      </c>
      <c r="AA50" s="572" t="str">
        <f t="shared" si="330"/>
        <v/>
      </c>
      <c r="AB50" s="572" t="str">
        <f t="shared" si="331"/>
        <v/>
      </c>
      <c r="AC50" s="579" t="str">
        <f t="shared" si="100"/>
        <v/>
      </c>
      <c r="AD50" s="580" t="str">
        <f t="shared" si="146"/>
        <v/>
      </c>
      <c r="AE50" s="572" t="str">
        <f t="shared" si="101"/>
        <v/>
      </c>
      <c r="AF50" s="576" t="str">
        <f t="shared" si="102"/>
        <v/>
      </c>
      <c r="AG50" s="545" t="str">
        <f t="shared" si="103"/>
        <v/>
      </c>
      <c r="AH50" s="546" t="str">
        <f t="shared" si="104"/>
        <v/>
      </c>
      <c r="AI50" s="528" t="str">
        <f t="shared" si="105"/>
        <v/>
      </c>
      <c r="AJ50" s="529" t="str">
        <f t="shared" si="106"/>
        <v/>
      </c>
      <c r="AK50" s="578" t="str">
        <f t="shared" si="247"/>
        <v/>
      </c>
      <c r="AL50" s="572" t="str">
        <f t="shared" si="107"/>
        <v/>
      </c>
      <c r="AM50" s="577" t="str">
        <f t="shared" si="108"/>
        <v/>
      </c>
      <c r="AN50" s="524" t="str">
        <f t="shared" si="109"/>
        <v/>
      </c>
      <c r="AO50" s="525" t="str">
        <f t="shared" si="110"/>
        <v/>
      </c>
      <c r="AP50" s="528" t="str">
        <f t="shared" si="111"/>
        <v/>
      </c>
      <c r="AQ50" s="529" t="str">
        <f t="shared" si="332"/>
        <v/>
      </c>
      <c r="AR50" s="979"/>
      <c r="AS50" s="954" t="str">
        <f t="shared" si="524"/>
        <v/>
      </c>
      <c r="AT50" s="950" t="str">
        <f t="shared" si="333"/>
        <v/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 t="str">
        <f t="shared" si="241"/>
        <v/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 t="str">
        <f t="shared" si="485"/>
        <v/>
      </c>
      <c r="IM50" s="482" t="str">
        <f t="shared" si="242"/>
        <v/>
      </c>
      <c r="IN50" s="670" t="str">
        <f t="shared" si="486"/>
        <v/>
      </c>
      <c r="IO50" s="702"/>
      <c r="IP50" s="5" t="str">
        <f t="shared" si="487"/>
        <v/>
      </c>
      <c r="IQ50" s="714"/>
      <c r="IR50" s="9" t="str">
        <f t="shared" si="488"/>
        <v/>
      </c>
      <c r="IS50" s="5" t="str">
        <f t="shared" si="489"/>
        <v/>
      </c>
      <c r="IT50" s="5" t="str">
        <f t="shared" si="490"/>
        <v/>
      </c>
      <c r="IU50" s="5" t="str">
        <f t="shared" si="491"/>
        <v/>
      </c>
      <c r="IV50" s="670" t="str">
        <f t="shared" si="492"/>
        <v/>
      </c>
      <c r="IW50" s="9" t="str">
        <f t="shared" si="493"/>
        <v/>
      </c>
      <c r="IX50" s="5" t="str">
        <f t="shared" si="494"/>
        <v/>
      </c>
      <c r="IY50" s="5" t="str">
        <f t="shared" si="495"/>
        <v/>
      </c>
      <c r="IZ50" s="5" t="str">
        <f t="shared" si="496"/>
        <v/>
      </c>
      <c r="JA50" s="705" t="str">
        <f t="shared" si="497"/>
        <v/>
      </c>
      <c r="JM50" s="489" t="e">
        <f t="shared" si="133"/>
        <v>#VALUE!</v>
      </c>
      <c r="JN50" s="960" t="e">
        <f>($JO50-SMALL($JO$9:$JO$88,1))/((Settings!$C$19/2)-((Settings!$C$19/2)-LARGE($JO$9:$JO$88,1))-SMALL($JO$9:$JO$88,1))</f>
        <v>#VALUE!</v>
      </c>
      <c r="JO50" s="162" t="str">
        <f t="shared" si="134"/>
        <v/>
      </c>
      <c r="JP50" s="961" t="str">
        <f t="shared" si="135"/>
        <v/>
      </c>
      <c r="JQ50" s="961" t="str">
        <f t="shared" si="136"/>
        <v/>
      </c>
      <c r="JS50" s="82"/>
      <c r="JT50" s="322" t="e">
        <f t="shared" si="137"/>
        <v>#N/A</v>
      </c>
      <c r="JU50" s="963" t="e">
        <f t="shared" si="138"/>
        <v>#N/A</v>
      </c>
      <c r="JV50" s="961" t="e">
        <f t="shared" si="287"/>
        <v>#N/A</v>
      </c>
      <c r="JW50" s="961" t="e">
        <f t="shared" si="92"/>
        <v>#N/A</v>
      </c>
      <c r="JX50" s="1"/>
    </row>
    <row r="51" spans="1:284" ht="15" customHeight="1" x14ac:dyDescent="0.25">
      <c r="A51" s="75" t="str">
        <f t="shared" si="322"/>
        <v/>
      </c>
      <c r="B51" s="578" t="str">
        <f t="shared" ref="B51:D51" si="541">IFERROR(O206+($A51*-E51),"")</f>
        <v/>
      </c>
      <c r="C51" s="572" t="str">
        <f t="shared" si="541"/>
        <v/>
      </c>
      <c r="D51" s="576" t="str">
        <f t="shared" si="541"/>
        <v/>
      </c>
      <c r="E51" s="580" t="str">
        <f t="shared" ref="E51:K51" si="542">R206</f>
        <v/>
      </c>
      <c r="F51" s="572" t="str">
        <f t="shared" si="542"/>
        <v/>
      </c>
      <c r="G51" s="579" t="str">
        <f t="shared" si="542"/>
        <v/>
      </c>
      <c r="H51" s="580" t="str">
        <f t="shared" si="542"/>
        <v/>
      </c>
      <c r="I51" s="572" t="str">
        <f t="shared" si="542"/>
        <v/>
      </c>
      <c r="J51" s="483" t="str">
        <f t="shared" si="94"/>
        <v/>
      </c>
      <c r="K51" s="806" t="str">
        <f t="shared" si="542"/>
        <v/>
      </c>
      <c r="L51" s="309"/>
      <c r="M51" s="164" t="str">
        <f t="shared" si="325"/>
        <v/>
      </c>
      <c r="N51" s="575" t="str">
        <f t="shared" si="326"/>
        <v/>
      </c>
      <c r="O51" s="572" t="str">
        <f t="shared" si="327"/>
        <v/>
      </c>
      <c r="P51" s="576" t="str">
        <f t="shared" si="328"/>
        <v/>
      </c>
      <c r="Q51" s="528" t="str">
        <f t="shared" si="144"/>
        <v/>
      </c>
      <c r="R51" s="572" t="str">
        <f t="shared" si="95"/>
        <v/>
      </c>
      <c r="S51" s="577" t="str">
        <f t="shared" si="96"/>
        <v/>
      </c>
      <c r="T51" s="578" t="str">
        <f t="shared" si="97"/>
        <v/>
      </c>
      <c r="U51" s="572" t="str">
        <f t="shared" si="98"/>
        <v/>
      </c>
      <c r="V51" s="579" t="str">
        <f t="shared" si="145"/>
        <v/>
      </c>
      <c r="W51" s="528" t="str">
        <f t="shared" si="268"/>
        <v/>
      </c>
      <c r="X51" s="572" t="str">
        <f t="shared" si="99"/>
        <v/>
      </c>
      <c r="Y51" s="573" t="str">
        <f t="shared" si="271"/>
        <v/>
      </c>
      <c r="Z51" s="575" t="str">
        <f t="shared" si="329"/>
        <v/>
      </c>
      <c r="AA51" s="572" t="str">
        <f t="shared" si="330"/>
        <v/>
      </c>
      <c r="AB51" s="572" t="str">
        <f t="shared" si="331"/>
        <v/>
      </c>
      <c r="AC51" s="579" t="str">
        <f t="shared" si="100"/>
        <v/>
      </c>
      <c r="AD51" s="580" t="str">
        <f t="shared" si="146"/>
        <v/>
      </c>
      <c r="AE51" s="572" t="str">
        <f t="shared" si="101"/>
        <v/>
      </c>
      <c r="AF51" s="576" t="str">
        <f t="shared" si="102"/>
        <v/>
      </c>
      <c r="AG51" s="545" t="str">
        <f t="shared" si="103"/>
        <v/>
      </c>
      <c r="AH51" s="546" t="str">
        <f t="shared" si="104"/>
        <v/>
      </c>
      <c r="AI51" s="528" t="str">
        <f t="shared" si="105"/>
        <v/>
      </c>
      <c r="AJ51" s="529" t="str">
        <f t="shared" si="106"/>
        <v/>
      </c>
      <c r="AK51" s="578" t="str">
        <f t="shared" si="247"/>
        <v/>
      </c>
      <c r="AL51" s="572" t="str">
        <f t="shared" si="107"/>
        <v/>
      </c>
      <c r="AM51" s="577" t="str">
        <f t="shared" si="108"/>
        <v/>
      </c>
      <c r="AN51" s="524" t="str">
        <f t="shared" si="109"/>
        <v/>
      </c>
      <c r="AO51" s="525" t="str">
        <f t="shared" si="110"/>
        <v/>
      </c>
      <c r="AP51" s="528" t="str">
        <f t="shared" si="111"/>
        <v/>
      </c>
      <c r="AQ51" s="529" t="str">
        <f t="shared" si="332"/>
        <v/>
      </c>
      <c r="AR51" s="979"/>
      <c r="AS51" s="954" t="str">
        <f t="shared" si="524"/>
        <v/>
      </c>
      <c r="AT51" s="950" t="str">
        <f t="shared" si="333"/>
        <v/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 t="str">
        <f t="shared" si="241"/>
        <v/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 t="str">
        <f t="shared" si="485"/>
        <v/>
      </c>
      <c r="IM51" s="482" t="str">
        <f t="shared" si="242"/>
        <v/>
      </c>
      <c r="IN51" s="670" t="str">
        <f t="shared" si="486"/>
        <v/>
      </c>
      <c r="IO51" s="702"/>
      <c r="IP51" s="5" t="str">
        <f t="shared" si="487"/>
        <v/>
      </c>
      <c r="IQ51" s="714"/>
      <c r="IR51" s="9" t="str">
        <f t="shared" si="488"/>
        <v/>
      </c>
      <c r="IS51" s="5" t="str">
        <f t="shared" si="489"/>
        <v/>
      </c>
      <c r="IT51" s="5" t="str">
        <f t="shared" si="490"/>
        <v/>
      </c>
      <c r="IU51" s="5" t="str">
        <f t="shared" si="491"/>
        <v/>
      </c>
      <c r="IV51" s="670" t="str">
        <f t="shared" si="492"/>
        <v/>
      </c>
      <c r="IW51" s="9" t="str">
        <f t="shared" si="493"/>
        <v/>
      </c>
      <c r="IX51" s="5" t="str">
        <f t="shared" si="494"/>
        <v/>
      </c>
      <c r="IY51" s="5" t="str">
        <f t="shared" si="495"/>
        <v/>
      </c>
      <c r="IZ51" s="5" t="str">
        <f t="shared" si="496"/>
        <v/>
      </c>
      <c r="JA51" s="705" t="str">
        <f t="shared" si="497"/>
        <v/>
      </c>
      <c r="JM51" s="489" t="e">
        <f t="shared" si="133"/>
        <v>#VALUE!</v>
      </c>
      <c r="JN51" s="960" t="e">
        <f>($JO51-SMALL($JO$9:$JO$88,1))/((Settings!$C$19/2)-((Settings!$C$19/2)-LARGE($JO$9:$JO$88,1))-SMALL($JO$9:$JO$88,1))</f>
        <v>#VALUE!</v>
      </c>
      <c r="JO51" s="162" t="str">
        <f t="shared" si="134"/>
        <v/>
      </c>
      <c r="JP51" s="961" t="str">
        <f t="shared" si="135"/>
        <v/>
      </c>
      <c r="JQ51" s="961" t="str">
        <f t="shared" si="136"/>
        <v/>
      </c>
      <c r="JS51" s="82"/>
      <c r="JT51" s="322" t="e">
        <f t="shared" si="137"/>
        <v>#N/A</v>
      </c>
      <c r="JU51" s="963" t="e">
        <f t="shared" si="138"/>
        <v>#N/A</v>
      </c>
      <c r="JV51" s="961" t="e">
        <f t="shared" si="287"/>
        <v>#N/A</v>
      </c>
      <c r="JW51" s="961" t="e">
        <f t="shared" si="92"/>
        <v>#N/A</v>
      </c>
      <c r="JX51" s="1"/>
    </row>
    <row r="52" spans="1:284" ht="15" customHeight="1" x14ac:dyDescent="0.25">
      <c r="A52" s="75" t="str">
        <f t="shared" si="322"/>
        <v/>
      </c>
      <c r="B52" s="578" t="str">
        <f t="shared" ref="B52:D52" si="543">IFERROR(O207+($A52*-E52),"")</f>
        <v/>
      </c>
      <c r="C52" s="572" t="str">
        <f t="shared" si="543"/>
        <v/>
      </c>
      <c r="D52" s="576" t="str">
        <f t="shared" si="543"/>
        <v/>
      </c>
      <c r="E52" s="580" t="str">
        <f t="shared" ref="E52:K52" si="544">R207</f>
        <v/>
      </c>
      <c r="F52" s="572" t="str">
        <f t="shared" si="544"/>
        <v/>
      </c>
      <c r="G52" s="579" t="str">
        <f t="shared" si="544"/>
        <v/>
      </c>
      <c r="H52" s="580" t="str">
        <f t="shared" si="544"/>
        <v/>
      </c>
      <c r="I52" s="572" t="str">
        <f t="shared" si="544"/>
        <v/>
      </c>
      <c r="J52" s="483" t="str">
        <f t="shared" si="94"/>
        <v/>
      </c>
      <c r="K52" s="806" t="str">
        <f t="shared" si="544"/>
        <v/>
      </c>
      <c r="L52" s="309"/>
      <c r="M52" s="164" t="str">
        <f t="shared" si="325"/>
        <v/>
      </c>
      <c r="N52" s="575" t="str">
        <f t="shared" si="326"/>
        <v/>
      </c>
      <c r="O52" s="572" t="str">
        <f t="shared" si="327"/>
        <v/>
      </c>
      <c r="P52" s="576" t="str">
        <f t="shared" si="328"/>
        <v/>
      </c>
      <c r="Q52" s="528" t="str">
        <f t="shared" si="144"/>
        <v/>
      </c>
      <c r="R52" s="572" t="str">
        <f t="shared" si="95"/>
        <v/>
      </c>
      <c r="S52" s="577" t="str">
        <f t="shared" si="96"/>
        <v/>
      </c>
      <c r="T52" s="578" t="str">
        <f t="shared" si="97"/>
        <v/>
      </c>
      <c r="U52" s="572" t="str">
        <f t="shared" si="98"/>
        <v/>
      </c>
      <c r="V52" s="579" t="str">
        <f t="shared" si="145"/>
        <v/>
      </c>
      <c r="W52" s="528" t="str">
        <f t="shared" si="268"/>
        <v/>
      </c>
      <c r="X52" s="572" t="str">
        <f t="shared" si="99"/>
        <v/>
      </c>
      <c r="Y52" s="573" t="str">
        <f t="shared" si="271"/>
        <v/>
      </c>
      <c r="Z52" s="575" t="str">
        <f t="shared" si="329"/>
        <v/>
      </c>
      <c r="AA52" s="572" t="str">
        <f t="shared" si="330"/>
        <v/>
      </c>
      <c r="AB52" s="572" t="str">
        <f t="shared" si="331"/>
        <v/>
      </c>
      <c r="AC52" s="579" t="str">
        <f t="shared" si="100"/>
        <v/>
      </c>
      <c r="AD52" s="580" t="str">
        <f t="shared" si="146"/>
        <v/>
      </c>
      <c r="AE52" s="572" t="str">
        <f t="shared" si="101"/>
        <v/>
      </c>
      <c r="AF52" s="576" t="str">
        <f t="shared" si="102"/>
        <v/>
      </c>
      <c r="AG52" s="545" t="str">
        <f t="shared" si="103"/>
        <v/>
      </c>
      <c r="AH52" s="546" t="str">
        <f t="shared" si="104"/>
        <v/>
      </c>
      <c r="AI52" s="528" t="str">
        <f t="shared" si="105"/>
        <v/>
      </c>
      <c r="AJ52" s="529" t="str">
        <f t="shared" si="106"/>
        <v/>
      </c>
      <c r="AK52" s="578" t="str">
        <f t="shared" si="247"/>
        <v/>
      </c>
      <c r="AL52" s="572" t="str">
        <f t="shared" si="107"/>
        <v/>
      </c>
      <c r="AM52" s="577" t="str">
        <f t="shared" si="108"/>
        <v/>
      </c>
      <c r="AN52" s="524" t="str">
        <f t="shared" si="109"/>
        <v/>
      </c>
      <c r="AO52" s="525" t="str">
        <f t="shared" si="110"/>
        <v/>
      </c>
      <c r="AP52" s="528" t="str">
        <f t="shared" si="111"/>
        <v/>
      </c>
      <c r="AQ52" s="529" t="str">
        <f t="shared" si="332"/>
        <v/>
      </c>
      <c r="AR52" s="979"/>
      <c r="AS52" s="954" t="str">
        <f t="shared" si="524"/>
        <v/>
      </c>
      <c r="AT52" s="950" t="str">
        <f t="shared" si="333"/>
        <v/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 t="str">
        <f t="shared" si="241"/>
        <v/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 t="str">
        <f t="shared" si="485"/>
        <v/>
      </c>
      <c r="IM52" s="482" t="str">
        <f t="shared" si="242"/>
        <v/>
      </c>
      <c r="IN52" s="670" t="str">
        <f t="shared" si="486"/>
        <v/>
      </c>
      <c r="IO52" s="702">
        <v>9.4974959524461496E-3</v>
      </c>
      <c r="IP52" s="5" t="str">
        <f t="shared" si="487"/>
        <v/>
      </c>
      <c r="IQ52" s="714">
        <v>140</v>
      </c>
      <c r="IR52" s="9" t="str">
        <f t="shared" si="488"/>
        <v/>
      </c>
      <c r="IS52" s="5" t="str">
        <f t="shared" si="489"/>
        <v/>
      </c>
      <c r="IT52" s="5" t="str">
        <f t="shared" si="490"/>
        <v/>
      </c>
      <c r="IU52" s="5" t="str">
        <f t="shared" si="491"/>
        <v/>
      </c>
      <c r="IV52" s="670" t="str">
        <f t="shared" si="492"/>
        <v/>
      </c>
      <c r="IW52" s="9" t="str">
        <f t="shared" si="493"/>
        <v/>
      </c>
      <c r="IX52" s="5" t="str">
        <f t="shared" si="494"/>
        <v/>
      </c>
      <c r="IY52" s="5" t="str">
        <f t="shared" si="495"/>
        <v/>
      </c>
      <c r="IZ52" s="5" t="str">
        <f t="shared" si="496"/>
        <v/>
      </c>
      <c r="JA52" s="705" t="str">
        <f t="shared" si="497"/>
        <v/>
      </c>
      <c r="JM52" s="489" t="e">
        <f t="shared" si="133"/>
        <v>#VALUE!</v>
      </c>
      <c r="JN52" s="960" t="e">
        <f>($JO52-SMALL($JO$9:$JO$88,1))/((Settings!$C$19/2)-((Settings!$C$19/2)-LARGE($JO$9:$JO$88,1))-SMALL($JO$9:$JO$88,1))</f>
        <v>#VALUE!</v>
      </c>
      <c r="JO52" s="162" t="str">
        <f t="shared" si="134"/>
        <v/>
      </c>
      <c r="JP52" s="961" t="str">
        <f t="shared" si="135"/>
        <v/>
      </c>
      <c r="JQ52" s="961" t="str">
        <f t="shared" si="136"/>
        <v/>
      </c>
      <c r="JS52" s="82"/>
      <c r="JT52" s="322" t="e">
        <f t="shared" si="137"/>
        <v>#N/A</v>
      </c>
      <c r="JU52" s="963" t="e">
        <f t="shared" si="138"/>
        <v>#N/A</v>
      </c>
      <c r="JV52" s="961" t="e">
        <f t="shared" si="287"/>
        <v>#N/A</v>
      </c>
      <c r="JW52" s="961" t="e">
        <f t="shared" si="92"/>
        <v>#N/A</v>
      </c>
      <c r="JX52" s="1"/>
    </row>
    <row r="53" spans="1:284" ht="15" customHeight="1" x14ac:dyDescent="0.25">
      <c r="A53" s="75" t="str">
        <f t="shared" si="322"/>
        <v/>
      </c>
      <c r="B53" s="578" t="str">
        <f t="shared" ref="B53:D53" si="545">IFERROR(O208+($A53*-E53),"")</f>
        <v/>
      </c>
      <c r="C53" s="572" t="str">
        <f t="shared" si="545"/>
        <v/>
      </c>
      <c r="D53" s="576" t="str">
        <f t="shared" si="545"/>
        <v/>
      </c>
      <c r="E53" s="580" t="str">
        <f t="shared" ref="E53:K53" si="546">R208</f>
        <v/>
      </c>
      <c r="F53" s="572" t="str">
        <f t="shared" si="546"/>
        <v/>
      </c>
      <c r="G53" s="579" t="str">
        <f t="shared" si="546"/>
        <v/>
      </c>
      <c r="H53" s="580" t="str">
        <f t="shared" si="546"/>
        <v/>
      </c>
      <c r="I53" s="572" t="str">
        <f t="shared" si="546"/>
        <v/>
      </c>
      <c r="J53" s="483" t="str">
        <f t="shared" si="94"/>
        <v/>
      </c>
      <c r="K53" s="806" t="str">
        <f t="shared" si="546"/>
        <v/>
      </c>
      <c r="L53" s="309"/>
      <c r="M53" s="164" t="str">
        <f t="shared" si="325"/>
        <v/>
      </c>
      <c r="N53" s="575" t="str">
        <f t="shared" si="326"/>
        <v/>
      </c>
      <c r="O53" s="572" t="str">
        <f t="shared" si="327"/>
        <v/>
      </c>
      <c r="P53" s="576" t="str">
        <f t="shared" si="328"/>
        <v/>
      </c>
      <c r="Q53" s="528" t="str">
        <f t="shared" si="144"/>
        <v/>
      </c>
      <c r="R53" s="572" t="str">
        <f t="shared" ref="R53:R58" si="547">IF(M53="","",SQRT(N53^2+O53^2))</f>
        <v/>
      </c>
      <c r="S53" s="577" t="str">
        <f t="shared" ref="S53:S58" si="548">IF(M53="","",P53)</f>
        <v/>
      </c>
      <c r="T53" s="578" t="str">
        <f t="shared" ref="T53:T58" si="549">IF(M53="","",X53*COS(RADIANS(W53)))</f>
        <v/>
      </c>
      <c r="U53" s="572" t="str">
        <f t="shared" ref="U53:U58" si="550">IF(M53="","",X53*SIN(RADIANS(W53)))</f>
        <v/>
      </c>
      <c r="V53" s="579" t="str">
        <f t="shared" ref="V53:V58" si="551">IF(M53="","",Y53)</f>
        <v/>
      </c>
      <c r="W53" s="528" t="str">
        <f t="shared" si="268"/>
        <v/>
      </c>
      <c r="X53" s="572" t="str">
        <f t="shared" ref="X53:X58" si="552">IF(M53="","",R53)</f>
        <v/>
      </c>
      <c r="Y53" s="573" t="str">
        <f t="shared" si="271"/>
        <v/>
      </c>
      <c r="Z53" s="575" t="str">
        <f t="shared" si="329"/>
        <v/>
      </c>
      <c r="AA53" s="572" t="str">
        <f t="shared" si="330"/>
        <v/>
      </c>
      <c r="AB53" s="572" t="str">
        <f t="shared" si="331"/>
        <v/>
      </c>
      <c r="AC53" s="579" t="str">
        <f t="shared" ref="AC53:AC58" si="553">IF(M53="","",SQRT(Z53^2+AA53^2+AB53^2))</f>
        <v/>
      </c>
      <c r="AD53" s="580" t="str">
        <f t="shared" ref="AD53:AD58" si="554">IF(M53="","",Z53*(1/SQRT(Z53^2+AA53^2+AB53^2)))</f>
        <v/>
      </c>
      <c r="AE53" s="572" t="str">
        <f t="shared" ref="AE53:AE58" si="555">IF(M53="","",AA53*(1/SQRT(Z53^2+AA53^2+AB53^2)))</f>
        <v/>
      </c>
      <c r="AF53" s="576" t="str">
        <f t="shared" ref="AF53:AF58" si="556">IF(M53="","",AB53*(1/SQRT(Z53^2+AA53^2+AB53^2)))</f>
        <v/>
      </c>
      <c r="AG53" s="545" t="str">
        <f t="shared" ref="AG53:AG58" si="557">IF(M53="","",DEGREES(ATAN2(-AF53,AE53)))</f>
        <v/>
      </c>
      <c r="AH53" s="546" t="str">
        <f t="shared" ref="AH53:AH58" si="558">IF(M53="","",DEGREES(ACOS(AD53)))</f>
        <v/>
      </c>
      <c r="AI53" s="528" t="str">
        <f t="shared" ref="AI53:AI58" si="559">IF(M53="","",DEGREES(-ACOS(-AF53)))</f>
        <v/>
      </c>
      <c r="AJ53" s="529" t="str">
        <f t="shared" ref="AJ53:AJ58" si="560">IF(M53="","",DEGREES(ATAN2(-AE53,AD53)))</f>
        <v/>
      </c>
      <c r="AK53" s="578" t="str">
        <f t="shared" ref="AK53:AK58" si="561">IF(M53="","",(COS(RADIANS((90-$Q$8)-W53))*AD53)+(-SIN(RADIANS((90-$Q$8)-W53))*AE53))</f>
        <v/>
      </c>
      <c r="AL53" s="572" t="str">
        <f t="shared" ref="AL53:AL58" si="562">IF(M53="","",(SIN(RADIANS((90-$Q$8)-W53))*AD53)+(COS(RADIANS((90-$Q$8)-W53))*AE53))</f>
        <v/>
      </c>
      <c r="AM53" s="577" t="str">
        <f t="shared" ref="AM53:AM58" si="563">IF(M53="","",AF53)</f>
        <v/>
      </c>
      <c r="AN53" s="524" t="str">
        <f t="shared" ref="AN53:AN58" si="564">IF(M53="","",DEGREES(ATAN2(-AM53,AL53)))</f>
        <v/>
      </c>
      <c r="AO53" s="525" t="str">
        <f t="shared" si="110"/>
        <v/>
      </c>
      <c r="AP53" s="528" t="str">
        <f t="shared" ref="AP53:AP58" si="565">IF(M53="","",DEGREES(ATAN2(AK53,AL53)))</f>
        <v/>
      </c>
      <c r="AQ53" s="529" t="str">
        <f t="shared" si="332"/>
        <v/>
      </c>
      <c r="AR53" s="979"/>
      <c r="AS53" s="954" t="str">
        <f t="shared" si="524"/>
        <v/>
      </c>
      <c r="AT53" s="950" t="str">
        <f t="shared" si="333"/>
        <v/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 t="str">
        <f t="shared" si="241"/>
        <v/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 t="str">
        <f t="shared" si="485"/>
        <v/>
      </c>
      <c r="IM53" s="482" t="str">
        <f t="shared" si="242"/>
        <v/>
      </c>
      <c r="IN53" s="670" t="str">
        <f t="shared" si="486"/>
        <v/>
      </c>
      <c r="IO53" s="702">
        <v>7.8432524647123296E-3</v>
      </c>
      <c r="IP53" s="5" t="str">
        <f t="shared" si="487"/>
        <v/>
      </c>
      <c r="IQ53" s="714">
        <v>140</v>
      </c>
      <c r="IR53" s="9" t="str">
        <f t="shared" si="488"/>
        <v/>
      </c>
      <c r="IS53" s="5" t="str">
        <f t="shared" si="489"/>
        <v/>
      </c>
      <c r="IT53" s="5" t="str">
        <f t="shared" si="490"/>
        <v/>
      </c>
      <c r="IU53" s="5" t="str">
        <f t="shared" si="491"/>
        <v/>
      </c>
      <c r="IV53" s="670" t="str">
        <f t="shared" si="492"/>
        <v/>
      </c>
      <c r="IW53" s="9" t="str">
        <f t="shared" si="493"/>
        <v/>
      </c>
      <c r="IX53" s="5" t="str">
        <f t="shared" si="494"/>
        <v/>
      </c>
      <c r="IY53" s="5" t="str">
        <f t="shared" si="495"/>
        <v/>
      </c>
      <c r="IZ53" s="5" t="str">
        <f t="shared" si="496"/>
        <v/>
      </c>
      <c r="JA53" s="705" t="str">
        <f t="shared" si="497"/>
        <v/>
      </c>
      <c r="JM53" s="489" t="e">
        <f t="shared" si="133"/>
        <v>#VALUE!</v>
      </c>
      <c r="JN53" s="960" t="e">
        <f>($JO53-SMALL($JO$9:$JO$88,1))/((Settings!$C$19/2)-((Settings!$C$19/2)-LARGE($JO$9:$JO$88,1))-SMALL($JO$9:$JO$88,1))</f>
        <v>#VALUE!</v>
      </c>
      <c r="JO53" s="162" t="str">
        <f t="shared" si="134"/>
        <v/>
      </c>
      <c r="JP53" s="961" t="str">
        <f t="shared" si="135"/>
        <v/>
      </c>
      <c r="JQ53" s="961" t="str">
        <f t="shared" si="136"/>
        <v/>
      </c>
      <c r="JS53" s="82"/>
      <c r="JT53" s="322" t="e">
        <f t="shared" si="137"/>
        <v>#N/A</v>
      </c>
      <c r="JU53" s="963" t="e">
        <f t="shared" si="138"/>
        <v>#N/A</v>
      </c>
      <c r="JV53" s="961" t="e">
        <f t="shared" si="287"/>
        <v>#N/A</v>
      </c>
      <c r="JW53" s="961" t="e">
        <f t="shared" si="92"/>
        <v>#N/A</v>
      </c>
      <c r="JX53" s="1"/>
    </row>
    <row r="54" spans="1:284" ht="15" customHeight="1" x14ac:dyDescent="0.25">
      <c r="A54" s="75" t="str">
        <f t="shared" si="322"/>
        <v/>
      </c>
      <c r="B54" s="578" t="str">
        <f t="shared" ref="B54:D54" si="566">IFERROR(O209+($A54*-E54),"")</f>
        <v/>
      </c>
      <c r="C54" s="572" t="str">
        <f t="shared" si="566"/>
        <v/>
      </c>
      <c r="D54" s="576" t="str">
        <f t="shared" si="566"/>
        <v/>
      </c>
      <c r="E54" s="580" t="str">
        <f t="shared" ref="E54:K54" si="567">R209</f>
        <v/>
      </c>
      <c r="F54" s="572" t="str">
        <f t="shared" si="567"/>
        <v/>
      </c>
      <c r="G54" s="579" t="str">
        <f t="shared" si="567"/>
        <v/>
      </c>
      <c r="H54" s="580" t="str">
        <f t="shared" si="567"/>
        <v/>
      </c>
      <c r="I54" s="572" t="str">
        <f t="shared" si="567"/>
        <v/>
      </c>
      <c r="J54" s="483" t="str">
        <f t="shared" si="94"/>
        <v/>
      </c>
      <c r="K54" s="806" t="str">
        <f t="shared" si="567"/>
        <v/>
      </c>
      <c r="L54" s="309"/>
      <c r="M54" s="164" t="str">
        <f t="shared" si="325"/>
        <v/>
      </c>
      <c r="N54" s="575" t="str">
        <f t="shared" si="326"/>
        <v/>
      </c>
      <c r="O54" s="572" t="str">
        <f t="shared" si="327"/>
        <v/>
      </c>
      <c r="P54" s="576" t="str">
        <f t="shared" si="328"/>
        <v/>
      </c>
      <c r="Q54" s="528" t="str">
        <f t="shared" si="144"/>
        <v/>
      </c>
      <c r="R54" s="572" t="str">
        <f t="shared" si="547"/>
        <v/>
      </c>
      <c r="S54" s="577" t="str">
        <f t="shared" si="548"/>
        <v/>
      </c>
      <c r="T54" s="578" t="str">
        <f t="shared" si="549"/>
        <v/>
      </c>
      <c r="U54" s="572" t="str">
        <f t="shared" si="550"/>
        <v/>
      </c>
      <c r="V54" s="579" t="str">
        <f t="shared" si="551"/>
        <v/>
      </c>
      <c r="W54" s="528" t="str">
        <f t="shared" si="268"/>
        <v/>
      </c>
      <c r="X54" s="572" t="str">
        <f t="shared" si="552"/>
        <v/>
      </c>
      <c r="Y54" s="573" t="str">
        <f t="shared" si="271"/>
        <v/>
      </c>
      <c r="Z54" s="575" t="str">
        <f t="shared" si="329"/>
        <v/>
      </c>
      <c r="AA54" s="572" t="str">
        <f t="shared" si="330"/>
        <v/>
      </c>
      <c r="AB54" s="572" t="str">
        <f t="shared" si="331"/>
        <v/>
      </c>
      <c r="AC54" s="579" t="str">
        <f t="shared" si="553"/>
        <v/>
      </c>
      <c r="AD54" s="580" t="str">
        <f t="shared" si="554"/>
        <v/>
      </c>
      <c r="AE54" s="572" t="str">
        <f t="shared" si="555"/>
        <v/>
      </c>
      <c r="AF54" s="576" t="str">
        <f t="shared" si="556"/>
        <v/>
      </c>
      <c r="AG54" s="545" t="str">
        <f t="shared" si="557"/>
        <v/>
      </c>
      <c r="AH54" s="546" t="str">
        <f t="shared" si="558"/>
        <v/>
      </c>
      <c r="AI54" s="528" t="str">
        <f t="shared" si="559"/>
        <v/>
      </c>
      <c r="AJ54" s="529" t="str">
        <f t="shared" si="560"/>
        <v/>
      </c>
      <c r="AK54" s="578" t="str">
        <f t="shared" si="561"/>
        <v/>
      </c>
      <c r="AL54" s="572" t="str">
        <f t="shared" si="562"/>
        <v/>
      </c>
      <c r="AM54" s="577" t="str">
        <f t="shared" si="563"/>
        <v/>
      </c>
      <c r="AN54" s="524" t="str">
        <f t="shared" si="564"/>
        <v/>
      </c>
      <c r="AO54" s="525" t="str">
        <f t="shared" si="110"/>
        <v/>
      </c>
      <c r="AP54" s="528" t="str">
        <f t="shared" si="565"/>
        <v/>
      </c>
      <c r="AQ54" s="529" t="str">
        <f t="shared" si="332"/>
        <v/>
      </c>
      <c r="AR54" s="979"/>
      <c r="AS54" s="954" t="str">
        <f t="shared" si="524"/>
        <v/>
      </c>
      <c r="AT54" s="950" t="str">
        <f t="shared" si="333"/>
        <v/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 t="str">
        <f t="shared" si="241"/>
        <v/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 t="str">
        <f t="shared" si="485"/>
        <v/>
      </c>
      <c r="IM54" s="482" t="str">
        <f t="shared" si="242"/>
        <v/>
      </c>
      <c r="IN54" s="670" t="str">
        <f t="shared" si="486"/>
        <v/>
      </c>
      <c r="IO54" s="702">
        <v>2.08644583718747E-2</v>
      </c>
      <c r="IP54" s="5" t="str">
        <f t="shared" si="487"/>
        <v/>
      </c>
      <c r="IQ54" s="714">
        <v>280</v>
      </c>
      <c r="IR54" s="9" t="str">
        <f t="shared" si="488"/>
        <v/>
      </c>
      <c r="IS54" s="5" t="str">
        <f t="shared" si="489"/>
        <v/>
      </c>
      <c r="IT54" s="5" t="str">
        <f t="shared" si="490"/>
        <v/>
      </c>
      <c r="IU54" s="5" t="str">
        <f t="shared" si="491"/>
        <v/>
      </c>
      <c r="IV54" s="670" t="str">
        <f t="shared" si="492"/>
        <v/>
      </c>
      <c r="IW54" s="9" t="str">
        <f t="shared" si="493"/>
        <v/>
      </c>
      <c r="IX54" s="5" t="str">
        <f t="shared" si="494"/>
        <v/>
      </c>
      <c r="IY54" s="5" t="str">
        <f t="shared" si="495"/>
        <v/>
      </c>
      <c r="IZ54" s="5" t="str">
        <f t="shared" si="496"/>
        <v/>
      </c>
      <c r="JA54" s="705" t="str">
        <f t="shared" si="497"/>
        <v/>
      </c>
      <c r="JM54" s="489" t="e">
        <f t="shared" si="133"/>
        <v>#VALUE!</v>
      </c>
      <c r="JN54" s="960" t="e">
        <f>($JO54-SMALL($JO$9:$JO$88,1))/((Settings!$C$19/2)-((Settings!$C$19/2)-LARGE($JO$9:$JO$88,1))-SMALL($JO$9:$JO$88,1))</f>
        <v>#VALUE!</v>
      </c>
      <c r="JO54" s="162" t="str">
        <f t="shared" si="134"/>
        <v/>
      </c>
      <c r="JP54" s="961" t="str">
        <f t="shared" si="135"/>
        <v/>
      </c>
      <c r="JQ54" s="961" t="str">
        <f t="shared" si="136"/>
        <v/>
      </c>
      <c r="JU54" s="962"/>
      <c r="JV54" s="959"/>
      <c r="JW54" s="959"/>
    </row>
    <row r="55" spans="1:284" ht="15" customHeight="1" x14ac:dyDescent="0.25">
      <c r="A55" s="75" t="str">
        <f t="shared" si="322"/>
        <v/>
      </c>
      <c r="B55" s="578" t="str">
        <f t="shared" ref="B55:D55" si="600">IFERROR(O210+($A55*-E55),"")</f>
        <v/>
      </c>
      <c r="C55" s="572" t="str">
        <f t="shared" si="600"/>
        <v/>
      </c>
      <c r="D55" s="576" t="str">
        <f t="shared" si="600"/>
        <v/>
      </c>
      <c r="E55" s="580" t="str">
        <f t="shared" ref="E55:K55" si="601">R210</f>
        <v/>
      </c>
      <c r="F55" s="572" t="str">
        <f t="shared" si="601"/>
        <v/>
      </c>
      <c r="G55" s="579" t="str">
        <f t="shared" si="601"/>
        <v/>
      </c>
      <c r="H55" s="580" t="str">
        <f t="shared" si="601"/>
        <v/>
      </c>
      <c r="I55" s="572" t="str">
        <f t="shared" si="601"/>
        <v/>
      </c>
      <c r="J55" s="483" t="str">
        <f t="shared" si="94"/>
        <v/>
      </c>
      <c r="K55" s="806" t="str">
        <f t="shared" si="601"/>
        <v/>
      </c>
      <c r="L55" s="309"/>
      <c r="M55" s="164" t="str">
        <f t="shared" si="325"/>
        <v/>
      </c>
      <c r="N55" s="575" t="str">
        <f t="shared" si="326"/>
        <v/>
      </c>
      <c r="O55" s="572" t="str">
        <f t="shared" si="327"/>
        <v/>
      </c>
      <c r="P55" s="576" t="str">
        <f t="shared" si="328"/>
        <v/>
      </c>
      <c r="Q55" s="528" t="str">
        <f t="shared" si="144"/>
        <v/>
      </c>
      <c r="R55" s="572" t="str">
        <f t="shared" si="547"/>
        <v/>
      </c>
      <c r="S55" s="577" t="str">
        <f t="shared" si="548"/>
        <v/>
      </c>
      <c r="T55" s="578" t="str">
        <f t="shared" si="549"/>
        <v/>
      </c>
      <c r="U55" s="572" t="str">
        <f t="shared" si="550"/>
        <v/>
      </c>
      <c r="V55" s="579" t="str">
        <f t="shared" si="551"/>
        <v/>
      </c>
      <c r="W55" s="528" t="str">
        <f t="shared" si="268"/>
        <v/>
      </c>
      <c r="X55" s="572" t="str">
        <f t="shared" si="552"/>
        <v/>
      </c>
      <c r="Y55" s="573" t="str">
        <f t="shared" si="271"/>
        <v/>
      </c>
      <c r="Z55" s="575" t="str">
        <f t="shared" si="329"/>
        <v/>
      </c>
      <c r="AA55" s="572" t="str">
        <f t="shared" si="330"/>
        <v/>
      </c>
      <c r="AB55" s="572" t="str">
        <f t="shared" si="331"/>
        <v/>
      </c>
      <c r="AC55" s="579" t="str">
        <f t="shared" si="553"/>
        <v/>
      </c>
      <c r="AD55" s="580" t="str">
        <f t="shared" si="554"/>
        <v/>
      </c>
      <c r="AE55" s="572" t="str">
        <f t="shared" si="555"/>
        <v/>
      </c>
      <c r="AF55" s="576" t="str">
        <f t="shared" si="556"/>
        <v/>
      </c>
      <c r="AG55" s="545" t="str">
        <f t="shared" si="557"/>
        <v/>
      </c>
      <c r="AH55" s="546" t="str">
        <f t="shared" si="558"/>
        <v/>
      </c>
      <c r="AI55" s="528" t="str">
        <f t="shared" si="559"/>
        <v/>
      </c>
      <c r="AJ55" s="529" t="str">
        <f t="shared" si="560"/>
        <v/>
      </c>
      <c r="AK55" s="578" t="str">
        <f t="shared" si="561"/>
        <v/>
      </c>
      <c r="AL55" s="572" t="str">
        <f t="shared" si="562"/>
        <v/>
      </c>
      <c r="AM55" s="577" t="str">
        <f t="shared" si="563"/>
        <v/>
      </c>
      <c r="AN55" s="524" t="str">
        <f t="shared" si="564"/>
        <v/>
      </c>
      <c r="AO55" s="525" t="str">
        <f>IF(ROUND(IF(M55="",0,DEGREES(ACOS(AK55))),4)=90,0,IF(M55="","",DEGREES(ACOS(AK55))))</f>
        <v/>
      </c>
      <c r="AP55" s="528" t="str">
        <f t="shared" si="565"/>
        <v/>
      </c>
      <c r="AQ55" s="529" t="str">
        <f t="shared" si="332"/>
        <v/>
      </c>
      <c r="AR55" s="979"/>
      <c r="AS55" s="954" t="str">
        <f t="shared" si="524"/>
        <v/>
      </c>
      <c r="AT55" s="950" t="str">
        <f t="shared" si="333"/>
        <v/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 t="str">
        <f t="shared" si="241"/>
        <v/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 t="str">
        <f t="shared" si="485"/>
        <v/>
      </c>
      <c r="IM55" s="482" t="str">
        <f t="shared" si="242"/>
        <v/>
      </c>
      <c r="IN55" s="670" t="str">
        <f t="shared" si="486"/>
        <v/>
      </c>
      <c r="IO55" s="702">
        <v>2.0596001756787601E-2</v>
      </c>
      <c r="IP55" s="5" t="str">
        <f t="shared" si="487"/>
        <v/>
      </c>
      <c r="IQ55" s="714">
        <v>310</v>
      </c>
      <c r="IR55" s="9" t="str">
        <f t="shared" si="488"/>
        <v/>
      </c>
      <c r="IS55" s="5" t="str">
        <f t="shared" si="489"/>
        <v/>
      </c>
      <c r="IT55" s="5" t="str">
        <f t="shared" si="490"/>
        <v/>
      </c>
      <c r="IU55" s="5" t="str">
        <f t="shared" si="491"/>
        <v/>
      </c>
      <c r="IV55" s="670" t="str">
        <f t="shared" si="492"/>
        <v/>
      </c>
      <c r="IW55" s="9" t="str">
        <f t="shared" si="493"/>
        <v/>
      </c>
      <c r="IX55" s="5" t="str">
        <f t="shared" si="494"/>
        <v/>
      </c>
      <c r="IY55" s="5" t="str">
        <f t="shared" si="495"/>
        <v/>
      </c>
      <c r="IZ55" s="5" t="str">
        <f t="shared" si="496"/>
        <v/>
      </c>
      <c r="JA55" s="705" t="str">
        <f t="shared" si="497"/>
        <v/>
      </c>
      <c r="JM55" s="489" t="e">
        <f t="shared" si="133"/>
        <v>#VALUE!</v>
      </c>
      <c r="JN55" s="960" t="e">
        <f>($JO55-SMALL($JO$9:$JO$88,1))/((Settings!$C$19/2)-((Settings!$C$19/2)-LARGE($JO$9:$JO$88,1))-SMALL($JO$9:$JO$88,1))</f>
        <v>#VALUE!</v>
      </c>
      <c r="JO55" s="162" t="str">
        <f t="shared" si="134"/>
        <v/>
      </c>
      <c r="JP55" s="961" t="str">
        <f t="shared" si="135"/>
        <v/>
      </c>
      <c r="JQ55" s="961" t="str">
        <f t="shared" si="136"/>
        <v/>
      </c>
      <c r="JU55" s="962"/>
      <c r="JV55" s="959"/>
      <c r="JW55" s="959"/>
    </row>
    <row r="56" spans="1:284" ht="15" customHeight="1" x14ac:dyDescent="0.25">
      <c r="A56" s="75" t="str">
        <f t="shared" si="322"/>
        <v/>
      </c>
      <c r="B56" s="578" t="str">
        <f t="shared" ref="B56:D56" si="602">IFERROR(O211+($A56*-E56),"")</f>
        <v/>
      </c>
      <c r="C56" s="572" t="str">
        <f t="shared" si="602"/>
        <v/>
      </c>
      <c r="D56" s="576" t="str">
        <f t="shared" si="602"/>
        <v/>
      </c>
      <c r="E56" s="580" t="str">
        <f t="shared" ref="E56:K56" si="603">R211</f>
        <v/>
      </c>
      <c r="F56" s="572" t="str">
        <f t="shared" si="603"/>
        <v/>
      </c>
      <c r="G56" s="579" t="str">
        <f t="shared" si="603"/>
        <v/>
      </c>
      <c r="H56" s="580" t="str">
        <f t="shared" si="603"/>
        <v/>
      </c>
      <c r="I56" s="572" t="str">
        <f t="shared" si="603"/>
        <v/>
      </c>
      <c r="J56" s="483" t="str">
        <f t="shared" si="94"/>
        <v/>
      </c>
      <c r="K56" s="806" t="str">
        <f t="shared" si="603"/>
        <v/>
      </c>
      <c r="L56" s="309"/>
      <c r="M56" s="164" t="str">
        <f t="shared" si="325"/>
        <v/>
      </c>
      <c r="N56" s="575" t="str">
        <f t="shared" si="326"/>
        <v/>
      </c>
      <c r="O56" s="572" t="str">
        <f t="shared" si="327"/>
        <v/>
      </c>
      <c r="P56" s="576" t="str">
        <f t="shared" si="328"/>
        <v/>
      </c>
      <c r="Q56" s="528" t="str">
        <f t="shared" si="144"/>
        <v/>
      </c>
      <c r="R56" s="572" t="str">
        <f t="shared" si="547"/>
        <v/>
      </c>
      <c r="S56" s="577" t="str">
        <f t="shared" si="548"/>
        <v/>
      </c>
      <c r="T56" s="578" t="str">
        <f t="shared" si="549"/>
        <v/>
      </c>
      <c r="U56" s="572" t="str">
        <f t="shared" si="550"/>
        <v/>
      </c>
      <c r="V56" s="579" t="str">
        <f t="shared" si="551"/>
        <v/>
      </c>
      <c r="W56" s="528" t="str">
        <f t="shared" si="268"/>
        <v/>
      </c>
      <c r="X56" s="572" t="str">
        <f t="shared" si="552"/>
        <v/>
      </c>
      <c r="Y56" s="573" t="str">
        <f t="shared" si="271"/>
        <v/>
      </c>
      <c r="Z56" s="575" t="str">
        <f t="shared" si="329"/>
        <v/>
      </c>
      <c r="AA56" s="572" t="str">
        <f t="shared" si="330"/>
        <v/>
      </c>
      <c r="AB56" s="572" t="str">
        <f t="shared" si="331"/>
        <v/>
      </c>
      <c r="AC56" s="579" t="str">
        <f t="shared" si="553"/>
        <v/>
      </c>
      <c r="AD56" s="580" t="str">
        <f t="shared" si="554"/>
        <v/>
      </c>
      <c r="AE56" s="572" t="str">
        <f t="shared" si="555"/>
        <v/>
      </c>
      <c r="AF56" s="576" t="str">
        <f t="shared" si="556"/>
        <v/>
      </c>
      <c r="AG56" s="545" t="str">
        <f t="shared" si="557"/>
        <v/>
      </c>
      <c r="AH56" s="546" t="str">
        <f t="shared" si="558"/>
        <v/>
      </c>
      <c r="AI56" s="528" t="str">
        <f t="shared" si="559"/>
        <v/>
      </c>
      <c r="AJ56" s="529" t="str">
        <f t="shared" si="560"/>
        <v/>
      </c>
      <c r="AK56" s="578" t="str">
        <f t="shared" si="561"/>
        <v/>
      </c>
      <c r="AL56" s="572" t="str">
        <f t="shared" si="562"/>
        <v/>
      </c>
      <c r="AM56" s="577" t="str">
        <f t="shared" si="563"/>
        <v/>
      </c>
      <c r="AN56" s="524" t="str">
        <f t="shared" si="564"/>
        <v/>
      </c>
      <c r="AO56" s="525" t="str">
        <f t="shared" ref="AO56:AO119" si="604">IF(ROUND(IF(M56="",0,DEGREES(ACOS(AK56))),4)=90,0,IF(M56="","",DEGREES(ACOS(AK56))))</f>
        <v/>
      </c>
      <c r="AP56" s="528" t="str">
        <f t="shared" si="565"/>
        <v/>
      </c>
      <c r="AQ56" s="529" t="str">
        <f t="shared" si="332"/>
        <v/>
      </c>
      <c r="AR56" s="979"/>
      <c r="AS56" s="954" t="str">
        <f t="shared" si="524"/>
        <v/>
      </c>
      <c r="AT56" s="950" t="str">
        <f t="shared" si="333"/>
        <v/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 t="str">
        <f t="shared" si="241"/>
        <v/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 t="str">
        <f t="shared" si="485"/>
        <v/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 t="e">
        <f t="shared" si="133"/>
        <v>#VALUE!</v>
      </c>
      <c r="JN56" s="960" t="e">
        <f>($JO56-SMALL($JO$9:$JO$88,1))/((Settings!$C$19/2)-((Settings!$C$19/2)-LARGE($JO$9:$JO$88,1))-SMALL($JO$9:$JO$88,1))</f>
        <v>#VALUE!</v>
      </c>
      <c r="JO56" s="162" t="str">
        <f t="shared" si="134"/>
        <v/>
      </c>
      <c r="JP56" s="961" t="str">
        <f t="shared" si="135"/>
        <v/>
      </c>
      <c r="JQ56" s="961" t="str">
        <f t="shared" si="136"/>
        <v/>
      </c>
      <c r="JU56" s="962"/>
      <c r="JV56" s="959"/>
      <c r="JW56" s="959"/>
    </row>
    <row r="57" spans="1:284" ht="15" customHeight="1" x14ac:dyDescent="0.25">
      <c r="A57" s="75" t="str">
        <f t="shared" si="322"/>
        <v/>
      </c>
      <c r="B57" s="578" t="str">
        <f t="shared" ref="B57:D57" si="605">IFERROR(O212+($A57*-E57),"")</f>
        <v/>
      </c>
      <c r="C57" s="572" t="str">
        <f t="shared" si="605"/>
        <v/>
      </c>
      <c r="D57" s="576" t="str">
        <f t="shared" si="605"/>
        <v/>
      </c>
      <c r="E57" s="580" t="str">
        <f t="shared" ref="E57:K57" si="606">R212</f>
        <v/>
      </c>
      <c r="F57" s="572" t="str">
        <f t="shared" si="606"/>
        <v/>
      </c>
      <c r="G57" s="579" t="str">
        <f t="shared" si="606"/>
        <v/>
      </c>
      <c r="H57" s="580" t="str">
        <f t="shared" si="606"/>
        <v/>
      </c>
      <c r="I57" s="572" t="str">
        <f t="shared" si="606"/>
        <v/>
      </c>
      <c r="J57" s="483" t="str">
        <f t="shared" si="94"/>
        <v/>
      </c>
      <c r="K57" s="806" t="str">
        <f t="shared" si="606"/>
        <v/>
      </c>
      <c r="L57" s="309"/>
      <c r="M57" s="164" t="str">
        <f t="shared" si="325"/>
        <v/>
      </c>
      <c r="N57" s="575" t="str">
        <f t="shared" si="326"/>
        <v/>
      </c>
      <c r="O57" s="572" t="str">
        <f t="shared" si="327"/>
        <v/>
      </c>
      <c r="P57" s="576" t="str">
        <f t="shared" si="328"/>
        <v/>
      </c>
      <c r="Q57" s="528" t="str">
        <f t="shared" si="144"/>
        <v/>
      </c>
      <c r="R57" s="572" t="str">
        <f t="shared" si="547"/>
        <v/>
      </c>
      <c r="S57" s="577" t="str">
        <f t="shared" si="548"/>
        <v/>
      </c>
      <c r="T57" s="578" t="str">
        <f t="shared" si="549"/>
        <v/>
      </c>
      <c r="U57" s="572" t="str">
        <f t="shared" si="550"/>
        <v/>
      </c>
      <c r="V57" s="579" t="str">
        <f t="shared" si="551"/>
        <v/>
      </c>
      <c r="W57" s="528" t="str">
        <f t="shared" si="268"/>
        <v/>
      </c>
      <c r="X57" s="572" t="str">
        <f t="shared" si="552"/>
        <v/>
      </c>
      <c r="Y57" s="573" t="str">
        <f t="shared" si="271"/>
        <v/>
      </c>
      <c r="Z57" s="575" t="str">
        <f t="shared" si="329"/>
        <v/>
      </c>
      <c r="AA57" s="572" t="str">
        <f t="shared" si="330"/>
        <v/>
      </c>
      <c r="AB57" s="572" t="str">
        <f t="shared" si="331"/>
        <v/>
      </c>
      <c r="AC57" s="579" t="str">
        <f t="shared" si="553"/>
        <v/>
      </c>
      <c r="AD57" s="580" t="str">
        <f t="shared" si="554"/>
        <v/>
      </c>
      <c r="AE57" s="572" t="str">
        <f t="shared" si="555"/>
        <v/>
      </c>
      <c r="AF57" s="576" t="str">
        <f t="shared" si="556"/>
        <v/>
      </c>
      <c r="AG57" s="545" t="str">
        <f t="shared" si="557"/>
        <v/>
      </c>
      <c r="AH57" s="546" t="str">
        <f t="shared" si="558"/>
        <v/>
      </c>
      <c r="AI57" s="528" t="str">
        <f t="shared" si="559"/>
        <v/>
      </c>
      <c r="AJ57" s="529" t="str">
        <f t="shared" si="560"/>
        <v/>
      </c>
      <c r="AK57" s="578" t="str">
        <f t="shared" si="561"/>
        <v/>
      </c>
      <c r="AL57" s="572" t="str">
        <f t="shared" si="562"/>
        <v/>
      </c>
      <c r="AM57" s="577" t="str">
        <f t="shared" si="563"/>
        <v/>
      </c>
      <c r="AN57" s="524" t="str">
        <f t="shared" si="564"/>
        <v/>
      </c>
      <c r="AO57" s="525" t="str">
        <f t="shared" si="604"/>
        <v/>
      </c>
      <c r="AP57" s="528" t="str">
        <f t="shared" si="565"/>
        <v/>
      </c>
      <c r="AQ57" s="529" t="str">
        <f t="shared" si="332"/>
        <v/>
      </c>
      <c r="AR57" s="979"/>
      <c r="AS57" s="954" t="str">
        <f t="shared" si="524"/>
        <v/>
      </c>
      <c r="AT57" s="950" t="str">
        <f t="shared" si="333"/>
        <v/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 t="str">
        <f t="shared" si="241"/>
        <v/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 t="str">
        <f t="shared" si="485"/>
        <v/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 t="e">
        <f t="shared" si="133"/>
        <v>#VALUE!</v>
      </c>
      <c r="JN57" s="960" t="e">
        <f>($JO57-SMALL($JO$9:$JO$88,1))/((Settings!$C$19/2)-((Settings!$C$19/2)-LARGE($JO$9:$JO$88,1))-SMALL($JO$9:$JO$88,1))</f>
        <v>#VALUE!</v>
      </c>
      <c r="JO57" s="162" t="str">
        <f t="shared" si="134"/>
        <v/>
      </c>
      <c r="JP57" s="961" t="str">
        <f t="shared" si="135"/>
        <v/>
      </c>
      <c r="JQ57" s="961" t="str">
        <f t="shared" si="136"/>
        <v/>
      </c>
      <c r="JU57" s="962"/>
      <c r="JV57" s="959"/>
      <c r="JW57" s="959"/>
    </row>
    <row r="58" spans="1:284" ht="15" customHeight="1" x14ac:dyDescent="0.25">
      <c r="A58" s="75" t="str">
        <f t="shared" si="322"/>
        <v/>
      </c>
      <c r="B58" s="578" t="str">
        <f t="shared" ref="B58:D58" si="607">IFERROR(O213+($A58*-E58),"")</f>
        <v/>
      </c>
      <c r="C58" s="572" t="str">
        <f t="shared" si="607"/>
        <v/>
      </c>
      <c r="D58" s="576" t="str">
        <f t="shared" si="607"/>
        <v/>
      </c>
      <c r="E58" s="580" t="str">
        <f t="shared" ref="E58:K58" si="608">R213</f>
        <v/>
      </c>
      <c r="F58" s="572" t="str">
        <f t="shared" si="608"/>
        <v/>
      </c>
      <c r="G58" s="579" t="str">
        <f t="shared" si="608"/>
        <v/>
      </c>
      <c r="H58" s="580" t="str">
        <f t="shared" si="608"/>
        <v/>
      </c>
      <c r="I58" s="572" t="str">
        <f t="shared" si="608"/>
        <v/>
      </c>
      <c r="J58" s="483" t="str">
        <f t="shared" si="94"/>
        <v/>
      </c>
      <c r="K58" s="806" t="str">
        <f t="shared" si="608"/>
        <v/>
      </c>
      <c r="L58" s="309"/>
      <c r="M58" s="164" t="str">
        <f t="shared" si="325"/>
        <v/>
      </c>
      <c r="N58" s="575" t="str">
        <f t="shared" si="326"/>
        <v/>
      </c>
      <c r="O58" s="572" t="str">
        <f t="shared" si="327"/>
        <v/>
      </c>
      <c r="P58" s="576" t="str">
        <f t="shared" si="328"/>
        <v/>
      </c>
      <c r="Q58" s="528" t="str">
        <f t="shared" si="144"/>
        <v/>
      </c>
      <c r="R58" s="572" t="str">
        <f t="shared" si="547"/>
        <v/>
      </c>
      <c r="S58" s="577" t="str">
        <f t="shared" si="548"/>
        <v/>
      </c>
      <c r="T58" s="578" t="str">
        <f t="shared" si="549"/>
        <v/>
      </c>
      <c r="U58" s="572" t="str">
        <f t="shared" si="550"/>
        <v/>
      </c>
      <c r="V58" s="579" t="str">
        <f t="shared" si="551"/>
        <v/>
      </c>
      <c r="W58" s="528" t="str">
        <f t="shared" si="268"/>
        <v/>
      </c>
      <c r="X58" s="572" t="str">
        <f t="shared" si="552"/>
        <v/>
      </c>
      <c r="Y58" s="573" t="str">
        <f t="shared" si="271"/>
        <v/>
      </c>
      <c r="Z58" s="575" t="str">
        <f t="shared" si="329"/>
        <v/>
      </c>
      <c r="AA58" s="572" t="str">
        <f t="shared" si="330"/>
        <v/>
      </c>
      <c r="AB58" s="572" t="str">
        <f t="shared" si="331"/>
        <v/>
      </c>
      <c r="AC58" s="579" t="str">
        <f t="shared" si="553"/>
        <v/>
      </c>
      <c r="AD58" s="580" t="str">
        <f t="shared" si="554"/>
        <v/>
      </c>
      <c r="AE58" s="572" t="str">
        <f t="shared" si="555"/>
        <v/>
      </c>
      <c r="AF58" s="576" t="str">
        <f t="shared" si="556"/>
        <v/>
      </c>
      <c r="AG58" s="545" t="str">
        <f t="shared" si="557"/>
        <v/>
      </c>
      <c r="AH58" s="546" t="str">
        <f t="shared" si="558"/>
        <v/>
      </c>
      <c r="AI58" s="528" t="str">
        <f t="shared" si="559"/>
        <v/>
      </c>
      <c r="AJ58" s="529" t="str">
        <f t="shared" si="560"/>
        <v/>
      </c>
      <c r="AK58" s="578" t="str">
        <f t="shared" si="561"/>
        <v/>
      </c>
      <c r="AL58" s="572" t="str">
        <f t="shared" si="562"/>
        <v/>
      </c>
      <c r="AM58" s="577" t="str">
        <f t="shared" si="563"/>
        <v/>
      </c>
      <c r="AN58" s="524" t="str">
        <f t="shared" si="564"/>
        <v/>
      </c>
      <c r="AO58" s="525" t="str">
        <f t="shared" si="604"/>
        <v/>
      </c>
      <c r="AP58" s="528" t="str">
        <f t="shared" si="565"/>
        <v/>
      </c>
      <c r="AQ58" s="529" t="str">
        <f t="shared" si="332"/>
        <v/>
      </c>
      <c r="AR58" s="979"/>
      <c r="AS58" s="954" t="str">
        <f t="shared" si="524"/>
        <v/>
      </c>
      <c r="AT58" s="950" t="str">
        <f t="shared" si="333"/>
        <v/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 t="str">
        <f t="shared" si="241"/>
        <v/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 t="str">
        <f t="shared" si="485"/>
        <v/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 t="e">
        <f t="shared" si="133"/>
        <v>#VALUE!</v>
      </c>
      <c r="JN58" s="960" t="e">
        <f>($JO58-SMALL($JO$9:$JO$88,1))/((Settings!$C$19/2)-((Settings!$C$19/2)-LARGE($JO$9:$JO$88,1))-SMALL($JO$9:$JO$88,1))</f>
        <v>#VALUE!</v>
      </c>
      <c r="JO58" s="162" t="str">
        <f t="shared" si="134"/>
        <v/>
      </c>
      <c r="JP58" s="961" t="str">
        <f t="shared" si="135"/>
        <v/>
      </c>
      <c r="JQ58" s="961" t="str">
        <f t="shared" si="136"/>
        <v/>
      </c>
      <c r="JU58" s="962"/>
      <c r="JV58" s="959"/>
      <c r="JW58" s="959"/>
    </row>
    <row r="59" spans="1:284" ht="15" customHeight="1" x14ac:dyDescent="0.25">
      <c r="A59" s="75" t="str">
        <f t="shared" si="322"/>
        <v/>
      </c>
      <c r="B59" s="578" t="str">
        <f t="shared" ref="B59:D59" si="609">IFERROR(O214+($A59*-E59),"")</f>
        <v/>
      </c>
      <c r="C59" s="572" t="str">
        <f t="shared" si="609"/>
        <v/>
      </c>
      <c r="D59" s="576" t="str">
        <f t="shared" si="609"/>
        <v/>
      </c>
      <c r="E59" s="580" t="str">
        <f t="shared" ref="E59:K59" si="610">R214</f>
        <v/>
      </c>
      <c r="F59" s="572" t="str">
        <f t="shared" si="610"/>
        <v/>
      </c>
      <c r="G59" s="579" t="str">
        <f t="shared" si="610"/>
        <v/>
      </c>
      <c r="H59" s="580" t="str">
        <f t="shared" si="610"/>
        <v/>
      </c>
      <c r="I59" s="572" t="str">
        <f t="shared" si="610"/>
        <v/>
      </c>
      <c r="J59" s="483" t="str">
        <f t="shared" si="94"/>
        <v/>
      </c>
      <c r="K59" s="806" t="str">
        <f t="shared" si="610"/>
        <v/>
      </c>
      <c r="L59" s="309"/>
      <c r="M59" s="164" t="str">
        <f t="shared" si="325"/>
        <v/>
      </c>
      <c r="N59" s="575" t="str">
        <f t="shared" si="326"/>
        <v/>
      </c>
      <c r="O59" s="572" t="str">
        <f t="shared" si="327"/>
        <v/>
      </c>
      <c r="P59" s="576" t="str">
        <f t="shared" si="328"/>
        <v/>
      </c>
      <c r="Q59" s="528" t="str">
        <f t="shared" si="144"/>
        <v/>
      </c>
      <c r="R59" s="572" t="str">
        <f t="shared" si="95"/>
        <v/>
      </c>
      <c r="S59" s="577" t="str">
        <f t="shared" si="96"/>
        <v/>
      </c>
      <c r="T59" s="578" t="str">
        <f t="shared" si="97"/>
        <v/>
      </c>
      <c r="U59" s="572" t="str">
        <f t="shared" si="98"/>
        <v/>
      </c>
      <c r="V59" s="579" t="str">
        <f t="shared" si="145"/>
        <v/>
      </c>
      <c r="W59" s="528" t="str">
        <f t="shared" si="268"/>
        <v/>
      </c>
      <c r="X59" s="572" t="str">
        <f t="shared" si="99"/>
        <v/>
      </c>
      <c r="Y59" s="573" t="str">
        <f t="shared" si="271"/>
        <v/>
      </c>
      <c r="Z59" s="575" t="str">
        <f t="shared" si="329"/>
        <v/>
      </c>
      <c r="AA59" s="572" t="str">
        <f t="shared" si="330"/>
        <v/>
      </c>
      <c r="AB59" s="572" t="str">
        <f t="shared" si="331"/>
        <v/>
      </c>
      <c r="AC59" s="579" t="str">
        <f t="shared" si="100"/>
        <v/>
      </c>
      <c r="AD59" s="580" t="str">
        <f t="shared" si="146"/>
        <v/>
      </c>
      <c r="AE59" s="572" t="str">
        <f t="shared" si="101"/>
        <v/>
      </c>
      <c r="AF59" s="576" t="str">
        <f t="shared" si="102"/>
        <v/>
      </c>
      <c r="AG59" s="545" t="str">
        <f t="shared" si="103"/>
        <v/>
      </c>
      <c r="AH59" s="546" t="str">
        <f t="shared" si="104"/>
        <v/>
      </c>
      <c r="AI59" s="528" t="str">
        <f t="shared" si="105"/>
        <v/>
      </c>
      <c r="AJ59" s="529" t="str">
        <f t="shared" si="106"/>
        <v/>
      </c>
      <c r="AK59" s="578" t="str">
        <f t="shared" si="247"/>
        <v/>
      </c>
      <c r="AL59" s="572" t="str">
        <f t="shared" si="107"/>
        <v/>
      </c>
      <c r="AM59" s="577" t="str">
        <f t="shared" si="108"/>
        <v/>
      </c>
      <c r="AN59" s="524" t="str">
        <f t="shared" si="109"/>
        <v/>
      </c>
      <c r="AO59" s="525" t="str">
        <f t="shared" si="604"/>
        <v/>
      </c>
      <c r="AP59" s="528" t="str">
        <f t="shared" si="111"/>
        <v/>
      </c>
      <c r="AQ59" s="529" t="str">
        <f t="shared" si="332"/>
        <v/>
      </c>
      <c r="AR59" s="979"/>
      <c r="AS59" s="954" t="str">
        <f t="shared" si="524"/>
        <v/>
      </c>
      <c r="AT59" s="950" t="str">
        <f t="shared" si="333"/>
        <v/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 t="str">
        <f t="shared" si="241"/>
        <v/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 t="str">
        <f t="shared" si="485"/>
        <v/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 t="e">
        <f t="shared" si="133"/>
        <v>#VALUE!</v>
      </c>
      <c r="JN59" s="960" t="e">
        <f>($JO59-SMALL($JO$9:$JO$88,1))/((Settings!$C$19/2)-((Settings!$C$19/2)-LARGE($JO$9:$JO$88,1))-SMALL($JO$9:$JO$88,1))</f>
        <v>#VALUE!</v>
      </c>
      <c r="JO59" s="162" t="str">
        <f t="shared" si="134"/>
        <v/>
      </c>
      <c r="JP59" s="961" t="str">
        <f t="shared" si="135"/>
        <v/>
      </c>
      <c r="JQ59" s="961" t="str">
        <f t="shared" si="136"/>
        <v/>
      </c>
      <c r="JU59" s="962"/>
      <c r="JV59" s="959"/>
      <c r="JW59" s="959"/>
    </row>
    <row r="60" spans="1:284" ht="15" customHeight="1" x14ac:dyDescent="0.25">
      <c r="A60" s="75" t="str">
        <f t="shared" si="322"/>
        <v/>
      </c>
      <c r="B60" s="578" t="str">
        <f t="shared" ref="B60:D60" si="611">IFERROR(O215+($A60*-E60),"")</f>
        <v/>
      </c>
      <c r="C60" s="572" t="str">
        <f t="shared" si="611"/>
        <v/>
      </c>
      <c r="D60" s="576" t="str">
        <f t="shared" si="611"/>
        <v/>
      </c>
      <c r="E60" s="580" t="str">
        <f t="shared" ref="E60:K60" si="612">R215</f>
        <v/>
      </c>
      <c r="F60" s="572" t="str">
        <f t="shared" si="612"/>
        <v/>
      </c>
      <c r="G60" s="579" t="str">
        <f t="shared" si="612"/>
        <v/>
      </c>
      <c r="H60" s="580" t="str">
        <f t="shared" si="612"/>
        <v/>
      </c>
      <c r="I60" s="572" t="str">
        <f t="shared" si="612"/>
        <v/>
      </c>
      <c r="J60" s="483" t="str">
        <f t="shared" si="94"/>
        <v/>
      </c>
      <c r="K60" s="806" t="str">
        <f t="shared" si="612"/>
        <v/>
      </c>
      <c r="L60" s="309"/>
      <c r="M60" s="164" t="str">
        <f t="shared" si="325"/>
        <v/>
      </c>
      <c r="N60" s="575" t="str">
        <f t="shared" si="326"/>
        <v/>
      </c>
      <c r="O60" s="572" t="str">
        <f t="shared" si="327"/>
        <v/>
      </c>
      <c r="P60" s="576" t="str">
        <f t="shared" si="328"/>
        <v/>
      </c>
      <c r="Q60" s="528" t="str">
        <f t="shared" si="144"/>
        <v/>
      </c>
      <c r="R60" s="572" t="str">
        <f t="shared" si="95"/>
        <v/>
      </c>
      <c r="S60" s="577" t="str">
        <f t="shared" si="96"/>
        <v/>
      </c>
      <c r="T60" s="578" t="str">
        <f t="shared" si="97"/>
        <v/>
      </c>
      <c r="U60" s="572" t="str">
        <f t="shared" si="98"/>
        <v/>
      </c>
      <c r="V60" s="579" t="str">
        <f t="shared" si="145"/>
        <v/>
      </c>
      <c r="W60" s="528" t="str">
        <f t="shared" si="268"/>
        <v/>
      </c>
      <c r="X60" s="572" t="str">
        <f t="shared" si="99"/>
        <v/>
      </c>
      <c r="Y60" s="573" t="str">
        <f t="shared" si="271"/>
        <v/>
      </c>
      <c r="Z60" s="575" t="str">
        <f t="shared" si="329"/>
        <v/>
      </c>
      <c r="AA60" s="572" t="str">
        <f t="shared" si="330"/>
        <v/>
      </c>
      <c r="AB60" s="572" t="str">
        <f t="shared" si="331"/>
        <v/>
      </c>
      <c r="AC60" s="579" t="str">
        <f t="shared" si="100"/>
        <v/>
      </c>
      <c r="AD60" s="580" t="str">
        <f t="shared" si="146"/>
        <v/>
      </c>
      <c r="AE60" s="572" t="str">
        <f t="shared" si="101"/>
        <v/>
      </c>
      <c r="AF60" s="576" t="str">
        <f t="shared" si="102"/>
        <v/>
      </c>
      <c r="AG60" s="545" t="str">
        <f t="shared" si="103"/>
        <v/>
      </c>
      <c r="AH60" s="546" t="str">
        <f t="shared" si="104"/>
        <v/>
      </c>
      <c r="AI60" s="528" t="str">
        <f t="shared" si="105"/>
        <v/>
      </c>
      <c r="AJ60" s="529" t="str">
        <f t="shared" si="106"/>
        <v/>
      </c>
      <c r="AK60" s="578" t="str">
        <f t="shared" si="247"/>
        <v/>
      </c>
      <c r="AL60" s="572" t="str">
        <f t="shared" si="107"/>
        <v/>
      </c>
      <c r="AM60" s="577" t="str">
        <f t="shared" si="108"/>
        <v/>
      </c>
      <c r="AN60" s="524" t="str">
        <f t="shared" si="109"/>
        <v/>
      </c>
      <c r="AO60" s="525" t="str">
        <f t="shared" si="604"/>
        <v/>
      </c>
      <c r="AP60" s="528" t="str">
        <f t="shared" si="111"/>
        <v/>
      </c>
      <c r="AQ60" s="529" t="str">
        <f t="shared" si="332"/>
        <v/>
      </c>
      <c r="AR60" s="979"/>
      <c r="AS60" s="954" t="str">
        <f t="shared" si="524"/>
        <v/>
      </c>
      <c r="AT60" s="950" t="str">
        <f t="shared" si="333"/>
        <v/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 t="str">
        <f t="shared" si="241"/>
        <v/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 t="str">
        <f t="shared" si="485"/>
        <v/>
      </c>
      <c r="IM60" s="482" t="str">
        <f t="shared" si="242"/>
        <v/>
      </c>
      <c r="IN60" s="670" t="str">
        <f t="shared" si="486"/>
        <v/>
      </c>
      <c r="IO60" s="702"/>
      <c r="IP60" s="5" t="str">
        <f t="shared" si="487"/>
        <v/>
      </c>
      <c r="IQ60" s="714"/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 t="e">
        <f t="shared" si="133"/>
        <v>#VALUE!</v>
      </c>
      <c r="JN60" s="960" t="e">
        <f>($JO60-SMALL($JO$9:$JO$88,1))/((Settings!$C$19/2)-((Settings!$C$19/2)-LARGE($JO$9:$JO$88,1))-SMALL($JO$9:$JO$88,1))</f>
        <v>#VALUE!</v>
      </c>
      <c r="JO60" s="162" t="str">
        <f t="shared" si="134"/>
        <v/>
      </c>
      <c r="JP60" s="961" t="str">
        <f t="shared" si="135"/>
        <v/>
      </c>
      <c r="JQ60" s="961" t="str">
        <f t="shared" si="136"/>
        <v/>
      </c>
      <c r="JU60" s="962"/>
      <c r="JV60" s="959"/>
      <c r="JW60" s="959"/>
    </row>
    <row r="61" spans="1:284" ht="15" customHeight="1" x14ac:dyDescent="0.25">
      <c r="A61" s="75" t="str">
        <f t="shared" si="322"/>
        <v/>
      </c>
      <c r="B61" s="578" t="str">
        <f t="shared" ref="B61:D61" si="613">IFERROR(O216+($A61*-E61),"")</f>
        <v/>
      </c>
      <c r="C61" s="572" t="str">
        <f t="shared" si="613"/>
        <v/>
      </c>
      <c r="D61" s="576" t="str">
        <f t="shared" si="613"/>
        <v/>
      </c>
      <c r="E61" s="580" t="str">
        <f t="shared" ref="E61:K61" si="614">R216</f>
        <v/>
      </c>
      <c r="F61" s="572" t="str">
        <f t="shared" si="614"/>
        <v/>
      </c>
      <c r="G61" s="579" t="str">
        <f t="shared" si="614"/>
        <v/>
      </c>
      <c r="H61" s="580" t="str">
        <f t="shared" si="614"/>
        <v/>
      </c>
      <c r="I61" s="572" t="str">
        <f t="shared" si="614"/>
        <v/>
      </c>
      <c r="J61" s="483" t="str">
        <f t="shared" si="94"/>
        <v/>
      </c>
      <c r="K61" s="806" t="str">
        <f t="shared" si="614"/>
        <v/>
      </c>
      <c r="L61" s="309"/>
      <c r="M61" s="164" t="str">
        <f t="shared" si="325"/>
        <v/>
      </c>
      <c r="N61" s="575" t="str">
        <f t="shared" si="326"/>
        <v/>
      </c>
      <c r="O61" s="572" t="str">
        <f t="shared" si="327"/>
        <v/>
      </c>
      <c r="P61" s="576" t="str">
        <f t="shared" si="328"/>
        <v/>
      </c>
      <c r="Q61" s="528" t="str">
        <f t="shared" si="144"/>
        <v/>
      </c>
      <c r="R61" s="572" t="str">
        <f t="shared" si="95"/>
        <v/>
      </c>
      <c r="S61" s="577" t="str">
        <f t="shared" si="96"/>
        <v/>
      </c>
      <c r="T61" s="578" t="str">
        <f t="shared" si="97"/>
        <v/>
      </c>
      <c r="U61" s="572" t="str">
        <f t="shared" si="98"/>
        <v/>
      </c>
      <c r="V61" s="579" t="str">
        <f t="shared" si="145"/>
        <v/>
      </c>
      <c r="W61" s="528" t="str">
        <f t="shared" si="268"/>
        <v/>
      </c>
      <c r="X61" s="572" t="str">
        <f t="shared" si="99"/>
        <v/>
      </c>
      <c r="Y61" s="573" t="str">
        <f t="shared" si="271"/>
        <v/>
      </c>
      <c r="Z61" s="575" t="str">
        <f t="shared" si="329"/>
        <v/>
      </c>
      <c r="AA61" s="572" t="str">
        <f t="shared" si="330"/>
        <v/>
      </c>
      <c r="AB61" s="572" t="str">
        <f t="shared" si="331"/>
        <v/>
      </c>
      <c r="AC61" s="579" t="str">
        <f t="shared" si="100"/>
        <v/>
      </c>
      <c r="AD61" s="580" t="str">
        <f t="shared" si="146"/>
        <v/>
      </c>
      <c r="AE61" s="572" t="str">
        <f t="shared" si="101"/>
        <v/>
      </c>
      <c r="AF61" s="576" t="str">
        <f t="shared" si="102"/>
        <v/>
      </c>
      <c r="AG61" s="545" t="str">
        <f t="shared" si="103"/>
        <v/>
      </c>
      <c r="AH61" s="546" t="str">
        <f t="shared" si="104"/>
        <v/>
      </c>
      <c r="AI61" s="528" t="str">
        <f t="shared" si="105"/>
        <v/>
      </c>
      <c r="AJ61" s="529" t="str">
        <f t="shared" si="106"/>
        <v/>
      </c>
      <c r="AK61" s="578" t="str">
        <f t="shared" si="247"/>
        <v/>
      </c>
      <c r="AL61" s="572" t="str">
        <f t="shared" si="107"/>
        <v/>
      </c>
      <c r="AM61" s="577" t="str">
        <f t="shared" si="108"/>
        <v/>
      </c>
      <c r="AN61" s="524" t="str">
        <f t="shared" si="109"/>
        <v/>
      </c>
      <c r="AO61" s="525" t="str">
        <f t="shared" si="604"/>
        <v/>
      </c>
      <c r="AP61" s="528" t="str">
        <f t="shared" si="111"/>
        <v/>
      </c>
      <c r="AQ61" s="529" t="str">
        <f t="shared" si="332"/>
        <v/>
      </c>
      <c r="AR61" s="979"/>
      <c r="AS61" s="954" t="str">
        <f t="shared" si="524"/>
        <v/>
      </c>
      <c r="AT61" s="950" t="str">
        <f t="shared" si="333"/>
        <v/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 t="str">
        <f t="shared" si="241"/>
        <v/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 t="str">
        <f t="shared" si="485"/>
        <v/>
      </c>
      <c r="IM61" s="482" t="str">
        <f t="shared" si="242"/>
        <v/>
      </c>
      <c r="IN61" s="670" t="str">
        <f t="shared" si="486"/>
        <v/>
      </c>
      <c r="IO61" s="702"/>
      <c r="IP61" s="5" t="str">
        <f t="shared" si="487"/>
        <v/>
      </c>
      <c r="IQ61" s="714"/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 t="e">
        <f t="shared" si="133"/>
        <v>#VALUE!</v>
      </c>
      <c r="JN61" s="960" t="e">
        <f>($JO61-SMALL($JO$9:$JO$88,1))/((Settings!$C$19/2)-((Settings!$C$19/2)-LARGE($JO$9:$JO$88,1))-SMALL($JO$9:$JO$88,1))</f>
        <v>#VALUE!</v>
      </c>
      <c r="JO61" s="162" t="str">
        <f t="shared" si="134"/>
        <v/>
      </c>
      <c r="JP61" s="961" t="str">
        <f t="shared" si="135"/>
        <v/>
      </c>
      <c r="JQ61" s="961" t="str">
        <f t="shared" si="136"/>
        <v/>
      </c>
      <c r="JU61" s="962"/>
      <c r="JV61" s="959"/>
      <c r="JW61" s="959"/>
    </row>
    <row r="62" spans="1:284" ht="15" customHeight="1" x14ac:dyDescent="0.25">
      <c r="A62" s="75" t="str">
        <f t="shared" si="322"/>
        <v/>
      </c>
      <c r="B62" s="578" t="str">
        <f t="shared" ref="B62:D62" si="615">IFERROR(O217+($A62*-E62),"")</f>
        <v/>
      </c>
      <c r="C62" s="572" t="str">
        <f t="shared" si="615"/>
        <v/>
      </c>
      <c r="D62" s="576" t="str">
        <f t="shared" si="615"/>
        <v/>
      </c>
      <c r="E62" s="580" t="str">
        <f t="shared" ref="E62:K62" si="616">R217</f>
        <v/>
      </c>
      <c r="F62" s="572" t="str">
        <f t="shared" si="616"/>
        <v/>
      </c>
      <c r="G62" s="579" t="str">
        <f t="shared" si="616"/>
        <v/>
      </c>
      <c r="H62" s="580" t="str">
        <f t="shared" si="616"/>
        <v/>
      </c>
      <c r="I62" s="572" t="str">
        <f t="shared" si="616"/>
        <v/>
      </c>
      <c r="J62" s="483" t="str">
        <f t="shared" si="94"/>
        <v/>
      </c>
      <c r="K62" s="806" t="str">
        <f t="shared" si="616"/>
        <v/>
      </c>
      <c r="L62" s="309"/>
      <c r="M62" s="164" t="str">
        <f t="shared" si="325"/>
        <v/>
      </c>
      <c r="N62" s="575" t="str">
        <f t="shared" si="326"/>
        <v/>
      </c>
      <c r="O62" s="572" t="str">
        <f t="shared" si="327"/>
        <v/>
      </c>
      <c r="P62" s="576" t="str">
        <f t="shared" si="328"/>
        <v/>
      </c>
      <c r="Q62" s="528" t="str">
        <f t="shared" si="144"/>
        <v/>
      </c>
      <c r="R62" s="572" t="str">
        <f t="shared" si="95"/>
        <v/>
      </c>
      <c r="S62" s="577" t="str">
        <f t="shared" si="96"/>
        <v/>
      </c>
      <c r="T62" s="578" t="str">
        <f t="shared" si="97"/>
        <v/>
      </c>
      <c r="U62" s="572" t="str">
        <f t="shared" si="98"/>
        <v/>
      </c>
      <c r="V62" s="579" t="str">
        <f t="shared" si="145"/>
        <v/>
      </c>
      <c r="W62" s="528" t="str">
        <f t="shared" si="268"/>
        <v/>
      </c>
      <c r="X62" s="572" t="str">
        <f t="shared" si="99"/>
        <v/>
      </c>
      <c r="Y62" s="573" t="str">
        <f t="shared" si="271"/>
        <v/>
      </c>
      <c r="Z62" s="575" t="str">
        <f t="shared" si="329"/>
        <v/>
      </c>
      <c r="AA62" s="572" t="str">
        <f t="shared" si="330"/>
        <v/>
      </c>
      <c r="AB62" s="572" t="str">
        <f t="shared" si="331"/>
        <v/>
      </c>
      <c r="AC62" s="579" t="str">
        <f t="shared" si="100"/>
        <v/>
      </c>
      <c r="AD62" s="580" t="str">
        <f t="shared" si="146"/>
        <v/>
      </c>
      <c r="AE62" s="572" t="str">
        <f t="shared" si="101"/>
        <v/>
      </c>
      <c r="AF62" s="576" t="str">
        <f t="shared" si="102"/>
        <v/>
      </c>
      <c r="AG62" s="545" t="str">
        <f t="shared" si="103"/>
        <v/>
      </c>
      <c r="AH62" s="546" t="str">
        <f t="shared" si="104"/>
        <v/>
      </c>
      <c r="AI62" s="528" t="str">
        <f t="shared" si="105"/>
        <v/>
      </c>
      <c r="AJ62" s="529" t="str">
        <f t="shared" si="106"/>
        <v/>
      </c>
      <c r="AK62" s="578" t="str">
        <f t="shared" si="247"/>
        <v/>
      </c>
      <c r="AL62" s="572" t="str">
        <f t="shared" si="107"/>
        <v/>
      </c>
      <c r="AM62" s="577" t="str">
        <f t="shared" si="108"/>
        <v/>
      </c>
      <c r="AN62" s="524" t="str">
        <f t="shared" si="109"/>
        <v/>
      </c>
      <c r="AO62" s="525" t="str">
        <f t="shared" si="604"/>
        <v/>
      </c>
      <c r="AP62" s="528" t="str">
        <f t="shared" si="111"/>
        <v/>
      </c>
      <c r="AQ62" s="529" t="str">
        <f t="shared" si="332"/>
        <v/>
      </c>
      <c r="AR62" s="979"/>
      <c r="AS62" s="954" t="str">
        <f t="shared" si="524"/>
        <v/>
      </c>
      <c r="AT62" s="950" t="str">
        <f t="shared" si="333"/>
        <v/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 t="str">
        <f t="shared" si="241"/>
        <v/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 t="str">
        <f t="shared" si="485"/>
        <v/>
      </c>
      <c r="IM62" s="482" t="str">
        <f t="shared" si="242"/>
        <v/>
      </c>
      <c r="IN62" s="670" t="str">
        <f t="shared" si="486"/>
        <v/>
      </c>
      <c r="IO62" s="702"/>
      <c r="IP62" s="5" t="str">
        <f t="shared" si="487"/>
        <v/>
      </c>
      <c r="IQ62" s="714"/>
      <c r="IR62" s="9" t="str">
        <f t="shared" si="488"/>
        <v/>
      </c>
      <c r="IS62" s="5" t="str">
        <f t="shared" si="489"/>
        <v/>
      </c>
      <c r="IT62" s="5" t="str">
        <f t="shared" si="490"/>
        <v/>
      </c>
      <c r="IU62" s="5" t="str">
        <f t="shared" si="491"/>
        <v/>
      </c>
      <c r="IV62" s="670" t="str">
        <f t="shared" si="492"/>
        <v/>
      </c>
      <c r="IW62" s="9" t="str">
        <f t="shared" si="493"/>
        <v/>
      </c>
      <c r="IX62" s="5" t="str">
        <f t="shared" si="494"/>
        <v/>
      </c>
      <c r="IY62" s="5" t="str">
        <f t="shared" si="495"/>
        <v/>
      </c>
      <c r="IZ62" s="5" t="str">
        <f t="shared" si="496"/>
        <v/>
      </c>
      <c r="JA62" s="705" t="str">
        <f t="shared" si="497"/>
        <v/>
      </c>
      <c r="JM62" s="489" t="e">
        <f t="shared" si="133"/>
        <v>#VALUE!</v>
      </c>
      <c r="JN62" s="960" t="e">
        <f>($JO62-SMALL($JO$9:$JO$88,1))/((Settings!$C$19/2)-((Settings!$C$19/2)-LARGE($JO$9:$JO$88,1))-SMALL($JO$9:$JO$88,1))</f>
        <v>#VALUE!</v>
      </c>
      <c r="JO62" s="162" t="str">
        <f t="shared" si="134"/>
        <v/>
      </c>
      <c r="JP62" s="961" t="str">
        <f t="shared" si="135"/>
        <v/>
      </c>
      <c r="JQ62" s="961" t="str">
        <f t="shared" si="136"/>
        <v/>
      </c>
      <c r="JU62" s="962"/>
      <c r="JV62" s="959"/>
      <c r="JW62" s="959"/>
    </row>
    <row r="63" spans="1:284" ht="15" customHeight="1" x14ac:dyDescent="0.25">
      <c r="A63" s="75" t="str">
        <f t="shared" si="322"/>
        <v/>
      </c>
      <c r="B63" s="578" t="str">
        <f t="shared" ref="B63:D63" si="617">IFERROR(O218+($A63*-E63),"")</f>
        <v/>
      </c>
      <c r="C63" s="572" t="str">
        <f t="shared" si="617"/>
        <v/>
      </c>
      <c r="D63" s="576" t="str">
        <f t="shared" si="617"/>
        <v/>
      </c>
      <c r="E63" s="580" t="str">
        <f t="shared" ref="E63:K63" si="618">R218</f>
        <v/>
      </c>
      <c r="F63" s="572" t="str">
        <f t="shared" si="618"/>
        <v/>
      </c>
      <c r="G63" s="579" t="str">
        <f t="shared" si="618"/>
        <v/>
      </c>
      <c r="H63" s="580" t="str">
        <f t="shared" si="618"/>
        <v/>
      </c>
      <c r="I63" s="572" t="str">
        <f t="shared" si="618"/>
        <v/>
      </c>
      <c r="J63" s="483" t="str">
        <f t="shared" si="94"/>
        <v/>
      </c>
      <c r="K63" s="806" t="str">
        <f t="shared" si="618"/>
        <v/>
      </c>
      <c r="L63" s="309"/>
      <c r="M63" s="164" t="str">
        <f t="shared" si="325"/>
        <v/>
      </c>
      <c r="N63" s="575" t="str">
        <f t="shared" si="326"/>
        <v/>
      </c>
      <c r="O63" s="572" t="str">
        <f t="shared" si="327"/>
        <v/>
      </c>
      <c r="P63" s="576" t="str">
        <f t="shared" si="328"/>
        <v/>
      </c>
      <c r="Q63" s="528" t="str">
        <f t="shared" si="144"/>
        <v/>
      </c>
      <c r="R63" s="572" t="str">
        <f t="shared" si="95"/>
        <v/>
      </c>
      <c r="S63" s="577" t="str">
        <f t="shared" si="96"/>
        <v/>
      </c>
      <c r="T63" s="578" t="str">
        <f t="shared" si="97"/>
        <v/>
      </c>
      <c r="U63" s="572" t="str">
        <f t="shared" si="98"/>
        <v/>
      </c>
      <c r="V63" s="579" t="str">
        <f t="shared" si="145"/>
        <v/>
      </c>
      <c r="W63" s="528" t="str">
        <f t="shared" si="268"/>
        <v/>
      </c>
      <c r="X63" s="572" t="str">
        <f t="shared" si="99"/>
        <v/>
      </c>
      <c r="Y63" s="573" t="str">
        <f t="shared" si="271"/>
        <v/>
      </c>
      <c r="Z63" s="575" t="str">
        <f t="shared" si="329"/>
        <v/>
      </c>
      <c r="AA63" s="572" t="str">
        <f t="shared" si="330"/>
        <v/>
      </c>
      <c r="AB63" s="572" t="str">
        <f t="shared" si="331"/>
        <v/>
      </c>
      <c r="AC63" s="579" t="str">
        <f t="shared" si="100"/>
        <v/>
      </c>
      <c r="AD63" s="580" t="str">
        <f t="shared" si="146"/>
        <v/>
      </c>
      <c r="AE63" s="572" t="str">
        <f t="shared" si="101"/>
        <v/>
      </c>
      <c r="AF63" s="576" t="str">
        <f t="shared" si="102"/>
        <v/>
      </c>
      <c r="AG63" s="545" t="str">
        <f t="shared" si="103"/>
        <v/>
      </c>
      <c r="AH63" s="546" t="str">
        <f t="shared" si="104"/>
        <v/>
      </c>
      <c r="AI63" s="528" t="str">
        <f t="shared" si="105"/>
        <v/>
      </c>
      <c r="AJ63" s="529" t="str">
        <f t="shared" si="106"/>
        <v/>
      </c>
      <c r="AK63" s="578" t="str">
        <f t="shared" si="247"/>
        <v/>
      </c>
      <c r="AL63" s="572" t="str">
        <f t="shared" si="107"/>
        <v/>
      </c>
      <c r="AM63" s="577" t="str">
        <f t="shared" si="108"/>
        <v/>
      </c>
      <c r="AN63" s="524" t="str">
        <f t="shared" si="109"/>
        <v/>
      </c>
      <c r="AO63" s="525" t="str">
        <f t="shared" si="604"/>
        <v/>
      </c>
      <c r="AP63" s="528" t="str">
        <f t="shared" si="111"/>
        <v/>
      </c>
      <c r="AQ63" s="529" t="str">
        <f t="shared" si="332"/>
        <v/>
      </c>
      <c r="AR63" s="979"/>
      <c r="AS63" s="954" t="str">
        <f t="shared" si="524"/>
        <v/>
      </c>
      <c r="AT63" s="950" t="str">
        <f t="shared" si="333"/>
        <v/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 t="str">
        <f t="shared" si="241"/>
        <v/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 t="str">
        <f t="shared" si="485"/>
        <v/>
      </c>
      <c r="IM63" s="482" t="str">
        <f t="shared" si="242"/>
        <v/>
      </c>
      <c r="IN63" s="670" t="str">
        <f t="shared" si="486"/>
        <v/>
      </c>
      <c r="IO63" s="702"/>
      <c r="IP63" s="5" t="str">
        <f t="shared" si="487"/>
        <v/>
      </c>
      <c r="IQ63" s="714"/>
      <c r="IR63" s="9" t="str">
        <f t="shared" si="488"/>
        <v/>
      </c>
      <c r="IS63" s="5" t="str">
        <f t="shared" si="489"/>
        <v/>
      </c>
      <c r="IT63" s="5" t="str">
        <f t="shared" si="490"/>
        <v/>
      </c>
      <c r="IU63" s="5" t="str">
        <f t="shared" si="491"/>
        <v/>
      </c>
      <c r="IV63" s="670" t="str">
        <f t="shared" si="492"/>
        <v/>
      </c>
      <c r="IW63" s="9" t="str">
        <f t="shared" si="493"/>
        <v/>
      </c>
      <c r="IX63" s="5" t="str">
        <f t="shared" si="494"/>
        <v/>
      </c>
      <c r="IY63" s="5" t="str">
        <f t="shared" si="495"/>
        <v/>
      </c>
      <c r="IZ63" s="5" t="str">
        <f t="shared" si="496"/>
        <v/>
      </c>
      <c r="JA63" s="705" t="str">
        <f t="shared" si="497"/>
        <v/>
      </c>
      <c r="JM63" s="489" t="e">
        <f t="shared" si="133"/>
        <v>#VALUE!</v>
      </c>
      <c r="JN63" s="960" t="e">
        <f>($JO63-SMALL($JO$9:$JO$88,1))/((Settings!$C$19/2)-((Settings!$C$19/2)-LARGE($JO$9:$JO$88,1))-SMALL($JO$9:$JO$88,1))</f>
        <v>#VALUE!</v>
      </c>
      <c r="JO63" s="162" t="str">
        <f t="shared" si="134"/>
        <v/>
      </c>
      <c r="JP63" s="961" t="str">
        <f t="shared" si="135"/>
        <v/>
      </c>
      <c r="JQ63" s="961" t="str">
        <f t="shared" si="136"/>
        <v/>
      </c>
      <c r="JU63" s="962"/>
      <c r="JV63" s="959"/>
      <c r="JW63" s="959"/>
    </row>
    <row r="64" spans="1:284" ht="15" customHeight="1" x14ac:dyDescent="0.25">
      <c r="A64" s="75" t="str">
        <f t="shared" si="322"/>
        <v/>
      </c>
      <c r="B64" s="578" t="str">
        <f t="shared" ref="B64:D64" si="619">IFERROR(O219+($A64*-E64),"")</f>
        <v/>
      </c>
      <c r="C64" s="572" t="str">
        <f t="shared" si="619"/>
        <v/>
      </c>
      <c r="D64" s="576" t="str">
        <f t="shared" si="619"/>
        <v/>
      </c>
      <c r="E64" s="580" t="str">
        <f t="shared" ref="E64:K64" si="620">R219</f>
        <v/>
      </c>
      <c r="F64" s="572" t="str">
        <f t="shared" si="620"/>
        <v/>
      </c>
      <c r="G64" s="579" t="str">
        <f t="shared" si="620"/>
        <v/>
      </c>
      <c r="H64" s="580" t="str">
        <f t="shared" si="620"/>
        <v/>
      </c>
      <c r="I64" s="572" t="str">
        <f t="shared" si="620"/>
        <v/>
      </c>
      <c r="J64" s="483" t="str">
        <f t="shared" si="94"/>
        <v/>
      </c>
      <c r="K64" s="806" t="str">
        <f t="shared" si="620"/>
        <v/>
      </c>
      <c r="L64" s="309"/>
      <c r="M64" s="164" t="str">
        <f t="shared" si="325"/>
        <v/>
      </c>
      <c r="N64" s="575" t="str">
        <f t="shared" si="326"/>
        <v/>
      </c>
      <c r="O64" s="572" t="str">
        <f t="shared" si="327"/>
        <v/>
      </c>
      <c r="P64" s="576" t="str">
        <f t="shared" si="328"/>
        <v/>
      </c>
      <c r="Q64" s="528" t="str">
        <f t="shared" si="144"/>
        <v/>
      </c>
      <c r="R64" s="572" t="str">
        <f t="shared" si="95"/>
        <v/>
      </c>
      <c r="S64" s="577" t="str">
        <f t="shared" si="96"/>
        <v/>
      </c>
      <c r="T64" s="578" t="str">
        <f t="shared" si="97"/>
        <v/>
      </c>
      <c r="U64" s="572" t="str">
        <f t="shared" si="98"/>
        <v/>
      </c>
      <c r="V64" s="579" t="str">
        <f t="shared" si="145"/>
        <v/>
      </c>
      <c r="W64" s="528" t="str">
        <f t="shared" si="268"/>
        <v/>
      </c>
      <c r="X64" s="572" t="str">
        <f t="shared" si="99"/>
        <v/>
      </c>
      <c r="Y64" s="573" t="str">
        <f t="shared" si="271"/>
        <v/>
      </c>
      <c r="Z64" s="575" t="str">
        <f t="shared" si="329"/>
        <v/>
      </c>
      <c r="AA64" s="572" t="str">
        <f t="shared" si="330"/>
        <v/>
      </c>
      <c r="AB64" s="572" t="str">
        <f t="shared" si="331"/>
        <v/>
      </c>
      <c r="AC64" s="579" t="str">
        <f t="shared" si="100"/>
        <v/>
      </c>
      <c r="AD64" s="580" t="str">
        <f t="shared" si="146"/>
        <v/>
      </c>
      <c r="AE64" s="572" t="str">
        <f t="shared" si="101"/>
        <v/>
      </c>
      <c r="AF64" s="576" t="str">
        <f t="shared" si="102"/>
        <v/>
      </c>
      <c r="AG64" s="545" t="str">
        <f t="shared" si="103"/>
        <v/>
      </c>
      <c r="AH64" s="546" t="str">
        <f t="shared" si="104"/>
        <v/>
      </c>
      <c r="AI64" s="528" t="str">
        <f t="shared" si="105"/>
        <v/>
      </c>
      <c r="AJ64" s="529" t="str">
        <f t="shared" si="106"/>
        <v/>
      </c>
      <c r="AK64" s="578" t="str">
        <f t="shared" si="247"/>
        <v/>
      </c>
      <c r="AL64" s="572" t="str">
        <f t="shared" si="107"/>
        <v/>
      </c>
      <c r="AM64" s="577" t="str">
        <f t="shared" si="108"/>
        <v/>
      </c>
      <c r="AN64" s="524" t="str">
        <f t="shared" si="109"/>
        <v/>
      </c>
      <c r="AO64" s="525" t="str">
        <f t="shared" si="604"/>
        <v/>
      </c>
      <c r="AP64" s="528" t="str">
        <f t="shared" si="111"/>
        <v/>
      </c>
      <c r="AQ64" s="529" t="str">
        <f t="shared" si="332"/>
        <v/>
      </c>
      <c r="AR64" s="979"/>
      <c r="AS64" s="954" t="str">
        <f t="shared" si="524"/>
        <v/>
      </c>
      <c r="AT64" s="950" t="str">
        <f t="shared" si="333"/>
        <v/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 t="str">
        <f t="shared" si="241"/>
        <v/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 t="str">
        <f t="shared" si="485"/>
        <v/>
      </c>
      <c r="IM64" s="482" t="str">
        <f t="shared" si="242"/>
        <v/>
      </c>
      <c r="IN64" s="670" t="str">
        <f t="shared" si="486"/>
        <v/>
      </c>
      <c r="IO64" s="702">
        <v>5.2204048490041503E-2</v>
      </c>
      <c r="IP64" s="5" t="str">
        <f t="shared" si="487"/>
        <v/>
      </c>
      <c r="IQ64" s="714">
        <v>80</v>
      </c>
      <c r="IR64" s="9" t="str">
        <f t="shared" si="488"/>
        <v/>
      </c>
      <c r="IS64" s="5" t="str">
        <f t="shared" si="489"/>
        <v/>
      </c>
      <c r="IT64" s="5" t="str">
        <f t="shared" si="490"/>
        <v/>
      </c>
      <c r="IU64" s="5" t="str">
        <f t="shared" si="491"/>
        <v/>
      </c>
      <c r="IV64" s="670" t="str">
        <f t="shared" si="492"/>
        <v/>
      </c>
      <c r="IW64" s="9" t="str">
        <f t="shared" si="493"/>
        <v/>
      </c>
      <c r="IX64" s="5" t="str">
        <f t="shared" si="494"/>
        <v/>
      </c>
      <c r="IY64" s="5" t="str">
        <f t="shared" si="495"/>
        <v/>
      </c>
      <c r="IZ64" s="5" t="str">
        <f t="shared" si="496"/>
        <v/>
      </c>
      <c r="JA64" s="705" t="str">
        <f t="shared" si="497"/>
        <v/>
      </c>
      <c r="JM64" s="489" t="e">
        <f t="shared" si="133"/>
        <v>#VALUE!</v>
      </c>
      <c r="JN64" s="960" t="e">
        <f>($JO64-SMALL($JO$9:$JO$88,1))/((Settings!$C$19/2)-((Settings!$C$19/2)-LARGE($JO$9:$JO$88,1))-SMALL($JO$9:$JO$88,1))</f>
        <v>#VALUE!</v>
      </c>
      <c r="JO64" s="162" t="str">
        <f t="shared" si="134"/>
        <v/>
      </c>
      <c r="JP64" s="961" t="str">
        <f t="shared" si="135"/>
        <v/>
      </c>
      <c r="JQ64" s="961" t="str">
        <f t="shared" si="136"/>
        <v/>
      </c>
      <c r="JU64" s="962"/>
      <c r="JV64" s="959"/>
      <c r="JW64" s="959"/>
    </row>
    <row r="65" spans="1:283" ht="15" customHeight="1" x14ac:dyDescent="0.25">
      <c r="A65" s="75" t="str">
        <f t="shared" si="322"/>
        <v/>
      </c>
      <c r="B65" s="578" t="str">
        <f t="shared" ref="B65:D65" si="621">IFERROR(O220+($A65*-E65),"")</f>
        <v/>
      </c>
      <c r="C65" s="572" t="str">
        <f t="shared" si="621"/>
        <v/>
      </c>
      <c r="D65" s="576" t="str">
        <f t="shared" si="621"/>
        <v/>
      </c>
      <c r="E65" s="580" t="str">
        <f t="shared" ref="E65:K65" si="622">R220</f>
        <v/>
      </c>
      <c r="F65" s="572" t="str">
        <f t="shared" si="622"/>
        <v/>
      </c>
      <c r="G65" s="579" t="str">
        <f t="shared" si="622"/>
        <v/>
      </c>
      <c r="H65" s="580" t="str">
        <f t="shared" si="622"/>
        <v/>
      </c>
      <c r="I65" s="572" t="str">
        <f t="shared" si="622"/>
        <v/>
      </c>
      <c r="J65" s="483" t="str">
        <f t="shared" si="94"/>
        <v/>
      </c>
      <c r="K65" s="806" t="str">
        <f t="shared" si="622"/>
        <v/>
      </c>
      <c r="L65" s="309"/>
      <c r="M65" s="164" t="str">
        <f t="shared" si="325"/>
        <v/>
      </c>
      <c r="N65" s="575" t="str">
        <f t="shared" si="326"/>
        <v/>
      </c>
      <c r="O65" s="572" t="str">
        <f t="shared" si="327"/>
        <v/>
      </c>
      <c r="P65" s="576" t="str">
        <f t="shared" si="328"/>
        <v/>
      </c>
      <c r="Q65" s="528" t="str">
        <f t="shared" si="144"/>
        <v/>
      </c>
      <c r="R65" s="572" t="str">
        <f t="shared" si="95"/>
        <v/>
      </c>
      <c r="S65" s="577" t="str">
        <f t="shared" si="96"/>
        <v/>
      </c>
      <c r="T65" s="578" t="str">
        <f t="shared" si="97"/>
        <v/>
      </c>
      <c r="U65" s="572" t="str">
        <f t="shared" si="98"/>
        <v/>
      </c>
      <c r="V65" s="579" t="str">
        <f t="shared" si="145"/>
        <v/>
      </c>
      <c r="W65" s="528" t="str">
        <f t="shared" si="268"/>
        <v/>
      </c>
      <c r="X65" s="572" t="str">
        <f t="shared" si="99"/>
        <v/>
      </c>
      <c r="Y65" s="573" t="str">
        <f t="shared" si="271"/>
        <v/>
      </c>
      <c r="Z65" s="575" t="str">
        <f t="shared" si="329"/>
        <v/>
      </c>
      <c r="AA65" s="572" t="str">
        <f t="shared" si="330"/>
        <v/>
      </c>
      <c r="AB65" s="572" t="str">
        <f t="shared" si="331"/>
        <v/>
      </c>
      <c r="AC65" s="579" t="str">
        <f t="shared" si="100"/>
        <v/>
      </c>
      <c r="AD65" s="580" t="str">
        <f t="shared" si="146"/>
        <v/>
      </c>
      <c r="AE65" s="572" t="str">
        <f t="shared" si="101"/>
        <v/>
      </c>
      <c r="AF65" s="576" t="str">
        <f t="shared" si="102"/>
        <v/>
      </c>
      <c r="AG65" s="545" t="str">
        <f t="shared" si="103"/>
        <v/>
      </c>
      <c r="AH65" s="546" t="str">
        <f t="shared" si="104"/>
        <v/>
      </c>
      <c r="AI65" s="528" t="str">
        <f t="shared" si="105"/>
        <v/>
      </c>
      <c r="AJ65" s="529" t="str">
        <f t="shared" si="106"/>
        <v/>
      </c>
      <c r="AK65" s="578" t="str">
        <f t="shared" si="247"/>
        <v/>
      </c>
      <c r="AL65" s="572" t="str">
        <f t="shared" si="107"/>
        <v/>
      </c>
      <c r="AM65" s="577" t="str">
        <f t="shared" si="108"/>
        <v/>
      </c>
      <c r="AN65" s="524" t="str">
        <f t="shared" si="109"/>
        <v/>
      </c>
      <c r="AO65" s="525" t="str">
        <f t="shared" si="604"/>
        <v/>
      </c>
      <c r="AP65" s="528" t="str">
        <f t="shared" si="111"/>
        <v/>
      </c>
      <c r="AQ65" s="529" t="str">
        <f t="shared" si="332"/>
        <v/>
      </c>
      <c r="AR65" s="979"/>
      <c r="AS65" s="954" t="str">
        <f t="shared" si="524"/>
        <v/>
      </c>
      <c r="AT65" s="950" t="str">
        <f t="shared" si="333"/>
        <v/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 t="str">
        <f t="shared" si="241"/>
        <v/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 t="str">
        <f t="shared" si="485"/>
        <v/>
      </c>
      <c r="IM65" s="482" t="str">
        <f t="shared" si="242"/>
        <v/>
      </c>
      <c r="IN65" s="670" t="str">
        <f t="shared" si="486"/>
        <v/>
      </c>
      <c r="IO65" s="702">
        <v>4.0160650002847499E-2</v>
      </c>
      <c r="IP65" s="5" t="str">
        <f t="shared" si="487"/>
        <v/>
      </c>
      <c r="IQ65" s="714">
        <v>80</v>
      </c>
      <c r="IR65" s="9" t="str">
        <f t="shared" si="488"/>
        <v/>
      </c>
      <c r="IS65" s="5" t="str">
        <f t="shared" si="489"/>
        <v/>
      </c>
      <c r="IT65" s="5" t="str">
        <f t="shared" si="490"/>
        <v/>
      </c>
      <c r="IU65" s="5" t="str">
        <f t="shared" si="491"/>
        <v/>
      </c>
      <c r="IV65" s="670" t="str">
        <f t="shared" si="492"/>
        <v/>
      </c>
      <c r="IW65" s="9" t="str">
        <f t="shared" si="493"/>
        <v/>
      </c>
      <c r="IX65" s="5" t="str">
        <f t="shared" si="494"/>
        <v/>
      </c>
      <c r="IY65" s="5" t="str">
        <f t="shared" si="495"/>
        <v/>
      </c>
      <c r="IZ65" s="5" t="str">
        <f t="shared" si="496"/>
        <v/>
      </c>
      <c r="JA65" s="705" t="str">
        <f t="shared" si="497"/>
        <v/>
      </c>
      <c r="JM65" s="489" t="e">
        <f t="shared" si="133"/>
        <v>#VALUE!</v>
      </c>
      <c r="JN65" s="960" t="e">
        <f>($JO65-SMALL($JO$9:$JO$88,1))/((Settings!$C$19/2)-((Settings!$C$19/2)-LARGE($JO$9:$JO$88,1))-SMALL($JO$9:$JO$88,1))</f>
        <v>#VALUE!</v>
      </c>
      <c r="JO65" s="162" t="str">
        <f t="shared" si="134"/>
        <v/>
      </c>
      <c r="JP65" s="961" t="str">
        <f t="shared" si="135"/>
        <v/>
      </c>
      <c r="JQ65" s="961" t="str">
        <f t="shared" si="136"/>
        <v/>
      </c>
      <c r="JU65" s="962"/>
      <c r="JV65" s="959"/>
      <c r="JW65" s="959"/>
    </row>
    <row r="66" spans="1:283" ht="15" customHeight="1" x14ac:dyDescent="0.25">
      <c r="A66" s="75" t="str">
        <f t="shared" si="322"/>
        <v/>
      </c>
      <c r="B66" s="578" t="str">
        <f t="shared" ref="B66:D66" si="623">IFERROR(O221+($A66*-E66),"")</f>
        <v/>
      </c>
      <c r="C66" s="572" t="str">
        <f t="shared" si="623"/>
        <v/>
      </c>
      <c r="D66" s="576" t="str">
        <f t="shared" si="623"/>
        <v/>
      </c>
      <c r="E66" s="580" t="str">
        <f t="shared" ref="E66:K66" si="624">R221</f>
        <v/>
      </c>
      <c r="F66" s="572" t="str">
        <f t="shared" si="624"/>
        <v/>
      </c>
      <c r="G66" s="579" t="str">
        <f t="shared" si="624"/>
        <v/>
      </c>
      <c r="H66" s="580" t="str">
        <f t="shared" si="624"/>
        <v/>
      </c>
      <c r="I66" s="572" t="str">
        <f t="shared" si="624"/>
        <v/>
      </c>
      <c r="J66" s="483" t="str">
        <f t="shared" si="94"/>
        <v/>
      </c>
      <c r="K66" s="806" t="str">
        <f t="shared" si="624"/>
        <v/>
      </c>
      <c r="L66" s="309"/>
      <c r="M66" s="164" t="str">
        <f t="shared" si="325"/>
        <v/>
      </c>
      <c r="N66" s="575" t="str">
        <f t="shared" si="326"/>
        <v/>
      </c>
      <c r="O66" s="572" t="str">
        <f t="shared" si="327"/>
        <v/>
      </c>
      <c r="P66" s="576" t="str">
        <f t="shared" si="328"/>
        <v/>
      </c>
      <c r="Q66" s="528" t="str">
        <f t="shared" si="144"/>
        <v/>
      </c>
      <c r="R66" s="572" t="str">
        <f t="shared" si="95"/>
        <v/>
      </c>
      <c r="S66" s="577" t="str">
        <f t="shared" si="96"/>
        <v/>
      </c>
      <c r="T66" s="578" t="str">
        <f t="shared" si="97"/>
        <v/>
      </c>
      <c r="U66" s="572" t="str">
        <f t="shared" si="98"/>
        <v/>
      </c>
      <c r="V66" s="579" t="str">
        <f t="shared" si="145"/>
        <v/>
      </c>
      <c r="W66" s="528" t="str">
        <f t="shared" si="268"/>
        <v/>
      </c>
      <c r="X66" s="572" t="str">
        <f t="shared" si="99"/>
        <v/>
      </c>
      <c r="Y66" s="573" t="str">
        <f t="shared" si="271"/>
        <v/>
      </c>
      <c r="Z66" s="575" t="str">
        <f t="shared" si="329"/>
        <v/>
      </c>
      <c r="AA66" s="572" t="str">
        <f t="shared" si="330"/>
        <v/>
      </c>
      <c r="AB66" s="572" t="str">
        <f t="shared" si="331"/>
        <v/>
      </c>
      <c r="AC66" s="579" t="str">
        <f t="shared" si="100"/>
        <v/>
      </c>
      <c r="AD66" s="580" t="str">
        <f t="shared" si="146"/>
        <v/>
      </c>
      <c r="AE66" s="572" t="str">
        <f t="shared" si="101"/>
        <v/>
      </c>
      <c r="AF66" s="576" t="str">
        <f t="shared" si="102"/>
        <v/>
      </c>
      <c r="AG66" s="545" t="str">
        <f t="shared" si="103"/>
        <v/>
      </c>
      <c r="AH66" s="546" t="str">
        <f t="shared" si="104"/>
        <v/>
      </c>
      <c r="AI66" s="528" t="str">
        <f t="shared" si="105"/>
        <v/>
      </c>
      <c r="AJ66" s="529" t="str">
        <f t="shared" si="106"/>
        <v/>
      </c>
      <c r="AK66" s="578" t="str">
        <f t="shared" si="247"/>
        <v/>
      </c>
      <c r="AL66" s="572" t="str">
        <f t="shared" si="107"/>
        <v/>
      </c>
      <c r="AM66" s="577" t="str">
        <f t="shared" si="108"/>
        <v/>
      </c>
      <c r="AN66" s="524" t="str">
        <f t="shared" si="109"/>
        <v/>
      </c>
      <c r="AO66" s="525" t="str">
        <f t="shared" si="604"/>
        <v/>
      </c>
      <c r="AP66" s="528" t="str">
        <f t="shared" si="111"/>
        <v/>
      </c>
      <c r="AQ66" s="529" t="str">
        <f t="shared" si="332"/>
        <v/>
      </c>
      <c r="AR66" s="979"/>
      <c r="AS66" s="954" t="str">
        <f t="shared" si="524"/>
        <v/>
      </c>
      <c r="AT66" s="950" t="str">
        <f t="shared" si="333"/>
        <v/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 t="str">
        <f t="shared" si="241"/>
        <v/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 t="str">
        <f t="shared" si="485"/>
        <v/>
      </c>
      <c r="IM66" s="482" t="str">
        <f t="shared" si="242"/>
        <v/>
      </c>
      <c r="IN66" s="670" t="str">
        <f t="shared" si="486"/>
        <v/>
      </c>
      <c r="IO66" s="702">
        <v>9.7570712488985693E-3</v>
      </c>
      <c r="IP66" s="5" t="str">
        <f t="shared" si="487"/>
        <v/>
      </c>
      <c r="IQ66" s="714">
        <v>150</v>
      </c>
      <c r="IR66" s="9" t="str">
        <f t="shared" si="488"/>
        <v/>
      </c>
      <c r="IS66" s="5" t="str">
        <f t="shared" si="489"/>
        <v/>
      </c>
      <c r="IT66" s="5" t="str">
        <f t="shared" si="490"/>
        <v/>
      </c>
      <c r="IU66" s="5" t="str">
        <f t="shared" si="491"/>
        <v/>
      </c>
      <c r="IV66" s="670" t="str">
        <f t="shared" si="492"/>
        <v/>
      </c>
      <c r="IW66" s="9" t="str">
        <f t="shared" si="493"/>
        <v/>
      </c>
      <c r="IX66" s="5" t="str">
        <f t="shared" si="494"/>
        <v/>
      </c>
      <c r="IY66" s="5" t="str">
        <f t="shared" si="495"/>
        <v/>
      </c>
      <c r="IZ66" s="5" t="str">
        <f t="shared" si="496"/>
        <v/>
      </c>
      <c r="JA66" s="705" t="str">
        <f t="shared" si="497"/>
        <v/>
      </c>
      <c r="JM66" s="489" t="e">
        <f t="shared" si="133"/>
        <v>#VALUE!</v>
      </c>
      <c r="JN66" s="960" t="e">
        <f>($JO66-SMALL($JO$9:$JO$88,1))/((Settings!$C$19/2)-((Settings!$C$19/2)-LARGE($JO$9:$JO$88,1))-SMALL($JO$9:$JO$88,1))</f>
        <v>#VALUE!</v>
      </c>
      <c r="JO66" s="162" t="str">
        <f t="shared" si="134"/>
        <v/>
      </c>
      <c r="JP66" s="961" t="str">
        <f t="shared" si="135"/>
        <v/>
      </c>
      <c r="JQ66" s="961" t="str">
        <f t="shared" si="136"/>
        <v/>
      </c>
      <c r="JU66" s="962"/>
      <c r="JV66" s="959"/>
      <c r="JW66" s="959"/>
    </row>
    <row r="67" spans="1:283" ht="15" customHeight="1" x14ac:dyDescent="0.25">
      <c r="A67" s="75" t="str">
        <f t="shared" si="322"/>
        <v/>
      </c>
      <c r="B67" s="578" t="str">
        <f t="shared" ref="B67:D67" si="625">IFERROR(O222+($A67*-E67),"")</f>
        <v/>
      </c>
      <c r="C67" s="572" t="str">
        <f t="shared" si="625"/>
        <v/>
      </c>
      <c r="D67" s="576" t="str">
        <f t="shared" si="625"/>
        <v/>
      </c>
      <c r="E67" s="580" t="str">
        <f t="shared" ref="E67:K67" si="626">R222</f>
        <v/>
      </c>
      <c r="F67" s="572" t="str">
        <f t="shared" si="626"/>
        <v/>
      </c>
      <c r="G67" s="579" t="str">
        <f t="shared" si="626"/>
        <v/>
      </c>
      <c r="H67" s="580" t="str">
        <f t="shared" si="626"/>
        <v/>
      </c>
      <c r="I67" s="572" t="str">
        <f t="shared" si="626"/>
        <v/>
      </c>
      <c r="J67" s="483" t="str">
        <f t="shared" si="94"/>
        <v/>
      </c>
      <c r="K67" s="806" t="str">
        <f t="shared" si="626"/>
        <v/>
      </c>
      <c r="L67" s="309"/>
      <c r="M67" s="164" t="str">
        <f t="shared" si="325"/>
        <v/>
      </c>
      <c r="N67" s="575" t="str">
        <f t="shared" si="326"/>
        <v/>
      </c>
      <c r="O67" s="572" t="str">
        <f t="shared" si="327"/>
        <v/>
      </c>
      <c r="P67" s="576" t="str">
        <f t="shared" si="328"/>
        <v/>
      </c>
      <c r="Q67" s="528" t="str">
        <f t="shared" si="144"/>
        <v/>
      </c>
      <c r="R67" s="572" t="str">
        <f>IF(M67="","",SQRT(N67^2+O67^2))</f>
        <v/>
      </c>
      <c r="S67" s="577" t="str">
        <f>IF(M67="","",P67)</f>
        <v/>
      </c>
      <c r="T67" s="578" t="str">
        <f>IF(M67="","",X67*COS(RADIANS(W67)))</f>
        <v/>
      </c>
      <c r="U67" s="572" t="str">
        <f>IF(M67="","",X67*SIN(RADIANS(W67)))</f>
        <v/>
      </c>
      <c r="V67" s="579" t="str">
        <f>IF(M67="","",Y67)</f>
        <v/>
      </c>
      <c r="W67" s="528" t="str">
        <f t="shared" si="268"/>
        <v/>
      </c>
      <c r="X67" s="572" t="str">
        <f>IF(M67="","",R67)</f>
        <v/>
      </c>
      <c r="Y67" s="573" t="str">
        <f t="shared" si="271"/>
        <v/>
      </c>
      <c r="Z67" s="575" t="str">
        <f t="shared" si="329"/>
        <v/>
      </c>
      <c r="AA67" s="572" t="str">
        <f t="shared" si="330"/>
        <v/>
      </c>
      <c r="AB67" s="572" t="str">
        <f t="shared" si="331"/>
        <v/>
      </c>
      <c r="AC67" s="579" t="str">
        <f>IF(M67="","",SQRT(Z67^2+AA67^2+AB67^2))</f>
        <v/>
      </c>
      <c r="AD67" s="580" t="str">
        <f>IF(M67="","",Z67*(1/SQRT(Z67^2+AA67^2+AB67^2)))</f>
        <v/>
      </c>
      <c r="AE67" s="572" t="str">
        <f>IF(M67="","",AA67*(1/SQRT(Z67^2+AA67^2+AB67^2)))</f>
        <v/>
      </c>
      <c r="AF67" s="576" t="str">
        <f>IF(M67="","",AB67*(1/SQRT(Z67^2+AA67^2+AB67^2)))</f>
        <v/>
      </c>
      <c r="AG67" s="545" t="str">
        <f>IF(M67="","",DEGREES(ATAN2(-AF67,AE67)))</f>
        <v/>
      </c>
      <c r="AH67" s="546" t="str">
        <f>IF(M67="","",DEGREES(ACOS(AD67)))</f>
        <v/>
      </c>
      <c r="AI67" s="528" t="str">
        <f>IF(M67="","",DEGREES(-ACOS(-AF67)))</f>
        <v/>
      </c>
      <c r="AJ67" s="529" t="str">
        <f>IF(M67="","",DEGREES(ATAN2(-AE67,AD67)))</f>
        <v/>
      </c>
      <c r="AK67" s="578" t="str">
        <f>IF(M67="","",(COS(RADIANS((90-$Q$8)-W67))*AD67)+(-SIN(RADIANS((90-$Q$8)-W67))*AE67))</f>
        <v/>
      </c>
      <c r="AL67" s="572" t="str">
        <f>IF(M67="","",(SIN(RADIANS((90-$Q$8)-W67))*AD67)+(COS(RADIANS((90-$Q$8)-W67))*AE67))</f>
        <v/>
      </c>
      <c r="AM67" s="577" t="str">
        <f>IF(M67="","",AF67)</f>
        <v/>
      </c>
      <c r="AN67" s="524" t="str">
        <f>IF(M67="","",DEGREES(ATAN2(-AM67,AL67)))</f>
        <v/>
      </c>
      <c r="AO67" s="525" t="str">
        <f t="shared" si="604"/>
        <v/>
      </c>
      <c r="AP67" s="528" t="str">
        <f>IF(M67="","",DEGREES(ATAN2(AK67,AL67)))</f>
        <v/>
      </c>
      <c r="AQ67" s="529" t="str">
        <f t="shared" si="332"/>
        <v/>
      </c>
      <c r="AR67" s="979"/>
      <c r="AS67" s="954" t="str">
        <f t="shared" si="524"/>
        <v/>
      </c>
      <c r="AT67" s="950" t="str">
        <f t="shared" si="333"/>
        <v/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 t="str">
        <f t="shared" si="241"/>
        <v/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 t="str">
        <f t="shared" si="485"/>
        <v/>
      </c>
      <c r="IM67" s="482" t="str">
        <f t="shared" si="242"/>
        <v/>
      </c>
      <c r="IN67" s="670" t="str">
        <f t="shared" si="486"/>
        <v/>
      </c>
      <c r="IO67" s="702">
        <v>8.1094052254771492E-3</v>
      </c>
      <c r="IP67" s="5" t="str">
        <f t="shared" si="487"/>
        <v/>
      </c>
      <c r="IQ67" s="714">
        <v>140</v>
      </c>
      <c r="IR67" s="9" t="str">
        <f t="shared" si="488"/>
        <v/>
      </c>
      <c r="IS67" s="5" t="str">
        <f t="shared" si="489"/>
        <v/>
      </c>
      <c r="IT67" s="5" t="str">
        <f t="shared" si="490"/>
        <v/>
      </c>
      <c r="IU67" s="5" t="str">
        <f t="shared" si="491"/>
        <v/>
      </c>
      <c r="IV67" s="670" t="str">
        <f t="shared" si="492"/>
        <v/>
      </c>
      <c r="IW67" s="9" t="str">
        <f t="shared" si="493"/>
        <v/>
      </c>
      <c r="IX67" s="5" t="str">
        <f t="shared" si="494"/>
        <v/>
      </c>
      <c r="IY67" s="5" t="str">
        <f t="shared" si="495"/>
        <v/>
      </c>
      <c r="IZ67" s="5" t="str">
        <f t="shared" si="496"/>
        <v/>
      </c>
      <c r="JA67" s="705" t="str">
        <f t="shared" si="497"/>
        <v/>
      </c>
      <c r="JM67" s="489" t="e">
        <f t="shared" si="133"/>
        <v>#VALUE!</v>
      </c>
      <c r="JN67" s="960" t="e">
        <f>($JO67-SMALL($JO$9:$JO$88,1))/((Settings!$C$19/2)-((Settings!$C$19/2)-LARGE($JO$9:$JO$88,1))-SMALL($JO$9:$JO$88,1))</f>
        <v>#VALUE!</v>
      </c>
      <c r="JO67" s="162" t="str">
        <f t="shared" si="134"/>
        <v/>
      </c>
      <c r="JP67" s="961" t="str">
        <f t="shared" si="135"/>
        <v/>
      </c>
      <c r="JQ67" s="961" t="str">
        <f t="shared" si="136"/>
        <v/>
      </c>
      <c r="JU67" s="962"/>
      <c r="JV67" s="959"/>
      <c r="JW67" s="959"/>
    </row>
    <row r="68" spans="1:283" ht="15" customHeight="1" x14ac:dyDescent="0.25">
      <c r="A68" s="75" t="str">
        <f t="shared" si="322"/>
        <v/>
      </c>
      <c r="B68" s="578" t="str">
        <f t="shared" ref="B68:D68" si="627">IFERROR(O223+($A68*-E68),"")</f>
        <v/>
      </c>
      <c r="C68" s="572" t="str">
        <f t="shared" si="627"/>
        <v/>
      </c>
      <c r="D68" s="576" t="str">
        <f t="shared" si="627"/>
        <v/>
      </c>
      <c r="E68" s="580" t="str">
        <f t="shared" ref="E68:K68" si="628">R223</f>
        <v/>
      </c>
      <c r="F68" s="572" t="str">
        <f t="shared" si="628"/>
        <v/>
      </c>
      <c r="G68" s="579" t="str">
        <f t="shared" si="628"/>
        <v/>
      </c>
      <c r="H68" s="580" t="str">
        <f t="shared" si="628"/>
        <v/>
      </c>
      <c r="I68" s="572" t="str">
        <f t="shared" si="628"/>
        <v/>
      </c>
      <c r="J68" s="483" t="str">
        <f t="shared" si="94"/>
        <v/>
      </c>
      <c r="K68" s="806" t="str">
        <f t="shared" si="628"/>
        <v/>
      </c>
      <c r="L68" s="309"/>
      <c r="M68" s="164" t="str">
        <f t="shared" si="325"/>
        <v/>
      </c>
      <c r="N68" s="575" t="str">
        <f t="shared" si="326"/>
        <v/>
      </c>
      <c r="O68" s="572" t="str">
        <f t="shared" si="327"/>
        <v/>
      </c>
      <c r="P68" s="576" t="str">
        <f t="shared" si="328"/>
        <v/>
      </c>
      <c r="Q68" s="528" t="str">
        <f t="shared" si="144"/>
        <v/>
      </c>
      <c r="R68" s="572" t="str">
        <f>IF(M68="","",SQRT(N68^2+O68^2))</f>
        <v/>
      </c>
      <c r="S68" s="577" t="str">
        <f>IF(M68="","",P68)</f>
        <v/>
      </c>
      <c r="T68" s="578" t="str">
        <f>IF(M68="","",X68*COS(RADIANS(W68)))</f>
        <v/>
      </c>
      <c r="U68" s="572" t="str">
        <f>IF(M68="","",X68*SIN(RADIANS(W68)))</f>
        <v/>
      </c>
      <c r="V68" s="579" t="str">
        <f>IF(M68="","",Y68)</f>
        <v/>
      </c>
      <c r="W68" s="528" t="str">
        <f t="shared" si="268"/>
        <v/>
      </c>
      <c r="X68" s="572" t="str">
        <f>IF(M68="","",R68)</f>
        <v/>
      </c>
      <c r="Y68" s="573" t="str">
        <f t="shared" si="271"/>
        <v/>
      </c>
      <c r="Z68" s="575" t="str">
        <f t="shared" si="329"/>
        <v/>
      </c>
      <c r="AA68" s="572" t="str">
        <f t="shared" si="330"/>
        <v/>
      </c>
      <c r="AB68" s="572" t="str">
        <f t="shared" si="331"/>
        <v/>
      </c>
      <c r="AC68" s="579" t="str">
        <f>IF(M68="","",SQRT(Z68^2+AA68^2+AB68^2))</f>
        <v/>
      </c>
      <c r="AD68" s="580" t="str">
        <f>IF(M68="","",Z68*(1/SQRT(Z68^2+AA68^2+AB68^2)))</f>
        <v/>
      </c>
      <c r="AE68" s="572" t="str">
        <f>IF(M68="","",AA68*(1/SQRT(Z68^2+AA68^2+AB68^2)))</f>
        <v/>
      </c>
      <c r="AF68" s="576" t="str">
        <f>IF(M68="","",AB68*(1/SQRT(Z68^2+AA68^2+AB68^2)))</f>
        <v/>
      </c>
      <c r="AG68" s="545" t="str">
        <f>IF(M68="","",DEGREES(ATAN2(-AF68,AE68)))</f>
        <v/>
      </c>
      <c r="AH68" s="546" t="str">
        <f>IF(M68="","",DEGREES(ACOS(AD68)))</f>
        <v/>
      </c>
      <c r="AI68" s="528" t="str">
        <f>IF(M68="","",DEGREES(-ACOS(-AF68)))</f>
        <v/>
      </c>
      <c r="AJ68" s="529" t="str">
        <f>IF(M68="","",DEGREES(ATAN2(-AE68,AD68)))</f>
        <v/>
      </c>
      <c r="AK68" s="578" t="str">
        <f>IF(M68="","",(COS(RADIANS((90-$Q$8)-W68))*AD68)+(-SIN(RADIANS((90-$Q$8)-W68))*AE68))</f>
        <v/>
      </c>
      <c r="AL68" s="572" t="str">
        <f>IF(M68="","",(SIN(RADIANS((90-$Q$8)-W68))*AD68)+(COS(RADIANS((90-$Q$8)-W68))*AE68))</f>
        <v/>
      </c>
      <c r="AM68" s="577" t="str">
        <f>IF(M68="","",AF68)</f>
        <v/>
      </c>
      <c r="AN68" s="524" t="str">
        <f>IF(M68="","",DEGREES(ATAN2(-AM68,AL68)))</f>
        <v/>
      </c>
      <c r="AO68" s="525" t="str">
        <f t="shared" si="604"/>
        <v/>
      </c>
      <c r="AP68" s="528" t="str">
        <f>IF(M68="","",DEGREES(ATAN2(AK68,AL68)))</f>
        <v/>
      </c>
      <c r="AQ68" s="529" t="str">
        <f t="shared" si="332"/>
        <v/>
      </c>
      <c r="AR68" s="979"/>
      <c r="AS68" s="954" t="str">
        <f t="shared" si="524"/>
        <v/>
      </c>
      <c r="AT68" s="950" t="str">
        <f t="shared" si="333"/>
        <v/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 t="str">
        <f t="shared" si="241"/>
        <v/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 t="str">
        <f t="shared" si="485"/>
        <v/>
      </c>
      <c r="IM68" s="482" t="str">
        <f t="shared" si="242"/>
        <v/>
      </c>
      <c r="IN68" s="670" t="str">
        <f t="shared" si="486"/>
        <v/>
      </c>
      <c r="IO68" s="702">
        <v>2.0782101437166699E-2</v>
      </c>
      <c r="IP68" s="5" t="str">
        <f t="shared" si="487"/>
        <v/>
      </c>
      <c r="IQ68" s="714">
        <v>270</v>
      </c>
      <c r="IR68" s="9" t="str">
        <f t="shared" si="488"/>
        <v/>
      </c>
      <c r="IS68" s="5" t="str">
        <f t="shared" si="489"/>
        <v/>
      </c>
      <c r="IT68" s="5" t="str">
        <f t="shared" si="490"/>
        <v/>
      </c>
      <c r="IU68" s="5" t="str">
        <f t="shared" si="491"/>
        <v/>
      </c>
      <c r="IV68" s="670" t="str">
        <f t="shared" si="492"/>
        <v/>
      </c>
      <c r="IW68" s="9" t="str">
        <f t="shared" si="493"/>
        <v/>
      </c>
      <c r="IX68" s="5" t="str">
        <f t="shared" si="494"/>
        <v/>
      </c>
      <c r="IY68" s="5" t="str">
        <f t="shared" si="495"/>
        <v/>
      </c>
      <c r="IZ68" s="5" t="str">
        <f t="shared" si="496"/>
        <v/>
      </c>
      <c r="JA68" s="705" t="str">
        <f t="shared" si="497"/>
        <v/>
      </c>
      <c r="JM68" s="489" t="e">
        <f t="shared" si="133"/>
        <v>#VALUE!</v>
      </c>
      <c r="JN68" s="960" t="e">
        <f>($JO68-SMALL($JO$9:$JO$88,1))/((Settings!$C$19/2)-((Settings!$C$19/2)-LARGE($JO$9:$JO$88,1))-SMALL($JO$9:$JO$88,1))</f>
        <v>#VALUE!</v>
      </c>
      <c r="JO68" s="162" t="str">
        <f t="shared" si="134"/>
        <v/>
      </c>
      <c r="JP68" s="961" t="str">
        <f t="shared" si="135"/>
        <v/>
      </c>
      <c r="JQ68" s="961" t="str">
        <f t="shared" si="136"/>
        <v/>
      </c>
      <c r="JU68" s="962"/>
      <c r="JV68" s="959"/>
      <c r="JW68" s="959"/>
    </row>
    <row r="69" spans="1:283" ht="15" customHeight="1" x14ac:dyDescent="0.25">
      <c r="A69" s="75" t="str">
        <f t="shared" si="322"/>
        <v/>
      </c>
      <c r="B69" s="578" t="str">
        <f t="shared" ref="B69:D69" si="629">IFERROR(O224+($A69*-E69),"")</f>
        <v/>
      </c>
      <c r="C69" s="572" t="str">
        <f t="shared" si="629"/>
        <v/>
      </c>
      <c r="D69" s="576" t="str">
        <f t="shared" si="629"/>
        <v/>
      </c>
      <c r="E69" s="580" t="str">
        <f t="shared" ref="E69:K69" si="630">R224</f>
        <v/>
      </c>
      <c r="F69" s="572" t="str">
        <f t="shared" si="630"/>
        <v/>
      </c>
      <c r="G69" s="579" t="str">
        <f t="shared" si="630"/>
        <v/>
      </c>
      <c r="H69" s="580" t="str">
        <f t="shared" si="630"/>
        <v/>
      </c>
      <c r="I69" s="572" t="str">
        <f t="shared" si="630"/>
        <v/>
      </c>
      <c r="J69" s="483" t="str">
        <f t="shared" si="94"/>
        <v/>
      </c>
      <c r="K69" s="806" t="str">
        <f t="shared" si="630"/>
        <v/>
      </c>
      <c r="L69" s="309"/>
      <c r="M69" s="164" t="str">
        <f t="shared" si="325"/>
        <v/>
      </c>
      <c r="N69" s="575" t="str">
        <f t="shared" si="326"/>
        <v/>
      </c>
      <c r="O69" s="572" t="str">
        <f t="shared" si="327"/>
        <v/>
      </c>
      <c r="P69" s="576" t="str">
        <f t="shared" si="328"/>
        <v/>
      </c>
      <c r="Q69" s="528" t="str">
        <f t="shared" si="144"/>
        <v/>
      </c>
      <c r="R69" s="572" t="str">
        <f t="shared" si="95"/>
        <v/>
      </c>
      <c r="S69" s="577" t="str">
        <f t="shared" si="96"/>
        <v/>
      </c>
      <c r="T69" s="578" t="str">
        <f t="shared" si="97"/>
        <v/>
      </c>
      <c r="U69" s="572" t="str">
        <f t="shared" si="98"/>
        <v/>
      </c>
      <c r="V69" s="579" t="str">
        <f t="shared" si="145"/>
        <v/>
      </c>
      <c r="W69" s="528" t="str">
        <f t="shared" si="268"/>
        <v/>
      </c>
      <c r="X69" s="572" t="str">
        <f t="shared" si="99"/>
        <v/>
      </c>
      <c r="Y69" s="573" t="str">
        <f t="shared" si="271"/>
        <v/>
      </c>
      <c r="Z69" s="575" t="str">
        <f t="shared" si="329"/>
        <v/>
      </c>
      <c r="AA69" s="572" t="str">
        <f t="shared" si="330"/>
        <v/>
      </c>
      <c r="AB69" s="572" t="str">
        <f t="shared" si="331"/>
        <v/>
      </c>
      <c r="AC69" s="579" t="str">
        <f t="shared" si="100"/>
        <v/>
      </c>
      <c r="AD69" s="580" t="str">
        <f t="shared" si="146"/>
        <v/>
      </c>
      <c r="AE69" s="572" t="str">
        <f t="shared" si="101"/>
        <v/>
      </c>
      <c r="AF69" s="576" t="str">
        <f t="shared" si="102"/>
        <v/>
      </c>
      <c r="AG69" s="545" t="str">
        <f t="shared" si="103"/>
        <v/>
      </c>
      <c r="AH69" s="546" t="str">
        <f t="shared" si="104"/>
        <v/>
      </c>
      <c r="AI69" s="528" t="str">
        <f t="shared" si="105"/>
        <v/>
      </c>
      <c r="AJ69" s="529" t="str">
        <f t="shared" si="106"/>
        <v/>
      </c>
      <c r="AK69" s="578" t="str">
        <f t="shared" si="247"/>
        <v/>
      </c>
      <c r="AL69" s="572" t="str">
        <f t="shared" si="107"/>
        <v/>
      </c>
      <c r="AM69" s="577" t="str">
        <f t="shared" si="108"/>
        <v/>
      </c>
      <c r="AN69" s="524" t="str">
        <f t="shared" si="109"/>
        <v/>
      </c>
      <c r="AO69" s="525" t="str">
        <f t="shared" si="604"/>
        <v/>
      </c>
      <c r="AP69" s="528" t="str">
        <f t="shared" si="111"/>
        <v/>
      </c>
      <c r="AQ69" s="529" t="str">
        <f t="shared" si="332"/>
        <v/>
      </c>
      <c r="AR69" s="979"/>
      <c r="AS69" s="954" t="str">
        <f t="shared" si="524"/>
        <v/>
      </c>
      <c r="AT69" s="950" t="str">
        <f t="shared" si="333"/>
        <v/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 t="str">
        <f t="shared" si="241"/>
        <v/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 t="str">
        <f t="shared" si="485"/>
        <v/>
      </c>
      <c r="IM69" s="482" t="str">
        <f t="shared" si="242"/>
        <v/>
      </c>
      <c r="IN69" s="670" t="str">
        <f t="shared" si="486"/>
        <v/>
      </c>
      <c r="IO69" s="702">
        <v>2.0596001756787601E-2</v>
      </c>
      <c r="IP69" s="5" t="str">
        <f t="shared" si="487"/>
        <v/>
      </c>
      <c r="IQ69" s="714">
        <v>310</v>
      </c>
      <c r="IR69" s="9" t="str">
        <f t="shared" si="488"/>
        <v/>
      </c>
      <c r="IS69" s="5" t="str">
        <f t="shared" si="489"/>
        <v/>
      </c>
      <c r="IT69" s="5" t="str">
        <f t="shared" si="490"/>
        <v/>
      </c>
      <c r="IU69" s="5" t="str">
        <f t="shared" si="491"/>
        <v/>
      </c>
      <c r="IV69" s="670" t="str">
        <f t="shared" si="492"/>
        <v/>
      </c>
      <c r="IW69" s="9" t="str">
        <f t="shared" si="493"/>
        <v/>
      </c>
      <c r="IX69" s="5" t="str">
        <f t="shared" si="494"/>
        <v/>
      </c>
      <c r="IY69" s="5" t="str">
        <f t="shared" si="495"/>
        <v/>
      </c>
      <c r="IZ69" s="5" t="str">
        <f t="shared" si="496"/>
        <v/>
      </c>
      <c r="JA69" s="705" t="str">
        <f t="shared" si="497"/>
        <v/>
      </c>
      <c r="JM69" s="489" t="e">
        <f t="shared" si="133"/>
        <v>#VALUE!</v>
      </c>
      <c r="JN69" s="960" t="e">
        <f>($JO69-SMALL($JO$9:$JO$88,1))/((Settings!$C$19/2)-((Settings!$C$19/2)-LARGE($JO$9:$JO$88,1))-SMALL($JO$9:$JO$88,1))</f>
        <v>#VALUE!</v>
      </c>
      <c r="JO69" s="162" t="str">
        <f t="shared" si="134"/>
        <v/>
      </c>
      <c r="JP69" s="961" t="str">
        <f t="shared" si="135"/>
        <v/>
      </c>
      <c r="JQ69" s="961" t="str">
        <f t="shared" si="136"/>
        <v/>
      </c>
      <c r="JU69" s="962"/>
      <c r="JV69" s="959"/>
      <c r="JW69" s="959"/>
    </row>
    <row r="70" spans="1:283" ht="15" customHeight="1" x14ac:dyDescent="0.25">
      <c r="A70" s="75" t="str">
        <f t="shared" si="322"/>
        <v/>
      </c>
      <c r="B70" s="578" t="str">
        <f t="shared" ref="B70:D70" si="631">IFERROR(O225+($A70*-E70),"")</f>
        <v/>
      </c>
      <c r="C70" s="572" t="str">
        <f t="shared" si="631"/>
        <v/>
      </c>
      <c r="D70" s="576" t="str">
        <f t="shared" si="631"/>
        <v/>
      </c>
      <c r="E70" s="580" t="str">
        <f t="shared" ref="E70:K70" si="632">R225</f>
        <v/>
      </c>
      <c r="F70" s="572" t="str">
        <f t="shared" si="632"/>
        <v/>
      </c>
      <c r="G70" s="579" t="str">
        <f t="shared" si="632"/>
        <v/>
      </c>
      <c r="H70" s="580" t="str">
        <f t="shared" si="632"/>
        <v/>
      </c>
      <c r="I70" s="572" t="str">
        <f t="shared" si="632"/>
        <v/>
      </c>
      <c r="J70" s="483" t="str">
        <f t="shared" si="94"/>
        <v/>
      </c>
      <c r="K70" s="806" t="str">
        <f t="shared" si="632"/>
        <v/>
      </c>
      <c r="L70" s="309"/>
      <c r="M70" s="164" t="str">
        <f t="shared" si="325"/>
        <v/>
      </c>
      <c r="N70" s="575" t="str">
        <f t="shared" si="326"/>
        <v/>
      </c>
      <c r="O70" s="572" t="str">
        <f t="shared" si="327"/>
        <v/>
      </c>
      <c r="P70" s="576" t="str">
        <f t="shared" si="328"/>
        <v/>
      </c>
      <c r="Q70" s="528" t="str">
        <f t="shared" si="144"/>
        <v/>
      </c>
      <c r="R70" s="572" t="str">
        <f t="shared" si="95"/>
        <v/>
      </c>
      <c r="S70" s="577" t="str">
        <f t="shared" si="96"/>
        <v/>
      </c>
      <c r="T70" s="578" t="str">
        <f t="shared" si="97"/>
        <v/>
      </c>
      <c r="U70" s="572" t="str">
        <f t="shared" si="98"/>
        <v/>
      </c>
      <c r="V70" s="579" t="str">
        <f t="shared" si="145"/>
        <v/>
      </c>
      <c r="W70" s="528" t="str">
        <f t="shared" si="268"/>
        <v/>
      </c>
      <c r="X70" s="572" t="str">
        <f t="shared" si="99"/>
        <v/>
      </c>
      <c r="Y70" s="573" t="str">
        <f t="shared" si="271"/>
        <v/>
      </c>
      <c r="Z70" s="575" t="str">
        <f t="shared" si="329"/>
        <v/>
      </c>
      <c r="AA70" s="572" t="str">
        <f t="shared" si="330"/>
        <v/>
      </c>
      <c r="AB70" s="572" t="str">
        <f t="shared" si="331"/>
        <v/>
      </c>
      <c r="AC70" s="579" t="str">
        <f t="shared" si="100"/>
        <v/>
      </c>
      <c r="AD70" s="580" t="str">
        <f t="shared" si="146"/>
        <v/>
      </c>
      <c r="AE70" s="572" t="str">
        <f t="shared" si="101"/>
        <v/>
      </c>
      <c r="AF70" s="576" t="str">
        <f t="shared" si="102"/>
        <v/>
      </c>
      <c r="AG70" s="545" t="str">
        <f t="shared" si="103"/>
        <v/>
      </c>
      <c r="AH70" s="546" t="str">
        <f t="shared" si="104"/>
        <v/>
      </c>
      <c r="AI70" s="528" t="str">
        <f t="shared" si="105"/>
        <v/>
      </c>
      <c r="AJ70" s="529" t="str">
        <f t="shared" si="106"/>
        <v/>
      </c>
      <c r="AK70" s="578" t="str">
        <f t="shared" si="247"/>
        <v/>
      </c>
      <c r="AL70" s="572" t="str">
        <f t="shared" si="107"/>
        <v/>
      </c>
      <c r="AM70" s="577" t="str">
        <f t="shared" si="108"/>
        <v/>
      </c>
      <c r="AN70" s="524" t="str">
        <f t="shared" si="109"/>
        <v/>
      </c>
      <c r="AO70" s="525" t="str">
        <f t="shared" si="604"/>
        <v/>
      </c>
      <c r="AP70" s="528" t="str">
        <f t="shared" si="111"/>
        <v/>
      </c>
      <c r="AQ70" s="529" t="str">
        <f t="shared" si="332"/>
        <v/>
      </c>
      <c r="AR70" s="979"/>
      <c r="AS70" s="954" t="str">
        <f t="shared" si="524"/>
        <v/>
      </c>
      <c r="AT70" s="950" t="str">
        <f t="shared" si="333"/>
        <v/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 t="str">
        <f t="shared" si="241"/>
        <v/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 t="str">
        <f t="shared" si="485"/>
        <v/>
      </c>
      <c r="IM70" s="482" t="str">
        <f t="shared" si="242"/>
        <v/>
      </c>
      <c r="IN70" s="670" t="str">
        <f t="shared" si="486"/>
        <v/>
      </c>
      <c r="IO70" s="702"/>
      <c r="IP70" s="5" t="str">
        <f t="shared" si="487"/>
        <v/>
      </c>
      <c r="IQ70" s="714"/>
      <c r="IR70" s="9" t="str">
        <f t="shared" si="488"/>
        <v/>
      </c>
      <c r="IS70" s="5" t="str">
        <f t="shared" si="489"/>
        <v/>
      </c>
      <c r="IT70" s="5" t="str">
        <f t="shared" si="490"/>
        <v/>
      </c>
      <c r="IU70" s="5" t="str">
        <f t="shared" si="491"/>
        <v/>
      </c>
      <c r="IV70" s="670" t="str">
        <f t="shared" si="492"/>
        <v/>
      </c>
      <c r="IW70" s="9" t="str">
        <f t="shared" si="493"/>
        <v/>
      </c>
      <c r="IX70" s="5" t="str">
        <f t="shared" si="494"/>
        <v/>
      </c>
      <c r="IY70" s="5" t="str">
        <f t="shared" si="495"/>
        <v/>
      </c>
      <c r="IZ70" s="5" t="str">
        <f t="shared" si="496"/>
        <v/>
      </c>
      <c r="JA70" s="705" t="str">
        <f t="shared" si="497"/>
        <v/>
      </c>
      <c r="JM70" s="489" t="e">
        <f t="shared" si="133"/>
        <v>#VALUE!</v>
      </c>
      <c r="JN70" s="960" t="e">
        <f>($JO70-SMALL($JO$9:$JO$88,1))/((Settings!$C$19/2)-((Settings!$C$19/2)-LARGE($JO$9:$JO$88,1))-SMALL($JO$9:$JO$88,1))</f>
        <v>#VALUE!</v>
      </c>
      <c r="JO70" s="162" t="str">
        <f t="shared" si="134"/>
        <v/>
      </c>
      <c r="JP70" s="961" t="str">
        <f t="shared" si="135"/>
        <v/>
      </c>
      <c r="JQ70" s="961" t="str">
        <f t="shared" si="136"/>
        <v/>
      </c>
      <c r="JU70" s="962"/>
      <c r="JV70" s="959"/>
      <c r="JW70" s="959"/>
    </row>
    <row r="71" spans="1:283" ht="15" customHeight="1" x14ac:dyDescent="0.25">
      <c r="A71" s="75" t="str">
        <f t="shared" si="322"/>
        <v/>
      </c>
      <c r="B71" s="578" t="str">
        <f t="shared" ref="B71:D71" si="633">IFERROR(O226+($A71*-E71),"")</f>
        <v/>
      </c>
      <c r="C71" s="572" t="str">
        <f t="shared" si="633"/>
        <v/>
      </c>
      <c r="D71" s="576" t="str">
        <f t="shared" si="633"/>
        <v/>
      </c>
      <c r="E71" s="580" t="str">
        <f t="shared" ref="E71:K71" si="634">R226</f>
        <v/>
      </c>
      <c r="F71" s="572" t="str">
        <f t="shared" si="634"/>
        <v/>
      </c>
      <c r="G71" s="579" t="str">
        <f t="shared" si="634"/>
        <v/>
      </c>
      <c r="H71" s="580" t="str">
        <f t="shared" si="634"/>
        <v/>
      </c>
      <c r="I71" s="572" t="str">
        <f t="shared" si="634"/>
        <v/>
      </c>
      <c r="J71" s="483" t="str">
        <f t="shared" si="94"/>
        <v/>
      </c>
      <c r="K71" s="806" t="str">
        <f t="shared" si="634"/>
        <v/>
      </c>
      <c r="L71" s="309"/>
      <c r="M71" s="164" t="str">
        <f t="shared" si="325"/>
        <v/>
      </c>
      <c r="N71" s="575" t="str">
        <f t="shared" si="326"/>
        <v/>
      </c>
      <c r="O71" s="572" t="str">
        <f t="shared" si="327"/>
        <v/>
      </c>
      <c r="P71" s="576" t="str">
        <f t="shared" si="328"/>
        <v/>
      </c>
      <c r="Q71" s="528" t="str">
        <f t="shared" si="144"/>
        <v/>
      </c>
      <c r="R71" s="572" t="str">
        <f t="shared" si="95"/>
        <v/>
      </c>
      <c r="S71" s="577" t="str">
        <f t="shared" si="96"/>
        <v/>
      </c>
      <c r="T71" s="578" t="str">
        <f t="shared" si="97"/>
        <v/>
      </c>
      <c r="U71" s="572" t="str">
        <f t="shared" si="98"/>
        <v/>
      </c>
      <c r="V71" s="579" t="str">
        <f t="shared" si="145"/>
        <v/>
      </c>
      <c r="W71" s="528" t="str">
        <f t="shared" si="268"/>
        <v/>
      </c>
      <c r="X71" s="572" t="str">
        <f t="shared" si="99"/>
        <v/>
      </c>
      <c r="Y71" s="573" t="str">
        <f t="shared" si="271"/>
        <v/>
      </c>
      <c r="Z71" s="575" t="str">
        <f t="shared" si="329"/>
        <v/>
      </c>
      <c r="AA71" s="572" t="str">
        <f t="shared" si="330"/>
        <v/>
      </c>
      <c r="AB71" s="572" t="str">
        <f t="shared" si="331"/>
        <v/>
      </c>
      <c r="AC71" s="579" t="str">
        <f t="shared" si="100"/>
        <v/>
      </c>
      <c r="AD71" s="580" t="str">
        <f t="shared" si="146"/>
        <v/>
      </c>
      <c r="AE71" s="572" t="str">
        <f t="shared" si="101"/>
        <v/>
      </c>
      <c r="AF71" s="576" t="str">
        <f t="shared" si="102"/>
        <v/>
      </c>
      <c r="AG71" s="545" t="str">
        <f t="shared" si="103"/>
        <v/>
      </c>
      <c r="AH71" s="546" t="str">
        <f t="shared" si="104"/>
        <v/>
      </c>
      <c r="AI71" s="528" t="str">
        <f t="shared" si="105"/>
        <v/>
      </c>
      <c r="AJ71" s="529" t="str">
        <f t="shared" si="106"/>
        <v/>
      </c>
      <c r="AK71" s="578" t="str">
        <f t="shared" si="247"/>
        <v/>
      </c>
      <c r="AL71" s="572" t="str">
        <f t="shared" si="107"/>
        <v/>
      </c>
      <c r="AM71" s="577" t="str">
        <f t="shared" si="108"/>
        <v/>
      </c>
      <c r="AN71" s="524" t="str">
        <f t="shared" si="109"/>
        <v/>
      </c>
      <c r="AO71" s="525" t="str">
        <f t="shared" si="604"/>
        <v/>
      </c>
      <c r="AP71" s="528" t="str">
        <f t="shared" si="111"/>
        <v/>
      </c>
      <c r="AQ71" s="529" t="str">
        <f t="shared" si="332"/>
        <v/>
      </c>
      <c r="AR71" s="979"/>
      <c r="AS71" s="954" t="str">
        <f t="shared" si="524"/>
        <v/>
      </c>
      <c r="AT71" s="950" t="str">
        <f t="shared" si="333"/>
        <v/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 t="str">
        <f t="shared" si="241"/>
        <v/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 t="str">
        <f t="shared" si="485"/>
        <v/>
      </c>
      <c r="IM71" s="482" t="str">
        <f t="shared" si="242"/>
        <v/>
      </c>
      <c r="IN71" s="670" t="str">
        <f t="shared" si="486"/>
        <v/>
      </c>
      <c r="IO71" s="702"/>
      <c r="IP71" s="5" t="str">
        <f t="shared" si="487"/>
        <v/>
      </c>
      <c r="IQ71" s="714"/>
      <c r="IR71" s="9" t="str">
        <f t="shared" si="488"/>
        <v/>
      </c>
      <c r="IS71" s="5" t="str">
        <f t="shared" si="489"/>
        <v/>
      </c>
      <c r="IT71" s="5" t="str">
        <f t="shared" si="490"/>
        <v/>
      </c>
      <c r="IU71" s="5" t="str">
        <f t="shared" si="491"/>
        <v/>
      </c>
      <c r="IV71" s="670" t="str">
        <f t="shared" si="492"/>
        <v/>
      </c>
      <c r="IW71" s="9" t="str">
        <f t="shared" si="493"/>
        <v/>
      </c>
      <c r="IX71" s="5" t="str">
        <f t="shared" si="494"/>
        <v/>
      </c>
      <c r="IY71" s="5" t="str">
        <f t="shared" si="495"/>
        <v/>
      </c>
      <c r="IZ71" s="5" t="str">
        <f t="shared" si="496"/>
        <v/>
      </c>
      <c r="JA71" s="705" t="str">
        <f t="shared" si="497"/>
        <v/>
      </c>
      <c r="JM71" s="489" t="e">
        <f t="shared" si="133"/>
        <v>#VALUE!</v>
      </c>
      <c r="JN71" s="960" t="e">
        <f>($JO71-SMALL($JO$9:$JO$88,1))/((Settings!$C$19/2)-((Settings!$C$19/2)-LARGE($JO$9:$JO$88,1))-SMALL($JO$9:$JO$88,1))</f>
        <v>#VALUE!</v>
      </c>
      <c r="JO71" s="162" t="str">
        <f t="shared" ref="JO71:JO88" si="635">X71</f>
        <v/>
      </c>
      <c r="JP71" s="961" t="str">
        <f t="shared" ref="JP71:JP88" si="636">AN71</f>
        <v/>
      </c>
      <c r="JQ71" s="961" t="str">
        <f t="shared" ref="JQ71:JQ88" si="637">AO71</f>
        <v/>
      </c>
      <c r="JU71" s="962"/>
      <c r="JV71" s="959"/>
      <c r="JW71" s="959"/>
    </row>
    <row r="72" spans="1:283" ht="15" customHeight="1" x14ac:dyDescent="0.25">
      <c r="A72" s="75" t="str">
        <f t="shared" si="322"/>
        <v/>
      </c>
      <c r="B72" s="578" t="str">
        <f t="shared" ref="B72:D72" si="638">IFERROR(O227+($A72*-E72),"")</f>
        <v/>
      </c>
      <c r="C72" s="572" t="str">
        <f t="shared" si="638"/>
        <v/>
      </c>
      <c r="D72" s="576" t="str">
        <f t="shared" si="638"/>
        <v/>
      </c>
      <c r="E72" s="580" t="str">
        <f t="shared" ref="E72:K72" si="639">R227</f>
        <v/>
      </c>
      <c r="F72" s="572" t="str">
        <f t="shared" si="639"/>
        <v/>
      </c>
      <c r="G72" s="579" t="str">
        <f t="shared" si="639"/>
        <v/>
      </c>
      <c r="H72" s="580" t="str">
        <f t="shared" si="639"/>
        <v/>
      </c>
      <c r="I72" s="572" t="str">
        <f t="shared" si="639"/>
        <v/>
      </c>
      <c r="J72" s="483" t="str">
        <f t="shared" si="94"/>
        <v/>
      </c>
      <c r="K72" s="806" t="str">
        <f t="shared" si="639"/>
        <v/>
      </c>
      <c r="L72" s="309"/>
      <c r="M72" s="164" t="str">
        <f t="shared" si="325"/>
        <v/>
      </c>
      <c r="N72" s="575" t="str">
        <f t="shared" si="326"/>
        <v/>
      </c>
      <c r="O72" s="572" t="str">
        <f t="shared" si="327"/>
        <v/>
      </c>
      <c r="P72" s="576" t="str">
        <f t="shared" si="328"/>
        <v/>
      </c>
      <c r="Q72" s="528" t="str">
        <f t="shared" si="144"/>
        <v/>
      </c>
      <c r="R72" s="572" t="str">
        <f t="shared" si="95"/>
        <v/>
      </c>
      <c r="S72" s="577" t="str">
        <f t="shared" si="96"/>
        <v/>
      </c>
      <c r="T72" s="578" t="str">
        <f t="shared" si="97"/>
        <v/>
      </c>
      <c r="U72" s="572" t="str">
        <f t="shared" si="98"/>
        <v/>
      </c>
      <c r="V72" s="579" t="str">
        <f t="shared" si="145"/>
        <v/>
      </c>
      <c r="W72" s="528" t="str">
        <f t="shared" si="268"/>
        <v/>
      </c>
      <c r="X72" s="572" t="str">
        <f t="shared" si="99"/>
        <v/>
      </c>
      <c r="Y72" s="573" t="str">
        <f t="shared" si="271"/>
        <v/>
      </c>
      <c r="Z72" s="575" t="str">
        <f t="shared" si="329"/>
        <v/>
      </c>
      <c r="AA72" s="572" t="str">
        <f t="shared" si="330"/>
        <v/>
      </c>
      <c r="AB72" s="572" t="str">
        <f t="shared" si="331"/>
        <v/>
      </c>
      <c r="AC72" s="579" t="str">
        <f t="shared" si="100"/>
        <v/>
      </c>
      <c r="AD72" s="580" t="str">
        <f t="shared" si="146"/>
        <v/>
      </c>
      <c r="AE72" s="572" t="str">
        <f t="shared" si="101"/>
        <v/>
      </c>
      <c r="AF72" s="576" t="str">
        <f t="shared" si="102"/>
        <v/>
      </c>
      <c r="AG72" s="545" t="str">
        <f t="shared" si="103"/>
        <v/>
      </c>
      <c r="AH72" s="546" t="str">
        <f t="shared" si="104"/>
        <v/>
      </c>
      <c r="AI72" s="528" t="str">
        <f t="shared" si="105"/>
        <v/>
      </c>
      <c r="AJ72" s="529" t="str">
        <f t="shared" si="106"/>
        <v/>
      </c>
      <c r="AK72" s="578" t="str">
        <f t="shared" si="247"/>
        <v/>
      </c>
      <c r="AL72" s="572" t="str">
        <f t="shared" si="107"/>
        <v/>
      </c>
      <c r="AM72" s="577" t="str">
        <f t="shared" si="108"/>
        <v/>
      </c>
      <c r="AN72" s="524" t="str">
        <f t="shared" si="109"/>
        <v/>
      </c>
      <c r="AO72" s="525" t="str">
        <f t="shared" si="604"/>
        <v/>
      </c>
      <c r="AP72" s="528" t="str">
        <f t="shared" si="111"/>
        <v/>
      </c>
      <c r="AQ72" s="529" t="str">
        <f t="shared" si="332"/>
        <v/>
      </c>
      <c r="AR72" s="979"/>
      <c r="AS72" s="954" t="str">
        <f t="shared" si="524"/>
        <v/>
      </c>
      <c r="AT72" s="950" t="str">
        <f t="shared" si="333"/>
        <v/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 t="str">
        <f t="shared" si="241"/>
        <v/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 t="str">
        <f t="shared" si="485"/>
        <v/>
      </c>
      <c r="IM72" s="482" t="str">
        <f t="shared" si="242"/>
        <v/>
      </c>
      <c r="IN72" s="670" t="str">
        <f t="shared" si="486"/>
        <v/>
      </c>
      <c r="IO72" s="702"/>
      <c r="IP72" s="5" t="str">
        <f t="shared" si="487"/>
        <v/>
      </c>
      <c r="IQ72" s="714"/>
      <c r="IR72" s="9" t="str">
        <f t="shared" si="488"/>
        <v/>
      </c>
      <c r="IS72" s="5" t="str">
        <f t="shared" si="489"/>
        <v/>
      </c>
      <c r="IT72" s="5" t="str">
        <f t="shared" si="490"/>
        <v/>
      </c>
      <c r="IU72" s="5" t="str">
        <f t="shared" si="491"/>
        <v/>
      </c>
      <c r="IV72" s="670" t="str">
        <f t="shared" si="492"/>
        <v/>
      </c>
      <c r="IW72" s="9" t="str">
        <f t="shared" si="493"/>
        <v/>
      </c>
      <c r="IX72" s="5" t="str">
        <f t="shared" si="494"/>
        <v/>
      </c>
      <c r="IY72" s="5" t="str">
        <f t="shared" si="495"/>
        <v/>
      </c>
      <c r="IZ72" s="5" t="str">
        <f t="shared" si="496"/>
        <v/>
      </c>
      <c r="JA72" s="705" t="str">
        <f t="shared" si="497"/>
        <v/>
      </c>
      <c r="JM72" s="489" t="e">
        <f t="shared" si="133"/>
        <v>#VALUE!</v>
      </c>
      <c r="JN72" s="960" t="e">
        <f>($JO72-SMALL($JO$9:$JO$88,1))/((Settings!$C$19/2)-((Settings!$C$19/2)-LARGE($JO$9:$JO$88,1))-SMALL($JO$9:$JO$88,1))</f>
        <v>#VALUE!</v>
      </c>
      <c r="JO72" s="162" t="str">
        <f t="shared" si="635"/>
        <v/>
      </c>
      <c r="JP72" s="961" t="str">
        <f t="shared" si="636"/>
        <v/>
      </c>
      <c r="JQ72" s="961" t="str">
        <f t="shared" si="637"/>
        <v/>
      </c>
      <c r="JU72" s="962"/>
      <c r="JV72" s="959"/>
      <c r="JW72" s="959"/>
    </row>
    <row r="73" spans="1:283" ht="15" customHeight="1" x14ac:dyDescent="0.25">
      <c r="A73" s="75" t="str">
        <f t="shared" ref="A73:A104" si="640">IF($K73="","",IF(AND($A$8="Y",ISNUMBER($K73)),$A$5,0))</f>
        <v/>
      </c>
      <c r="B73" s="578" t="str">
        <f t="shared" ref="B73:D73" si="641">IFERROR(O228+($A73*-E73),"")</f>
        <v/>
      </c>
      <c r="C73" s="572" t="str">
        <f t="shared" si="641"/>
        <v/>
      </c>
      <c r="D73" s="576" t="str">
        <f t="shared" si="641"/>
        <v/>
      </c>
      <c r="E73" s="580" t="str">
        <f t="shared" ref="E73:K73" si="642">R228</f>
        <v/>
      </c>
      <c r="F73" s="572" t="str">
        <f t="shared" si="642"/>
        <v/>
      </c>
      <c r="G73" s="579" t="str">
        <f t="shared" si="642"/>
        <v/>
      </c>
      <c r="H73" s="580" t="str">
        <f t="shared" si="642"/>
        <v/>
      </c>
      <c r="I73" s="572" t="str">
        <f t="shared" si="642"/>
        <v/>
      </c>
      <c r="J73" s="483" t="str">
        <f t="shared" si="94"/>
        <v/>
      </c>
      <c r="K73" s="806" t="str">
        <f t="shared" si="642"/>
        <v/>
      </c>
      <c r="L73" s="309"/>
      <c r="M73" s="164" t="str">
        <f t="shared" ref="M73:M104" si="643">IF(J73="","",VALUE(J73))</f>
        <v/>
      </c>
      <c r="N73" s="575" t="str">
        <f t="shared" ref="N73:N104" si="644">IF(M73="","",B73)</f>
        <v/>
      </c>
      <c r="O73" s="572" t="str">
        <f t="shared" ref="O73:O104" si="645">IF(M73="","",C73)</f>
        <v/>
      </c>
      <c r="P73" s="576" t="str">
        <f t="shared" ref="P73:P104" si="646">IF(M73="","",D73)</f>
        <v/>
      </c>
      <c r="Q73" s="528" t="str">
        <f t="shared" si="144"/>
        <v/>
      </c>
      <c r="R73" s="572" t="str">
        <f>IF(M73="","",SQRT(N73^2+O73^2))</f>
        <v/>
      </c>
      <c r="S73" s="577" t="str">
        <f>IF(M73="","",P73)</f>
        <v/>
      </c>
      <c r="T73" s="578" t="str">
        <f>IF(M73="","",X73*COS(RADIANS(W73)))</f>
        <v/>
      </c>
      <c r="U73" s="572" t="str">
        <f>IF(M73="","",X73*SIN(RADIANS(W73)))</f>
        <v/>
      </c>
      <c r="V73" s="579" t="str">
        <f>IF(M73="","",Y73)</f>
        <v/>
      </c>
      <c r="W73" s="528" t="str">
        <f t="shared" si="268"/>
        <v/>
      </c>
      <c r="X73" s="572" t="str">
        <f>IF(M73="","",R73)</f>
        <v/>
      </c>
      <c r="Y73" s="573" t="str">
        <f t="shared" si="271"/>
        <v/>
      </c>
      <c r="Z73" s="575" t="str">
        <f t="shared" ref="Z73:Z104" si="647">IF(M73="","",-E73)</f>
        <v/>
      </c>
      <c r="AA73" s="572" t="str">
        <f t="shared" ref="AA73:AA104" si="648">IF(M73="","",-F73)</f>
        <v/>
      </c>
      <c r="AB73" s="572" t="str">
        <f t="shared" ref="AB73:AB104" si="649">IF(M73="","",-G73)</f>
        <v/>
      </c>
      <c r="AC73" s="579" t="str">
        <f>IF(M73="","",SQRT(Z73^2+AA73^2+AB73^2))</f>
        <v/>
      </c>
      <c r="AD73" s="580" t="str">
        <f>IF(M73="","",Z73*(1/SQRT(Z73^2+AA73^2+AB73^2)))</f>
        <v/>
      </c>
      <c r="AE73" s="572" t="str">
        <f>IF(M73="","",AA73*(1/SQRT(Z73^2+AA73^2+AB73^2)))</f>
        <v/>
      </c>
      <c r="AF73" s="576" t="str">
        <f>IF(M73="","",AB73*(1/SQRT(Z73^2+AA73^2+AB73^2)))</f>
        <v/>
      </c>
      <c r="AG73" s="545" t="str">
        <f>IF(M73="","",DEGREES(ATAN2(-AF73,AE73)))</f>
        <v/>
      </c>
      <c r="AH73" s="546" t="str">
        <f>IF(M73="","",DEGREES(ACOS(AD73)))</f>
        <v/>
      </c>
      <c r="AI73" s="528" t="str">
        <f>IF(M73="","",DEGREES(-ACOS(-AF73)))</f>
        <v/>
      </c>
      <c r="AJ73" s="529" t="str">
        <f>IF(M73="","",DEGREES(ATAN2(-AE73,AD73)))</f>
        <v/>
      </c>
      <c r="AK73" s="578" t="str">
        <f>IF(M73="","",(COS(RADIANS((90-$Q$8)-W73))*AD73)+(-SIN(RADIANS((90-$Q$8)-W73))*AE73))</f>
        <v/>
      </c>
      <c r="AL73" s="572" t="str">
        <f>IF(M73="","",(SIN(RADIANS((90-$Q$8)-W73))*AD73)+(COS(RADIANS((90-$Q$8)-W73))*AE73))</f>
        <v/>
      </c>
      <c r="AM73" s="577" t="str">
        <f>IF(M73="","",AF73)</f>
        <v/>
      </c>
      <c r="AN73" s="524" t="str">
        <f>IF(M73="","",DEGREES(ATAN2(-AM73,AL73)))</f>
        <v/>
      </c>
      <c r="AO73" s="525" t="str">
        <f t="shared" si="604"/>
        <v/>
      </c>
      <c r="AP73" s="528" t="str">
        <f>IF(M73="","",DEGREES(ATAN2(AK73,AL73)))</f>
        <v/>
      </c>
      <c r="AQ73" s="529" t="str">
        <f t="shared" ref="AQ73:AQ104" si="650">IF(M73="","",DEGREES(ATAN(($AS$5*SIN(RADIANS(90)))/(($X73*2*PI())-($AS$5*COS(RADIANS(90)))))))</f>
        <v/>
      </c>
      <c r="AR73" s="979"/>
      <c r="AS73" s="954" t="str">
        <f t="shared" si="524"/>
        <v/>
      </c>
      <c r="AT73" s="950" t="str">
        <f t="shared" ref="AT73:AT104" si="651">IF(M73="","",Y73+(((AS73-$AS$9)*$AS$6)*-1))</f>
        <v/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 t="str">
        <f t="shared" si="241"/>
        <v/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 t="str">
        <f t="shared" ref="IL73:IL104" si="713">IF(ISNUMBER($IK73),INDEX($K$9:$K$150,MATCH($IK73,$M$9:$M$150,0)),$K73)</f>
        <v/>
      </c>
      <c r="IM73" s="482" t="str">
        <f t="shared" si="242"/>
        <v/>
      </c>
      <c r="IN73" s="670" t="str">
        <f t="shared" ref="IN73:IN104" si="714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715">IF(ISNUMBER($IK73),(($IQ73*12)/60)/$AS$3,"")</f>
        <v/>
      </c>
      <c r="IQ73" s="714"/>
      <c r="IR73" s="9" t="str">
        <f t="shared" ref="IR73:IR104" si="716">IF(ISNUMBER($IK73),(INDEX($X$9:$X$150,MATCH($IK73,$M$9:$M$150,0))*-1),"")</f>
        <v/>
      </c>
      <c r="IS73" s="5" t="str">
        <f t="shared" ref="IS73:IS104" si="717">IF(ISNUMBER($IK73),INDEX($Y$9:$Y$150,MATCH($IK73,$M$9:$M$150,0)),"")</f>
        <v/>
      </c>
      <c r="IT73" s="5" t="str">
        <f t="shared" ref="IT73:IT104" si="718">IF(ISNUMBER($IK73),INDEX($H$9:$H$150,MATCH($IK73,$M$9:$M$150,0)),"")</f>
        <v/>
      </c>
      <c r="IU73" s="5" t="str">
        <f t="shared" ref="IU73:IU104" si="719">IF(ISNUMBER($IK73),$IT73*COS(RADIANS(INDEX($AO$9:$AO$150,MATCH($IK73,$M$9:$M$150,0)))),"")</f>
        <v/>
      </c>
      <c r="IV73" s="670" t="str">
        <f t="shared" ref="IV73:IV104" si="720">IF(ISNUMBER($IK73),(-1*INDEX($AN$9:$AN$150,MATCH($IK73,$M$9:$M$150,0))),"")</f>
        <v/>
      </c>
      <c r="IW73" s="9" t="str">
        <f t="shared" ref="IW73:IW104" si="721">IF(ISNUMBER($IK73),-$X73,"")</f>
        <v/>
      </c>
      <c r="IX73" s="5" t="str">
        <f t="shared" ref="IX73:IX104" si="722">IF(ISNUMBER($IK73),$Y73,"")</f>
        <v/>
      </c>
      <c r="IY73" s="5" t="str">
        <f t="shared" ref="IY73:IY104" si="723">IF(ISNUMBER($IK73),$H73,"")</f>
        <v/>
      </c>
      <c r="IZ73" s="5" t="str">
        <f t="shared" ref="IZ73:IZ104" si="724">IF(ISNUMBER($IK73),$IY73*COS(RADIANS($AO73)),"")</f>
        <v/>
      </c>
      <c r="JA73" s="705" t="str">
        <f t="shared" ref="JA73:JA104" si="725">IF(ISNUMBER($IK73),(-1*$AN73),"")</f>
        <v/>
      </c>
      <c r="JM73" s="489" t="e">
        <f t="shared" si="133"/>
        <v>#VALUE!</v>
      </c>
      <c r="JN73" s="960" t="e">
        <f>($JO73-SMALL($JO$9:$JO$88,1))/((Settings!$C$19/2)-((Settings!$C$19/2)-LARGE($JO$9:$JO$88,1))-SMALL($JO$9:$JO$88,1))</f>
        <v>#VALUE!</v>
      </c>
      <c r="JO73" s="162" t="str">
        <f t="shared" si="635"/>
        <v/>
      </c>
      <c r="JP73" s="961" t="str">
        <f t="shared" si="636"/>
        <v/>
      </c>
      <c r="JQ73" s="961" t="str">
        <f t="shared" si="637"/>
        <v/>
      </c>
      <c r="JU73" s="962"/>
      <c r="JV73" s="959"/>
      <c r="JW73" s="959"/>
    </row>
    <row r="74" spans="1:283" ht="15" customHeight="1" x14ac:dyDescent="0.25">
      <c r="A74" s="75" t="str">
        <f t="shared" si="640"/>
        <v/>
      </c>
      <c r="B74" s="578" t="str">
        <f t="shared" ref="B74:D74" si="726">IFERROR(O229+($A74*-E74),"")</f>
        <v/>
      </c>
      <c r="C74" s="572" t="str">
        <f t="shared" si="726"/>
        <v/>
      </c>
      <c r="D74" s="576" t="str">
        <f t="shared" si="726"/>
        <v/>
      </c>
      <c r="E74" s="580" t="str">
        <f t="shared" ref="E74:K74" si="727">R229</f>
        <v/>
      </c>
      <c r="F74" s="572" t="str">
        <f t="shared" si="727"/>
        <v/>
      </c>
      <c r="G74" s="579" t="str">
        <f t="shared" si="727"/>
        <v/>
      </c>
      <c r="H74" s="580" t="str">
        <f t="shared" si="727"/>
        <v/>
      </c>
      <c r="I74" s="572" t="str">
        <f t="shared" si="727"/>
        <v/>
      </c>
      <c r="J74" s="483" t="str">
        <f t="shared" ref="J74:J137" si="728">IF(W229=0,"",W229)</f>
        <v/>
      </c>
      <c r="K74" s="806" t="str">
        <f t="shared" si="727"/>
        <v/>
      </c>
      <c r="L74" s="309"/>
      <c r="M74" s="164" t="str">
        <f t="shared" si="643"/>
        <v/>
      </c>
      <c r="N74" s="575" t="str">
        <f t="shared" si="644"/>
        <v/>
      </c>
      <c r="O74" s="572" t="str">
        <f t="shared" si="645"/>
        <v/>
      </c>
      <c r="P74" s="576" t="str">
        <f t="shared" si="646"/>
        <v/>
      </c>
      <c r="Q74" s="528" t="str">
        <f t="shared" ref="Q74:Q129" si="729">IF(M74="","",IF(DEGREES(ATAN2(N74,O74))&lt;0,DEGREES(ATAN2(N74,O74))+360,IF(DEGREES(ATAN2(N74,O74))&gt;360,DEGREES(ATAN2(N74,O74))-360,DEGREES(ATAN2(N74,O74)))))</f>
        <v/>
      </c>
      <c r="R74" s="572" t="str">
        <f>IF(M74="","",SQRT(N74^2+O74^2))</f>
        <v/>
      </c>
      <c r="S74" s="577" t="str">
        <f>IF(M74="","",P74)</f>
        <v/>
      </c>
      <c r="T74" s="578" t="str">
        <f>IF(M74="","",X74*COS(RADIANS(W74)))</f>
        <v/>
      </c>
      <c r="U74" s="572" t="str">
        <f>IF(M74="","",X74*SIN(RADIANS(W74)))</f>
        <v/>
      </c>
      <c r="V74" s="579" t="str">
        <f>IF(M74="","",Y74)</f>
        <v/>
      </c>
      <c r="W74" s="528" t="str">
        <f t="shared" si="268"/>
        <v/>
      </c>
      <c r="X74" s="572" t="str">
        <f>IF(M74="","",R74)</f>
        <v/>
      </c>
      <c r="Y74" s="573" t="str">
        <f t="shared" si="271"/>
        <v/>
      </c>
      <c r="Z74" s="575" t="str">
        <f t="shared" si="647"/>
        <v/>
      </c>
      <c r="AA74" s="572" t="str">
        <f t="shared" si="648"/>
        <v/>
      </c>
      <c r="AB74" s="572" t="str">
        <f t="shared" si="649"/>
        <v/>
      </c>
      <c r="AC74" s="579" t="str">
        <f>IF(M74="","",SQRT(Z74^2+AA74^2+AB74^2))</f>
        <v/>
      </c>
      <c r="AD74" s="580" t="str">
        <f>IF(M74="","",Z74*(1/SQRT(Z74^2+AA74^2+AB74^2)))</f>
        <v/>
      </c>
      <c r="AE74" s="572" t="str">
        <f>IF(M74="","",AA74*(1/SQRT(Z74^2+AA74^2+AB74^2)))</f>
        <v/>
      </c>
      <c r="AF74" s="576" t="str">
        <f>IF(M74="","",AB74*(1/SQRT(Z74^2+AA74^2+AB74^2)))</f>
        <v/>
      </c>
      <c r="AG74" s="545" t="str">
        <f>IF(M74="","",DEGREES(ATAN2(-AF74,AE74)))</f>
        <v/>
      </c>
      <c r="AH74" s="546" t="str">
        <f>IF(M74="","",DEGREES(ACOS(AD74)))</f>
        <v/>
      </c>
      <c r="AI74" s="528" t="str">
        <f>IF(M74="","",DEGREES(-ACOS(-AF74)))</f>
        <v/>
      </c>
      <c r="AJ74" s="529" t="str">
        <f>IF(M74="","",DEGREES(ATAN2(-AE74,AD74)))</f>
        <v/>
      </c>
      <c r="AK74" s="578" t="str">
        <f>IF(M74="","",(COS(RADIANS((90-$Q$8)-W74))*AD74)+(-SIN(RADIANS((90-$Q$8)-W74))*AE74))</f>
        <v/>
      </c>
      <c r="AL74" s="572" t="str">
        <f>IF(M74="","",(SIN(RADIANS((90-$Q$8)-W74))*AD74)+(COS(RADIANS((90-$Q$8)-W74))*AE74))</f>
        <v/>
      </c>
      <c r="AM74" s="577" t="str">
        <f>IF(M74="","",AF74)</f>
        <v/>
      </c>
      <c r="AN74" s="524" t="str">
        <f>IF(M74="","",DEGREES(ATAN2(-AM74,AL74)))</f>
        <v/>
      </c>
      <c r="AO74" s="525" t="str">
        <f t="shared" si="604"/>
        <v/>
      </c>
      <c r="AP74" s="528" t="str">
        <f>IF(M74="","",DEGREES(ATAN2(AK74,AL74)))</f>
        <v/>
      </c>
      <c r="AQ74" s="529" t="str">
        <f t="shared" si="650"/>
        <v/>
      </c>
      <c r="AR74" s="979"/>
      <c r="AS74" s="954" t="str">
        <f t="shared" si="524"/>
        <v/>
      </c>
      <c r="AT74" s="950" t="str">
        <f t="shared" si="651"/>
        <v/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 t="str">
        <f t="shared" si="241"/>
        <v/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 t="str">
        <f t="shared" si="713"/>
        <v/>
      </c>
      <c r="IM74" s="482" t="str">
        <f t="shared" si="242"/>
        <v/>
      </c>
      <c r="IN74" s="670" t="str">
        <f t="shared" si="714"/>
        <v/>
      </c>
      <c r="IO74" s="702"/>
      <c r="IP74" s="5" t="str">
        <f t="shared" si="715"/>
        <v/>
      </c>
      <c r="IQ74" s="714"/>
      <c r="IR74" s="9" t="str">
        <f t="shared" si="716"/>
        <v/>
      </c>
      <c r="IS74" s="5" t="str">
        <f t="shared" si="717"/>
        <v/>
      </c>
      <c r="IT74" s="5" t="str">
        <f t="shared" si="718"/>
        <v/>
      </c>
      <c r="IU74" s="5" t="str">
        <f t="shared" si="719"/>
        <v/>
      </c>
      <c r="IV74" s="670" t="str">
        <f t="shared" si="720"/>
        <v/>
      </c>
      <c r="IW74" s="9" t="str">
        <f t="shared" si="721"/>
        <v/>
      </c>
      <c r="IX74" s="5" t="str">
        <f t="shared" si="722"/>
        <v/>
      </c>
      <c r="IY74" s="5" t="str">
        <f t="shared" si="723"/>
        <v/>
      </c>
      <c r="IZ74" s="5" t="str">
        <f t="shared" si="724"/>
        <v/>
      </c>
      <c r="JA74" s="705" t="str">
        <f t="shared" si="725"/>
        <v/>
      </c>
      <c r="JM74" s="489" t="e">
        <f t="shared" ref="JM74:JM88" si="752">VALUE(RIGHT((M74*1000),2))</f>
        <v>#VALUE!</v>
      </c>
      <c r="JN74" s="960" t="e">
        <f>($JO74-SMALL($JO$9:$JO$88,1))/((Settings!$C$19/2)-((Settings!$C$19/2)-LARGE($JO$9:$JO$88,1))-SMALL($JO$9:$JO$88,1))</f>
        <v>#VALUE!</v>
      </c>
      <c r="JO74" s="162" t="str">
        <f t="shared" si="635"/>
        <v/>
      </c>
      <c r="JP74" s="961" t="str">
        <f t="shared" si="636"/>
        <v/>
      </c>
      <c r="JQ74" s="961" t="str">
        <f t="shared" si="637"/>
        <v/>
      </c>
      <c r="JU74" s="962"/>
      <c r="JV74" s="959"/>
      <c r="JW74" s="959"/>
    </row>
    <row r="75" spans="1:283" ht="15" customHeight="1" x14ac:dyDescent="0.25">
      <c r="A75" s="75" t="str">
        <f t="shared" si="640"/>
        <v/>
      </c>
      <c r="B75" s="578" t="str">
        <f t="shared" ref="B75:D75" si="753">IFERROR(O230+($A75*-E75),"")</f>
        <v/>
      </c>
      <c r="C75" s="572" t="str">
        <f t="shared" si="753"/>
        <v/>
      </c>
      <c r="D75" s="576" t="str">
        <f t="shared" si="753"/>
        <v/>
      </c>
      <c r="E75" s="580" t="str">
        <f t="shared" ref="E75:K75" si="754">R230</f>
        <v/>
      </c>
      <c r="F75" s="572" t="str">
        <f t="shared" si="754"/>
        <v/>
      </c>
      <c r="G75" s="579" t="str">
        <f t="shared" si="754"/>
        <v/>
      </c>
      <c r="H75" s="580" t="str">
        <f t="shared" si="754"/>
        <v/>
      </c>
      <c r="I75" s="572" t="str">
        <f t="shared" si="754"/>
        <v/>
      </c>
      <c r="J75" s="483" t="str">
        <f t="shared" si="728"/>
        <v/>
      </c>
      <c r="K75" s="806" t="str">
        <f t="shared" si="754"/>
        <v/>
      </c>
      <c r="L75" s="309"/>
      <c r="M75" s="164" t="str">
        <f t="shared" si="643"/>
        <v/>
      </c>
      <c r="N75" s="575" t="str">
        <f t="shared" si="644"/>
        <v/>
      </c>
      <c r="O75" s="572" t="str">
        <f t="shared" si="645"/>
        <v/>
      </c>
      <c r="P75" s="576" t="str">
        <f t="shared" si="646"/>
        <v/>
      </c>
      <c r="Q75" s="528" t="str">
        <f t="shared" si="729"/>
        <v/>
      </c>
      <c r="R75" s="572" t="str">
        <f>IF(M75="","",SQRT(N75^2+O75^2))</f>
        <v/>
      </c>
      <c r="S75" s="577" t="str">
        <f>IF(M75="","",P75)</f>
        <v/>
      </c>
      <c r="T75" s="578" t="str">
        <f>IF(M75="","",X75*COS(RADIANS(W75)))</f>
        <v/>
      </c>
      <c r="U75" s="572" t="str">
        <f>IF(M75="","",X75*SIN(RADIANS(W75)))</f>
        <v/>
      </c>
      <c r="V75" s="579" t="str">
        <f>IF(M75="","",Y75)</f>
        <v/>
      </c>
      <c r="W75" s="528" t="str">
        <f t="shared" si="268"/>
        <v/>
      </c>
      <c r="X75" s="572" t="str">
        <f>IF(M75="","",R75)</f>
        <v/>
      </c>
      <c r="Y75" s="573" t="str">
        <f t="shared" si="271"/>
        <v/>
      </c>
      <c r="Z75" s="575" t="str">
        <f t="shared" si="647"/>
        <v/>
      </c>
      <c r="AA75" s="572" t="str">
        <f t="shared" si="648"/>
        <v/>
      </c>
      <c r="AB75" s="572" t="str">
        <f t="shared" si="649"/>
        <v/>
      </c>
      <c r="AC75" s="579" t="str">
        <f>IF(M75="","",SQRT(Z75^2+AA75^2+AB75^2))</f>
        <v/>
      </c>
      <c r="AD75" s="580" t="str">
        <f>IF(M75="","",Z75*(1/SQRT(Z75^2+AA75^2+AB75^2)))</f>
        <v/>
      </c>
      <c r="AE75" s="572" t="str">
        <f>IF(M75="","",AA75*(1/SQRT(Z75^2+AA75^2+AB75^2)))</f>
        <v/>
      </c>
      <c r="AF75" s="576" t="str">
        <f>IF(M75="","",AB75*(1/SQRT(Z75^2+AA75^2+AB75^2)))</f>
        <v/>
      </c>
      <c r="AG75" s="545" t="str">
        <f>IF(M75="","",DEGREES(ATAN2(-AF75,AE75)))</f>
        <v/>
      </c>
      <c r="AH75" s="546" t="str">
        <f>IF(M75="","",DEGREES(ACOS(AD75)))</f>
        <v/>
      </c>
      <c r="AI75" s="528" t="str">
        <f>IF(M75="","",DEGREES(-ACOS(-AF75)))</f>
        <v/>
      </c>
      <c r="AJ75" s="529" t="str">
        <f>IF(M75="","",DEGREES(ATAN2(-AE75,AD75)))</f>
        <v/>
      </c>
      <c r="AK75" s="578" t="str">
        <f>IF(M75="","",(COS(RADIANS((90-$Q$8)-W75))*AD75)+(-SIN(RADIANS((90-$Q$8)-W75))*AE75))</f>
        <v/>
      </c>
      <c r="AL75" s="572" t="str">
        <f>IF(M75="","",(SIN(RADIANS((90-$Q$8)-W75))*AD75)+(COS(RADIANS((90-$Q$8)-W75))*AE75))</f>
        <v/>
      </c>
      <c r="AM75" s="577" t="str">
        <f>IF(M75="","",AF75)</f>
        <v/>
      </c>
      <c r="AN75" s="524" t="str">
        <f>IF(M75="","",DEGREES(ATAN2(-AM75,AL75)))</f>
        <v/>
      </c>
      <c r="AO75" s="525" t="str">
        <f t="shared" si="604"/>
        <v/>
      </c>
      <c r="AP75" s="528" t="str">
        <f>IF(M75="","",DEGREES(ATAN2(AK75,AL75)))</f>
        <v/>
      </c>
      <c r="AQ75" s="529" t="str">
        <f t="shared" si="650"/>
        <v/>
      </c>
      <c r="AR75" s="979"/>
      <c r="AS75" s="954" t="str">
        <f t="shared" ref="AS75:AS106" si="755">IF(G75="","",IF(AND(W75&lt;(AS74+180),W75&gt;(AS74-180)),W75,IF(W75&gt;(AS74+180),W75-360,IF(W75&lt;(AS74-180),W75+360,"Error"))))</f>
        <v/>
      </c>
      <c r="AT75" s="950" t="str">
        <f t="shared" si="651"/>
        <v/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 t="str">
        <f t="shared" ref="II75:II138" si="855">$M75</f>
        <v/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 t="str">
        <f t="shared" si="713"/>
        <v/>
      </c>
      <c r="IM75" s="482" t="str">
        <f t="shared" ref="IM75:IM138" si="856">IF(ISNUMBER($IK75),INDEX($K$9:$K$150,MATCH($II75,$M$9:$M$150,0)),"")</f>
        <v/>
      </c>
      <c r="IN75" s="670" t="str">
        <f t="shared" si="714"/>
        <v/>
      </c>
      <c r="IO75" s="702">
        <v>1.0094339558409901E-2</v>
      </c>
      <c r="IP75" s="5" t="str">
        <f t="shared" si="715"/>
        <v/>
      </c>
      <c r="IQ75" s="714">
        <v>150</v>
      </c>
      <c r="IR75" s="9" t="str">
        <f t="shared" si="716"/>
        <v/>
      </c>
      <c r="IS75" s="5" t="str">
        <f t="shared" si="717"/>
        <v/>
      </c>
      <c r="IT75" s="5" t="str">
        <f t="shared" si="718"/>
        <v/>
      </c>
      <c r="IU75" s="5" t="str">
        <f t="shared" si="719"/>
        <v/>
      </c>
      <c r="IV75" s="670" t="str">
        <f t="shared" si="720"/>
        <v/>
      </c>
      <c r="IW75" s="9" t="str">
        <f t="shared" si="721"/>
        <v/>
      </c>
      <c r="IX75" s="5" t="str">
        <f t="shared" si="722"/>
        <v/>
      </c>
      <c r="IY75" s="5" t="str">
        <f t="shared" si="723"/>
        <v/>
      </c>
      <c r="IZ75" s="5" t="str">
        <f t="shared" si="724"/>
        <v/>
      </c>
      <c r="JA75" s="705" t="str">
        <f t="shared" si="725"/>
        <v/>
      </c>
      <c r="JM75" s="489" t="e">
        <f t="shared" si="752"/>
        <v>#VALUE!</v>
      </c>
      <c r="JN75" s="960" t="e">
        <f>($JO75-SMALL($JO$9:$JO$88,1))/((Settings!$C$19/2)-((Settings!$C$19/2)-LARGE($JO$9:$JO$88,1))-SMALL($JO$9:$JO$88,1))</f>
        <v>#VALUE!</v>
      </c>
      <c r="JO75" s="162" t="str">
        <f t="shared" si="635"/>
        <v/>
      </c>
      <c r="JP75" s="961" t="str">
        <f t="shared" si="636"/>
        <v/>
      </c>
      <c r="JQ75" s="961" t="str">
        <f t="shared" si="637"/>
        <v/>
      </c>
      <c r="JU75" s="962"/>
      <c r="JV75" s="959"/>
      <c r="JW75" s="959"/>
    </row>
    <row r="76" spans="1:283" ht="15" customHeight="1" x14ac:dyDescent="0.25">
      <c r="A76" s="75" t="str">
        <f t="shared" si="640"/>
        <v/>
      </c>
      <c r="B76" s="578" t="str">
        <f t="shared" ref="B76:D76" si="857">IFERROR(O231+($A76*-E76),"")</f>
        <v/>
      </c>
      <c r="C76" s="572" t="str">
        <f t="shared" si="857"/>
        <v/>
      </c>
      <c r="D76" s="576" t="str">
        <f t="shared" si="857"/>
        <v/>
      </c>
      <c r="E76" s="580" t="str">
        <f t="shared" ref="E76:K76" si="858">R231</f>
        <v/>
      </c>
      <c r="F76" s="572" t="str">
        <f t="shared" si="858"/>
        <v/>
      </c>
      <c r="G76" s="579" t="str">
        <f t="shared" si="858"/>
        <v/>
      </c>
      <c r="H76" s="580" t="str">
        <f t="shared" si="858"/>
        <v/>
      </c>
      <c r="I76" s="572" t="str">
        <f t="shared" si="858"/>
        <v/>
      </c>
      <c r="J76" s="483" t="str">
        <f t="shared" si="728"/>
        <v/>
      </c>
      <c r="K76" s="806" t="str">
        <f t="shared" si="858"/>
        <v/>
      </c>
      <c r="L76" s="309"/>
      <c r="M76" s="164" t="str">
        <f t="shared" si="643"/>
        <v/>
      </c>
      <c r="N76" s="575" t="str">
        <f t="shared" si="644"/>
        <v/>
      </c>
      <c r="O76" s="572" t="str">
        <f t="shared" si="645"/>
        <v/>
      </c>
      <c r="P76" s="576" t="str">
        <f t="shared" si="646"/>
        <v/>
      </c>
      <c r="Q76" s="528" t="str">
        <f t="shared" si="729"/>
        <v/>
      </c>
      <c r="R76" s="572" t="str">
        <f t="shared" si="95"/>
        <v/>
      </c>
      <c r="S76" s="577" t="str">
        <f t="shared" si="96"/>
        <v/>
      </c>
      <c r="T76" s="578" t="str">
        <f t="shared" si="97"/>
        <v/>
      </c>
      <c r="U76" s="572" t="str">
        <f t="shared" si="98"/>
        <v/>
      </c>
      <c r="V76" s="579" t="str">
        <f t="shared" si="145"/>
        <v/>
      </c>
      <c r="W76" s="528" t="str">
        <f t="shared" si="268"/>
        <v/>
      </c>
      <c r="X76" s="572" t="str">
        <f t="shared" si="99"/>
        <v/>
      </c>
      <c r="Y76" s="573" t="str">
        <f t="shared" ref="Y76:Y129" si="859">IF(M76="","",S76)</f>
        <v/>
      </c>
      <c r="Z76" s="575" t="str">
        <f t="shared" si="647"/>
        <v/>
      </c>
      <c r="AA76" s="572" t="str">
        <f t="shared" si="648"/>
        <v/>
      </c>
      <c r="AB76" s="572" t="str">
        <f t="shared" si="649"/>
        <v/>
      </c>
      <c r="AC76" s="579" t="str">
        <f t="shared" si="100"/>
        <v/>
      </c>
      <c r="AD76" s="580" t="str">
        <f t="shared" si="146"/>
        <v/>
      </c>
      <c r="AE76" s="572" t="str">
        <f t="shared" si="101"/>
        <v/>
      </c>
      <c r="AF76" s="576" t="str">
        <f t="shared" si="102"/>
        <v/>
      </c>
      <c r="AG76" s="545" t="str">
        <f t="shared" si="103"/>
        <v/>
      </c>
      <c r="AH76" s="546" t="str">
        <f t="shared" si="104"/>
        <v/>
      </c>
      <c r="AI76" s="528" t="str">
        <f t="shared" si="105"/>
        <v/>
      </c>
      <c r="AJ76" s="529" t="str">
        <f t="shared" si="106"/>
        <v/>
      </c>
      <c r="AK76" s="578" t="str">
        <f t="shared" si="247"/>
        <v/>
      </c>
      <c r="AL76" s="572" t="str">
        <f t="shared" si="107"/>
        <v/>
      </c>
      <c r="AM76" s="577" t="str">
        <f t="shared" si="108"/>
        <v/>
      </c>
      <c r="AN76" s="524" t="str">
        <f t="shared" si="109"/>
        <v/>
      </c>
      <c r="AO76" s="525" t="str">
        <f t="shared" si="604"/>
        <v/>
      </c>
      <c r="AP76" s="528" t="str">
        <f t="shared" si="111"/>
        <v/>
      </c>
      <c r="AQ76" s="529" t="str">
        <f t="shared" si="650"/>
        <v/>
      </c>
      <c r="AR76" s="979"/>
      <c r="AS76" s="954" t="str">
        <f t="shared" si="755"/>
        <v/>
      </c>
      <c r="AT76" s="950" t="str">
        <f t="shared" si="651"/>
        <v/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 t="str">
        <f t="shared" si="855"/>
        <v/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 t="str">
        <f t="shared" si="713"/>
        <v/>
      </c>
      <c r="IM76" s="482" t="str">
        <f t="shared" si="856"/>
        <v/>
      </c>
      <c r="IN76" s="670" t="str">
        <f t="shared" si="714"/>
        <v/>
      </c>
      <c r="IO76" s="702">
        <v>8.3459710522319694E-3</v>
      </c>
      <c r="IP76" s="5" t="str">
        <f t="shared" si="715"/>
        <v/>
      </c>
      <c r="IQ76" s="714">
        <v>140</v>
      </c>
      <c r="IR76" s="9" t="str">
        <f t="shared" si="716"/>
        <v/>
      </c>
      <c r="IS76" s="5" t="str">
        <f t="shared" si="717"/>
        <v/>
      </c>
      <c r="IT76" s="5" t="str">
        <f t="shared" si="718"/>
        <v/>
      </c>
      <c r="IU76" s="5" t="str">
        <f t="shared" si="719"/>
        <v/>
      </c>
      <c r="IV76" s="670" t="str">
        <f t="shared" si="720"/>
        <v/>
      </c>
      <c r="IW76" s="9" t="str">
        <f t="shared" si="721"/>
        <v/>
      </c>
      <c r="IX76" s="5" t="str">
        <f t="shared" si="722"/>
        <v/>
      </c>
      <c r="IY76" s="5" t="str">
        <f t="shared" si="723"/>
        <v/>
      </c>
      <c r="IZ76" s="5" t="str">
        <f t="shared" si="724"/>
        <v/>
      </c>
      <c r="JA76" s="705" t="str">
        <f t="shared" si="725"/>
        <v/>
      </c>
      <c r="JM76" s="489" t="e">
        <f t="shared" si="752"/>
        <v>#VALUE!</v>
      </c>
      <c r="JN76" s="960" t="e">
        <f>($JO76-SMALL($JO$9:$JO$88,1))/((Settings!$C$19/2)-((Settings!$C$19/2)-LARGE($JO$9:$JO$88,1))-SMALL($JO$9:$JO$88,1))</f>
        <v>#VALUE!</v>
      </c>
      <c r="JO76" s="162" t="str">
        <f t="shared" si="635"/>
        <v/>
      </c>
      <c r="JP76" s="961" t="str">
        <f t="shared" si="636"/>
        <v/>
      </c>
      <c r="JQ76" s="961" t="str">
        <f t="shared" si="637"/>
        <v/>
      </c>
      <c r="JU76" s="962"/>
      <c r="JV76" s="959"/>
      <c r="JW76" s="959"/>
    </row>
    <row r="77" spans="1:283" ht="15" customHeight="1" x14ac:dyDescent="0.25">
      <c r="A77" s="75" t="str">
        <f t="shared" si="640"/>
        <v/>
      </c>
      <c r="B77" s="578" t="str">
        <f t="shared" ref="B77:D77" si="860">IFERROR(O232+($A77*-E77),"")</f>
        <v/>
      </c>
      <c r="C77" s="572" t="str">
        <f t="shared" si="860"/>
        <v/>
      </c>
      <c r="D77" s="576" t="str">
        <f t="shared" si="860"/>
        <v/>
      </c>
      <c r="E77" s="580" t="str">
        <f t="shared" ref="E77:K77" si="861">R232</f>
        <v/>
      </c>
      <c r="F77" s="572" t="str">
        <f t="shared" si="861"/>
        <v/>
      </c>
      <c r="G77" s="579" t="str">
        <f t="shared" si="861"/>
        <v/>
      </c>
      <c r="H77" s="580" t="str">
        <f t="shared" si="861"/>
        <v/>
      </c>
      <c r="I77" s="572" t="str">
        <f t="shared" si="861"/>
        <v/>
      </c>
      <c r="J77" s="483" t="str">
        <f t="shared" si="728"/>
        <v/>
      </c>
      <c r="K77" s="806" t="str">
        <f t="shared" si="861"/>
        <v/>
      </c>
      <c r="L77" s="309"/>
      <c r="M77" s="164" t="str">
        <f t="shared" si="643"/>
        <v/>
      </c>
      <c r="N77" s="575" t="str">
        <f t="shared" si="644"/>
        <v/>
      </c>
      <c r="O77" s="572" t="str">
        <f t="shared" si="645"/>
        <v/>
      </c>
      <c r="P77" s="576" t="str">
        <f t="shared" si="646"/>
        <v/>
      </c>
      <c r="Q77" s="528" t="str">
        <f t="shared" si="729"/>
        <v/>
      </c>
      <c r="R77" s="572" t="str">
        <f t="shared" si="95"/>
        <v/>
      </c>
      <c r="S77" s="577" t="str">
        <f t="shared" si="96"/>
        <v/>
      </c>
      <c r="T77" s="578" t="str">
        <f t="shared" si="97"/>
        <v/>
      </c>
      <c r="U77" s="572" t="str">
        <f t="shared" si="98"/>
        <v/>
      </c>
      <c r="V77" s="579" t="str">
        <f t="shared" si="145"/>
        <v/>
      </c>
      <c r="W77" s="528" t="str">
        <f t="shared" si="268"/>
        <v/>
      </c>
      <c r="X77" s="572" t="str">
        <f t="shared" si="99"/>
        <v/>
      </c>
      <c r="Y77" s="573" t="str">
        <f t="shared" si="859"/>
        <v/>
      </c>
      <c r="Z77" s="575" t="str">
        <f t="shared" si="647"/>
        <v/>
      </c>
      <c r="AA77" s="572" t="str">
        <f t="shared" si="648"/>
        <v/>
      </c>
      <c r="AB77" s="572" t="str">
        <f t="shared" si="649"/>
        <v/>
      </c>
      <c r="AC77" s="579" t="str">
        <f t="shared" si="100"/>
        <v/>
      </c>
      <c r="AD77" s="580" t="str">
        <f t="shared" si="146"/>
        <v/>
      </c>
      <c r="AE77" s="572" t="str">
        <f t="shared" si="101"/>
        <v/>
      </c>
      <c r="AF77" s="576" t="str">
        <f t="shared" si="102"/>
        <v/>
      </c>
      <c r="AG77" s="545" t="str">
        <f t="shared" si="103"/>
        <v/>
      </c>
      <c r="AH77" s="546" t="str">
        <f t="shared" si="104"/>
        <v/>
      </c>
      <c r="AI77" s="528" t="str">
        <f t="shared" si="105"/>
        <v/>
      </c>
      <c r="AJ77" s="529" t="str">
        <f t="shared" si="106"/>
        <v/>
      </c>
      <c r="AK77" s="578" t="str">
        <f t="shared" si="247"/>
        <v/>
      </c>
      <c r="AL77" s="572" t="str">
        <f t="shared" si="107"/>
        <v/>
      </c>
      <c r="AM77" s="577" t="str">
        <f t="shared" si="108"/>
        <v/>
      </c>
      <c r="AN77" s="524" t="str">
        <f t="shared" si="109"/>
        <v/>
      </c>
      <c r="AO77" s="525" t="str">
        <f t="shared" si="604"/>
        <v/>
      </c>
      <c r="AP77" s="528" t="str">
        <f t="shared" si="111"/>
        <v/>
      </c>
      <c r="AQ77" s="529" t="str">
        <f t="shared" si="650"/>
        <v/>
      </c>
      <c r="AR77" s="979"/>
      <c r="AS77" s="954" t="str">
        <f t="shared" si="755"/>
        <v/>
      </c>
      <c r="AT77" s="950" t="str">
        <f t="shared" si="651"/>
        <v/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 t="str">
        <f t="shared" si="855"/>
        <v/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 t="str">
        <f t="shared" si="713"/>
        <v/>
      </c>
      <c r="IM77" s="482" t="str">
        <f t="shared" si="856"/>
        <v/>
      </c>
      <c r="IN77" s="670" t="str">
        <f t="shared" si="714"/>
        <v/>
      </c>
      <c r="IO77" s="702">
        <v>2.0714732078202899E-2</v>
      </c>
      <c r="IP77" s="5" t="str">
        <f t="shared" si="715"/>
        <v/>
      </c>
      <c r="IQ77" s="714">
        <v>260</v>
      </c>
      <c r="IR77" s="9" t="str">
        <f t="shared" si="716"/>
        <v/>
      </c>
      <c r="IS77" s="5" t="str">
        <f t="shared" si="717"/>
        <v/>
      </c>
      <c r="IT77" s="5" t="str">
        <f t="shared" si="718"/>
        <v/>
      </c>
      <c r="IU77" s="5" t="str">
        <f t="shared" si="719"/>
        <v/>
      </c>
      <c r="IV77" s="670" t="str">
        <f t="shared" si="720"/>
        <v/>
      </c>
      <c r="IW77" s="9" t="str">
        <f t="shared" si="721"/>
        <v/>
      </c>
      <c r="IX77" s="5" t="str">
        <f t="shared" si="722"/>
        <v/>
      </c>
      <c r="IY77" s="5" t="str">
        <f t="shared" si="723"/>
        <v/>
      </c>
      <c r="IZ77" s="5" t="str">
        <f t="shared" si="724"/>
        <v/>
      </c>
      <c r="JA77" s="705" t="str">
        <f t="shared" si="725"/>
        <v/>
      </c>
      <c r="JM77" s="489" t="e">
        <f t="shared" si="752"/>
        <v>#VALUE!</v>
      </c>
      <c r="JN77" s="960" t="e">
        <f>($JO77-SMALL($JO$9:$JO$88,1))/((Settings!$C$19/2)-((Settings!$C$19/2)-LARGE($JO$9:$JO$88,1))-SMALL($JO$9:$JO$88,1))</f>
        <v>#VALUE!</v>
      </c>
      <c r="JO77" s="162" t="str">
        <f t="shared" si="635"/>
        <v/>
      </c>
      <c r="JP77" s="961" t="str">
        <f t="shared" si="636"/>
        <v/>
      </c>
      <c r="JQ77" s="961" t="str">
        <f t="shared" si="637"/>
        <v/>
      </c>
      <c r="JU77" s="962"/>
      <c r="JV77" s="959"/>
      <c r="JW77" s="959"/>
    </row>
    <row r="78" spans="1:283" ht="15" customHeight="1" x14ac:dyDescent="0.25">
      <c r="A78" s="75" t="str">
        <f t="shared" si="640"/>
        <v/>
      </c>
      <c r="B78" s="578" t="str">
        <f t="shared" ref="B78:D78" si="862">IFERROR(O233+($A78*-E78),"")</f>
        <v/>
      </c>
      <c r="C78" s="572" t="str">
        <f t="shared" si="862"/>
        <v/>
      </c>
      <c r="D78" s="576" t="str">
        <f t="shared" si="862"/>
        <v/>
      </c>
      <c r="E78" s="580" t="str">
        <f t="shared" ref="E78:K78" si="863">R233</f>
        <v/>
      </c>
      <c r="F78" s="572" t="str">
        <f t="shared" si="863"/>
        <v/>
      </c>
      <c r="G78" s="579" t="str">
        <f t="shared" si="863"/>
        <v/>
      </c>
      <c r="H78" s="580" t="str">
        <f t="shared" si="863"/>
        <v/>
      </c>
      <c r="I78" s="572" t="str">
        <f t="shared" si="863"/>
        <v/>
      </c>
      <c r="J78" s="483" t="str">
        <f t="shared" si="728"/>
        <v/>
      </c>
      <c r="K78" s="806" t="str">
        <f t="shared" si="863"/>
        <v/>
      </c>
      <c r="L78" s="309"/>
      <c r="M78" s="164" t="str">
        <f t="shared" si="643"/>
        <v/>
      </c>
      <c r="N78" s="575" t="str">
        <f t="shared" si="644"/>
        <v/>
      </c>
      <c r="O78" s="572" t="str">
        <f t="shared" si="645"/>
        <v/>
      </c>
      <c r="P78" s="576" t="str">
        <f t="shared" si="646"/>
        <v/>
      </c>
      <c r="Q78" s="528" t="str">
        <f t="shared" si="729"/>
        <v/>
      </c>
      <c r="R78" s="572" t="str">
        <f>IF(M78="","",SQRT(N78^2+O78^2))</f>
        <v/>
      </c>
      <c r="S78" s="577" t="str">
        <f>IF(M78="","",P78)</f>
        <v/>
      </c>
      <c r="T78" s="578" t="str">
        <f>IF(M78="","",X78*COS(RADIANS(W78)))</f>
        <v/>
      </c>
      <c r="U78" s="572" t="str">
        <f>IF(M78="","",X78*SIN(RADIANS(W78)))</f>
        <v/>
      </c>
      <c r="V78" s="579" t="str">
        <f>IF(M78="","",Y78)</f>
        <v/>
      </c>
      <c r="W78" s="528" t="str">
        <f t="shared" si="268"/>
        <v/>
      </c>
      <c r="X78" s="572" t="str">
        <f>IF(M78="","",R78)</f>
        <v/>
      </c>
      <c r="Y78" s="573" t="str">
        <f t="shared" si="859"/>
        <v/>
      </c>
      <c r="Z78" s="575" t="str">
        <f t="shared" si="647"/>
        <v/>
      </c>
      <c r="AA78" s="572" t="str">
        <f t="shared" si="648"/>
        <v/>
      </c>
      <c r="AB78" s="572" t="str">
        <f t="shared" si="649"/>
        <v/>
      </c>
      <c r="AC78" s="579" t="str">
        <f>IF(M78="","",SQRT(Z78^2+AA78^2+AB78^2))</f>
        <v/>
      </c>
      <c r="AD78" s="580" t="str">
        <f>IF(M78="","",Z78*(1/SQRT(Z78^2+AA78^2+AB78^2)))</f>
        <v/>
      </c>
      <c r="AE78" s="572" t="str">
        <f>IF(M78="","",AA78*(1/SQRT(Z78^2+AA78^2+AB78^2)))</f>
        <v/>
      </c>
      <c r="AF78" s="576" t="str">
        <f>IF(M78="","",AB78*(1/SQRT(Z78^2+AA78^2+AB78^2)))</f>
        <v/>
      </c>
      <c r="AG78" s="545" t="str">
        <f>IF(M78="","",DEGREES(ATAN2(-AF78,AE78)))</f>
        <v/>
      </c>
      <c r="AH78" s="546" t="str">
        <f>IF(M78="","",DEGREES(ACOS(AD78)))</f>
        <v/>
      </c>
      <c r="AI78" s="528" t="str">
        <f>IF(M78="","",DEGREES(-ACOS(-AF78)))</f>
        <v/>
      </c>
      <c r="AJ78" s="529" t="str">
        <f>IF(M78="","",DEGREES(ATAN2(-AE78,AD78)))</f>
        <v/>
      </c>
      <c r="AK78" s="578" t="str">
        <f>IF(M78="","",(COS(RADIANS((90-$Q$8)-W78))*AD78)+(-SIN(RADIANS((90-$Q$8)-W78))*AE78))</f>
        <v/>
      </c>
      <c r="AL78" s="572" t="str">
        <f>IF(M78="","",(SIN(RADIANS((90-$Q$8)-W78))*AD78)+(COS(RADIANS((90-$Q$8)-W78))*AE78))</f>
        <v/>
      </c>
      <c r="AM78" s="577" t="str">
        <f>IF(M78="","",AF78)</f>
        <v/>
      </c>
      <c r="AN78" s="524" t="str">
        <f>IF(M78="","",DEGREES(ATAN2(-AM78,AL78)))</f>
        <v/>
      </c>
      <c r="AO78" s="525" t="str">
        <f t="shared" si="604"/>
        <v/>
      </c>
      <c r="AP78" s="528" t="str">
        <f>IF(M78="","",DEGREES(ATAN2(AK78,AL78)))</f>
        <v/>
      </c>
      <c r="AQ78" s="529" t="str">
        <f t="shared" si="650"/>
        <v/>
      </c>
      <c r="AR78" s="979"/>
      <c r="AS78" s="954" t="str">
        <f t="shared" si="755"/>
        <v/>
      </c>
      <c r="AT78" s="950" t="str">
        <f t="shared" si="651"/>
        <v/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 t="str">
        <f t="shared" si="855"/>
        <v/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 t="str">
        <f t="shared" si="713"/>
        <v/>
      </c>
      <c r="IM78" s="482" t="str">
        <f t="shared" si="856"/>
        <v/>
      </c>
      <c r="IN78" s="670" t="str">
        <f t="shared" si="714"/>
        <v/>
      </c>
      <c r="IO78" s="702">
        <v>2.0596001756787202E-2</v>
      </c>
      <c r="IP78" s="5" t="str">
        <f t="shared" si="715"/>
        <v/>
      </c>
      <c r="IQ78" s="714">
        <v>310</v>
      </c>
      <c r="IR78" s="9" t="str">
        <f t="shared" si="716"/>
        <v/>
      </c>
      <c r="IS78" s="5" t="str">
        <f t="shared" si="717"/>
        <v/>
      </c>
      <c r="IT78" s="5" t="str">
        <f t="shared" si="718"/>
        <v/>
      </c>
      <c r="IU78" s="5" t="str">
        <f t="shared" si="719"/>
        <v/>
      </c>
      <c r="IV78" s="670" t="str">
        <f t="shared" si="720"/>
        <v/>
      </c>
      <c r="IW78" s="9" t="str">
        <f t="shared" si="721"/>
        <v/>
      </c>
      <c r="IX78" s="5" t="str">
        <f t="shared" si="722"/>
        <v/>
      </c>
      <c r="IY78" s="5" t="str">
        <f t="shared" si="723"/>
        <v/>
      </c>
      <c r="IZ78" s="5" t="str">
        <f t="shared" si="724"/>
        <v/>
      </c>
      <c r="JA78" s="705" t="str">
        <f t="shared" si="725"/>
        <v/>
      </c>
      <c r="JM78" s="489" t="e">
        <f t="shared" si="752"/>
        <v>#VALUE!</v>
      </c>
      <c r="JN78" s="960" t="e">
        <f>($JO78-SMALL($JO$9:$JO$88,1))/((Settings!$C$19/2)-((Settings!$C$19/2)-LARGE($JO$9:$JO$88,1))-SMALL($JO$9:$JO$88,1))</f>
        <v>#VALUE!</v>
      </c>
      <c r="JO78" s="162" t="str">
        <f t="shared" si="635"/>
        <v/>
      </c>
      <c r="JP78" s="961" t="str">
        <f t="shared" si="636"/>
        <v/>
      </c>
      <c r="JQ78" s="961" t="str">
        <f t="shared" si="637"/>
        <v/>
      </c>
      <c r="JU78" s="962"/>
      <c r="JV78" s="959"/>
      <c r="JW78" s="959"/>
    </row>
    <row r="79" spans="1:283" ht="15" customHeight="1" x14ac:dyDescent="0.25">
      <c r="A79" s="75" t="str">
        <f t="shared" si="640"/>
        <v/>
      </c>
      <c r="B79" s="578" t="str">
        <f t="shared" ref="B79:D79" si="864">IFERROR(O234+($A79*-E79),"")</f>
        <v/>
      </c>
      <c r="C79" s="572" t="str">
        <f t="shared" si="864"/>
        <v/>
      </c>
      <c r="D79" s="576" t="str">
        <f t="shared" si="864"/>
        <v/>
      </c>
      <c r="E79" s="580" t="str">
        <f t="shared" ref="E79:K79" si="865">R234</f>
        <v/>
      </c>
      <c r="F79" s="572" t="str">
        <f t="shared" si="865"/>
        <v/>
      </c>
      <c r="G79" s="579" t="str">
        <f t="shared" si="865"/>
        <v/>
      </c>
      <c r="H79" s="580" t="str">
        <f t="shared" si="865"/>
        <v/>
      </c>
      <c r="I79" s="572" t="str">
        <f t="shared" si="865"/>
        <v/>
      </c>
      <c r="J79" s="483" t="str">
        <f t="shared" si="728"/>
        <v/>
      </c>
      <c r="K79" s="806" t="str">
        <f t="shared" si="865"/>
        <v/>
      </c>
      <c r="L79" s="309"/>
      <c r="M79" s="164" t="str">
        <f t="shared" si="643"/>
        <v/>
      </c>
      <c r="N79" s="575" t="str">
        <f t="shared" si="644"/>
        <v/>
      </c>
      <c r="O79" s="572" t="str">
        <f t="shared" si="645"/>
        <v/>
      </c>
      <c r="P79" s="576" t="str">
        <f t="shared" si="646"/>
        <v/>
      </c>
      <c r="Q79" s="528" t="str">
        <f t="shared" si="72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66">IF(M79="","",IF(Q79-$Q$8&lt;0,360+Q79-$Q$8,Q79-$Q$8))</f>
        <v/>
      </c>
      <c r="X79" s="572" t="str">
        <f>IF(M79="","",R79)</f>
        <v/>
      </c>
      <c r="Y79" s="573" t="str">
        <f t="shared" si="859"/>
        <v/>
      </c>
      <c r="Z79" s="575" t="str">
        <f t="shared" si="647"/>
        <v/>
      </c>
      <c r="AA79" s="572" t="str">
        <f t="shared" si="648"/>
        <v/>
      </c>
      <c r="AB79" s="572" t="str">
        <f t="shared" si="649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604"/>
        <v/>
      </c>
      <c r="AP79" s="528" t="str">
        <f>IF(M79="","",DEGREES(ATAN2(AK79,AL79)))</f>
        <v/>
      </c>
      <c r="AQ79" s="529" t="str">
        <f t="shared" si="650"/>
        <v/>
      </c>
      <c r="AR79" s="979"/>
      <c r="AS79" s="954" t="str">
        <f t="shared" si="755"/>
        <v/>
      </c>
      <c r="AT79" s="950" t="str">
        <f t="shared" si="651"/>
        <v/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855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713"/>
        <v/>
      </c>
      <c r="IM79" s="482" t="str">
        <f t="shared" si="856"/>
        <v/>
      </c>
      <c r="IN79" s="670" t="str">
        <f t="shared" si="714"/>
        <v/>
      </c>
      <c r="IO79" s="702"/>
      <c r="IP79" s="5" t="str">
        <f t="shared" si="715"/>
        <v/>
      </c>
      <c r="IQ79" s="714"/>
      <c r="IR79" s="9" t="str">
        <f t="shared" si="716"/>
        <v/>
      </c>
      <c r="IS79" s="5" t="str">
        <f t="shared" si="717"/>
        <v/>
      </c>
      <c r="IT79" s="5" t="str">
        <f t="shared" si="718"/>
        <v/>
      </c>
      <c r="IU79" s="5" t="str">
        <f t="shared" si="719"/>
        <v/>
      </c>
      <c r="IV79" s="670" t="str">
        <f t="shared" si="720"/>
        <v/>
      </c>
      <c r="IW79" s="9" t="str">
        <f t="shared" si="721"/>
        <v/>
      </c>
      <c r="IX79" s="5" t="str">
        <f t="shared" si="722"/>
        <v/>
      </c>
      <c r="IY79" s="5" t="str">
        <f t="shared" si="723"/>
        <v/>
      </c>
      <c r="IZ79" s="5" t="str">
        <f t="shared" si="724"/>
        <v/>
      </c>
      <c r="JA79" s="705" t="str">
        <f t="shared" si="725"/>
        <v/>
      </c>
      <c r="JM79" s="489" t="e">
        <f t="shared" si="752"/>
        <v>#VALUE!</v>
      </c>
      <c r="JN79" s="960" t="e">
        <f>($JO79-SMALL($JO$9:$JO$88,1))/((Settings!$C$19/2)-((Settings!$C$19/2)-LARGE($JO$9:$JO$88,1))-SMALL($JO$9:$JO$88,1))</f>
        <v>#VALUE!</v>
      </c>
      <c r="JO79" s="162" t="str">
        <f t="shared" si="635"/>
        <v/>
      </c>
      <c r="JP79" s="961" t="str">
        <f t="shared" si="636"/>
        <v/>
      </c>
      <c r="JQ79" s="961" t="str">
        <f t="shared" si="637"/>
        <v/>
      </c>
      <c r="JU79" s="962"/>
      <c r="JV79" s="959"/>
      <c r="JW79" s="959"/>
    </row>
    <row r="80" spans="1:283" ht="15" customHeight="1" x14ac:dyDescent="0.25">
      <c r="A80" s="75" t="str">
        <f t="shared" si="640"/>
        <v/>
      </c>
      <c r="B80" s="578" t="str">
        <f t="shared" ref="B80:D80" si="867">IFERROR(O235+($A80*-E80),"")</f>
        <v/>
      </c>
      <c r="C80" s="572" t="str">
        <f t="shared" si="867"/>
        <v/>
      </c>
      <c r="D80" s="576" t="str">
        <f t="shared" si="867"/>
        <v/>
      </c>
      <c r="E80" s="580" t="str">
        <f t="shared" ref="E80:K80" si="868">R235</f>
        <v/>
      </c>
      <c r="F80" s="572" t="str">
        <f t="shared" si="868"/>
        <v/>
      </c>
      <c r="G80" s="579" t="str">
        <f t="shared" si="868"/>
        <v/>
      </c>
      <c r="H80" s="580" t="str">
        <f t="shared" si="868"/>
        <v/>
      </c>
      <c r="I80" s="572" t="str">
        <f t="shared" si="868"/>
        <v/>
      </c>
      <c r="J80" s="483" t="str">
        <f t="shared" si="728"/>
        <v/>
      </c>
      <c r="K80" s="806" t="str">
        <f t="shared" si="868"/>
        <v/>
      </c>
      <c r="L80" s="309"/>
      <c r="M80" s="164" t="str">
        <f t="shared" si="643"/>
        <v/>
      </c>
      <c r="N80" s="575" t="str">
        <f t="shared" si="644"/>
        <v/>
      </c>
      <c r="O80" s="572" t="str">
        <f t="shared" si="645"/>
        <v/>
      </c>
      <c r="P80" s="576" t="str">
        <f t="shared" si="646"/>
        <v/>
      </c>
      <c r="Q80" s="528" t="str">
        <f t="shared" si="729"/>
        <v/>
      </c>
      <c r="R80" s="572" t="str">
        <f t="shared" si="95"/>
        <v/>
      </c>
      <c r="S80" s="577" t="str">
        <f t="shared" si="96"/>
        <v/>
      </c>
      <c r="T80" s="578" t="str">
        <f t="shared" si="97"/>
        <v/>
      </c>
      <c r="U80" s="572" t="str">
        <f t="shared" si="98"/>
        <v/>
      </c>
      <c r="V80" s="579" t="str">
        <f t="shared" si="145"/>
        <v/>
      </c>
      <c r="W80" s="528" t="str">
        <f t="shared" si="866"/>
        <v/>
      </c>
      <c r="X80" s="572" t="str">
        <f t="shared" si="99"/>
        <v/>
      </c>
      <c r="Y80" s="573" t="str">
        <f t="shared" si="859"/>
        <v/>
      </c>
      <c r="Z80" s="575" t="str">
        <f t="shared" si="647"/>
        <v/>
      </c>
      <c r="AA80" s="572" t="str">
        <f t="shared" si="648"/>
        <v/>
      </c>
      <c r="AB80" s="572" t="str">
        <f t="shared" si="649"/>
        <v/>
      </c>
      <c r="AC80" s="579" t="str">
        <f t="shared" si="100"/>
        <v/>
      </c>
      <c r="AD80" s="580" t="str">
        <f t="shared" si="146"/>
        <v/>
      </c>
      <c r="AE80" s="572" t="str">
        <f t="shared" si="101"/>
        <v/>
      </c>
      <c r="AF80" s="576" t="str">
        <f t="shared" si="102"/>
        <v/>
      </c>
      <c r="AG80" s="545" t="str">
        <f t="shared" si="103"/>
        <v/>
      </c>
      <c r="AH80" s="546" t="str">
        <f t="shared" si="104"/>
        <v/>
      </c>
      <c r="AI80" s="528" t="str">
        <f t="shared" si="105"/>
        <v/>
      </c>
      <c r="AJ80" s="529" t="str">
        <f t="shared" si="106"/>
        <v/>
      </c>
      <c r="AK80" s="578" t="str">
        <f t="shared" si="247"/>
        <v/>
      </c>
      <c r="AL80" s="572" t="str">
        <f t="shared" si="107"/>
        <v/>
      </c>
      <c r="AM80" s="577" t="str">
        <f t="shared" si="108"/>
        <v/>
      </c>
      <c r="AN80" s="524" t="str">
        <f t="shared" si="109"/>
        <v/>
      </c>
      <c r="AO80" s="525" t="str">
        <f t="shared" si="604"/>
        <v/>
      </c>
      <c r="AP80" s="528" t="str">
        <f t="shared" si="111"/>
        <v/>
      </c>
      <c r="AQ80" s="529" t="str">
        <f t="shared" si="650"/>
        <v/>
      </c>
      <c r="AR80" s="979"/>
      <c r="AS80" s="954" t="str">
        <f t="shared" si="755"/>
        <v/>
      </c>
      <c r="AT80" s="950" t="str">
        <f t="shared" si="651"/>
        <v/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55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713"/>
        <v/>
      </c>
      <c r="IM80" s="482" t="str">
        <f t="shared" si="856"/>
        <v/>
      </c>
      <c r="IN80" s="670" t="str">
        <f t="shared" si="714"/>
        <v/>
      </c>
      <c r="IO80" s="702"/>
      <c r="IP80" s="5" t="str">
        <f t="shared" si="715"/>
        <v/>
      </c>
      <c r="IQ80" s="714"/>
      <c r="IR80" s="9" t="str">
        <f t="shared" si="716"/>
        <v/>
      </c>
      <c r="IS80" s="5" t="str">
        <f t="shared" si="717"/>
        <v/>
      </c>
      <c r="IT80" s="5" t="str">
        <f t="shared" si="718"/>
        <v/>
      </c>
      <c r="IU80" s="5" t="str">
        <f t="shared" si="719"/>
        <v/>
      </c>
      <c r="IV80" s="670" t="str">
        <f t="shared" si="720"/>
        <v/>
      </c>
      <c r="IW80" s="9" t="str">
        <f t="shared" si="721"/>
        <v/>
      </c>
      <c r="IX80" s="5" t="str">
        <f t="shared" si="722"/>
        <v/>
      </c>
      <c r="IY80" s="5" t="str">
        <f t="shared" si="723"/>
        <v/>
      </c>
      <c r="IZ80" s="5" t="str">
        <f t="shared" si="724"/>
        <v/>
      </c>
      <c r="JA80" s="705" t="str">
        <f t="shared" si="725"/>
        <v/>
      </c>
      <c r="JM80" s="489" t="e">
        <f t="shared" si="752"/>
        <v>#VALUE!</v>
      </c>
      <c r="JN80" s="960" t="e">
        <f>($JO80-SMALL($JO$9:$JO$88,1))/((Settings!$C$19/2)-((Settings!$C$19/2)-LARGE($JO$9:$JO$88,1))-SMALL($JO$9:$JO$88,1))</f>
        <v>#VALUE!</v>
      </c>
      <c r="JO80" s="162" t="str">
        <f t="shared" si="635"/>
        <v/>
      </c>
      <c r="JP80" s="961" t="str">
        <f t="shared" si="636"/>
        <v/>
      </c>
      <c r="JQ80" s="961" t="str">
        <f t="shared" si="637"/>
        <v/>
      </c>
      <c r="JU80" s="962"/>
      <c r="JV80" s="959"/>
      <c r="JW80" s="959"/>
    </row>
    <row r="81" spans="1:283" ht="15" customHeight="1" x14ac:dyDescent="0.25">
      <c r="A81" s="75" t="str">
        <f t="shared" si="640"/>
        <v/>
      </c>
      <c r="B81" s="578" t="str">
        <f t="shared" ref="B81:D81" si="869">IFERROR(O236+($A81*-E81),"")</f>
        <v/>
      </c>
      <c r="C81" s="572" t="str">
        <f t="shared" si="869"/>
        <v/>
      </c>
      <c r="D81" s="576" t="str">
        <f t="shared" si="869"/>
        <v/>
      </c>
      <c r="E81" s="580" t="str">
        <f t="shared" ref="E81:K81" si="870">R236</f>
        <v/>
      </c>
      <c r="F81" s="572" t="str">
        <f t="shared" si="870"/>
        <v/>
      </c>
      <c r="G81" s="579" t="str">
        <f t="shared" si="870"/>
        <v/>
      </c>
      <c r="H81" s="580" t="str">
        <f t="shared" si="870"/>
        <v/>
      </c>
      <c r="I81" s="572" t="str">
        <f t="shared" si="870"/>
        <v/>
      </c>
      <c r="J81" s="483" t="str">
        <f t="shared" si="728"/>
        <v/>
      </c>
      <c r="K81" s="806" t="str">
        <f t="shared" si="870"/>
        <v/>
      </c>
      <c r="L81" s="309"/>
      <c r="M81" s="164" t="str">
        <f t="shared" si="643"/>
        <v/>
      </c>
      <c r="N81" s="575" t="str">
        <f t="shared" si="644"/>
        <v/>
      </c>
      <c r="O81" s="572" t="str">
        <f t="shared" si="645"/>
        <v/>
      </c>
      <c r="P81" s="576" t="str">
        <f t="shared" si="646"/>
        <v/>
      </c>
      <c r="Q81" s="528" t="str">
        <f t="shared" si="729"/>
        <v/>
      </c>
      <c r="R81" s="572" t="str">
        <f t="shared" si="95"/>
        <v/>
      </c>
      <c r="S81" s="577" t="str">
        <f t="shared" si="96"/>
        <v/>
      </c>
      <c r="T81" s="578" t="str">
        <f t="shared" si="97"/>
        <v/>
      </c>
      <c r="U81" s="572" t="str">
        <f t="shared" si="98"/>
        <v/>
      </c>
      <c r="V81" s="579" t="str">
        <f t="shared" si="145"/>
        <v/>
      </c>
      <c r="W81" s="528" t="str">
        <f t="shared" si="866"/>
        <v/>
      </c>
      <c r="X81" s="572" t="str">
        <f t="shared" si="99"/>
        <v/>
      </c>
      <c r="Y81" s="573" t="str">
        <f t="shared" si="859"/>
        <v/>
      </c>
      <c r="Z81" s="575" t="str">
        <f t="shared" si="647"/>
        <v/>
      </c>
      <c r="AA81" s="572" t="str">
        <f t="shared" si="648"/>
        <v/>
      </c>
      <c r="AB81" s="572" t="str">
        <f t="shared" si="649"/>
        <v/>
      </c>
      <c r="AC81" s="579" t="str">
        <f t="shared" si="100"/>
        <v/>
      </c>
      <c r="AD81" s="580" t="str">
        <f t="shared" si="146"/>
        <v/>
      </c>
      <c r="AE81" s="572" t="str">
        <f t="shared" si="101"/>
        <v/>
      </c>
      <c r="AF81" s="576" t="str">
        <f t="shared" si="102"/>
        <v/>
      </c>
      <c r="AG81" s="545" t="str">
        <f t="shared" si="103"/>
        <v/>
      </c>
      <c r="AH81" s="546" t="str">
        <f t="shared" si="104"/>
        <v/>
      </c>
      <c r="AI81" s="528" t="str">
        <f t="shared" si="105"/>
        <v/>
      </c>
      <c r="AJ81" s="529" t="str">
        <f t="shared" si="106"/>
        <v/>
      </c>
      <c r="AK81" s="578" t="str">
        <f t="shared" si="247"/>
        <v/>
      </c>
      <c r="AL81" s="572" t="str">
        <f t="shared" si="107"/>
        <v/>
      </c>
      <c r="AM81" s="577" t="str">
        <f t="shared" si="108"/>
        <v/>
      </c>
      <c r="AN81" s="524" t="str">
        <f t="shared" si="109"/>
        <v/>
      </c>
      <c r="AO81" s="525" t="str">
        <f t="shared" si="604"/>
        <v/>
      </c>
      <c r="AP81" s="528" t="str">
        <f t="shared" si="111"/>
        <v/>
      </c>
      <c r="AQ81" s="529" t="str">
        <f t="shared" si="650"/>
        <v/>
      </c>
      <c r="AR81" s="979"/>
      <c r="AS81" s="954" t="str">
        <f t="shared" si="755"/>
        <v/>
      </c>
      <c r="AT81" s="950" t="str">
        <f t="shared" si="651"/>
        <v/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55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713"/>
        <v/>
      </c>
      <c r="IM81" s="482" t="str">
        <f t="shared" si="856"/>
        <v/>
      </c>
      <c r="IN81" s="670" t="str">
        <f t="shared" si="714"/>
        <v/>
      </c>
      <c r="IO81" s="702"/>
      <c r="IP81" s="5" t="str">
        <f t="shared" si="715"/>
        <v/>
      </c>
      <c r="IQ81" s="714"/>
      <c r="IR81" s="9" t="str">
        <f t="shared" si="716"/>
        <v/>
      </c>
      <c r="IS81" s="5" t="str">
        <f t="shared" si="717"/>
        <v/>
      </c>
      <c r="IT81" s="5" t="str">
        <f t="shared" si="718"/>
        <v/>
      </c>
      <c r="IU81" s="5" t="str">
        <f t="shared" si="719"/>
        <v/>
      </c>
      <c r="IV81" s="670" t="str">
        <f t="shared" si="720"/>
        <v/>
      </c>
      <c r="IW81" s="9" t="str">
        <f t="shared" si="721"/>
        <v/>
      </c>
      <c r="IX81" s="5" t="str">
        <f t="shared" si="722"/>
        <v/>
      </c>
      <c r="IY81" s="5" t="str">
        <f t="shared" si="723"/>
        <v/>
      </c>
      <c r="IZ81" s="5" t="str">
        <f t="shared" si="724"/>
        <v/>
      </c>
      <c r="JA81" s="705" t="str">
        <f t="shared" si="725"/>
        <v/>
      </c>
      <c r="JM81" s="489" t="e">
        <f t="shared" si="752"/>
        <v>#VALUE!</v>
      </c>
      <c r="JN81" s="960" t="e">
        <f>($JO81-SMALL($JO$9:$JO$88,1))/((Settings!$C$19/2)-((Settings!$C$19/2)-LARGE($JO$9:$JO$88,1))-SMALL($JO$9:$JO$88,1))</f>
        <v>#VALUE!</v>
      </c>
      <c r="JO81" s="162" t="str">
        <f t="shared" si="635"/>
        <v/>
      </c>
      <c r="JP81" s="961" t="str">
        <f t="shared" si="636"/>
        <v/>
      </c>
      <c r="JQ81" s="961" t="str">
        <f t="shared" si="637"/>
        <v/>
      </c>
      <c r="JU81" s="962"/>
      <c r="JV81" s="959"/>
      <c r="JW81" s="959"/>
    </row>
    <row r="82" spans="1:283" ht="15" customHeight="1" x14ac:dyDescent="0.25">
      <c r="A82" s="75" t="str">
        <f t="shared" si="640"/>
        <v/>
      </c>
      <c r="B82" s="578" t="str">
        <f t="shared" ref="B82:D82" si="871">IFERROR(O237+($A82*-E82),"")</f>
        <v/>
      </c>
      <c r="C82" s="572" t="str">
        <f t="shared" si="871"/>
        <v/>
      </c>
      <c r="D82" s="576" t="str">
        <f t="shared" si="871"/>
        <v/>
      </c>
      <c r="E82" s="580" t="str">
        <f t="shared" ref="E82:K82" si="872">R237</f>
        <v/>
      </c>
      <c r="F82" s="572" t="str">
        <f t="shared" si="872"/>
        <v/>
      </c>
      <c r="G82" s="579" t="str">
        <f t="shared" si="872"/>
        <v/>
      </c>
      <c r="H82" s="580" t="str">
        <f t="shared" si="872"/>
        <v/>
      </c>
      <c r="I82" s="572" t="str">
        <f t="shared" si="872"/>
        <v/>
      </c>
      <c r="J82" s="483" t="str">
        <f t="shared" si="728"/>
        <v/>
      </c>
      <c r="K82" s="806" t="str">
        <f t="shared" si="872"/>
        <v/>
      </c>
      <c r="L82" s="309"/>
      <c r="M82" s="164" t="str">
        <f t="shared" si="643"/>
        <v/>
      </c>
      <c r="N82" s="575" t="str">
        <f t="shared" si="644"/>
        <v/>
      </c>
      <c r="O82" s="572" t="str">
        <f t="shared" si="645"/>
        <v/>
      </c>
      <c r="P82" s="576" t="str">
        <f t="shared" si="646"/>
        <v/>
      </c>
      <c r="Q82" s="528" t="str">
        <f t="shared" si="729"/>
        <v/>
      </c>
      <c r="R82" s="572" t="str">
        <f t="shared" si="95"/>
        <v/>
      </c>
      <c r="S82" s="577" t="str">
        <f t="shared" si="96"/>
        <v/>
      </c>
      <c r="T82" s="578" t="str">
        <f t="shared" si="97"/>
        <v/>
      </c>
      <c r="U82" s="572" t="str">
        <f t="shared" si="98"/>
        <v/>
      </c>
      <c r="V82" s="579" t="str">
        <f t="shared" si="145"/>
        <v/>
      </c>
      <c r="W82" s="528" t="str">
        <f t="shared" si="866"/>
        <v/>
      </c>
      <c r="X82" s="572" t="str">
        <f t="shared" si="99"/>
        <v/>
      </c>
      <c r="Y82" s="573" t="str">
        <f t="shared" si="859"/>
        <v/>
      </c>
      <c r="Z82" s="575" t="str">
        <f t="shared" si="647"/>
        <v/>
      </c>
      <c r="AA82" s="572" t="str">
        <f t="shared" si="648"/>
        <v/>
      </c>
      <c r="AB82" s="572" t="str">
        <f t="shared" si="649"/>
        <v/>
      </c>
      <c r="AC82" s="579" t="str">
        <f t="shared" si="100"/>
        <v/>
      </c>
      <c r="AD82" s="580" t="str">
        <f t="shared" si="146"/>
        <v/>
      </c>
      <c r="AE82" s="572" t="str">
        <f t="shared" si="101"/>
        <v/>
      </c>
      <c r="AF82" s="576" t="str">
        <f t="shared" si="102"/>
        <v/>
      </c>
      <c r="AG82" s="545" t="str">
        <f t="shared" si="103"/>
        <v/>
      </c>
      <c r="AH82" s="546" t="str">
        <f t="shared" si="104"/>
        <v/>
      </c>
      <c r="AI82" s="528" t="str">
        <f t="shared" si="105"/>
        <v/>
      </c>
      <c r="AJ82" s="529" t="str">
        <f t="shared" si="106"/>
        <v/>
      </c>
      <c r="AK82" s="578" t="str">
        <f t="shared" si="247"/>
        <v/>
      </c>
      <c r="AL82" s="572" t="str">
        <f t="shared" si="107"/>
        <v/>
      </c>
      <c r="AM82" s="577" t="str">
        <f t="shared" si="108"/>
        <v/>
      </c>
      <c r="AN82" s="524" t="str">
        <f t="shared" si="109"/>
        <v/>
      </c>
      <c r="AO82" s="525" t="str">
        <f t="shared" si="604"/>
        <v/>
      </c>
      <c r="AP82" s="528" t="str">
        <f t="shared" si="111"/>
        <v/>
      </c>
      <c r="AQ82" s="529" t="str">
        <f t="shared" si="650"/>
        <v/>
      </c>
      <c r="AR82" s="979"/>
      <c r="AS82" s="954" t="str">
        <f t="shared" si="755"/>
        <v/>
      </c>
      <c r="AT82" s="950" t="str">
        <f t="shared" si="651"/>
        <v/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55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713"/>
        <v/>
      </c>
      <c r="IM82" s="482" t="str">
        <f t="shared" si="856"/>
        <v/>
      </c>
      <c r="IN82" s="670" t="str">
        <f t="shared" si="714"/>
        <v/>
      </c>
      <c r="IO82" s="702"/>
      <c r="IP82" s="5" t="str">
        <f t="shared" si="715"/>
        <v/>
      </c>
      <c r="IQ82" s="714"/>
      <c r="IR82" s="9" t="str">
        <f t="shared" si="716"/>
        <v/>
      </c>
      <c r="IS82" s="5" t="str">
        <f t="shared" si="717"/>
        <v/>
      </c>
      <c r="IT82" s="5" t="str">
        <f t="shared" si="718"/>
        <v/>
      </c>
      <c r="IU82" s="5" t="str">
        <f t="shared" si="719"/>
        <v/>
      </c>
      <c r="IV82" s="670" t="str">
        <f t="shared" si="720"/>
        <v/>
      </c>
      <c r="IW82" s="9" t="str">
        <f t="shared" si="721"/>
        <v/>
      </c>
      <c r="IX82" s="5" t="str">
        <f t="shared" si="722"/>
        <v/>
      </c>
      <c r="IY82" s="5" t="str">
        <f t="shared" si="723"/>
        <v/>
      </c>
      <c r="IZ82" s="5" t="str">
        <f t="shared" si="724"/>
        <v/>
      </c>
      <c r="JA82" s="705" t="str">
        <f t="shared" si="725"/>
        <v/>
      </c>
      <c r="JM82" s="489" t="e">
        <f t="shared" si="752"/>
        <v>#VALUE!</v>
      </c>
      <c r="JN82" s="960" t="e">
        <f>($JO82-SMALL($JO$9:$JO$88,1))/((Settings!$C$19/2)-((Settings!$C$19/2)-LARGE($JO$9:$JO$88,1))-SMALL($JO$9:$JO$88,1))</f>
        <v>#VALUE!</v>
      </c>
      <c r="JO82" s="162" t="str">
        <f t="shared" si="635"/>
        <v/>
      </c>
      <c r="JP82" s="961" t="str">
        <f t="shared" si="636"/>
        <v/>
      </c>
      <c r="JQ82" s="961" t="str">
        <f t="shared" si="637"/>
        <v/>
      </c>
      <c r="JU82" s="962"/>
      <c r="JV82" s="959"/>
      <c r="JW82" s="959"/>
    </row>
    <row r="83" spans="1:283" ht="15" customHeight="1" x14ac:dyDescent="0.25">
      <c r="A83" s="75" t="str">
        <f t="shared" si="640"/>
        <v/>
      </c>
      <c r="B83" s="578" t="str">
        <f t="shared" ref="B83:D83" si="873">IFERROR(O238+($A83*-E83),"")</f>
        <v/>
      </c>
      <c r="C83" s="572" t="str">
        <f t="shared" si="873"/>
        <v/>
      </c>
      <c r="D83" s="576" t="str">
        <f t="shared" si="873"/>
        <v/>
      </c>
      <c r="E83" s="580" t="str">
        <f t="shared" ref="E83:K83" si="874">R238</f>
        <v/>
      </c>
      <c r="F83" s="572" t="str">
        <f t="shared" si="874"/>
        <v/>
      </c>
      <c r="G83" s="579" t="str">
        <f t="shared" si="874"/>
        <v/>
      </c>
      <c r="H83" s="580" t="str">
        <f t="shared" si="874"/>
        <v/>
      </c>
      <c r="I83" s="572" t="str">
        <f t="shared" si="874"/>
        <v/>
      </c>
      <c r="J83" s="483" t="str">
        <f t="shared" si="728"/>
        <v/>
      </c>
      <c r="K83" s="806" t="str">
        <f t="shared" si="874"/>
        <v/>
      </c>
      <c r="L83" s="309"/>
      <c r="M83" s="164" t="str">
        <f t="shared" si="643"/>
        <v/>
      </c>
      <c r="N83" s="575" t="str">
        <f t="shared" si="644"/>
        <v/>
      </c>
      <c r="O83" s="572" t="str">
        <f t="shared" si="645"/>
        <v/>
      </c>
      <c r="P83" s="576" t="str">
        <f t="shared" si="646"/>
        <v/>
      </c>
      <c r="Q83" s="528" t="str">
        <f t="shared" si="729"/>
        <v/>
      </c>
      <c r="R83" s="572" t="str">
        <f t="shared" si="95"/>
        <v/>
      </c>
      <c r="S83" s="577" t="str">
        <f t="shared" si="96"/>
        <v/>
      </c>
      <c r="T83" s="578" t="str">
        <f t="shared" si="97"/>
        <v/>
      </c>
      <c r="U83" s="572" t="str">
        <f t="shared" si="98"/>
        <v/>
      </c>
      <c r="V83" s="579" t="str">
        <f t="shared" si="145"/>
        <v/>
      </c>
      <c r="W83" s="528" t="str">
        <f t="shared" si="866"/>
        <v/>
      </c>
      <c r="X83" s="572" t="str">
        <f t="shared" si="99"/>
        <v/>
      </c>
      <c r="Y83" s="573" t="str">
        <f t="shared" si="859"/>
        <v/>
      </c>
      <c r="Z83" s="575" t="str">
        <f t="shared" si="647"/>
        <v/>
      </c>
      <c r="AA83" s="572" t="str">
        <f t="shared" si="648"/>
        <v/>
      </c>
      <c r="AB83" s="572" t="str">
        <f t="shared" si="649"/>
        <v/>
      </c>
      <c r="AC83" s="579" t="str">
        <f t="shared" si="100"/>
        <v/>
      </c>
      <c r="AD83" s="580" t="str">
        <f t="shared" si="146"/>
        <v/>
      </c>
      <c r="AE83" s="572" t="str">
        <f t="shared" si="101"/>
        <v/>
      </c>
      <c r="AF83" s="576" t="str">
        <f t="shared" si="102"/>
        <v/>
      </c>
      <c r="AG83" s="545" t="str">
        <f t="shared" si="103"/>
        <v/>
      </c>
      <c r="AH83" s="546" t="str">
        <f t="shared" si="104"/>
        <v/>
      </c>
      <c r="AI83" s="528" t="str">
        <f t="shared" si="105"/>
        <v/>
      </c>
      <c r="AJ83" s="529" t="str">
        <f t="shared" si="106"/>
        <v/>
      </c>
      <c r="AK83" s="578" t="str">
        <f t="shared" si="247"/>
        <v/>
      </c>
      <c r="AL83" s="572" t="str">
        <f t="shared" si="107"/>
        <v/>
      </c>
      <c r="AM83" s="577" t="str">
        <f t="shared" si="108"/>
        <v/>
      </c>
      <c r="AN83" s="524" t="str">
        <f t="shared" si="109"/>
        <v/>
      </c>
      <c r="AO83" s="525" t="str">
        <f t="shared" si="604"/>
        <v/>
      </c>
      <c r="AP83" s="528" t="str">
        <f t="shared" si="111"/>
        <v/>
      </c>
      <c r="AQ83" s="529" t="str">
        <f t="shared" si="650"/>
        <v/>
      </c>
      <c r="AR83" s="979"/>
      <c r="AS83" s="954" t="str">
        <f t="shared" si="755"/>
        <v/>
      </c>
      <c r="AT83" s="950" t="str">
        <f t="shared" si="651"/>
        <v/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55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713"/>
        <v/>
      </c>
      <c r="IM83" s="482" t="str">
        <f t="shared" si="856"/>
        <v/>
      </c>
      <c r="IN83" s="670" t="str">
        <f t="shared" si="714"/>
        <v/>
      </c>
      <c r="IO83" s="702"/>
      <c r="IP83" s="5" t="str">
        <f t="shared" si="715"/>
        <v/>
      </c>
      <c r="IQ83" s="714"/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 t="e">
        <f t="shared" si="752"/>
        <v>#VALUE!</v>
      </c>
      <c r="JN83" s="960" t="e">
        <f>($JO83-SMALL($JO$9:$JO$88,1))/((Settings!$C$19/2)-((Settings!$C$19/2)-LARGE($JO$9:$JO$88,1))-SMALL($JO$9:$JO$88,1))</f>
        <v>#VALUE!</v>
      </c>
      <c r="JO83" s="162" t="str">
        <f t="shared" si="635"/>
        <v/>
      </c>
      <c r="JP83" s="961" t="str">
        <f t="shared" si="636"/>
        <v/>
      </c>
      <c r="JQ83" s="961" t="str">
        <f t="shared" si="637"/>
        <v/>
      </c>
      <c r="JU83" s="962"/>
      <c r="JV83" s="959"/>
      <c r="JW83" s="959"/>
    </row>
    <row r="84" spans="1:283" ht="15" customHeight="1" x14ac:dyDescent="0.25">
      <c r="A84" s="75" t="str">
        <f t="shared" si="640"/>
        <v/>
      </c>
      <c r="B84" s="578" t="str">
        <f t="shared" ref="B84:D84" si="875">IFERROR(O239+($A84*-E84),"")</f>
        <v/>
      </c>
      <c r="C84" s="572" t="str">
        <f t="shared" si="875"/>
        <v/>
      </c>
      <c r="D84" s="576" t="str">
        <f t="shared" si="875"/>
        <v/>
      </c>
      <c r="E84" s="580" t="str">
        <f t="shared" ref="E84:K84" si="876">R239</f>
        <v/>
      </c>
      <c r="F84" s="572" t="str">
        <f t="shared" si="876"/>
        <v/>
      </c>
      <c r="G84" s="579" t="str">
        <f t="shared" si="876"/>
        <v/>
      </c>
      <c r="H84" s="580" t="str">
        <f t="shared" si="876"/>
        <v/>
      </c>
      <c r="I84" s="572" t="str">
        <f t="shared" si="876"/>
        <v/>
      </c>
      <c r="J84" s="483" t="str">
        <f t="shared" si="728"/>
        <v/>
      </c>
      <c r="K84" s="806" t="str">
        <f t="shared" si="876"/>
        <v/>
      </c>
      <c r="L84" s="309"/>
      <c r="M84" s="164" t="str">
        <f t="shared" si="643"/>
        <v/>
      </c>
      <c r="N84" s="575" t="str">
        <f t="shared" si="644"/>
        <v/>
      </c>
      <c r="O84" s="572" t="str">
        <f t="shared" si="645"/>
        <v/>
      </c>
      <c r="P84" s="576" t="str">
        <f t="shared" si="646"/>
        <v/>
      </c>
      <c r="Q84" s="528" t="str">
        <f t="shared" si="729"/>
        <v/>
      </c>
      <c r="R84" s="572" t="str">
        <f t="shared" si="95"/>
        <v/>
      </c>
      <c r="S84" s="577" t="str">
        <f t="shared" si="96"/>
        <v/>
      </c>
      <c r="T84" s="578" t="str">
        <f t="shared" si="97"/>
        <v/>
      </c>
      <c r="U84" s="572" t="str">
        <f t="shared" si="98"/>
        <v/>
      </c>
      <c r="V84" s="579" t="str">
        <f t="shared" si="145"/>
        <v/>
      </c>
      <c r="W84" s="528" t="str">
        <f t="shared" si="866"/>
        <v/>
      </c>
      <c r="X84" s="572" t="str">
        <f t="shared" si="99"/>
        <v/>
      </c>
      <c r="Y84" s="573" t="str">
        <f t="shared" si="859"/>
        <v/>
      </c>
      <c r="Z84" s="575" t="str">
        <f t="shared" si="647"/>
        <v/>
      </c>
      <c r="AA84" s="572" t="str">
        <f t="shared" si="648"/>
        <v/>
      </c>
      <c r="AB84" s="572" t="str">
        <f t="shared" si="649"/>
        <v/>
      </c>
      <c r="AC84" s="579" t="str">
        <f t="shared" si="100"/>
        <v/>
      </c>
      <c r="AD84" s="580" t="str">
        <f t="shared" si="146"/>
        <v/>
      </c>
      <c r="AE84" s="572" t="str">
        <f t="shared" si="101"/>
        <v/>
      </c>
      <c r="AF84" s="576" t="str">
        <f t="shared" si="102"/>
        <v/>
      </c>
      <c r="AG84" s="545" t="str">
        <f t="shared" si="103"/>
        <v/>
      </c>
      <c r="AH84" s="546" t="str">
        <f t="shared" si="104"/>
        <v/>
      </c>
      <c r="AI84" s="528" t="str">
        <f t="shared" si="105"/>
        <v/>
      </c>
      <c r="AJ84" s="529" t="str">
        <f t="shared" si="106"/>
        <v/>
      </c>
      <c r="AK84" s="578" t="str">
        <f t="shared" si="247"/>
        <v/>
      </c>
      <c r="AL84" s="572" t="str">
        <f t="shared" si="107"/>
        <v/>
      </c>
      <c r="AM84" s="577" t="str">
        <f t="shared" si="108"/>
        <v/>
      </c>
      <c r="AN84" s="524" t="str">
        <f t="shared" si="109"/>
        <v/>
      </c>
      <c r="AO84" s="525" t="str">
        <f t="shared" si="604"/>
        <v/>
      </c>
      <c r="AP84" s="528" t="str">
        <f t="shared" si="111"/>
        <v/>
      </c>
      <c r="AQ84" s="529" t="str">
        <f t="shared" si="650"/>
        <v/>
      </c>
      <c r="AR84" s="979"/>
      <c r="AS84" s="954" t="str">
        <f t="shared" si="755"/>
        <v/>
      </c>
      <c r="AT84" s="950" t="str">
        <f t="shared" si="651"/>
        <v/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55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713"/>
        <v/>
      </c>
      <c r="IM84" s="482" t="str">
        <f t="shared" si="856"/>
        <v/>
      </c>
      <c r="IN84" s="670" t="str">
        <f t="shared" si="714"/>
        <v/>
      </c>
      <c r="IO84" s="702"/>
      <c r="IP84" s="5" t="str">
        <f t="shared" si="715"/>
        <v/>
      </c>
      <c r="IQ84" s="714"/>
      <c r="IR84" s="9" t="str">
        <f t="shared" si="716"/>
        <v/>
      </c>
      <c r="IS84" s="5" t="str">
        <f t="shared" si="717"/>
        <v/>
      </c>
      <c r="IT84" s="5" t="str">
        <f t="shared" si="718"/>
        <v/>
      </c>
      <c r="IU84" s="5" t="str">
        <f t="shared" si="719"/>
        <v/>
      </c>
      <c r="IV84" s="670" t="str">
        <f t="shared" si="720"/>
        <v/>
      </c>
      <c r="IW84" s="9" t="str">
        <f t="shared" si="721"/>
        <v/>
      </c>
      <c r="IX84" s="5" t="str">
        <f t="shared" si="722"/>
        <v/>
      </c>
      <c r="IY84" s="5" t="str">
        <f t="shared" si="723"/>
        <v/>
      </c>
      <c r="IZ84" s="5" t="str">
        <f t="shared" si="724"/>
        <v/>
      </c>
      <c r="JA84" s="705" t="str">
        <f t="shared" si="725"/>
        <v/>
      </c>
      <c r="JM84" s="489" t="e">
        <f t="shared" si="752"/>
        <v>#VALUE!</v>
      </c>
      <c r="JN84" s="960" t="e">
        <f>($JO84-SMALL($JO$9:$JO$88,1))/((Settings!$C$19/2)-((Settings!$C$19/2)-LARGE($JO$9:$JO$88,1))-SMALL($JO$9:$JO$88,1))</f>
        <v>#VALUE!</v>
      </c>
      <c r="JO84" s="162" t="str">
        <f t="shared" si="635"/>
        <v/>
      </c>
      <c r="JP84" s="961" t="str">
        <f t="shared" si="636"/>
        <v/>
      </c>
      <c r="JQ84" s="961" t="str">
        <f t="shared" si="637"/>
        <v/>
      </c>
      <c r="JU84" s="962"/>
      <c r="JV84" s="959"/>
      <c r="JW84" s="959"/>
    </row>
    <row r="85" spans="1:283" ht="15" customHeight="1" x14ac:dyDescent="0.25">
      <c r="A85" s="75" t="str">
        <f t="shared" si="640"/>
        <v/>
      </c>
      <c r="B85" s="578" t="str">
        <f t="shared" ref="B85:D85" si="877">IFERROR(O240+($A85*-E85),"")</f>
        <v/>
      </c>
      <c r="C85" s="572" t="str">
        <f t="shared" si="877"/>
        <v/>
      </c>
      <c r="D85" s="576" t="str">
        <f t="shared" si="877"/>
        <v/>
      </c>
      <c r="E85" s="580" t="str">
        <f t="shared" ref="E85:K85" si="878">R240</f>
        <v/>
      </c>
      <c r="F85" s="572" t="str">
        <f t="shared" si="878"/>
        <v/>
      </c>
      <c r="G85" s="579" t="str">
        <f t="shared" si="878"/>
        <v/>
      </c>
      <c r="H85" s="580" t="str">
        <f t="shared" si="878"/>
        <v/>
      </c>
      <c r="I85" s="572" t="str">
        <f t="shared" si="878"/>
        <v/>
      </c>
      <c r="J85" s="483" t="str">
        <f t="shared" si="728"/>
        <v/>
      </c>
      <c r="K85" s="806" t="str">
        <f t="shared" si="878"/>
        <v/>
      </c>
      <c r="L85" s="309"/>
      <c r="M85" s="164" t="str">
        <f t="shared" si="643"/>
        <v/>
      </c>
      <c r="N85" s="575" t="str">
        <f t="shared" si="644"/>
        <v/>
      </c>
      <c r="O85" s="572" t="str">
        <f t="shared" si="645"/>
        <v/>
      </c>
      <c r="P85" s="576" t="str">
        <f t="shared" si="646"/>
        <v/>
      </c>
      <c r="Q85" s="528" t="str">
        <f t="shared" si="729"/>
        <v/>
      </c>
      <c r="R85" s="572" t="str">
        <f t="shared" si="95"/>
        <v/>
      </c>
      <c r="S85" s="577" t="str">
        <f t="shared" si="96"/>
        <v/>
      </c>
      <c r="T85" s="578" t="str">
        <f t="shared" si="97"/>
        <v/>
      </c>
      <c r="U85" s="572" t="str">
        <f t="shared" si="98"/>
        <v/>
      </c>
      <c r="V85" s="579" t="str">
        <f t="shared" si="145"/>
        <v/>
      </c>
      <c r="W85" s="528" t="str">
        <f t="shared" si="866"/>
        <v/>
      </c>
      <c r="X85" s="572" t="str">
        <f t="shared" si="99"/>
        <v/>
      </c>
      <c r="Y85" s="573" t="str">
        <f t="shared" si="859"/>
        <v/>
      </c>
      <c r="Z85" s="575" t="str">
        <f t="shared" si="647"/>
        <v/>
      </c>
      <c r="AA85" s="572" t="str">
        <f t="shared" si="648"/>
        <v/>
      </c>
      <c r="AB85" s="572" t="str">
        <f t="shared" si="649"/>
        <v/>
      </c>
      <c r="AC85" s="579" t="str">
        <f t="shared" si="100"/>
        <v/>
      </c>
      <c r="AD85" s="580" t="str">
        <f t="shared" si="146"/>
        <v/>
      </c>
      <c r="AE85" s="572" t="str">
        <f t="shared" si="101"/>
        <v/>
      </c>
      <c r="AF85" s="576" t="str">
        <f t="shared" si="102"/>
        <v/>
      </c>
      <c r="AG85" s="545" t="str">
        <f t="shared" si="103"/>
        <v/>
      </c>
      <c r="AH85" s="546" t="str">
        <f t="shared" si="104"/>
        <v/>
      </c>
      <c r="AI85" s="528" t="str">
        <f t="shared" si="105"/>
        <v/>
      </c>
      <c r="AJ85" s="529" t="str">
        <f t="shared" si="106"/>
        <v/>
      </c>
      <c r="AK85" s="578" t="str">
        <f t="shared" si="247"/>
        <v/>
      </c>
      <c r="AL85" s="572" t="str">
        <f t="shared" si="107"/>
        <v/>
      </c>
      <c r="AM85" s="577" t="str">
        <f t="shared" si="108"/>
        <v/>
      </c>
      <c r="AN85" s="524" t="str">
        <f t="shared" si="109"/>
        <v/>
      </c>
      <c r="AO85" s="525" t="str">
        <f t="shared" si="604"/>
        <v/>
      </c>
      <c r="AP85" s="528" t="str">
        <f t="shared" si="111"/>
        <v/>
      </c>
      <c r="AQ85" s="529" t="str">
        <f t="shared" si="650"/>
        <v/>
      </c>
      <c r="AR85" s="979"/>
      <c r="AS85" s="954" t="str">
        <f t="shared" si="755"/>
        <v/>
      </c>
      <c r="AT85" s="950" t="str">
        <f t="shared" si="651"/>
        <v/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55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713"/>
        <v/>
      </c>
      <c r="IM85" s="482" t="str">
        <f t="shared" si="856"/>
        <v/>
      </c>
      <c r="IN85" s="670" t="str">
        <f t="shared" si="714"/>
        <v/>
      </c>
      <c r="IO85" s="702"/>
      <c r="IP85" s="5" t="str">
        <f t="shared" si="715"/>
        <v/>
      </c>
      <c r="IQ85" s="714"/>
      <c r="IR85" s="9" t="str">
        <f t="shared" si="716"/>
        <v/>
      </c>
      <c r="IS85" s="5" t="str">
        <f t="shared" si="717"/>
        <v/>
      </c>
      <c r="IT85" s="5" t="str">
        <f t="shared" si="718"/>
        <v/>
      </c>
      <c r="IU85" s="5" t="str">
        <f t="shared" si="719"/>
        <v/>
      </c>
      <c r="IV85" s="670" t="str">
        <f t="shared" si="720"/>
        <v/>
      </c>
      <c r="IW85" s="9" t="str">
        <f t="shared" si="721"/>
        <v/>
      </c>
      <c r="IX85" s="5" t="str">
        <f t="shared" si="722"/>
        <v/>
      </c>
      <c r="IY85" s="5" t="str">
        <f t="shared" si="723"/>
        <v/>
      </c>
      <c r="IZ85" s="5" t="str">
        <f t="shared" si="724"/>
        <v/>
      </c>
      <c r="JA85" s="705" t="str">
        <f t="shared" si="725"/>
        <v/>
      </c>
      <c r="JM85" s="489" t="e">
        <f t="shared" si="752"/>
        <v>#VALUE!</v>
      </c>
      <c r="JN85" s="960" t="e">
        <f>($JO85-SMALL($JO$9:$JO$88,1))/((Settings!$C$19/2)-((Settings!$C$19/2)-LARGE($JO$9:$JO$88,1))-SMALL($JO$9:$JO$88,1))</f>
        <v>#VALUE!</v>
      </c>
      <c r="JO85" s="162" t="str">
        <f t="shared" si="635"/>
        <v/>
      </c>
      <c r="JP85" s="961" t="str">
        <f t="shared" si="636"/>
        <v/>
      </c>
      <c r="JQ85" s="961" t="str">
        <f t="shared" si="637"/>
        <v/>
      </c>
      <c r="JU85" s="962"/>
      <c r="JV85" s="959"/>
      <c r="JW85" s="959"/>
    </row>
    <row r="86" spans="1:283" ht="15" customHeight="1" x14ac:dyDescent="0.25">
      <c r="A86" s="75" t="str">
        <f t="shared" si="640"/>
        <v/>
      </c>
      <c r="B86" s="578" t="str">
        <f t="shared" ref="B86:D86" si="879">IFERROR(O241+($A86*-E86),"")</f>
        <v/>
      </c>
      <c r="C86" s="572" t="str">
        <f t="shared" si="879"/>
        <v/>
      </c>
      <c r="D86" s="576" t="str">
        <f t="shared" si="879"/>
        <v/>
      </c>
      <c r="E86" s="580" t="str">
        <f t="shared" ref="E86:K86" si="880">R241</f>
        <v/>
      </c>
      <c r="F86" s="572" t="str">
        <f t="shared" si="880"/>
        <v/>
      </c>
      <c r="G86" s="579" t="str">
        <f t="shared" si="880"/>
        <v/>
      </c>
      <c r="H86" s="580" t="str">
        <f t="shared" si="880"/>
        <v/>
      </c>
      <c r="I86" s="572" t="str">
        <f t="shared" si="880"/>
        <v/>
      </c>
      <c r="J86" s="483" t="str">
        <f t="shared" si="728"/>
        <v/>
      </c>
      <c r="K86" s="806" t="str">
        <f t="shared" si="880"/>
        <v/>
      </c>
      <c r="L86" s="309"/>
      <c r="M86" s="164" t="str">
        <f t="shared" si="643"/>
        <v/>
      </c>
      <c r="N86" s="575" t="str">
        <f t="shared" si="644"/>
        <v/>
      </c>
      <c r="O86" s="572" t="str">
        <f t="shared" si="645"/>
        <v/>
      </c>
      <c r="P86" s="576" t="str">
        <f t="shared" si="646"/>
        <v/>
      </c>
      <c r="Q86" s="528" t="str">
        <f t="shared" si="729"/>
        <v/>
      </c>
      <c r="R86" s="572" t="str">
        <f t="shared" si="95"/>
        <v/>
      </c>
      <c r="S86" s="577" t="str">
        <f t="shared" si="96"/>
        <v/>
      </c>
      <c r="T86" s="578" t="str">
        <f t="shared" si="97"/>
        <v/>
      </c>
      <c r="U86" s="572" t="str">
        <f t="shared" si="98"/>
        <v/>
      </c>
      <c r="V86" s="579" t="str">
        <f t="shared" si="145"/>
        <v/>
      </c>
      <c r="W86" s="528" t="str">
        <f t="shared" si="866"/>
        <v/>
      </c>
      <c r="X86" s="572" t="str">
        <f t="shared" si="99"/>
        <v/>
      </c>
      <c r="Y86" s="573" t="str">
        <f t="shared" si="859"/>
        <v/>
      </c>
      <c r="Z86" s="575" t="str">
        <f t="shared" si="647"/>
        <v/>
      </c>
      <c r="AA86" s="572" t="str">
        <f t="shared" si="648"/>
        <v/>
      </c>
      <c r="AB86" s="572" t="str">
        <f t="shared" si="649"/>
        <v/>
      </c>
      <c r="AC86" s="579" t="str">
        <f t="shared" si="100"/>
        <v/>
      </c>
      <c r="AD86" s="580" t="str">
        <f t="shared" si="146"/>
        <v/>
      </c>
      <c r="AE86" s="572" t="str">
        <f t="shared" si="101"/>
        <v/>
      </c>
      <c r="AF86" s="576" t="str">
        <f t="shared" si="102"/>
        <v/>
      </c>
      <c r="AG86" s="545" t="str">
        <f t="shared" si="103"/>
        <v/>
      </c>
      <c r="AH86" s="546" t="str">
        <f t="shared" si="104"/>
        <v/>
      </c>
      <c r="AI86" s="528" t="str">
        <f t="shared" si="105"/>
        <v/>
      </c>
      <c r="AJ86" s="529" t="str">
        <f t="shared" si="106"/>
        <v/>
      </c>
      <c r="AK86" s="578" t="str">
        <f t="shared" si="247"/>
        <v/>
      </c>
      <c r="AL86" s="572" t="str">
        <f t="shared" si="107"/>
        <v/>
      </c>
      <c r="AM86" s="577" t="str">
        <f t="shared" si="108"/>
        <v/>
      </c>
      <c r="AN86" s="524" t="str">
        <f t="shared" si="109"/>
        <v/>
      </c>
      <c r="AO86" s="525" t="str">
        <f t="shared" si="604"/>
        <v/>
      </c>
      <c r="AP86" s="528" t="str">
        <f t="shared" si="111"/>
        <v/>
      </c>
      <c r="AQ86" s="529" t="str">
        <f t="shared" si="650"/>
        <v/>
      </c>
      <c r="AR86" s="979"/>
      <c r="AS86" s="954" t="str">
        <f t="shared" si="755"/>
        <v/>
      </c>
      <c r="AT86" s="950" t="str">
        <f t="shared" si="651"/>
        <v/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55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713"/>
        <v/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 t="e">
        <f t="shared" si="752"/>
        <v>#VALUE!</v>
      </c>
      <c r="JN86" s="960" t="e">
        <f>($JO86-SMALL($JO$9:$JO$88,1))/((Settings!$C$19/2)-((Settings!$C$19/2)-LARGE($JO$9:$JO$88,1))-SMALL($JO$9:$JO$88,1))</f>
        <v>#VALUE!</v>
      </c>
      <c r="JO86" s="162" t="str">
        <f t="shared" si="635"/>
        <v/>
      </c>
      <c r="JP86" s="961" t="str">
        <f t="shared" si="636"/>
        <v/>
      </c>
      <c r="JQ86" s="961" t="str">
        <f t="shared" si="637"/>
        <v/>
      </c>
      <c r="JU86" s="962"/>
      <c r="JV86" s="959"/>
      <c r="JW86" s="959"/>
    </row>
    <row r="87" spans="1:283" ht="15" customHeight="1" x14ac:dyDescent="0.25">
      <c r="A87" s="75" t="str">
        <f t="shared" si="640"/>
        <v/>
      </c>
      <c r="B87" s="578" t="str">
        <f t="shared" ref="B87:D87" si="881">IFERROR(O242+($A87*-E87),"")</f>
        <v/>
      </c>
      <c r="C87" s="572" t="str">
        <f t="shared" si="881"/>
        <v/>
      </c>
      <c r="D87" s="576" t="str">
        <f t="shared" si="881"/>
        <v/>
      </c>
      <c r="E87" s="580" t="str">
        <f t="shared" ref="E87:K87" si="882">R242</f>
        <v/>
      </c>
      <c r="F87" s="572" t="str">
        <f t="shared" si="882"/>
        <v/>
      </c>
      <c r="G87" s="579" t="str">
        <f t="shared" si="882"/>
        <v/>
      </c>
      <c r="H87" s="580" t="str">
        <f t="shared" si="882"/>
        <v/>
      </c>
      <c r="I87" s="572" t="str">
        <f t="shared" si="882"/>
        <v/>
      </c>
      <c r="J87" s="483" t="str">
        <f t="shared" si="728"/>
        <v/>
      </c>
      <c r="K87" s="806" t="str">
        <f t="shared" si="882"/>
        <v/>
      </c>
      <c r="L87" s="309"/>
      <c r="M87" s="164" t="str">
        <f t="shared" si="643"/>
        <v/>
      </c>
      <c r="N87" s="575" t="str">
        <f t="shared" si="644"/>
        <v/>
      </c>
      <c r="O87" s="572" t="str">
        <f t="shared" si="645"/>
        <v/>
      </c>
      <c r="P87" s="576" t="str">
        <f t="shared" si="646"/>
        <v/>
      </c>
      <c r="Q87" s="528" t="str">
        <f t="shared" si="729"/>
        <v/>
      </c>
      <c r="R87" s="572" t="str">
        <f t="shared" si="95"/>
        <v/>
      </c>
      <c r="S87" s="577" t="str">
        <f t="shared" si="96"/>
        <v/>
      </c>
      <c r="T87" s="578" t="str">
        <f t="shared" si="97"/>
        <v/>
      </c>
      <c r="U87" s="572" t="str">
        <f t="shared" si="98"/>
        <v/>
      </c>
      <c r="V87" s="579" t="str">
        <f t="shared" si="145"/>
        <v/>
      </c>
      <c r="W87" s="528" t="str">
        <f t="shared" si="866"/>
        <v/>
      </c>
      <c r="X87" s="572" t="str">
        <f t="shared" si="99"/>
        <v/>
      </c>
      <c r="Y87" s="573" t="str">
        <f t="shared" si="859"/>
        <v/>
      </c>
      <c r="Z87" s="575" t="str">
        <f t="shared" si="647"/>
        <v/>
      </c>
      <c r="AA87" s="572" t="str">
        <f t="shared" si="648"/>
        <v/>
      </c>
      <c r="AB87" s="572" t="str">
        <f t="shared" si="649"/>
        <v/>
      </c>
      <c r="AC87" s="579" t="str">
        <f t="shared" si="100"/>
        <v/>
      </c>
      <c r="AD87" s="580" t="str">
        <f t="shared" si="146"/>
        <v/>
      </c>
      <c r="AE87" s="572" t="str">
        <f t="shared" si="101"/>
        <v/>
      </c>
      <c r="AF87" s="576" t="str">
        <f t="shared" si="102"/>
        <v/>
      </c>
      <c r="AG87" s="545" t="str">
        <f t="shared" si="103"/>
        <v/>
      </c>
      <c r="AH87" s="546" t="str">
        <f t="shared" si="104"/>
        <v/>
      </c>
      <c r="AI87" s="528" t="str">
        <f t="shared" si="105"/>
        <v/>
      </c>
      <c r="AJ87" s="529" t="str">
        <f t="shared" si="106"/>
        <v/>
      </c>
      <c r="AK87" s="578" t="str">
        <f t="shared" si="247"/>
        <v/>
      </c>
      <c r="AL87" s="572" t="str">
        <f t="shared" si="107"/>
        <v/>
      </c>
      <c r="AM87" s="577" t="str">
        <f t="shared" si="108"/>
        <v/>
      </c>
      <c r="AN87" s="524" t="str">
        <f t="shared" si="109"/>
        <v/>
      </c>
      <c r="AO87" s="525" t="str">
        <f t="shared" si="604"/>
        <v/>
      </c>
      <c r="AP87" s="528" t="str">
        <f t="shared" si="111"/>
        <v/>
      </c>
      <c r="AQ87" s="529" t="str">
        <f t="shared" si="650"/>
        <v/>
      </c>
      <c r="AR87" s="979"/>
      <c r="AS87" s="954" t="str">
        <f t="shared" si="755"/>
        <v/>
      </c>
      <c r="AT87" s="950" t="str">
        <f t="shared" si="651"/>
        <v/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55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713"/>
        <v/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 t="e">
        <f t="shared" si="752"/>
        <v>#VALUE!</v>
      </c>
      <c r="JN87" s="960" t="e">
        <f>($JO87-SMALL($JO$9:$JO$88,1))/((Settings!$C$19/2)-((Settings!$C$19/2)-LARGE($JO$9:$JO$88,1))-SMALL($JO$9:$JO$88,1))</f>
        <v>#VALUE!</v>
      </c>
      <c r="JO87" s="162" t="str">
        <f t="shared" si="635"/>
        <v/>
      </c>
      <c r="JP87" s="961" t="str">
        <f t="shared" si="636"/>
        <v/>
      </c>
      <c r="JQ87" s="961" t="str">
        <f t="shared" si="637"/>
        <v/>
      </c>
      <c r="JU87" s="962"/>
      <c r="JV87" s="959"/>
      <c r="JW87" s="959"/>
    </row>
    <row r="88" spans="1:283" ht="15" customHeight="1" x14ac:dyDescent="0.25">
      <c r="A88" s="75" t="str">
        <f t="shared" si="640"/>
        <v/>
      </c>
      <c r="B88" s="578" t="str">
        <f t="shared" ref="B88:D88" si="883">IFERROR(O243+($A88*-E88),"")</f>
        <v/>
      </c>
      <c r="C88" s="572" t="str">
        <f t="shared" si="883"/>
        <v/>
      </c>
      <c r="D88" s="576" t="str">
        <f t="shared" si="883"/>
        <v/>
      </c>
      <c r="E88" s="580" t="str">
        <f t="shared" ref="E88:K88" si="884">R243</f>
        <v/>
      </c>
      <c r="F88" s="572" t="str">
        <f t="shared" si="884"/>
        <v/>
      </c>
      <c r="G88" s="579" t="str">
        <f t="shared" si="884"/>
        <v/>
      </c>
      <c r="H88" s="580" t="str">
        <f t="shared" si="884"/>
        <v/>
      </c>
      <c r="I88" s="572" t="str">
        <f t="shared" si="884"/>
        <v/>
      </c>
      <c r="J88" s="483" t="str">
        <f t="shared" si="728"/>
        <v/>
      </c>
      <c r="K88" s="806" t="str">
        <f t="shared" si="884"/>
        <v/>
      </c>
      <c r="L88" s="309"/>
      <c r="M88" s="164" t="str">
        <f t="shared" si="643"/>
        <v/>
      </c>
      <c r="N88" s="575" t="str">
        <f t="shared" si="644"/>
        <v/>
      </c>
      <c r="O88" s="572" t="str">
        <f t="shared" si="645"/>
        <v/>
      </c>
      <c r="P88" s="576" t="str">
        <f t="shared" si="646"/>
        <v/>
      </c>
      <c r="Q88" s="528" t="str">
        <f t="shared" si="729"/>
        <v/>
      </c>
      <c r="R88" s="572" t="str">
        <f t="shared" si="95"/>
        <v/>
      </c>
      <c r="S88" s="577" t="str">
        <f t="shared" si="96"/>
        <v/>
      </c>
      <c r="T88" s="578" t="str">
        <f t="shared" si="97"/>
        <v/>
      </c>
      <c r="U88" s="572" t="str">
        <f t="shared" si="98"/>
        <v/>
      </c>
      <c r="V88" s="579" t="str">
        <f t="shared" si="145"/>
        <v/>
      </c>
      <c r="W88" s="528" t="str">
        <f t="shared" si="866"/>
        <v/>
      </c>
      <c r="X88" s="572" t="str">
        <f t="shared" si="99"/>
        <v/>
      </c>
      <c r="Y88" s="573" t="str">
        <f t="shared" si="859"/>
        <v/>
      </c>
      <c r="Z88" s="575" t="str">
        <f t="shared" si="647"/>
        <v/>
      </c>
      <c r="AA88" s="572" t="str">
        <f t="shared" si="648"/>
        <v/>
      </c>
      <c r="AB88" s="572" t="str">
        <f t="shared" si="649"/>
        <v/>
      </c>
      <c r="AC88" s="579" t="str">
        <f t="shared" si="100"/>
        <v/>
      </c>
      <c r="AD88" s="580" t="str">
        <f t="shared" si="146"/>
        <v/>
      </c>
      <c r="AE88" s="572" t="str">
        <f t="shared" si="101"/>
        <v/>
      </c>
      <c r="AF88" s="576" t="str">
        <f t="shared" si="102"/>
        <v/>
      </c>
      <c r="AG88" s="545" t="str">
        <f t="shared" si="103"/>
        <v/>
      </c>
      <c r="AH88" s="546" t="str">
        <f t="shared" si="104"/>
        <v/>
      </c>
      <c r="AI88" s="528" t="str">
        <f t="shared" si="105"/>
        <v/>
      </c>
      <c r="AJ88" s="529" t="str">
        <f t="shared" si="106"/>
        <v/>
      </c>
      <c r="AK88" s="578" t="str">
        <f t="shared" si="247"/>
        <v/>
      </c>
      <c r="AL88" s="572" t="str">
        <f t="shared" si="107"/>
        <v/>
      </c>
      <c r="AM88" s="577" t="str">
        <f t="shared" si="108"/>
        <v/>
      </c>
      <c r="AN88" s="524" t="str">
        <f t="shared" si="109"/>
        <v/>
      </c>
      <c r="AO88" s="525" t="str">
        <f t="shared" si="604"/>
        <v/>
      </c>
      <c r="AP88" s="528" t="str">
        <f t="shared" si="111"/>
        <v/>
      </c>
      <c r="AQ88" s="529" t="str">
        <f t="shared" si="650"/>
        <v/>
      </c>
      <c r="AR88" s="979"/>
      <c r="AS88" s="954" t="str">
        <f t="shared" si="755"/>
        <v/>
      </c>
      <c r="AT88" s="950" t="str">
        <f t="shared" si="651"/>
        <v/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55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713"/>
        <v/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 t="e">
        <f t="shared" si="752"/>
        <v>#VALUE!</v>
      </c>
      <c r="JN88" s="960" t="e">
        <f>($JO88-SMALL($JO$9:$JO$88,1))/((Settings!$C$19/2)-((Settings!$C$19/2)-LARGE($JO$9:$JO$88,1))-SMALL($JO$9:$JO$88,1))</f>
        <v>#VALUE!</v>
      </c>
      <c r="JO88" s="162" t="str">
        <f t="shared" si="635"/>
        <v/>
      </c>
      <c r="JP88" s="961" t="str">
        <f t="shared" si="636"/>
        <v/>
      </c>
      <c r="JQ88" s="961" t="str">
        <f t="shared" si="637"/>
        <v/>
      </c>
      <c r="JU88" s="962"/>
      <c r="JV88" s="959"/>
      <c r="JW88" s="959"/>
    </row>
    <row r="89" spans="1:283" ht="15" customHeight="1" x14ac:dyDescent="0.25">
      <c r="A89" s="75" t="str">
        <f t="shared" si="640"/>
        <v/>
      </c>
      <c r="B89" s="578" t="str">
        <f t="shared" ref="B89:D89" si="885">IFERROR(O244+($A89*-E89),"")</f>
        <v/>
      </c>
      <c r="C89" s="572" t="str">
        <f t="shared" si="885"/>
        <v/>
      </c>
      <c r="D89" s="576" t="str">
        <f t="shared" si="885"/>
        <v/>
      </c>
      <c r="E89" s="580" t="str">
        <f t="shared" ref="E89:K89" si="886">R244</f>
        <v/>
      </c>
      <c r="F89" s="572" t="str">
        <f t="shared" si="886"/>
        <v/>
      </c>
      <c r="G89" s="579" t="str">
        <f t="shared" si="886"/>
        <v/>
      </c>
      <c r="H89" s="580" t="str">
        <f t="shared" si="886"/>
        <v/>
      </c>
      <c r="I89" s="572" t="str">
        <f t="shared" si="886"/>
        <v/>
      </c>
      <c r="J89" s="483" t="str">
        <f t="shared" si="728"/>
        <v/>
      </c>
      <c r="K89" s="806" t="str">
        <f t="shared" si="886"/>
        <v/>
      </c>
      <c r="L89" s="309"/>
      <c r="M89" s="164" t="str">
        <f t="shared" si="643"/>
        <v/>
      </c>
      <c r="N89" s="575" t="str">
        <f t="shared" si="644"/>
        <v/>
      </c>
      <c r="O89" s="572" t="str">
        <f t="shared" si="645"/>
        <v/>
      </c>
      <c r="P89" s="576" t="str">
        <f t="shared" si="646"/>
        <v/>
      </c>
      <c r="Q89" s="528" t="str">
        <f t="shared" si="729"/>
        <v/>
      </c>
      <c r="R89" s="572" t="str">
        <f t="shared" si="95"/>
        <v/>
      </c>
      <c r="S89" s="577" t="str">
        <f t="shared" si="96"/>
        <v/>
      </c>
      <c r="T89" s="578" t="str">
        <f t="shared" si="97"/>
        <v/>
      </c>
      <c r="U89" s="572" t="str">
        <f t="shared" si="98"/>
        <v/>
      </c>
      <c r="V89" s="579" t="str">
        <f t="shared" si="145"/>
        <v/>
      </c>
      <c r="W89" s="528" t="str">
        <f t="shared" si="866"/>
        <v/>
      </c>
      <c r="X89" s="572" t="str">
        <f t="shared" si="99"/>
        <v/>
      </c>
      <c r="Y89" s="573" t="str">
        <f t="shared" si="859"/>
        <v/>
      </c>
      <c r="Z89" s="575" t="str">
        <f t="shared" si="647"/>
        <v/>
      </c>
      <c r="AA89" s="572" t="str">
        <f t="shared" si="648"/>
        <v/>
      </c>
      <c r="AB89" s="572" t="str">
        <f t="shared" si="649"/>
        <v/>
      </c>
      <c r="AC89" s="579" t="str">
        <f t="shared" si="100"/>
        <v/>
      </c>
      <c r="AD89" s="580" t="str">
        <f t="shared" si="146"/>
        <v/>
      </c>
      <c r="AE89" s="572" t="str">
        <f t="shared" si="101"/>
        <v/>
      </c>
      <c r="AF89" s="576" t="str">
        <f t="shared" si="102"/>
        <v/>
      </c>
      <c r="AG89" s="545" t="str">
        <f t="shared" si="103"/>
        <v/>
      </c>
      <c r="AH89" s="546" t="str">
        <f t="shared" si="104"/>
        <v/>
      </c>
      <c r="AI89" s="528" t="str">
        <f t="shared" si="105"/>
        <v/>
      </c>
      <c r="AJ89" s="529" t="str">
        <f t="shared" si="106"/>
        <v/>
      </c>
      <c r="AK89" s="578" t="str">
        <f t="shared" si="247"/>
        <v/>
      </c>
      <c r="AL89" s="572" t="str">
        <f t="shared" si="107"/>
        <v/>
      </c>
      <c r="AM89" s="577" t="str">
        <f t="shared" si="108"/>
        <v/>
      </c>
      <c r="AN89" s="524" t="str">
        <f t="shared" si="109"/>
        <v/>
      </c>
      <c r="AO89" s="525" t="str">
        <f t="shared" si="604"/>
        <v/>
      </c>
      <c r="AP89" s="528" t="str">
        <f t="shared" si="111"/>
        <v/>
      </c>
      <c r="AQ89" s="529" t="str">
        <f t="shared" si="650"/>
        <v/>
      </c>
      <c r="AR89" s="979"/>
      <c r="AS89" s="954" t="str">
        <f t="shared" si="755"/>
        <v/>
      </c>
      <c r="AT89" s="950" t="str">
        <f t="shared" si="651"/>
        <v/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55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713"/>
        <v/>
      </c>
      <c r="IM89" s="482" t="str">
        <f t="shared" si="856"/>
        <v/>
      </c>
      <c r="IN89" s="670" t="str">
        <f t="shared" si="714"/>
        <v/>
      </c>
      <c r="IO89" s="702"/>
      <c r="IP89" s="5" t="str">
        <f t="shared" si="715"/>
        <v/>
      </c>
      <c r="IQ89" s="714"/>
      <c r="IR89" s="9" t="str">
        <f t="shared" si="716"/>
        <v/>
      </c>
      <c r="IS89" s="5" t="str">
        <f t="shared" si="717"/>
        <v/>
      </c>
      <c r="IT89" s="5" t="str">
        <f t="shared" si="718"/>
        <v/>
      </c>
      <c r="IU89" s="5" t="str">
        <f t="shared" si="719"/>
        <v/>
      </c>
      <c r="IV89" s="670" t="str">
        <f t="shared" si="720"/>
        <v/>
      </c>
      <c r="IW89" s="9" t="str">
        <f t="shared" si="721"/>
        <v/>
      </c>
      <c r="IX89" s="5" t="str">
        <f t="shared" si="722"/>
        <v/>
      </c>
      <c r="IY89" s="5" t="str">
        <f t="shared" si="723"/>
        <v/>
      </c>
      <c r="IZ89" s="5" t="str">
        <f t="shared" si="724"/>
        <v/>
      </c>
      <c r="JA89" s="705" t="str">
        <f t="shared" si="725"/>
        <v/>
      </c>
      <c r="JN89" s="960"/>
      <c r="JO89" s="162"/>
      <c r="JP89" s="961"/>
      <c r="JQ89" s="961"/>
    </row>
    <row r="90" spans="1:283" ht="15" customHeight="1" x14ac:dyDescent="0.25">
      <c r="A90" s="75" t="str">
        <f t="shared" si="640"/>
        <v/>
      </c>
      <c r="B90" s="578" t="str">
        <f t="shared" ref="B90:D90" si="887">IFERROR(O245+($A90*-E90),"")</f>
        <v/>
      </c>
      <c r="C90" s="572" t="str">
        <f t="shared" si="887"/>
        <v/>
      </c>
      <c r="D90" s="576" t="str">
        <f t="shared" si="887"/>
        <v/>
      </c>
      <c r="E90" s="580" t="str">
        <f t="shared" ref="E90:K90" si="888">R245</f>
        <v/>
      </c>
      <c r="F90" s="572" t="str">
        <f t="shared" si="888"/>
        <v/>
      </c>
      <c r="G90" s="579" t="str">
        <f t="shared" si="888"/>
        <v/>
      </c>
      <c r="H90" s="580" t="str">
        <f t="shared" si="888"/>
        <v/>
      </c>
      <c r="I90" s="572" t="str">
        <f t="shared" si="888"/>
        <v/>
      </c>
      <c r="J90" s="483" t="str">
        <f t="shared" si="728"/>
        <v/>
      </c>
      <c r="K90" s="806" t="str">
        <f t="shared" si="888"/>
        <v/>
      </c>
      <c r="L90" s="309"/>
      <c r="M90" s="164" t="str">
        <f t="shared" si="643"/>
        <v/>
      </c>
      <c r="N90" s="575" t="str">
        <f t="shared" si="644"/>
        <v/>
      </c>
      <c r="O90" s="572" t="str">
        <f t="shared" si="645"/>
        <v/>
      </c>
      <c r="P90" s="576" t="str">
        <f t="shared" si="646"/>
        <v/>
      </c>
      <c r="Q90" s="528" t="str">
        <f t="shared" si="729"/>
        <v/>
      </c>
      <c r="R90" s="572" t="str">
        <f t="shared" si="95"/>
        <v/>
      </c>
      <c r="S90" s="577" t="str">
        <f t="shared" si="96"/>
        <v/>
      </c>
      <c r="T90" s="578" t="str">
        <f t="shared" si="97"/>
        <v/>
      </c>
      <c r="U90" s="572" t="str">
        <f t="shared" si="98"/>
        <v/>
      </c>
      <c r="V90" s="579" t="str">
        <f t="shared" si="145"/>
        <v/>
      </c>
      <c r="W90" s="528" t="str">
        <f t="shared" si="866"/>
        <v/>
      </c>
      <c r="X90" s="572" t="str">
        <f t="shared" si="99"/>
        <v/>
      </c>
      <c r="Y90" s="573" t="str">
        <f t="shared" si="859"/>
        <v/>
      </c>
      <c r="Z90" s="575" t="str">
        <f t="shared" si="647"/>
        <v/>
      </c>
      <c r="AA90" s="572" t="str">
        <f t="shared" si="648"/>
        <v/>
      </c>
      <c r="AB90" s="572" t="str">
        <f t="shared" si="649"/>
        <v/>
      </c>
      <c r="AC90" s="579" t="str">
        <f t="shared" si="100"/>
        <v/>
      </c>
      <c r="AD90" s="580" t="str">
        <f t="shared" si="146"/>
        <v/>
      </c>
      <c r="AE90" s="572" t="str">
        <f t="shared" si="101"/>
        <v/>
      </c>
      <c r="AF90" s="576" t="str">
        <f t="shared" si="102"/>
        <v/>
      </c>
      <c r="AG90" s="545" t="str">
        <f t="shared" si="103"/>
        <v/>
      </c>
      <c r="AH90" s="546" t="str">
        <f t="shared" si="104"/>
        <v/>
      </c>
      <c r="AI90" s="528" t="str">
        <f t="shared" si="105"/>
        <v/>
      </c>
      <c r="AJ90" s="529" t="str">
        <f t="shared" si="106"/>
        <v/>
      </c>
      <c r="AK90" s="578" t="str">
        <f t="shared" si="247"/>
        <v/>
      </c>
      <c r="AL90" s="572" t="str">
        <f t="shared" si="107"/>
        <v/>
      </c>
      <c r="AM90" s="577" t="str">
        <f t="shared" si="108"/>
        <v/>
      </c>
      <c r="AN90" s="524" t="str">
        <f t="shared" si="109"/>
        <v/>
      </c>
      <c r="AO90" s="525" t="str">
        <f t="shared" si="604"/>
        <v/>
      </c>
      <c r="AP90" s="528" t="str">
        <f t="shared" si="111"/>
        <v/>
      </c>
      <c r="AQ90" s="529" t="str">
        <f t="shared" si="650"/>
        <v/>
      </c>
      <c r="AR90" s="979"/>
      <c r="AS90" s="954" t="str">
        <f t="shared" si="755"/>
        <v/>
      </c>
      <c r="AT90" s="950" t="str">
        <f t="shared" si="651"/>
        <v/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55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713"/>
        <v/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 t="str">
        <f t="shared" si="640"/>
        <v/>
      </c>
      <c r="B91" s="578" t="str">
        <f t="shared" ref="B91:D91" si="889">IFERROR(O246+($A91*-E91),"")</f>
        <v/>
      </c>
      <c r="C91" s="572" t="str">
        <f t="shared" si="889"/>
        <v/>
      </c>
      <c r="D91" s="576" t="str">
        <f t="shared" si="889"/>
        <v/>
      </c>
      <c r="E91" s="580" t="str">
        <f t="shared" ref="E91:K91" si="890">R246</f>
        <v/>
      </c>
      <c r="F91" s="572" t="str">
        <f t="shared" si="890"/>
        <v/>
      </c>
      <c r="G91" s="579" t="str">
        <f t="shared" si="890"/>
        <v/>
      </c>
      <c r="H91" s="580" t="str">
        <f t="shared" si="890"/>
        <v/>
      </c>
      <c r="I91" s="572" t="str">
        <f t="shared" si="890"/>
        <v/>
      </c>
      <c r="J91" s="483" t="str">
        <f t="shared" si="728"/>
        <v/>
      </c>
      <c r="K91" s="806" t="str">
        <f t="shared" si="890"/>
        <v/>
      </c>
      <c r="L91" s="309"/>
      <c r="M91" s="164" t="str">
        <f t="shared" si="643"/>
        <v/>
      </c>
      <c r="N91" s="575" t="str">
        <f t="shared" si="644"/>
        <v/>
      </c>
      <c r="O91" s="572" t="str">
        <f t="shared" si="645"/>
        <v/>
      </c>
      <c r="P91" s="576" t="str">
        <f t="shared" si="646"/>
        <v/>
      </c>
      <c r="Q91" s="528" t="str">
        <f t="shared" si="729"/>
        <v/>
      </c>
      <c r="R91" s="572" t="str">
        <f t="shared" si="95"/>
        <v/>
      </c>
      <c r="S91" s="577" t="str">
        <f t="shared" si="96"/>
        <v/>
      </c>
      <c r="T91" s="578" t="str">
        <f t="shared" si="97"/>
        <v/>
      </c>
      <c r="U91" s="572" t="str">
        <f t="shared" si="98"/>
        <v/>
      </c>
      <c r="V91" s="579" t="str">
        <f t="shared" si="145"/>
        <v/>
      </c>
      <c r="W91" s="528" t="str">
        <f t="shared" si="866"/>
        <v/>
      </c>
      <c r="X91" s="572" t="str">
        <f t="shared" si="99"/>
        <v/>
      </c>
      <c r="Y91" s="573" t="str">
        <f t="shared" si="859"/>
        <v/>
      </c>
      <c r="Z91" s="575" t="str">
        <f t="shared" si="647"/>
        <v/>
      </c>
      <c r="AA91" s="572" t="str">
        <f t="shared" si="648"/>
        <v/>
      </c>
      <c r="AB91" s="572" t="str">
        <f t="shared" si="649"/>
        <v/>
      </c>
      <c r="AC91" s="579" t="str">
        <f t="shared" si="100"/>
        <v/>
      </c>
      <c r="AD91" s="580" t="str">
        <f t="shared" si="146"/>
        <v/>
      </c>
      <c r="AE91" s="572" t="str">
        <f t="shared" si="101"/>
        <v/>
      </c>
      <c r="AF91" s="576" t="str">
        <f t="shared" si="102"/>
        <v/>
      </c>
      <c r="AG91" s="545" t="str">
        <f t="shared" si="103"/>
        <v/>
      </c>
      <c r="AH91" s="546" t="str">
        <f t="shared" si="104"/>
        <v/>
      </c>
      <c r="AI91" s="528" t="str">
        <f t="shared" si="105"/>
        <v/>
      </c>
      <c r="AJ91" s="529" t="str">
        <f t="shared" si="106"/>
        <v/>
      </c>
      <c r="AK91" s="578" t="str">
        <f t="shared" si="247"/>
        <v/>
      </c>
      <c r="AL91" s="572" t="str">
        <f t="shared" si="107"/>
        <v/>
      </c>
      <c r="AM91" s="577" t="str">
        <f t="shared" si="108"/>
        <v/>
      </c>
      <c r="AN91" s="524" t="str">
        <f t="shared" si="109"/>
        <v/>
      </c>
      <c r="AO91" s="525" t="str">
        <f t="shared" si="604"/>
        <v/>
      </c>
      <c r="AP91" s="528" t="str">
        <f t="shared" si="111"/>
        <v/>
      </c>
      <c r="AQ91" s="529" t="str">
        <f t="shared" si="650"/>
        <v/>
      </c>
      <c r="AS91" s="954" t="str">
        <f t="shared" si="755"/>
        <v/>
      </c>
      <c r="AT91" s="950" t="str">
        <f t="shared" si="651"/>
        <v/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55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713"/>
        <v/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 t="str">
        <f t="shared" si="640"/>
        <v/>
      </c>
      <c r="B92" s="578" t="str">
        <f t="shared" ref="B92:D92" si="891">IFERROR(O247+($A92*-E92),"")</f>
        <v/>
      </c>
      <c r="C92" s="572" t="str">
        <f t="shared" si="891"/>
        <v/>
      </c>
      <c r="D92" s="576" t="str">
        <f t="shared" si="891"/>
        <v/>
      </c>
      <c r="E92" s="580" t="str">
        <f t="shared" ref="E92:K92" si="892">R247</f>
        <v/>
      </c>
      <c r="F92" s="572" t="str">
        <f t="shared" si="892"/>
        <v/>
      </c>
      <c r="G92" s="579" t="str">
        <f t="shared" si="892"/>
        <v/>
      </c>
      <c r="H92" s="580" t="str">
        <f t="shared" si="892"/>
        <v/>
      </c>
      <c r="I92" s="572" t="str">
        <f t="shared" si="892"/>
        <v/>
      </c>
      <c r="J92" s="483" t="str">
        <f t="shared" si="728"/>
        <v/>
      </c>
      <c r="K92" s="806" t="str">
        <f t="shared" si="892"/>
        <v/>
      </c>
      <c r="L92" s="309"/>
      <c r="M92" s="164" t="str">
        <f t="shared" si="643"/>
        <v/>
      </c>
      <c r="N92" s="575" t="str">
        <f t="shared" si="644"/>
        <v/>
      </c>
      <c r="O92" s="572" t="str">
        <f t="shared" si="645"/>
        <v/>
      </c>
      <c r="P92" s="576" t="str">
        <f t="shared" si="646"/>
        <v/>
      </c>
      <c r="Q92" s="528" t="str">
        <f t="shared" si="729"/>
        <v/>
      </c>
      <c r="R92" s="572" t="str">
        <f t="shared" si="95"/>
        <v/>
      </c>
      <c r="S92" s="577" t="str">
        <f t="shared" si="96"/>
        <v/>
      </c>
      <c r="T92" s="578" t="str">
        <f t="shared" si="97"/>
        <v/>
      </c>
      <c r="U92" s="572" t="str">
        <f t="shared" si="98"/>
        <v/>
      </c>
      <c r="V92" s="579" t="str">
        <f t="shared" si="145"/>
        <v/>
      </c>
      <c r="W92" s="528" t="str">
        <f t="shared" si="866"/>
        <v/>
      </c>
      <c r="X92" s="572" t="str">
        <f t="shared" si="99"/>
        <v/>
      </c>
      <c r="Y92" s="573" t="str">
        <f t="shared" si="859"/>
        <v/>
      </c>
      <c r="Z92" s="575" t="str">
        <f t="shared" si="647"/>
        <v/>
      </c>
      <c r="AA92" s="572" t="str">
        <f t="shared" si="648"/>
        <v/>
      </c>
      <c r="AB92" s="572" t="str">
        <f t="shared" si="649"/>
        <v/>
      </c>
      <c r="AC92" s="579" t="str">
        <f t="shared" si="100"/>
        <v/>
      </c>
      <c r="AD92" s="580" t="str">
        <f t="shared" si="146"/>
        <v/>
      </c>
      <c r="AE92" s="572" t="str">
        <f t="shared" si="101"/>
        <v/>
      </c>
      <c r="AF92" s="576" t="str">
        <f t="shared" si="102"/>
        <v/>
      </c>
      <c r="AG92" s="545" t="str">
        <f t="shared" si="103"/>
        <v/>
      </c>
      <c r="AH92" s="546" t="str">
        <f t="shared" si="104"/>
        <v/>
      </c>
      <c r="AI92" s="528" t="str">
        <f t="shared" si="105"/>
        <v/>
      </c>
      <c r="AJ92" s="529" t="str">
        <f t="shared" si="106"/>
        <v/>
      </c>
      <c r="AK92" s="578" t="str">
        <f t="shared" si="247"/>
        <v/>
      </c>
      <c r="AL92" s="572" t="str">
        <f t="shared" si="107"/>
        <v/>
      </c>
      <c r="AM92" s="577" t="str">
        <f t="shared" si="108"/>
        <v/>
      </c>
      <c r="AN92" s="524" t="str">
        <f t="shared" si="109"/>
        <v/>
      </c>
      <c r="AO92" s="525" t="str">
        <f t="shared" si="604"/>
        <v/>
      </c>
      <c r="AP92" s="528" t="str">
        <f t="shared" si="111"/>
        <v/>
      </c>
      <c r="AQ92" s="529" t="str">
        <f t="shared" si="650"/>
        <v/>
      </c>
      <c r="AS92" s="954" t="str">
        <f t="shared" si="755"/>
        <v/>
      </c>
      <c r="AT92" s="950" t="str">
        <f t="shared" si="651"/>
        <v/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55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713"/>
        <v/>
      </c>
      <c r="IM92" s="482" t="str">
        <f t="shared" si="856"/>
        <v/>
      </c>
      <c r="IN92" s="670" t="str">
        <f t="shared" si="714"/>
        <v/>
      </c>
      <c r="IO92" s="702"/>
      <c r="IP92" s="5" t="str">
        <f t="shared" si="715"/>
        <v/>
      </c>
      <c r="IQ92" s="714"/>
      <c r="IR92" s="9" t="str">
        <f t="shared" si="716"/>
        <v/>
      </c>
      <c r="IS92" s="5" t="str">
        <f t="shared" si="717"/>
        <v/>
      </c>
      <c r="IT92" s="5" t="str">
        <f t="shared" si="718"/>
        <v/>
      </c>
      <c r="IU92" s="5" t="str">
        <f t="shared" si="719"/>
        <v/>
      </c>
      <c r="IV92" s="670" t="str">
        <f t="shared" si="720"/>
        <v/>
      </c>
      <c r="IW92" s="9" t="str">
        <f t="shared" si="721"/>
        <v/>
      </c>
      <c r="IX92" s="5" t="str">
        <f t="shared" si="722"/>
        <v/>
      </c>
      <c r="IY92" s="5" t="str">
        <f t="shared" si="723"/>
        <v/>
      </c>
      <c r="IZ92" s="5" t="str">
        <f t="shared" si="724"/>
        <v/>
      </c>
      <c r="JA92" s="705" t="str">
        <f t="shared" si="725"/>
        <v/>
      </c>
      <c r="JN92" s="960"/>
      <c r="JO92" s="162"/>
      <c r="JP92" s="961"/>
      <c r="JQ92" s="961"/>
    </row>
    <row r="93" spans="1:283" ht="15" customHeight="1" x14ac:dyDescent="0.25">
      <c r="A93" s="75" t="str">
        <f t="shared" si="640"/>
        <v/>
      </c>
      <c r="B93" s="578" t="str">
        <f t="shared" ref="B93:D93" si="893">IFERROR(O248+($A93*-E93),"")</f>
        <v/>
      </c>
      <c r="C93" s="572" t="str">
        <f t="shared" si="893"/>
        <v/>
      </c>
      <c r="D93" s="576" t="str">
        <f t="shared" si="893"/>
        <v/>
      </c>
      <c r="E93" s="580" t="str">
        <f t="shared" ref="E93:K93" si="894">R248</f>
        <v/>
      </c>
      <c r="F93" s="572" t="str">
        <f t="shared" si="894"/>
        <v/>
      </c>
      <c r="G93" s="579" t="str">
        <f t="shared" si="894"/>
        <v/>
      </c>
      <c r="H93" s="580" t="str">
        <f t="shared" si="894"/>
        <v/>
      </c>
      <c r="I93" s="572" t="str">
        <f t="shared" si="894"/>
        <v/>
      </c>
      <c r="J93" s="483" t="str">
        <f t="shared" si="728"/>
        <v/>
      </c>
      <c r="K93" s="806" t="str">
        <f t="shared" si="894"/>
        <v/>
      </c>
      <c r="L93" s="309"/>
      <c r="M93" s="164" t="str">
        <f t="shared" si="643"/>
        <v/>
      </c>
      <c r="N93" s="575" t="str">
        <f t="shared" si="644"/>
        <v/>
      </c>
      <c r="O93" s="572" t="str">
        <f t="shared" si="645"/>
        <v/>
      </c>
      <c r="P93" s="576" t="str">
        <f t="shared" si="646"/>
        <v/>
      </c>
      <c r="Q93" s="528" t="str">
        <f t="shared" si="729"/>
        <v/>
      </c>
      <c r="R93" s="572" t="str">
        <f t="shared" si="95"/>
        <v/>
      </c>
      <c r="S93" s="577" t="str">
        <f t="shared" si="96"/>
        <v/>
      </c>
      <c r="T93" s="578" t="str">
        <f t="shared" si="97"/>
        <v/>
      </c>
      <c r="U93" s="572" t="str">
        <f t="shared" si="98"/>
        <v/>
      </c>
      <c r="V93" s="579" t="str">
        <f t="shared" si="145"/>
        <v/>
      </c>
      <c r="W93" s="528" t="str">
        <f t="shared" si="866"/>
        <v/>
      </c>
      <c r="X93" s="572" t="str">
        <f t="shared" si="99"/>
        <v/>
      </c>
      <c r="Y93" s="573" t="str">
        <f t="shared" si="859"/>
        <v/>
      </c>
      <c r="Z93" s="575" t="str">
        <f t="shared" si="647"/>
        <v/>
      </c>
      <c r="AA93" s="572" t="str">
        <f t="shared" si="648"/>
        <v/>
      </c>
      <c r="AB93" s="572" t="str">
        <f t="shared" si="649"/>
        <v/>
      </c>
      <c r="AC93" s="579" t="str">
        <f t="shared" si="100"/>
        <v/>
      </c>
      <c r="AD93" s="580" t="str">
        <f t="shared" si="146"/>
        <v/>
      </c>
      <c r="AE93" s="572" t="str">
        <f t="shared" si="101"/>
        <v/>
      </c>
      <c r="AF93" s="576" t="str">
        <f t="shared" si="102"/>
        <v/>
      </c>
      <c r="AG93" s="545" t="str">
        <f t="shared" si="103"/>
        <v/>
      </c>
      <c r="AH93" s="546" t="str">
        <f t="shared" si="104"/>
        <v/>
      </c>
      <c r="AI93" s="528" t="str">
        <f t="shared" si="105"/>
        <v/>
      </c>
      <c r="AJ93" s="529" t="str">
        <f t="shared" si="106"/>
        <v/>
      </c>
      <c r="AK93" s="578" t="str">
        <f t="shared" si="247"/>
        <v/>
      </c>
      <c r="AL93" s="572" t="str">
        <f t="shared" si="107"/>
        <v/>
      </c>
      <c r="AM93" s="577" t="str">
        <f t="shared" si="108"/>
        <v/>
      </c>
      <c r="AN93" s="524" t="str">
        <f t="shared" si="109"/>
        <v/>
      </c>
      <c r="AO93" s="525" t="str">
        <f t="shared" si="604"/>
        <v/>
      </c>
      <c r="AP93" s="528" t="str">
        <f t="shared" si="111"/>
        <v/>
      </c>
      <c r="AQ93" s="529" t="str">
        <f t="shared" si="650"/>
        <v/>
      </c>
      <c r="AS93" s="954" t="str">
        <f t="shared" si="755"/>
        <v/>
      </c>
      <c r="AT93" s="950" t="str">
        <f t="shared" si="651"/>
        <v/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55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713"/>
        <v/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 t="str">
        <f t="shared" si="640"/>
        <v/>
      </c>
      <c r="B94" s="578" t="str">
        <f t="shared" ref="B94:D94" si="895">IFERROR(O249+($A94*-E94),"")</f>
        <v/>
      </c>
      <c r="C94" s="572" t="str">
        <f t="shared" si="895"/>
        <v/>
      </c>
      <c r="D94" s="576" t="str">
        <f t="shared" si="895"/>
        <v/>
      </c>
      <c r="E94" s="580" t="str">
        <f t="shared" ref="E94:K94" si="896">R249</f>
        <v/>
      </c>
      <c r="F94" s="572" t="str">
        <f t="shared" si="896"/>
        <v/>
      </c>
      <c r="G94" s="579" t="str">
        <f t="shared" si="896"/>
        <v/>
      </c>
      <c r="H94" s="580" t="str">
        <f t="shared" si="896"/>
        <v/>
      </c>
      <c r="I94" s="572" t="str">
        <f t="shared" si="896"/>
        <v/>
      </c>
      <c r="J94" s="483" t="str">
        <f t="shared" si="728"/>
        <v/>
      </c>
      <c r="K94" s="806" t="str">
        <f t="shared" si="896"/>
        <v/>
      </c>
      <c r="L94" s="309"/>
      <c r="M94" s="164" t="str">
        <f t="shared" si="643"/>
        <v/>
      </c>
      <c r="N94" s="575" t="str">
        <f t="shared" si="644"/>
        <v/>
      </c>
      <c r="O94" s="572" t="str">
        <f t="shared" si="645"/>
        <v/>
      </c>
      <c r="P94" s="576" t="str">
        <f t="shared" si="646"/>
        <v/>
      </c>
      <c r="Q94" s="528" t="str">
        <f t="shared" si="729"/>
        <v/>
      </c>
      <c r="R94" s="572" t="str">
        <f t="shared" si="95"/>
        <v/>
      </c>
      <c r="S94" s="577" t="str">
        <f t="shared" si="96"/>
        <v/>
      </c>
      <c r="T94" s="578" t="str">
        <f t="shared" si="97"/>
        <v/>
      </c>
      <c r="U94" s="572" t="str">
        <f t="shared" si="98"/>
        <v/>
      </c>
      <c r="V94" s="579" t="str">
        <f t="shared" si="145"/>
        <v/>
      </c>
      <c r="W94" s="528" t="str">
        <f t="shared" si="866"/>
        <v/>
      </c>
      <c r="X94" s="572" t="str">
        <f t="shared" si="99"/>
        <v/>
      </c>
      <c r="Y94" s="573" t="str">
        <f t="shared" si="859"/>
        <v/>
      </c>
      <c r="Z94" s="575" t="str">
        <f t="shared" si="647"/>
        <v/>
      </c>
      <c r="AA94" s="572" t="str">
        <f t="shared" si="648"/>
        <v/>
      </c>
      <c r="AB94" s="572" t="str">
        <f t="shared" si="649"/>
        <v/>
      </c>
      <c r="AC94" s="579" t="str">
        <f t="shared" si="100"/>
        <v/>
      </c>
      <c r="AD94" s="580" t="str">
        <f t="shared" si="146"/>
        <v/>
      </c>
      <c r="AE94" s="572" t="str">
        <f t="shared" si="101"/>
        <v/>
      </c>
      <c r="AF94" s="576" t="str">
        <f t="shared" si="102"/>
        <v/>
      </c>
      <c r="AG94" s="545" t="str">
        <f t="shared" si="103"/>
        <v/>
      </c>
      <c r="AH94" s="546" t="str">
        <f t="shared" si="104"/>
        <v/>
      </c>
      <c r="AI94" s="528" t="str">
        <f t="shared" si="105"/>
        <v/>
      </c>
      <c r="AJ94" s="529" t="str">
        <f t="shared" si="106"/>
        <v/>
      </c>
      <c r="AK94" s="578" t="str">
        <f t="shared" si="247"/>
        <v/>
      </c>
      <c r="AL94" s="572" t="str">
        <f t="shared" si="107"/>
        <v/>
      </c>
      <c r="AM94" s="577" t="str">
        <f t="shared" si="108"/>
        <v/>
      </c>
      <c r="AN94" s="524" t="str">
        <f t="shared" si="109"/>
        <v/>
      </c>
      <c r="AO94" s="525" t="str">
        <f t="shared" si="604"/>
        <v/>
      </c>
      <c r="AP94" s="528" t="str">
        <f t="shared" si="111"/>
        <v/>
      </c>
      <c r="AQ94" s="529" t="str">
        <f t="shared" si="650"/>
        <v/>
      </c>
      <c r="AS94" s="954" t="str">
        <f t="shared" si="755"/>
        <v/>
      </c>
      <c r="AT94" s="950" t="str">
        <f t="shared" si="651"/>
        <v/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55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713"/>
        <v/>
      </c>
      <c r="IM94" s="482" t="str">
        <f t="shared" si="856"/>
        <v/>
      </c>
      <c r="IN94" s="670" t="str">
        <f t="shared" si="714"/>
        <v/>
      </c>
      <c r="IO94" s="702"/>
      <c r="IP94" s="5" t="str">
        <f t="shared" si="715"/>
        <v/>
      </c>
      <c r="IQ94" s="714"/>
      <c r="IR94" s="9" t="str">
        <f t="shared" si="716"/>
        <v/>
      </c>
      <c r="IS94" s="5" t="str">
        <f t="shared" si="717"/>
        <v/>
      </c>
      <c r="IT94" s="5" t="str">
        <f t="shared" si="718"/>
        <v/>
      </c>
      <c r="IU94" s="5" t="str">
        <f t="shared" si="719"/>
        <v/>
      </c>
      <c r="IV94" s="670" t="str">
        <f t="shared" si="720"/>
        <v/>
      </c>
      <c r="IW94" s="9" t="str">
        <f t="shared" si="721"/>
        <v/>
      </c>
      <c r="IX94" s="5" t="str">
        <f t="shared" si="722"/>
        <v/>
      </c>
      <c r="IY94" s="5" t="str">
        <f t="shared" si="723"/>
        <v/>
      </c>
      <c r="IZ94" s="5" t="str">
        <f t="shared" si="724"/>
        <v/>
      </c>
      <c r="JA94" s="705" t="str">
        <f t="shared" si="725"/>
        <v/>
      </c>
      <c r="JN94" s="960"/>
      <c r="JO94" s="162"/>
      <c r="JP94" s="961"/>
      <c r="JQ94" s="961"/>
    </row>
    <row r="95" spans="1:283" ht="15" customHeight="1" x14ac:dyDescent="0.25">
      <c r="A95" s="75" t="str">
        <f t="shared" si="640"/>
        <v/>
      </c>
      <c r="B95" s="578" t="str">
        <f t="shared" ref="B95:D95" si="897">IFERROR(O250+($A95*-E95),"")</f>
        <v/>
      </c>
      <c r="C95" s="572" t="str">
        <f t="shared" si="897"/>
        <v/>
      </c>
      <c r="D95" s="576" t="str">
        <f t="shared" si="897"/>
        <v/>
      </c>
      <c r="E95" s="580" t="str">
        <f t="shared" ref="E95:K95" si="898">R250</f>
        <v/>
      </c>
      <c r="F95" s="572" t="str">
        <f t="shared" si="898"/>
        <v/>
      </c>
      <c r="G95" s="579" t="str">
        <f t="shared" si="898"/>
        <v/>
      </c>
      <c r="H95" s="580" t="str">
        <f t="shared" si="898"/>
        <v/>
      </c>
      <c r="I95" s="572" t="str">
        <f t="shared" si="898"/>
        <v/>
      </c>
      <c r="J95" s="483" t="str">
        <f t="shared" si="728"/>
        <v/>
      </c>
      <c r="K95" s="806" t="str">
        <f t="shared" si="898"/>
        <v/>
      </c>
      <c r="L95" s="309"/>
      <c r="M95" s="164" t="str">
        <f t="shared" si="643"/>
        <v/>
      </c>
      <c r="N95" s="575" t="str">
        <f t="shared" si="644"/>
        <v/>
      </c>
      <c r="O95" s="572" t="str">
        <f t="shared" si="645"/>
        <v/>
      </c>
      <c r="P95" s="576" t="str">
        <f t="shared" si="646"/>
        <v/>
      </c>
      <c r="Q95" s="528" t="str">
        <f t="shared" si="729"/>
        <v/>
      </c>
      <c r="R95" s="572" t="str">
        <f t="shared" si="95"/>
        <v/>
      </c>
      <c r="S95" s="577" t="str">
        <f t="shared" si="96"/>
        <v/>
      </c>
      <c r="T95" s="578" t="str">
        <f t="shared" si="97"/>
        <v/>
      </c>
      <c r="U95" s="572" t="str">
        <f t="shared" si="98"/>
        <v/>
      </c>
      <c r="V95" s="579" t="str">
        <f t="shared" si="145"/>
        <v/>
      </c>
      <c r="W95" s="528" t="str">
        <f t="shared" si="866"/>
        <v/>
      </c>
      <c r="X95" s="572" t="str">
        <f t="shared" si="99"/>
        <v/>
      </c>
      <c r="Y95" s="573" t="str">
        <f t="shared" si="859"/>
        <v/>
      </c>
      <c r="Z95" s="575" t="str">
        <f t="shared" si="647"/>
        <v/>
      </c>
      <c r="AA95" s="572" t="str">
        <f t="shared" si="648"/>
        <v/>
      </c>
      <c r="AB95" s="572" t="str">
        <f t="shared" si="649"/>
        <v/>
      </c>
      <c r="AC95" s="579" t="str">
        <f t="shared" si="100"/>
        <v/>
      </c>
      <c r="AD95" s="580" t="str">
        <f t="shared" si="146"/>
        <v/>
      </c>
      <c r="AE95" s="572" t="str">
        <f t="shared" si="101"/>
        <v/>
      </c>
      <c r="AF95" s="576" t="str">
        <f t="shared" si="102"/>
        <v/>
      </c>
      <c r="AG95" s="545" t="str">
        <f t="shared" si="103"/>
        <v/>
      </c>
      <c r="AH95" s="546" t="str">
        <f t="shared" si="104"/>
        <v/>
      </c>
      <c r="AI95" s="528" t="str">
        <f t="shared" si="105"/>
        <v/>
      </c>
      <c r="AJ95" s="529" t="str">
        <f t="shared" si="106"/>
        <v/>
      </c>
      <c r="AK95" s="578" t="str">
        <f t="shared" si="247"/>
        <v/>
      </c>
      <c r="AL95" s="572" t="str">
        <f t="shared" si="107"/>
        <v/>
      </c>
      <c r="AM95" s="577" t="str">
        <f t="shared" si="108"/>
        <v/>
      </c>
      <c r="AN95" s="524" t="str">
        <f t="shared" si="109"/>
        <v/>
      </c>
      <c r="AO95" s="525" t="str">
        <f t="shared" si="604"/>
        <v/>
      </c>
      <c r="AP95" s="528" t="str">
        <f t="shared" si="111"/>
        <v/>
      </c>
      <c r="AQ95" s="529" t="str">
        <f t="shared" si="650"/>
        <v/>
      </c>
      <c r="AS95" s="954" t="str">
        <f t="shared" si="755"/>
        <v/>
      </c>
      <c r="AT95" s="950" t="str">
        <f t="shared" si="651"/>
        <v/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55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713"/>
        <v/>
      </c>
      <c r="IM95" s="482" t="str">
        <f t="shared" si="856"/>
        <v/>
      </c>
      <c r="IN95" s="670" t="str">
        <f t="shared" si="714"/>
        <v/>
      </c>
      <c r="IO95" s="702"/>
      <c r="IP95" s="5" t="str">
        <f t="shared" si="715"/>
        <v/>
      </c>
      <c r="IQ95" s="714"/>
      <c r="IR95" s="9" t="str">
        <f t="shared" si="716"/>
        <v/>
      </c>
      <c r="IS95" s="5" t="str">
        <f t="shared" si="717"/>
        <v/>
      </c>
      <c r="IT95" s="5" t="str">
        <f t="shared" si="718"/>
        <v/>
      </c>
      <c r="IU95" s="5" t="str">
        <f t="shared" si="719"/>
        <v/>
      </c>
      <c r="IV95" s="670" t="str">
        <f t="shared" si="720"/>
        <v/>
      </c>
      <c r="IW95" s="9" t="str">
        <f t="shared" si="721"/>
        <v/>
      </c>
      <c r="IX95" s="5" t="str">
        <f t="shared" si="722"/>
        <v/>
      </c>
      <c r="IY95" s="5" t="str">
        <f t="shared" si="723"/>
        <v/>
      </c>
      <c r="IZ95" s="5" t="str">
        <f t="shared" si="724"/>
        <v/>
      </c>
      <c r="JA95" s="705" t="str">
        <f t="shared" si="725"/>
        <v/>
      </c>
      <c r="JN95" s="960"/>
      <c r="JO95" s="162"/>
      <c r="JP95" s="961"/>
      <c r="JQ95" s="961"/>
    </row>
    <row r="96" spans="1:283" ht="15" customHeight="1" x14ac:dyDescent="0.25">
      <c r="A96" s="75" t="str">
        <f t="shared" si="640"/>
        <v/>
      </c>
      <c r="B96" s="578" t="str">
        <f t="shared" ref="B96:D96" si="899">IFERROR(O251+($A96*-E96),"")</f>
        <v/>
      </c>
      <c r="C96" s="572" t="str">
        <f t="shared" si="899"/>
        <v/>
      </c>
      <c r="D96" s="576" t="str">
        <f t="shared" si="899"/>
        <v/>
      </c>
      <c r="E96" s="580" t="str">
        <f t="shared" ref="E96:K96" si="900">R251</f>
        <v/>
      </c>
      <c r="F96" s="572" t="str">
        <f t="shared" si="900"/>
        <v/>
      </c>
      <c r="G96" s="579" t="str">
        <f t="shared" si="900"/>
        <v/>
      </c>
      <c r="H96" s="580" t="str">
        <f t="shared" si="900"/>
        <v/>
      </c>
      <c r="I96" s="572" t="str">
        <f t="shared" si="900"/>
        <v/>
      </c>
      <c r="J96" s="483" t="str">
        <f t="shared" si="728"/>
        <v/>
      </c>
      <c r="K96" s="806" t="str">
        <f t="shared" si="900"/>
        <v/>
      </c>
      <c r="L96" s="309"/>
      <c r="M96" s="164" t="str">
        <f t="shared" si="643"/>
        <v/>
      </c>
      <c r="N96" s="575" t="str">
        <f t="shared" si="644"/>
        <v/>
      </c>
      <c r="O96" s="572" t="str">
        <f t="shared" si="645"/>
        <v/>
      </c>
      <c r="P96" s="576" t="str">
        <f t="shared" si="646"/>
        <v/>
      </c>
      <c r="Q96" s="528" t="str">
        <f t="shared" si="729"/>
        <v/>
      </c>
      <c r="R96" s="572" t="str">
        <f t="shared" si="95"/>
        <v/>
      </c>
      <c r="S96" s="577" t="str">
        <f t="shared" si="96"/>
        <v/>
      </c>
      <c r="T96" s="578" t="str">
        <f t="shared" si="97"/>
        <v/>
      </c>
      <c r="U96" s="572" t="str">
        <f t="shared" si="98"/>
        <v/>
      </c>
      <c r="V96" s="579" t="str">
        <f t="shared" si="145"/>
        <v/>
      </c>
      <c r="W96" s="528" t="str">
        <f t="shared" si="866"/>
        <v/>
      </c>
      <c r="X96" s="572" t="str">
        <f t="shared" si="99"/>
        <v/>
      </c>
      <c r="Y96" s="573" t="str">
        <f t="shared" si="859"/>
        <v/>
      </c>
      <c r="Z96" s="575" t="str">
        <f t="shared" si="647"/>
        <v/>
      </c>
      <c r="AA96" s="572" t="str">
        <f t="shared" si="648"/>
        <v/>
      </c>
      <c r="AB96" s="572" t="str">
        <f t="shared" si="649"/>
        <v/>
      </c>
      <c r="AC96" s="579" t="str">
        <f t="shared" si="100"/>
        <v/>
      </c>
      <c r="AD96" s="580" t="str">
        <f t="shared" si="146"/>
        <v/>
      </c>
      <c r="AE96" s="572" t="str">
        <f t="shared" si="101"/>
        <v/>
      </c>
      <c r="AF96" s="576" t="str">
        <f t="shared" si="102"/>
        <v/>
      </c>
      <c r="AG96" s="545" t="str">
        <f t="shared" si="103"/>
        <v/>
      </c>
      <c r="AH96" s="546" t="str">
        <f t="shared" si="104"/>
        <v/>
      </c>
      <c r="AI96" s="528" t="str">
        <f t="shared" si="105"/>
        <v/>
      </c>
      <c r="AJ96" s="529" t="str">
        <f t="shared" si="106"/>
        <v/>
      </c>
      <c r="AK96" s="578" t="str">
        <f t="shared" si="247"/>
        <v/>
      </c>
      <c r="AL96" s="572" t="str">
        <f t="shared" si="107"/>
        <v/>
      </c>
      <c r="AM96" s="577" t="str">
        <f t="shared" si="108"/>
        <v/>
      </c>
      <c r="AN96" s="524" t="str">
        <f t="shared" si="109"/>
        <v/>
      </c>
      <c r="AO96" s="525" t="str">
        <f t="shared" si="604"/>
        <v/>
      </c>
      <c r="AP96" s="528" t="str">
        <f t="shared" si="111"/>
        <v/>
      </c>
      <c r="AQ96" s="529" t="str">
        <f t="shared" si="650"/>
        <v/>
      </c>
      <c r="AS96" s="954" t="str">
        <f t="shared" si="755"/>
        <v/>
      </c>
      <c r="AT96" s="950" t="str">
        <f t="shared" si="651"/>
        <v/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55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713"/>
        <v/>
      </c>
      <c r="IM96" s="482" t="str">
        <f t="shared" si="856"/>
        <v/>
      </c>
      <c r="IN96" s="670" t="str">
        <f t="shared" si="714"/>
        <v/>
      </c>
      <c r="IO96" s="702"/>
      <c r="IP96" s="5" t="str">
        <f t="shared" si="715"/>
        <v/>
      </c>
      <c r="IQ96" s="714"/>
      <c r="IR96" s="9" t="str">
        <f t="shared" si="716"/>
        <v/>
      </c>
      <c r="IS96" s="5" t="str">
        <f t="shared" si="717"/>
        <v/>
      </c>
      <c r="IT96" s="5" t="str">
        <f t="shared" si="718"/>
        <v/>
      </c>
      <c r="IU96" s="5" t="str">
        <f t="shared" si="719"/>
        <v/>
      </c>
      <c r="IV96" s="670" t="str">
        <f t="shared" si="720"/>
        <v/>
      </c>
      <c r="IW96" s="9" t="str">
        <f t="shared" si="721"/>
        <v/>
      </c>
      <c r="IX96" s="5" t="str">
        <f t="shared" si="722"/>
        <v/>
      </c>
      <c r="IY96" s="5" t="str">
        <f t="shared" si="723"/>
        <v/>
      </c>
      <c r="IZ96" s="5" t="str">
        <f t="shared" si="724"/>
        <v/>
      </c>
      <c r="JA96" s="705" t="str">
        <f t="shared" si="725"/>
        <v/>
      </c>
      <c r="JN96" s="960"/>
      <c r="JO96" s="162"/>
      <c r="JP96" s="961"/>
      <c r="JQ96" s="961"/>
    </row>
    <row r="97" spans="1:277" ht="15" customHeight="1" x14ac:dyDescent="0.25">
      <c r="A97" s="75" t="str">
        <f t="shared" si="640"/>
        <v/>
      </c>
      <c r="B97" s="578" t="str">
        <f t="shared" ref="B97:D97" si="901">IFERROR(O252+($A97*-E97),"")</f>
        <v/>
      </c>
      <c r="C97" s="572" t="str">
        <f t="shared" si="901"/>
        <v/>
      </c>
      <c r="D97" s="576" t="str">
        <f t="shared" si="901"/>
        <v/>
      </c>
      <c r="E97" s="580" t="str">
        <f t="shared" ref="E97:K97" si="902">R252</f>
        <v/>
      </c>
      <c r="F97" s="572" t="str">
        <f t="shared" si="902"/>
        <v/>
      </c>
      <c r="G97" s="579" t="str">
        <f t="shared" si="902"/>
        <v/>
      </c>
      <c r="H97" s="580" t="str">
        <f t="shared" si="902"/>
        <v/>
      </c>
      <c r="I97" s="572" t="str">
        <f t="shared" si="902"/>
        <v/>
      </c>
      <c r="J97" s="483" t="str">
        <f t="shared" si="728"/>
        <v/>
      </c>
      <c r="K97" s="806" t="str">
        <f t="shared" si="902"/>
        <v/>
      </c>
      <c r="L97" s="309"/>
      <c r="M97" s="164" t="str">
        <f t="shared" si="643"/>
        <v/>
      </c>
      <c r="N97" s="575" t="str">
        <f t="shared" si="644"/>
        <v/>
      </c>
      <c r="O97" s="572" t="str">
        <f t="shared" si="645"/>
        <v/>
      </c>
      <c r="P97" s="576" t="str">
        <f t="shared" si="646"/>
        <v/>
      </c>
      <c r="Q97" s="528" t="str">
        <f t="shared" si="729"/>
        <v/>
      </c>
      <c r="R97" s="572" t="str">
        <f t="shared" si="95"/>
        <v/>
      </c>
      <c r="S97" s="577" t="str">
        <f t="shared" si="96"/>
        <v/>
      </c>
      <c r="T97" s="578" t="str">
        <f t="shared" si="97"/>
        <v/>
      </c>
      <c r="U97" s="572" t="str">
        <f t="shared" si="98"/>
        <v/>
      </c>
      <c r="V97" s="579" t="str">
        <f t="shared" si="145"/>
        <v/>
      </c>
      <c r="W97" s="528" t="str">
        <f t="shared" si="866"/>
        <v/>
      </c>
      <c r="X97" s="572" t="str">
        <f t="shared" si="99"/>
        <v/>
      </c>
      <c r="Y97" s="573" t="str">
        <f t="shared" si="859"/>
        <v/>
      </c>
      <c r="Z97" s="575" t="str">
        <f t="shared" si="647"/>
        <v/>
      </c>
      <c r="AA97" s="572" t="str">
        <f t="shared" si="648"/>
        <v/>
      </c>
      <c r="AB97" s="572" t="str">
        <f t="shared" si="649"/>
        <v/>
      </c>
      <c r="AC97" s="579" t="str">
        <f t="shared" si="100"/>
        <v/>
      </c>
      <c r="AD97" s="580" t="str">
        <f t="shared" si="146"/>
        <v/>
      </c>
      <c r="AE97" s="572" t="str">
        <f t="shared" si="101"/>
        <v/>
      </c>
      <c r="AF97" s="576" t="str">
        <f t="shared" si="102"/>
        <v/>
      </c>
      <c r="AG97" s="545" t="str">
        <f t="shared" si="103"/>
        <v/>
      </c>
      <c r="AH97" s="546" t="str">
        <f t="shared" si="104"/>
        <v/>
      </c>
      <c r="AI97" s="528" t="str">
        <f t="shared" si="105"/>
        <v/>
      </c>
      <c r="AJ97" s="529" t="str">
        <f t="shared" si="106"/>
        <v/>
      </c>
      <c r="AK97" s="578" t="str">
        <f t="shared" si="247"/>
        <v/>
      </c>
      <c r="AL97" s="572" t="str">
        <f t="shared" si="107"/>
        <v/>
      </c>
      <c r="AM97" s="577" t="str">
        <f t="shared" si="108"/>
        <v/>
      </c>
      <c r="AN97" s="524" t="str">
        <f t="shared" si="109"/>
        <v/>
      </c>
      <c r="AO97" s="525" t="str">
        <f t="shared" si="604"/>
        <v/>
      </c>
      <c r="AP97" s="528" t="str">
        <f t="shared" si="111"/>
        <v/>
      </c>
      <c r="AQ97" s="529" t="str">
        <f t="shared" si="650"/>
        <v/>
      </c>
      <c r="AS97" s="954" t="str">
        <f t="shared" si="755"/>
        <v/>
      </c>
      <c r="AT97" s="950" t="str">
        <f t="shared" si="651"/>
        <v/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55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713"/>
        <v/>
      </c>
      <c r="IM97" s="482" t="str">
        <f t="shared" si="856"/>
        <v/>
      </c>
      <c r="IN97" s="670" t="str">
        <f t="shared" si="714"/>
        <v/>
      </c>
      <c r="IO97" s="702"/>
      <c r="IP97" s="5" t="str">
        <f t="shared" si="715"/>
        <v/>
      </c>
      <c r="IQ97" s="714"/>
      <c r="IR97" s="9" t="str">
        <f t="shared" si="716"/>
        <v/>
      </c>
      <c r="IS97" s="5" t="str">
        <f t="shared" si="717"/>
        <v/>
      </c>
      <c r="IT97" s="5" t="str">
        <f t="shared" si="718"/>
        <v/>
      </c>
      <c r="IU97" s="5" t="str">
        <f t="shared" si="719"/>
        <v/>
      </c>
      <c r="IV97" s="670" t="str">
        <f t="shared" si="720"/>
        <v/>
      </c>
      <c r="IW97" s="9" t="str">
        <f t="shared" si="721"/>
        <v/>
      </c>
      <c r="IX97" s="5" t="str">
        <f t="shared" si="722"/>
        <v/>
      </c>
      <c r="IY97" s="5" t="str">
        <f t="shared" si="723"/>
        <v/>
      </c>
      <c r="IZ97" s="5" t="str">
        <f t="shared" si="724"/>
        <v/>
      </c>
      <c r="JA97" s="705" t="str">
        <f t="shared" si="725"/>
        <v/>
      </c>
      <c r="JN97" s="960"/>
      <c r="JO97" s="162"/>
      <c r="JP97" s="961"/>
      <c r="JQ97" s="961"/>
    </row>
    <row r="98" spans="1:277" ht="15" customHeight="1" x14ac:dyDescent="0.25">
      <c r="A98" s="75" t="str">
        <f t="shared" si="640"/>
        <v/>
      </c>
      <c r="B98" s="578" t="str">
        <f t="shared" ref="B98:D98" si="903">IFERROR(O253+($A98*-E98),"")</f>
        <v/>
      </c>
      <c r="C98" s="572" t="str">
        <f t="shared" si="903"/>
        <v/>
      </c>
      <c r="D98" s="576" t="str">
        <f t="shared" si="903"/>
        <v/>
      </c>
      <c r="E98" s="580" t="str">
        <f t="shared" ref="E98:K98" si="904">R253</f>
        <v/>
      </c>
      <c r="F98" s="572" t="str">
        <f t="shared" si="904"/>
        <v/>
      </c>
      <c r="G98" s="579" t="str">
        <f t="shared" si="904"/>
        <v/>
      </c>
      <c r="H98" s="580" t="str">
        <f t="shared" si="904"/>
        <v/>
      </c>
      <c r="I98" s="572" t="str">
        <f t="shared" si="904"/>
        <v/>
      </c>
      <c r="J98" s="483" t="str">
        <f t="shared" si="728"/>
        <v/>
      </c>
      <c r="K98" s="806" t="str">
        <f t="shared" si="904"/>
        <v/>
      </c>
      <c r="L98" s="309"/>
      <c r="M98" s="164" t="str">
        <f t="shared" si="643"/>
        <v/>
      </c>
      <c r="N98" s="575" t="str">
        <f t="shared" si="644"/>
        <v/>
      </c>
      <c r="O98" s="572" t="str">
        <f t="shared" si="645"/>
        <v/>
      </c>
      <c r="P98" s="576" t="str">
        <f t="shared" si="646"/>
        <v/>
      </c>
      <c r="Q98" s="528" t="str">
        <f t="shared" si="729"/>
        <v/>
      </c>
      <c r="R98" s="572" t="str">
        <f t="shared" si="95"/>
        <v/>
      </c>
      <c r="S98" s="577" t="str">
        <f t="shared" si="96"/>
        <v/>
      </c>
      <c r="T98" s="578" t="str">
        <f t="shared" si="97"/>
        <v/>
      </c>
      <c r="U98" s="572" t="str">
        <f t="shared" si="98"/>
        <v/>
      </c>
      <c r="V98" s="579" t="str">
        <f t="shared" si="145"/>
        <v/>
      </c>
      <c r="W98" s="528" t="str">
        <f t="shared" si="866"/>
        <v/>
      </c>
      <c r="X98" s="572" t="str">
        <f t="shared" si="99"/>
        <v/>
      </c>
      <c r="Y98" s="573" t="str">
        <f t="shared" si="859"/>
        <v/>
      </c>
      <c r="Z98" s="575" t="str">
        <f t="shared" si="647"/>
        <v/>
      </c>
      <c r="AA98" s="572" t="str">
        <f t="shared" si="648"/>
        <v/>
      </c>
      <c r="AB98" s="572" t="str">
        <f t="shared" si="649"/>
        <v/>
      </c>
      <c r="AC98" s="579" t="str">
        <f t="shared" si="100"/>
        <v/>
      </c>
      <c r="AD98" s="580" t="str">
        <f t="shared" si="146"/>
        <v/>
      </c>
      <c r="AE98" s="572" t="str">
        <f t="shared" si="101"/>
        <v/>
      </c>
      <c r="AF98" s="576" t="str">
        <f t="shared" si="102"/>
        <v/>
      </c>
      <c r="AG98" s="545" t="str">
        <f t="shared" si="103"/>
        <v/>
      </c>
      <c r="AH98" s="546" t="str">
        <f t="shared" si="104"/>
        <v/>
      </c>
      <c r="AI98" s="528" t="str">
        <f t="shared" si="105"/>
        <v/>
      </c>
      <c r="AJ98" s="529" t="str">
        <f t="shared" si="106"/>
        <v/>
      </c>
      <c r="AK98" s="578" t="str">
        <f t="shared" si="247"/>
        <v/>
      </c>
      <c r="AL98" s="572" t="str">
        <f t="shared" si="107"/>
        <v/>
      </c>
      <c r="AM98" s="577" t="str">
        <f t="shared" si="108"/>
        <v/>
      </c>
      <c r="AN98" s="524" t="str">
        <f t="shared" si="109"/>
        <v/>
      </c>
      <c r="AO98" s="525" t="str">
        <f t="shared" si="604"/>
        <v/>
      </c>
      <c r="AP98" s="528" t="str">
        <f t="shared" si="111"/>
        <v/>
      </c>
      <c r="AQ98" s="529" t="str">
        <f t="shared" si="650"/>
        <v/>
      </c>
      <c r="AS98" s="954" t="str">
        <f t="shared" si="755"/>
        <v/>
      </c>
      <c r="AT98" s="950" t="str">
        <f t="shared" si="651"/>
        <v/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55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713"/>
        <v/>
      </c>
      <c r="IM98" s="482" t="str">
        <f t="shared" si="856"/>
        <v/>
      </c>
      <c r="IN98" s="670" t="str">
        <f t="shared" si="714"/>
        <v/>
      </c>
      <c r="IO98" s="702"/>
      <c r="IP98" s="5" t="str">
        <f t="shared" si="715"/>
        <v/>
      </c>
      <c r="IQ98" s="714"/>
      <c r="IR98" s="9" t="str">
        <f t="shared" si="716"/>
        <v/>
      </c>
      <c r="IS98" s="5" t="str">
        <f t="shared" si="717"/>
        <v/>
      </c>
      <c r="IT98" s="5" t="str">
        <f t="shared" si="718"/>
        <v/>
      </c>
      <c r="IU98" s="5" t="str">
        <f t="shared" si="719"/>
        <v/>
      </c>
      <c r="IV98" s="670" t="str">
        <f t="shared" si="720"/>
        <v/>
      </c>
      <c r="IW98" s="9" t="str">
        <f t="shared" si="721"/>
        <v/>
      </c>
      <c r="IX98" s="5" t="str">
        <f t="shared" si="722"/>
        <v/>
      </c>
      <c r="IY98" s="5" t="str">
        <f t="shared" si="723"/>
        <v/>
      </c>
      <c r="IZ98" s="5" t="str">
        <f t="shared" si="724"/>
        <v/>
      </c>
      <c r="JA98" s="705" t="str">
        <f t="shared" si="725"/>
        <v/>
      </c>
      <c r="JN98" s="960"/>
      <c r="JO98" s="162"/>
      <c r="JP98" s="961"/>
      <c r="JQ98" s="961"/>
    </row>
    <row r="99" spans="1:277" ht="15" customHeight="1" x14ac:dyDescent="0.25">
      <c r="A99" s="75" t="str">
        <f t="shared" si="640"/>
        <v/>
      </c>
      <c r="B99" s="578" t="str">
        <f t="shared" ref="B99:D99" si="905">IFERROR(O254+($A99*-E99),"")</f>
        <v/>
      </c>
      <c r="C99" s="572" t="str">
        <f t="shared" si="905"/>
        <v/>
      </c>
      <c r="D99" s="576" t="str">
        <f t="shared" si="905"/>
        <v/>
      </c>
      <c r="E99" s="580" t="str">
        <f t="shared" ref="E99:K99" si="906">R254</f>
        <v/>
      </c>
      <c r="F99" s="572" t="str">
        <f t="shared" si="906"/>
        <v/>
      </c>
      <c r="G99" s="579" t="str">
        <f t="shared" si="906"/>
        <v/>
      </c>
      <c r="H99" s="580" t="str">
        <f t="shared" si="906"/>
        <v/>
      </c>
      <c r="I99" s="572" t="str">
        <f t="shared" si="906"/>
        <v/>
      </c>
      <c r="J99" s="483" t="str">
        <f t="shared" si="728"/>
        <v/>
      </c>
      <c r="K99" s="806" t="str">
        <f t="shared" si="906"/>
        <v/>
      </c>
      <c r="L99" s="309"/>
      <c r="M99" s="164" t="str">
        <f t="shared" si="643"/>
        <v/>
      </c>
      <c r="N99" s="575" t="str">
        <f t="shared" si="644"/>
        <v/>
      </c>
      <c r="O99" s="572" t="str">
        <f t="shared" si="645"/>
        <v/>
      </c>
      <c r="P99" s="576" t="str">
        <f t="shared" si="646"/>
        <v/>
      </c>
      <c r="Q99" s="528" t="str">
        <f t="shared" si="729"/>
        <v/>
      </c>
      <c r="R99" s="572" t="str">
        <f t="shared" si="95"/>
        <v/>
      </c>
      <c r="S99" s="577" t="str">
        <f t="shared" si="96"/>
        <v/>
      </c>
      <c r="T99" s="578" t="str">
        <f t="shared" si="97"/>
        <v/>
      </c>
      <c r="U99" s="572" t="str">
        <f t="shared" si="98"/>
        <v/>
      </c>
      <c r="V99" s="579" t="str">
        <f t="shared" si="145"/>
        <v/>
      </c>
      <c r="W99" s="528" t="str">
        <f t="shared" si="866"/>
        <v/>
      </c>
      <c r="X99" s="572" t="str">
        <f t="shared" si="99"/>
        <v/>
      </c>
      <c r="Y99" s="573" t="str">
        <f t="shared" si="859"/>
        <v/>
      </c>
      <c r="Z99" s="575" t="str">
        <f t="shared" si="647"/>
        <v/>
      </c>
      <c r="AA99" s="572" t="str">
        <f t="shared" si="648"/>
        <v/>
      </c>
      <c r="AB99" s="572" t="str">
        <f t="shared" si="649"/>
        <v/>
      </c>
      <c r="AC99" s="579" t="str">
        <f t="shared" si="100"/>
        <v/>
      </c>
      <c r="AD99" s="580" t="str">
        <f t="shared" si="146"/>
        <v/>
      </c>
      <c r="AE99" s="572" t="str">
        <f t="shared" si="101"/>
        <v/>
      </c>
      <c r="AF99" s="576" t="str">
        <f t="shared" si="102"/>
        <v/>
      </c>
      <c r="AG99" s="545" t="str">
        <f t="shared" si="103"/>
        <v/>
      </c>
      <c r="AH99" s="546" t="str">
        <f t="shared" si="104"/>
        <v/>
      </c>
      <c r="AI99" s="528" t="str">
        <f t="shared" si="105"/>
        <v/>
      </c>
      <c r="AJ99" s="529" t="str">
        <f t="shared" si="106"/>
        <v/>
      </c>
      <c r="AK99" s="578" t="str">
        <f t="shared" si="247"/>
        <v/>
      </c>
      <c r="AL99" s="572" t="str">
        <f t="shared" si="107"/>
        <v/>
      </c>
      <c r="AM99" s="577" t="str">
        <f t="shared" si="108"/>
        <v/>
      </c>
      <c r="AN99" s="524" t="str">
        <f t="shared" si="109"/>
        <v/>
      </c>
      <c r="AO99" s="525" t="str">
        <f t="shared" si="604"/>
        <v/>
      </c>
      <c r="AP99" s="528" t="str">
        <f t="shared" si="111"/>
        <v/>
      </c>
      <c r="AQ99" s="529" t="str">
        <f t="shared" si="650"/>
        <v/>
      </c>
      <c r="AS99" s="954" t="str">
        <f t="shared" si="755"/>
        <v/>
      </c>
      <c r="AT99" s="950" t="str">
        <f t="shared" si="651"/>
        <v/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55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713"/>
        <v/>
      </c>
      <c r="IM99" s="482" t="str">
        <f t="shared" si="856"/>
        <v/>
      </c>
      <c r="IN99" s="670" t="str">
        <f t="shared" si="714"/>
        <v/>
      </c>
      <c r="IO99" s="702"/>
      <c r="IP99" s="5" t="str">
        <f t="shared" si="715"/>
        <v/>
      </c>
      <c r="IQ99" s="714"/>
      <c r="IR99" s="9" t="str">
        <f t="shared" si="716"/>
        <v/>
      </c>
      <c r="IS99" s="5" t="str">
        <f t="shared" si="717"/>
        <v/>
      </c>
      <c r="IT99" s="5" t="str">
        <f t="shared" si="718"/>
        <v/>
      </c>
      <c r="IU99" s="5" t="str">
        <f t="shared" si="719"/>
        <v/>
      </c>
      <c r="IV99" s="670" t="str">
        <f t="shared" si="720"/>
        <v/>
      </c>
      <c r="IW99" s="9" t="str">
        <f t="shared" si="721"/>
        <v/>
      </c>
      <c r="IX99" s="5" t="str">
        <f t="shared" si="722"/>
        <v/>
      </c>
      <c r="IY99" s="5" t="str">
        <f t="shared" si="723"/>
        <v/>
      </c>
      <c r="IZ99" s="5" t="str">
        <f t="shared" si="724"/>
        <v/>
      </c>
      <c r="JA99" s="705" t="str">
        <f t="shared" si="725"/>
        <v/>
      </c>
      <c r="JN99" s="960"/>
      <c r="JO99" s="162"/>
      <c r="JP99" s="961"/>
      <c r="JQ99" s="961"/>
    </row>
    <row r="100" spans="1:277" ht="15" customHeight="1" x14ac:dyDescent="0.25">
      <c r="A100" s="75" t="str">
        <f t="shared" si="640"/>
        <v/>
      </c>
      <c r="B100" s="578" t="str">
        <f t="shared" ref="B100:D100" si="907">IFERROR(O255+($A100*-E100),"")</f>
        <v/>
      </c>
      <c r="C100" s="572" t="str">
        <f t="shared" si="907"/>
        <v/>
      </c>
      <c r="D100" s="576" t="str">
        <f t="shared" si="907"/>
        <v/>
      </c>
      <c r="E100" s="580" t="str">
        <f t="shared" ref="E100:K100" si="908">R255</f>
        <v/>
      </c>
      <c r="F100" s="572" t="str">
        <f t="shared" si="908"/>
        <v/>
      </c>
      <c r="G100" s="579" t="str">
        <f t="shared" si="908"/>
        <v/>
      </c>
      <c r="H100" s="580" t="str">
        <f t="shared" si="908"/>
        <v/>
      </c>
      <c r="I100" s="572" t="str">
        <f t="shared" si="908"/>
        <v/>
      </c>
      <c r="J100" s="483" t="str">
        <f t="shared" si="728"/>
        <v/>
      </c>
      <c r="K100" s="806" t="str">
        <f t="shared" si="908"/>
        <v/>
      </c>
      <c r="L100" s="309"/>
      <c r="M100" s="164" t="str">
        <f t="shared" si="643"/>
        <v/>
      </c>
      <c r="N100" s="575" t="str">
        <f t="shared" si="644"/>
        <v/>
      </c>
      <c r="O100" s="572" t="str">
        <f t="shared" si="645"/>
        <v/>
      </c>
      <c r="P100" s="576" t="str">
        <f t="shared" si="646"/>
        <v/>
      </c>
      <c r="Q100" s="528" t="str">
        <f t="shared" si="729"/>
        <v/>
      </c>
      <c r="R100" s="572" t="str">
        <f t="shared" si="95"/>
        <v/>
      </c>
      <c r="S100" s="577" t="str">
        <f t="shared" si="96"/>
        <v/>
      </c>
      <c r="T100" s="578" t="str">
        <f t="shared" si="97"/>
        <v/>
      </c>
      <c r="U100" s="572" t="str">
        <f t="shared" si="98"/>
        <v/>
      </c>
      <c r="V100" s="579" t="str">
        <f t="shared" si="145"/>
        <v/>
      </c>
      <c r="W100" s="528" t="str">
        <f t="shared" si="866"/>
        <v/>
      </c>
      <c r="X100" s="572" t="str">
        <f t="shared" si="99"/>
        <v/>
      </c>
      <c r="Y100" s="573" t="str">
        <f t="shared" si="859"/>
        <v/>
      </c>
      <c r="Z100" s="575" t="str">
        <f t="shared" si="647"/>
        <v/>
      </c>
      <c r="AA100" s="572" t="str">
        <f t="shared" si="648"/>
        <v/>
      </c>
      <c r="AB100" s="572" t="str">
        <f t="shared" si="649"/>
        <v/>
      </c>
      <c r="AC100" s="579" t="str">
        <f t="shared" si="100"/>
        <v/>
      </c>
      <c r="AD100" s="580" t="str">
        <f t="shared" si="146"/>
        <v/>
      </c>
      <c r="AE100" s="572" t="str">
        <f t="shared" si="101"/>
        <v/>
      </c>
      <c r="AF100" s="576" t="str">
        <f t="shared" si="102"/>
        <v/>
      </c>
      <c r="AG100" s="545" t="str">
        <f t="shared" si="103"/>
        <v/>
      </c>
      <c r="AH100" s="546" t="str">
        <f t="shared" si="104"/>
        <v/>
      </c>
      <c r="AI100" s="528" t="str">
        <f t="shared" si="105"/>
        <v/>
      </c>
      <c r="AJ100" s="529" t="str">
        <f t="shared" si="106"/>
        <v/>
      </c>
      <c r="AK100" s="578" t="str">
        <f t="shared" si="247"/>
        <v/>
      </c>
      <c r="AL100" s="572" t="str">
        <f t="shared" si="107"/>
        <v/>
      </c>
      <c r="AM100" s="577" t="str">
        <f t="shared" si="108"/>
        <v/>
      </c>
      <c r="AN100" s="524" t="str">
        <f t="shared" si="109"/>
        <v/>
      </c>
      <c r="AO100" s="525" t="str">
        <f t="shared" si="604"/>
        <v/>
      </c>
      <c r="AP100" s="528" t="str">
        <f t="shared" si="111"/>
        <v/>
      </c>
      <c r="AQ100" s="529" t="str">
        <f t="shared" si="650"/>
        <v/>
      </c>
      <c r="AS100" s="954" t="str">
        <f t="shared" si="755"/>
        <v/>
      </c>
      <c r="AT100" s="950" t="str">
        <f t="shared" si="651"/>
        <v/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55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713"/>
        <v/>
      </c>
      <c r="IM100" s="482" t="str">
        <f t="shared" si="856"/>
        <v/>
      </c>
      <c r="IN100" s="670" t="str">
        <f t="shared" si="714"/>
        <v/>
      </c>
      <c r="IO100" s="702"/>
      <c r="IP100" s="5" t="str">
        <f t="shared" si="715"/>
        <v/>
      </c>
      <c r="IQ100" s="714"/>
      <c r="IR100" s="9" t="str">
        <f t="shared" si="716"/>
        <v/>
      </c>
      <c r="IS100" s="5" t="str">
        <f t="shared" si="717"/>
        <v/>
      </c>
      <c r="IT100" s="5" t="str">
        <f t="shared" si="718"/>
        <v/>
      </c>
      <c r="IU100" s="5" t="str">
        <f t="shared" si="719"/>
        <v/>
      </c>
      <c r="IV100" s="670" t="str">
        <f t="shared" si="720"/>
        <v/>
      </c>
      <c r="IW100" s="9" t="str">
        <f t="shared" si="721"/>
        <v/>
      </c>
      <c r="IX100" s="5" t="str">
        <f t="shared" si="722"/>
        <v/>
      </c>
      <c r="IY100" s="5" t="str">
        <f t="shared" si="723"/>
        <v/>
      </c>
      <c r="IZ100" s="5" t="str">
        <f t="shared" si="724"/>
        <v/>
      </c>
      <c r="JA100" s="705" t="str">
        <f t="shared" si="725"/>
        <v/>
      </c>
      <c r="JN100" s="960"/>
      <c r="JO100" s="162"/>
      <c r="JP100" s="961"/>
      <c r="JQ100" s="961"/>
    </row>
    <row r="101" spans="1:277" ht="15" customHeight="1" x14ac:dyDescent="0.25">
      <c r="A101" s="75" t="str">
        <f t="shared" si="640"/>
        <v/>
      </c>
      <c r="B101" s="578" t="str">
        <f t="shared" ref="B101:D101" si="909">IFERROR(O256+($A101*-E101),"")</f>
        <v/>
      </c>
      <c r="C101" s="572" t="str">
        <f t="shared" si="909"/>
        <v/>
      </c>
      <c r="D101" s="576" t="str">
        <f t="shared" si="909"/>
        <v/>
      </c>
      <c r="E101" s="580" t="str">
        <f t="shared" ref="E101:K101" si="910">R256</f>
        <v/>
      </c>
      <c r="F101" s="572" t="str">
        <f t="shared" si="910"/>
        <v/>
      </c>
      <c r="G101" s="579" t="str">
        <f t="shared" si="910"/>
        <v/>
      </c>
      <c r="H101" s="580" t="str">
        <f t="shared" si="910"/>
        <v/>
      </c>
      <c r="I101" s="572" t="str">
        <f t="shared" si="910"/>
        <v/>
      </c>
      <c r="J101" s="483" t="str">
        <f t="shared" si="728"/>
        <v/>
      </c>
      <c r="K101" s="806" t="str">
        <f t="shared" si="910"/>
        <v/>
      </c>
      <c r="L101" s="309"/>
      <c r="M101" s="164" t="str">
        <f t="shared" si="643"/>
        <v/>
      </c>
      <c r="N101" s="575" t="str">
        <f t="shared" si="644"/>
        <v/>
      </c>
      <c r="O101" s="572" t="str">
        <f t="shared" si="645"/>
        <v/>
      </c>
      <c r="P101" s="576" t="str">
        <f t="shared" si="646"/>
        <v/>
      </c>
      <c r="Q101" s="528" t="str">
        <f t="shared" si="729"/>
        <v/>
      </c>
      <c r="R101" s="572" t="str">
        <f t="shared" si="95"/>
        <v/>
      </c>
      <c r="S101" s="577" t="str">
        <f t="shared" si="96"/>
        <v/>
      </c>
      <c r="T101" s="578" t="str">
        <f t="shared" si="97"/>
        <v/>
      </c>
      <c r="U101" s="572" t="str">
        <f t="shared" si="98"/>
        <v/>
      </c>
      <c r="V101" s="579" t="str">
        <f t="shared" si="145"/>
        <v/>
      </c>
      <c r="W101" s="528" t="str">
        <f t="shared" si="866"/>
        <v/>
      </c>
      <c r="X101" s="572" t="str">
        <f t="shared" si="99"/>
        <v/>
      </c>
      <c r="Y101" s="573" t="str">
        <f t="shared" si="859"/>
        <v/>
      </c>
      <c r="Z101" s="575" t="str">
        <f t="shared" si="647"/>
        <v/>
      </c>
      <c r="AA101" s="572" t="str">
        <f t="shared" si="648"/>
        <v/>
      </c>
      <c r="AB101" s="572" t="str">
        <f t="shared" si="649"/>
        <v/>
      </c>
      <c r="AC101" s="579" t="str">
        <f t="shared" si="100"/>
        <v/>
      </c>
      <c r="AD101" s="580" t="str">
        <f t="shared" si="146"/>
        <v/>
      </c>
      <c r="AE101" s="572" t="str">
        <f t="shared" si="101"/>
        <v/>
      </c>
      <c r="AF101" s="576" t="str">
        <f t="shared" si="102"/>
        <v/>
      </c>
      <c r="AG101" s="545" t="str">
        <f t="shared" si="103"/>
        <v/>
      </c>
      <c r="AH101" s="546" t="str">
        <f t="shared" si="104"/>
        <v/>
      </c>
      <c r="AI101" s="528" t="str">
        <f t="shared" si="105"/>
        <v/>
      </c>
      <c r="AJ101" s="529" t="str">
        <f t="shared" si="106"/>
        <v/>
      </c>
      <c r="AK101" s="578" t="str">
        <f t="shared" si="247"/>
        <v/>
      </c>
      <c r="AL101" s="572" t="str">
        <f t="shared" si="107"/>
        <v/>
      </c>
      <c r="AM101" s="577" t="str">
        <f t="shared" si="108"/>
        <v/>
      </c>
      <c r="AN101" s="524" t="str">
        <f t="shared" si="109"/>
        <v/>
      </c>
      <c r="AO101" s="525" t="str">
        <f t="shared" si="604"/>
        <v/>
      </c>
      <c r="AP101" s="528" t="str">
        <f t="shared" si="111"/>
        <v/>
      </c>
      <c r="AQ101" s="529" t="str">
        <f t="shared" si="650"/>
        <v/>
      </c>
      <c r="AS101" s="954" t="str">
        <f t="shared" si="755"/>
        <v/>
      </c>
      <c r="AT101" s="950" t="str">
        <f t="shared" si="651"/>
        <v/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55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713"/>
        <v/>
      </c>
      <c r="IM101" s="482" t="str">
        <f t="shared" si="856"/>
        <v/>
      </c>
      <c r="IN101" s="670" t="str">
        <f t="shared" si="714"/>
        <v/>
      </c>
      <c r="IO101" s="702"/>
      <c r="IP101" s="5" t="str">
        <f t="shared" si="715"/>
        <v/>
      </c>
      <c r="IQ101" s="714"/>
      <c r="IR101" s="9" t="str">
        <f t="shared" si="716"/>
        <v/>
      </c>
      <c r="IS101" s="5" t="str">
        <f t="shared" si="717"/>
        <v/>
      </c>
      <c r="IT101" s="5" t="str">
        <f t="shared" si="718"/>
        <v/>
      </c>
      <c r="IU101" s="5" t="str">
        <f t="shared" si="719"/>
        <v/>
      </c>
      <c r="IV101" s="670" t="str">
        <f t="shared" si="720"/>
        <v/>
      </c>
      <c r="IW101" s="9" t="str">
        <f t="shared" si="721"/>
        <v/>
      </c>
      <c r="IX101" s="5" t="str">
        <f t="shared" si="722"/>
        <v/>
      </c>
      <c r="IY101" s="5" t="str">
        <f t="shared" si="723"/>
        <v/>
      </c>
      <c r="IZ101" s="5" t="str">
        <f t="shared" si="724"/>
        <v/>
      </c>
      <c r="JA101" s="705" t="str">
        <f t="shared" si="725"/>
        <v/>
      </c>
      <c r="JN101" s="960"/>
      <c r="JO101" s="162"/>
      <c r="JP101" s="961"/>
      <c r="JQ101" s="961"/>
    </row>
    <row r="102" spans="1:277" ht="15" customHeight="1" x14ac:dyDescent="0.25">
      <c r="A102" s="75" t="str">
        <f t="shared" si="640"/>
        <v/>
      </c>
      <c r="B102" s="578" t="str">
        <f t="shared" ref="B102:D102" si="911">IFERROR(O257+($A102*-E102),"")</f>
        <v/>
      </c>
      <c r="C102" s="572" t="str">
        <f t="shared" si="911"/>
        <v/>
      </c>
      <c r="D102" s="576" t="str">
        <f t="shared" si="911"/>
        <v/>
      </c>
      <c r="E102" s="580" t="str">
        <f t="shared" ref="E102:K102" si="912">R257</f>
        <v/>
      </c>
      <c r="F102" s="572" t="str">
        <f t="shared" si="912"/>
        <v/>
      </c>
      <c r="G102" s="579" t="str">
        <f t="shared" si="912"/>
        <v/>
      </c>
      <c r="H102" s="580" t="str">
        <f t="shared" si="912"/>
        <v/>
      </c>
      <c r="I102" s="572" t="str">
        <f t="shared" si="912"/>
        <v/>
      </c>
      <c r="J102" s="483" t="str">
        <f t="shared" si="728"/>
        <v/>
      </c>
      <c r="K102" s="806" t="str">
        <f t="shared" si="912"/>
        <v/>
      </c>
      <c r="L102" s="309"/>
      <c r="M102" s="164" t="str">
        <f t="shared" si="643"/>
        <v/>
      </c>
      <c r="N102" s="575" t="str">
        <f t="shared" si="644"/>
        <v/>
      </c>
      <c r="O102" s="572" t="str">
        <f t="shared" si="645"/>
        <v/>
      </c>
      <c r="P102" s="576" t="str">
        <f t="shared" si="646"/>
        <v/>
      </c>
      <c r="Q102" s="528" t="str">
        <f t="shared" si="729"/>
        <v/>
      </c>
      <c r="R102" s="572" t="str">
        <f t="shared" si="95"/>
        <v/>
      </c>
      <c r="S102" s="577" t="str">
        <f t="shared" si="96"/>
        <v/>
      </c>
      <c r="T102" s="578" t="str">
        <f t="shared" si="97"/>
        <v/>
      </c>
      <c r="U102" s="572" t="str">
        <f t="shared" si="98"/>
        <v/>
      </c>
      <c r="V102" s="579" t="str">
        <f t="shared" si="145"/>
        <v/>
      </c>
      <c r="W102" s="528" t="str">
        <f t="shared" si="866"/>
        <v/>
      </c>
      <c r="X102" s="572" t="str">
        <f t="shared" si="99"/>
        <v/>
      </c>
      <c r="Y102" s="573" t="str">
        <f t="shared" si="859"/>
        <v/>
      </c>
      <c r="Z102" s="575" t="str">
        <f t="shared" si="647"/>
        <v/>
      </c>
      <c r="AA102" s="572" t="str">
        <f t="shared" si="648"/>
        <v/>
      </c>
      <c r="AB102" s="572" t="str">
        <f t="shared" si="649"/>
        <v/>
      </c>
      <c r="AC102" s="579" t="str">
        <f t="shared" si="100"/>
        <v/>
      </c>
      <c r="AD102" s="580" t="str">
        <f t="shared" si="146"/>
        <v/>
      </c>
      <c r="AE102" s="572" t="str">
        <f t="shared" si="101"/>
        <v/>
      </c>
      <c r="AF102" s="576" t="str">
        <f t="shared" si="102"/>
        <v/>
      </c>
      <c r="AG102" s="545" t="str">
        <f t="shared" si="103"/>
        <v/>
      </c>
      <c r="AH102" s="546" t="str">
        <f t="shared" si="104"/>
        <v/>
      </c>
      <c r="AI102" s="528" t="str">
        <f t="shared" si="105"/>
        <v/>
      </c>
      <c r="AJ102" s="529" t="str">
        <f t="shared" si="106"/>
        <v/>
      </c>
      <c r="AK102" s="578" t="str">
        <f t="shared" si="247"/>
        <v/>
      </c>
      <c r="AL102" s="572" t="str">
        <f t="shared" si="107"/>
        <v/>
      </c>
      <c r="AM102" s="577" t="str">
        <f t="shared" si="108"/>
        <v/>
      </c>
      <c r="AN102" s="524" t="str">
        <f t="shared" si="109"/>
        <v/>
      </c>
      <c r="AO102" s="525" t="str">
        <f t="shared" si="604"/>
        <v/>
      </c>
      <c r="AP102" s="528" t="str">
        <f t="shared" si="111"/>
        <v/>
      </c>
      <c r="AQ102" s="529" t="str">
        <f t="shared" si="650"/>
        <v/>
      </c>
      <c r="AS102" s="954" t="str">
        <f t="shared" si="755"/>
        <v/>
      </c>
      <c r="AT102" s="950" t="str">
        <f t="shared" si="651"/>
        <v/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55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713"/>
        <v/>
      </c>
      <c r="IM102" s="482" t="str">
        <f t="shared" si="856"/>
        <v/>
      </c>
      <c r="IN102" s="670" t="str">
        <f t="shared" si="714"/>
        <v/>
      </c>
      <c r="IO102" s="702"/>
      <c r="IP102" s="5" t="str">
        <f t="shared" si="715"/>
        <v/>
      </c>
      <c r="IQ102" s="714"/>
      <c r="IR102" s="9" t="str">
        <f t="shared" si="716"/>
        <v/>
      </c>
      <c r="IS102" s="5" t="str">
        <f t="shared" si="717"/>
        <v/>
      </c>
      <c r="IT102" s="5" t="str">
        <f t="shared" si="718"/>
        <v/>
      </c>
      <c r="IU102" s="5" t="str">
        <f t="shared" si="719"/>
        <v/>
      </c>
      <c r="IV102" s="670" t="str">
        <f t="shared" si="720"/>
        <v/>
      </c>
      <c r="IW102" s="9" t="str">
        <f t="shared" si="721"/>
        <v/>
      </c>
      <c r="IX102" s="5" t="str">
        <f t="shared" si="722"/>
        <v/>
      </c>
      <c r="IY102" s="5" t="str">
        <f t="shared" si="723"/>
        <v/>
      </c>
      <c r="IZ102" s="5" t="str">
        <f t="shared" si="724"/>
        <v/>
      </c>
      <c r="JA102" s="705" t="str">
        <f t="shared" si="725"/>
        <v/>
      </c>
      <c r="JN102" s="960"/>
      <c r="JO102" s="162"/>
      <c r="JP102" s="961"/>
      <c r="JQ102" s="961"/>
    </row>
    <row r="103" spans="1:277" ht="15" customHeight="1" x14ac:dyDescent="0.25">
      <c r="A103" s="75" t="str">
        <f t="shared" si="640"/>
        <v/>
      </c>
      <c r="B103" s="578" t="str">
        <f t="shared" ref="B103:D103" si="913">IFERROR(O258+($A103*-E103),"")</f>
        <v/>
      </c>
      <c r="C103" s="572" t="str">
        <f t="shared" si="913"/>
        <v/>
      </c>
      <c r="D103" s="576" t="str">
        <f t="shared" si="913"/>
        <v/>
      </c>
      <c r="E103" s="580" t="str">
        <f t="shared" ref="E103:K103" si="914">R258</f>
        <v/>
      </c>
      <c r="F103" s="572" t="str">
        <f t="shared" si="914"/>
        <v/>
      </c>
      <c r="G103" s="579" t="str">
        <f t="shared" si="914"/>
        <v/>
      </c>
      <c r="H103" s="580" t="str">
        <f t="shared" si="914"/>
        <v/>
      </c>
      <c r="I103" s="572" t="str">
        <f t="shared" si="914"/>
        <v/>
      </c>
      <c r="J103" s="483" t="str">
        <f t="shared" si="728"/>
        <v/>
      </c>
      <c r="K103" s="806" t="str">
        <f t="shared" si="914"/>
        <v/>
      </c>
      <c r="L103" s="309"/>
      <c r="M103" s="164" t="str">
        <f t="shared" si="643"/>
        <v/>
      </c>
      <c r="N103" s="575" t="str">
        <f t="shared" si="644"/>
        <v/>
      </c>
      <c r="O103" s="572" t="str">
        <f t="shared" si="645"/>
        <v/>
      </c>
      <c r="P103" s="576" t="str">
        <f t="shared" si="646"/>
        <v/>
      </c>
      <c r="Q103" s="528" t="str">
        <f t="shared" si="729"/>
        <v/>
      </c>
      <c r="R103" s="572" t="str">
        <f t="shared" si="95"/>
        <v/>
      </c>
      <c r="S103" s="577" t="str">
        <f t="shared" si="96"/>
        <v/>
      </c>
      <c r="T103" s="578" t="str">
        <f t="shared" si="97"/>
        <v/>
      </c>
      <c r="U103" s="572" t="str">
        <f t="shared" si="98"/>
        <v/>
      </c>
      <c r="V103" s="579" t="str">
        <f t="shared" si="145"/>
        <v/>
      </c>
      <c r="W103" s="528" t="str">
        <f t="shared" si="866"/>
        <v/>
      </c>
      <c r="X103" s="572" t="str">
        <f t="shared" si="99"/>
        <v/>
      </c>
      <c r="Y103" s="573" t="str">
        <f t="shared" si="859"/>
        <v/>
      </c>
      <c r="Z103" s="575" t="str">
        <f t="shared" si="647"/>
        <v/>
      </c>
      <c r="AA103" s="572" t="str">
        <f t="shared" si="648"/>
        <v/>
      </c>
      <c r="AB103" s="572" t="str">
        <f t="shared" si="649"/>
        <v/>
      </c>
      <c r="AC103" s="579" t="str">
        <f t="shared" si="100"/>
        <v/>
      </c>
      <c r="AD103" s="580" t="str">
        <f t="shared" si="146"/>
        <v/>
      </c>
      <c r="AE103" s="572" t="str">
        <f t="shared" si="101"/>
        <v/>
      </c>
      <c r="AF103" s="576" t="str">
        <f t="shared" si="102"/>
        <v/>
      </c>
      <c r="AG103" s="545" t="str">
        <f t="shared" si="103"/>
        <v/>
      </c>
      <c r="AH103" s="546" t="str">
        <f t="shared" si="104"/>
        <v/>
      </c>
      <c r="AI103" s="528" t="str">
        <f t="shared" si="105"/>
        <v/>
      </c>
      <c r="AJ103" s="529" t="str">
        <f t="shared" si="106"/>
        <v/>
      </c>
      <c r="AK103" s="578" t="str">
        <f t="shared" si="247"/>
        <v/>
      </c>
      <c r="AL103" s="572" t="str">
        <f t="shared" si="107"/>
        <v/>
      </c>
      <c r="AM103" s="577" t="str">
        <f t="shared" si="108"/>
        <v/>
      </c>
      <c r="AN103" s="524" t="str">
        <f t="shared" si="109"/>
        <v/>
      </c>
      <c r="AO103" s="525" t="str">
        <f t="shared" si="604"/>
        <v/>
      </c>
      <c r="AP103" s="528" t="str">
        <f t="shared" si="111"/>
        <v/>
      </c>
      <c r="AQ103" s="529" t="str">
        <f t="shared" si="650"/>
        <v/>
      </c>
      <c r="AS103" s="954" t="str">
        <f t="shared" si="755"/>
        <v/>
      </c>
      <c r="AT103" s="950" t="str">
        <f t="shared" si="651"/>
        <v/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55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713"/>
        <v/>
      </c>
      <c r="IM103" s="482" t="str">
        <f t="shared" si="856"/>
        <v/>
      </c>
      <c r="IN103" s="670" t="str">
        <f t="shared" si="714"/>
        <v/>
      </c>
      <c r="IO103" s="702"/>
      <c r="IP103" s="5" t="str">
        <f t="shared" si="715"/>
        <v/>
      </c>
      <c r="IQ103" s="714"/>
      <c r="IR103" s="9" t="str">
        <f t="shared" si="716"/>
        <v/>
      </c>
      <c r="IS103" s="5" t="str">
        <f t="shared" si="717"/>
        <v/>
      </c>
      <c r="IT103" s="5" t="str">
        <f t="shared" si="718"/>
        <v/>
      </c>
      <c r="IU103" s="5" t="str">
        <f t="shared" si="719"/>
        <v/>
      </c>
      <c r="IV103" s="670" t="str">
        <f t="shared" si="720"/>
        <v/>
      </c>
      <c r="IW103" s="9" t="str">
        <f t="shared" si="721"/>
        <v/>
      </c>
      <c r="IX103" s="5" t="str">
        <f t="shared" si="722"/>
        <v/>
      </c>
      <c r="IY103" s="5" t="str">
        <f t="shared" si="723"/>
        <v/>
      </c>
      <c r="IZ103" s="5" t="str">
        <f t="shared" si="724"/>
        <v/>
      </c>
      <c r="JA103" s="705" t="str">
        <f t="shared" si="725"/>
        <v/>
      </c>
      <c r="JN103" s="960"/>
      <c r="JO103" s="162"/>
      <c r="JP103" s="961"/>
      <c r="JQ103" s="961"/>
    </row>
    <row r="104" spans="1:277" ht="15" customHeight="1" x14ac:dyDescent="0.25">
      <c r="A104" s="75" t="str">
        <f t="shared" si="640"/>
        <v/>
      </c>
      <c r="B104" s="578" t="str">
        <f t="shared" ref="B104:D104" si="915">IFERROR(O259+($A104*-E104),"")</f>
        <v/>
      </c>
      <c r="C104" s="572" t="str">
        <f t="shared" si="915"/>
        <v/>
      </c>
      <c r="D104" s="576" t="str">
        <f t="shared" si="915"/>
        <v/>
      </c>
      <c r="E104" s="580" t="str">
        <f t="shared" ref="E104:K104" si="916">R259</f>
        <v/>
      </c>
      <c r="F104" s="572" t="str">
        <f t="shared" si="916"/>
        <v/>
      </c>
      <c r="G104" s="579" t="str">
        <f t="shared" si="916"/>
        <v/>
      </c>
      <c r="H104" s="580" t="str">
        <f t="shared" si="916"/>
        <v/>
      </c>
      <c r="I104" s="572" t="str">
        <f t="shared" si="916"/>
        <v/>
      </c>
      <c r="J104" s="483" t="str">
        <f t="shared" si="728"/>
        <v/>
      </c>
      <c r="K104" s="806" t="str">
        <f t="shared" si="916"/>
        <v/>
      </c>
      <c r="L104" s="309"/>
      <c r="M104" s="164" t="str">
        <f t="shared" si="643"/>
        <v/>
      </c>
      <c r="N104" s="575" t="str">
        <f t="shared" si="644"/>
        <v/>
      </c>
      <c r="O104" s="572" t="str">
        <f t="shared" si="645"/>
        <v/>
      </c>
      <c r="P104" s="576" t="str">
        <f t="shared" si="646"/>
        <v/>
      </c>
      <c r="Q104" s="528" t="str">
        <f t="shared" si="729"/>
        <v/>
      </c>
      <c r="R104" s="572" t="str">
        <f t="shared" si="95"/>
        <v/>
      </c>
      <c r="S104" s="577" t="str">
        <f t="shared" si="96"/>
        <v/>
      </c>
      <c r="T104" s="578" t="str">
        <f t="shared" si="97"/>
        <v/>
      </c>
      <c r="U104" s="572" t="str">
        <f t="shared" si="98"/>
        <v/>
      </c>
      <c r="V104" s="579" t="str">
        <f t="shared" si="145"/>
        <v/>
      </c>
      <c r="W104" s="528" t="str">
        <f t="shared" si="866"/>
        <v/>
      </c>
      <c r="X104" s="572" t="str">
        <f t="shared" si="99"/>
        <v/>
      </c>
      <c r="Y104" s="573" t="str">
        <f t="shared" si="859"/>
        <v/>
      </c>
      <c r="Z104" s="575" t="str">
        <f t="shared" si="647"/>
        <v/>
      </c>
      <c r="AA104" s="572" t="str">
        <f t="shared" si="648"/>
        <v/>
      </c>
      <c r="AB104" s="572" t="str">
        <f t="shared" si="649"/>
        <v/>
      </c>
      <c r="AC104" s="579" t="str">
        <f t="shared" si="100"/>
        <v/>
      </c>
      <c r="AD104" s="580" t="str">
        <f t="shared" si="146"/>
        <v/>
      </c>
      <c r="AE104" s="572" t="str">
        <f t="shared" si="101"/>
        <v/>
      </c>
      <c r="AF104" s="576" t="str">
        <f t="shared" si="102"/>
        <v/>
      </c>
      <c r="AG104" s="545" t="str">
        <f t="shared" si="103"/>
        <v/>
      </c>
      <c r="AH104" s="546" t="str">
        <f t="shared" si="104"/>
        <v/>
      </c>
      <c r="AI104" s="528" t="str">
        <f t="shared" si="105"/>
        <v/>
      </c>
      <c r="AJ104" s="529" t="str">
        <f t="shared" si="106"/>
        <v/>
      </c>
      <c r="AK104" s="578" t="str">
        <f t="shared" si="247"/>
        <v/>
      </c>
      <c r="AL104" s="572" t="str">
        <f t="shared" si="107"/>
        <v/>
      </c>
      <c r="AM104" s="577" t="str">
        <f t="shared" si="108"/>
        <v/>
      </c>
      <c r="AN104" s="524" t="str">
        <f t="shared" si="109"/>
        <v/>
      </c>
      <c r="AO104" s="525" t="str">
        <f t="shared" si="604"/>
        <v/>
      </c>
      <c r="AP104" s="528" t="str">
        <f t="shared" si="111"/>
        <v/>
      </c>
      <c r="AQ104" s="529" t="str">
        <f t="shared" si="650"/>
        <v/>
      </c>
      <c r="AS104" s="954" t="str">
        <f t="shared" si="755"/>
        <v/>
      </c>
      <c r="AT104" s="950" t="str">
        <f t="shared" si="651"/>
        <v/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55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713"/>
        <v/>
      </c>
      <c r="IM104" s="482" t="str">
        <f t="shared" si="856"/>
        <v/>
      </c>
      <c r="IN104" s="670" t="str">
        <f t="shared" si="714"/>
        <v/>
      </c>
      <c r="IO104" s="702"/>
      <c r="IP104" s="5" t="str">
        <f t="shared" si="715"/>
        <v/>
      </c>
      <c r="IQ104" s="714"/>
      <c r="IR104" s="9" t="str">
        <f t="shared" si="716"/>
        <v/>
      </c>
      <c r="IS104" s="5" t="str">
        <f t="shared" si="717"/>
        <v/>
      </c>
      <c r="IT104" s="5" t="str">
        <f t="shared" si="718"/>
        <v/>
      </c>
      <c r="IU104" s="5" t="str">
        <f t="shared" si="719"/>
        <v/>
      </c>
      <c r="IV104" s="670" t="str">
        <f t="shared" si="720"/>
        <v/>
      </c>
      <c r="IW104" s="9" t="str">
        <f t="shared" si="721"/>
        <v/>
      </c>
      <c r="IX104" s="5" t="str">
        <f t="shared" si="722"/>
        <v/>
      </c>
      <c r="IY104" s="5" t="str">
        <f t="shared" si="723"/>
        <v/>
      </c>
      <c r="IZ104" s="5" t="str">
        <f t="shared" si="724"/>
        <v/>
      </c>
      <c r="JA104" s="705" t="str">
        <f t="shared" si="725"/>
        <v/>
      </c>
      <c r="JN104" s="960"/>
      <c r="JO104" s="162"/>
      <c r="JP104" s="961"/>
      <c r="JQ104" s="961"/>
    </row>
    <row r="105" spans="1:277" ht="15" customHeight="1" x14ac:dyDescent="0.25">
      <c r="A105" s="75" t="str">
        <f t="shared" ref="A105:A136" si="917">IF($K105="","",IF(AND($A$8="Y",ISNUMBER($K105)),$A$5,0))</f>
        <v/>
      </c>
      <c r="B105" s="578" t="str">
        <f t="shared" ref="B105:D105" si="918">IFERROR(O260+($A105*-E105),"")</f>
        <v/>
      </c>
      <c r="C105" s="572" t="str">
        <f t="shared" si="918"/>
        <v/>
      </c>
      <c r="D105" s="576" t="str">
        <f t="shared" si="918"/>
        <v/>
      </c>
      <c r="E105" s="580" t="str">
        <f t="shared" ref="E105:K105" si="919">R260</f>
        <v/>
      </c>
      <c r="F105" s="572" t="str">
        <f t="shared" si="919"/>
        <v/>
      </c>
      <c r="G105" s="579" t="str">
        <f t="shared" si="919"/>
        <v/>
      </c>
      <c r="H105" s="580" t="str">
        <f t="shared" si="919"/>
        <v/>
      </c>
      <c r="I105" s="572" t="str">
        <f t="shared" si="919"/>
        <v/>
      </c>
      <c r="J105" s="483" t="str">
        <f t="shared" si="728"/>
        <v/>
      </c>
      <c r="K105" s="806" t="str">
        <f t="shared" si="919"/>
        <v/>
      </c>
      <c r="L105" s="309"/>
      <c r="M105" s="164" t="str">
        <f t="shared" ref="M105:M136" si="920">IF(J105="","",VALUE(J105))</f>
        <v/>
      </c>
      <c r="N105" s="575" t="str">
        <f t="shared" ref="N105:N136" si="921">IF(M105="","",B105)</f>
        <v/>
      </c>
      <c r="O105" s="572" t="str">
        <f t="shared" ref="O105:O136" si="922">IF(M105="","",C105)</f>
        <v/>
      </c>
      <c r="P105" s="576" t="str">
        <f t="shared" ref="P105:P136" si="923">IF(M105="","",D105)</f>
        <v/>
      </c>
      <c r="Q105" s="528" t="str">
        <f t="shared" si="729"/>
        <v/>
      </c>
      <c r="R105" s="572" t="str">
        <f t="shared" si="95"/>
        <v/>
      </c>
      <c r="S105" s="577" t="str">
        <f t="shared" si="96"/>
        <v/>
      </c>
      <c r="T105" s="578" t="str">
        <f t="shared" si="97"/>
        <v/>
      </c>
      <c r="U105" s="572" t="str">
        <f t="shared" si="98"/>
        <v/>
      </c>
      <c r="V105" s="579" t="str">
        <f t="shared" si="145"/>
        <v/>
      </c>
      <c r="W105" s="528" t="str">
        <f t="shared" si="866"/>
        <v/>
      </c>
      <c r="X105" s="572" t="str">
        <f t="shared" si="99"/>
        <v/>
      </c>
      <c r="Y105" s="573" t="str">
        <f t="shared" si="859"/>
        <v/>
      </c>
      <c r="Z105" s="575" t="str">
        <f t="shared" ref="Z105:Z136" si="924">IF(M105="","",-E105)</f>
        <v/>
      </c>
      <c r="AA105" s="572" t="str">
        <f t="shared" ref="AA105:AA136" si="925">IF(M105="","",-F105)</f>
        <v/>
      </c>
      <c r="AB105" s="572" t="str">
        <f t="shared" ref="AB105:AB136" si="926">IF(M105="","",-G105)</f>
        <v/>
      </c>
      <c r="AC105" s="579" t="str">
        <f t="shared" si="100"/>
        <v/>
      </c>
      <c r="AD105" s="580" t="str">
        <f t="shared" si="146"/>
        <v/>
      </c>
      <c r="AE105" s="572" t="str">
        <f t="shared" si="101"/>
        <v/>
      </c>
      <c r="AF105" s="576" t="str">
        <f t="shared" si="102"/>
        <v/>
      </c>
      <c r="AG105" s="545" t="str">
        <f t="shared" si="103"/>
        <v/>
      </c>
      <c r="AH105" s="546" t="str">
        <f t="shared" si="104"/>
        <v/>
      </c>
      <c r="AI105" s="528" t="str">
        <f t="shared" si="105"/>
        <v/>
      </c>
      <c r="AJ105" s="529" t="str">
        <f t="shared" si="106"/>
        <v/>
      </c>
      <c r="AK105" s="578" t="str">
        <f t="shared" si="247"/>
        <v/>
      </c>
      <c r="AL105" s="572" t="str">
        <f t="shared" si="107"/>
        <v/>
      </c>
      <c r="AM105" s="577" t="str">
        <f t="shared" si="108"/>
        <v/>
      </c>
      <c r="AN105" s="524" t="str">
        <f t="shared" si="109"/>
        <v/>
      </c>
      <c r="AO105" s="525" t="str">
        <f t="shared" si="604"/>
        <v/>
      </c>
      <c r="AP105" s="528" t="str">
        <f t="shared" si="111"/>
        <v/>
      </c>
      <c r="AQ105" s="529" t="str">
        <f t="shared" ref="AQ105:AQ136" si="927">IF(M105="","",DEGREES(ATAN(($AS$5*SIN(RADIANS(90)))/(($X105*2*PI())-($AS$5*COS(RADIANS(90)))))))</f>
        <v/>
      </c>
      <c r="AS105" s="954" t="str">
        <f t="shared" si="755"/>
        <v/>
      </c>
      <c r="AT105" s="950" t="str">
        <f t="shared" ref="AT105:AT136" si="928">IF(M105="","",Y105+(((AS105-$AS$9)*$AS$6)*-1))</f>
        <v/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55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90">IF(ISNUMBER($IK105),INDEX($K$9:$K$150,MATCH($IK105,$M$9:$M$150,0)),$K105)</f>
        <v/>
      </c>
      <c r="IM105" s="482" t="str">
        <f t="shared" si="856"/>
        <v/>
      </c>
      <c r="IN105" s="670" t="str">
        <f t="shared" ref="IN105:IN136" si="991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92">IF(ISNUMBER($IK105),(($IQ105*12)/60)/$AS$3,"")</f>
        <v/>
      </c>
      <c r="IQ105" s="714"/>
      <c r="IR105" s="9" t="str">
        <f t="shared" ref="IR105:IR136" si="993">IF(ISNUMBER($IK105),(INDEX($X$9:$X$150,MATCH($IK105,$M$9:$M$150,0))*-1),"")</f>
        <v/>
      </c>
      <c r="IS105" s="5" t="str">
        <f t="shared" ref="IS105:IS136" si="994">IF(ISNUMBER($IK105),INDEX($Y$9:$Y$150,MATCH($IK105,$M$9:$M$150,0)),"")</f>
        <v/>
      </c>
      <c r="IT105" s="5" t="str">
        <f t="shared" ref="IT105:IT136" si="995">IF(ISNUMBER($IK105),INDEX($H$9:$H$150,MATCH($IK105,$M$9:$M$150,0)),"")</f>
        <v/>
      </c>
      <c r="IU105" s="5" t="str">
        <f t="shared" ref="IU105:IU136" si="996">IF(ISNUMBER($IK105),$IT105*COS(RADIANS(INDEX($AO$9:$AO$150,MATCH($IK105,$M$9:$M$150,0)))),"")</f>
        <v/>
      </c>
      <c r="IV105" s="670" t="str">
        <f t="shared" ref="IV105:IV136" si="997">IF(ISNUMBER($IK105),(-1*INDEX($AN$9:$AN$150,MATCH($IK105,$M$9:$M$150,0))),"")</f>
        <v/>
      </c>
      <c r="IW105" s="9" t="str">
        <f t="shared" ref="IW105:IW136" si="998">IF(ISNUMBER($IK105),-$X105,"")</f>
        <v/>
      </c>
      <c r="IX105" s="5" t="str">
        <f t="shared" ref="IX105:IX136" si="999">IF(ISNUMBER($IK105),$Y105,"")</f>
        <v/>
      </c>
      <c r="IY105" s="5" t="str">
        <f t="shared" ref="IY105:IY136" si="1000">IF(ISNUMBER($IK105),$H105,"")</f>
        <v/>
      </c>
      <c r="IZ105" s="5" t="str">
        <f t="shared" ref="IZ105:IZ136" si="1001">IF(ISNUMBER($IK105),$IY105*COS(RADIANS($AO105)),"")</f>
        <v/>
      </c>
      <c r="JA105" s="705" t="str">
        <f t="shared" ref="JA105:JA136" si="1002">IF(ISNUMBER($IK105),(-1*$AN105),"")</f>
        <v/>
      </c>
      <c r="JN105" s="960"/>
      <c r="JO105" s="162"/>
      <c r="JP105" s="961"/>
      <c r="JQ105" s="961"/>
    </row>
    <row r="106" spans="1:277" ht="15" customHeight="1" x14ac:dyDescent="0.25">
      <c r="A106" s="75" t="str">
        <f t="shared" si="917"/>
        <v/>
      </c>
      <c r="B106" s="578" t="str">
        <f t="shared" ref="B106:D106" si="1003">IFERROR(O261+($A106*-E106),"")</f>
        <v/>
      </c>
      <c r="C106" s="572" t="str">
        <f t="shared" si="1003"/>
        <v/>
      </c>
      <c r="D106" s="576" t="str">
        <f t="shared" si="1003"/>
        <v/>
      </c>
      <c r="E106" s="580" t="str">
        <f t="shared" ref="E106:K106" si="1004">R261</f>
        <v/>
      </c>
      <c r="F106" s="572" t="str">
        <f t="shared" si="1004"/>
        <v/>
      </c>
      <c r="G106" s="579" t="str">
        <f t="shared" si="1004"/>
        <v/>
      </c>
      <c r="H106" s="580" t="str">
        <f t="shared" si="1004"/>
        <v/>
      </c>
      <c r="I106" s="572" t="str">
        <f t="shared" si="1004"/>
        <v/>
      </c>
      <c r="J106" s="483" t="str">
        <f t="shared" si="728"/>
        <v/>
      </c>
      <c r="K106" s="806" t="str">
        <f t="shared" si="1004"/>
        <v/>
      </c>
      <c r="L106" s="309"/>
      <c r="M106" s="164" t="str">
        <f t="shared" si="920"/>
        <v/>
      </c>
      <c r="N106" s="575" t="str">
        <f t="shared" si="921"/>
        <v/>
      </c>
      <c r="O106" s="572" t="str">
        <f t="shared" si="922"/>
        <v/>
      </c>
      <c r="P106" s="576" t="str">
        <f t="shared" si="923"/>
        <v/>
      </c>
      <c r="Q106" s="528" t="str">
        <f t="shared" si="729"/>
        <v/>
      </c>
      <c r="R106" s="572" t="str">
        <f t="shared" ref="R106:R129" si="1005">IF(M106="","",SQRT(N106^2+O106^2))</f>
        <v/>
      </c>
      <c r="S106" s="577" t="str">
        <f t="shared" ref="S106:S129" si="1006">IF(M106="","",P106)</f>
        <v/>
      </c>
      <c r="T106" s="578" t="str">
        <f t="shared" ref="T106:T129" si="1007">IF(M106="","",X106*COS(RADIANS(W106)))</f>
        <v/>
      </c>
      <c r="U106" s="572" t="str">
        <f t="shared" ref="U106:U129" si="1008">IF(M106="","",X106*SIN(RADIANS(W106)))</f>
        <v/>
      </c>
      <c r="V106" s="579" t="str">
        <f t="shared" ref="V106:V129" si="1009">IF(M106="","",Y106)</f>
        <v/>
      </c>
      <c r="W106" s="528" t="str">
        <f t="shared" si="866"/>
        <v/>
      </c>
      <c r="X106" s="572" t="str">
        <f t="shared" ref="X106:X129" si="1010">IF(M106="","",R106)</f>
        <v/>
      </c>
      <c r="Y106" s="573" t="str">
        <f t="shared" si="859"/>
        <v/>
      </c>
      <c r="Z106" s="575" t="str">
        <f t="shared" si="924"/>
        <v/>
      </c>
      <c r="AA106" s="572" t="str">
        <f t="shared" si="925"/>
        <v/>
      </c>
      <c r="AB106" s="572" t="str">
        <f t="shared" si="926"/>
        <v/>
      </c>
      <c r="AC106" s="579" t="str">
        <f t="shared" ref="AC106:AC129" si="1011">IF(M106="","",SQRT(Z106^2+AA106^2+AB106^2))</f>
        <v/>
      </c>
      <c r="AD106" s="580" t="str">
        <f t="shared" ref="AD106:AD129" si="1012">IF(M106="","",Z106*(1/SQRT(Z106^2+AA106^2+AB106^2)))</f>
        <v/>
      </c>
      <c r="AE106" s="572" t="str">
        <f t="shared" ref="AE106:AE129" si="1013">IF(M106="","",AA106*(1/SQRT(Z106^2+AA106^2+AB106^2)))</f>
        <v/>
      </c>
      <c r="AF106" s="576" t="str">
        <f t="shared" ref="AF106:AF129" si="1014">IF(M106="","",AB106*(1/SQRT(Z106^2+AA106^2+AB106^2)))</f>
        <v/>
      </c>
      <c r="AG106" s="545" t="str">
        <f t="shared" ref="AG106:AG129" si="1015">IF(M106="","",DEGREES(ATAN2(-AF106,AE106)))</f>
        <v/>
      </c>
      <c r="AH106" s="546" t="str">
        <f t="shared" ref="AH106:AH129" si="1016">IF(M106="","",DEGREES(ACOS(AD106)))</f>
        <v/>
      </c>
      <c r="AI106" s="528" t="str">
        <f t="shared" ref="AI106:AI129" si="1017">IF(M106="","",DEGREES(-ACOS(-AF106)))</f>
        <v/>
      </c>
      <c r="AJ106" s="529" t="str">
        <f t="shared" ref="AJ106:AJ129" si="1018">IF(M106="","",DEGREES(ATAN2(-AE106,AD106)))</f>
        <v/>
      </c>
      <c r="AK106" s="578" t="str">
        <f t="shared" ref="AK106:AK129" si="1019">IF(M106="","",(COS(RADIANS((90-$Q$8)-W106))*AD106)+(-SIN(RADIANS((90-$Q$8)-W106))*AE106))</f>
        <v/>
      </c>
      <c r="AL106" s="572" t="str">
        <f t="shared" ref="AL106:AL129" si="1020">IF(M106="","",(SIN(RADIANS((90-$Q$8)-W106))*AD106)+(COS(RADIANS((90-$Q$8)-W106))*AE106))</f>
        <v/>
      </c>
      <c r="AM106" s="577" t="str">
        <f t="shared" ref="AM106:AM129" si="1021">IF(M106="","",AF106)</f>
        <v/>
      </c>
      <c r="AN106" s="524" t="str">
        <f t="shared" ref="AN106:AN129" si="1022">IF(M106="","",DEGREES(ATAN2(-AM106,AL106)))</f>
        <v/>
      </c>
      <c r="AO106" s="525" t="str">
        <f t="shared" si="604"/>
        <v/>
      </c>
      <c r="AP106" s="528" t="str">
        <f t="shared" ref="AP106:AP129" si="1023">IF(M106="","",DEGREES(ATAN2(AK106,AL106)))</f>
        <v/>
      </c>
      <c r="AQ106" s="529" t="str">
        <f t="shared" si="927"/>
        <v/>
      </c>
      <c r="AS106" s="954" t="str">
        <f t="shared" si="755"/>
        <v/>
      </c>
      <c r="AT106" s="950" t="str">
        <f t="shared" si="928"/>
        <v/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55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90"/>
        <v/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 t="str">
        <f t="shared" si="917"/>
        <v/>
      </c>
      <c r="B107" s="578" t="str">
        <f t="shared" ref="B107:D107" si="1027">IFERROR(O262+($A107*-E107),"")</f>
        <v/>
      </c>
      <c r="C107" s="572" t="str">
        <f t="shared" si="1027"/>
        <v/>
      </c>
      <c r="D107" s="576" t="str">
        <f t="shared" si="1027"/>
        <v/>
      </c>
      <c r="E107" s="580" t="str">
        <f t="shared" ref="E107:K107" si="1028">R262</f>
        <v/>
      </c>
      <c r="F107" s="572" t="str">
        <f t="shared" si="1028"/>
        <v/>
      </c>
      <c r="G107" s="579" t="str">
        <f t="shared" si="1028"/>
        <v/>
      </c>
      <c r="H107" s="580" t="str">
        <f t="shared" si="1028"/>
        <v/>
      </c>
      <c r="I107" s="572" t="str">
        <f t="shared" si="1028"/>
        <v/>
      </c>
      <c r="J107" s="483" t="str">
        <f t="shared" si="728"/>
        <v/>
      </c>
      <c r="K107" s="806" t="str">
        <f t="shared" si="1028"/>
        <v/>
      </c>
      <c r="L107" s="309"/>
      <c r="M107" s="164" t="str">
        <f t="shared" si="920"/>
        <v/>
      </c>
      <c r="N107" s="575" t="str">
        <f t="shared" si="921"/>
        <v/>
      </c>
      <c r="O107" s="572" t="str">
        <f t="shared" si="922"/>
        <v/>
      </c>
      <c r="P107" s="576" t="str">
        <f t="shared" si="923"/>
        <v/>
      </c>
      <c r="Q107" s="528" t="str">
        <f t="shared" si="729"/>
        <v/>
      </c>
      <c r="R107" s="572" t="str">
        <f t="shared" si="1005"/>
        <v/>
      </c>
      <c r="S107" s="577" t="str">
        <f t="shared" si="1006"/>
        <v/>
      </c>
      <c r="T107" s="578" t="str">
        <f t="shared" si="1007"/>
        <v/>
      </c>
      <c r="U107" s="572" t="str">
        <f t="shared" si="1008"/>
        <v/>
      </c>
      <c r="V107" s="579" t="str">
        <f t="shared" si="1009"/>
        <v/>
      </c>
      <c r="W107" s="528" t="str">
        <f t="shared" si="866"/>
        <v/>
      </c>
      <c r="X107" s="572" t="str">
        <f t="shared" si="1010"/>
        <v/>
      </c>
      <c r="Y107" s="573" t="str">
        <f t="shared" si="859"/>
        <v/>
      </c>
      <c r="Z107" s="575" t="str">
        <f t="shared" si="924"/>
        <v/>
      </c>
      <c r="AA107" s="572" t="str">
        <f t="shared" si="925"/>
        <v/>
      </c>
      <c r="AB107" s="572" t="str">
        <f t="shared" si="926"/>
        <v/>
      </c>
      <c r="AC107" s="579" t="str">
        <f t="shared" si="1011"/>
        <v/>
      </c>
      <c r="AD107" s="580" t="str">
        <f t="shared" si="1012"/>
        <v/>
      </c>
      <c r="AE107" s="572" t="str">
        <f t="shared" si="1013"/>
        <v/>
      </c>
      <c r="AF107" s="576" t="str">
        <f t="shared" si="1014"/>
        <v/>
      </c>
      <c r="AG107" s="545" t="str">
        <f t="shared" si="1015"/>
        <v/>
      </c>
      <c r="AH107" s="546" t="str">
        <f t="shared" si="1016"/>
        <v/>
      </c>
      <c r="AI107" s="528" t="str">
        <f t="shared" si="1017"/>
        <v/>
      </c>
      <c r="AJ107" s="529" t="str">
        <f t="shared" si="1018"/>
        <v/>
      </c>
      <c r="AK107" s="578" t="str">
        <f t="shared" si="1019"/>
        <v/>
      </c>
      <c r="AL107" s="572" t="str">
        <f t="shared" si="1020"/>
        <v/>
      </c>
      <c r="AM107" s="577" t="str">
        <f t="shared" si="1021"/>
        <v/>
      </c>
      <c r="AN107" s="524" t="str">
        <f t="shared" si="1022"/>
        <v/>
      </c>
      <c r="AO107" s="525" t="str">
        <f t="shared" si="604"/>
        <v/>
      </c>
      <c r="AP107" s="528" t="str">
        <f t="shared" si="1023"/>
        <v/>
      </c>
      <c r="AQ107" s="529" t="str">
        <f t="shared" si="927"/>
        <v/>
      </c>
      <c r="AS107" s="954" t="str">
        <f t="shared" ref="AS107:AS138" si="1029">IF(G107="","",IF(AND(W107&lt;(AS106+180),W107&gt;(AS106-180)),W107,IF(W107&gt;(AS106+180),W107-360,IF(W107&lt;(AS106-180),W107+360,"Error"))))</f>
        <v/>
      </c>
      <c r="AT107" s="950" t="str">
        <f t="shared" si="928"/>
        <v/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55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90"/>
        <v/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 t="str">
        <f t="shared" si="917"/>
        <v/>
      </c>
      <c r="B108" s="578" t="str">
        <f t="shared" ref="B108:D108" si="1032">IFERROR(O263+($A108*-E108),"")</f>
        <v/>
      </c>
      <c r="C108" s="572" t="str">
        <f t="shared" si="1032"/>
        <v/>
      </c>
      <c r="D108" s="576" t="str">
        <f t="shared" si="1032"/>
        <v/>
      </c>
      <c r="E108" s="580" t="str">
        <f t="shared" ref="E108:K108" si="1033">R263</f>
        <v/>
      </c>
      <c r="F108" s="572" t="str">
        <f t="shared" si="1033"/>
        <v/>
      </c>
      <c r="G108" s="579" t="str">
        <f t="shared" si="1033"/>
        <v/>
      </c>
      <c r="H108" s="580" t="str">
        <f t="shared" si="1033"/>
        <v/>
      </c>
      <c r="I108" s="572" t="str">
        <f t="shared" si="1033"/>
        <v/>
      </c>
      <c r="J108" s="483" t="str">
        <f t="shared" si="728"/>
        <v/>
      </c>
      <c r="K108" s="806" t="str">
        <f t="shared" si="1033"/>
        <v/>
      </c>
      <c r="L108" s="309"/>
      <c r="M108" s="164" t="str">
        <f t="shared" si="920"/>
        <v/>
      </c>
      <c r="N108" s="575" t="str">
        <f t="shared" si="921"/>
        <v/>
      </c>
      <c r="O108" s="572" t="str">
        <f t="shared" si="922"/>
        <v/>
      </c>
      <c r="P108" s="576" t="str">
        <f t="shared" si="923"/>
        <v/>
      </c>
      <c r="Q108" s="528" t="str">
        <f t="shared" si="729"/>
        <v/>
      </c>
      <c r="R108" s="572" t="str">
        <f t="shared" si="1005"/>
        <v/>
      </c>
      <c r="S108" s="577" t="str">
        <f t="shared" si="1006"/>
        <v/>
      </c>
      <c r="T108" s="578" t="str">
        <f t="shared" si="1007"/>
        <v/>
      </c>
      <c r="U108" s="572" t="str">
        <f t="shared" si="1008"/>
        <v/>
      </c>
      <c r="V108" s="579" t="str">
        <f t="shared" si="1009"/>
        <v/>
      </c>
      <c r="W108" s="528" t="str">
        <f t="shared" si="866"/>
        <v/>
      </c>
      <c r="X108" s="572" t="str">
        <f t="shared" si="1010"/>
        <v/>
      </c>
      <c r="Y108" s="573" t="str">
        <f t="shared" si="859"/>
        <v/>
      </c>
      <c r="Z108" s="575" t="str">
        <f t="shared" si="924"/>
        <v/>
      </c>
      <c r="AA108" s="572" t="str">
        <f t="shared" si="925"/>
        <v/>
      </c>
      <c r="AB108" s="572" t="str">
        <f t="shared" si="926"/>
        <v/>
      </c>
      <c r="AC108" s="579" t="str">
        <f t="shared" si="1011"/>
        <v/>
      </c>
      <c r="AD108" s="580" t="str">
        <f t="shared" si="1012"/>
        <v/>
      </c>
      <c r="AE108" s="572" t="str">
        <f t="shared" si="1013"/>
        <v/>
      </c>
      <c r="AF108" s="576" t="str">
        <f t="shared" si="1014"/>
        <v/>
      </c>
      <c r="AG108" s="545" t="str">
        <f t="shared" si="1015"/>
        <v/>
      </c>
      <c r="AH108" s="546" t="str">
        <f t="shared" si="1016"/>
        <v/>
      </c>
      <c r="AI108" s="528" t="str">
        <f t="shared" si="1017"/>
        <v/>
      </c>
      <c r="AJ108" s="529" t="str">
        <f t="shared" si="1018"/>
        <v/>
      </c>
      <c r="AK108" s="578" t="str">
        <f t="shared" si="1019"/>
        <v/>
      </c>
      <c r="AL108" s="572" t="str">
        <f t="shared" si="1020"/>
        <v/>
      </c>
      <c r="AM108" s="577" t="str">
        <f t="shared" si="1021"/>
        <v/>
      </c>
      <c r="AN108" s="524" t="str">
        <f t="shared" si="1022"/>
        <v/>
      </c>
      <c r="AO108" s="525" t="str">
        <f t="shared" si="604"/>
        <v/>
      </c>
      <c r="AP108" s="528" t="str">
        <f t="shared" si="1023"/>
        <v/>
      </c>
      <c r="AQ108" s="529" t="str">
        <f t="shared" si="927"/>
        <v/>
      </c>
      <c r="AS108" s="954" t="str">
        <f t="shared" si="1029"/>
        <v/>
      </c>
      <c r="AT108" s="950" t="str">
        <f t="shared" si="928"/>
        <v/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55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90"/>
        <v/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 t="str">
        <f t="shared" si="917"/>
        <v/>
      </c>
      <c r="B109" s="578" t="str">
        <f t="shared" ref="B109:D109" si="1034">IFERROR(O264+($A109*-E109),"")</f>
        <v/>
      </c>
      <c r="C109" s="572" t="str">
        <f t="shared" si="1034"/>
        <v/>
      </c>
      <c r="D109" s="576" t="str">
        <f t="shared" si="1034"/>
        <v/>
      </c>
      <c r="E109" s="580" t="str">
        <f t="shared" ref="E109:K109" si="1035">R264</f>
        <v/>
      </c>
      <c r="F109" s="572" t="str">
        <f t="shared" si="1035"/>
        <v/>
      </c>
      <c r="G109" s="579" t="str">
        <f t="shared" si="1035"/>
        <v/>
      </c>
      <c r="H109" s="580" t="str">
        <f t="shared" si="1035"/>
        <v/>
      </c>
      <c r="I109" s="572" t="str">
        <f t="shared" si="1035"/>
        <v/>
      </c>
      <c r="J109" s="483" t="str">
        <f t="shared" si="728"/>
        <v/>
      </c>
      <c r="K109" s="806" t="str">
        <f t="shared" si="1035"/>
        <v/>
      </c>
      <c r="L109" s="309"/>
      <c r="M109" s="164" t="str">
        <f t="shared" si="920"/>
        <v/>
      </c>
      <c r="N109" s="575" t="str">
        <f t="shared" si="921"/>
        <v/>
      </c>
      <c r="O109" s="572" t="str">
        <f t="shared" si="922"/>
        <v/>
      </c>
      <c r="P109" s="576" t="str">
        <f t="shared" si="923"/>
        <v/>
      </c>
      <c r="Q109" s="528" t="str">
        <f t="shared" si="729"/>
        <v/>
      </c>
      <c r="R109" s="572" t="str">
        <f t="shared" si="1005"/>
        <v/>
      </c>
      <c r="S109" s="577" t="str">
        <f t="shared" si="1006"/>
        <v/>
      </c>
      <c r="T109" s="578" t="str">
        <f t="shared" si="1007"/>
        <v/>
      </c>
      <c r="U109" s="572" t="str">
        <f t="shared" si="1008"/>
        <v/>
      </c>
      <c r="V109" s="579" t="str">
        <f t="shared" si="1009"/>
        <v/>
      </c>
      <c r="W109" s="528" t="str">
        <f t="shared" si="866"/>
        <v/>
      </c>
      <c r="X109" s="572" t="str">
        <f t="shared" si="1010"/>
        <v/>
      </c>
      <c r="Y109" s="573" t="str">
        <f t="shared" si="859"/>
        <v/>
      </c>
      <c r="Z109" s="575" t="str">
        <f t="shared" si="924"/>
        <v/>
      </c>
      <c r="AA109" s="572" t="str">
        <f t="shared" si="925"/>
        <v/>
      </c>
      <c r="AB109" s="572" t="str">
        <f t="shared" si="926"/>
        <v/>
      </c>
      <c r="AC109" s="579" t="str">
        <f t="shared" si="1011"/>
        <v/>
      </c>
      <c r="AD109" s="580" t="str">
        <f t="shared" si="1012"/>
        <v/>
      </c>
      <c r="AE109" s="572" t="str">
        <f t="shared" si="1013"/>
        <v/>
      </c>
      <c r="AF109" s="576" t="str">
        <f t="shared" si="1014"/>
        <v/>
      </c>
      <c r="AG109" s="545" t="str">
        <f t="shared" si="1015"/>
        <v/>
      </c>
      <c r="AH109" s="546" t="str">
        <f t="shared" si="1016"/>
        <v/>
      </c>
      <c r="AI109" s="528" t="str">
        <f t="shared" si="1017"/>
        <v/>
      </c>
      <c r="AJ109" s="529" t="str">
        <f t="shared" si="1018"/>
        <v/>
      </c>
      <c r="AK109" s="578" t="str">
        <f t="shared" si="1019"/>
        <v/>
      </c>
      <c r="AL109" s="572" t="str">
        <f t="shared" si="1020"/>
        <v/>
      </c>
      <c r="AM109" s="577" t="str">
        <f t="shared" si="1021"/>
        <v/>
      </c>
      <c r="AN109" s="524" t="str">
        <f t="shared" si="1022"/>
        <v/>
      </c>
      <c r="AO109" s="525" t="str">
        <f t="shared" si="604"/>
        <v/>
      </c>
      <c r="AP109" s="528" t="str">
        <f t="shared" si="1023"/>
        <v/>
      </c>
      <c r="AQ109" s="529" t="str">
        <f t="shared" si="927"/>
        <v/>
      </c>
      <c r="AS109" s="954" t="str">
        <f t="shared" si="1029"/>
        <v/>
      </c>
      <c r="AT109" s="950" t="str">
        <f t="shared" si="928"/>
        <v/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55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90"/>
        <v/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 t="str">
        <f t="shared" si="917"/>
        <v/>
      </c>
      <c r="B110" s="578" t="str">
        <f t="shared" ref="B110:D110" si="1036">IFERROR(O265+($A110*-E110),"")</f>
        <v/>
      </c>
      <c r="C110" s="572" t="str">
        <f t="shared" si="1036"/>
        <v/>
      </c>
      <c r="D110" s="576" t="str">
        <f t="shared" si="1036"/>
        <v/>
      </c>
      <c r="E110" s="580" t="str">
        <f t="shared" ref="E110:K110" si="1037">R265</f>
        <v/>
      </c>
      <c r="F110" s="572" t="str">
        <f t="shared" si="1037"/>
        <v/>
      </c>
      <c r="G110" s="579" t="str">
        <f t="shared" si="1037"/>
        <v/>
      </c>
      <c r="H110" s="580" t="str">
        <f t="shared" si="1037"/>
        <v/>
      </c>
      <c r="I110" s="572" t="str">
        <f t="shared" si="1037"/>
        <v/>
      </c>
      <c r="J110" s="483" t="str">
        <f t="shared" si="728"/>
        <v/>
      </c>
      <c r="K110" s="806" t="str">
        <f t="shared" si="1037"/>
        <v/>
      </c>
      <c r="L110" s="309"/>
      <c r="M110" s="164" t="str">
        <f t="shared" si="920"/>
        <v/>
      </c>
      <c r="N110" s="575" t="str">
        <f t="shared" si="921"/>
        <v/>
      </c>
      <c r="O110" s="572" t="str">
        <f t="shared" si="922"/>
        <v/>
      </c>
      <c r="P110" s="576" t="str">
        <f t="shared" si="923"/>
        <v/>
      </c>
      <c r="Q110" s="528" t="str">
        <f t="shared" si="729"/>
        <v/>
      </c>
      <c r="R110" s="572" t="str">
        <f t="shared" si="1005"/>
        <v/>
      </c>
      <c r="S110" s="577" t="str">
        <f t="shared" si="1006"/>
        <v/>
      </c>
      <c r="T110" s="578" t="str">
        <f t="shared" si="1007"/>
        <v/>
      </c>
      <c r="U110" s="572" t="str">
        <f t="shared" si="1008"/>
        <v/>
      </c>
      <c r="V110" s="579" t="str">
        <f t="shared" si="1009"/>
        <v/>
      </c>
      <c r="W110" s="528" t="str">
        <f t="shared" si="866"/>
        <v/>
      </c>
      <c r="X110" s="572" t="str">
        <f t="shared" si="1010"/>
        <v/>
      </c>
      <c r="Y110" s="573" t="str">
        <f t="shared" si="859"/>
        <v/>
      </c>
      <c r="Z110" s="575" t="str">
        <f t="shared" si="924"/>
        <v/>
      </c>
      <c r="AA110" s="572" t="str">
        <f t="shared" si="925"/>
        <v/>
      </c>
      <c r="AB110" s="572" t="str">
        <f t="shared" si="926"/>
        <v/>
      </c>
      <c r="AC110" s="579" t="str">
        <f t="shared" si="1011"/>
        <v/>
      </c>
      <c r="AD110" s="580" t="str">
        <f t="shared" si="1012"/>
        <v/>
      </c>
      <c r="AE110" s="572" t="str">
        <f t="shared" si="1013"/>
        <v/>
      </c>
      <c r="AF110" s="576" t="str">
        <f t="shared" si="1014"/>
        <v/>
      </c>
      <c r="AG110" s="545" t="str">
        <f t="shared" si="1015"/>
        <v/>
      </c>
      <c r="AH110" s="546" t="str">
        <f t="shared" si="1016"/>
        <v/>
      </c>
      <c r="AI110" s="528" t="str">
        <f t="shared" si="1017"/>
        <v/>
      </c>
      <c r="AJ110" s="529" t="str">
        <f t="shared" si="1018"/>
        <v/>
      </c>
      <c r="AK110" s="578" t="str">
        <f t="shared" si="1019"/>
        <v/>
      </c>
      <c r="AL110" s="572" t="str">
        <f t="shared" si="1020"/>
        <v/>
      </c>
      <c r="AM110" s="577" t="str">
        <f t="shared" si="1021"/>
        <v/>
      </c>
      <c r="AN110" s="524" t="str">
        <f t="shared" si="1022"/>
        <v/>
      </c>
      <c r="AO110" s="525" t="str">
        <f t="shared" si="604"/>
        <v/>
      </c>
      <c r="AP110" s="528" t="str">
        <f t="shared" si="1023"/>
        <v/>
      </c>
      <c r="AQ110" s="529" t="str">
        <f t="shared" si="927"/>
        <v/>
      </c>
      <c r="AS110" s="954" t="str">
        <f t="shared" si="1029"/>
        <v/>
      </c>
      <c r="AT110" s="950" t="str">
        <f t="shared" si="928"/>
        <v/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55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90"/>
        <v/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 t="str">
        <f t="shared" si="917"/>
        <v/>
      </c>
      <c r="B111" s="578" t="str">
        <f t="shared" ref="B111:D111" si="1038">IFERROR(O266+($A111*-E111),"")</f>
        <v/>
      </c>
      <c r="C111" s="572" t="str">
        <f t="shared" si="1038"/>
        <v/>
      </c>
      <c r="D111" s="576" t="str">
        <f t="shared" si="1038"/>
        <v/>
      </c>
      <c r="E111" s="580" t="str">
        <f t="shared" ref="E111:K111" si="1039">R266</f>
        <v/>
      </c>
      <c r="F111" s="572" t="str">
        <f t="shared" si="1039"/>
        <v/>
      </c>
      <c r="G111" s="579" t="str">
        <f t="shared" si="1039"/>
        <v/>
      </c>
      <c r="H111" s="580" t="str">
        <f t="shared" si="1039"/>
        <v/>
      </c>
      <c r="I111" s="572" t="str">
        <f t="shared" si="1039"/>
        <v/>
      </c>
      <c r="J111" s="483" t="str">
        <f t="shared" si="728"/>
        <v/>
      </c>
      <c r="K111" s="806" t="str">
        <f t="shared" si="1039"/>
        <v/>
      </c>
      <c r="L111" s="309"/>
      <c r="M111" s="164" t="str">
        <f t="shared" si="920"/>
        <v/>
      </c>
      <c r="N111" s="575" t="str">
        <f t="shared" si="921"/>
        <v/>
      </c>
      <c r="O111" s="572" t="str">
        <f t="shared" si="922"/>
        <v/>
      </c>
      <c r="P111" s="576" t="str">
        <f t="shared" si="923"/>
        <v/>
      </c>
      <c r="Q111" s="528" t="str">
        <f t="shared" si="729"/>
        <v/>
      </c>
      <c r="R111" s="572" t="str">
        <f t="shared" si="1005"/>
        <v/>
      </c>
      <c r="S111" s="577" t="str">
        <f t="shared" si="1006"/>
        <v/>
      </c>
      <c r="T111" s="578" t="str">
        <f t="shared" si="1007"/>
        <v/>
      </c>
      <c r="U111" s="572" t="str">
        <f t="shared" si="1008"/>
        <v/>
      </c>
      <c r="V111" s="579" t="str">
        <f t="shared" si="1009"/>
        <v/>
      </c>
      <c r="W111" s="528" t="str">
        <f t="shared" si="866"/>
        <v/>
      </c>
      <c r="X111" s="572" t="str">
        <f t="shared" si="1010"/>
        <v/>
      </c>
      <c r="Y111" s="573" t="str">
        <f t="shared" si="859"/>
        <v/>
      </c>
      <c r="Z111" s="575" t="str">
        <f t="shared" si="924"/>
        <v/>
      </c>
      <c r="AA111" s="572" t="str">
        <f t="shared" si="925"/>
        <v/>
      </c>
      <c r="AB111" s="572" t="str">
        <f t="shared" si="926"/>
        <v/>
      </c>
      <c r="AC111" s="579" t="str">
        <f t="shared" si="1011"/>
        <v/>
      </c>
      <c r="AD111" s="580" t="str">
        <f t="shared" si="1012"/>
        <v/>
      </c>
      <c r="AE111" s="572" t="str">
        <f t="shared" si="1013"/>
        <v/>
      </c>
      <c r="AF111" s="576" t="str">
        <f t="shared" si="1014"/>
        <v/>
      </c>
      <c r="AG111" s="545" t="str">
        <f t="shared" si="1015"/>
        <v/>
      </c>
      <c r="AH111" s="546" t="str">
        <f t="shared" si="1016"/>
        <v/>
      </c>
      <c r="AI111" s="528" t="str">
        <f t="shared" si="1017"/>
        <v/>
      </c>
      <c r="AJ111" s="529" t="str">
        <f t="shared" si="1018"/>
        <v/>
      </c>
      <c r="AK111" s="578" t="str">
        <f t="shared" si="1019"/>
        <v/>
      </c>
      <c r="AL111" s="572" t="str">
        <f t="shared" si="1020"/>
        <v/>
      </c>
      <c r="AM111" s="577" t="str">
        <f t="shared" si="1021"/>
        <v/>
      </c>
      <c r="AN111" s="524" t="str">
        <f t="shared" si="1022"/>
        <v/>
      </c>
      <c r="AO111" s="525" t="str">
        <f t="shared" si="604"/>
        <v/>
      </c>
      <c r="AP111" s="528" t="str">
        <f t="shared" si="1023"/>
        <v/>
      </c>
      <c r="AQ111" s="529" t="str">
        <f t="shared" si="927"/>
        <v/>
      </c>
      <c r="AS111" s="954" t="str">
        <f t="shared" si="1029"/>
        <v/>
      </c>
      <c r="AT111" s="950" t="str">
        <f t="shared" si="928"/>
        <v/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55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90"/>
        <v/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 t="str">
        <f t="shared" si="917"/>
        <v/>
      </c>
      <c r="B112" s="578" t="str">
        <f t="shared" ref="B112:D112" si="1040">IFERROR(O267+($A112*-E112),"")</f>
        <v/>
      </c>
      <c r="C112" s="572" t="str">
        <f t="shared" si="1040"/>
        <v/>
      </c>
      <c r="D112" s="576" t="str">
        <f t="shared" si="1040"/>
        <v/>
      </c>
      <c r="E112" s="580" t="str">
        <f t="shared" ref="E112:K112" si="1041">R267</f>
        <v/>
      </c>
      <c r="F112" s="572" t="str">
        <f t="shared" si="1041"/>
        <v/>
      </c>
      <c r="G112" s="579" t="str">
        <f t="shared" si="1041"/>
        <v/>
      </c>
      <c r="H112" s="580" t="str">
        <f t="shared" si="1041"/>
        <v/>
      </c>
      <c r="I112" s="572" t="str">
        <f t="shared" si="1041"/>
        <v/>
      </c>
      <c r="J112" s="483" t="str">
        <f t="shared" si="728"/>
        <v/>
      </c>
      <c r="K112" s="806" t="str">
        <f t="shared" si="1041"/>
        <v/>
      </c>
      <c r="L112" s="309"/>
      <c r="M112" s="164" t="str">
        <f t="shared" si="920"/>
        <v/>
      </c>
      <c r="N112" s="575" t="str">
        <f t="shared" si="921"/>
        <v/>
      </c>
      <c r="O112" s="572" t="str">
        <f t="shared" si="922"/>
        <v/>
      </c>
      <c r="P112" s="576" t="str">
        <f t="shared" si="923"/>
        <v/>
      </c>
      <c r="Q112" s="528" t="str">
        <f t="shared" si="729"/>
        <v/>
      </c>
      <c r="R112" s="572" t="str">
        <f t="shared" si="1005"/>
        <v/>
      </c>
      <c r="S112" s="577" t="str">
        <f t="shared" si="1006"/>
        <v/>
      </c>
      <c r="T112" s="578" t="str">
        <f t="shared" si="1007"/>
        <v/>
      </c>
      <c r="U112" s="572" t="str">
        <f t="shared" si="1008"/>
        <v/>
      </c>
      <c r="V112" s="579" t="str">
        <f t="shared" si="1009"/>
        <v/>
      </c>
      <c r="W112" s="528" t="str">
        <f t="shared" si="866"/>
        <v/>
      </c>
      <c r="X112" s="572" t="str">
        <f t="shared" si="1010"/>
        <v/>
      </c>
      <c r="Y112" s="573" t="str">
        <f t="shared" si="859"/>
        <v/>
      </c>
      <c r="Z112" s="575" t="str">
        <f t="shared" si="924"/>
        <v/>
      </c>
      <c r="AA112" s="572" t="str">
        <f t="shared" si="925"/>
        <v/>
      </c>
      <c r="AB112" s="572" t="str">
        <f t="shared" si="926"/>
        <v/>
      </c>
      <c r="AC112" s="579" t="str">
        <f t="shared" si="1011"/>
        <v/>
      </c>
      <c r="AD112" s="580" t="str">
        <f t="shared" si="1012"/>
        <v/>
      </c>
      <c r="AE112" s="572" t="str">
        <f t="shared" si="1013"/>
        <v/>
      </c>
      <c r="AF112" s="576" t="str">
        <f t="shared" si="1014"/>
        <v/>
      </c>
      <c r="AG112" s="545" t="str">
        <f t="shared" si="1015"/>
        <v/>
      </c>
      <c r="AH112" s="546" t="str">
        <f t="shared" si="1016"/>
        <v/>
      </c>
      <c r="AI112" s="528" t="str">
        <f t="shared" si="1017"/>
        <v/>
      </c>
      <c r="AJ112" s="529" t="str">
        <f t="shared" si="1018"/>
        <v/>
      </c>
      <c r="AK112" s="578" t="str">
        <f t="shared" si="1019"/>
        <v/>
      </c>
      <c r="AL112" s="572" t="str">
        <f t="shared" si="1020"/>
        <v/>
      </c>
      <c r="AM112" s="577" t="str">
        <f t="shared" si="1021"/>
        <v/>
      </c>
      <c r="AN112" s="524" t="str">
        <f t="shared" si="1022"/>
        <v/>
      </c>
      <c r="AO112" s="525" t="str">
        <f t="shared" si="604"/>
        <v/>
      </c>
      <c r="AP112" s="528" t="str">
        <f t="shared" si="1023"/>
        <v/>
      </c>
      <c r="AQ112" s="529" t="str">
        <f t="shared" si="927"/>
        <v/>
      </c>
      <c r="AS112" s="954" t="str">
        <f t="shared" si="1029"/>
        <v/>
      </c>
      <c r="AT112" s="950" t="str">
        <f t="shared" si="928"/>
        <v/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55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90"/>
        <v/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 t="str">
        <f t="shared" si="917"/>
        <v/>
      </c>
      <c r="B113" s="578" t="str">
        <f t="shared" ref="B113:D113" si="1042">IFERROR(O268+($A113*-E113),"")</f>
        <v/>
      </c>
      <c r="C113" s="572" t="str">
        <f t="shared" si="1042"/>
        <v/>
      </c>
      <c r="D113" s="576" t="str">
        <f t="shared" si="1042"/>
        <v/>
      </c>
      <c r="E113" s="580" t="str">
        <f t="shared" ref="E113:K113" si="1043">R268</f>
        <v/>
      </c>
      <c r="F113" s="572" t="str">
        <f t="shared" si="1043"/>
        <v/>
      </c>
      <c r="G113" s="579" t="str">
        <f t="shared" si="1043"/>
        <v/>
      </c>
      <c r="H113" s="580" t="str">
        <f t="shared" si="1043"/>
        <v/>
      </c>
      <c r="I113" s="572" t="str">
        <f t="shared" si="1043"/>
        <v/>
      </c>
      <c r="J113" s="483" t="str">
        <f t="shared" si="728"/>
        <v/>
      </c>
      <c r="K113" s="806" t="str">
        <f t="shared" si="1043"/>
        <v/>
      </c>
      <c r="L113" s="309"/>
      <c r="M113" s="164" t="str">
        <f t="shared" si="920"/>
        <v/>
      </c>
      <c r="N113" s="575" t="str">
        <f t="shared" si="921"/>
        <v/>
      </c>
      <c r="O113" s="572" t="str">
        <f t="shared" si="922"/>
        <v/>
      </c>
      <c r="P113" s="576" t="str">
        <f t="shared" si="923"/>
        <v/>
      </c>
      <c r="Q113" s="528" t="str">
        <f t="shared" si="729"/>
        <v/>
      </c>
      <c r="R113" s="572" t="str">
        <f t="shared" si="1005"/>
        <v/>
      </c>
      <c r="S113" s="577" t="str">
        <f t="shared" si="1006"/>
        <v/>
      </c>
      <c r="T113" s="578" t="str">
        <f t="shared" si="1007"/>
        <v/>
      </c>
      <c r="U113" s="572" t="str">
        <f t="shared" si="1008"/>
        <v/>
      </c>
      <c r="V113" s="579" t="str">
        <f t="shared" si="1009"/>
        <v/>
      </c>
      <c r="W113" s="528" t="str">
        <f t="shared" si="866"/>
        <v/>
      </c>
      <c r="X113" s="572" t="str">
        <f t="shared" si="1010"/>
        <v/>
      </c>
      <c r="Y113" s="573" t="str">
        <f t="shared" si="859"/>
        <v/>
      </c>
      <c r="Z113" s="575" t="str">
        <f t="shared" si="924"/>
        <v/>
      </c>
      <c r="AA113" s="572" t="str">
        <f t="shared" si="925"/>
        <v/>
      </c>
      <c r="AB113" s="572" t="str">
        <f t="shared" si="926"/>
        <v/>
      </c>
      <c r="AC113" s="579" t="str">
        <f t="shared" si="1011"/>
        <v/>
      </c>
      <c r="AD113" s="580" t="str">
        <f t="shared" si="1012"/>
        <v/>
      </c>
      <c r="AE113" s="572" t="str">
        <f t="shared" si="1013"/>
        <v/>
      </c>
      <c r="AF113" s="576" t="str">
        <f t="shared" si="1014"/>
        <v/>
      </c>
      <c r="AG113" s="545" t="str">
        <f t="shared" si="1015"/>
        <v/>
      </c>
      <c r="AH113" s="546" t="str">
        <f t="shared" si="1016"/>
        <v/>
      </c>
      <c r="AI113" s="528" t="str">
        <f t="shared" si="1017"/>
        <v/>
      </c>
      <c r="AJ113" s="529" t="str">
        <f t="shared" si="1018"/>
        <v/>
      </c>
      <c r="AK113" s="578" t="str">
        <f t="shared" si="1019"/>
        <v/>
      </c>
      <c r="AL113" s="572" t="str">
        <f t="shared" si="1020"/>
        <v/>
      </c>
      <c r="AM113" s="577" t="str">
        <f t="shared" si="1021"/>
        <v/>
      </c>
      <c r="AN113" s="524" t="str">
        <f t="shared" si="1022"/>
        <v/>
      </c>
      <c r="AO113" s="525" t="str">
        <f t="shared" si="604"/>
        <v/>
      </c>
      <c r="AP113" s="528" t="str">
        <f t="shared" si="1023"/>
        <v/>
      </c>
      <c r="AQ113" s="529" t="str">
        <f t="shared" si="927"/>
        <v/>
      </c>
      <c r="AS113" s="954" t="str">
        <f t="shared" si="1029"/>
        <v/>
      </c>
      <c r="AT113" s="950" t="str">
        <f t="shared" si="928"/>
        <v/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55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90"/>
        <v/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 t="str">
        <f t="shared" si="917"/>
        <v/>
      </c>
      <c r="B114" s="578" t="str">
        <f t="shared" ref="B114:D114" si="1044">IFERROR(O269+($A114*-E114),"")</f>
        <v/>
      </c>
      <c r="C114" s="572" t="str">
        <f t="shared" si="1044"/>
        <v/>
      </c>
      <c r="D114" s="576" t="str">
        <f t="shared" si="1044"/>
        <v/>
      </c>
      <c r="E114" s="580" t="str">
        <f t="shared" ref="E114:K114" si="1045">R269</f>
        <v/>
      </c>
      <c r="F114" s="572" t="str">
        <f t="shared" si="1045"/>
        <v/>
      </c>
      <c r="G114" s="579" t="str">
        <f t="shared" si="1045"/>
        <v/>
      </c>
      <c r="H114" s="580" t="str">
        <f t="shared" si="1045"/>
        <v/>
      </c>
      <c r="I114" s="572" t="str">
        <f t="shared" si="1045"/>
        <v/>
      </c>
      <c r="J114" s="483" t="str">
        <f t="shared" si="728"/>
        <v/>
      </c>
      <c r="K114" s="806" t="str">
        <f t="shared" si="1045"/>
        <v/>
      </c>
      <c r="L114" s="309"/>
      <c r="M114" s="164" t="str">
        <f t="shared" si="920"/>
        <v/>
      </c>
      <c r="N114" s="575" t="str">
        <f t="shared" si="921"/>
        <v/>
      </c>
      <c r="O114" s="572" t="str">
        <f t="shared" si="922"/>
        <v/>
      </c>
      <c r="P114" s="576" t="str">
        <f t="shared" si="923"/>
        <v/>
      </c>
      <c r="Q114" s="528" t="str">
        <f t="shared" si="729"/>
        <v/>
      </c>
      <c r="R114" s="572" t="str">
        <f t="shared" si="1005"/>
        <v/>
      </c>
      <c r="S114" s="577" t="str">
        <f t="shared" si="1006"/>
        <v/>
      </c>
      <c r="T114" s="578" t="str">
        <f t="shared" si="1007"/>
        <v/>
      </c>
      <c r="U114" s="572" t="str">
        <f t="shared" si="1008"/>
        <v/>
      </c>
      <c r="V114" s="579" t="str">
        <f t="shared" si="1009"/>
        <v/>
      </c>
      <c r="W114" s="528" t="str">
        <f t="shared" si="866"/>
        <v/>
      </c>
      <c r="X114" s="572" t="str">
        <f t="shared" si="1010"/>
        <v/>
      </c>
      <c r="Y114" s="573" t="str">
        <f t="shared" si="859"/>
        <v/>
      </c>
      <c r="Z114" s="575" t="str">
        <f t="shared" si="924"/>
        <v/>
      </c>
      <c r="AA114" s="572" t="str">
        <f t="shared" si="925"/>
        <v/>
      </c>
      <c r="AB114" s="572" t="str">
        <f t="shared" si="926"/>
        <v/>
      </c>
      <c r="AC114" s="579" t="str">
        <f t="shared" si="1011"/>
        <v/>
      </c>
      <c r="AD114" s="580" t="str">
        <f t="shared" si="1012"/>
        <v/>
      </c>
      <c r="AE114" s="572" t="str">
        <f t="shared" si="1013"/>
        <v/>
      </c>
      <c r="AF114" s="576" t="str">
        <f t="shared" si="1014"/>
        <v/>
      </c>
      <c r="AG114" s="545" t="str">
        <f t="shared" si="1015"/>
        <v/>
      </c>
      <c r="AH114" s="546" t="str">
        <f t="shared" si="1016"/>
        <v/>
      </c>
      <c r="AI114" s="528" t="str">
        <f t="shared" si="1017"/>
        <v/>
      </c>
      <c r="AJ114" s="529" t="str">
        <f t="shared" si="1018"/>
        <v/>
      </c>
      <c r="AK114" s="578" t="str">
        <f t="shared" si="1019"/>
        <v/>
      </c>
      <c r="AL114" s="572" t="str">
        <f t="shared" si="1020"/>
        <v/>
      </c>
      <c r="AM114" s="577" t="str">
        <f t="shared" si="1021"/>
        <v/>
      </c>
      <c r="AN114" s="524" t="str">
        <f t="shared" si="1022"/>
        <v/>
      </c>
      <c r="AO114" s="525" t="str">
        <f t="shared" si="604"/>
        <v/>
      </c>
      <c r="AP114" s="528" t="str">
        <f t="shared" si="1023"/>
        <v/>
      </c>
      <c r="AQ114" s="529" t="str">
        <f t="shared" si="927"/>
        <v/>
      </c>
      <c r="AS114" s="954" t="str">
        <f t="shared" si="1029"/>
        <v/>
      </c>
      <c r="AT114" s="950" t="str">
        <f t="shared" si="928"/>
        <v/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55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90"/>
        <v/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 t="str">
        <f t="shared" si="917"/>
        <v/>
      </c>
      <c r="B115" s="578" t="str">
        <f t="shared" ref="B115:D115" si="1046">IFERROR(O270+($A115*-E115),"")</f>
        <v/>
      </c>
      <c r="C115" s="572" t="str">
        <f t="shared" si="1046"/>
        <v/>
      </c>
      <c r="D115" s="576" t="str">
        <f t="shared" si="1046"/>
        <v/>
      </c>
      <c r="E115" s="580" t="str">
        <f t="shared" ref="E115:K115" si="1047">R270</f>
        <v/>
      </c>
      <c r="F115" s="572" t="str">
        <f t="shared" si="1047"/>
        <v/>
      </c>
      <c r="G115" s="579" t="str">
        <f t="shared" si="1047"/>
        <v/>
      </c>
      <c r="H115" s="580" t="str">
        <f t="shared" si="1047"/>
        <v/>
      </c>
      <c r="I115" s="572" t="str">
        <f t="shared" si="1047"/>
        <v/>
      </c>
      <c r="J115" s="483" t="str">
        <f t="shared" si="728"/>
        <v/>
      </c>
      <c r="K115" s="806" t="str">
        <f t="shared" si="1047"/>
        <v/>
      </c>
      <c r="L115" s="309"/>
      <c r="M115" s="164" t="str">
        <f t="shared" si="920"/>
        <v/>
      </c>
      <c r="N115" s="575" t="str">
        <f t="shared" si="921"/>
        <v/>
      </c>
      <c r="O115" s="572" t="str">
        <f t="shared" si="922"/>
        <v/>
      </c>
      <c r="P115" s="576" t="str">
        <f t="shared" si="923"/>
        <v/>
      </c>
      <c r="Q115" s="528" t="str">
        <f t="shared" si="729"/>
        <v/>
      </c>
      <c r="R115" s="572" t="str">
        <f t="shared" si="1005"/>
        <v/>
      </c>
      <c r="S115" s="577" t="str">
        <f t="shared" si="1006"/>
        <v/>
      </c>
      <c r="T115" s="578" t="str">
        <f t="shared" si="1007"/>
        <v/>
      </c>
      <c r="U115" s="572" t="str">
        <f t="shared" si="1008"/>
        <v/>
      </c>
      <c r="V115" s="579" t="str">
        <f t="shared" si="1009"/>
        <v/>
      </c>
      <c r="W115" s="528" t="str">
        <f t="shared" si="866"/>
        <v/>
      </c>
      <c r="X115" s="572" t="str">
        <f t="shared" si="1010"/>
        <v/>
      </c>
      <c r="Y115" s="573" t="str">
        <f t="shared" si="859"/>
        <v/>
      </c>
      <c r="Z115" s="575" t="str">
        <f t="shared" si="924"/>
        <v/>
      </c>
      <c r="AA115" s="572" t="str">
        <f t="shared" si="925"/>
        <v/>
      </c>
      <c r="AB115" s="572" t="str">
        <f t="shared" si="926"/>
        <v/>
      </c>
      <c r="AC115" s="579" t="str">
        <f t="shared" si="1011"/>
        <v/>
      </c>
      <c r="AD115" s="580" t="str">
        <f t="shared" si="1012"/>
        <v/>
      </c>
      <c r="AE115" s="572" t="str">
        <f t="shared" si="1013"/>
        <v/>
      </c>
      <c r="AF115" s="576" t="str">
        <f t="shared" si="1014"/>
        <v/>
      </c>
      <c r="AG115" s="545" t="str">
        <f t="shared" si="1015"/>
        <v/>
      </c>
      <c r="AH115" s="546" t="str">
        <f t="shared" si="1016"/>
        <v/>
      </c>
      <c r="AI115" s="528" t="str">
        <f t="shared" si="1017"/>
        <v/>
      </c>
      <c r="AJ115" s="529" t="str">
        <f t="shared" si="1018"/>
        <v/>
      </c>
      <c r="AK115" s="578" t="str">
        <f t="shared" si="1019"/>
        <v/>
      </c>
      <c r="AL115" s="572" t="str">
        <f t="shared" si="1020"/>
        <v/>
      </c>
      <c r="AM115" s="577" t="str">
        <f t="shared" si="1021"/>
        <v/>
      </c>
      <c r="AN115" s="524" t="str">
        <f t="shared" si="1022"/>
        <v/>
      </c>
      <c r="AO115" s="525" t="str">
        <f t="shared" si="604"/>
        <v/>
      </c>
      <c r="AP115" s="528" t="str">
        <f t="shared" si="1023"/>
        <v/>
      </c>
      <c r="AQ115" s="529" t="str">
        <f t="shared" si="927"/>
        <v/>
      </c>
      <c r="AS115" s="954" t="str">
        <f t="shared" si="1029"/>
        <v/>
      </c>
      <c r="AT115" s="950" t="str">
        <f t="shared" si="928"/>
        <v/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55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90"/>
        <v/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 t="str">
        <f t="shared" si="917"/>
        <v/>
      </c>
      <c r="B116" s="578" t="str">
        <f t="shared" ref="B116:D116" si="1048">IFERROR(O271+($A116*-E116),"")</f>
        <v/>
      </c>
      <c r="C116" s="572" t="str">
        <f t="shared" si="1048"/>
        <v/>
      </c>
      <c r="D116" s="576" t="str">
        <f t="shared" si="1048"/>
        <v/>
      </c>
      <c r="E116" s="580" t="str">
        <f t="shared" ref="E116:K116" si="1049">R271</f>
        <v/>
      </c>
      <c r="F116" s="572" t="str">
        <f t="shared" si="1049"/>
        <v/>
      </c>
      <c r="G116" s="579" t="str">
        <f t="shared" si="1049"/>
        <v/>
      </c>
      <c r="H116" s="580" t="str">
        <f t="shared" si="1049"/>
        <v/>
      </c>
      <c r="I116" s="572" t="str">
        <f t="shared" si="1049"/>
        <v/>
      </c>
      <c r="J116" s="483" t="str">
        <f t="shared" si="728"/>
        <v/>
      </c>
      <c r="K116" s="806" t="str">
        <f t="shared" si="1049"/>
        <v/>
      </c>
      <c r="L116" s="309"/>
      <c r="M116" s="164" t="str">
        <f t="shared" si="920"/>
        <v/>
      </c>
      <c r="N116" s="575" t="str">
        <f t="shared" si="921"/>
        <v/>
      </c>
      <c r="O116" s="572" t="str">
        <f t="shared" si="922"/>
        <v/>
      </c>
      <c r="P116" s="576" t="str">
        <f t="shared" si="923"/>
        <v/>
      </c>
      <c r="Q116" s="528" t="str">
        <f t="shared" si="729"/>
        <v/>
      </c>
      <c r="R116" s="572" t="str">
        <f t="shared" si="1005"/>
        <v/>
      </c>
      <c r="S116" s="577" t="str">
        <f t="shared" si="1006"/>
        <v/>
      </c>
      <c r="T116" s="578" t="str">
        <f t="shared" si="1007"/>
        <v/>
      </c>
      <c r="U116" s="572" t="str">
        <f t="shared" si="1008"/>
        <v/>
      </c>
      <c r="V116" s="579" t="str">
        <f t="shared" si="1009"/>
        <v/>
      </c>
      <c r="W116" s="528" t="str">
        <f t="shared" si="866"/>
        <v/>
      </c>
      <c r="X116" s="572" t="str">
        <f t="shared" si="1010"/>
        <v/>
      </c>
      <c r="Y116" s="573" t="str">
        <f t="shared" si="859"/>
        <v/>
      </c>
      <c r="Z116" s="575" t="str">
        <f t="shared" si="924"/>
        <v/>
      </c>
      <c r="AA116" s="572" t="str">
        <f t="shared" si="925"/>
        <v/>
      </c>
      <c r="AB116" s="572" t="str">
        <f t="shared" si="926"/>
        <v/>
      </c>
      <c r="AC116" s="579" t="str">
        <f t="shared" si="1011"/>
        <v/>
      </c>
      <c r="AD116" s="580" t="str">
        <f t="shared" si="1012"/>
        <v/>
      </c>
      <c r="AE116" s="572" t="str">
        <f t="shared" si="1013"/>
        <v/>
      </c>
      <c r="AF116" s="576" t="str">
        <f t="shared" si="1014"/>
        <v/>
      </c>
      <c r="AG116" s="545" t="str">
        <f t="shared" si="1015"/>
        <v/>
      </c>
      <c r="AH116" s="546" t="str">
        <f t="shared" si="1016"/>
        <v/>
      </c>
      <c r="AI116" s="528" t="str">
        <f t="shared" si="1017"/>
        <v/>
      </c>
      <c r="AJ116" s="529" t="str">
        <f t="shared" si="1018"/>
        <v/>
      </c>
      <c r="AK116" s="578" t="str">
        <f t="shared" si="1019"/>
        <v/>
      </c>
      <c r="AL116" s="572" t="str">
        <f t="shared" si="1020"/>
        <v/>
      </c>
      <c r="AM116" s="577" t="str">
        <f t="shared" si="1021"/>
        <v/>
      </c>
      <c r="AN116" s="524" t="str">
        <f t="shared" si="1022"/>
        <v/>
      </c>
      <c r="AO116" s="525" t="str">
        <f t="shared" si="604"/>
        <v/>
      </c>
      <c r="AP116" s="528" t="str">
        <f t="shared" si="1023"/>
        <v/>
      </c>
      <c r="AQ116" s="529" t="str">
        <f t="shared" si="927"/>
        <v/>
      </c>
      <c r="AS116" s="954" t="str">
        <f t="shared" si="1029"/>
        <v/>
      </c>
      <c r="AT116" s="950" t="str">
        <f t="shared" si="928"/>
        <v/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55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90"/>
        <v/>
      </c>
      <c r="IM116" s="482" t="str">
        <f t="shared" si="856"/>
        <v/>
      </c>
      <c r="IN116" s="670" t="str">
        <f t="shared" si="991"/>
        <v/>
      </c>
      <c r="IO116" s="702"/>
      <c r="IP116" s="5" t="str">
        <f t="shared" si="992"/>
        <v/>
      </c>
      <c r="IQ116" s="714"/>
      <c r="IR116" s="9" t="str">
        <f t="shared" si="993"/>
        <v/>
      </c>
      <c r="IS116" s="5" t="str">
        <f t="shared" si="994"/>
        <v/>
      </c>
      <c r="IT116" s="5" t="str">
        <f t="shared" si="995"/>
        <v/>
      </c>
      <c r="IU116" s="5" t="str">
        <f t="shared" si="996"/>
        <v/>
      </c>
      <c r="IV116" s="670" t="str">
        <f t="shared" si="997"/>
        <v/>
      </c>
      <c r="IW116" s="9" t="str">
        <f t="shared" si="998"/>
        <v/>
      </c>
      <c r="IX116" s="5" t="str">
        <f t="shared" si="999"/>
        <v/>
      </c>
      <c r="IY116" s="5" t="str">
        <f t="shared" si="1000"/>
        <v/>
      </c>
      <c r="IZ116" s="5" t="str">
        <f t="shared" si="1001"/>
        <v/>
      </c>
      <c r="JA116" s="705" t="str">
        <f t="shared" si="1002"/>
        <v/>
      </c>
      <c r="JN116" s="960"/>
      <c r="JO116" s="162"/>
      <c r="JP116" s="961"/>
      <c r="JQ116" s="961"/>
    </row>
    <row r="117" spans="1:277" ht="15" customHeight="1" x14ac:dyDescent="0.25">
      <c r="A117" s="75" t="str">
        <f t="shared" si="917"/>
        <v/>
      </c>
      <c r="B117" s="578" t="str">
        <f t="shared" ref="B117:D117" si="1050">IFERROR(O272+($A117*-E117),"")</f>
        <v/>
      </c>
      <c r="C117" s="572" t="str">
        <f t="shared" si="1050"/>
        <v/>
      </c>
      <c r="D117" s="576" t="str">
        <f t="shared" si="1050"/>
        <v/>
      </c>
      <c r="E117" s="580" t="str">
        <f t="shared" ref="E117:K117" si="1051">R272</f>
        <v/>
      </c>
      <c r="F117" s="572" t="str">
        <f t="shared" si="1051"/>
        <v/>
      </c>
      <c r="G117" s="579" t="str">
        <f t="shared" si="1051"/>
        <v/>
      </c>
      <c r="H117" s="580" t="str">
        <f t="shared" si="1051"/>
        <v/>
      </c>
      <c r="I117" s="572" t="str">
        <f t="shared" si="1051"/>
        <v/>
      </c>
      <c r="J117" s="483" t="str">
        <f t="shared" si="728"/>
        <v/>
      </c>
      <c r="K117" s="806" t="str">
        <f t="shared" si="1051"/>
        <v/>
      </c>
      <c r="L117" s="309"/>
      <c r="M117" s="164" t="str">
        <f t="shared" si="920"/>
        <v/>
      </c>
      <c r="N117" s="575" t="str">
        <f t="shared" si="921"/>
        <v/>
      </c>
      <c r="O117" s="572" t="str">
        <f t="shared" si="922"/>
        <v/>
      </c>
      <c r="P117" s="576" t="str">
        <f t="shared" si="923"/>
        <v/>
      </c>
      <c r="Q117" s="528" t="str">
        <f t="shared" si="729"/>
        <v/>
      </c>
      <c r="R117" s="572" t="str">
        <f t="shared" si="1005"/>
        <v/>
      </c>
      <c r="S117" s="577" t="str">
        <f t="shared" si="1006"/>
        <v/>
      </c>
      <c r="T117" s="578" t="str">
        <f t="shared" si="1007"/>
        <v/>
      </c>
      <c r="U117" s="572" t="str">
        <f t="shared" si="1008"/>
        <v/>
      </c>
      <c r="V117" s="579" t="str">
        <f t="shared" si="1009"/>
        <v/>
      </c>
      <c r="W117" s="528" t="str">
        <f t="shared" si="866"/>
        <v/>
      </c>
      <c r="X117" s="572" t="str">
        <f t="shared" si="1010"/>
        <v/>
      </c>
      <c r="Y117" s="573" t="str">
        <f t="shared" si="859"/>
        <v/>
      </c>
      <c r="Z117" s="575" t="str">
        <f t="shared" si="924"/>
        <v/>
      </c>
      <c r="AA117" s="572" t="str">
        <f t="shared" si="925"/>
        <v/>
      </c>
      <c r="AB117" s="572" t="str">
        <f t="shared" si="926"/>
        <v/>
      </c>
      <c r="AC117" s="579" t="str">
        <f t="shared" si="1011"/>
        <v/>
      </c>
      <c r="AD117" s="580" t="str">
        <f t="shared" si="1012"/>
        <v/>
      </c>
      <c r="AE117" s="572" t="str">
        <f t="shared" si="1013"/>
        <v/>
      </c>
      <c r="AF117" s="576" t="str">
        <f t="shared" si="1014"/>
        <v/>
      </c>
      <c r="AG117" s="545" t="str">
        <f t="shared" si="1015"/>
        <v/>
      </c>
      <c r="AH117" s="546" t="str">
        <f t="shared" si="1016"/>
        <v/>
      </c>
      <c r="AI117" s="528" t="str">
        <f t="shared" si="1017"/>
        <v/>
      </c>
      <c r="AJ117" s="529" t="str">
        <f t="shared" si="1018"/>
        <v/>
      </c>
      <c r="AK117" s="578" t="str">
        <f t="shared" si="1019"/>
        <v/>
      </c>
      <c r="AL117" s="572" t="str">
        <f t="shared" si="1020"/>
        <v/>
      </c>
      <c r="AM117" s="577" t="str">
        <f t="shared" si="1021"/>
        <v/>
      </c>
      <c r="AN117" s="524" t="str">
        <f t="shared" si="1022"/>
        <v/>
      </c>
      <c r="AO117" s="525" t="str">
        <f t="shared" si="604"/>
        <v/>
      </c>
      <c r="AP117" s="528" t="str">
        <f t="shared" si="1023"/>
        <v/>
      </c>
      <c r="AQ117" s="529" t="str">
        <f t="shared" si="927"/>
        <v/>
      </c>
      <c r="AS117" s="954" t="str">
        <f t="shared" si="1029"/>
        <v/>
      </c>
      <c r="AT117" s="950" t="str">
        <f t="shared" si="928"/>
        <v/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55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90"/>
        <v/>
      </c>
      <c r="IM117" s="482" t="str">
        <f t="shared" si="856"/>
        <v/>
      </c>
      <c r="IN117" s="670" t="str">
        <f t="shared" si="991"/>
        <v/>
      </c>
      <c r="IO117" s="702"/>
      <c r="IP117" s="5" t="str">
        <f t="shared" si="992"/>
        <v/>
      </c>
      <c r="IQ117" s="714"/>
      <c r="IR117" s="9" t="str">
        <f t="shared" si="993"/>
        <v/>
      </c>
      <c r="IS117" s="5" t="str">
        <f t="shared" si="994"/>
        <v/>
      </c>
      <c r="IT117" s="5" t="str">
        <f t="shared" si="995"/>
        <v/>
      </c>
      <c r="IU117" s="5" t="str">
        <f t="shared" si="996"/>
        <v/>
      </c>
      <c r="IV117" s="670" t="str">
        <f t="shared" si="997"/>
        <v/>
      </c>
      <c r="IW117" s="9" t="str">
        <f t="shared" si="998"/>
        <v/>
      </c>
      <c r="IX117" s="5" t="str">
        <f t="shared" si="999"/>
        <v/>
      </c>
      <c r="IY117" s="5" t="str">
        <f t="shared" si="1000"/>
        <v/>
      </c>
      <c r="IZ117" s="5" t="str">
        <f t="shared" si="1001"/>
        <v/>
      </c>
      <c r="JA117" s="705" t="str">
        <f t="shared" si="1002"/>
        <v/>
      </c>
      <c r="JN117" s="960"/>
      <c r="JO117" s="162"/>
      <c r="JP117" s="961"/>
      <c r="JQ117" s="961"/>
    </row>
    <row r="118" spans="1:277" ht="15" customHeight="1" x14ac:dyDescent="0.25">
      <c r="A118" s="75" t="str">
        <f t="shared" si="917"/>
        <v/>
      </c>
      <c r="B118" s="578" t="str">
        <f t="shared" ref="B118:D118" si="1052">IFERROR(O273+($A118*-E118),"")</f>
        <v/>
      </c>
      <c r="C118" s="572" t="str">
        <f t="shared" si="1052"/>
        <v/>
      </c>
      <c r="D118" s="576" t="str">
        <f t="shared" si="1052"/>
        <v/>
      </c>
      <c r="E118" s="580" t="str">
        <f t="shared" ref="E118:K118" si="1053">R273</f>
        <v/>
      </c>
      <c r="F118" s="572" t="str">
        <f t="shared" si="1053"/>
        <v/>
      </c>
      <c r="G118" s="579" t="str">
        <f t="shared" si="1053"/>
        <v/>
      </c>
      <c r="H118" s="580" t="str">
        <f t="shared" si="1053"/>
        <v/>
      </c>
      <c r="I118" s="572" t="str">
        <f t="shared" si="1053"/>
        <v/>
      </c>
      <c r="J118" s="483" t="str">
        <f t="shared" si="728"/>
        <v/>
      </c>
      <c r="K118" s="806" t="str">
        <f t="shared" si="1053"/>
        <v/>
      </c>
      <c r="L118" s="309"/>
      <c r="M118" s="164" t="str">
        <f t="shared" si="920"/>
        <v/>
      </c>
      <c r="N118" s="575" t="str">
        <f t="shared" si="921"/>
        <v/>
      </c>
      <c r="O118" s="572" t="str">
        <f t="shared" si="922"/>
        <v/>
      </c>
      <c r="P118" s="576" t="str">
        <f t="shared" si="923"/>
        <v/>
      </c>
      <c r="Q118" s="528" t="str">
        <f t="shared" si="729"/>
        <v/>
      </c>
      <c r="R118" s="572" t="str">
        <f t="shared" si="1005"/>
        <v/>
      </c>
      <c r="S118" s="577" t="str">
        <f t="shared" si="1006"/>
        <v/>
      </c>
      <c r="T118" s="578" t="str">
        <f t="shared" si="1007"/>
        <v/>
      </c>
      <c r="U118" s="572" t="str">
        <f t="shared" si="1008"/>
        <v/>
      </c>
      <c r="V118" s="579" t="str">
        <f t="shared" si="1009"/>
        <v/>
      </c>
      <c r="W118" s="528" t="str">
        <f t="shared" si="866"/>
        <v/>
      </c>
      <c r="X118" s="572" t="str">
        <f t="shared" si="1010"/>
        <v/>
      </c>
      <c r="Y118" s="573" t="str">
        <f t="shared" si="859"/>
        <v/>
      </c>
      <c r="Z118" s="575" t="str">
        <f t="shared" si="924"/>
        <v/>
      </c>
      <c r="AA118" s="572" t="str">
        <f t="shared" si="925"/>
        <v/>
      </c>
      <c r="AB118" s="572" t="str">
        <f t="shared" si="926"/>
        <v/>
      </c>
      <c r="AC118" s="579" t="str">
        <f t="shared" si="1011"/>
        <v/>
      </c>
      <c r="AD118" s="580" t="str">
        <f t="shared" si="1012"/>
        <v/>
      </c>
      <c r="AE118" s="572" t="str">
        <f t="shared" si="1013"/>
        <v/>
      </c>
      <c r="AF118" s="576" t="str">
        <f t="shared" si="1014"/>
        <v/>
      </c>
      <c r="AG118" s="545" t="str">
        <f t="shared" si="1015"/>
        <v/>
      </c>
      <c r="AH118" s="546" t="str">
        <f t="shared" si="1016"/>
        <v/>
      </c>
      <c r="AI118" s="528" t="str">
        <f t="shared" si="1017"/>
        <v/>
      </c>
      <c r="AJ118" s="529" t="str">
        <f t="shared" si="1018"/>
        <v/>
      </c>
      <c r="AK118" s="578" t="str">
        <f t="shared" si="1019"/>
        <v/>
      </c>
      <c r="AL118" s="572" t="str">
        <f t="shared" si="1020"/>
        <v/>
      </c>
      <c r="AM118" s="577" t="str">
        <f t="shared" si="1021"/>
        <v/>
      </c>
      <c r="AN118" s="524" t="str">
        <f t="shared" si="1022"/>
        <v/>
      </c>
      <c r="AO118" s="525" t="str">
        <f t="shared" si="604"/>
        <v/>
      </c>
      <c r="AP118" s="528" t="str">
        <f t="shared" si="1023"/>
        <v/>
      </c>
      <c r="AQ118" s="529" t="str">
        <f t="shared" si="927"/>
        <v/>
      </c>
      <c r="AS118" s="954" t="str">
        <f t="shared" si="1029"/>
        <v/>
      </c>
      <c r="AT118" s="950" t="str">
        <f t="shared" si="928"/>
        <v/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55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90"/>
        <v/>
      </c>
      <c r="IM118" s="482" t="str">
        <f t="shared" si="856"/>
        <v/>
      </c>
      <c r="IN118" s="670" t="str">
        <f t="shared" si="991"/>
        <v/>
      </c>
      <c r="IO118" s="702"/>
      <c r="IP118" s="5" t="str">
        <f t="shared" si="992"/>
        <v/>
      </c>
      <c r="IQ118" s="714"/>
      <c r="IR118" s="9" t="str">
        <f t="shared" si="993"/>
        <v/>
      </c>
      <c r="IS118" s="5" t="str">
        <f t="shared" si="994"/>
        <v/>
      </c>
      <c r="IT118" s="5" t="str">
        <f t="shared" si="995"/>
        <v/>
      </c>
      <c r="IU118" s="5" t="str">
        <f t="shared" si="996"/>
        <v/>
      </c>
      <c r="IV118" s="670" t="str">
        <f t="shared" si="997"/>
        <v/>
      </c>
      <c r="IW118" s="9" t="str">
        <f t="shared" si="998"/>
        <v/>
      </c>
      <c r="IX118" s="5" t="str">
        <f t="shared" si="999"/>
        <v/>
      </c>
      <c r="IY118" s="5" t="str">
        <f t="shared" si="1000"/>
        <v/>
      </c>
      <c r="IZ118" s="5" t="str">
        <f t="shared" si="1001"/>
        <v/>
      </c>
      <c r="JA118" s="705" t="str">
        <f t="shared" si="1002"/>
        <v/>
      </c>
      <c r="JN118" s="960"/>
      <c r="JO118" s="162"/>
      <c r="JP118" s="961"/>
      <c r="JQ118" s="961"/>
    </row>
    <row r="119" spans="1:277" ht="15" customHeight="1" x14ac:dyDescent="0.25">
      <c r="A119" s="75" t="str">
        <f t="shared" si="917"/>
        <v/>
      </c>
      <c r="B119" s="578" t="str">
        <f t="shared" ref="B119:D119" si="1054">IFERROR(O274+($A119*-E119),"")</f>
        <v/>
      </c>
      <c r="C119" s="572" t="str">
        <f t="shared" si="1054"/>
        <v/>
      </c>
      <c r="D119" s="576" t="str">
        <f t="shared" si="1054"/>
        <v/>
      </c>
      <c r="E119" s="580" t="str">
        <f t="shared" ref="E119:K119" si="1055">R274</f>
        <v/>
      </c>
      <c r="F119" s="572" t="str">
        <f t="shared" si="1055"/>
        <v/>
      </c>
      <c r="G119" s="579" t="str">
        <f t="shared" si="1055"/>
        <v/>
      </c>
      <c r="H119" s="580" t="str">
        <f t="shared" si="1055"/>
        <v/>
      </c>
      <c r="I119" s="572" t="str">
        <f t="shared" si="1055"/>
        <v/>
      </c>
      <c r="J119" s="483" t="str">
        <f t="shared" si="728"/>
        <v/>
      </c>
      <c r="K119" s="806" t="str">
        <f t="shared" si="1055"/>
        <v/>
      </c>
      <c r="L119" s="309"/>
      <c r="M119" s="164" t="str">
        <f t="shared" si="920"/>
        <v/>
      </c>
      <c r="N119" s="575" t="str">
        <f t="shared" si="921"/>
        <v/>
      </c>
      <c r="O119" s="572" t="str">
        <f t="shared" si="922"/>
        <v/>
      </c>
      <c r="P119" s="576" t="str">
        <f t="shared" si="923"/>
        <v/>
      </c>
      <c r="Q119" s="528" t="str">
        <f t="shared" si="729"/>
        <v/>
      </c>
      <c r="R119" s="572" t="str">
        <f t="shared" si="1005"/>
        <v/>
      </c>
      <c r="S119" s="577" t="str">
        <f t="shared" si="1006"/>
        <v/>
      </c>
      <c r="T119" s="578" t="str">
        <f t="shared" si="1007"/>
        <v/>
      </c>
      <c r="U119" s="572" t="str">
        <f t="shared" si="1008"/>
        <v/>
      </c>
      <c r="V119" s="579" t="str">
        <f t="shared" si="1009"/>
        <v/>
      </c>
      <c r="W119" s="528" t="str">
        <f t="shared" si="866"/>
        <v/>
      </c>
      <c r="X119" s="572" t="str">
        <f t="shared" si="1010"/>
        <v/>
      </c>
      <c r="Y119" s="573" t="str">
        <f t="shared" si="859"/>
        <v/>
      </c>
      <c r="Z119" s="575" t="str">
        <f t="shared" si="924"/>
        <v/>
      </c>
      <c r="AA119" s="572" t="str">
        <f t="shared" si="925"/>
        <v/>
      </c>
      <c r="AB119" s="572" t="str">
        <f t="shared" si="926"/>
        <v/>
      </c>
      <c r="AC119" s="579" t="str">
        <f t="shared" si="1011"/>
        <v/>
      </c>
      <c r="AD119" s="580" t="str">
        <f t="shared" si="1012"/>
        <v/>
      </c>
      <c r="AE119" s="572" t="str">
        <f t="shared" si="1013"/>
        <v/>
      </c>
      <c r="AF119" s="576" t="str">
        <f t="shared" si="1014"/>
        <v/>
      </c>
      <c r="AG119" s="545" t="str">
        <f t="shared" si="1015"/>
        <v/>
      </c>
      <c r="AH119" s="546" t="str">
        <f t="shared" si="1016"/>
        <v/>
      </c>
      <c r="AI119" s="528" t="str">
        <f t="shared" si="1017"/>
        <v/>
      </c>
      <c r="AJ119" s="529" t="str">
        <f t="shared" si="1018"/>
        <v/>
      </c>
      <c r="AK119" s="578" t="str">
        <f t="shared" si="1019"/>
        <v/>
      </c>
      <c r="AL119" s="572" t="str">
        <f t="shared" si="1020"/>
        <v/>
      </c>
      <c r="AM119" s="577" t="str">
        <f t="shared" si="1021"/>
        <v/>
      </c>
      <c r="AN119" s="524" t="str">
        <f t="shared" si="1022"/>
        <v/>
      </c>
      <c r="AO119" s="525" t="str">
        <f t="shared" si="604"/>
        <v/>
      </c>
      <c r="AP119" s="528" t="str">
        <f t="shared" si="1023"/>
        <v/>
      </c>
      <c r="AQ119" s="529" t="str">
        <f t="shared" si="927"/>
        <v/>
      </c>
      <c r="AS119" s="954" t="str">
        <f t="shared" si="1029"/>
        <v/>
      </c>
      <c r="AT119" s="950" t="str">
        <f t="shared" si="928"/>
        <v/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55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90"/>
        <v/>
      </c>
      <c r="IM119" s="482" t="str">
        <f t="shared" si="856"/>
        <v/>
      </c>
      <c r="IN119" s="670" t="str">
        <f t="shared" si="991"/>
        <v/>
      </c>
      <c r="IO119" s="702"/>
      <c r="IP119" s="5" t="str">
        <f t="shared" si="992"/>
        <v/>
      </c>
      <c r="IQ119" s="714"/>
      <c r="IR119" s="9" t="str">
        <f t="shared" si="993"/>
        <v/>
      </c>
      <c r="IS119" s="5" t="str">
        <f t="shared" si="994"/>
        <v/>
      </c>
      <c r="IT119" s="5" t="str">
        <f t="shared" si="995"/>
        <v/>
      </c>
      <c r="IU119" s="5" t="str">
        <f t="shared" si="996"/>
        <v/>
      </c>
      <c r="IV119" s="670" t="str">
        <f t="shared" si="997"/>
        <v/>
      </c>
      <c r="IW119" s="9" t="str">
        <f t="shared" si="998"/>
        <v/>
      </c>
      <c r="IX119" s="5" t="str">
        <f t="shared" si="999"/>
        <v/>
      </c>
      <c r="IY119" s="5" t="str">
        <f t="shared" si="1000"/>
        <v/>
      </c>
      <c r="IZ119" s="5" t="str">
        <f t="shared" si="1001"/>
        <v/>
      </c>
      <c r="JA119" s="705" t="str">
        <f t="shared" si="1002"/>
        <v/>
      </c>
      <c r="JN119" s="960"/>
      <c r="JO119" s="162"/>
      <c r="JP119" s="961"/>
      <c r="JQ119" s="961"/>
    </row>
    <row r="120" spans="1:277" ht="15" customHeight="1" x14ac:dyDescent="0.25">
      <c r="A120" s="75" t="str">
        <f t="shared" si="917"/>
        <v/>
      </c>
      <c r="B120" s="578" t="str">
        <f t="shared" ref="B120:D120" si="1056">IFERROR(O275+($A120*-E120),"")</f>
        <v/>
      </c>
      <c r="C120" s="572" t="str">
        <f t="shared" si="1056"/>
        <v/>
      </c>
      <c r="D120" s="576" t="str">
        <f t="shared" si="1056"/>
        <v/>
      </c>
      <c r="E120" s="580" t="str">
        <f t="shared" ref="E120:K120" si="1057">R275</f>
        <v/>
      </c>
      <c r="F120" s="572" t="str">
        <f t="shared" si="1057"/>
        <v/>
      </c>
      <c r="G120" s="579" t="str">
        <f t="shared" si="1057"/>
        <v/>
      </c>
      <c r="H120" s="580" t="str">
        <f t="shared" si="1057"/>
        <v/>
      </c>
      <c r="I120" s="572" t="str">
        <f t="shared" si="1057"/>
        <v/>
      </c>
      <c r="J120" s="483" t="str">
        <f t="shared" si="728"/>
        <v/>
      </c>
      <c r="K120" s="806" t="str">
        <f t="shared" si="1057"/>
        <v/>
      </c>
      <c r="L120" s="309"/>
      <c r="M120" s="164" t="str">
        <f t="shared" si="920"/>
        <v/>
      </c>
      <c r="N120" s="575" t="str">
        <f t="shared" si="921"/>
        <v/>
      </c>
      <c r="O120" s="572" t="str">
        <f t="shared" si="922"/>
        <v/>
      </c>
      <c r="P120" s="576" t="str">
        <f t="shared" si="923"/>
        <v/>
      </c>
      <c r="Q120" s="528" t="str">
        <f t="shared" si="729"/>
        <v/>
      </c>
      <c r="R120" s="572" t="str">
        <f t="shared" si="1005"/>
        <v/>
      </c>
      <c r="S120" s="577" t="str">
        <f t="shared" si="1006"/>
        <v/>
      </c>
      <c r="T120" s="578" t="str">
        <f t="shared" si="1007"/>
        <v/>
      </c>
      <c r="U120" s="572" t="str">
        <f t="shared" si="1008"/>
        <v/>
      </c>
      <c r="V120" s="579" t="str">
        <f t="shared" si="1009"/>
        <v/>
      </c>
      <c r="W120" s="528" t="str">
        <f t="shared" si="866"/>
        <v/>
      </c>
      <c r="X120" s="572" t="str">
        <f t="shared" si="1010"/>
        <v/>
      </c>
      <c r="Y120" s="573" t="str">
        <f t="shared" si="859"/>
        <v/>
      </c>
      <c r="Z120" s="575" t="str">
        <f t="shared" si="924"/>
        <v/>
      </c>
      <c r="AA120" s="572" t="str">
        <f t="shared" si="925"/>
        <v/>
      </c>
      <c r="AB120" s="572" t="str">
        <f t="shared" si="926"/>
        <v/>
      </c>
      <c r="AC120" s="579" t="str">
        <f t="shared" si="1011"/>
        <v/>
      </c>
      <c r="AD120" s="580" t="str">
        <f t="shared" si="1012"/>
        <v/>
      </c>
      <c r="AE120" s="572" t="str">
        <f t="shared" si="1013"/>
        <v/>
      </c>
      <c r="AF120" s="576" t="str">
        <f t="shared" si="1014"/>
        <v/>
      </c>
      <c r="AG120" s="545" t="str">
        <f t="shared" si="1015"/>
        <v/>
      </c>
      <c r="AH120" s="546" t="str">
        <f t="shared" si="1016"/>
        <v/>
      </c>
      <c r="AI120" s="528" t="str">
        <f t="shared" si="1017"/>
        <v/>
      </c>
      <c r="AJ120" s="529" t="str">
        <f t="shared" si="1018"/>
        <v/>
      </c>
      <c r="AK120" s="578" t="str">
        <f t="shared" si="1019"/>
        <v/>
      </c>
      <c r="AL120" s="572" t="str">
        <f t="shared" si="1020"/>
        <v/>
      </c>
      <c r="AM120" s="577" t="str">
        <f t="shared" si="1021"/>
        <v/>
      </c>
      <c r="AN120" s="524" t="str">
        <f t="shared" si="1022"/>
        <v/>
      </c>
      <c r="AO120" s="525" t="str">
        <f t="shared" ref="AO120:AO150" si="1058">IF(ROUND(IF(M120="",0,DEGREES(ACOS(AK120))),4)=90,0,IF(M120="","",DEGREES(ACOS(AK120))))</f>
        <v/>
      </c>
      <c r="AP120" s="528" t="str">
        <f t="shared" si="1023"/>
        <v/>
      </c>
      <c r="AQ120" s="529" t="str">
        <f t="shared" si="927"/>
        <v/>
      </c>
      <c r="AS120" s="954" t="str">
        <f t="shared" si="1029"/>
        <v/>
      </c>
      <c r="AT120" s="950" t="str">
        <f t="shared" si="928"/>
        <v/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55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90"/>
        <v/>
      </c>
      <c r="IM120" s="482" t="str">
        <f t="shared" si="856"/>
        <v/>
      </c>
      <c r="IN120" s="670" t="str">
        <f t="shared" si="991"/>
        <v/>
      </c>
      <c r="IO120" s="702"/>
      <c r="IP120" s="5" t="str">
        <f t="shared" si="992"/>
        <v/>
      </c>
      <c r="IQ120" s="714"/>
      <c r="IR120" s="9" t="str">
        <f t="shared" si="993"/>
        <v/>
      </c>
      <c r="IS120" s="5" t="str">
        <f t="shared" si="994"/>
        <v/>
      </c>
      <c r="IT120" s="5" t="str">
        <f t="shared" si="995"/>
        <v/>
      </c>
      <c r="IU120" s="5" t="str">
        <f t="shared" si="996"/>
        <v/>
      </c>
      <c r="IV120" s="670" t="str">
        <f t="shared" si="997"/>
        <v/>
      </c>
      <c r="IW120" s="9" t="str">
        <f t="shared" si="998"/>
        <v/>
      </c>
      <c r="IX120" s="5" t="str">
        <f t="shared" si="999"/>
        <v/>
      </c>
      <c r="IY120" s="5" t="str">
        <f t="shared" si="1000"/>
        <v/>
      </c>
      <c r="IZ120" s="5" t="str">
        <f t="shared" si="1001"/>
        <v/>
      </c>
      <c r="JA120" s="705" t="str">
        <f t="shared" si="1002"/>
        <v/>
      </c>
      <c r="JN120" s="960"/>
      <c r="JO120" s="162"/>
      <c r="JP120" s="961"/>
      <c r="JQ120" s="961"/>
    </row>
    <row r="121" spans="1:277" ht="15" customHeight="1" x14ac:dyDescent="0.25">
      <c r="A121" s="75" t="str">
        <f t="shared" si="917"/>
        <v/>
      </c>
      <c r="B121" s="578" t="str">
        <f t="shared" ref="B121:D121" si="1059">IFERROR(O276+($A121*-E121),"")</f>
        <v/>
      </c>
      <c r="C121" s="572" t="str">
        <f t="shared" si="1059"/>
        <v/>
      </c>
      <c r="D121" s="576" t="str">
        <f t="shared" si="1059"/>
        <v/>
      </c>
      <c r="E121" s="580" t="str">
        <f t="shared" ref="E121:K121" si="1060">R276</f>
        <v/>
      </c>
      <c r="F121" s="572" t="str">
        <f t="shared" si="1060"/>
        <v/>
      </c>
      <c r="G121" s="579" t="str">
        <f t="shared" si="1060"/>
        <v/>
      </c>
      <c r="H121" s="580" t="str">
        <f t="shared" si="1060"/>
        <v/>
      </c>
      <c r="I121" s="572" t="str">
        <f t="shared" si="1060"/>
        <v/>
      </c>
      <c r="J121" s="483" t="str">
        <f t="shared" si="728"/>
        <v/>
      </c>
      <c r="K121" s="806" t="str">
        <f t="shared" si="1060"/>
        <v/>
      </c>
      <c r="L121" s="309"/>
      <c r="M121" s="164" t="str">
        <f t="shared" si="920"/>
        <v/>
      </c>
      <c r="N121" s="575" t="str">
        <f t="shared" si="921"/>
        <v/>
      </c>
      <c r="O121" s="572" t="str">
        <f t="shared" si="922"/>
        <v/>
      </c>
      <c r="P121" s="576" t="str">
        <f t="shared" si="923"/>
        <v/>
      </c>
      <c r="Q121" s="528" t="str">
        <f t="shared" si="729"/>
        <v/>
      </c>
      <c r="R121" s="572" t="str">
        <f t="shared" si="1005"/>
        <v/>
      </c>
      <c r="S121" s="577" t="str">
        <f t="shared" si="1006"/>
        <v/>
      </c>
      <c r="T121" s="578" t="str">
        <f t="shared" si="1007"/>
        <v/>
      </c>
      <c r="U121" s="572" t="str">
        <f t="shared" si="1008"/>
        <v/>
      </c>
      <c r="V121" s="579" t="str">
        <f t="shared" si="1009"/>
        <v/>
      </c>
      <c r="W121" s="528" t="str">
        <f t="shared" si="866"/>
        <v/>
      </c>
      <c r="X121" s="572" t="str">
        <f t="shared" si="1010"/>
        <v/>
      </c>
      <c r="Y121" s="573" t="str">
        <f t="shared" si="859"/>
        <v/>
      </c>
      <c r="Z121" s="575" t="str">
        <f t="shared" si="924"/>
        <v/>
      </c>
      <c r="AA121" s="572" t="str">
        <f t="shared" si="925"/>
        <v/>
      </c>
      <c r="AB121" s="572" t="str">
        <f t="shared" si="926"/>
        <v/>
      </c>
      <c r="AC121" s="579" t="str">
        <f t="shared" si="1011"/>
        <v/>
      </c>
      <c r="AD121" s="580" t="str">
        <f t="shared" si="1012"/>
        <v/>
      </c>
      <c r="AE121" s="572" t="str">
        <f t="shared" si="1013"/>
        <v/>
      </c>
      <c r="AF121" s="576" t="str">
        <f t="shared" si="1014"/>
        <v/>
      </c>
      <c r="AG121" s="545" t="str">
        <f t="shared" si="1015"/>
        <v/>
      </c>
      <c r="AH121" s="546" t="str">
        <f t="shared" si="1016"/>
        <v/>
      </c>
      <c r="AI121" s="528" t="str">
        <f t="shared" si="1017"/>
        <v/>
      </c>
      <c r="AJ121" s="529" t="str">
        <f t="shared" si="1018"/>
        <v/>
      </c>
      <c r="AK121" s="578" t="str">
        <f t="shared" si="1019"/>
        <v/>
      </c>
      <c r="AL121" s="572" t="str">
        <f t="shared" si="1020"/>
        <v/>
      </c>
      <c r="AM121" s="577" t="str">
        <f t="shared" si="1021"/>
        <v/>
      </c>
      <c r="AN121" s="524" t="str">
        <f t="shared" si="1022"/>
        <v/>
      </c>
      <c r="AO121" s="525" t="str">
        <f t="shared" si="1058"/>
        <v/>
      </c>
      <c r="AP121" s="528" t="str">
        <f t="shared" si="1023"/>
        <v/>
      </c>
      <c r="AQ121" s="529" t="str">
        <f t="shared" si="927"/>
        <v/>
      </c>
      <c r="AS121" s="954" t="str">
        <f t="shared" si="1029"/>
        <v/>
      </c>
      <c r="AT121" s="950" t="str">
        <f t="shared" si="928"/>
        <v/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55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90"/>
        <v/>
      </c>
      <c r="IM121" s="482" t="str">
        <f t="shared" si="856"/>
        <v/>
      </c>
      <c r="IN121" s="670" t="str">
        <f t="shared" si="991"/>
        <v/>
      </c>
      <c r="IO121" s="702"/>
      <c r="IP121" s="5" t="str">
        <f t="shared" si="992"/>
        <v/>
      </c>
      <c r="IQ121" s="714"/>
      <c r="IR121" s="9" t="str">
        <f t="shared" si="993"/>
        <v/>
      </c>
      <c r="IS121" s="5" t="str">
        <f t="shared" si="994"/>
        <v/>
      </c>
      <c r="IT121" s="5" t="str">
        <f t="shared" si="995"/>
        <v/>
      </c>
      <c r="IU121" s="5" t="str">
        <f t="shared" si="996"/>
        <v/>
      </c>
      <c r="IV121" s="670" t="str">
        <f t="shared" si="997"/>
        <v/>
      </c>
      <c r="IW121" s="9" t="str">
        <f t="shared" si="998"/>
        <v/>
      </c>
      <c r="IX121" s="5" t="str">
        <f t="shared" si="999"/>
        <v/>
      </c>
      <c r="IY121" s="5" t="str">
        <f t="shared" si="1000"/>
        <v/>
      </c>
      <c r="IZ121" s="5" t="str">
        <f t="shared" si="1001"/>
        <v/>
      </c>
      <c r="JA121" s="705" t="str">
        <f t="shared" si="1002"/>
        <v/>
      </c>
      <c r="JN121" s="960"/>
      <c r="JO121" s="162"/>
      <c r="JP121" s="961"/>
      <c r="JQ121" s="961"/>
    </row>
    <row r="122" spans="1:277" ht="15" customHeight="1" x14ac:dyDescent="0.25">
      <c r="A122" s="75" t="str">
        <f t="shared" si="917"/>
        <v/>
      </c>
      <c r="B122" s="578" t="str">
        <f t="shared" ref="B122:D122" si="1061">IFERROR(O277+($A122*-E122),"")</f>
        <v/>
      </c>
      <c r="C122" s="572" t="str">
        <f t="shared" si="1061"/>
        <v/>
      </c>
      <c r="D122" s="576" t="str">
        <f t="shared" si="1061"/>
        <v/>
      </c>
      <c r="E122" s="580" t="str">
        <f t="shared" ref="E122:K122" si="1062">R277</f>
        <v/>
      </c>
      <c r="F122" s="572" t="str">
        <f t="shared" si="1062"/>
        <v/>
      </c>
      <c r="G122" s="579" t="str">
        <f t="shared" si="1062"/>
        <v/>
      </c>
      <c r="H122" s="580" t="str">
        <f t="shared" si="1062"/>
        <v/>
      </c>
      <c r="I122" s="572" t="str">
        <f t="shared" si="1062"/>
        <v/>
      </c>
      <c r="J122" s="483" t="str">
        <f t="shared" si="728"/>
        <v/>
      </c>
      <c r="K122" s="806" t="str">
        <f t="shared" si="1062"/>
        <v/>
      </c>
      <c r="L122" s="309"/>
      <c r="M122" s="164" t="str">
        <f t="shared" si="920"/>
        <v/>
      </c>
      <c r="N122" s="575" t="str">
        <f t="shared" si="921"/>
        <v/>
      </c>
      <c r="O122" s="572" t="str">
        <f t="shared" si="922"/>
        <v/>
      </c>
      <c r="P122" s="576" t="str">
        <f t="shared" si="923"/>
        <v/>
      </c>
      <c r="Q122" s="528" t="str">
        <f t="shared" si="729"/>
        <v/>
      </c>
      <c r="R122" s="572" t="str">
        <f t="shared" si="1005"/>
        <v/>
      </c>
      <c r="S122" s="577" t="str">
        <f t="shared" si="1006"/>
        <v/>
      </c>
      <c r="T122" s="578" t="str">
        <f t="shared" si="1007"/>
        <v/>
      </c>
      <c r="U122" s="572" t="str">
        <f t="shared" si="1008"/>
        <v/>
      </c>
      <c r="V122" s="579" t="str">
        <f t="shared" si="1009"/>
        <v/>
      </c>
      <c r="W122" s="528" t="str">
        <f t="shared" si="866"/>
        <v/>
      </c>
      <c r="X122" s="572" t="str">
        <f t="shared" si="1010"/>
        <v/>
      </c>
      <c r="Y122" s="573" t="str">
        <f t="shared" si="859"/>
        <v/>
      </c>
      <c r="Z122" s="575" t="str">
        <f t="shared" si="924"/>
        <v/>
      </c>
      <c r="AA122" s="572" t="str">
        <f t="shared" si="925"/>
        <v/>
      </c>
      <c r="AB122" s="572" t="str">
        <f t="shared" si="926"/>
        <v/>
      </c>
      <c r="AC122" s="579" t="str">
        <f t="shared" si="1011"/>
        <v/>
      </c>
      <c r="AD122" s="580" t="str">
        <f t="shared" si="1012"/>
        <v/>
      </c>
      <c r="AE122" s="572" t="str">
        <f t="shared" si="1013"/>
        <v/>
      </c>
      <c r="AF122" s="576" t="str">
        <f t="shared" si="1014"/>
        <v/>
      </c>
      <c r="AG122" s="545" t="str">
        <f t="shared" si="1015"/>
        <v/>
      </c>
      <c r="AH122" s="546" t="str">
        <f t="shared" si="1016"/>
        <v/>
      </c>
      <c r="AI122" s="528" t="str">
        <f t="shared" si="1017"/>
        <v/>
      </c>
      <c r="AJ122" s="529" t="str">
        <f t="shared" si="1018"/>
        <v/>
      </c>
      <c r="AK122" s="578" t="str">
        <f t="shared" si="1019"/>
        <v/>
      </c>
      <c r="AL122" s="572" t="str">
        <f t="shared" si="1020"/>
        <v/>
      </c>
      <c r="AM122" s="577" t="str">
        <f t="shared" si="1021"/>
        <v/>
      </c>
      <c r="AN122" s="524" t="str">
        <f t="shared" si="1022"/>
        <v/>
      </c>
      <c r="AO122" s="525" t="str">
        <f t="shared" si="1058"/>
        <v/>
      </c>
      <c r="AP122" s="528" t="str">
        <f t="shared" si="1023"/>
        <v/>
      </c>
      <c r="AQ122" s="529" t="str">
        <f t="shared" si="927"/>
        <v/>
      </c>
      <c r="AS122" s="954" t="str">
        <f t="shared" si="1029"/>
        <v/>
      </c>
      <c r="AT122" s="950" t="str">
        <f t="shared" si="928"/>
        <v/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55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90"/>
        <v/>
      </c>
      <c r="IM122" s="482" t="str">
        <f t="shared" si="856"/>
        <v/>
      </c>
      <c r="IN122" s="670" t="str">
        <f t="shared" si="991"/>
        <v/>
      </c>
      <c r="IO122" s="702"/>
      <c r="IP122" s="5" t="str">
        <f t="shared" si="992"/>
        <v/>
      </c>
      <c r="IQ122" s="714"/>
      <c r="IR122" s="9" t="str">
        <f t="shared" si="993"/>
        <v/>
      </c>
      <c r="IS122" s="5" t="str">
        <f t="shared" si="994"/>
        <v/>
      </c>
      <c r="IT122" s="5" t="str">
        <f t="shared" si="995"/>
        <v/>
      </c>
      <c r="IU122" s="5" t="str">
        <f t="shared" si="996"/>
        <v/>
      </c>
      <c r="IV122" s="670" t="str">
        <f t="shared" si="997"/>
        <v/>
      </c>
      <c r="IW122" s="9" t="str">
        <f t="shared" si="998"/>
        <v/>
      </c>
      <c r="IX122" s="5" t="str">
        <f t="shared" si="999"/>
        <v/>
      </c>
      <c r="IY122" s="5" t="str">
        <f t="shared" si="1000"/>
        <v/>
      </c>
      <c r="IZ122" s="5" t="str">
        <f t="shared" si="1001"/>
        <v/>
      </c>
      <c r="JA122" s="705" t="str">
        <f t="shared" si="1002"/>
        <v/>
      </c>
      <c r="JN122" s="960"/>
      <c r="JO122" s="162"/>
      <c r="JP122" s="961"/>
      <c r="JQ122" s="961"/>
    </row>
    <row r="123" spans="1:277" ht="15" customHeight="1" x14ac:dyDescent="0.25">
      <c r="A123" s="75" t="str">
        <f t="shared" si="917"/>
        <v/>
      </c>
      <c r="B123" s="578" t="str">
        <f t="shared" ref="B123:D123" si="1063">IFERROR(O278+($A123*-E123),"")</f>
        <v/>
      </c>
      <c r="C123" s="572" t="str">
        <f t="shared" si="1063"/>
        <v/>
      </c>
      <c r="D123" s="576" t="str">
        <f t="shared" si="1063"/>
        <v/>
      </c>
      <c r="E123" s="580" t="str">
        <f t="shared" ref="E123:K123" si="1064">R278</f>
        <v/>
      </c>
      <c r="F123" s="572" t="str">
        <f t="shared" si="1064"/>
        <v/>
      </c>
      <c r="G123" s="579" t="str">
        <f t="shared" si="1064"/>
        <v/>
      </c>
      <c r="H123" s="580" t="str">
        <f t="shared" si="1064"/>
        <v/>
      </c>
      <c r="I123" s="572" t="str">
        <f t="shared" si="1064"/>
        <v/>
      </c>
      <c r="J123" s="483" t="str">
        <f t="shared" si="728"/>
        <v/>
      </c>
      <c r="K123" s="806" t="str">
        <f t="shared" si="1064"/>
        <v/>
      </c>
      <c r="L123" s="309"/>
      <c r="M123" s="164" t="str">
        <f t="shared" si="920"/>
        <v/>
      </c>
      <c r="N123" s="575" t="str">
        <f t="shared" si="921"/>
        <v/>
      </c>
      <c r="O123" s="572" t="str">
        <f t="shared" si="922"/>
        <v/>
      </c>
      <c r="P123" s="576" t="str">
        <f t="shared" si="923"/>
        <v/>
      </c>
      <c r="Q123" s="528" t="str">
        <f t="shared" si="729"/>
        <v/>
      </c>
      <c r="R123" s="572" t="str">
        <f t="shared" si="1005"/>
        <v/>
      </c>
      <c r="S123" s="577" t="str">
        <f t="shared" si="1006"/>
        <v/>
      </c>
      <c r="T123" s="578" t="str">
        <f t="shared" si="1007"/>
        <v/>
      </c>
      <c r="U123" s="572" t="str">
        <f t="shared" si="1008"/>
        <v/>
      </c>
      <c r="V123" s="579" t="str">
        <f t="shared" si="1009"/>
        <v/>
      </c>
      <c r="W123" s="528" t="str">
        <f t="shared" si="866"/>
        <v/>
      </c>
      <c r="X123" s="572" t="str">
        <f t="shared" si="1010"/>
        <v/>
      </c>
      <c r="Y123" s="573" t="str">
        <f t="shared" si="859"/>
        <v/>
      </c>
      <c r="Z123" s="575" t="str">
        <f t="shared" si="924"/>
        <v/>
      </c>
      <c r="AA123" s="572" t="str">
        <f t="shared" si="925"/>
        <v/>
      </c>
      <c r="AB123" s="572" t="str">
        <f t="shared" si="926"/>
        <v/>
      </c>
      <c r="AC123" s="579" t="str">
        <f t="shared" si="1011"/>
        <v/>
      </c>
      <c r="AD123" s="580" t="str">
        <f t="shared" si="1012"/>
        <v/>
      </c>
      <c r="AE123" s="572" t="str">
        <f t="shared" si="1013"/>
        <v/>
      </c>
      <c r="AF123" s="576" t="str">
        <f t="shared" si="1014"/>
        <v/>
      </c>
      <c r="AG123" s="545" t="str">
        <f t="shared" si="1015"/>
        <v/>
      </c>
      <c r="AH123" s="546" t="str">
        <f t="shared" si="1016"/>
        <v/>
      </c>
      <c r="AI123" s="528" t="str">
        <f t="shared" si="1017"/>
        <v/>
      </c>
      <c r="AJ123" s="529" t="str">
        <f t="shared" si="1018"/>
        <v/>
      </c>
      <c r="AK123" s="578" t="str">
        <f t="shared" si="1019"/>
        <v/>
      </c>
      <c r="AL123" s="572" t="str">
        <f t="shared" si="1020"/>
        <v/>
      </c>
      <c r="AM123" s="577" t="str">
        <f t="shared" si="1021"/>
        <v/>
      </c>
      <c r="AN123" s="524" t="str">
        <f t="shared" si="1022"/>
        <v/>
      </c>
      <c r="AO123" s="525" t="str">
        <f t="shared" si="1058"/>
        <v/>
      </c>
      <c r="AP123" s="528" t="str">
        <f t="shared" si="1023"/>
        <v/>
      </c>
      <c r="AQ123" s="529" t="str">
        <f t="shared" si="927"/>
        <v/>
      </c>
      <c r="AS123" s="954" t="str">
        <f t="shared" si="1029"/>
        <v/>
      </c>
      <c r="AT123" s="950" t="str">
        <f t="shared" si="928"/>
        <v/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55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90"/>
        <v/>
      </c>
      <c r="IM123" s="482" t="str">
        <f t="shared" si="856"/>
        <v/>
      </c>
      <c r="IN123" s="670" t="str">
        <f t="shared" si="991"/>
        <v/>
      </c>
      <c r="IO123" s="702"/>
      <c r="IP123" s="5" t="str">
        <f t="shared" si="992"/>
        <v/>
      </c>
      <c r="IQ123" s="714"/>
      <c r="IR123" s="9" t="str">
        <f t="shared" si="993"/>
        <v/>
      </c>
      <c r="IS123" s="5" t="str">
        <f t="shared" si="994"/>
        <v/>
      </c>
      <c r="IT123" s="5" t="str">
        <f t="shared" si="995"/>
        <v/>
      </c>
      <c r="IU123" s="5" t="str">
        <f t="shared" si="996"/>
        <v/>
      </c>
      <c r="IV123" s="670" t="str">
        <f t="shared" si="997"/>
        <v/>
      </c>
      <c r="IW123" s="9" t="str">
        <f t="shared" si="998"/>
        <v/>
      </c>
      <c r="IX123" s="5" t="str">
        <f t="shared" si="999"/>
        <v/>
      </c>
      <c r="IY123" s="5" t="str">
        <f t="shared" si="1000"/>
        <v/>
      </c>
      <c r="IZ123" s="5" t="str">
        <f t="shared" si="1001"/>
        <v/>
      </c>
      <c r="JA123" s="705" t="str">
        <f t="shared" si="1002"/>
        <v/>
      </c>
      <c r="JN123" s="960"/>
      <c r="JO123" s="162"/>
      <c r="JP123" s="961"/>
      <c r="JQ123" s="961"/>
    </row>
    <row r="124" spans="1:277" ht="15" customHeight="1" x14ac:dyDescent="0.25">
      <c r="A124" s="75" t="str">
        <f t="shared" si="917"/>
        <v/>
      </c>
      <c r="B124" s="578" t="str">
        <f t="shared" ref="B124:D124" si="1065">IFERROR(O279+($A124*-E124),"")</f>
        <v/>
      </c>
      <c r="C124" s="572" t="str">
        <f t="shared" si="1065"/>
        <v/>
      </c>
      <c r="D124" s="576" t="str">
        <f t="shared" si="1065"/>
        <v/>
      </c>
      <c r="E124" s="580" t="str">
        <f t="shared" ref="E124:K124" si="1066">R279</f>
        <v/>
      </c>
      <c r="F124" s="572" t="str">
        <f t="shared" si="1066"/>
        <v/>
      </c>
      <c r="G124" s="579" t="str">
        <f t="shared" si="1066"/>
        <v/>
      </c>
      <c r="H124" s="580" t="str">
        <f t="shared" si="1066"/>
        <v/>
      </c>
      <c r="I124" s="572" t="str">
        <f t="shared" si="1066"/>
        <v/>
      </c>
      <c r="J124" s="483" t="str">
        <f t="shared" si="728"/>
        <v/>
      </c>
      <c r="K124" s="806" t="str">
        <f t="shared" si="1066"/>
        <v/>
      </c>
      <c r="L124" s="309"/>
      <c r="M124" s="164" t="str">
        <f t="shared" si="920"/>
        <v/>
      </c>
      <c r="N124" s="575" t="str">
        <f t="shared" si="921"/>
        <v/>
      </c>
      <c r="O124" s="572" t="str">
        <f t="shared" si="922"/>
        <v/>
      </c>
      <c r="P124" s="576" t="str">
        <f t="shared" si="923"/>
        <v/>
      </c>
      <c r="Q124" s="528" t="str">
        <f t="shared" si="729"/>
        <v/>
      </c>
      <c r="R124" s="572" t="str">
        <f t="shared" si="1005"/>
        <v/>
      </c>
      <c r="S124" s="577" t="str">
        <f t="shared" si="1006"/>
        <v/>
      </c>
      <c r="T124" s="578" t="str">
        <f t="shared" si="1007"/>
        <v/>
      </c>
      <c r="U124" s="572" t="str">
        <f t="shared" si="1008"/>
        <v/>
      </c>
      <c r="V124" s="579" t="str">
        <f t="shared" si="1009"/>
        <v/>
      </c>
      <c r="W124" s="528" t="str">
        <f t="shared" si="866"/>
        <v/>
      </c>
      <c r="X124" s="572" t="str">
        <f t="shared" si="1010"/>
        <v/>
      </c>
      <c r="Y124" s="573" t="str">
        <f t="shared" si="859"/>
        <v/>
      </c>
      <c r="Z124" s="575" t="str">
        <f t="shared" si="924"/>
        <v/>
      </c>
      <c r="AA124" s="572" t="str">
        <f t="shared" si="925"/>
        <v/>
      </c>
      <c r="AB124" s="572" t="str">
        <f t="shared" si="926"/>
        <v/>
      </c>
      <c r="AC124" s="579" t="str">
        <f t="shared" si="1011"/>
        <v/>
      </c>
      <c r="AD124" s="580" t="str">
        <f t="shared" si="1012"/>
        <v/>
      </c>
      <c r="AE124" s="572" t="str">
        <f t="shared" si="1013"/>
        <v/>
      </c>
      <c r="AF124" s="576" t="str">
        <f t="shared" si="1014"/>
        <v/>
      </c>
      <c r="AG124" s="545" t="str">
        <f t="shared" si="1015"/>
        <v/>
      </c>
      <c r="AH124" s="546" t="str">
        <f t="shared" si="1016"/>
        <v/>
      </c>
      <c r="AI124" s="528" t="str">
        <f t="shared" si="1017"/>
        <v/>
      </c>
      <c r="AJ124" s="529" t="str">
        <f t="shared" si="1018"/>
        <v/>
      </c>
      <c r="AK124" s="578" t="str">
        <f t="shared" si="1019"/>
        <v/>
      </c>
      <c r="AL124" s="572" t="str">
        <f t="shared" si="1020"/>
        <v/>
      </c>
      <c r="AM124" s="577" t="str">
        <f t="shared" si="1021"/>
        <v/>
      </c>
      <c r="AN124" s="524" t="str">
        <f t="shared" si="1022"/>
        <v/>
      </c>
      <c r="AO124" s="525" t="str">
        <f t="shared" si="1058"/>
        <v/>
      </c>
      <c r="AP124" s="528" t="str">
        <f t="shared" si="1023"/>
        <v/>
      </c>
      <c r="AQ124" s="529" t="str">
        <f t="shared" si="927"/>
        <v/>
      </c>
      <c r="AS124" s="954" t="str">
        <f t="shared" si="1029"/>
        <v/>
      </c>
      <c r="AT124" s="950" t="str">
        <f t="shared" si="928"/>
        <v/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55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90"/>
        <v/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 t="str">
        <f t="shared" si="917"/>
        <v/>
      </c>
      <c r="B125" s="578" t="str">
        <f t="shared" ref="B125:D125" si="1067">IFERROR(O280+($A125*-E125),"")</f>
        <v/>
      </c>
      <c r="C125" s="572" t="str">
        <f t="shared" si="1067"/>
        <v/>
      </c>
      <c r="D125" s="576" t="str">
        <f t="shared" si="1067"/>
        <v/>
      </c>
      <c r="E125" s="580" t="str">
        <f t="shared" ref="E125:K125" si="1068">R280</f>
        <v/>
      </c>
      <c r="F125" s="572" t="str">
        <f t="shared" si="1068"/>
        <v/>
      </c>
      <c r="G125" s="579" t="str">
        <f t="shared" si="1068"/>
        <v/>
      </c>
      <c r="H125" s="580" t="str">
        <f t="shared" si="1068"/>
        <v/>
      </c>
      <c r="I125" s="572" t="str">
        <f t="shared" si="1068"/>
        <v/>
      </c>
      <c r="J125" s="483" t="str">
        <f t="shared" si="728"/>
        <v/>
      </c>
      <c r="K125" s="806" t="str">
        <f t="shared" si="1068"/>
        <v/>
      </c>
      <c r="L125" s="309"/>
      <c r="M125" s="164" t="str">
        <f t="shared" si="920"/>
        <v/>
      </c>
      <c r="N125" s="575" t="str">
        <f t="shared" si="921"/>
        <v/>
      </c>
      <c r="O125" s="572" t="str">
        <f t="shared" si="922"/>
        <v/>
      </c>
      <c r="P125" s="576" t="str">
        <f t="shared" si="923"/>
        <v/>
      </c>
      <c r="Q125" s="528" t="str">
        <f t="shared" si="729"/>
        <v/>
      </c>
      <c r="R125" s="572" t="str">
        <f t="shared" si="1005"/>
        <v/>
      </c>
      <c r="S125" s="577" t="str">
        <f t="shared" si="1006"/>
        <v/>
      </c>
      <c r="T125" s="578" t="str">
        <f t="shared" si="1007"/>
        <v/>
      </c>
      <c r="U125" s="572" t="str">
        <f t="shared" si="1008"/>
        <v/>
      </c>
      <c r="V125" s="579" t="str">
        <f t="shared" si="1009"/>
        <v/>
      </c>
      <c r="W125" s="528" t="str">
        <f t="shared" si="866"/>
        <v/>
      </c>
      <c r="X125" s="572" t="str">
        <f t="shared" si="1010"/>
        <v/>
      </c>
      <c r="Y125" s="573" t="str">
        <f t="shared" si="859"/>
        <v/>
      </c>
      <c r="Z125" s="575" t="str">
        <f t="shared" si="924"/>
        <v/>
      </c>
      <c r="AA125" s="572" t="str">
        <f t="shared" si="925"/>
        <v/>
      </c>
      <c r="AB125" s="572" t="str">
        <f t="shared" si="926"/>
        <v/>
      </c>
      <c r="AC125" s="579" t="str">
        <f t="shared" si="1011"/>
        <v/>
      </c>
      <c r="AD125" s="580" t="str">
        <f t="shared" si="1012"/>
        <v/>
      </c>
      <c r="AE125" s="572" t="str">
        <f t="shared" si="1013"/>
        <v/>
      </c>
      <c r="AF125" s="576" t="str">
        <f t="shared" si="1014"/>
        <v/>
      </c>
      <c r="AG125" s="545" t="str">
        <f t="shared" si="1015"/>
        <v/>
      </c>
      <c r="AH125" s="546" t="str">
        <f t="shared" si="1016"/>
        <v/>
      </c>
      <c r="AI125" s="528" t="str">
        <f t="shared" si="1017"/>
        <v/>
      </c>
      <c r="AJ125" s="529" t="str">
        <f t="shared" si="1018"/>
        <v/>
      </c>
      <c r="AK125" s="578" t="str">
        <f t="shared" si="1019"/>
        <v/>
      </c>
      <c r="AL125" s="572" t="str">
        <f t="shared" si="1020"/>
        <v/>
      </c>
      <c r="AM125" s="577" t="str">
        <f t="shared" si="1021"/>
        <v/>
      </c>
      <c r="AN125" s="524" t="str">
        <f t="shared" si="1022"/>
        <v/>
      </c>
      <c r="AO125" s="525" t="str">
        <f t="shared" si="1058"/>
        <v/>
      </c>
      <c r="AP125" s="528" t="str">
        <f t="shared" si="1023"/>
        <v/>
      </c>
      <c r="AQ125" s="529" t="str">
        <f t="shared" si="927"/>
        <v/>
      </c>
      <c r="AS125" s="954" t="str">
        <f t="shared" si="1029"/>
        <v/>
      </c>
      <c r="AT125" s="950" t="str">
        <f t="shared" si="928"/>
        <v/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55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90"/>
        <v/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 t="str">
        <f t="shared" si="917"/>
        <v/>
      </c>
      <c r="B126" s="578" t="str">
        <f t="shared" ref="B126:D126" si="1069">IFERROR(O281+($A126*-E126),"")</f>
        <v/>
      </c>
      <c r="C126" s="572" t="str">
        <f t="shared" si="1069"/>
        <v/>
      </c>
      <c r="D126" s="576" t="str">
        <f t="shared" si="1069"/>
        <v/>
      </c>
      <c r="E126" s="580" t="str">
        <f t="shared" ref="E126:K126" si="1070">R281</f>
        <v/>
      </c>
      <c r="F126" s="572" t="str">
        <f t="shared" si="1070"/>
        <v/>
      </c>
      <c r="G126" s="579" t="str">
        <f t="shared" si="1070"/>
        <v/>
      </c>
      <c r="H126" s="580" t="str">
        <f t="shared" si="1070"/>
        <v/>
      </c>
      <c r="I126" s="572" t="str">
        <f t="shared" si="1070"/>
        <v/>
      </c>
      <c r="J126" s="483" t="str">
        <f t="shared" si="728"/>
        <v/>
      </c>
      <c r="K126" s="806" t="str">
        <f t="shared" si="1070"/>
        <v/>
      </c>
      <c r="L126" s="309"/>
      <c r="M126" s="164" t="str">
        <f t="shared" si="920"/>
        <v/>
      </c>
      <c r="N126" s="575" t="str">
        <f t="shared" si="921"/>
        <v/>
      </c>
      <c r="O126" s="572" t="str">
        <f t="shared" si="922"/>
        <v/>
      </c>
      <c r="P126" s="576" t="str">
        <f t="shared" si="923"/>
        <v/>
      </c>
      <c r="Q126" s="528" t="str">
        <f t="shared" si="729"/>
        <v/>
      </c>
      <c r="R126" s="572" t="str">
        <f t="shared" si="1005"/>
        <v/>
      </c>
      <c r="S126" s="577" t="str">
        <f t="shared" si="1006"/>
        <v/>
      </c>
      <c r="T126" s="578" t="str">
        <f t="shared" si="1007"/>
        <v/>
      </c>
      <c r="U126" s="572" t="str">
        <f t="shared" si="1008"/>
        <v/>
      </c>
      <c r="V126" s="579" t="str">
        <f t="shared" si="1009"/>
        <v/>
      </c>
      <c r="W126" s="528" t="str">
        <f t="shared" si="866"/>
        <v/>
      </c>
      <c r="X126" s="572" t="str">
        <f t="shared" si="1010"/>
        <v/>
      </c>
      <c r="Y126" s="573" t="str">
        <f t="shared" si="859"/>
        <v/>
      </c>
      <c r="Z126" s="575" t="str">
        <f t="shared" si="924"/>
        <v/>
      </c>
      <c r="AA126" s="572" t="str">
        <f t="shared" si="925"/>
        <v/>
      </c>
      <c r="AB126" s="572" t="str">
        <f t="shared" si="926"/>
        <v/>
      </c>
      <c r="AC126" s="579" t="str">
        <f t="shared" si="1011"/>
        <v/>
      </c>
      <c r="AD126" s="580" t="str">
        <f t="shared" si="1012"/>
        <v/>
      </c>
      <c r="AE126" s="572" t="str">
        <f t="shared" si="1013"/>
        <v/>
      </c>
      <c r="AF126" s="576" t="str">
        <f t="shared" si="1014"/>
        <v/>
      </c>
      <c r="AG126" s="545" t="str">
        <f t="shared" si="1015"/>
        <v/>
      </c>
      <c r="AH126" s="546" t="str">
        <f t="shared" si="1016"/>
        <v/>
      </c>
      <c r="AI126" s="528" t="str">
        <f t="shared" si="1017"/>
        <v/>
      </c>
      <c r="AJ126" s="529" t="str">
        <f t="shared" si="1018"/>
        <v/>
      </c>
      <c r="AK126" s="578" t="str">
        <f t="shared" si="1019"/>
        <v/>
      </c>
      <c r="AL126" s="572" t="str">
        <f t="shared" si="1020"/>
        <v/>
      </c>
      <c r="AM126" s="577" t="str">
        <f t="shared" si="1021"/>
        <v/>
      </c>
      <c r="AN126" s="524" t="str">
        <f t="shared" si="1022"/>
        <v/>
      </c>
      <c r="AO126" s="525" t="str">
        <f t="shared" si="1058"/>
        <v/>
      </c>
      <c r="AP126" s="528" t="str">
        <f t="shared" si="1023"/>
        <v/>
      </c>
      <c r="AQ126" s="529" t="str">
        <f t="shared" si="927"/>
        <v/>
      </c>
      <c r="AS126" s="954" t="str">
        <f t="shared" si="1029"/>
        <v/>
      </c>
      <c r="AT126" s="950" t="str">
        <f t="shared" si="928"/>
        <v/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55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90"/>
        <v/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 t="str">
        <f t="shared" si="917"/>
        <v/>
      </c>
      <c r="B127" s="578" t="str">
        <f t="shared" ref="B127:D127" si="1071">IFERROR(O282+($A127*-E127),"")</f>
        <v/>
      </c>
      <c r="C127" s="572" t="str">
        <f t="shared" si="1071"/>
        <v/>
      </c>
      <c r="D127" s="576" t="str">
        <f t="shared" si="1071"/>
        <v/>
      </c>
      <c r="E127" s="580" t="str">
        <f t="shared" ref="E127:K127" si="1072">R282</f>
        <v/>
      </c>
      <c r="F127" s="572" t="str">
        <f t="shared" si="1072"/>
        <v/>
      </c>
      <c r="G127" s="579" t="str">
        <f t="shared" si="1072"/>
        <v/>
      </c>
      <c r="H127" s="580" t="str">
        <f t="shared" si="1072"/>
        <v/>
      </c>
      <c r="I127" s="572" t="str">
        <f t="shared" si="1072"/>
        <v/>
      </c>
      <c r="J127" s="483" t="str">
        <f t="shared" si="728"/>
        <v/>
      </c>
      <c r="K127" s="806" t="str">
        <f t="shared" si="1072"/>
        <v/>
      </c>
      <c r="L127" s="309"/>
      <c r="M127" s="164" t="str">
        <f t="shared" si="920"/>
        <v/>
      </c>
      <c r="N127" s="575" t="str">
        <f t="shared" si="921"/>
        <v/>
      </c>
      <c r="O127" s="572" t="str">
        <f t="shared" si="922"/>
        <v/>
      </c>
      <c r="P127" s="576" t="str">
        <f t="shared" si="923"/>
        <v/>
      </c>
      <c r="Q127" s="528" t="str">
        <f t="shared" si="729"/>
        <v/>
      </c>
      <c r="R127" s="572" t="str">
        <f t="shared" si="1005"/>
        <v/>
      </c>
      <c r="S127" s="577" t="str">
        <f t="shared" si="1006"/>
        <v/>
      </c>
      <c r="T127" s="578" t="str">
        <f t="shared" si="1007"/>
        <v/>
      </c>
      <c r="U127" s="572" t="str">
        <f t="shared" si="1008"/>
        <v/>
      </c>
      <c r="V127" s="579" t="str">
        <f t="shared" si="1009"/>
        <v/>
      </c>
      <c r="W127" s="528" t="str">
        <f t="shared" si="866"/>
        <v/>
      </c>
      <c r="X127" s="572" t="str">
        <f t="shared" si="1010"/>
        <v/>
      </c>
      <c r="Y127" s="573" t="str">
        <f t="shared" si="859"/>
        <v/>
      </c>
      <c r="Z127" s="575" t="str">
        <f t="shared" si="924"/>
        <v/>
      </c>
      <c r="AA127" s="572" t="str">
        <f t="shared" si="925"/>
        <v/>
      </c>
      <c r="AB127" s="572" t="str">
        <f t="shared" si="926"/>
        <v/>
      </c>
      <c r="AC127" s="579" t="str">
        <f t="shared" si="1011"/>
        <v/>
      </c>
      <c r="AD127" s="580" t="str">
        <f t="shared" si="1012"/>
        <v/>
      </c>
      <c r="AE127" s="572" t="str">
        <f t="shared" si="1013"/>
        <v/>
      </c>
      <c r="AF127" s="576" t="str">
        <f t="shared" si="1014"/>
        <v/>
      </c>
      <c r="AG127" s="545" t="str">
        <f t="shared" si="1015"/>
        <v/>
      </c>
      <c r="AH127" s="546" t="str">
        <f t="shared" si="1016"/>
        <v/>
      </c>
      <c r="AI127" s="528" t="str">
        <f t="shared" si="1017"/>
        <v/>
      </c>
      <c r="AJ127" s="529" t="str">
        <f t="shared" si="1018"/>
        <v/>
      </c>
      <c r="AK127" s="578" t="str">
        <f t="shared" si="1019"/>
        <v/>
      </c>
      <c r="AL127" s="572" t="str">
        <f t="shared" si="1020"/>
        <v/>
      </c>
      <c r="AM127" s="577" t="str">
        <f t="shared" si="1021"/>
        <v/>
      </c>
      <c r="AN127" s="524" t="str">
        <f t="shared" si="1022"/>
        <v/>
      </c>
      <c r="AO127" s="525" t="str">
        <f t="shared" si="1058"/>
        <v/>
      </c>
      <c r="AP127" s="528" t="str">
        <f t="shared" si="1023"/>
        <v/>
      </c>
      <c r="AQ127" s="529" t="str">
        <f t="shared" si="927"/>
        <v/>
      </c>
      <c r="AS127" s="954" t="str">
        <f t="shared" si="1029"/>
        <v/>
      </c>
      <c r="AT127" s="950" t="str">
        <f t="shared" si="928"/>
        <v/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55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90"/>
        <v/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 t="str">
        <f t="shared" si="917"/>
        <v/>
      </c>
      <c r="B128" s="578" t="str">
        <f t="shared" ref="B128:D128" si="1073">IFERROR(O283+($A128*-E128),"")</f>
        <v/>
      </c>
      <c r="C128" s="572" t="str">
        <f t="shared" si="1073"/>
        <v/>
      </c>
      <c r="D128" s="576" t="str">
        <f t="shared" si="1073"/>
        <v/>
      </c>
      <c r="E128" s="580" t="str">
        <f t="shared" ref="E128:K128" si="1074">R283</f>
        <v/>
      </c>
      <c r="F128" s="572" t="str">
        <f t="shared" si="1074"/>
        <v/>
      </c>
      <c r="G128" s="579" t="str">
        <f t="shared" si="1074"/>
        <v/>
      </c>
      <c r="H128" s="580" t="str">
        <f t="shared" si="1074"/>
        <v/>
      </c>
      <c r="I128" s="572" t="str">
        <f t="shared" si="1074"/>
        <v/>
      </c>
      <c r="J128" s="483" t="str">
        <f t="shared" si="728"/>
        <v/>
      </c>
      <c r="K128" s="806" t="str">
        <f t="shared" si="1074"/>
        <v/>
      </c>
      <c r="L128" s="309"/>
      <c r="M128" s="164" t="str">
        <f t="shared" si="920"/>
        <v/>
      </c>
      <c r="N128" s="575" t="str">
        <f t="shared" si="921"/>
        <v/>
      </c>
      <c r="O128" s="572" t="str">
        <f t="shared" si="922"/>
        <v/>
      </c>
      <c r="P128" s="576" t="str">
        <f t="shared" si="923"/>
        <v/>
      </c>
      <c r="Q128" s="528" t="str">
        <f t="shared" si="729"/>
        <v/>
      </c>
      <c r="R128" s="572" t="str">
        <f t="shared" si="1005"/>
        <v/>
      </c>
      <c r="S128" s="577" t="str">
        <f t="shared" si="1006"/>
        <v/>
      </c>
      <c r="T128" s="578" t="str">
        <f t="shared" si="1007"/>
        <v/>
      </c>
      <c r="U128" s="572" t="str">
        <f t="shared" si="1008"/>
        <v/>
      </c>
      <c r="V128" s="579" t="str">
        <f t="shared" si="1009"/>
        <v/>
      </c>
      <c r="W128" s="528" t="str">
        <f t="shared" si="866"/>
        <v/>
      </c>
      <c r="X128" s="572" t="str">
        <f t="shared" si="1010"/>
        <v/>
      </c>
      <c r="Y128" s="573" t="str">
        <f t="shared" si="859"/>
        <v/>
      </c>
      <c r="Z128" s="575" t="str">
        <f t="shared" si="924"/>
        <v/>
      </c>
      <c r="AA128" s="572" t="str">
        <f t="shared" si="925"/>
        <v/>
      </c>
      <c r="AB128" s="572" t="str">
        <f t="shared" si="926"/>
        <v/>
      </c>
      <c r="AC128" s="579" t="str">
        <f t="shared" si="1011"/>
        <v/>
      </c>
      <c r="AD128" s="580" t="str">
        <f t="shared" si="1012"/>
        <v/>
      </c>
      <c r="AE128" s="572" t="str">
        <f t="shared" si="1013"/>
        <v/>
      </c>
      <c r="AF128" s="576" t="str">
        <f t="shared" si="1014"/>
        <v/>
      </c>
      <c r="AG128" s="545" t="str">
        <f t="shared" si="1015"/>
        <v/>
      </c>
      <c r="AH128" s="546" t="str">
        <f t="shared" si="1016"/>
        <v/>
      </c>
      <c r="AI128" s="528" t="str">
        <f t="shared" si="1017"/>
        <v/>
      </c>
      <c r="AJ128" s="529" t="str">
        <f t="shared" si="1018"/>
        <v/>
      </c>
      <c r="AK128" s="578" t="str">
        <f t="shared" si="1019"/>
        <v/>
      </c>
      <c r="AL128" s="572" t="str">
        <f t="shared" si="1020"/>
        <v/>
      </c>
      <c r="AM128" s="577" t="str">
        <f t="shared" si="1021"/>
        <v/>
      </c>
      <c r="AN128" s="524" t="str">
        <f t="shared" si="1022"/>
        <v/>
      </c>
      <c r="AO128" s="525" t="str">
        <f t="shared" si="1058"/>
        <v/>
      </c>
      <c r="AP128" s="528" t="str">
        <f t="shared" si="1023"/>
        <v/>
      </c>
      <c r="AQ128" s="529" t="str">
        <f t="shared" si="927"/>
        <v/>
      </c>
      <c r="AS128" s="954" t="str">
        <f t="shared" si="1029"/>
        <v/>
      </c>
      <c r="AT128" s="950" t="str">
        <f t="shared" si="928"/>
        <v/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55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90"/>
        <v/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 t="str">
        <f t="shared" si="917"/>
        <v/>
      </c>
      <c r="B129" s="578" t="str">
        <f t="shared" ref="B129:D129" si="1075">IFERROR(O284+($A129*-E129),"")</f>
        <v/>
      </c>
      <c r="C129" s="572" t="str">
        <f t="shared" si="1075"/>
        <v/>
      </c>
      <c r="D129" s="576" t="str">
        <f t="shared" si="1075"/>
        <v/>
      </c>
      <c r="E129" s="580" t="str">
        <f t="shared" ref="E129:K129" si="1076">R284</f>
        <v/>
      </c>
      <c r="F129" s="572" t="str">
        <f t="shared" si="1076"/>
        <v/>
      </c>
      <c r="G129" s="579" t="str">
        <f t="shared" si="1076"/>
        <v/>
      </c>
      <c r="H129" s="580" t="str">
        <f t="shared" si="1076"/>
        <v/>
      </c>
      <c r="I129" s="572" t="str">
        <f t="shared" si="1076"/>
        <v/>
      </c>
      <c r="J129" s="483" t="str">
        <f t="shared" si="728"/>
        <v/>
      </c>
      <c r="K129" s="806" t="str">
        <f t="shared" si="1076"/>
        <v/>
      </c>
      <c r="L129" s="309"/>
      <c r="M129" s="164" t="str">
        <f t="shared" si="920"/>
        <v/>
      </c>
      <c r="N129" s="575" t="str">
        <f t="shared" si="921"/>
        <v/>
      </c>
      <c r="O129" s="572" t="str">
        <f t="shared" si="922"/>
        <v/>
      </c>
      <c r="P129" s="576" t="str">
        <f t="shared" si="923"/>
        <v/>
      </c>
      <c r="Q129" s="528" t="str">
        <f t="shared" si="729"/>
        <v/>
      </c>
      <c r="R129" s="572" t="str">
        <f t="shared" si="1005"/>
        <v/>
      </c>
      <c r="S129" s="577" t="str">
        <f t="shared" si="1006"/>
        <v/>
      </c>
      <c r="T129" s="578" t="str">
        <f t="shared" si="1007"/>
        <v/>
      </c>
      <c r="U129" s="572" t="str">
        <f t="shared" si="1008"/>
        <v/>
      </c>
      <c r="V129" s="579" t="str">
        <f t="shared" si="1009"/>
        <v/>
      </c>
      <c r="W129" s="528" t="str">
        <f t="shared" si="866"/>
        <v/>
      </c>
      <c r="X129" s="572" t="str">
        <f t="shared" si="1010"/>
        <v/>
      </c>
      <c r="Y129" s="573" t="str">
        <f t="shared" si="859"/>
        <v/>
      </c>
      <c r="Z129" s="575" t="str">
        <f t="shared" si="924"/>
        <v/>
      </c>
      <c r="AA129" s="572" t="str">
        <f t="shared" si="925"/>
        <v/>
      </c>
      <c r="AB129" s="572" t="str">
        <f t="shared" si="926"/>
        <v/>
      </c>
      <c r="AC129" s="579" t="str">
        <f t="shared" si="1011"/>
        <v/>
      </c>
      <c r="AD129" s="580" t="str">
        <f t="shared" si="1012"/>
        <v/>
      </c>
      <c r="AE129" s="572" t="str">
        <f t="shared" si="1013"/>
        <v/>
      </c>
      <c r="AF129" s="576" t="str">
        <f t="shared" si="1014"/>
        <v/>
      </c>
      <c r="AG129" s="545" t="str">
        <f t="shared" si="1015"/>
        <v/>
      </c>
      <c r="AH129" s="546" t="str">
        <f t="shared" si="1016"/>
        <v/>
      </c>
      <c r="AI129" s="528" t="str">
        <f t="shared" si="1017"/>
        <v/>
      </c>
      <c r="AJ129" s="529" t="str">
        <f t="shared" si="1018"/>
        <v/>
      </c>
      <c r="AK129" s="578" t="str">
        <f t="shared" si="1019"/>
        <v/>
      </c>
      <c r="AL129" s="572" t="str">
        <f t="shared" si="1020"/>
        <v/>
      </c>
      <c r="AM129" s="577" t="str">
        <f t="shared" si="1021"/>
        <v/>
      </c>
      <c r="AN129" s="524" t="str">
        <f t="shared" si="1022"/>
        <v/>
      </c>
      <c r="AO129" s="525" t="str">
        <f t="shared" si="1058"/>
        <v/>
      </c>
      <c r="AP129" s="528" t="str">
        <f t="shared" si="1023"/>
        <v/>
      </c>
      <c r="AQ129" s="529" t="str">
        <f t="shared" si="927"/>
        <v/>
      </c>
      <c r="AS129" s="954" t="str">
        <f t="shared" si="1029"/>
        <v/>
      </c>
      <c r="AT129" s="950" t="str">
        <f t="shared" si="928"/>
        <v/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55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90"/>
        <v/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 t="str">
        <f t="shared" si="917"/>
        <v/>
      </c>
      <c r="B130" s="585" t="str">
        <f t="shared" ref="B130:D130" si="1077">IFERROR(O285+($A130*-E130),"")</f>
        <v/>
      </c>
      <c r="C130" s="582" t="str">
        <f t="shared" si="1077"/>
        <v/>
      </c>
      <c r="D130" s="583" t="str">
        <f t="shared" si="1077"/>
        <v/>
      </c>
      <c r="E130" s="588" t="str">
        <f t="shared" ref="E130:K130" si="1078">R285</f>
        <v/>
      </c>
      <c r="F130" s="582" t="str">
        <f t="shared" si="1078"/>
        <v/>
      </c>
      <c r="G130" s="586" t="str">
        <f t="shared" si="1078"/>
        <v/>
      </c>
      <c r="H130" s="588" t="str">
        <f t="shared" si="1078"/>
        <v/>
      </c>
      <c r="I130" s="582" t="str">
        <f t="shared" si="1078"/>
        <v/>
      </c>
      <c r="J130" s="491" t="str">
        <f t="shared" si="728"/>
        <v/>
      </c>
      <c r="K130" s="807" t="str">
        <f t="shared" si="1078"/>
        <v/>
      </c>
      <c r="L130" s="309"/>
      <c r="M130" s="492" t="str">
        <f t="shared" si="920"/>
        <v/>
      </c>
      <c r="N130" s="581" t="str">
        <f t="shared" si="921"/>
        <v/>
      </c>
      <c r="O130" s="582" t="str">
        <f t="shared" si="922"/>
        <v/>
      </c>
      <c r="P130" s="583" t="str">
        <f t="shared" si="923"/>
        <v/>
      </c>
      <c r="Q130" s="536" t="str">
        <f t="shared" ref="Q130:Q150" si="1079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80">IF(M130="","",SQRT(N130^2+O130^2))</f>
        <v/>
      </c>
      <c r="S130" s="584" t="str">
        <f t="shared" ref="S130:S150" si="1081">IF(M130="","",P130)</f>
        <v/>
      </c>
      <c r="T130" s="585" t="str">
        <f t="shared" ref="T130:T150" si="1082">IF(M130="","",X130*COS(RADIANS(W130)))</f>
        <v/>
      </c>
      <c r="U130" s="582" t="str">
        <f t="shared" ref="U130:U150" si="1083">IF(M130="","",X130*SIN(RADIANS(W130)))</f>
        <v/>
      </c>
      <c r="V130" s="586" t="str">
        <f t="shared" ref="V130:V150" si="1084">IF(M130="","",Y130)</f>
        <v/>
      </c>
      <c r="W130" s="536" t="str">
        <f t="shared" ref="W130:W150" si="1085">IF(M130="","",IF(Q130-$Q$8&lt;0,360+Q130-$Q$8,Q130-$Q$8))</f>
        <v/>
      </c>
      <c r="X130" s="582" t="str">
        <f t="shared" ref="X130:X150" si="1086">IF(M130="","",R130)</f>
        <v/>
      </c>
      <c r="Y130" s="587" t="str">
        <f t="shared" ref="Y130:Y150" si="1087">IF(M130="","",S130)</f>
        <v/>
      </c>
      <c r="Z130" s="581" t="str">
        <f t="shared" si="924"/>
        <v/>
      </c>
      <c r="AA130" s="582" t="str">
        <f t="shared" si="925"/>
        <v/>
      </c>
      <c r="AB130" s="582" t="str">
        <f t="shared" si="926"/>
        <v/>
      </c>
      <c r="AC130" s="586" t="str">
        <f t="shared" ref="AC130:AC150" si="1088">IF(M130="","",SQRT(Z130^2+AA130^2+AB130^2))</f>
        <v/>
      </c>
      <c r="AD130" s="588" t="str">
        <f t="shared" ref="AD130:AD150" si="1089">IF(M130="","",Z130*(1/SQRT(Z130^2+AA130^2+AB130^2)))</f>
        <v/>
      </c>
      <c r="AE130" s="582" t="str">
        <f t="shared" ref="AE130:AE150" si="1090">IF(M130="","",AA130*(1/SQRT(Z130^2+AA130^2+AB130^2)))</f>
        <v/>
      </c>
      <c r="AF130" s="583" t="str">
        <f t="shared" ref="AF130:AF150" si="1091">IF(M130="","",AB130*(1/SQRT(Z130^2+AA130^2+AB130^2)))</f>
        <v/>
      </c>
      <c r="AG130" s="547" t="str">
        <f t="shared" ref="AG130:AG150" si="1092">IF(M130="","",DEGREES(ATAN2(-AF130,AE130)))</f>
        <v/>
      </c>
      <c r="AH130" s="548" t="str">
        <f t="shared" ref="AH130:AH150" si="1093">IF(M130="","",DEGREES(ACOS(AD130)))</f>
        <v/>
      </c>
      <c r="AI130" s="536" t="str">
        <f t="shared" ref="AI130:AI150" si="1094">IF(M130="","",DEGREES(-ACOS(-AF130)))</f>
        <v/>
      </c>
      <c r="AJ130" s="537" t="str">
        <f t="shared" ref="AJ130:AJ150" si="1095">IF(M130="","",DEGREES(ATAN2(-AE130,AD130)))</f>
        <v/>
      </c>
      <c r="AK130" s="585" t="str">
        <f t="shared" ref="AK130:AK150" si="1096">IF(M130="","",(COS(RADIANS((90-$Q$8)-W130))*AD130)+(-SIN(RADIANS((90-$Q$8)-W130))*AE130))</f>
        <v/>
      </c>
      <c r="AL130" s="582" t="str">
        <f t="shared" ref="AL130:AL150" si="1097">IF(M130="","",(SIN(RADIANS((90-$Q$8)-W130))*AD130)+(COS(RADIANS((90-$Q$8)-W130))*AE130))</f>
        <v/>
      </c>
      <c r="AM130" s="584" t="str">
        <f t="shared" ref="AM130:AM150" si="1098">IF(M130="","",AF130)</f>
        <v/>
      </c>
      <c r="AN130" s="534" t="str">
        <f t="shared" ref="AN130:AN150" si="1099">IF(M130="","",DEGREES(ATAN2(-AM130,AL130)))</f>
        <v/>
      </c>
      <c r="AO130" s="535" t="str">
        <f t="shared" si="1058"/>
        <v/>
      </c>
      <c r="AP130" s="536" t="str">
        <f t="shared" ref="AP130:AP150" si="1100">IF(M130="","",DEGREES(ATAN2(AK130,AL130)))</f>
        <v/>
      </c>
      <c r="AQ130" s="537" t="str">
        <f t="shared" si="927"/>
        <v/>
      </c>
      <c r="AS130" s="955" t="str">
        <f t="shared" si="1029"/>
        <v/>
      </c>
      <c r="AT130" s="951" t="str">
        <f t="shared" si="928"/>
        <v/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55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90"/>
        <v/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 t="str">
        <f t="shared" si="917"/>
        <v/>
      </c>
      <c r="B131" s="585" t="str">
        <f t="shared" ref="B131:D131" si="1222">IFERROR(O286+($A131*-E131),"")</f>
        <v/>
      </c>
      <c r="C131" s="582" t="str">
        <f t="shared" si="1222"/>
        <v/>
      </c>
      <c r="D131" s="583" t="str">
        <f t="shared" si="1222"/>
        <v/>
      </c>
      <c r="E131" s="588" t="str">
        <f t="shared" ref="E131:K131" si="1223">R286</f>
        <v/>
      </c>
      <c r="F131" s="582" t="str">
        <f t="shared" si="1223"/>
        <v/>
      </c>
      <c r="G131" s="586" t="str">
        <f t="shared" si="1223"/>
        <v/>
      </c>
      <c r="H131" s="588" t="str">
        <f t="shared" si="1223"/>
        <v/>
      </c>
      <c r="I131" s="582" t="str">
        <f t="shared" si="1223"/>
        <v/>
      </c>
      <c r="J131" s="491" t="str">
        <f t="shared" si="728"/>
        <v/>
      </c>
      <c r="K131" s="807" t="str">
        <f t="shared" si="1223"/>
        <v/>
      </c>
      <c r="L131" s="309"/>
      <c r="M131" s="492" t="str">
        <f t="shared" si="920"/>
        <v/>
      </c>
      <c r="N131" s="581" t="str">
        <f t="shared" si="921"/>
        <v/>
      </c>
      <c r="O131" s="582" t="str">
        <f t="shared" si="922"/>
        <v/>
      </c>
      <c r="P131" s="583" t="str">
        <f t="shared" si="923"/>
        <v/>
      </c>
      <c r="Q131" s="536" t="str">
        <f t="shared" si="1079"/>
        <v/>
      </c>
      <c r="R131" s="582" t="str">
        <f t="shared" si="1080"/>
        <v/>
      </c>
      <c r="S131" s="584" t="str">
        <f t="shared" si="1081"/>
        <v/>
      </c>
      <c r="T131" s="585" t="str">
        <f t="shared" si="1082"/>
        <v/>
      </c>
      <c r="U131" s="582" t="str">
        <f t="shared" si="1083"/>
        <v/>
      </c>
      <c r="V131" s="586" t="str">
        <f t="shared" si="1084"/>
        <v/>
      </c>
      <c r="W131" s="536" t="str">
        <f t="shared" si="1085"/>
        <v/>
      </c>
      <c r="X131" s="582" t="str">
        <f t="shared" si="1086"/>
        <v/>
      </c>
      <c r="Y131" s="587" t="str">
        <f t="shared" si="1087"/>
        <v/>
      </c>
      <c r="Z131" s="581" t="str">
        <f t="shared" si="924"/>
        <v/>
      </c>
      <c r="AA131" s="582" t="str">
        <f t="shared" si="925"/>
        <v/>
      </c>
      <c r="AB131" s="582" t="str">
        <f t="shared" si="926"/>
        <v/>
      </c>
      <c r="AC131" s="586" t="str">
        <f t="shared" si="1088"/>
        <v/>
      </c>
      <c r="AD131" s="588" t="str">
        <f t="shared" si="1089"/>
        <v/>
      </c>
      <c r="AE131" s="582" t="str">
        <f t="shared" si="1090"/>
        <v/>
      </c>
      <c r="AF131" s="583" t="str">
        <f t="shared" si="1091"/>
        <v/>
      </c>
      <c r="AG131" s="547" t="str">
        <f t="shared" si="1092"/>
        <v/>
      </c>
      <c r="AH131" s="548" t="str">
        <f t="shared" si="1093"/>
        <v/>
      </c>
      <c r="AI131" s="536" t="str">
        <f t="shared" si="1094"/>
        <v/>
      </c>
      <c r="AJ131" s="537" t="str">
        <f t="shared" si="1095"/>
        <v/>
      </c>
      <c r="AK131" s="585" t="str">
        <f t="shared" si="1096"/>
        <v/>
      </c>
      <c r="AL131" s="582" t="str">
        <f t="shared" si="1097"/>
        <v/>
      </c>
      <c r="AM131" s="584" t="str">
        <f t="shared" si="1098"/>
        <v/>
      </c>
      <c r="AN131" s="534" t="str">
        <f t="shared" si="1099"/>
        <v/>
      </c>
      <c r="AO131" s="535" t="str">
        <f t="shared" si="1058"/>
        <v/>
      </c>
      <c r="AP131" s="536" t="str">
        <f t="shared" si="1100"/>
        <v/>
      </c>
      <c r="AQ131" s="537" t="str">
        <f t="shared" si="927"/>
        <v/>
      </c>
      <c r="AS131" s="955" t="str">
        <f t="shared" si="1029"/>
        <v/>
      </c>
      <c r="AT131" s="951" t="str">
        <f t="shared" si="928"/>
        <v/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55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90"/>
        <v/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 t="str">
        <f t="shared" si="917"/>
        <v/>
      </c>
      <c r="B132" s="585" t="str">
        <f t="shared" ref="B132:D132" si="1224">IFERROR(O287+($A132*-E132),"")</f>
        <v/>
      </c>
      <c r="C132" s="582" t="str">
        <f t="shared" si="1224"/>
        <v/>
      </c>
      <c r="D132" s="583" t="str">
        <f t="shared" si="1224"/>
        <v/>
      </c>
      <c r="E132" s="588" t="str">
        <f t="shared" ref="E132:K132" si="1225">R287</f>
        <v/>
      </c>
      <c r="F132" s="582" t="str">
        <f t="shared" si="1225"/>
        <v/>
      </c>
      <c r="G132" s="586" t="str">
        <f t="shared" si="1225"/>
        <v/>
      </c>
      <c r="H132" s="588" t="str">
        <f t="shared" si="1225"/>
        <v/>
      </c>
      <c r="I132" s="582" t="str">
        <f t="shared" si="1225"/>
        <v/>
      </c>
      <c r="J132" s="491" t="str">
        <f t="shared" si="728"/>
        <v/>
      </c>
      <c r="K132" s="807" t="str">
        <f t="shared" si="1225"/>
        <v/>
      </c>
      <c r="L132" s="309"/>
      <c r="M132" s="492" t="str">
        <f t="shared" si="920"/>
        <v/>
      </c>
      <c r="N132" s="581" t="str">
        <f t="shared" si="921"/>
        <v/>
      </c>
      <c r="O132" s="582" t="str">
        <f t="shared" si="922"/>
        <v/>
      </c>
      <c r="P132" s="583" t="str">
        <f t="shared" si="923"/>
        <v/>
      </c>
      <c r="Q132" s="536" t="str">
        <f t="shared" si="1079"/>
        <v/>
      </c>
      <c r="R132" s="582" t="str">
        <f t="shared" si="1080"/>
        <v/>
      </c>
      <c r="S132" s="584" t="str">
        <f t="shared" si="1081"/>
        <v/>
      </c>
      <c r="T132" s="585" t="str">
        <f t="shared" si="1082"/>
        <v/>
      </c>
      <c r="U132" s="582" t="str">
        <f t="shared" si="1083"/>
        <v/>
      </c>
      <c r="V132" s="586" t="str">
        <f t="shared" si="1084"/>
        <v/>
      </c>
      <c r="W132" s="536" t="str">
        <f t="shared" si="1085"/>
        <v/>
      </c>
      <c r="X132" s="582" t="str">
        <f t="shared" si="1086"/>
        <v/>
      </c>
      <c r="Y132" s="587" t="str">
        <f t="shared" si="1087"/>
        <v/>
      </c>
      <c r="Z132" s="581" t="str">
        <f t="shared" si="924"/>
        <v/>
      </c>
      <c r="AA132" s="582" t="str">
        <f t="shared" si="925"/>
        <v/>
      </c>
      <c r="AB132" s="582" t="str">
        <f t="shared" si="926"/>
        <v/>
      </c>
      <c r="AC132" s="586" t="str">
        <f t="shared" si="1088"/>
        <v/>
      </c>
      <c r="AD132" s="588" t="str">
        <f t="shared" si="1089"/>
        <v/>
      </c>
      <c r="AE132" s="582" t="str">
        <f t="shared" si="1090"/>
        <v/>
      </c>
      <c r="AF132" s="583" t="str">
        <f t="shared" si="1091"/>
        <v/>
      </c>
      <c r="AG132" s="547" t="str">
        <f t="shared" si="1092"/>
        <v/>
      </c>
      <c r="AH132" s="548" t="str">
        <f t="shared" si="1093"/>
        <v/>
      </c>
      <c r="AI132" s="536" t="str">
        <f t="shared" si="1094"/>
        <v/>
      </c>
      <c r="AJ132" s="537" t="str">
        <f t="shared" si="1095"/>
        <v/>
      </c>
      <c r="AK132" s="585" t="str">
        <f t="shared" si="1096"/>
        <v/>
      </c>
      <c r="AL132" s="582" t="str">
        <f t="shared" si="1097"/>
        <v/>
      </c>
      <c r="AM132" s="584" t="str">
        <f t="shared" si="1098"/>
        <v/>
      </c>
      <c r="AN132" s="534" t="str">
        <f t="shared" si="1099"/>
        <v/>
      </c>
      <c r="AO132" s="535" t="str">
        <f t="shared" si="1058"/>
        <v/>
      </c>
      <c r="AP132" s="536" t="str">
        <f t="shared" si="1100"/>
        <v/>
      </c>
      <c r="AQ132" s="537" t="str">
        <f t="shared" si="927"/>
        <v/>
      </c>
      <c r="AS132" s="955" t="str">
        <f t="shared" si="1029"/>
        <v/>
      </c>
      <c r="AT132" s="951" t="str">
        <f t="shared" si="928"/>
        <v/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55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90"/>
        <v/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 t="str">
        <f t="shared" si="917"/>
        <v/>
      </c>
      <c r="B133" s="585" t="str">
        <f t="shared" ref="B133:D133" si="1226">IFERROR(O288+($A133*-E133),"")</f>
        <v/>
      </c>
      <c r="C133" s="582" t="str">
        <f t="shared" si="1226"/>
        <v/>
      </c>
      <c r="D133" s="583" t="str">
        <f t="shared" si="1226"/>
        <v/>
      </c>
      <c r="E133" s="588" t="str">
        <f t="shared" ref="E133:K133" si="1227">R288</f>
        <v/>
      </c>
      <c r="F133" s="582" t="str">
        <f t="shared" si="1227"/>
        <v/>
      </c>
      <c r="G133" s="586" t="str">
        <f t="shared" si="1227"/>
        <v/>
      </c>
      <c r="H133" s="588" t="str">
        <f t="shared" si="1227"/>
        <v/>
      </c>
      <c r="I133" s="582" t="str">
        <f t="shared" si="1227"/>
        <v/>
      </c>
      <c r="J133" s="491" t="str">
        <f t="shared" si="728"/>
        <v/>
      </c>
      <c r="K133" s="807" t="str">
        <f t="shared" si="1227"/>
        <v/>
      </c>
      <c r="L133" s="309"/>
      <c r="M133" s="492" t="str">
        <f t="shared" si="920"/>
        <v/>
      </c>
      <c r="N133" s="581" t="str">
        <f t="shared" si="921"/>
        <v/>
      </c>
      <c r="O133" s="582" t="str">
        <f t="shared" si="922"/>
        <v/>
      </c>
      <c r="P133" s="583" t="str">
        <f t="shared" si="923"/>
        <v/>
      </c>
      <c r="Q133" s="536" t="str">
        <f t="shared" si="1079"/>
        <v/>
      </c>
      <c r="R133" s="582" t="str">
        <f t="shared" si="1080"/>
        <v/>
      </c>
      <c r="S133" s="584" t="str">
        <f t="shared" si="1081"/>
        <v/>
      </c>
      <c r="T133" s="585" t="str">
        <f t="shared" si="1082"/>
        <v/>
      </c>
      <c r="U133" s="582" t="str">
        <f t="shared" si="1083"/>
        <v/>
      </c>
      <c r="V133" s="586" t="str">
        <f t="shared" si="1084"/>
        <v/>
      </c>
      <c r="W133" s="536" t="str">
        <f t="shared" si="1085"/>
        <v/>
      </c>
      <c r="X133" s="582" t="str">
        <f t="shared" si="1086"/>
        <v/>
      </c>
      <c r="Y133" s="587" t="str">
        <f t="shared" si="1087"/>
        <v/>
      </c>
      <c r="Z133" s="581" t="str">
        <f t="shared" si="924"/>
        <v/>
      </c>
      <c r="AA133" s="582" t="str">
        <f t="shared" si="925"/>
        <v/>
      </c>
      <c r="AB133" s="582" t="str">
        <f t="shared" si="926"/>
        <v/>
      </c>
      <c r="AC133" s="586" t="str">
        <f t="shared" si="1088"/>
        <v/>
      </c>
      <c r="AD133" s="588" t="str">
        <f t="shared" si="1089"/>
        <v/>
      </c>
      <c r="AE133" s="582" t="str">
        <f t="shared" si="1090"/>
        <v/>
      </c>
      <c r="AF133" s="583" t="str">
        <f t="shared" si="1091"/>
        <v/>
      </c>
      <c r="AG133" s="547" t="str">
        <f t="shared" si="1092"/>
        <v/>
      </c>
      <c r="AH133" s="548" t="str">
        <f t="shared" si="1093"/>
        <v/>
      </c>
      <c r="AI133" s="536" t="str">
        <f t="shared" si="1094"/>
        <v/>
      </c>
      <c r="AJ133" s="537" t="str">
        <f t="shared" si="1095"/>
        <v/>
      </c>
      <c r="AK133" s="585" t="str">
        <f t="shared" si="1096"/>
        <v/>
      </c>
      <c r="AL133" s="582" t="str">
        <f t="shared" si="1097"/>
        <v/>
      </c>
      <c r="AM133" s="584" t="str">
        <f t="shared" si="1098"/>
        <v/>
      </c>
      <c r="AN133" s="534" t="str">
        <f t="shared" si="1099"/>
        <v/>
      </c>
      <c r="AO133" s="535" t="str">
        <f t="shared" si="1058"/>
        <v/>
      </c>
      <c r="AP133" s="536" t="str">
        <f t="shared" si="1100"/>
        <v/>
      </c>
      <c r="AQ133" s="537" t="str">
        <f t="shared" si="927"/>
        <v/>
      </c>
      <c r="AS133" s="955" t="str">
        <f t="shared" si="1029"/>
        <v/>
      </c>
      <c r="AT133" s="951" t="str">
        <f t="shared" si="928"/>
        <v/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55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90"/>
        <v/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 t="str">
        <f t="shared" si="917"/>
        <v/>
      </c>
      <c r="B134" s="585" t="str">
        <f t="shared" ref="B134:D134" si="1228">IFERROR(O289+($A134*-E134),"")</f>
        <v/>
      </c>
      <c r="C134" s="582" t="str">
        <f t="shared" si="1228"/>
        <v/>
      </c>
      <c r="D134" s="583" t="str">
        <f t="shared" si="1228"/>
        <v/>
      </c>
      <c r="E134" s="588" t="str">
        <f t="shared" ref="E134:K134" si="1229">R289</f>
        <v/>
      </c>
      <c r="F134" s="582" t="str">
        <f t="shared" si="1229"/>
        <v/>
      </c>
      <c r="G134" s="586" t="str">
        <f t="shared" si="1229"/>
        <v/>
      </c>
      <c r="H134" s="588" t="str">
        <f t="shared" si="1229"/>
        <v/>
      </c>
      <c r="I134" s="582" t="str">
        <f t="shared" si="1229"/>
        <v/>
      </c>
      <c r="J134" s="491" t="str">
        <f t="shared" si="728"/>
        <v/>
      </c>
      <c r="K134" s="807" t="str">
        <f t="shared" si="1229"/>
        <v/>
      </c>
      <c r="L134" s="309"/>
      <c r="M134" s="492" t="str">
        <f t="shared" si="920"/>
        <v/>
      </c>
      <c r="N134" s="581" t="str">
        <f t="shared" si="921"/>
        <v/>
      </c>
      <c r="O134" s="582" t="str">
        <f t="shared" si="922"/>
        <v/>
      </c>
      <c r="P134" s="583" t="str">
        <f t="shared" si="923"/>
        <v/>
      </c>
      <c r="Q134" s="536" t="str">
        <f t="shared" si="1079"/>
        <v/>
      </c>
      <c r="R134" s="582" t="str">
        <f t="shared" si="1080"/>
        <v/>
      </c>
      <c r="S134" s="584" t="str">
        <f t="shared" si="1081"/>
        <v/>
      </c>
      <c r="T134" s="585" t="str">
        <f t="shared" si="1082"/>
        <v/>
      </c>
      <c r="U134" s="582" t="str">
        <f t="shared" si="1083"/>
        <v/>
      </c>
      <c r="V134" s="586" t="str">
        <f t="shared" si="1084"/>
        <v/>
      </c>
      <c r="W134" s="536" t="str">
        <f t="shared" si="1085"/>
        <v/>
      </c>
      <c r="X134" s="582" t="str">
        <f t="shared" si="1086"/>
        <v/>
      </c>
      <c r="Y134" s="587" t="str">
        <f t="shared" si="1087"/>
        <v/>
      </c>
      <c r="Z134" s="581" t="str">
        <f t="shared" si="924"/>
        <v/>
      </c>
      <c r="AA134" s="582" t="str">
        <f t="shared" si="925"/>
        <v/>
      </c>
      <c r="AB134" s="582" t="str">
        <f t="shared" si="926"/>
        <v/>
      </c>
      <c r="AC134" s="586" t="str">
        <f t="shared" si="1088"/>
        <v/>
      </c>
      <c r="AD134" s="588" t="str">
        <f t="shared" si="1089"/>
        <v/>
      </c>
      <c r="AE134" s="582" t="str">
        <f t="shared" si="1090"/>
        <v/>
      </c>
      <c r="AF134" s="583" t="str">
        <f t="shared" si="1091"/>
        <v/>
      </c>
      <c r="AG134" s="547" t="str">
        <f t="shared" si="1092"/>
        <v/>
      </c>
      <c r="AH134" s="548" t="str">
        <f t="shared" si="1093"/>
        <v/>
      </c>
      <c r="AI134" s="536" t="str">
        <f t="shared" si="1094"/>
        <v/>
      </c>
      <c r="AJ134" s="537" t="str">
        <f t="shared" si="1095"/>
        <v/>
      </c>
      <c r="AK134" s="585" t="str">
        <f t="shared" si="1096"/>
        <v/>
      </c>
      <c r="AL134" s="582" t="str">
        <f t="shared" si="1097"/>
        <v/>
      </c>
      <c r="AM134" s="584" t="str">
        <f t="shared" si="1098"/>
        <v/>
      </c>
      <c r="AN134" s="534" t="str">
        <f t="shared" si="1099"/>
        <v/>
      </c>
      <c r="AO134" s="535" t="str">
        <f t="shared" si="1058"/>
        <v/>
      </c>
      <c r="AP134" s="536" t="str">
        <f t="shared" si="1100"/>
        <v/>
      </c>
      <c r="AQ134" s="537" t="str">
        <f t="shared" si="927"/>
        <v/>
      </c>
      <c r="AS134" s="955" t="str">
        <f t="shared" si="1029"/>
        <v/>
      </c>
      <c r="AT134" s="951" t="str">
        <f t="shared" si="928"/>
        <v/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55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90"/>
        <v/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 t="str">
        <f t="shared" si="917"/>
        <v/>
      </c>
      <c r="B135" s="585" t="str">
        <f t="shared" ref="B135:D135" si="1230">IFERROR(O290+($A135*-E135),"")</f>
        <v/>
      </c>
      <c r="C135" s="582" t="str">
        <f t="shared" si="1230"/>
        <v/>
      </c>
      <c r="D135" s="583" t="str">
        <f t="shared" si="1230"/>
        <v/>
      </c>
      <c r="E135" s="588" t="str">
        <f t="shared" ref="E135:K135" si="1231">R290</f>
        <v/>
      </c>
      <c r="F135" s="582" t="str">
        <f t="shared" si="1231"/>
        <v/>
      </c>
      <c r="G135" s="586" t="str">
        <f t="shared" si="1231"/>
        <v/>
      </c>
      <c r="H135" s="588" t="str">
        <f t="shared" si="1231"/>
        <v/>
      </c>
      <c r="I135" s="582" t="str">
        <f t="shared" si="1231"/>
        <v/>
      </c>
      <c r="J135" s="491" t="str">
        <f t="shared" si="728"/>
        <v/>
      </c>
      <c r="K135" s="807" t="str">
        <f t="shared" si="1231"/>
        <v/>
      </c>
      <c r="L135" s="309"/>
      <c r="M135" s="492" t="str">
        <f t="shared" si="920"/>
        <v/>
      </c>
      <c r="N135" s="581" t="str">
        <f t="shared" si="921"/>
        <v/>
      </c>
      <c r="O135" s="582" t="str">
        <f t="shared" si="922"/>
        <v/>
      </c>
      <c r="P135" s="583" t="str">
        <f t="shared" si="923"/>
        <v/>
      </c>
      <c r="Q135" s="536" t="str">
        <f t="shared" si="1079"/>
        <v/>
      </c>
      <c r="R135" s="582" t="str">
        <f t="shared" si="1080"/>
        <v/>
      </c>
      <c r="S135" s="584" t="str">
        <f t="shared" si="1081"/>
        <v/>
      </c>
      <c r="T135" s="585" t="str">
        <f t="shared" si="1082"/>
        <v/>
      </c>
      <c r="U135" s="582" t="str">
        <f t="shared" si="1083"/>
        <v/>
      </c>
      <c r="V135" s="586" t="str">
        <f t="shared" si="1084"/>
        <v/>
      </c>
      <c r="W135" s="536" t="str">
        <f t="shared" si="1085"/>
        <v/>
      </c>
      <c r="X135" s="582" t="str">
        <f t="shared" si="1086"/>
        <v/>
      </c>
      <c r="Y135" s="587" t="str">
        <f t="shared" si="1087"/>
        <v/>
      </c>
      <c r="Z135" s="581" t="str">
        <f t="shared" si="924"/>
        <v/>
      </c>
      <c r="AA135" s="582" t="str">
        <f t="shared" si="925"/>
        <v/>
      </c>
      <c r="AB135" s="582" t="str">
        <f t="shared" si="926"/>
        <v/>
      </c>
      <c r="AC135" s="586" t="str">
        <f t="shared" si="1088"/>
        <v/>
      </c>
      <c r="AD135" s="588" t="str">
        <f t="shared" si="1089"/>
        <v/>
      </c>
      <c r="AE135" s="582" t="str">
        <f t="shared" si="1090"/>
        <v/>
      </c>
      <c r="AF135" s="583" t="str">
        <f t="shared" si="1091"/>
        <v/>
      </c>
      <c r="AG135" s="547" t="str">
        <f t="shared" si="1092"/>
        <v/>
      </c>
      <c r="AH135" s="548" t="str">
        <f t="shared" si="1093"/>
        <v/>
      </c>
      <c r="AI135" s="536" t="str">
        <f t="shared" si="1094"/>
        <v/>
      </c>
      <c r="AJ135" s="537" t="str">
        <f t="shared" si="1095"/>
        <v/>
      </c>
      <c r="AK135" s="585" t="str">
        <f t="shared" si="1096"/>
        <v/>
      </c>
      <c r="AL135" s="582" t="str">
        <f t="shared" si="1097"/>
        <v/>
      </c>
      <c r="AM135" s="584" t="str">
        <f t="shared" si="1098"/>
        <v/>
      </c>
      <c r="AN135" s="534" t="str">
        <f t="shared" si="1099"/>
        <v/>
      </c>
      <c r="AO135" s="535" t="str">
        <f t="shared" si="1058"/>
        <v/>
      </c>
      <c r="AP135" s="536" t="str">
        <f t="shared" si="1100"/>
        <v/>
      </c>
      <c r="AQ135" s="537" t="str">
        <f t="shared" si="927"/>
        <v/>
      </c>
      <c r="AS135" s="955" t="str">
        <f t="shared" si="1029"/>
        <v/>
      </c>
      <c r="AT135" s="951" t="str">
        <f t="shared" si="928"/>
        <v/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55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90"/>
        <v/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 t="str">
        <f t="shared" si="917"/>
        <v/>
      </c>
      <c r="B136" s="585" t="str">
        <f t="shared" ref="B136:D136" si="1232">IFERROR(O291+($A136*-E136),"")</f>
        <v/>
      </c>
      <c r="C136" s="582" t="str">
        <f t="shared" si="1232"/>
        <v/>
      </c>
      <c r="D136" s="583" t="str">
        <f t="shared" si="1232"/>
        <v/>
      </c>
      <c r="E136" s="588" t="str">
        <f t="shared" ref="E136:K136" si="1233">R291</f>
        <v/>
      </c>
      <c r="F136" s="582" t="str">
        <f t="shared" si="1233"/>
        <v/>
      </c>
      <c r="G136" s="586" t="str">
        <f t="shared" si="1233"/>
        <v/>
      </c>
      <c r="H136" s="588" t="str">
        <f t="shared" si="1233"/>
        <v/>
      </c>
      <c r="I136" s="582" t="str">
        <f t="shared" si="1233"/>
        <v/>
      </c>
      <c r="J136" s="491" t="str">
        <f t="shared" si="728"/>
        <v/>
      </c>
      <c r="K136" s="807" t="str">
        <f t="shared" si="1233"/>
        <v/>
      </c>
      <c r="L136" s="309"/>
      <c r="M136" s="492" t="str">
        <f t="shared" si="920"/>
        <v/>
      </c>
      <c r="N136" s="581" t="str">
        <f t="shared" si="921"/>
        <v/>
      </c>
      <c r="O136" s="582" t="str">
        <f t="shared" si="922"/>
        <v/>
      </c>
      <c r="P136" s="583" t="str">
        <f t="shared" si="923"/>
        <v/>
      </c>
      <c r="Q136" s="536" t="str">
        <f t="shared" si="1079"/>
        <v/>
      </c>
      <c r="R136" s="582" t="str">
        <f t="shared" si="1080"/>
        <v/>
      </c>
      <c r="S136" s="584" t="str">
        <f t="shared" si="1081"/>
        <v/>
      </c>
      <c r="T136" s="585" t="str">
        <f t="shared" si="1082"/>
        <v/>
      </c>
      <c r="U136" s="582" t="str">
        <f t="shared" si="1083"/>
        <v/>
      </c>
      <c r="V136" s="586" t="str">
        <f t="shared" si="1084"/>
        <v/>
      </c>
      <c r="W136" s="536" t="str">
        <f t="shared" si="1085"/>
        <v/>
      </c>
      <c r="X136" s="582" t="str">
        <f t="shared" si="1086"/>
        <v/>
      </c>
      <c r="Y136" s="587" t="str">
        <f t="shared" si="1087"/>
        <v/>
      </c>
      <c r="Z136" s="581" t="str">
        <f t="shared" si="924"/>
        <v/>
      </c>
      <c r="AA136" s="582" t="str">
        <f t="shared" si="925"/>
        <v/>
      </c>
      <c r="AB136" s="582" t="str">
        <f t="shared" si="926"/>
        <v/>
      </c>
      <c r="AC136" s="586" t="str">
        <f t="shared" si="1088"/>
        <v/>
      </c>
      <c r="AD136" s="588" t="str">
        <f t="shared" si="1089"/>
        <v/>
      </c>
      <c r="AE136" s="582" t="str">
        <f t="shared" si="1090"/>
        <v/>
      </c>
      <c r="AF136" s="583" t="str">
        <f t="shared" si="1091"/>
        <v/>
      </c>
      <c r="AG136" s="547" t="str">
        <f t="shared" si="1092"/>
        <v/>
      </c>
      <c r="AH136" s="548" t="str">
        <f t="shared" si="1093"/>
        <v/>
      </c>
      <c r="AI136" s="536" t="str">
        <f t="shared" si="1094"/>
        <v/>
      </c>
      <c r="AJ136" s="537" t="str">
        <f t="shared" si="1095"/>
        <v/>
      </c>
      <c r="AK136" s="585" t="str">
        <f t="shared" si="1096"/>
        <v/>
      </c>
      <c r="AL136" s="582" t="str">
        <f t="shared" si="1097"/>
        <v/>
      </c>
      <c r="AM136" s="584" t="str">
        <f t="shared" si="1098"/>
        <v/>
      </c>
      <c r="AN136" s="534" t="str">
        <f t="shared" si="1099"/>
        <v/>
      </c>
      <c r="AO136" s="535" t="str">
        <f t="shared" si="1058"/>
        <v/>
      </c>
      <c r="AP136" s="536" t="str">
        <f t="shared" si="1100"/>
        <v/>
      </c>
      <c r="AQ136" s="537" t="str">
        <f t="shared" si="927"/>
        <v/>
      </c>
      <c r="AS136" s="955" t="str">
        <f t="shared" si="1029"/>
        <v/>
      </c>
      <c r="AT136" s="951" t="str">
        <f t="shared" si="928"/>
        <v/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55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90"/>
        <v/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 t="str">
        <f t="shared" ref="A137:A150" si="1234">IF($K137="","",IF(AND($A$8="Y",ISNUMBER($K137)),$A$5,0))</f>
        <v/>
      </c>
      <c r="B137" s="585" t="str">
        <f t="shared" ref="B137:D137" si="1235">IFERROR(O292+($A137*-E137),"")</f>
        <v/>
      </c>
      <c r="C137" s="582" t="str">
        <f t="shared" si="1235"/>
        <v/>
      </c>
      <c r="D137" s="583" t="str">
        <f t="shared" si="1235"/>
        <v/>
      </c>
      <c r="E137" s="588" t="str">
        <f t="shared" ref="E137:K137" si="1236">R292</f>
        <v/>
      </c>
      <c r="F137" s="582" t="str">
        <f t="shared" si="1236"/>
        <v/>
      </c>
      <c r="G137" s="586" t="str">
        <f t="shared" si="1236"/>
        <v/>
      </c>
      <c r="H137" s="588" t="str">
        <f t="shared" si="1236"/>
        <v/>
      </c>
      <c r="I137" s="582" t="str">
        <f t="shared" si="1236"/>
        <v/>
      </c>
      <c r="J137" s="491" t="str">
        <f t="shared" si="728"/>
        <v/>
      </c>
      <c r="K137" s="807" t="str">
        <f t="shared" si="1236"/>
        <v/>
      </c>
      <c r="L137" s="309"/>
      <c r="M137" s="492" t="str">
        <f t="shared" ref="M137:M150" si="1237">IF(J137="","",VALUE(J137))</f>
        <v/>
      </c>
      <c r="N137" s="581" t="str">
        <f t="shared" ref="N137:N150" si="1238">IF(M137="","",B137)</f>
        <v/>
      </c>
      <c r="O137" s="582" t="str">
        <f t="shared" ref="O137:O150" si="1239">IF(M137="","",C137)</f>
        <v/>
      </c>
      <c r="P137" s="583" t="str">
        <f t="shared" ref="P137:P150" si="1240">IF(M137="","",D137)</f>
        <v/>
      </c>
      <c r="Q137" s="536" t="str">
        <f t="shared" si="1079"/>
        <v/>
      </c>
      <c r="R137" s="582" t="str">
        <f t="shared" si="1080"/>
        <v/>
      </c>
      <c r="S137" s="584" t="str">
        <f t="shared" si="1081"/>
        <v/>
      </c>
      <c r="T137" s="585" t="str">
        <f t="shared" si="1082"/>
        <v/>
      </c>
      <c r="U137" s="582" t="str">
        <f t="shared" si="1083"/>
        <v/>
      </c>
      <c r="V137" s="586" t="str">
        <f t="shared" si="1084"/>
        <v/>
      </c>
      <c r="W137" s="536" t="str">
        <f t="shared" si="1085"/>
        <v/>
      </c>
      <c r="X137" s="582" t="str">
        <f t="shared" si="1086"/>
        <v/>
      </c>
      <c r="Y137" s="587" t="str">
        <f t="shared" si="1087"/>
        <v/>
      </c>
      <c r="Z137" s="581" t="str">
        <f t="shared" ref="Z137:Z150" si="1241">IF(M137="","",-E137)</f>
        <v/>
      </c>
      <c r="AA137" s="582" t="str">
        <f t="shared" ref="AA137:AA150" si="1242">IF(M137="","",-F137)</f>
        <v/>
      </c>
      <c r="AB137" s="582" t="str">
        <f t="shared" ref="AB137:AB150" si="1243">IF(M137="","",-G137)</f>
        <v/>
      </c>
      <c r="AC137" s="586" t="str">
        <f t="shared" si="1088"/>
        <v/>
      </c>
      <c r="AD137" s="588" t="str">
        <f t="shared" si="1089"/>
        <v/>
      </c>
      <c r="AE137" s="582" t="str">
        <f t="shared" si="1090"/>
        <v/>
      </c>
      <c r="AF137" s="583" t="str">
        <f t="shared" si="1091"/>
        <v/>
      </c>
      <c r="AG137" s="547" t="str">
        <f t="shared" si="1092"/>
        <v/>
      </c>
      <c r="AH137" s="548" t="str">
        <f t="shared" si="1093"/>
        <v/>
      </c>
      <c r="AI137" s="536" t="str">
        <f t="shared" si="1094"/>
        <v/>
      </c>
      <c r="AJ137" s="537" t="str">
        <f t="shared" si="1095"/>
        <v/>
      </c>
      <c r="AK137" s="585" t="str">
        <f t="shared" si="1096"/>
        <v/>
      </c>
      <c r="AL137" s="582" t="str">
        <f t="shared" si="1097"/>
        <v/>
      </c>
      <c r="AM137" s="584" t="str">
        <f t="shared" si="1098"/>
        <v/>
      </c>
      <c r="AN137" s="534" t="str">
        <f t="shared" si="1099"/>
        <v/>
      </c>
      <c r="AO137" s="535" t="str">
        <f t="shared" si="1058"/>
        <v/>
      </c>
      <c r="AP137" s="536" t="str">
        <f t="shared" si="1100"/>
        <v/>
      </c>
      <c r="AQ137" s="537" t="str">
        <f t="shared" ref="AQ137:AQ150" si="1244">IF(M137="","",DEGREES(ATAN(($AS$5*SIN(RADIANS(90)))/(($X137*2*PI())-($AS$5*COS(RADIANS(90)))))))</f>
        <v/>
      </c>
      <c r="AS137" s="955" t="str">
        <f t="shared" si="1029"/>
        <v/>
      </c>
      <c r="AT137" s="951" t="str">
        <f t="shared" ref="AT137:AT150" si="1245">IF(M137="","",Y137+(((AS137-$AS$9)*$AS$6)*-1))</f>
        <v/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55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78">IF(ISNUMBER($IK137),INDEX($K$9:$K$150,MATCH($IK137,$M$9:$M$150,0)),$K137)</f>
        <v/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 t="str">
        <f t="shared" si="1234"/>
        <v/>
      </c>
      <c r="B138" s="585" t="str">
        <f t="shared" ref="B138:D138" si="1291">IFERROR(O293+($A138*-E138),"")</f>
        <v/>
      </c>
      <c r="C138" s="582" t="str">
        <f t="shared" si="1291"/>
        <v/>
      </c>
      <c r="D138" s="583" t="str">
        <f t="shared" si="1291"/>
        <v/>
      </c>
      <c r="E138" s="588" t="str">
        <f t="shared" ref="E138:K138" si="1292">R293</f>
        <v/>
      </c>
      <c r="F138" s="582" t="str">
        <f t="shared" si="1292"/>
        <v/>
      </c>
      <c r="G138" s="586" t="str">
        <f t="shared" si="1292"/>
        <v/>
      </c>
      <c r="H138" s="588" t="str">
        <f t="shared" si="1292"/>
        <v/>
      </c>
      <c r="I138" s="582" t="str">
        <f t="shared" si="1292"/>
        <v/>
      </c>
      <c r="J138" s="491" t="str">
        <f t="shared" ref="J138:J150" si="1293">IF(W293=0,"",W293)</f>
        <v/>
      </c>
      <c r="K138" s="807" t="str">
        <f t="shared" si="1292"/>
        <v/>
      </c>
      <c r="L138" s="309"/>
      <c r="M138" s="492" t="str">
        <f t="shared" si="1237"/>
        <v/>
      </c>
      <c r="N138" s="581" t="str">
        <f t="shared" si="1238"/>
        <v/>
      </c>
      <c r="O138" s="582" t="str">
        <f t="shared" si="1239"/>
        <v/>
      </c>
      <c r="P138" s="583" t="str">
        <f t="shared" si="1240"/>
        <v/>
      </c>
      <c r="Q138" s="536" t="str">
        <f t="shared" si="1079"/>
        <v/>
      </c>
      <c r="R138" s="582" t="str">
        <f t="shared" si="1080"/>
        <v/>
      </c>
      <c r="S138" s="584" t="str">
        <f t="shared" si="1081"/>
        <v/>
      </c>
      <c r="T138" s="585" t="str">
        <f t="shared" si="1082"/>
        <v/>
      </c>
      <c r="U138" s="582" t="str">
        <f t="shared" si="1083"/>
        <v/>
      </c>
      <c r="V138" s="586" t="str">
        <f t="shared" si="1084"/>
        <v/>
      </c>
      <c r="W138" s="536" t="str">
        <f t="shared" si="1085"/>
        <v/>
      </c>
      <c r="X138" s="582" t="str">
        <f t="shared" si="1086"/>
        <v/>
      </c>
      <c r="Y138" s="587" t="str">
        <f t="shared" si="1087"/>
        <v/>
      </c>
      <c r="Z138" s="581" t="str">
        <f t="shared" si="1241"/>
        <v/>
      </c>
      <c r="AA138" s="582" t="str">
        <f t="shared" si="1242"/>
        <v/>
      </c>
      <c r="AB138" s="582" t="str">
        <f t="shared" si="1243"/>
        <v/>
      </c>
      <c r="AC138" s="586" t="str">
        <f t="shared" si="1088"/>
        <v/>
      </c>
      <c r="AD138" s="588" t="str">
        <f t="shared" si="1089"/>
        <v/>
      </c>
      <c r="AE138" s="582" t="str">
        <f t="shared" si="1090"/>
        <v/>
      </c>
      <c r="AF138" s="583" t="str">
        <f t="shared" si="1091"/>
        <v/>
      </c>
      <c r="AG138" s="547" t="str">
        <f t="shared" si="1092"/>
        <v/>
      </c>
      <c r="AH138" s="548" t="str">
        <f t="shared" si="1093"/>
        <v/>
      </c>
      <c r="AI138" s="536" t="str">
        <f t="shared" si="1094"/>
        <v/>
      </c>
      <c r="AJ138" s="537" t="str">
        <f t="shared" si="1095"/>
        <v/>
      </c>
      <c r="AK138" s="585" t="str">
        <f t="shared" si="1096"/>
        <v/>
      </c>
      <c r="AL138" s="582" t="str">
        <f t="shared" si="1097"/>
        <v/>
      </c>
      <c r="AM138" s="584" t="str">
        <f t="shared" si="1098"/>
        <v/>
      </c>
      <c r="AN138" s="534" t="str">
        <f t="shared" si="1099"/>
        <v/>
      </c>
      <c r="AO138" s="535" t="str">
        <f t="shared" si="1058"/>
        <v/>
      </c>
      <c r="AP138" s="536" t="str">
        <f t="shared" si="1100"/>
        <v/>
      </c>
      <c r="AQ138" s="537" t="str">
        <f t="shared" si="1244"/>
        <v/>
      </c>
      <c r="AS138" s="955" t="str">
        <f t="shared" si="1029"/>
        <v/>
      </c>
      <c r="AT138" s="951" t="str">
        <f t="shared" si="1245"/>
        <v/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55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78"/>
        <v/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 t="str">
        <f t="shared" si="1234"/>
        <v/>
      </c>
      <c r="B139" s="585" t="str">
        <f t="shared" ref="B139:D139" si="1295">IFERROR(O294+($A139*-E139),"")</f>
        <v/>
      </c>
      <c r="C139" s="582" t="str">
        <f t="shared" si="1295"/>
        <v/>
      </c>
      <c r="D139" s="583" t="str">
        <f t="shared" si="1295"/>
        <v/>
      </c>
      <c r="E139" s="588" t="str">
        <f t="shared" ref="E139:K139" si="1296">R294</f>
        <v/>
      </c>
      <c r="F139" s="582" t="str">
        <f t="shared" si="1296"/>
        <v/>
      </c>
      <c r="G139" s="586" t="str">
        <f t="shared" si="1296"/>
        <v/>
      </c>
      <c r="H139" s="588" t="str">
        <f t="shared" si="1296"/>
        <v/>
      </c>
      <c r="I139" s="582" t="str">
        <f t="shared" si="1296"/>
        <v/>
      </c>
      <c r="J139" s="491" t="str">
        <f t="shared" si="1293"/>
        <v/>
      </c>
      <c r="K139" s="807" t="str">
        <f t="shared" si="1296"/>
        <v/>
      </c>
      <c r="L139" s="309"/>
      <c r="M139" s="492" t="str">
        <f t="shared" si="1237"/>
        <v/>
      </c>
      <c r="N139" s="581" t="str">
        <f t="shared" si="1238"/>
        <v/>
      </c>
      <c r="O139" s="582" t="str">
        <f t="shared" si="1239"/>
        <v/>
      </c>
      <c r="P139" s="583" t="str">
        <f t="shared" si="1240"/>
        <v/>
      </c>
      <c r="Q139" s="536" t="str">
        <f t="shared" si="1079"/>
        <v/>
      </c>
      <c r="R139" s="582" t="str">
        <f t="shared" si="1080"/>
        <v/>
      </c>
      <c r="S139" s="584" t="str">
        <f t="shared" si="1081"/>
        <v/>
      </c>
      <c r="T139" s="585" t="str">
        <f t="shared" si="1082"/>
        <v/>
      </c>
      <c r="U139" s="582" t="str">
        <f t="shared" si="1083"/>
        <v/>
      </c>
      <c r="V139" s="586" t="str">
        <f t="shared" si="1084"/>
        <v/>
      </c>
      <c r="W139" s="536" t="str">
        <f t="shared" si="1085"/>
        <v/>
      </c>
      <c r="X139" s="582" t="str">
        <f t="shared" si="1086"/>
        <v/>
      </c>
      <c r="Y139" s="587" t="str">
        <f t="shared" si="1087"/>
        <v/>
      </c>
      <c r="Z139" s="581" t="str">
        <f t="shared" si="1241"/>
        <v/>
      </c>
      <c r="AA139" s="582" t="str">
        <f t="shared" si="1242"/>
        <v/>
      </c>
      <c r="AB139" s="582" t="str">
        <f t="shared" si="1243"/>
        <v/>
      </c>
      <c r="AC139" s="586" t="str">
        <f t="shared" si="1088"/>
        <v/>
      </c>
      <c r="AD139" s="588" t="str">
        <f t="shared" si="1089"/>
        <v/>
      </c>
      <c r="AE139" s="582" t="str">
        <f t="shared" si="1090"/>
        <v/>
      </c>
      <c r="AF139" s="583" t="str">
        <f t="shared" si="1091"/>
        <v/>
      </c>
      <c r="AG139" s="547" t="str">
        <f t="shared" si="1092"/>
        <v/>
      </c>
      <c r="AH139" s="548" t="str">
        <f t="shared" si="1093"/>
        <v/>
      </c>
      <c r="AI139" s="536" t="str">
        <f t="shared" si="1094"/>
        <v/>
      </c>
      <c r="AJ139" s="537" t="str">
        <f t="shared" si="1095"/>
        <v/>
      </c>
      <c r="AK139" s="585" t="str">
        <f t="shared" si="1096"/>
        <v/>
      </c>
      <c r="AL139" s="582" t="str">
        <f t="shared" si="1097"/>
        <v/>
      </c>
      <c r="AM139" s="584" t="str">
        <f t="shared" si="1098"/>
        <v/>
      </c>
      <c r="AN139" s="534" t="str">
        <f t="shared" si="1099"/>
        <v/>
      </c>
      <c r="AO139" s="535" t="str">
        <f t="shared" si="1058"/>
        <v/>
      </c>
      <c r="AP139" s="536" t="str">
        <f t="shared" si="1100"/>
        <v/>
      </c>
      <c r="AQ139" s="537" t="str">
        <f t="shared" si="1244"/>
        <v/>
      </c>
      <c r="AS139" s="955" t="str">
        <f t="shared" ref="AS139:AS150" si="1297">IF(G139="","",IF(AND(W139&lt;(AS138+180),W139&gt;(AS138-180)),W139,IF(W139&gt;(AS138+180),W139-360,IF(W139&lt;(AS138-180),W139+360,"Error"))))</f>
        <v/>
      </c>
      <c r="AT139" s="951" t="str">
        <f t="shared" si="1245"/>
        <v/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98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78"/>
        <v/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 t="str">
        <f t="shared" si="1234"/>
        <v/>
      </c>
      <c r="B140" s="585" t="str">
        <f t="shared" ref="B140:D140" si="1300">IFERROR(O295+($A140*-E140),"")</f>
        <v/>
      </c>
      <c r="C140" s="582" t="str">
        <f t="shared" si="1300"/>
        <v/>
      </c>
      <c r="D140" s="583" t="str">
        <f t="shared" si="1300"/>
        <v/>
      </c>
      <c r="E140" s="588" t="str">
        <f t="shared" ref="E140:K140" si="1301">R295</f>
        <v/>
      </c>
      <c r="F140" s="582" t="str">
        <f t="shared" si="1301"/>
        <v/>
      </c>
      <c r="G140" s="586" t="str">
        <f t="shared" si="1301"/>
        <v/>
      </c>
      <c r="H140" s="588" t="str">
        <f t="shared" si="1301"/>
        <v/>
      </c>
      <c r="I140" s="582" t="str">
        <f t="shared" si="1301"/>
        <v/>
      </c>
      <c r="J140" s="491" t="str">
        <f t="shared" si="1293"/>
        <v/>
      </c>
      <c r="K140" s="807" t="str">
        <f t="shared" si="1301"/>
        <v/>
      </c>
      <c r="L140" s="309"/>
      <c r="M140" s="492" t="str">
        <f t="shared" si="1237"/>
        <v/>
      </c>
      <c r="N140" s="581" t="str">
        <f t="shared" si="1238"/>
        <v/>
      </c>
      <c r="O140" s="582" t="str">
        <f t="shared" si="1239"/>
        <v/>
      </c>
      <c r="P140" s="583" t="str">
        <f t="shared" si="1240"/>
        <v/>
      </c>
      <c r="Q140" s="536" t="str">
        <f t="shared" si="1079"/>
        <v/>
      </c>
      <c r="R140" s="582" t="str">
        <f t="shared" si="1080"/>
        <v/>
      </c>
      <c r="S140" s="584" t="str">
        <f t="shared" si="1081"/>
        <v/>
      </c>
      <c r="T140" s="585" t="str">
        <f t="shared" si="1082"/>
        <v/>
      </c>
      <c r="U140" s="582" t="str">
        <f t="shared" si="1083"/>
        <v/>
      </c>
      <c r="V140" s="586" t="str">
        <f t="shared" si="1084"/>
        <v/>
      </c>
      <c r="W140" s="536" t="str">
        <f t="shared" si="1085"/>
        <v/>
      </c>
      <c r="X140" s="582" t="str">
        <f t="shared" si="1086"/>
        <v/>
      </c>
      <c r="Y140" s="587" t="str">
        <f t="shared" si="1087"/>
        <v/>
      </c>
      <c r="Z140" s="581" t="str">
        <f t="shared" si="1241"/>
        <v/>
      </c>
      <c r="AA140" s="582" t="str">
        <f t="shared" si="1242"/>
        <v/>
      </c>
      <c r="AB140" s="582" t="str">
        <f t="shared" si="1243"/>
        <v/>
      </c>
      <c r="AC140" s="586" t="str">
        <f t="shared" si="1088"/>
        <v/>
      </c>
      <c r="AD140" s="588" t="str">
        <f t="shared" si="1089"/>
        <v/>
      </c>
      <c r="AE140" s="582" t="str">
        <f t="shared" si="1090"/>
        <v/>
      </c>
      <c r="AF140" s="583" t="str">
        <f t="shared" si="1091"/>
        <v/>
      </c>
      <c r="AG140" s="547" t="str">
        <f t="shared" si="1092"/>
        <v/>
      </c>
      <c r="AH140" s="548" t="str">
        <f t="shared" si="1093"/>
        <v/>
      </c>
      <c r="AI140" s="536" t="str">
        <f t="shared" si="1094"/>
        <v/>
      </c>
      <c r="AJ140" s="537" t="str">
        <f t="shared" si="1095"/>
        <v/>
      </c>
      <c r="AK140" s="585" t="str">
        <f t="shared" si="1096"/>
        <v/>
      </c>
      <c r="AL140" s="582" t="str">
        <f t="shared" si="1097"/>
        <v/>
      </c>
      <c r="AM140" s="584" t="str">
        <f t="shared" si="1098"/>
        <v/>
      </c>
      <c r="AN140" s="534" t="str">
        <f t="shared" si="1099"/>
        <v/>
      </c>
      <c r="AO140" s="535" t="str">
        <f t="shared" si="1058"/>
        <v/>
      </c>
      <c r="AP140" s="536" t="str">
        <f t="shared" si="1100"/>
        <v/>
      </c>
      <c r="AQ140" s="537" t="str">
        <f t="shared" si="1244"/>
        <v/>
      </c>
      <c r="AS140" s="955" t="str">
        <f t="shared" si="1297"/>
        <v/>
      </c>
      <c r="AT140" s="951" t="str">
        <f t="shared" si="1245"/>
        <v/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98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78"/>
        <v/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151" t="s">
        <v>42</v>
      </c>
      <c r="C157" s="1344"/>
      <c r="D157" s="1344"/>
      <c r="E157" s="1344"/>
      <c r="F157" s="1344"/>
      <c r="G157" s="1344"/>
      <c r="H157" s="1344"/>
      <c r="I157" s="1344"/>
      <c r="J157" s="1344"/>
      <c r="K157" s="1344"/>
      <c r="L157" s="1344"/>
      <c r="M157" s="1345"/>
      <c r="Z157" t="s">
        <v>101</v>
      </c>
      <c r="AA157" s="219">
        <v>0</v>
      </c>
    </row>
    <row r="158" spans="1:261" x14ac:dyDescent="0.25">
      <c r="B158" s="1346"/>
      <c r="C158" s="1347"/>
      <c r="D158" s="1347"/>
      <c r="E158" s="1347"/>
      <c r="F158" s="1347"/>
      <c r="G158" s="1347"/>
      <c r="H158" s="1347"/>
      <c r="I158" s="1347"/>
      <c r="J158" s="1347"/>
      <c r="K158" s="1347"/>
      <c r="L158" s="1347"/>
      <c r="M158" s="1348"/>
      <c r="Z158" t="s">
        <v>102</v>
      </c>
      <c r="AA158" s="219">
        <v>0.01</v>
      </c>
    </row>
    <row r="159" spans="1:261" x14ac:dyDescent="0.25">
      <c r="B159" s="1349"/>
      <c r="C159" s="1350"/>
      <c r="D159" s="1350"/>
      <c r="E159" s="1350"/>
      <c r="F159" s="1350"/>
      <c r="G159" s="1350"/>
      <c r="H159" s="1350"/>
      <c r="I159" s="1350"/>
      <c r="J159" s="1350"/>
      <c r="K159" s="1350"/>
      <c r="L159" s="1350"/>
      <c r="M159" s="1351"/>
    </row>
    <row r="160" spans="1:261" ht="15" customHeight="1" x14ac:dyDescent="0.25">
      <c r="B160" s="1352" t="str">
        <f>CONCATENATE(B162," ; ",E162," ; ",H163)</f>
        <v>Absolute-Point ; Incremental-Vector Point ; Radius</v>
      </c>
      <c r="C160" s="1353"/>
      <c r="D160" s="1353"/>
      <c r="E160" s="1353"/>
      <c r="F160" s="1353"/>
      <c r="G160" s="1353"/>
      <c r="H160" s="1353"/>
      <c r="I160" s="1353"/>
      <c r="J160" s="1353"/>
      <c r="K160" s="1353"/>
      <c r="L160" s="1353"/>
      <c r="M160" s="1354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148"/>
      <c r="C161" s="1149"/>
      <c r="D161" s="1149"/>
      <c r="E161" s="1149"/>
      <c r="F161" s="1149"/>
      <c r="G161" s="1149"/>
      <c r="H161" s="1149"/>
      <c r="I161" s="1149"/>
      <c r="J161" s="1149"/>
      <c r="K161" s="1149"/>
      <c r="L161" s="1149"/>
      <c r="M161" s="1150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342" t="s">
        <v>40</v>
      </c>
      <c r="C162" s="1141"/>
      <c r="D162" s="1343"/>
      <c r="E162" s="1140" t="s">
        <v>41</v>
      </c>
      <c r="F162" s="1141"/>
      <c r="G162" s="1142"/>
      <c r="H162" s="1007" t="s">
        <v>305</v>
      </c>
      <c r="I162" s="1027"/>
      <c r="J162" s="1008"/>
      <c r="K162" s="155"/>
      <c r="L162" s="1355" t="s">
        <v>399</v>
      </c>
      <c r="M162" s="1356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0</v>
      </c>
      <c r="C164" s="646">
        <v>0.2942008873098762</v>
      </c>
      <c r="D164" s="647">
        <v>-0.48810147211403998</v>
      </c>
      <c r="E164" s="648">
        <v>-0.92050487609870546</v>
      </c>
      <c r="F164" s="646">
        <v>-5.1000624776863762E-2</v>
      </c>
      <c r="G164" s="649">
        <v>0.38738831855242689</v>
      </c>
      <c r="H164" s="648">
        <v>0.26600000000000001</v>
      </c>
      <c r="I164" s="941">
        <v>0.52</v>
      </c>
      <c r="J164" s="945">
        <v>1.101</v>
      </c>
      <c r="K164" s="930">
        <f>IF($J164="","",IF(IFERROR(INDEX(Settings!$AK$14:$AK$60,MATCH((((ROUND($H164,6)*2)*1000000)+ROUND($I164,6)),Settings!$AI$14:$AI$60,0)),"Undefined")="Undefined","Undefined",IFERROR(INDEX(_xlfn.ANCHORARRAY(Settings!$BC$14),MATCH(IFERROR(INDEX(Settings!$AK$14:$AK$60,MATCH((((ROUND($H164,6)*2)*1000000)+ROUND($I164,6)),Settings!$AI$14:$AI$60,0)),"Undefined"),_xlfn.ANCHORARRAY(Settings!$BC$14),0)),"Inactive")))</f>
        <v>1313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0</v>
      </c>
      <c r="P164" s="162">
        <f t="shared" ref="P164:P195" si="1325">IFERROR(INDEX(C$164:C$305,MATCH($W164,$J$164:$J$305,0)),"")</f>
        <v>0.2942008873098762</v>
      </c>
      <c r="Q164" s="162">
        <f t="shared" ref="Q164:Q195" si="1326">IFERROR(INDEX(D$164:D$305,MATCH($W164,$J$164:$J$305,0)),"")</f>
        <v>-0.48810147211403998</v>
      </c>
      <c r="R164" s="162">
        <f>IFERROR(IF($L164="Y",-1*INDEX(E$164:E$305,MATCH($W164,$J$164:$J$305,0)),INDEX(E$164:E$305,MATCH($W164,$J$164:$J$305,0))),"")</f>
        <v>-0.92050487609870546</v>
      </c>
      <c r="S164" s="162">
        <f t="shared" ref="S164:S227" si="1327">IFERROR(IF($L164="Y",-1*INDEX(F$164:F$305,MATCH($W164,$J$164:$J$305,0)),INDEX(F$164:F$305,MATCH($W164,$J$164:$J$305,0))),"")</f>
        <v>-5.1000624776863762E-2</v>
      </c>
      <c r="T164" s="162">
        <f t="shared" ref="T164:T227" si="1328">IFERROR(IF($L164="Y",-1*INDEX(G$164:G$305,MATCH($W164,$J$164:$J$305,0)),INDEX(G$164:G$305,MATCH($W164,$J$164:$J$305,0))),"")</f>
        <v>0.38738831855242689</v>
      </c>
      <c r="U164" s="162">
        <f>IFERROR(IF(ISNUMBER(MATCH($X164,Settings!$AK$52:$AK$60,0)),INDEX(Settings!$AO$14:$AO$60,MATCH($X164,Settings!$AK$14:$AK$60,0))/2,INDEX(Settings!$AM$14:$AM$60,MATCH($X164,Settings!$AK$14:$AK$60,0))/2),"")</f>
        <v>0.26450000000000001</v>
      </c>
      <c r="V164" s="162">
        <f t="shared" ref="V164:V195" si="1329">IFERROR(INDEX(I$164:I$305,MATCH($W164,$J$164:$J$305,0)),"")</f>
        <v>0.52</v>
      </c>
      <c r="W164" s="75" cm="1">
        <f t="array" ref="W164:W203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1313</v>
      </c>
      <c r="Y164" s="31"/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-1.7074049960401645E-17</v>
      </c>
      <c r="C165" s="651">
        <v>0.8853026700728529</v>
      </c>
      <c r="D165" s="652">
        <v>-0.32970099437819911</v>
      </c>
      <c r="E165" s="653">
        <v>-0.95630476848795665</v>
      </c>
      <c r="F165" s="651">
        <v>-3.0561156319032234E-2</v>
      </c>
      <c r="G165" s="654">
        <v>0.29077002165223192</v>
      </c>
      <c r="H165" s="653">
        <v>0.26600000000000001</v>
      </c>
      <c r="I165" s="942">
        <v>0.52</v>
      </c>
      <c r="J165" s="946">
        <v>1.1040000000000001</v>
      </c>
      <c r="K165" s="931">
        <f>IF($J165="","",IF(IFERROR(INDEX(Settings!$AK$14:$AK$60,MATCH((((ROUND($H165,6)*2)*1000000)+ROUND($I165,6)),Settings!$AI$14:$AI$60,0)),"Undefined")="Undefined","Undefined",IFERROR(INDEX(_xlfn.ANCHORARRAY(Settings!$BC$14),MATCH(IFERROR(INDEX(Settings!$AK$14:$AK$60,MATCH((((ROUND($H165,6)*2)*1000000)+ROUND($I165,6)),Settings!$AI$14:$AI$60,0)),"Undefined"),_xlfn.ANCHORARRAY(Settings!$BC$14),0)),"Inactive")))</f>
        <v>1313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-1.7074049960401645E-17</v>
      </c>
      <c r="P165" s="162">
        <f t="shared" si="1325"/>
        <v>0.8853026700728529</v>
      </c>
      <c r="Q165" s="162">
        <f t="shared" si="1326"/>
        <v>-0.32970099437819911</v>
      </c>
      <c r="R165" s="162">
        <f t="shared" ref="R165:R228" si="1331">IFERROR(IF($L165="Y",-1*INDEX(E$164:E$305,MATCH($W165,$J$164:$J$305,0)),INDEX(E$164:E$305,MATCH($W165,$J$164:$J$305,0))),"")</f>
        <v>-0.95630476848795665</v>
      </c>
      <c r="S165" s="162">
        <f t="shared" si="1327"/>
        <v>-3.0561156319032234E-2</v>
      </c>
      <c r="T165" s="162">
        <f t="shared" si="1328"/>
        <v>0.29077002165223192</v>
      </c>
      <c r="U165" s="162">
        <f>IFERROR(IF(ISNUMBER(MATCH($X165,Settings!$AK$52:$AK$60,0)),INDEX(Settings!$AO$14:$AO$60,MATCH($X165,Settings!$AK$14:$AK$60,0))/2,INDEX(Settings!$AM$14:$AM$60,MATCH($X165,Settings!$AK$14:$AK$60,0))/2),"")</f>
        <v>0.26450000000000001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1313</v>
      </c>
      <c r="Y165" s="31"/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2.1342562450502056E-18</v>
      </c>
      <c r="C166" s="651">
        <v>1.482804472138288</v>
      </c>
      <c r="D166" s="652">
        <v>-0.20100060621782836</v>
      </c>
      <c r="E166" s="653">
        <v>-0.95630476848795665</v>
      </c>
      <c r="F166" s="651">
        <v>-1.5301548393736849E-2</v>
      </c>
      <c r="G166" s="654">
        <v>0.29197097866731525</v>
      </c>
      <c r="H166" s="653">
        <v>0.26600000000000001</v>
      </c>
      <c r="I166" s="942">
        <v>0.52</v>
      </c>
      <c r="J166" s="946">
        <v>1.107</v>
      </c>
      <c r="K166" s="931">
        <f>IF($J166="","",IF(IFERROR(INDEX(Settings!$AK$14:$AK$60,MATCH((((ROUND($H166,6)*2)*1000000)+ROUND($I166,6)),Settings!$AI$14:$AI$60,0)),"Undefined")="Undefined","Undefined",IFERROR(INDEX(_xlfn.ANCHORARRAY(Settings!$BC$14),MATCH(IFERROR(INDEX(Settings!$AK$14:$AK$60,MATCH((((ROUND($H166,6)*2)*1000000)+ROUND($I166,6)),Settings!$AI$14:$AI$60,0)),"Undefined"),_xlfn.ANCHORARRAY(Settings!$BC$14),0)),"Inactive")))</f>
        <v>1313</v>
      </c>
      <c r="L166" s="683"/>
      <c r="M166" s="934"/>
      <c r="N166" s="31" t="str">
        <f t="shared" si="1330"/>
        <v>Y</v>
      </c>
      <c r="O166" s="162">
        <f t="shared" si="1324"/>
        <v>2.1342562450502056E-18</v>
      </c>
      <c r="P166" s="162">
        <f t="shared" si="1325"/>
        <v>1.482804472138288</v>
      </c>
      <c r="Q166" s="162">
        <f t="shared" si="1326"/>
        <v>-0.20100060621782836</v>
      </c>
      <c r="R166" s="162">
        <f>IFERROR(IF($L166="Y",-1*INDEX(E$164:E$305,MATCH($W166,$J$164:$J$305,0)),INDEX(E$164:E$305,MATCH($W166,$J$164:$J$305,0))),"")</f>
        <v>-0.95630476848795665</v>
      </c>
      <c r="S166" s="162">
        <f t="shared" si="1327"/>
        <v>-1.5301548393736849E-2</v>
      </c>
      <c r="T166" s="162">
        <f t="shared" si="1328"/>
        <v>0.29197097866731525</v>
      </c>
      <c r="U166" s="162">
        <f>IFERROR(IF(ISNUMBER(MATCH($X166,Settings!$AK$52:$AK$60,0)),INDEX(Settings!$AO$14:$AO$60,MATCH($X166,Settings!$AK$14:$AK$60,0))/2,INDEX(Settings!$AM$14:$AM$60,MATCH($X166,Settings!$AK$14:$AK$60,0))/2),"")</f>
        <v>0.26450000000000001</v>
      </c>
      <c r="V166" s="162">
        <f t="shared" si="1329"/>
        <v>0.52</v>
      </c>
      <c r="W166" s="75">
        <v>1.107</v>
      </c>
      <c r="X166" s="937">
        <f t="shared" si="1332"/>
        <v>1313</v>
      </c>
      <c r="Y166" s="31"/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2.1882298867989258E-3</v>
      </c>
      <c r="C167" s="651">
        <v>2.0896051564981786</v>
      </c>
      <c r="D167" s="652">
        <v>-0.12120036554030247</v>
      </c>
      <c r="E167" s="653">
        <v>-0.95630424413539195</v>
      </c>
      <c r="F167" s="651">
        <v>1.0014396841347044E-3</v>
      </c>
      <c r="G167" s="654">
        <v>0.29237166375556251</v>
      </c>
      <c r="H167" s="653">
        <v>0.26600000000000001</v>
      </c>
      <c r="I167" s="942">
        <v>0.52</v>
      </c>
      <c r="J167" s="946">
        <v>1.1100000000000001</v>
      </c>
      <c r="K167" s="931">
        <f>IF($J167="","",IF(IFERROR(INDEX(Settings!$AK$14:$AK$60,MATCH((((ROUND($H167,6)*2)*1000000)+ROUND($I167,6)),Settings!$AI$14:$AI$60,0)),"Undefined")="Undefined","Undefined",IFERROR(INDEX(_xlfn.ANCHORARRAY(Settings!$BC$14),MATCH(IFERROR(INDEX(Settings!$AK$14:$AK$60,MATCH((((ROUND($H167,6)*2)*1000000)+ROUND($I167,6)),Settings!$AI$14:$AI$60,0)),"Undefined"),_xlfn.ANCHORARRAY(Settings!$BC$14),0)),"Inactive")))</f>
        <v>1313</v>
      </c>
      <c r="L167" s="683"/>
      <c r="M167" s="934"/>
      <c r="N167" s="31" t="str">
        <f t="shared" si="1330"/>
        <v>Y</v>
      </c>
      <c r="O167" s="162">
        <f t="shared" si="1324"/>
        <v>2.1882298867989258E-3</v>
      </c>
      <c r="P167" s="162">
        <f t="shared" si="1325"/>
        <v>2.0896051564981786</v>
      </c>
      <c r="Q167" s="162">
        <f t="shared" si="1326"/>
        <v>-0.12120036554030247</v>
      </c>
      <c r="R167" s="162">
        <f>IFERROR(IF($L167="Y",-1*INDEX(E$164:E$305,MATCH($W167,$J$164:$J$305,0)),INDEX(E$164:E$305,MATCH($W167,$J$164:$J$305,0))),"")</f>
        <v>-0.95630424413539195</v>
      </c>
      <c r="S167" s="162">
        <f t="shared" si="1327"/>
        <v>1.0014396841347044E-3</v>
      </c>
      <c r="T167" s="162">
        <f t="shared" si="1328"/>
        <v>0.29237166375556251</v>
      </c>
      <c r="U167" s="162">
        <f>IFERROR(IF(ISNUMBER(MATCH($X167,Settings!$AK$52:$AK$60,0)),INDEX(Settings!$AO$14:$AO$60,MATCH($X167,Settings!$AK$14:$AK$60,0))/2,INDEX(Settings!$AM$14:$AM$60,MATCH($X167,Settings!$AK$14:$AK$60,0))/2),"")</f>
        <v>0.26450000000000001</v>
      </c>
      <c r="V167" s="162">
        <f t="shared" si="1329"/>
        <v>0.52</v>
      </c>
      <c r="W167" s="75">
        <v>1.1100000000000001</v>
      </c>
      <c r="X167" s="937">
        <f t="shared" si="1332"/>
        <v>1313</v>
      </c>
      <c r="Y167" s="31"/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3.3942590890975614E-2</v>
      </c>
      <c r="C168" s="651">
        <v>2.7781010333402238</v>
      </c>
      <c r="D168" s="652">
        <v>-0.13790041590765442</v>
      </c>
      <c r="E168" s="653">
        <v>-0.93670848281053865</v>
      </c>
      <c r="F168" s="651">
        <v>0.1320432400784157</v>
      </c>
      <c r="G168" s="654">
        <v>0.32425576476043222</v>
      </c>
      <c r="H168" s="653">
        <v>0.26600000000000001</v>
      </c>
      <c r="I168" s="942">
        <v>0.52</v>
      </c>
      <c r="J168" s="946">
        <v>1.1160000000000001</v>
      </c>
      <c r="K168" s="931">
        <f>IF($J168="","",IF(IFERROR(INDEX(Settings!$AK$14:$AK$60,MATCH((((ROUND($H168,6)*2)*1000000)+ROUND($I168,6)),Settings!$AI$14:$AI$60,0)),"Undefined")="Undefined","Undefined",IFERROR(INDEX(_xlfn.ANCHORARRAY(Settings!$BC$14),MATCH(IFERROR(INDEX(Settings!$AK$14:$AK$60,MATCH((((ROUND($H168,6)*2)*1000000)+ROUND($I168,6)),Settings!$AI$14:$AI$60,0)),"Undefined"),_xlfn.ANCHORARRAY(Settings!$BC$14),0)),"Inactive")))</f>
        <v>1313</v>
      </c>
      <c r="L168" s="683"/>
      <c r="M168" s="934"/>
      <c r="N168" s="31" t="str">
        <f t="shared" si="1330"/>
        <v>Y</v>
      </c>
      <c r="O168" s="162">
        <f t="shared" si="1324"/>
        <v>3.3942590890975614E-2</v>
      </c>
      <c r="P168" s="162">
        <f t="shared" si="1325"/>
        <v>2.7781010333402238</v>
      </c>
      <c r="Q168" s="162">
        <f t="shared" si="1326"/>
        <v>-0.13790041590765442</v>
      </c>
      <c r="R168" s="162">
        <f t="shared" si="1331"/>
        <v>-0.93670848281053865</v>
      </c>
      <c r="S168" s="162">
        <f t="shared" si="1327"/>
        <v>0.1320432400784157</v>
      </c>
      <c r="T168" s="162">
        <f t="shared" si="1328"/>
        <v>0.32425576476043222</v>
      </c>
      <c r="U168" s="162">
        <f>IFERROR(IF(ISNUMBER(MATCH($X168,Settings!$AK$52:$AK$60,0)),INDEX(Settings!$AO$14:$AO$60,MATCH($X168,Settings!$AK$14:$AK$60,0))/2,INDEX(Settings!$AM$14:$AM$60,MATCH($X168,Settings!$AK$14:$AK$60,0))/2),"")</f>
        <v>0.26450000000000001</v>
      </c>
      <c r="V168" s="162">
        <f t="shared" si="1329"/>
        <v>0.52</v>
      </c>
      <c r="W168" s="75">
        <v>1.1160000000000001</v>
      </c>
      <c r="X168" s="937">
        <f t="shared" si="1332"/>
        <v>1313</v>
      </c>
      <c r="Y168" s="31"/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9.2484865406622971E-2</v>
      </c>
      <c r="C169" s="651">
        <v>3.3959511193631271</v>
      </c>
      <c r="D169" s="652">
        <v>-0.43890132372639273</v>
      </c>
      <c r="E169" s="653">
        <v>-0.90977180558200366</v>
      </c>
      <c r="F169" s="651">
        <v>0.28521473355675742</v>
      </c>
      <c r="G169" s="654">
        <v>0.30160871593872884</v>
      </c>
      <c r="H169" s="653">
        <v>0.26600000000000001</v>
      </c>
      <c r="I169" s="942">
        <v>0.52</v>
      </c>
      <c r="J169" s="946">
        <v>1.1220000000000001</v>
      </c>
      <c r="K169" s="931">
        <f>IF($J169="","",IF(IFERROR(INDEX(Settings!$AK$14:$AK$60,MATCH((((ROUND($H169,6)*2)*1000000)+ROUND($I169,6)),Settings!$AI$14:$AI$60,0)),"Undefined")="Undefined","Undefined",IFERROR(INDEX(_xlfn.ANCHORARRAY(Settings!$BC$14),MATCH(IFERROR(INDEX(Settings!$AK$14:$AK$60,MATCH((((ROUND($H169,6)*2)*1000000)+ROUND($I169,6)),Settings!$AI$14:$AI$60,0)),"Undefined"),_xlfn.ANCHORARRAY(Settings!$BC$14),0)),"Inactive")))</f>
        <v>1313</v>
      </c>
      <c r="L169" s="683"/>
      <c r="M169" s="934"/>
      <c r="N169" s="31" t="str">
        <f t="shared" si="1330"/>
        <v>Y</v>
      </c>
      <c r="O169" s="162">
        <f t="shared" si="1324"/>
        <v>9.2484865406622971E-2</v>
      </c>
      <c r="P169" s="162">
        <f t="shared" si="1325"/>
        <v>3.3959511193631271</v>
      </c>
      <c r="Q169" s="162">
        <f t="shared" si="1326"/>
        <v>-0.43890132372639273</v>
      </c>
      <c r="R169" s="162">
        <f t="shared" si="1331"/>
        <v>-0.90977180558200366</v>
      </c>
      <c r="S169" s="162">
        <f t="shared" si="1327"/>
        <v>0.28521473355675742</v>
      </c>
      <c r="T169" s="162">
        <f t="shared" si="1328"/>
        <v>0.30160871593872884</v>
      </c>
      <c r="U169" s="162">
        <f>IFERROR(IF(ISNUMBER(MATCH($X169,Settings!$AK$52:$AK$60,0)),INDEX(Settings!$AO$14:$AO$60,MATCH($X169,Settings!$AK$14:$AK$60,0))/2,INDEX(Settings!$AM$14:$AM$60,MATCH($X169,Settings!$AK$14:$AK$60,0))/2),"")</f>
        <v>0.26450000000000001</v>
      </c>
      <c r="V169" s="162">
        <f t="shared" si="1329"/>
        <v>0.52</v>
      </c>
      <c r="W169" s="75">
        <v>1.1220000000000001</v>
      </c>
      <c r="X169" s="937">
        <f t="shared" si="1332"/>
        <v>1313</v>
      </c>
      <c r="Y169" s="31"/>
      <c r="AK169" s="82" t="str">
        <f t="shared" si="1333"/>
        <v>Y</v>
      </c>
      <c r="AL169" s="419" t="s">
        <v>400</v>
      </c>
    </row>
    <row r="170" spans="2:38" x14ac:dyDescent="0.25">
      <c r="B170" s="650">
        <v>0.14778624866124448</v>
      </c>
      <c r="C170" s="651">
        <v>3.8295610164664127</v>
      </c>
      <c r="D170" s="652">
        <v>-0.97210293186244201</v>
      </c>
      <c r="E170" s="653">
        <v>-0.87735608559071832</v>
      </c>
      <c r="F170" s="651">
        <v>0.4281656582630099</v>
      </c>
      <c r="G170" s="654">
        <v>0.21661132971554331</v>
      </c>
      <c r="H170" s="653">
        <v>0.26600000000000001</v>
      </c>
      <c r="I170" s="942">
        <v>0.52</v>
      </c>
      <c r="J170" s="946">
        <v>1.1279999999999999</v>
      </c>
      <c r="K170" s="931">
        <f>IF($J170="","",IF(IFERROR(INDEX(Settings!$AK$14:$AK$60,MATCH((((ROUND($H170,6)*2)*1000000)+ROUND($I170,6)),Settings!$AI$14:$AI$60,0)),"Undefined")="Undefined","Undefined",IFERROR(INDEX(_xlfn.ANCHORARRAY(Settings!$BC$14),MATCH(IFERROR(INDEX(Settings!$AK$14:$AK$60,MATCH((((ROUND($H170,6)*2)*1000000)+ROUND($I170,6)),Settings!$AI$14:$AI$60,0)),"Undefined"),_xlfn.ANCHORARRAY(Settings!$BC$14),0)),"Inactive")))</f>
        <v>1313</v>
      </c>
      <c r="L170" s="683"/>
      <c r="M170" s="934"/>
      <c r="N170" s="31" t="str">
        <f t="shared" si="1330"/>
        <v>Y</v>
      </c>
      <c r="O170" s="162">
        <f t="shared" si="1324"/>
        <v>0.14778624866124448</v>
      </c>
      <c r="P170" s="162">
        <f t="shared" si="1325"/>
        <v>3.8295610164664127</v>
      </c>
      <c r="Q170" s="162">
        <f t="shared" si="1326"/>
        <v>-0.97210293186244201</v>
      </c>
      <c r="R170" s="162">
        <f t="shared" si="1331"/>
        <v>-0.87735608559071832</v>
      </c>
      <c r="S170" s="162">
        <f t="shared" si="1327"/>
        <v>0.4281656582630099</v>
      </c>
      <c r="T170" s="162">
        <f t="shared" si="1328"/>
        <v>0.21661132971554331</v>
      </c>
      <c r="U170" s="162">
        <f>IFERROR(IF(ISNUMBER(MATCH($X170,Settings!$AK$52:$AK$60,0)),INDEX(Settings!$AO$14:$AO$60,MATCH($X170,Settings!$AK$14:$AK$60,0))/2,INDEX(Settings!$AM$14:$AM$60,MATCH($X170,Settings!$AK$14:$AK$60,0))/2),"")</f>
        <v>0.26450000000000001</v>
      </c>
      <c r="V170" s="162">
        <f t="shared" si="1329"/>
        <v>0.52</v>
      </c>
      <c r="W170" s="75">
        <v>1.1279999999999999</v>
      </c>
      <c r="X170" s="937">
        <f t="shared" si="1332"/>
        <v>1313</v>
      </c>
      <c r="Y170" s="31"/>
      <c r="AK170" s="82" t="str">
        <f t="shared" si="1333"/>
        <v>Y</v>
      </c>
      <c r="AL170" s="419" t="s">
        <v>400</v>
      </c>
    </row>
    <row r="171" spans="2:38" x14ac:dyDescent="0.25">
      <c r="B171" s="650">
        <v>0.16834358522751358</v>
      </c>
      <c r="C171" s="651">
        <v>3.9998710821588048</v>
      </c>
      <c r="D171" s="652">
        <v>-1.6387049423341062</v>
      </c>
      <c r="E171" s="653">
        <v>-0.8448336888316279</v>
      </c>
      <c r="F171" s="651">
        <v>0.53003194157069755</v>
      </c>
      <c r="G171" s="654">
        <v>7.2953266753045032E-2</v>
      </c>
      <c r="H171" s="653">
        <v>0.26600000000000001</v>
      </c>
      <c r="I171" s="942">
        <v>0.52</v>
      </c>
      <c r="J171" s="946">
        <v>1.1339999999999999</v>
      </c>
      <c r="K171" s="931">
        <f>IF($J171="","",IF(IFERROR(INDEX(Settings!$AK$14:$AK$60,MATCH((((ROUND($H171,6)*2)*1000000)+ROUND($I171,6)),Settings!$AI$14:$AI$60,0)),"Undefined")="Undefined","Undefined",IFERROR(INDEX(_xlfn.ANCHORARRAY(Settings!$BC$14),MATCH(IFERROR(INDEX(Settings!$AK$14:$AK$60,MATCH((((ROUND($H171,6)*2)*1000000)+ROUND($I171,6)),Settings!$AI$14:$AI$60,0)),"Undefined"),_xlfn.ANCHORARRAY(Settings!$BC$14),0)),"Inactive")))</f>
        <v>1313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0.16834358522751358</v>
      </c>
      <c r="P171" s="162">
        <f t="shared" si="1325"/>
        <v>3.9998710821588048</v>
      </c>
      <c r="Q171" s="162">
        <f t="shared" si="1326"/>
        <v>-1.6387049423341062</v>
      </c>
      <c r="R171" s="162">
        <f>IFERROR(IF($L171="Y",-1*INDEX(E$164:E$305,MATCH($W171,$J$164:$J$305,0)),INDEX(E$164:E$305,MATCH($W171,$J$164:$J$305,0))),"")</f>
        <v>-0.8448336888316279</v>
      </c>
      <c r="S171" s="162">
        <f t="shared" si="1327"/>
        <v>0.53003194157069755</v>
      </c>
      <c r="T171" s="162">
        <f t="shared" si="1328"/>
        <v>7.2953266753045032E-2</v>
      </c>
      <c r="U171" s="162">
        <f>IFERROR(IF(ISNUMBER(MATCH($X171,Settings!$AK$52:$AK$60,0)),INDEX(Settings!$AO$14:$AO$60,MATCH($X171,Settings!$AK$14:$AK$60,0))/2,INDEX(Settings!$AM$14:$AM$60,MATCH($X171,Settings!$AK$14:$AK$60,0))/2),"")</f>
        <v>0.26450000000000001</v>
      </c>
      <c r="V171" s="162">
        <f t="shared" si="1329"/>
        <v>0.52</v>
      </c>
      <c r="W171" s="75">
        <v>1.1339999999999999</v>
      </c>
      <c r="X171" s="937">
        <f t="shared" si="1332"/>
        <v>1313</v>
      </c>
      <c r="Y171" s="31"/>
      <c r="AK171" s="82" t="str">
        <f t="shared" si="1333"/>
        <v>Y</v>
      </c>
      <c r="AL171" s="419" t="s">
        <v>400</v>
      </c>
    </row>
    <row r="172" spans="2:38" x14ac:dyDescent="0.25">
      <c r="B172" s="650">
        <v>0.17158042328866707</v>
      </c>
      <c r="C172" s="651">
        <v>4.0431853738133761</v>
      </c>
      <c r="D172" s="652">
        <v>-2.4088072649627108</v>
      </c>
      <c r="E172" s="653">
        <v>-0.83941727580075176</v>
      </c>
      <c r="F172" s="651">
        <v>0.54168432056223648</v>
      </c>
      <c r="G172" s="654">
        <v>4.4234985523600272E-2</v>
      </c>
      <c r="H172" s="653">
        <v>0.26600000000000001</v>
      </c>
      <c r="I172" s="942">
        <v>0.52</v>
      </c>
      <c r="J172" s="946">
        <v>1.1399999999999999</v>
      </c>
      <c r="K172" s="931">
        <f>IF($J172="","",IF(IFERROR(INDEX(Settings!$AK$14:$AK$60,MATCH((((ROUND($H172,6)*2)*1000000)+ROUND($I172,6)),Settings!$AI$14:$AI$60,0)),"Undefined")="Undefined","Undefined",IFERROR(INDEX(_xlfn.ANCHORARRAY(Settings!$BC$14),MATCH(IFERROR(INDEX(Settings!$AK$14:$AK$60,MATCH((((ROUND($H172,6)*2)*1000000)+ROUND($I172,6)),Settings!$AI$14:$AI$60,0)),"Undefined"),_xlfn.ANCHORARRAY(Settings!$BC$14),0)),"Inactive")))</f>
        <v>1313</v>
      </c>
      <c r="L172" s="683"/>
      <c r="M172" s="934"/>
      <c r="N172" s="31" t="str">
        <f t="shared" si="1330"/>
        <v>Y</v>
      </c>
      <c r="O172" s="162">
        <f t="shared" si="1324"/>
        <v>0.17158042328866707</v>
      </c>
      <c r="P172" s="162">
        <f t="shared" si="1325"/>
        <v>4.0431853738133761</v>
      </c>
      <c r="Q172" s="162">
        <f t="shared" si="1326"/>
        <v>-2.4088072649627108</v>
      </c>
      <c r="R172" s="162">
        <f t="shared" si="1331"/>
        <v>-0.83941727580075176</v>
      </c>
      <c r="S172" s="162">
        <f t="shared" si="1327"/>
        <v>0.54168432056223648</v>
      </c>
      <c r="T172" s="162">
        <f t="shared" si="1328"/>
        <v>4.4234985523600272E-2</v>
      </c>
      <c r="U172" s="162">
        <f>IFERROR(IF(ISNUMBER(MATCH($X172,Settings!$AK$52:$AK$60,0)),INDEX(Settings!$AO$14:$AO$60,MATCH($X172,Settings!$AK$14:$AK$60,0))/2,INDEX(Settings!$AM$14:$AM$60,MATCH($X172,Settings!$AK$14:$AK$60,0))/2),"")</f>
        <v>0.26450000000000001</v>
      </c>
      <c r="V172" s="162">
        <f t="shared" si="1329"/>
        <v>0.52</v>
      </c>
      <c r="W172" s="75">
        <v>1.1399999999999999</v>
      </c>
      <c r="X172" s="937">
        <f t="shared" si="1332"/>
        <v>1313</v>
      </c>
      <c r="Y172" s="31"/>
      <c r="AK172" s="82" t="str">
        <f t="shared" si="1333"/>
        <v>Y</v>
      </c>
      <c r="AL172" s="419" t="s">
        <v>400</v>
      </c>
    </row>
    <row r="173" spans="2:38" x14ac:dyDescent="0.25">
      <c r="B173" s="650">
        <v>0.89485162225325521</v>
      </c>
      <c r="C173" s="651">
        <v>0.60863956971433564</v>
      </c>
      <c r="D173" s="652">
        <v>-0.32502993373338718</v>
      </c>
      <c r="E173" s="653">
        <v>-9.4883492778723478E-18</v>
      </c>
      <c r="F173" s="651">
        <v>-6.453566913408528E-18</v>
      </c>
      <c r="G173" s="654">
        <v>1</v>
      </c>
      <c r="H173" s="653">
        <v>0.19500000000000001</v>
      </c>
      <c r="I173" s="942">
        <v>0.21199999999999999</v>
      </c>
      <c r="J173" s="946">
        <v>1.2050000000000001</v>
      </c>
      <c r="K173" s="931" t="str">
        <f>IF($J173="","",IF(IFERROR(INDEX(Settings!$AK$14:$AK$60,MATCH((((ROUND($H173,6)*2)*1000000)+ROUND($I173,6)),Settings!$AI$14:$AI$60,0)),"Undefined")="Undefined","Undefined",IFERROR(INDEX(_xlfn.ANCHORARRAY(Settings!$BC$14),MATCH(IFERROR(INDEX(Settings!$AK$14:$AK$60,MATCH((((ROUND($H173,6)*2)*1000000)+ROUND($I173,6)),Settings!$AI$14:$AI$60,0)),"Undefined"),_xlfn.ANCHORARRAY(Settings!$BC$14),0)),"Inactive")))</f>
        <v>CPS-31783r1</v>
      </c>
      <c r="L173" s="683"/>
      <c r="M173" s="934" t="s">
        <v>9</v>
      </c>
      <c r="N173" s="31" t="str">
        <f t="shared" si="1330"/>
        <v>N</v>
      </c>
      <c r="O173" s="162">
        <f t="shared" si="1324"/>
        <v>2.320878892338524</v>
      </c>
      <c r="P173" s="162">
        <f t="shared" si="1325"/>
        <v>1.3098812953518033</v>
      </c>
      <c r="Q173" s="162">
        <f t="shared" si="1326"/>
        <v>-0.11490034653944506</v>
      </c>
      <c r="R173" s="162">
        <f t="shared" si="1331"/>
        <v>-0.37691278958117597</v>
      </c>
      <c r="S173" s="162">
        <f t="shared" si="1327"/>
        <v>0.8683415611848575</v>
      </c>
      <c r="T173" s="162">
        <f t="shared" si="1328"/>
        <v>0.32236575836955866</v>
      </c>
      <c r="U173" s="162">
        <f>IFERROR(IF(ISNUMBER(MATCH($X173,Settings!$AK$52:$AK$60,0)),INDEX(Settings!$AO$14:$AO$60,MATCH($X173,Settings!$AK$14:$AK$60,0))/2,INDEX(Settings!$AM$14:$AM$60,MATCH($X173,Settings!$AK$14:$AK$60,0))/2),"")</f>
        <v>0.26450000000000001</v>
      </c>
      <c r="V173" s="162">
        <f t="shared" si="1329"/>
        <v>0.52</v>
      </c>
      <c r="W173" s="75">
        <v>2.1150000000000002</v>
      </c>
      <c r="X173" s="937">
        <f t="shared" si="1332"/>
        <v>1313</v>
      </c>
      <c r="Y173" s="31"/>
      <c r="AK173" s="82" t="str">
        <f t="shared" si="1333"/>
        <v/>
      </c>
      <c r="AL173" s="419" t="s">
        <v>400</v>
      </c>
    </row>
    <row r="174" spans="2:38" x14ac:dyDescent="0.25">
      <c r="B174" s="650">
        <v>0.92553725535837716</v>
      </c>
      <c r="C174" s="651">
        <v>1.4093413400453632</v>
      </c>
      <c r="D174" s="652">
        <v>-0.24625900288413191</v>
      </c>
      <c r="E174" s="653">
        <v>-4.2292143304643302E-18</v>
      </c>
      <c r="F174" s="651">
        <v>-6.4399423765256491E-18</v>
      </c>
      <c r="G174" s="654">
        <v>1</v>
      </c>
      <c r="H174" s="653">
        <v>0.25700000000000001</v>
      </c>
      <c r="I174" s="942">
        <v>0.41499999999999992</v>
      </c>
      <c r="J174" s="946">
        <v>1.208</v>
      </c>
      <c r="K174" s="931" t="str">
        <f>IF($J174="","",IF(IFERROR(INDEX(Settings!$AK$14:$AK$60,MATCH((((ROUND($H174,6)*2)*1000000)+ROUND($I174,6)),Settings!$AI$14:$AI$60,0)),"Undefined")="Undefined","Undefined",IFERROR(INDEX(_xlfn.ANCHORARRAY(Settings!$BC$14),MATCH(IFERROR(INDEX(Settings!$AK$14:$AK$60,MATCH((((ROUND($H174,6)*2)*1000000)+ROUND($I174,6)),Settings!$AI$14:$AI$60,0)),"Undefined"),_xlfn.ANCHORARRAY(Settings!$BC$14),0)),"Inactive")))</f>
        <v>CPS-32193r1</v>
      </c>
      <c r="L174" s="683"/>
      <c r="M174" s="934" t="s">
        <v>9</v>
      </c>
      <c r="N174" s="31" t="str">
        <f t="shared" si="1330"/>
        <v>N</v>
      </c>
      <c r="O174" s="162">
        <f>IFERROR(INDEX(B$164:B$305,MATCH($W174,$J$164:$J$305,0)),"")</f>
        <v>2.9014175958024184</v>
      </c>
      <c r="P174" s="162">
        <f t="shared" si="1325"/>
        <v>1.5805877966400108</v>
      </c>
      <c r="Q174" s="162">
        <f t="shared" si="1326"/>
        <v>-0.37050111743137043</v>
      </c>
      <c r="R174" s="162">
        <f t="shared" si="1331"/>
        <v>-0.23266203607140878</v>
      </c>
      <c r="S174" s="162">
        <f t="shared" si="1327"/>
        <v>0.92195096447197011</v>
      </c>
      <c r="T174" s="162">
        <f t="shared" si="1328"/>
        <v>0.30963655481921176</v>
      </c>
      <c r="U174" s="162">
        <f>IFERROR(IF(ISNUMBER(MATCH($X174,Settings!$AK$52:$AK$60,0)),INDEX(Settings!$AO$14:$AO$60,MATCH($X174,Settings!$AK$14:$AK$60,0))/2,INDEX(Settings!$AM$14:$AM$60,MATCH($X174,Settings!$AK$14:$AK$60,0))/2),"")</f>
        <v>0.26450000000000001</v>
      </c>
      <c r="V174" s="162">
        <f t="shared" si="1329"/>
        <v>0.52</v>
      </c>
      <c r="W174" s="75">
        <v>2.121</v>
      </c>
      <c r="X174" s="937">
        <f t="shared" si="1332"/>
        <v>1313</v>
      </c>
      <c r="Y174" s="31"/>
      <c r="AK174" s="82" t="str">
        <f t="shared" si="1333"/>
        <v/>
      </c>
      <c r="AL174" s="419" t="s">
        <v>400</v>
      </c>
    </row>
    <row r="175" spans="2:38" x14ac:dyDescent="0.25">
      <c r="B175" s="650">
        <v>0.98231329608022355</v>
      </c>
      <c r="C175" s="651">
        <v>3.2464094498837306</v>
      </c>
      <c r="D175" s="652">
        <v>-0.44944527365236259</v>
      </c>
      <c r="E175" s="653">
        <v>-0.7510726901789998</v>
      </c>
      <c r="F175" s="651">
        <v>0.55279940080973367</v>
      </c>
      <c r="G175" s="654">
        <v>0.36097456493730934</v>
      </c>
      <c r="H175" s="653">
        <v>0.26600000000000001</v>
      </c>
      <c r="I175" s="942">
        <v>0.52</v>
      </c>
      <c r="J175" s="946">
        <v>1.222</v>
      </c>
      <c r="K175" s="931">
        <f>IF($J175="","",IF(IFERROR(INDEX(Settings!$AK$14:$AK$60,MATCH((((ROUND($H175,6)*2)*1000000)+ROUND($I175,6)),Settings!$AI$14:$AI$60,0)),"Undefined")="Undefined","Undefined",IFERROR(INDEX(_xlfn.ANCHORARRAY(Settings!$BC$14),MATCH(IFERROR(INDEX(Settings!$AK$14:$AK$60,MATCH((((ROUND($H175,6)*2)*1000000)+ROUND($I175,6)),Settings!$AI$14:$AI$60,0)),"Undefined"),_xlfn.ANCHORARRAY(Settings!$BC$14),0)),"Inactive")))</f>
        <v>1313</v>
      </c>
      <c r="L175" s="683"/>
      <c r="M175" s="934" t="s">
        <v>9</v>
      </c>
      <c r="N175" s="31" t="str">
        <f t="shared" si="1330"/>
        <v>N</v>
      </c>
      <c r="O175" s="162">
        <f>IFERROR(INDEX(B$164:B$305,MATCH($W175,$J$164:$J$305,0)),"")</f>
        <v>3.3385655105526095</v>
      </c>
      <c r="P175" s="162">
        <f t="shared" si="1325"/>
        <v>1.765438734363165</v>
      </c>
      <c r="Q175" s="162">
        <f t="shared" si="1326"/>
        <v>-0.8709026266423221</v>
      </c>
      <c r="R175" s="162">
        <f t="shared" si="1331"/>
        <v>-8.9478724306049334E-2</v>
      </c>
      <c r="S175" s="162">
        <f t="shared" si="1327"/>
        <v>0.96784349367843892</v>
      </c>
      <c r="T175" s="162">
        <f t="shared" si="1328"/>
        <v>0.23510110514601104</v>
      </c>
      <c r="U175" s="162">
        <f>IFERROR(IF(ISNUMBER(MATCH($X175,Settings!$AK$52:$AK$60,0)),INDEX(Settings!$AO$14:$AO$60,MATCH($X175,Settings!$AK$14:$AK$60,0))/2,INDEX(Settings!$AM$14:$AM$60,MATCH($X175,Settings!$AK$14:$AK$60,0))/2),"")</f>
        <v>0.26450000000000001</v>
      </c>
      <c r="V175" s="162">
        <f t="shared" si="1329"/>
        <v>0.52</v>
      </c>
      <c r="W175" s="75">
        <v>2.1269999999999998</v>
      </c>
      <c r="X175" s="937">
        <f t="shared" si="1332"/>
        <v>1313</v>
      </c>
      <c r="Y175" s="31"/>
      <c r="AK175" s="82" t="str">
        <f t="shared" si="1333"/>
        <v/>
      </c>
      <c r="AL175" s="419" t="s">
        <v>9</v>
      </c>
    </row>
    <row r="176" spans="2:38" x14ac:dyDescent="0.25">
      <c r="B176" s="650">
        <v>1.067205589614014</v>
      </c>
      <c r="C176" s="651">
        <v>3.6742403902280212</v>
      </c>
      <c r="D176" s="652">
        <v>-0.97946292744268082</v>
      </c>
      <c r="E176" s="653">
        <v>-0.68835591686099373</v>
      </c>
      <c r="F176" s="651">
        <v>0.67971302956354185</v>
      </c>
      <c r="G176" s="654">
        <v>0.25329099700544544</v>
      </c>
      <c r="H176" s="653">
        <v>0.26600000000000001</v>
      </c>
      <c r="I176" s="942">
        <v>0.52</v>
      </c>
      <c r="J176" s="946">
        <v>1.228</v>
      </c>
      <c r="K176" s="931">
        <f>IF($J176="","",IF(IFERROR(INDEX(Settings!$AK$14:$AK$60,MATCH((((ROUND($H176,6)*2)*1000000)+ROUND($I176,6)),Settings!$AI$14:$AI$60,0)),"Undefined")="Undefined","Undefined",IFERROR(INDEX(_xlfn.ANCHORARRAY(Settings!$BC$14),MATCH(IFERROR(INDEX(Settings!$AK$14:$AK$60,MATCH((((ROUND($H176,6)*2)*1000000)+ROUND($I176,6)),Settings!$AI$14:$AI$60,0)),"Undefined"),_xlfn.ANCHORARRAY(Settings!$BC$14),0)),"Inactive")))</f>
        <v>1313</v>
      </c>
      <c r="L176" s="683"/>
      <c r="M176" s="934" t="s">
        <v>9</v>
      </c>
      <c r="N176" s="31" t="str">
        <f t="shared" si="1330"/>
        <v>N</v>
      </c>
      <c r="O176" s="162">
        <f t="shared" si="1324"/>
        <v>3.5406612268706388</v>
      </c>
      <c r="P176" s="162">
        <f t="shared" si="1325"/>
        <v>1.8510095765015764</v>
      </c>
      <c r="Q176" s="162">
        <f t="shared" si="1326"/>
        <v>-1.5235045948898582</v>
      </c>
      <c r="R176" s="162">
        <f t="shared" si="1331"/>
        <v>2.2561066299856155E-2</v>
      </c>
      <c r="S176" s="162">
        <f t="shared" si="1327"/>
        <v>0.99468626550416772</v>
      </c>
      <c r="T176" s="162">
        <f t="shared" si="1328"/>
        <v>0.10045014437414143</v>
      </c>
      <c r="U176" s="162">
        <f>IFERROR(IF(ISNUMBER(MATCH($X176,Settings!$AK$52:$AK$60,0)),INDEX(Settings!$AO$14:$AO$60,MATCH($X176,Settings!$AK$14:$AK$60,0))/2,INDEX(Settings!$AM$14:$AM$60,MATCH($X176,Settings!$AK$14:$AK$60,0))/2),"")</f>
        <v>0.26450000000000001</v>
      </c>
      <c r="V176" s="162">
        <f t="shared" si="1329"/>
        <v>0.52</v>
      </c>
      <c r="W176" s="75">
        <v>2.133</v>
      </c>
      <c r="X176" s="937">
        <f t="shared" si="1332"/>
        <v>1313</v>
      </c>
      <c r="Y176" s="31"/>
      <c r="AK176" s="82" t="str">
        <f t="shared" si="1333"/>
        <v/>
      </c>
      <c r="AL176" s="419" t="s">
        <v>9</v>
      </c>
    </row>
    <row r="177" spans="2:38" x14ac:dyDescent="0.25">
      <c r="B177" s="650">
        <v>1.4440275086465271</v>
      </c>
      <c r="C177" s="651">
        <v>3.6746294381227362</v>
      </c>
      <c r="D177" s="652">
        <v>-1.6521509377091022</v>
      </c>
      <c r="E177" s="653">
        <v>0.36182159931722013</v>
      </c>
      <c r="F177" s="651">
        <v>0.92073059012974767</v>
      </c>
      <c r="G177" s="654">
        <v>0.14608323198387937</v>
      </c>
      <c r="H177" s="653">
        <v>0.25700000000000001</v>
      </c>
      <c r="I177" s="942">
        <v>0.41499999999999992</v>
      </c>
      <c r="J177" s="946">
        <v>1.234</v>
      </c>
      <c r="K177" s="931" t="str">
        <f>IF($J177="","",IF(IFERROR(INDEX(Settings!$AK$14:$AK$60,MATCH((((ROUND($H177,6)*2)*1000000)+ROUND($I177,6)),Settings!$AI$14:$AI$60,0)),"Undefined")="Undefined","Undefined",IFERROR(INDEX(_xlfn.ANCHORARRAY(Settings!$BC$14),MATCH(IFERROR(INDEX(Settings!$AK$14:$AK$60,MATCH((((ROUND($H177,6)*2)*1000000)+ROUND($I177,6)),Settings!$AI$14:$AI$60,0)),"Undefined"),_xlfn.ANCHORARRAY(Settings!$BC$14),0)),"Inactive")))</f>
        <v>CPS-32193r1</v>
      </c>
      <c r="L177" s="683"/>
      <c r="M177" s="934" t="s">
        <v>9</v>
      </c>
      <c r="N177" s="31" t="str">
        <f t="shared" si="1330"/>
        <v>N</v>
      </c>
      <c r="O177" s="162">
        <f t="shared" si="1324"/>
        <v>3.5872928735312719</v>
      </c>
      <c r="P177" s="162">
        <f t="shared" si="1325"/>
        <v>1.8729969696147615</v>
      </c>
      <c r="Q177" s="162">
        <f t="shared" si="1326"/>
        <v>-2.2936069175184635</v>
      </c>
      <c r="R177" s="162">
        <f t="shared" si="1331"/>
        <v>4.9404498857173906E-2</v>
      </c>
      <c r="S177" s="162">
        <f t="shared" si="1327"/>
        <v>0.99779880815142219</v>
      </c>
      <c r="T177" s="162">
        <f t="shared" si="1328"/>
        <v>4.4234985523600251E-2</v>
      </c>
      <c r="U177" s="162">
        <f>IFERROR(IF(ISNUMBER(MATCH($X177,Settings!$AK$52:$AK$60,0)),INDEX(Settings!$AO$14:$AO$60,MATCH($X177,Settings!$AK$14:$AK$60,0))/2,INDEX(Settings!$AM$14:$AM$60,MATCH($X177,Settings!$AK$14:$AK$60,0))/2),"")</f>
        <v>0.26450000000000001</v>
      </c>
      <c r="V177" s="162">
        <f t="shared" si="1329"/>
        <v>0.52</v>
      </c>
      <c r="W177" s="75">
        <v>2.1389999999999998</v>
      </c>
      <c r="X177" s="937">
        <f t="shared" si="1332"/>
        <v>1313</v>
      </c>
      <c r="Y177" s="31"/>
      <c r="AK177" s="82" t="str">
        <f t="shared" si="1333"/>
        <v/>
      </c>
      <c r="AL177" s="419" t="s">
        <v>9</v>
      </c>
    </row>
    <row r="178" spans="2:38" x14ac:dyDescent="0.25">
      <c r="B178" s="650">
        <v>1.5377494642837777</v>
      </c>
      <c r="C178" s="651">
        <v>3.6815443347186942</v>
      </c>
      <c r="D178" s="652">
        <v>-2.4194191511833707</v>
      </c>
      <c r="E178" s="653">
        <v>0.38395428713488144</v>
      </c>
      <c r="F178" s="651">
        <v>0.91922953863667878</v>
      </c>
      <c r="G178" s="654">
        <v>8.715595612775924E-2</v>
      </c>
      <c r="H178" s="653">
        <v>0.25700000000000001</v>
      </c>
      <c r="I178" s="942">
        <v>0.41499999999999992</v>
      </c>
      <c r="J178" s="946">
        <v>1.24</v>
      </c>
      <c r="K178" s="931" t="str">
        <f>IF($J178="","",IF(IFERROR(INDEX(Settings!$AK$14:$AK$60,MATCH((((ROUND($H178,6)*2)*1000000)+ROUND($I178,6)),Settings!$AI$14:$AI$60,0)),"Undefined")="Undefined","Undefined",IFERROR(INDEX(_xlfn.ANCHORARRAY(Settings!$BC$14),MATCH(IFERROR(INDEX(Settings!$AK$14:$AK$60,MATCH((((ROUND($H178,6)*2)*1000000)+ROUND($I178,6)),Settings!$AI$14:$AI$60,0)),"Undefined"),_xlfn.ANCHORARRAY(Settings!$BC$14),0)),"Inactive")))</f>
        <v>CPS-32193r1</v>
      </c>
      <c r="L178" s="683"/>
      <c r="M178" s="934" t="s">
        <v>9</v>
      </c>
      <c r="N178" s="31" t="str">
        <f t="shared" si="1330"/>
        <v>N</v>
      </c>
      <c r="O178" s="162">
        <f t="shared" si="1324"/>
        <v>0.62381335164797369</v>
      </c>
      <c r="P178" s="162">
        <f t="shared" si="1325"/>
        <v>-0.29088941201118085</v>
      </c>
      <c r="Q178" s="162">
        <f t="shared" si="1326"/>
        <v>-0.38250115362347936</v>
      </c>
      <c r="R178" s="162">
        <f>IFERROR(IF($L178="Y",-1*INDEX(E$164:E$305,MATCH($W178,$J$164:$J$305,0)),INDEX(E$164:E$305,MATCH($W178,$J$164:$J$305,0))),"")</f>
        <v>0.36363460087020927</v>
      </c>
      <c r="S178" s="162">
        <f t="shared" si="1327"/>
        <v>0.87369876335654861</v>
      </c>
      <c r="T178" s="162">
        <f t="shared" si="1328"/>
        <v>0.32314137457032849</v>
      </c>
      <c r="U178" s="162">
        <f>IFERROR(IF(ISNUMBER(MATCH($X178,Settings!$AK$52:$AK$60,0)),INDEX(Settings!$AO$14:$AO$60,MATCH($X178,Settings!$AK$14:$AK$60,0))/2,INDEX(Settings!$AM$14:$AM$60,MATCH($X178,Settings!$AK$14:$AK$60,0))/2),"")</f>
        <v>0.26450000000000001</v>
      </c>
      <c r="V178" s="162">
        <f t="shared" si="1329"/>
        <v>0.52</v>
      </c>
      <c r="W178" s="75">
        <v>3.1030000000000002</v>
      </c>
      <c r="X178" s="937">
        <f t="shared" si="1332"/>
        <v>1313</v>
      </c>
      <c r="Y178" s="31"/>
      <c r="AK178" s="82" t="str">
        <f t="shared" si="1333"/>
        <v/>
      </c>
      <c r="AL178" s="419" t="s">
        <v>9</v>
      </c>
    </row>
    <row r="179" spans="2:38" x14ac:dyDescent="0.25">
      <c r="B179" s="650">
        <v>0.35358314823847087</v>
      </c>
      <c r="C179" s="651">
        <v>4.0414744642304203</v>
      </c>
      <c r="D179" s="652">
        <v>-4.7500143260432077</v>
      </c>
      <c r="E179" s="653">
        <v>-0.71048543325248614</v>
      </c>
      <c r="F179" s="651">
        <v>0.66848944208033567</v>
      </c>
      <c r="G179" s="654">
        <v>-0.21984611655234865</v>
      </c>
      <c r="H179" s="653">
        <v>0.26600000000000001</v>
      </c>
      <c r="I179" s="942">
        <v>0.52</v>
      </c>
      <c r="J179" s="946">
        <v>1.3460000000000001</v>
      </c>
      <c r="K179" s="931">
        <f>IF($J179="","",IF(IFERROR(INDEX(Settings!$AK$14:$AK$60,MATCH((((ROUND($H179,6)*2)*1000000)+ROUND($I179,6)),Settings!$AI$14:$AI$60,0)),"Undefined")="Undefined","Undefined",IFERROR(INDEX(_xlfn.ANCHORARRAY(Settings!$BC$14),MATCH(IFERROR(INDEX(Settings!$AK$14:$AK$60,MATCH((((ROUND($H179,6)*2)*1000000)+ROUND($I179,6)),Settings!$AI$14:$AI$60,0)),"Undefined"),_xlfn.ANCHORARRAY(Settings!$BC$14),0)),"Inactive")))</f>
        <v>1313</v>
      </c>
      <c r="L179" s="683"/>
      <c r="M179" s="934" t="s">
        <v>9</v>
      </c>
      <c r="N179" s="31" t="str">
        <f t="shared" si="1330"/>
        <v>N</v>
      </c>
      <c r="O179" s="162">
        <f>IFERROR(INDEX(B$164:B$305,MATCH($W179,$J$164:$J$305,0)),"")</f>
        <v>1.1608928114570527</v>
      </c>
      <c r="P179" s="162">
        <f t="shared" si="1325"/>
        <v>-0.54133408084428525</v>
      </c>
      <c r="Q179" s="162">
        <f t="shared" si="1326"/>
        <v>-0.23020069428529394</v>
      </c>
      <c r="R179" s="162">
        <f>IFERROR(IF($L179="Y",-1*INDEX(E$164:E$305,MATCH($W179,$J$164:$J$305,0)),INDEX(E$164:E$305,MATCH($W179,$J$164:$J$305,0))),"")</f>
        <v>0.38566842121553396</v>
      </c>
      <c r="S179" s="162">
        <f t="shared" si="1327"/>
        <v>0.87532544091975162</v>
      </c>
      <c r="T179" s="162">
        <f t="shared" si="1328"/>
        <v>0.29165946128277764</v>
      </c>
      <c r="U179" s="162">
        <f>IFERROR(IF(ISNUMBER(MATCH($X179,Settings!$AK$52:$AK$60,0)),INDEX(Settings!$AO$14:$AO$60,MATCH($X179,Settings!$AK$14:$AK$60,0))/2,INDEX(Settings!$AM$14:$AM$60,MATCH($X179,Settings!$AK$14:$AK$60,0))/2),"")</f>
        <v>0.26450000000000001</v>
      </c>
      <c r="V179" s="162">
        <f t="shared" si="1329"/>
        <v>0.52</v>
      </c>
      <c r="W179" s="75">
        <v>3.1059999999999999</v>
      </c>
      <c r="X179" s="937">
        <f t="shared" si="1332"/>
        <v>1313</v>
      </c>
      <c r="Y179" s="31" t="s">
        <v>9</v>
      </c>
      <c r="AK179" s="82" t="str">
        <f t="shared" si="1333"/>
        <v/>
      </c>
      <c r="AL179" s="419" t="s">
        <v>9</v>
      </c>
    </row>
    <row r="180" spans="2:38" x14ac:dyDescent="0.25">
      <c r="B180" s="650">
        <v>1.5905325994372774</v>
      </c>
      <c r="C180" s="651">
        <v>3.839885988753641</v>
      </c>
      <c r="D180" s="652">
        <v>-3.3993102523197183</v>
      </c>
      <c r="E180" s="653">
        <v>0.3826831704511105</v>
      </c>
      <c r="F180" s="651">
        <v>0.92387964099953779</v>
      </c>
      <c r="G180" s="654">
        <v>2.2679489672727337E-7</v>
      </c>
      <c r="H180" s="653">
        <v>0.25700000000000001</v>
      </c>
      <c r="I180" s="942">
        <v>0.41499999999999992</v>
      </c>
      <c r="J180" s="946">
        <v>1.591</v>
      </c>
      <c r="K180" s="931" t="str">
        <f>IF($J180="","",IF(IFERROR(INDEX(Settings!$AK$14:$AK$60,MATCH((((ROUND($H180,6)*2)*1000000)+ROUND($I180,6)),Settings!$AI$14:$AI$60,0)),"Undefined")="Undefined","Undefined",IFERROR(INDEX(_xlfn.ANCHORARRAY(Settings!$BC$14),MATCH(IFERROR(INDEX(Settings!$AK$14:$AK$60,MATCH((((ROUND($H180,6)*2)*1000000)+ROUND($I180,6)),Settings!$AI$14:$AI$60,0)),"Undefined"),_xlfn.ANCHORARRAY(Settings!$BC$14),0)),"Inactive")))</f>
        <v>CPS-32193r1</v>
      </c>
      <c r="L180" s="683"/>
      <c r="M180" s="934" t="s">
        <v>9</v>
      </c>
      <c r="N180" s="31" t="s">
        <v>9</v>
      </c>
      <c r="O180" s="162">
        <f t="shared" si="1324"/>
        <v>1.710569983873871</v>
      </c>
      <c r="P180" s="162">
        <f t="shared" si="1325"/>
        <v>-0.79765316901046435</v>
      </c>
      <c r="Q180" s="162">
        <f t="shared" si="1326"/>
        <v>-0.14780044576614437</v>
      </c>
      <c r="R180" s="162">
        <f t="shared" si="1331"/>
        <v>0.39952787980279664</v>
      </c>
      <c r="S180" s="162">
        <f t="shared" si="1327"/>
        <v>0.86886265882540925</v>
      </c>
      <c r="T180" s="162">
        <f t="shared" si="1328"/>
        <v>0.29232713414789691</v>
      </c>
      <c r="U180" s="162">
        <f>IFERROR(IF(ISNUMBER(MATCH($X180,Settings!$AK$52:$AK$60,0)),INDEX(Settings!$AO$14:$AO$60,MATCH($X180,Settings!$AK$14:$AK$60,0))/2,INDEX(Settings!$AM$14:$AM$60,MATCH($X180,Settings!$AK$14:$AK$60,0))/2),"")</f>
        <v>0.26450000000000001</v>
      </c>
      <c r="V180" s="162">
        <f t="shared" si="1329"/>
        <v>0.52</v>
      </c>
      <c r="W180" s="75">
        <v>3.109</v>
      </c>
      <c r="X180" s="937">
        <f t="shared" si="1332"/>
        <v>1313</v>
      </c>
      <c r="Y180" s="31" t="s">
        <v>9</v>
      </c>
      <c r="AK180" s="82" t="str">
        <f t="shared" si="1333"/>
        <v/>
      </c>
      <c r="AL180" s="419" t="s">
        <v>9</v>
      </c>
    </row>
    <row r="181" spans="2:38" x14ac:dyDescent="0.25">
      <c r="B181" s="650">
        <v>0.93495550932736438</v>
      </c>
      <c r="C181" s="651">
        <v>4.049737837450424</v>
      </c>
      <c r="D181" s="652">
        <v>-3.8351115666964826</v>
      </c>
      <c r="E181" s="653">
        <v>0.22495080144204838</v>
      </c>
      <c r="F181" s="651">
        <v>0.97437012317215932</v>
      </c>
      <c r="G181" s="654">
        <v>2.2679489677346438E-7</v>
      </c>
      <c r="H181" s="653">
        <v>0.25700000000000001</v>
      </c>
      <c r="I181" s="942">
        <v>0.41499999999999992</v>
      </c>
      <c r="J181" s="946">
        <v>1.5920000000000001</v>
      </c>
      <c r="K181" s="931" t="str">
        <f>IF($J181="","",IF(IFERROR(INDEX(Settings!$AK$14:$AK$60,MATCH((((ROUND($H181,6)*2)*1000000)+ROUND($I181,6)),Settings!$AI$14:$AI$60,0)),"Undefined")="Undefined","Undefined",IFERROR(INDEX(_xlfn.ANCHORARRAY(Settings!$BC$14),MATCH(IFERROR(INDEX(Settings!$AK$14:$AK$60,MATCH((((ROUND($H181,6)*2)*1000000)+ROUND($I181,6)),Settings!$AI$14:$AI$60,0)),"Undefined"),_xlfn.ANCHORARRAY(Settings!$BC$14),0)),"Inactive")))</f>
        <v>CPS-32193r1</v>
      </c>
      <c r="L181" s="683"/>
      <c r="M181" s="934" t="s">
        <v>9</v>
      </c>
      <c r="N181" s="31" t="str">
        <f t="shared" si="1330"/>
        <v>N</v>
      </c>
      <c r="O181" s="162">
        <f t="shared" si="1324"/>
        <v>2.3030180112597978</v>
      </c>
      <c r="P181" s="162">
        <f t="shared" si="1325"/>
        <v>-1.0955260664630306</v>
      </c>
      <c r="Q181" s="162">
        <f t="shared" si="1326"/>
        <v>-0.10020030220411177</v>
      </c>
      <c r="R181" s="162">
        <f t="shared" si="1331"/>
        <v>0.47546278269233516</v>
      </c>
      <c r="S181" s="162">
        <f t="shared" si="1327"/>
        <v>0.81986047172618137</v>
      </c>
      <c r="T181" s="162">
        <f t="shared" si="1328"/>
        <v>0.31900462249845984</v>
      </c>
      <c r="U181" s="162">
        <f>IFERROR(IF(ISNUMBER(MATCH($X181,Settings!$AK$52:$AK$60,0)),INDEX(Settings!$AO$14:$AO$60,MATCH($X181,Settings!$AK$14:$AK$60,0))/2,INDEX(Settings!$AM$14:$AM$60,MATCH($X181,Settings!$AK$14:$AK$60,0))/2),"")</f>
        <v>0.26450000000000001</v>
      </c>
      <c r="V181" s="162">
        <f t="shared" si="1329"/>
        <v>0.52</v>
      </c>
      <c r="W181" s="75">
        <v>3.1139999999999999</v>
      </c>
      <c r="X181" s="937">
        <f t="shared" si="1332"/>
        <v>1313</v>
      </c>
      <c r="Y181" s="31" t="s">
        <v>9</v>
      </c>
      <c r="AK181" s="82" t="str">
        <f t="shared" si="1333"/>
        <v/>
      </c>
      <c r="AL181" s="419" t="s">
        <v>9</v>
      </c>
    </row>
    <row r="182" spans="2:38" x14ac:dyDescent="0.25">
      <c r="B182" s="650">
        <v>1.6573055949621534</v>
      </c>
      <c r="C182" s="651">
        <v>3.8115425383178354</v>
      </c>
      <c r="D182" s="652">
        <v>-4.2710128813748485</v>
      </c>
      <c r="E182" s="653">
        <v>0.39874880663359918</v>
      </c>
      <c r="F182" s="651">
        <v>0.91706018843270543</v>
      </c>
      <c r="G182" s="654">
        <v>2.2679489662625628E-7</v>
      </c>
      <c r="H182" s="653">
        <v>0.25700000000000001</v>
      </c>
      <c r="I182" s="942">
        <v>0.41499999999999992</v>
      </c>
      <c r="J182" s="946">
        <v>1.593</v>
      </c>
      <c r="K182" s="931" t="str">
        <f>IF($J182="","",IF(IFERROR(INDEX(Settings!$AK$14:$AK$60,MATCH((((ROUND($H182,6)*2)*1000000)+ROUND($I182,6)),Settings!$AI$14:$AI$60,0)),"Undefined")="Undefined","Undefined",IFERROR(INDEX(_xlfn.ANCHORARRAY(Settings!$BC$14),MATCH(IFERROR(INDEX(Settings!$AK$14:$AK$60,MATCH((((ROUND($H182,6)*2)*1000000)+ROUND($I182,6)),Settings!$AI$14:$AI$60,0)),"Undefined"),_xlfn.ANCHORARRAY(Settings!$BC$14),0)),"Inactive")))</f>
        <v>CPS-32193r1</v>
      </c>
      <c r="L182" s="683"/>
      <c r="M182" s="934" t="s">
        <v>9</v>
      </c>
      <c r="N182" s="31" t="str">
        <f t="shared" si="1330"/>
        <v>N</v>
      </c>
      <c r="O182" s="162">
        <f t="shared" si="1324"/>
        <v>2.8747286264005139</v>
      </c>
      <c r="P182" s="162">
        <f t="shared" si="1325"/>
        <v>-1.4195332113859291</v>
      </c>
      <c r="Q182" s="162">
        <f t="shared" si="1326"/>
        <v>-0.30900093194681089</v>
      </c>
      <c r="R182" s="162">
        <f t="shared" si="1331"/>
        <v>0.60041767410307045</v>
      </c>
      <c r="S182" s="162">
        <f t="shared" si="1327"/>
        <v>0.73463741893975021</v>
      </c>
      <c r="T182" s="162">
        <f t="shared" si="1328"/>
        <v>0.31592163477388069</v>
      </c>
      <c r="U182" s="162">
        <f>IFERROR(IF(ISNUMBER(MATCH($X182,Settings!$AK$52:$AK$60,0)),INDEX(Settings!$AO$14:$AO$60,MATCH($X182,Settings!$AK$14:$AK$60,0))/2,INDEX(Settings!$AM$14:$AM$60,MATCH($X182,Settings!$AK$14:$AK$60,0))/2),"")</f>
        <v>0.26450000000000001</v>
      </c>
      <c r="V182" s="162">
        <f t="shared" si="1329"/>
        <v>0.52</v>
      </c>
      <c r="W182" s="75">
        <v>3.12</v>
      </c>
      <c r="X182" s="937">
        <f t="shared" si="1332"/>
        <v>1313</v>
      </c>
      <c r="Y182" s="31" t="s">
        <v>9</v>
      </c>
      <c r="AK182" s="82" t="str">
        <f t="shared" si="1333"/>
        <v/>
      </c>
      <c r="AL182" s="419" t="s">
        <v>400</v>
      </c>
    </row>
    <row r="183" spans="2:38" x14ac:dyDescent="0.25">
      <c r="B183" s="650">
        <v>2.320878892338524</v>
      </c>
      <c r="C183" s="651">
        <v>1.3098812953518033</v>
      </c>
      <c r="D183" s="652">
        <v>-0.11490034653944506</v>
      </c>
      <c r="E183" s="653">
        <v>-0.37691278958117597</v>
      </c>
      <c r="F183" s="651">
        <v>0.8683415611848575</v>
      </c>
      <c r="G183" s="654">
        <v>0.32236575836955866</v>
      </c>
      <c r="H183" s="653">
        <v>0.26600000000000001</v>
      </c>
      <c r="I183" s="942">
        <v>0.52</v>
      </c>
      <c r="J183" s="946">
        <v>2.1150000000000002</v>
      </c>
      <c r="K183" s="931">
        <f>IF($J183="","",IF(IFERROR(INDEX(Settings!$AK$14:$AK$60,MATCH((((ROUND($H183,6)*2)*1000000)+ROUND($I183,6)),Settings!$AI$14:$AI$60,0)),"Undefined")="Undefined","Undefined",IFERROR(INDEX(_xlfn.ANCHORARRAY(Settings!$BC$14),MATCH(IFERROR(INDEX(Settings!$AK$14:$AK$60,MATCH((((ROUND($H183,6)*2)*1000000)+ROUND($I183,6)),Settings!$AI$14:$AI$60,0)),"Undefined"),_xlfn.ANCHORARRAY(Settings!$BC$14),0)),"Inactive")))</f>
        <v>1313</v>
      </c>
      <c r="L183" s="683"/>
      <c r="M183" s="934"/>
      <c r="N183" s="31" t="str">
        <f t="shared" si="1330"/>
        <v>Y</v>
      </c>
      <c r="O183" s="162">
        <f t="shared" si="1324"/>
        <v>3.307967562556438</v>
      </c>
      <c r="P183" s="162">
        <f t="shared" si="1325"/>
        <v>-1.687678509582589</v>
      </c>
      <c r="Q183" s="162">
        <f t="shared" si="1326"/>
        <v>-0.77400233439104071</v>
      </c>
      <c r="R183" s="162">
        <f t="shared" si="1331"/>
        <v>0.72311625031402949</v>
      </c>
      <c r="S183" s="162">
        <f t="shared" si="1327"/>
        <v>0.64315826612563565</v>
      </c>
      <c r="T183" s="162">
        <f t="shared" si="1328"/>
        <v>0.25189349583910287</v>
      </c>
      <c r="U183" s="162">
        <f>IFERROR(IF(ISNUMBER(MATCH($X183,Settings!$AK$52:$AK$60,0)),INDEX(Settings!$AO$14:$AO$60,MATCH($X183,Settings!$AK$14:$AK$60,0))/2,INDEX(Settings!$AM$14:$AM$60,MATCH($X183,Settings!$AK$14:$AK$60,0))/2),"")</f>
        <v>0.26450000000000001</v>
      </c>
      <c r="V183" s="162">
        <f t="shared" si="1329"/>
        <v>0.52</v>
      </c>
      <c r="W183" s="75">
        <v>3.1259999999999999</v>
      </c>
      <c r="X183" s="937">
        <f t="shared" si="1332"/>
        <v>1313</v>
      </c>
      <c r="Y183" s="31"/>
      <c r="AK183" s="82" t="str">
        <f t="shared" si="1333"/>
        <v>Y</v>
      </c>
      <c r="AL183" s="419" t="s">
        <v>400</v>
      </c>
    </row>
    <row r="184" spans="2:38" x14ac:dyDescent="0.25">
      <c r="B184" s="650">
        <v>2.9014175958024184</v>
      </c>
      <c r="C184" s="651">
        <v>1.5805877966400108</v>
      </c>
      <c r="D184" s="652">
        <v>-0.37050111743137043</v>
      </c>
      <c r="E184" s="653">
        <v>-0.23266203607140878</v>
      </c>
      <c r="F184" s="651">
        <v>0.92195096447197011</v>
      </c>
      <c r="G184" s="654">
        <v>0.30963655481921176</v>
      </c>
      <c r="H184" s="653">
        <v>0.26600000000000001</v>
      </c>
      <c r="I184" s="942">
        <v>0.52</v>
      </c>
      <c r="J184" s="946">
        <v>2.121</v>
      </c>
      <c r="K184" s="931">
        <f>IF($J184="","",IF(IFERROR(INDEX(Settings!$AK$14:$AK$60,MATCH((((ROUND($H184,6)*2)*1000000)+ROUND($I184,6)),Settings!$AI$14:$AI$60,0)),"Undefined")="Undefined","Undefined",IFERROR(INDEX(_xlfn.ANCHORARRAY(Settings!$BC$14),MATCH(IFERROR(INDEX(Settings!$AK$14:$AK$60,MATCH((((ROUND($H184,6)*2)*1000000)+ROUND($I184,6)),Settings!$AI$14:$AI$60,0)),"Undefined"),_xlfn.ANCHORARRAY(Settings!$BC$14),0)),"Inactive")))</f>
        <v>1313</v>
      </c>
      <c r="L184" s="683"/>
      <c r="M184" s="934"/>
      <c r="N184" s="31" t="str">
        <f t="shared" si="1330"/>
        <v>Y</v>
      </c>
      <c r="O184" s="162">
        <f t="shared" si="1324"/>
        <v>3.5327689136257336</v>
      </c>
      <c r="P184" s="162">
        <f t="shared" si="1325"/>
        <v>-1.8304340291404895</v>
      </c>
      <c r="Q184" s="162">
        <f t="shared" si="1326"/>
        <v>-1.4090042495568167</v>
      </c>
      <c r="R184" s="162">
        <f t="shared" si="1331"/>
        <v>0.81666169579427772</v>
      </c>
      <c r="S184" s="162">
        <f t="shared" si="1327"/>
        <v>0.5630525513583915</v>
      </c>
      <c r="T184" s="162">
        <f t="shared" si="1328"/>
        <v>0.12663135090182259</v>
      </c>
      <c r="U184" s="162">
        <f>IFERROR(IF(ISNUMBER(MATCH($X184,Settings!$AK$52:$AK$60,0)),INDEX(Settings!$AO$14:$AO$60,MATCH($X184,Settings!$AK$14:$AK$60,0))/2,INDEX(Settings!$AM$14:$AM$60,MATCH($X184,Settings!$AK$14:$AK$60,0))/2),"")</f>
        <v>0.26450000000000001</v>
      </c>
      <c r="V184" s="162">
        <f t="shared" si="1329"/>
        <v>0.52</v>
      </c>
      <c r="W184" s="75">
        <v>3.1320000000000001</v>
      </c>
      <c r="X184" s="937">
        <f t="shared" si="1332"/>
        <v>1313</v>
      </c>
      <c r="Y184" s="31"/>
      <c r="AK184" s="82" t="str">
        <f t="shared" si="1333"/>
        <v>Y</v>
      </c>
      <c r="AL184" s="419" t="s">
        <v>400</v>
      </c>
    </row>
    <row r="185" spans="2:38" x14ac:dyDescent="0.25">
      <c r="B185" s="650">
        <v>3.3385655105526095</v>
      </c>
      <c r="C185" s="651">
        <v>1.765438734363165</v>
      </c>
      <c r="D185" s="652">
        <v>-0.8709026266423221</v>
      </c>
      <c r="E185" s="653">
        <v>-8.9478724306049334E-2</v>
      </c>
      <c r="F185" s="651">
        <v>0.96784349367843892</v>
      </c>
      <c r="G185" s="654">
        <v>0.23510110514601104</v>
      </c>
      <c r="H185" s="653">
        <v>0.26600000000000001</v>
      </c>
      <c r="I185" s="942">
        <v>0.52</v>
      </c>
      <c r="J185" s="946">
        <v>2.1269999999999998</v>
      </c>
      <c r="K185" s="931">
        <f>IF($J185="","",IF(IFERROR(INDEX(Settings!$AK$14:$AK$60,MATCH((((ROUND($H185,6)*2)*1000000)+ROUND($I185,6)),Settings!$AI$14:$AI$60,0)),"Undefined")="Undefined","Undefined",IFERROR(INDEX(_xlfn.ANCHORARRAY(Settings!$BC$14),MATCH(IFERROR(INDEX(Settings!$AK$14:$AK$60,MATCH((((ROUND($H185,6)*2)*1000000)+ROUND($I185,6)),Settings!$AI$14:$AI$60,0)),"Undefined"),_xlfn.ANCHORARRAY(Settings!$BC$14),0)),"Inactive")))</f>
        <v>1313</v>
      </c>
      <c r="L185" s="683"/>
      <c r="M185" s="934"/>
      <c r="N185" s="31" t="str">
        <f t="shared" si="1330"/>
        <v>Y</v>
      </c>
      <c r="O185" s="162">
        <f t="shared" si="1324"/>
        <v>3.5921815324417627</v>
      </c>
      <c r="P185" s="162">
        <f t="shared" si="1325"/>
        <v>-1.8636039403957785</v>
      </c>
      <c r="Q185" s="162">
        <f t="shared" si="1326"/>
        <v>-2.1784065700742148</v>
      </c>
      <c r="R185" s="162">
        <f t="shared" si="1331"/>
        <v>0.84559327897702019</v>
      </c>
      <c r="S185" s="162">
        <f t="shared" si="1327"/>
        <v>0.53199179749749748</v>
      </c>
      <c r="T185" s="162">
        <f t="shared" si="1328"/>
        <v>4.4234985523600237E-2</v>
      </c>
      <c r="U185" s="162">
        <f>IFERROR(IF(ISNUMBER(MATCH($X185,Settings!$AK$52:$AK$60,0)),INDEX(Settings!$AO$14:$AO$60,MATCH($X185,Settings!$AK$14:$AK$60,0))/2,INDEX(Settings!$AM$14:$AM$60,MATCH($X185,Settings!$AK$14:$AK$60,0))/2),"")</f>
        <v>0.26450000000000001</v>
      </c>
      <c r="V185" s="162">
        <f t="shared" si="1329"/>
        <v>0.52</v>
      </c>
      <c r="W185" s="75">
        <v>3.1379999999999999</v>
      </c>
      <c r="X185" s="937">
        <f t="shared" si="1332"/>
        <v>1313</v>
      </c>
      <c r="Y185" s="31"/>
      <c r="AK185" s="82" t="str">
        <f t="shared" si="1333"/>
        <v>Y</v>
      </c>
      <c r="AL185" s="419" t="s">
        <v>400</v>
      </c>
    </row>
    <row r="186" spans="2:38" x14ac:dyDescent="0.25">
      <c r="B186" s="650">
        <v>3.5406612268706388</v>
      </c>
      <c r="C186" s="651">
        <v>1.8510095765015764</v>
      </c>
      <c r="D186" s="652">
        <v>-1.5235045948898582</v>
      </c>
      <c r="E186" s="653">
        <v>2.2561066299856155E-2</v>
      </c>
      <c r="F186" s="651">
        <v>0.99468626550416772</v>
      </c>
      <c r="G186" s="654">
        <v>0.10045014437414143</v>
      </c>
      <c r="H186" s="653">
        <v>0.26600000000000001</v>
      </c>
      <c r="I186" s="942">
        <v>0.52</v>
      </c>
      <c r="J186" s="946">
        <v>2.133</v>
      </c>
      <c r="K186" s="931">
        <f>IF($J186="","",IF(IFERROR(INDEX(Settings!$AK$14:$AK$60,MATCH((((ROUND($H186,6)*2)*1000000)+ROUND($I186,6)),Settings!$AI$14:$AI$60,0)),"Undefined")="Undefined","Undefined",IFERROR(INDEX(_xlfn.ANCHORARRAY(Settings!$BC$14),MATCH(IFERROR(INDEX(Settings!$AK$14:$AK$60,MATCH((((ROUND($H186,6)*2)*1000000)+ROUND($I186,6)),Settings!$AI$14:$AI$60,0)),"Undefined"),_xlfn.ANCHORARRAY(Settings!$BC$14),0)),"Inactive")))</f>
        <v>1313</v>
      </c>
      <c r="L186" s="683"/>
      <c r="M186" s="934"/>
      <c r="N186" s="31" t="str">
        <f t="shared" si="1330"/>
        <v>Y</v>
      </c>
      <c r="O186" s="162">
        <f t="shared" si="1324"/>
        <v>2.8897461896091495E-2</v>
      </c>
      <c r="P186" s="162">
        <f t="shared" si="1325"/>
        <v>-2.4348358675571888</v>
      </c>
      <c r="Q186" s="162">
        <f t="shared" si="1326"/>
        <v>-9.3800282901653292E-2</v>
      </c>
      <c r="R186" s="162">
        <f t="shared" si="1331"/>
        <v>0.94826129945451565</v>
      </c>
      <c r="S186" s="162">
        <f t="shared" si="1327"/>
        <v>-4.529108636518156E-2</v>
      </c>
      <c r="T186" s="162">
        <f t="shared" si="1328"/>
        <v>0.31424389485349624</v>
      </c>
      <c r="U186" s="162">
        <f>IFERROR(IF(ISNUMBER(MATCH($X186,Settings!$AK$52:$AK$60,0)),INDEX(Settings!$AO$14:$AO$60,MATCH($X186,Settings!$AK$14:$AK$60,0))/2,INDEX(Settings!$AM$14:$AM$60,MATCH($X186,Settings!$AK$14:$AK$60,0))/2),"")</f>
        <v>0.26450000000000001</v>
      </c>
      <c r="V186" s="162">
        <f t="shared" si="1329"/>
        <v>0.52</v>
      </c>
      <c r="W186" s="75">
        <v>4.1130000000000004</v>
      </c>
      <c r="X186" s="937">
        <f t="shared" si="1332"/>
        <v>1313</v>
      </c>
      <c r="Y186" s="31"/>
      <c r="AK186" s="82" t="str">
        <f t="shared" si="1333"/>
        <v>Y</v>
      </c>
      <c r="AL186" s="419" t="s">
        <v>400</v>
      </c>
    </row>
    <row r="187" spans="2:38" x14ac:dyDescent="0.25">
      <c r="B187" s="650">
        <v>3.5872928735312719</v>
      </c>
      <c r="C187" s="651">
        <v>1.8729969696147615</v>
      </c>
      <c r="D187" s="652">
        <v>-2.2936069175184635</v>
      </c>
      <c r="E187" s="653">
        <v>4.9404498857173906E-2</v>
      </c>
      <c r="F187" s="651">
        <v>0.99779880815142219</v>
      </c>
      <c r="G187" s="654">
        <v>4.4234985523600251E-2</v>
      </c>
      <c r="H187" s="653">
        <v>0.26600000000000001</v>
      </c>
      <c r="I187" s="942">
        <v>0.52</v>
      </c>
      <c r="J187" s="946">
        <v>2.1389999999999998</v>
      </c>
      <c r="K187" s="931">
        <f>IF($J187="","",IF(IFERROR(INDEX(Settings!$AK$14:$AK$60,MATCH((((ROUND($H187,6)*2)*1000000)+ROUND($I187,6)),Settings!$AI$14:$AI$60,0)),"Undefined")="Undefined","Undefined",IFERROR(INDEX(_xlfn.ANCHORARRAY(Settings!$BC$14),MATCH(IFERROR(INDEX(Settings!$AK$14:$AK$60,MATCH((((ROUND($H187,6)*2)*1000000)+ROUND($I187,6)),Settings!$AI$14:$AI$60,0)),"Undefined"),_xlfn.ANCHORARRAY(Settings!$BC$14),0)),"Inactive")))</f>
        <v>1313</v>
      </c>
      <c r="L187" s="683"/>
      <c r="M187" s="934"/>
      <c r="N187" s="31" t="str">
        <f t="shared" si="1330"/>
        <v>Y</v>
      </c>
      <c r="O187" s="162">
        <f t="shared" si="1324"/>
        <v>-7.0444016610246738E-3</v>
      </c>
      <c r="P187" s="162">
        <f t="shared" si="1325"/>
        <v>-3.1041013687737418</v>
      </c>
      <c r="Q187" s="162">
        <f t="shared" si="1326"/>
        <v>-0.25470076817751724</v>
      </c>
      <c r="R187" s="162">
        <f t="shared" si="1331"/>
        <v>0.92766392299641653</v>
      </c>
      <c r="S187" s="162">
        <f t="shared" si="1327"/>
        <v>-0.19164211420457011</v>
      </c>
      <c r="T187" s="162">
        <f t="shared" si="1328"/>
        <v>0.32048860515484989</v>
      </c>
      <c r="U187" s="162">
        <f>IFERROR(IF(ISNUMBER(MATCH($X187,Settings!$AK$52:$AK$60,0)),INDEX(Settings!$AO$14:$AO$60,MATCH($X187,Settings!$AK$14:$AK$60,0))/2,INDEX(Settings!$AM$14:$AM$60,MATCH($X187,Settings!$AK$14:$AK$60,0))/2),"")</f>
        <v>0.26450000000000001</v>
      </c>
      <c r="V187" s="162">
        <f t="shared" si="1329"/>
        <v>0.52</v>
      </c>
      <c r="W187" s="75">
        <v>4.1189999999999998</v>
      </c>
      <c r="X187" s="937">
        <f t="shared" si="1332"/>
        <v>1313</v>
      </c>
      <c r="Y187" s="31"/>
      <c r="AK187" s="82" t="str">
        <f t="shared" si="1333"/>
        <v>Y</v>
      </c>
      <c r="AL187" s="419" t="s">
        <v>400</v>
      </c>
    </row>
    <row r="188" spans="2:38" x14ac:dyDescent="0.25">
      <c r="B188" s="650">
        <v>3.2160546854661365</v>
      </c>
      <c r="C188" s="651">
        <v>0.73439504529233879</v>
      </c>
      <c r="D188" s="652">
        <v>-0.38162926266538338</v>
      </c>
      <c r="E188" s="653">
        <v>8.0769067176920756E-2</v>
      </c>
      <c r="F188" s="651">
        <v>0.92462338028237945</v>
      </c>
      <c r="G188" s="654">
        <v>0.37222031436040209</v>
      </c>
      <c r="H188" s="653">
        <v>0.26600000000000001</v>
      </c>
      <c r="I188" s="942">
        <v>0.52</v>
      </c>
      <c r="J188" s="946">
        <v>2.2210000000000001</v>
      </c>
      <c r="K188" s="931">
        <f>IF($J188="","",IF(IFERROR(INDEX(Settings!$AK$14:$AK$60,MATCH((((ROUND($H188,6)*2)*1000000)+ROUND($I188,6)),Settings!$AI$14:$AI$60,0)),"Undefined")="Undefined","Undefined",IFERROR(INDEX(_xlfn.ANCHORARRAY(Settings!$BC$14),MATCH(IFERROR(INDEX(Settings!$AK$14:$AK$60,MATCH((((ROUND($H188,6)*2)*1000000)+ROUND($I188,6)),Settings!$AI$14:$AI$60,0)),"Undefined"),_xlfn.ANCHORARRAY(Settings!$BC$14),0)),"Inactive")))</f>
        <v>1313</v>
      </c>
      <c r="L188" s="683"/>
      <c r="M188" s="934" t="s">
        <v>9</v>
      </c>
      <c r="N188" s="31" t="str">
        <f t="shared" si="1330"/>
        <v>N</v>
      </c>
      <c r="O188" s="162">
        <f t="shared" si="1324"/>
        <v>-5.9143791147200545E-2</v>
      </c>
      <c r="P188" s="162">
        <f t="shared" si="1325"/>
        <v>-3.6433309677923318</v>
      </c>
      <c r="Q188" s="162">
        <f t="shared" si="1326"/>
        <v>-0.68180205631500179</v>
      </c>
      <c r="R188" s="162">
        <f t="shared" si="1331"/>
        <v>0.90009864135216411</v>
      </c>
      <c r="S188" s="162">
        <f t="shared" si="1327"/>
        <v>-0.34431992035653103</v>
      </c>
      <c r="T188" s="162">
        <f t="shared" si="1328"/>
        <v>0.26695735292675615</v>
      </c>
      <c r="U188" s="162">
        <f>IFERROR(IF(ISNUMBER(MATCH($X188,Settings!$AK$52:$AK$60,0)),INDEX(Settings!$AO$14:$AO$60,MATCH($X188,Settings!$AK$14:$AK$60,0))/2,INDEX(Settings!$AM$14:$AM$60,MATCH($X188,Settings!$AK$14:$AK$60,0))/2),"")</f>
        <v>0.26450000000000001</v>
      </c>
      <c r="V188" s="162">
        <f t="shared" si="1329"/>
        <v>0.52</v>
      </c>
      <c r="W188" s="75">
        <v>4.125</v>
      </c>
      <c r="X188" s="937">
        <f t="shared" si="1332"/>
        <v>1313</v>
      </c>
      <c r="Y188" s="31"/>
      <c r="AK188" s="82" t="str">
        <f t="shared" si="1333"/>
        <v/>
      </c>
      <c r="AL188" s="419" t="s">
        <v>400</v>
      </c>
    </row>
    <row r="189" spans="2:38" x14ac:dyDescent="0.25">
      <c r="B189" s="650">
        <v>3.6635079917722226</v>
      </c>
      <c r="C189" s="651">
        <v>0.89122078392098358</v>
      </c>
      <c r="D189" s="652">
        <v>-0.87878713351101589</v>
      </c>
      <c r="E189" s="653">
        <v>0.22345291461302239</v>
      </c>
      <c r="F189" s="651">
        <v>0.93485621683354325</v>
      </c>
      <c r="G189" s="654">
        <v>0.27588520945969647</v>
      </c>
      <c r="H189" s="653">
        <v>0.26600000000000001</v>
      </c>
      <c r="I189" s="942">
        <v>0.52</v>
      </c>
      <c r="J189" s="946">
        <v>2.2269999999999999</v>
      </c>
      <c r="K189" s="931">
        <f>IF($J189="","",IF(IFERROR(INDEX(Settings!$AK$14:$AK$60,MATCH((((ROUND($H189,6)*2)*1000000)+ROUND($I189,6)),Settings!$AI$14:$AI$60,0)),"Undefined")="Undefined","Undefined",IFERROR(INDEX(_xlfn.ANCHORARRAY(Settings!$BC$14),MATCH(IFERROR(INDEX(Settings!$AK$14:$AK$60,MATCH((((ROUND($H189,6)*2)*1000000)+ROUND($I189,6)),Settings!$AI$14:$AI$60,0)),"Undefined"),_xlfn.ANCHORARRAY(Settings!$BC$14),0)),"Inactive")))</f>
        <v>1313</v>
      </c>
      <c r="L189" s="683"/>
      <c r="M189" s="934" t="s">
        <v>9</v>
      </c>
      <c r="N189" s="31" t="str">
        <f t="shared" si="1330"/>
        <v>N</v>
      </c>
      <c r="O189" s="162">
        <f t="shared" si="1324"/>
        <v>-9.4541974027462936E-2</v>
      </c>
      <c r="P189" s="162">
        <f t="shared" si="1325"/>
        <v>-3.9530815536871788</v>
      </c>
      <c r="Q189" s="162">
        <f t="shared" si="1326"/>
        <v>-1.2962039093509903</v>
      </c>
      <c r="R189" s="162">
        <f t="shared" si="1331"/>
        <v>0.86913765600239912</v>
      </c>
      <c r="S189" s="162">
        <f t="shared" si="1327"/>
        <v>-0.47082317744358915</v>
      </c>
      <c r="T189" s="162">
        <f t="shared" si="1328"/>
        <v>0.15141093256623844</v>
      </c>
      <c r="U189" s="162">
        <f>IFERROR(IF(ISNUMBER(MATCH($X189,Settings!$AK$52:$AK$60,0)),INDEX(Settings!$AO$14:$AO$60,MATCH($X189,Settings!$AK$14:$AK$60,0))/2,INDEX(Settings!$AM$14:$AM$60,MATCH($X189,Settings!$AK$14:$AK$60,0))/2),"")</f>
        <v>0.26450000000000001</v>
      </c>
      <c r="V189" s="162">
        <f t="shared" si="1329"/>
        <v>0.52</v>
      </c>
      <c r="W189" s="75">
        <v>4.1310000000000002</v>
      </c>
      <c r="X189" s="937">
        <f t="shared" si="1332"/>
        <v>1313</v>
      </c>
      <c r="Y189" s="31"/>
      <c r="AK189" s="82" t="str">
        <f t="shared" si="1333"/>
        <v/>
      </c>
      <c r="AL189" s="419" t="s">
        <v>400</v>
      </c>
    </row>
    <row r="190" spans="2:38" x14ac:dyDescent="0.25">
      <c r="B190" s="650">
        <v>3.898561996725161</v>
      </c>
      <c r="C190" s="651">
        <v>0.58378522043659187</v>
      </c>
      <c r="D190" s="652">
        <v>-1.5399370663128473</v>
      </c>
      <c r="E190" s="653">
        <v>0.96807386929877559</v>
      </c>
      <c r="F190" s="651">
        <v>0.14496299344789726</v>
      </c>
      <c r="G190" s="654">
        <v>0.2044962447369687</v>
      </c>
      <c r="H190" s="653">
        <v>0.25700000000000001</v>
      </c>
      <c r="I190" s="942">
        <v>0.41499999999999992</v>
      </c>
      <c r="J190" s="946">
        <v>2.2330000000000001</v>
      </c>
      <c r="K190" s="931" t="str">
        <f>IF($J190="","",IF(IFERROR(INDEX(Settings!$AK$14:$AK$60,MATCH((((ROUND($H190,6)*2)*1000000)+ROUND($I190,6)),Settings!$AI$14:$AI$60,0)),"Undefined")="Undefined","Undefined",IFERROR(INDEX(_xlfn.ANCHORARRAY(Settings!$BC$14),MATCH(IFERROR(INDEX(Settings!$AK$14:$AK$60,MATCH((((ROUND($H190,6)*2)*1000000)+ROUND($I190,6)),Settings!$AI$14:$AI$60,0)),"Undefined"),_xlfn.ANCHORARRAY(Settings!$BC$14),0)),"Inactive")))</f>
        <v>CPS-32193r1</v>
      </c>
      <c r="L190" s="683"/>
      <c r="M190" s="934" t="s">
        <v>9</v>
      </c>
      <c r="N190" s="31" t="str">
        <f t="shared" si="1330"/>
        <v>N</v>
      </c>
      <c r="O190" s="162">
        <f t="shared" si="1324"/>
        <v>-0.10028673597963784</v>
      </c>
      <c r="P190" s="162">
        <f t="shared" si="1325"/>
        <v>-4.04558158727035</v>
      </c>
      <c r="Q190" s="162">
        <f t="shared" si="1326"/>
        <v>-2.0632062226299674</v>
      </c>
      <c r="R190" s="162">
        <f t="shared" si="1331"/>
        <v>0.84883484065411807</v>
      </c>
      <c r="S190" s="162">
        <f t="shared" si="1327"/>
        <v>-0.52680421348678008</v>
      </c>
      <c r="T190" s="162">
        <f t="shared" si="1328"/>
        <v>4.4234985523600244E-2</v>
      </c>
      <c r="U190" s="162">
        <f>IFERROR(IF(ISNUMBER(MATCH($X190,Settings!$AK$52:$AK$60,0)),INDEX(Settings!$AO$14:$AO$60,MATCH($X190,Settings!$AK$14:$AK$60,0))/2,INDEX(Settings!$AM$14:$AM$60,MATCH($X190,Settings!$AK$14:$AK$60,0))/2),"")</f>
        <v>0.26450000000000001</v>
      </c>
      <c r="V190" s="162">
        <f t="shared" si="1329"/>
        <v>0.52</v>
      </c>
      <c r="W190" s="75">
        <v>4.1369999999999996</v>
      </c>
      <c r="X190" s="937">
        <f t="shared" si="1332"/>
        <v>1313</v>
      </c>
      <c r="Y190" s="31"/>
      <c r="AK190" s="82" t="str">
        <f t="shared" si="1333"/>
        <v/>
      </c>
      <c r="AL190" s="419" t="s">
        <v>9</v>
      </c>
    </row>
    <row r="191" spans="2:38" x14ac:dyDescent="0.25">
      <c r="B191" s="650">
        <v>3.95718603599297</v>
      </c>
      <c r="C191" s="651">
        <v>0.5090390750685021</v>
      </c>
      <c r="D191" s="652">
        <v>-2.3042188037391211</v>
      </c>
      <c r="E191" s="653">
        <v>0.98805337202146482</v>
      </c>
      <c r="F191" s="651">
        <v>0.12709985581608263</v>
      </c>
      <c r="G191" s="654">
        <v>8.715595612775906E-2</v>
      </c>
      <c r="H191" s="653">
        <v>0.25700000000000001</v>
      </c>
      <c r="I191" s="942">
        <v>0.41499999999999992</v>
      </c>
      <c r="J191" s="946">
        <v>2.2389999999999999</v>
      </c>
      <c r="K191" s="931" t="str">
        <f>IF($J191="","",IF(IFERROR(INDEX(Settings!$AK$14:$AK$60,MATCH((((ROUND($H191,6)*2)*1000000)+ROUND($I191,6)),Settings!$AI$14:$AI$60,0)),"Undefined")="Undefined","Undefined",IFERROR(INDEX(_xlfn.ANCHORARRAY(Settings!$BC$14),MATCH(IFERROR(INDEX(Settings!$AK$14:$AK$60,MATCH((((ROUND($H191,6)*2)*1000000)+ROUND($I191,6)),Settings!$AI$14:$AI$60,0)),"Undefined"),_xlfn.ANCHORARRAY(Settings!$BC$14),0)),"Inactive")))</f>
        <v>CPS-32193r1</v>
      </c>
      <c r="L191" s="683"/>
      <c r="M191" s="934" t="s">
        <v>9</v>
      </c>
      <c r="N191" s="31" t="str">
        <f t="shared" si="1330"/>
        <v>N</v>
      </c>
      <c r="O191" s="162">
        <f t="shared" si="1324"/>
        <v>-0.4023687864453307</v>
      </c>
      <c r="P191" s="162">
        <f t="shared" si="1325"/>
        <v>-0.28174146852498344</v>
      </c>
      <c r="Q191" s="162">
        <f t="shared" si="1326"/>
        <v>-0.43530131286875973</v>
      </c>
      <c r="R191" s="162">
        <f t="shared" si="1331"/>
        <v>0.57555437099860174</v>
      </c>
      <c r="S191" s="162">
        <f t="shared" si="1327"/>
        <v>-0.7441454016889234</v>
      </c>
      <c r="T191" s="162">
        <f t="shared" si="1328"/>
        <v>0.33909406831974337</v>
      </c>
      <c r="U191" s="162">
        <f>IFERROR(IF(ISNUMBER(MATCH($X191,Settings!$AK$52:$AK$60,0)),INDEX(Settings!$AO$14:$AO$60,MATCH($X191,Settings!$AK$14:$AK$60,0))/2,INDEX(Settings!$AM$14:$AM$60,MATCH($X191,Settings!$AK$14:$AK$60,0))/2),"")</f>
        <v>0.26450000000000001</v>
      </c>
      <c r="V191" s="162">
        <f t="shared" si="1329"/>
        <v>0.52</v>
      </c>
      <c r="W191" s="75">
        <v>5.1020000000000003</v>
      </c>
      <c r="X191" s="937">
        <f t="shared" si="1332"/>
        <v>1313</v>
      </c>
      <c r="Y191" s="31"/>
      <c r="AK191" s="82" t="str">
        <f t="shared" si="1333"/>
        <v/>
      </c>
      <c r="AL191" s="419" t="s">
        <v>9</v>
      </c>
    </row>
    <row r="192" spans="2:38" x14ac:dyDescent="0.25">
      <c r="B192" s="650">
        <v>3.6768124250397496</v>
      </c>
      <c r="C192" s="651">
        <v>1.7145224637834588</v>
      </c>
      <c r="D192" s="652">
        <v>-4.7500143260432068</v>
      </c>
      <c r="E192" s="653">
        <v>0.22368684021542243</v>
      </c>
      <c r="F192" s="651">
        <v>0.94954298615243915</v>
      </c>
      <c r="G192" s="654">
        <v>-0.21984611655234856</v>
      </c>
      <c r="H192" s="653">
        <v>0.26600000000000001</v>
      </c>
      <c r="I192" s="942">
        <v>0.52</v>
      </c>
      <c r="J192" s="946">
        <v>2.3450000000000002</v>
      </c>
      <c r="K192" s="931">
        <f>IF($J192="","",IF(IFERROR(INDEX(Settings!$AK$14:$AK$60,MATCH((((ROUND($H192,6)*2)*1000000)+ROUND($I192,6)),Settings!$AI$14:$AI$60,0)),"Undefined")="Undefined","Undefined",IFERROR(INDEX(_xlfn.ANCHORARRAY(Settings!$BC$14),MATCH(IFERROR(INDEX(Settings!$AK$14:$AK$60,MATCH((((ROUND($H192,6)*2)*1000000)+ROUND($I192,6)),Settings!$AI$14:$AI$60,0)),"Undefined"),_xlfn.ANCHORARRAY(Settings!$BC$14),0)),"Inactive")))</f>
        <v>1313</v>
      </c>
      <c r="L192" s="683"/>
      <c r="M192" s="934" t="s">
        <v>9</v>
      </c>
      <c r="N192" s="31" t="str">
        <f t="shared" si="1330"/>
        <v>N</v>
      </c>
      <c r="O192" s="162">
        <f t="shared" si="1324"/>
        <v>-0.88665304244386389</v>
      </c>
      <c r="P192" s="162">
        <f t="shared" si="1325"/>
        <v>-0.62084072787345701</v>
      </c>
      <c r="Q192" s="162">
        <f t="shared" si="1326"/>
        <v>-0.27690083513291885</v>
      </c>
      <c r="R192" s="162">
        <f t="shared" si="1331"/>
        <v>0.56938716152390156</v>
      </c>
      <c r="S192" s="162">
        <f t="shared" si="1327"/>
        <v>-0.76874338762125927</v>
      </c>
      <c r="T192" s="162">
        <f t="shared" si="1328"/>
        <v>0.29125910162661833</v>
      </c>
      <c r="U192" s="162">
        <f>IFERROR(IF(ISNUMBER(MATCH($X192,Settings!$AK$52:$AK$60,0)),INDEX(Settings!$AO$14:$AO$60,MATCH($X192,Settings!$AK$14:$AK$60,0))/2,INDEX(Settings!$AM$14:$AM$60,MATCH($X192,Settings!$AK$14:$AK$60,0))/2),"")</f>
        <v>0.26450000000000001</v>
      </c>
      <c r="V192" s="162">
        <f t="shared" si="1329"/>
        <v>0.52</v>
      </c>
      <c r="W192" s="75">
        <v>5.1050000000000004</v>
      </c>
      <c r="X192" s="937">
        <f t="shared" si="1332"/>
        <v>1313</v>
      </c>
      <c r="Y192" s="31" t="s">
        <v>9</v>
      </c>
      <c r="AK192" s="82" t="str">
        <f t="shared" si="1333"/>
        <v/>
      </c>
      <c r="AL192" s="419" t="s">
        <v>9</v>
      </c>
    </row>
    <row r="193" spans="2:38" x14ac:dyDescent="0.25">
      <c r="B193" s="650">
        <v>0.62381335164797369</v>
      </c>
      <c r="C193" s="651">
        <v>-0.29088941201118085</v>
      </c>
      <c r="D193" s="652">
        <v>-0.38250115362347936</v>
      </c>
      <c r="E193" s="653">
        <v>0.36363460087020927</v>
      </c>
      <c r="F193" s="651">
        <v>0.87369876335654861</v>
      </c>
      <c r="G193" s="654">
        <v>0.32314137457032849</v>
      </c>
      <c r="H193" s="653">
        <v>0.26600000000000001</v>
      </c>
      <c r="I193" s="942">
        <v>0.52</v>
      </c>
      <c r="J193" s="946">
        <v>3.1030000000000002</v>
      </c>
      <c r="K193" s="931">
        <f>IF($J193="","",IF(IFERROR(INDEX(Settings!$AK$14:$AK$60,MATCH((((ROUND($H193,6)*2)*1000000)+ROUND($I193,6)),Settings!$AI$14:$AI$60,0)),"Undefined")="Undefined","Undefined",IFERROR(INDEX(_xlfn.ANCHORARRAY(Settings!$BC$14),MATCH(IFERROR(INDEX(Settings!$AK$14:$AK$60,MATCH((((ROUND($H193,6)*2)*1000000)+ROUND($I193,6)),Settings!$AI$14:$AI$60,0)),"Undefined"),_xlfn.ANCHORARRAY(Settings!$BC$14),0)),"Inactive")))</f>
        <v>1313</v>
      </c>
      <c r="L193" s="683"/>
      <c r="M193" s="934"/>
      <c r="N193" s="31" t="str">
        <f t="shared" si="1330"/>
        <v>Y</v>
      </c>
      <c r="O193" s="162">
        <f t="shared" si="1324"/>
        <v>-1.3803575774410153</v>
      </c>
      <c r="P193" s="162">
        <f t="shared" si="1325"/>
        <v>-0.96653613316663178</v>
      </c>
      <c r="Q193" s="162">
        <f t="shared" si="1326"/>
        <v>-0.17440052599198644</v>
      </c>
      <c r="R193" s="162">
        <f t="shared" si="1331"/>
        <v>0.55687195444872939</v>
      </c>
      <c r="S193" s="162">
        <f t="shared" si="1327"/>
        <v>-0.77750662408252591</v>
      </c>
      <c r="T193" s="162">
        <f t="shared" si="1328"/>
        <v>0.2921935588890458</v>
      </c>
      <c r="U193" s="162">
        <f>IFERROR(IF(ISNUMBER(MATCH($X193,Settings!$AK$52:$AK$60,0)),INDEX(Settings!$AO$14:$AO$60,MATCH($X193,Settings!$AK$14:$AK$60,0))/2,INDEX(Settings!$AM$14:$AM$60,MATCH($X193,Settings!$AK$14:$AK$60,0))/2),"")</f>
        <v>0.26450000000000001</v>
      </c>
      <c r="V193" s="162">
        <f t="shared" si="1329"/>
        <v>0.52</v>
      </c>
      <c r="W193" s="75">
        <v>5.1079999999999997</v>
      </c>
      <c r="X193" s="937">
        <f t="shared" si="1332"/>
        <v>1313</v>
      </c>
      <c r="Y193" s="31"/>
      <c r="AK193" s="82" t="str">
        <f t="shared" si="1333"/>
        <v>Y</v>
      </c>
      <c r="AL193" s="419" t="s">
        <v>9</v>
      </c>
    </row>
    <row r="194" spans="2:38" x14ac:dyDescent="0.25">
      <c r="B194" s="650">
        <v>1.1608928114570527</v>
      </c>
      <c r="C194" s="651">
        <v>-0.54133408084428525</v>
      </c>
      <c r="D194" s="652">
        <v>-0.23020069428529394</v>
      </c>
      <c r="E194" s="653">
        <v>0.38566842121553396</v>
      </c>
      <c r="F194" s="651">
        <v>0.87532544091975162</v>
      </c>
      <c r="G194" s="654">
        <v>0.29165946128277764</v>
      </c>
      <c r="H194" s="653">
        <v>0.26600000000000001</v>
      </c>
      <c r="I194" s="942">
        <v>0.52</v>
      </c>
      <c r="J194" s="946">
        <v>3.1059999999999999</v>
      </c>
      <c r="K194" s="931">
        <f>IF($J194="","",IF(IFERROR(INDEX(Settings!$AK$14:$AK$60,MATCH((((ROUND($H194,6)*2)*1000000)+ROUND($I194,6)),Settings!$AI$14:$AI$60,0)),"Undefined")="Undefined","Undefined",IFERROR(INDEX(_xlfn.ANCHORARRAY(Settings!$BC$14),MATCH(IFERROR(INDEX(Settings!$AK$14:$AK$60,MATCH((((ROUND($H194,6)*2)*1000000)+ROUND($I194,6)),Settings!$AI$14:$AI$60,0)),"Undefined"),_xlfn.ANCHORARRAY(Settings!$BC$14),0)),"Inactive")))</f>
        <v>1313</v>
      </c>
      <c r="L194" s="683"/>
      <c r="M194" s="934"/>
      <c r="N194" s="31" t="str">
        <f t="shared" si="1330"/>
        <v>Y</v>
      </c>
      <c r="O194" s="162">
        <f t="shared" si="1324"/>
        <v>-1.9049594491625776</v>
      </c>
      <c r="P194" s="162">
        <f t="shared" si="1325"/>
        <v>-1.3229944951664849</v>
      </c>
      <c r="Q194" s="162">
        <f t="shared" si="1326"/>
        <v>-9.5800288933671526E-2</v>
      </c>
      <c r="R194" s="162">
        <f t="shared" si="1331"/>
        <v>0.51208003676422242</v>
      </c>
      <c r="S194" s="162">
        <f t="shared" si="1327"/>
        <v>-0.8017546701474596</v>
      </c>
      <c r="T194" s="162">
        <f t="shared" si="1328"/>
        <v>0.30816145905075631</v>
      </c>
      <c r="U194" s="162">
        <f>IFERROR(IF(ISNUMBER(MATCH($X194,Settings!$AK$52:$AK$60,0)),INDEX(Settings!$AO$14:$AO$60,MATCH($X194,Settings!$AK$14:$AK$60,0))/2,INDEX(Settings!$AM$14:$AM$60,MATCH($X194,Settings!$AK$14:$AK$60,0))/2),"")</f>
        <v>0.26450000000000001</v>
      </c>
      <c r="V194" s="162">
        <f t="shared" si="1329"/>
        <v>0.52</v>
      </c>
      <c r="W194" s="75">
        <v>5.1120000000000001</v>
      </c>
      <c r="X194" s="937">
        <f t="shared" si="1332"/>
        <v>1313</v>
      </c>
      <c r="Y194" s="31"/>
      <c r="AK194" s="82" t="str">
        <f t="shared" si="1333"/>
        <v>Y</v>
      </c>
      <c r="AL194" s="419" t="s">
        <v>9</v>
      </c>
    </row>
    <row r="195" spans="2:38" x14ac:dyDescent="0.25">
      <c r="B195" s="650">
        <v>1.710569983873871</v>
      </c>
      <c r="C195" s="651">
        <v>-0.79765316901046435</v>
      </c>
      <c r="D195" s="652">
        <v>-0.14780044576614437</v>
      </c>
      <c r="E195" s="653">
        <v>0.39952787980279664</v>
      </c>
      <c r="F195" s="651">
        <v>0.86886265882540925</v>
      </c>
      <c r="G195" s="654">
        <v>0.29232713414789691</v>
      </c>
      <c r="H195" s="653">
        <v>0.26600000000000001</v>
      </c>
      <c r="I195" s="942">
        <v>0.52</v>
      </c>
      <c r="J195" s="946">
        <v>3.109</v>
      </c>
      <c r="K195" s="931">
        <f>IF($J195="","",IF(IFERROR(INDEX(Settings!$AK$14:$AK$60,MATCH((((ROUND($H195,6)*2)*1000000)+ROUND($I195,6)),Settings!$AI$14:$AI$60,0)),"Undefined")="Undefined","Undefined",IFERROR(INDEX(_xlfn.ANCHORARRAY(Settings!$BC$14),MATCH(IFERROR(INDEX(Settings!$AK$14:$AK$60,MATCH((((ROUND($H195,6)*2)*1000000)+ROUND($I195,6)),Settings!$AI$14:$AI$60,0)),"Undefined"),_xlfn.ANCHORARRAY(Settings!$BC$14),0)),"Inactive")))</f>
        <v>1313</v>
      </c>
      <c r="L195" s="683"/>
      <c r="M195" s="934"/>
      <c r="N195" s="31" t="str">
        <f t="shared" si="1330"/>
        <v>Y</v>
      </c>
      <c r="O195" s="162">
        <f t="shared" si="1324"/>
        <v>-2.4855844977590573</v>
      </c>
      <c r="P195" s="162">
        <f t="shared" si="1325"/>
        <v>-1.6771780431638084</v>
      </c>
      <c r="Q195" s="162">
        <f t="shared" si="1326"/>
        <v>-0.20800062732989225</v>
      </c>
      <c r="R195" s="162">
        <f t="shared" si="1331"/>
        <v>0.38329718890326075</v>
      </c>
      <c r="S195" s="162">
        <f t="shared" si="1327"/>
        <v>-0.86516737853860193</v>
      </c>
      <c r="T195" s="162">
        <f t="shared" si="1328"/>
        <v>0.32337079659657225</v>
      </c>
      <c r="U195" s="162">
        <f>IFERROR(IF(ISNUMBER(MATCH($X195,Settings!$AK$52:$AK$60,0)),INDEX(Settings!$AO$14:$AO$60,MATCH($X195,Settings!$AK$14:$AK$60,0))/2,INDEX(Settings!$AM$14:$AM$60,MATCH($X195,Settings!$AK$14:$AK$60,0))/2),"")</f>
        <v>0.26450000000000001</v>
      </c>
      <c r="V195" s="162">
        <f t="shared" si="1329"/>
        <v>0.52</v>
      </c>
      <c r="W195" s="75">
        <v>5.1180000000000003</v>
      </c>
      <c r="X195" s="937">
        <f t="shared" si="1332"/>
        <v>1313</v>
      </c>
      <c r="Y195" s="31"/>
      <c r="AK195" s="82" t="str">
        <f t="shared" si="1333"/>
        <v>Y</v>
      </c>
      <c r="AL195" s="419" t="s">
        <v>400</v>
      </c>
    </row>
    <row r="196" spans="2:38" x14ac:dyDescent="0.25">
      <c r="B196" s="650">
        <v>2.3030180112597978</v>
      </c>
      <c r="C196" s="651">
        <v>-1.0955260664630306</v>
      </c>
      <c r="D196" s="652">
        <v>-0.10020030220411177</v>
      </c>
      <c r="E196" s="653">
        <v>0.47546278269233516</v>
      </c>
      <c r="F196" s="651">
        <v>0.81986047172618137</v>
      </c>
      <c r="G196" s="654">
        <v>0.31900462249845984</v>
      </c>
      <c r="H196" s="653">
        <v>0.26600000000000001</v>
      </c>
      <c r="I196" s="942">
        <v>0.52</v>
      </c>
      <c r="J196" s="946">
        <v>3.1139999999999999</v>
      </c>
      <c r="K196" s="931">
        <f>IF($J196="","",IF(IFERROR(INDEX(Settings!$AK$14:$AK$60,MATCH((((ROUND($H196,6)*2)*1000000)+ROUND($I196,6)),Settings!$AI$14:$AI$60,0)),"Undefined")="Undefined","Undefined",IFERROR(INDEX(_xlfn.ANCHORARRAY(Settings!$BC$14),MATCH(IFERROR(INDEX(Settings!$AK$14:$AK$60,MATCH((((ROUND($H196,6)*2)*1000000)+ROUND($I196,6)),Settings!$AI$14:$AI$60,0)),"Undefined"),_xlfn.ANCHORARRAY(Settings!$BC$14),0)),"Inactive")))</f>
        <v>1313</v>
      </c>
      <c r="L196" s="683"/>
      <c r="M196" s="934"/>
      <c r="N196" s="31" t="str">
        <f t="shared" si="1330"/>
        <v>Y</v>
      </c>
      <c r="O196" s="162">
        <f t="shared" ref="O196:O227" si="1334">IFERROR(INDEX(B$164:B$305,MATCH($W196,$J$164:$J$305,0)),"")</f>
        <v>-2.9858479940693243</v>
      </c>
      <c r="P196" s="162">
        <f t="shared" ref="P196:P227" si="1335">IFERROR(INDEX(C$164:C$305,MATCH($W196,$J$164:$J$305,0)),"")</f>
        <v>-1.952394626161114</v>
      </c>
      <c r="Q196" s="162">
        <f t="shared" ref="Q196:Q227" si="1336">IFERROR(INDEX(D$164:D$305,MATCH($W196,$J$164:$J$305,0)),"")</f>
        <v>-0.59500179452541235</v>
      </c>
      <c r="R196" s="162">
        <f t="shared" si="1331"/>
        <v>0.24086566162374121</v>
      </c>
      <c r="S196" s="162">
        <f t="shared" si="1327"/>
        <v>-0.92921035201955138</v>
      </c>
      <c r="T196" s="162">
        <f t="shared" si="1328"/>
        <v>0.28027103801545189</v>
      </c>
      <c r="U196" s="162">
        <f>IFERROR(IF(ISNUMBER(MATCH($X196,Settings!$AK$52:$AK$60,0)),INDEX(Settings!$AO$14:$AO$60,MATCH($X196,Settings!$AK$14:$AK$60,0))/2,INDEX(Settings!$AM$14:$AM$60,MATCH($X196,Settings!$AK$14:$AK$60,0))/2),"")</f>
        <v>0.26450000000000001</v>
      </c>
      <c r="V196" s="162">
        <f t="shared" ref="V196:V227" si="1337">IFERROR(INDEX(I$164:I$305,MATCH($W196,$J$164:$J$305,0)),"")</f>
        <v>0.52</v>
      </c>
      <c r="W196" s="75">
        <v>5.1239999999999997</v>
      </c>
      <c r="X196" s="937">
        <f t="shared" si="1332"/>
        <v>1313</v>
      </c>
      <c r="Y196" s="31"/>
      <c r="AK196" s="82" t="str">
        <f t="shared" si="1333"/>
        <v>Y</v>
      </c>
      <c r="AL196" s="419" t="s">
        <v>400</v>
      </c>
    </row>
    <row r="197" spans="2:38" x14ac:dyDescent="0.25">
      <c r="B197" s="650">
        <v>2.8747286264005139</v>
      </c>
      <c r="C197" s="651">
        <v>-1.4195332113859291</v>
      </c>
      <c r="D197" s="652">
        <v>-0.30900093194681089</v>
      </c>
      <c r="E197" s="653">
        <v>0.60041767410307045</v>
      </c>
      <c r="F197" s="651">
        <v>0.73463741893975021</v>
      </c>
      <c r="G197" s="654">
        <v>0.31592163477388069</v>
      </c>
      <c r="H197" s="653">
        <v>0.26600000000000001</v>
      </c>
      <c r="I197" s="942">
        <v>0.52</v>
      </c>
      <c r="J197" s="946">
        <v>3.12</v>
      </c>
      <c r="K197" s="931">
        <f>IF($J197="","",IF(IFERROR(INDEX(Settings!$AK$14:$AK$60,MATCH((((ROUND($H197,6)*2)*1000000)+ROUND($I197,6)),Settings!$AI$14:$AI$60,0)),"Undefined")="Undefined","Undefined",IFERROR(INDEX(_xlfn.ANCHORARRAY(Settings!$BC$14),MATCH(IFERROR(INDEX(Settings!$AK$14:$AK$60,MATCH((((ROUND($H197,6)*2)*1000000)+ROUND($I197,6)),Settings!$AI$14:$AI$60,0)),"Undefined"),_xlfn.ANCHORARRAY(Settings!$BC$14),0)),"Inactive")))</f>
        <v>1313</v>
      </c>
      <c r="L197" s="683"/>
      <c r="M197" s="934"/>
      <c r="N197" s="31" t="str">
        <f t="shared" si="1330"/>
        <v>Y</v>
      </c>
      <c r="O197" s="162">
        <f t="shared" si="1334"/>
        <v>-3.3010197813055635</v>
      </c>
      <c r="P197" s="162">
        <f t="shared" si="1335"/>
        <v>-2.11677564238463</v>
      </c>
      <c r="Q197" s="162">
        <f t="shared" si="1336"/>
        <v>-1.1853035748755818</v>
      </c>
      <c r="R197" s="162">
        <f t="shared" si="1331"/>
        <v>0.11348272551365081</v>
      </c>
      <c r="S197" s="162">
        <f t="shared" si="1327"/>
        <v>-0.9780580459819922</v>
      </c>
      <c r="T197" s="162">
        <f t="shared" si="1328"/>
        <v>0.17471156143736088</v>
      </c>
      <c r="U197" s="162">
        <f>IFERROR(IF(ISNUMBER(MATCH($X197,Settings!$AK$52:$AK$60,0)),INDEX(Settings!$AO$14:$AO$60,MATCH($X197,Settings!$AK$14:$AK$60,0))/2,INDEX(Settings!$AM$14:$AM$60,MATCH($X197,Settings!$AK$14:$AK$60,0))/2),"")</f>
        <v>0.26450000000000001</v>
      </c>
      <c r="V197" s="162">
        <f t="shared" si="1337"/>
        <v>0.52</v>
      </c>
      <c r="W197" s="75">
        <v>5.13</v>
      </c>
      <c r="X197" s="937">
        <f t="shared" si="1332"/>
        <v>1313</v>
      </c>
      <c r="Y197" s="31"/>
      <c r="AK197" s="82" t="str">
        <f t="shared" si="1333"/>
        <v>Y</v>
      </c>
      <c r="AL197" s="419" t="s">
        <v>400</v>
      </c>
    </row>
    <row r="198" spans="2:38" x14ac:dyDescent="0.25">
      <c r="B198" s="650">
        <v>3.307967562556438</v>
      </c>
      <c r="C198" s="651">
        <v>-1.687678509582589</v>
      </c>
      <c r="D198" s="652">
        <v>-0.77400233439104071</v>
      </c>
      <c r="E198" s="653">
        <v>0.72311625031402949</v>
      </c>
      <c r="F198" s="651">
        <v>0.64315826612563565</v>
      </c>
      <c r="G198" s="654">
        <v>0.25189349583910287</v>
      </c>
      <c r="H198" s="653">
        <v>0.26600000000000001</v>
      </c>
      <c r="I198" s="942">
        <v>0.52</v>
      </c>
      <c r="J198" s="946">
        <v>3.1259999999999999</v>
      </c>
      <c r="K198" s="931">
        <f>IF($J198="","",IF(IFERROR(INDEX(Settings!$AK$14:$AK$60,MATCH((((ROUND($H198,6)*2)*1000000)+ROUND($I198,6)),Settings!$AI$14:$AI$60,0)),"Undefined")="Undefined","Undefined",IFERROR(INDEX(_xlfn.ANCHORARRAY(Settings!$BC$14),MATCH(IFERROR(INDEX(Settings!$AK$14:$AK$60,MATCH((((ROUND($H198,6)*2)*1000000)+ROUND($I198,6)),Settings!$AI$14:$AI$60,0)),"Undefined"),_xlfn.ANCHORARRAY(Settings!$BC$14),0)),"Inactive")))</f>
        <v>1313</v>
      </c>
      <c r="L198" s="683"/>
      <c r="M198" s="934"/>
      <c r="N198" s="31" t="str">
        <f t="shared" si="1330"/>
        <v>Y</v>
      </c>
      <c r="O198" s="162">
        <f t="shared" si="1334"/>
        <v>-3.4096380822602321</v>
      </c>
      <c r="P198" s="162">
        <f t="shared" si="1335"/>
        <v>-2.1797146502868414</v>
      </c>
      <c r="Q198" s="162">
        <f t="shared" si="1336"/>
        <v>-1.9480058751857188</v>
      </c>
      <c r="R198" s="162">
        <f t="shared" si="1331"/>
        <v>3.8096309444734515E-2</v>
      </c>
      <c r="S198" s="162">
        <f t="shared" si="1327"/>
        <v>-0.99829451429045624</v>
      </c>
      <c r="T198" s="162">
        <f t="shared" si="1328"/>
        <v>4.4234985523600237E-2</v>
      </c>
      <c r="U198" s="162">
        <f>IFERROR(IF(ISNUMBER(MATCH($X198,Settings!$AK$52:$AK$60,0)),INDEX(Settings!$AO$14:$AO$60,MATCH($X198,Settings!$AK$14:$AK$60,0))/2,INDEX(Settings!$AM$14:$AM$60,MATCH($X198,Settings!$AK$14:$AK$60,0))/2),"")</f>
        <v>0.26450000000000001</v>
      </c>
      <c r="V198" s="162">
        <f t="shared" si="1337"/>
        <v>0.52</v>
      </c>
      <c r="W198" s="75">
        <v>5.1360000000000001</v>
      </c>
      <c r="X198" s="937">
        <f t="shared" si="1332"/>
        <v>1313</v>
      </c>
      <c r="Y198" s="31"/>
      <c r="AK198" s="82" t="str">
        <f t="shared" si="1333"/>
        <v>Y</v>
      </c>
      <c r="AL198" s="419" t="s">
        <v>400</v>
      </c>
    </row>
    <row r="199" spans="2:38" x14ac:dyDescent="0.25">
      <c r="B199" s="650">
        <v>3.5327689136257336</v>
      </c>
      <c r="C199" s="651">
        <v>-1.8304340291404895</v>
      </c>
      <c r="D199" s="652">
        <v>-1.4090042495568167</v>
      </c>
      <c r="E199" s="653">
        <v>0.81666169579427772</v>
      </c>
      <c r="F199" s="651">
        <v>0.5630525513583915</v>
      </c>
      <c r="G199" s="654">
        <v>0.12663135090182259</v>
      </c>
      <c r="H199" s="653">
        <v>0.26600000000000001</v>
      </c>
      <c r="I199" s="942">
        <v>0.52</v>
      </c>
      <c r="J199" s="946">
        <v>3.1320000000000001</v>
      </c>
      <c r="K199" s="931">
        <f>IF($J199="","",IF(IFERROR(INDEX(Settings!$AK$14:$AK$60,MATCH((((ROUND($H199,6)*2)*1000000)+ROUND($I199,6)),Settings!$AI$14:$AI$60,0)),"Undefined")="Undefined","Undefined",IFERROR(INDEX(_xlfn.ANCHORARRAY(Settings!$BC$14),MATCH(IFERROR(INDEX(Settings!$AK$14:$AK$60,MATCH((((ROUND($H199,6)*2)*1000000)+ROUND($I199,6)),Settings!$AI$14:$AI$60,0)),"Undefined"),_xlfn.ANCHORARRAY(Settings!$BC$14),0)),"Inactive")))</f>
        <v>1313</v>
      </c>
      <c r="L199" s="683"/>
      <c r="M199" s="934"/>
      <c r="N199" s="31" t="str">
        <f t="shared" si="1330"/>
        <v>Y</v>
      </c>
      <c r="O199" s="162">
        <f t="shared" si="1334"/>
        <v>-1.9064797699469747</v>
      </c>
      <c r="P199" s="162">
        <f t="shared" si="1335"/>
        <v>1.1064821218765786</v>
      </c>
      <c r="Q199" s="162">
        <f t="shared" si="1336"/>
        <v>-0.10610031999856512</v>
      </c>
      <c r="R199" s="162">
        <f t="shared" si="1331"/>
        <v>-0.49408425732901073</v>
      </c>
      <c r="S199" s="162">
        <f t="shared" si="1327"/>
        <v>-0.81570547148363437</v>
      </c>
      <c r="T199" s="162">
        <f t="shared" si="1328"/>
        <v>0.30084103850921318</v>
      </c>
      <c r="U199" s="162">
        <f>IFERROR(IF(ISNUMBER(MATCH($X199,Settings!$AK$52:$AK$60,0)),INDEX(Settings!$AO$14:$AO$60,MATCH($X199,Settings!$AK$14:$AK$60,0))/2,INDEX(Settings!$AM$14:$AM$60,MATCH($X199,Settings!$AK$14:$AK$60,0))/2),"")</f>
        <v>0.26450000000000001</v>
      </c>
      <c r="V199" s="162">
        <f t="shared" si="1337"/>
        <v>0.52</v>
      </c>
      <c r="W199" s="75">
        <v>6.1109999999999998</v>
      </c>
      <c r="X199" s="937">
        <f t="shared" si="1332"/>
        <v>1313</v>
      </c>
      <c r="Y199" s="31"/>
      <c r="AK199" s="82" t="str">
        <f t="shared" si="1333"/>
        <v>Y</v>
      </c>
      <c r="AL199" s="419" t="s">
        <v>400</v>
      </c>
    </row>
    <row r="200" spans="2:38" x14ac:dyDescent="0.25">
      <c r="B200" s="650">
        <v>3.5921815324417627</v>
      </c>
      <c r="C200" s="651">
        <v>-1.8636039403957785</v>
      </c>
      <c r="D200" s="652">
        <v>-2.1784065700742148</v>
      </c>
      <c r="E200" s="653">
        <v>0.84559327897702019</v>
      </c>
      <c r="F200" s="651">
        <v>0.53199179749749748</v>
      </c>
      <c r="G200" s="654">
        <v>4.4234985523600237E-2</v>
      </c>
      <c r="H200" s="653">
        <v>0.26600000000000001</v>
      </c>
      <c r="I200" s="942">
        <v>0.52</v>
      </c>
      <c r="J200" s="946">
        <v>3.1379999999999999</v>
      </c>
      <c r="K200" s="931">
        <f>IF($J200="","",IF(IFERROR(INDEX(Settings!$AK$14:$AK$60,MATCH((((ROUND($H200,6)*2)*1000000)+ROUND($I200,6)),Settings!$AI$14:$AI$60,0)),"Undefined")="Undefined","Undefined",IFERROR(INDEX(_xlfn.ANCHORARRAY(Settings!$BC$14),MATCH(IFERROR(INDEX(Settings!$AK$14:$AK$60,MATCH((((ROUND($H200,6)*2)*1000000)+ROUND($I200,6)),Settings!$AI$14:$AI$60,0)),"Undefined"),_xlfn.ANCHORARRAY(Settings!$BC$14),0)),"Inactive")))</f>
        <v>1313</v>
      </c>
      <c r="L200" s="683"/>
      <c r="M200" s="934"/>
      <c r="N200" s="31" t="str">
        <f t="shared" si="1330"/>
        <v>Y</v>
      </c>
      <c r="O200" s="162">
        <f t="shared" si="1334"/>
        <v>-2.4810242203165869</v>
      </c>
      <c r="P200" s="162">
        <f t="shared" si="1335"/>
        <v>1.4813363373496613</v>
      </c>
      <c r="Q200" s="162">
        <f t="shared" si="1336"/>
        <v>-0.16890050940393606</v>
      </c>
      <c r="R200" s="162">
        <f t="shared" si="1331"/>
        <v>-0.60222100944859724</v>
      </c>
      <c r="S200" s="162">
        <f t="shared" si="1327"/>
        <v>-0.72935468140984649</v>
      </c>
      <c r="T200" s="162">
        <f t="shared" si="1328"/>
        <v>0.32460992665698607</v>
      </c>
      <c r="U200" s="162">
        <f>IFERROR(IF(ISNUMBER(MATCH($X200,Settings!$AK$52:$AK$60,0)),INDEX(Settings!$AO$14:$AO$60,MATCH($X200,Settings!$AK$14:$AK$60,0))/2,INDEX(Settings!$AM$14:$AM$60,MATCH($X200,Settings!$AK$14:$AK$60,0))/2),"")</f>
        <v>0.26450000000000001</v>
      </c>
      <c r="V200" s="162">
        <f t="shared" si="1337"/>
        <v>0.52</v>
      </c>
      <c r="W200" s="75">
        <v>6.117</v>
      </c>
      <c r="X200" s="937">
        <f t="shared" si="1332"/>
        <v>1313</v>
      </c>
      <c r="Y200" s="31"/>
      <c r="AK200" s="82" t="str">
        <f t="shared" si="1333"/>
        <v>Y</v>
      </c>
      <c r="AL200" s="419" t="s">
        <v>400</v>
      </c>
    </row>
    <row r="201" spans="2:38" x14ac:dyDescent="0.25">
      <c r="B201" s="650">
        <v>0.6593591948654195</v>
      </c>
      <c r="C201" s="651">
        <v>-1.3280170850285078</v>
      </c>
      <c r="D201" s="652">
        <v>-0.24157387505573807</v>
      </c>
      <c r="E201" s="653">
        <v>6.8612121070951668E-19</v>
      </c>
      <c r="F201" s="651">
        <v>-1.3819185313835842E-18</v>
      </c>
      <c r="G201" s="654">
        <v>1</v>
      </c>
      <c r="H201" s="653">
        <v>0.19500000000000001</v>
      </c>
      <c r="I201" s="942">
        <v>0.21199999999999999</v>
      </c>
      <c r="J201" s="946">
        <v>3.2069999999999999</v>
      </c>
      <c r="K201" s="931" t="str">
        <f>IF($J201="","",IF(IFERROR(INDEX(Settings!$AK$14:$AK$60,MATCH((((ROUND($H201,6)*2)*1000000)+ROUND($I201,6)),Settings!$AI$14:$AI$60,0)),"Undefined")="Undefined","Undefined",IFERROR(INDEX(_xlfn.ANCHORARRAY(Settings!$BC$14),MATCH(IFERROR(INDEX(Settings!$AK$14:$AK$60,MATCH((((ROUND($H201,6)*2)*1000000)+ROUND($I201,6)),Settings!$AI$14:$AI$60,0)),"Undefined"),_xlfn.ANCHORARRAY(Settings!$BC$14),0)),"Inactive")))</f>
        <v>CPS-31783r1</v>
      </c>
      <c r="L201" s="683"/>
      <c r="M201" s="934" t="s">
        <v>9</v>
      </c>
      <c r="N201" s="31" t="str">
        <f t="shared" si="1330"/>
        <v>N</v>
      </c>
      <c r="O201" s="162">
        <f t="shared" si="1334"/>
        <v>-2.9655751435783837</v>
      </c>
      <c r="P201" s="162">
        <f t="shared" si="1335"/>
        <v>1.8308621948490724</v>
      </c>
      <c r="Q201" s="162">
        <f t="shared" si="1336"/>
        <v>-0.51390154992707449</v>
      </c>
      <c r="R201" s="162">
        <f t="shared" si="1331"/>
        <v>-0.72130537038369391</v>
      </c>
      <c r="S201" s="162">
        <f t="shared" si="1327"/>
        <v>-0.62813871744368865</v>
      </c>
      <c r="T201" s="162">
        <f t="shared" si="1328"/>
        <v>0.29182240199107412</v>
      </c>
      <c r="U201" s="162">
        <f>IFERROR(IF(ISNUMBER(MATCH($X201,Settings!$AK$52:$AK$60,0)),INDEX(Settings!$AO$14:$AO$60,MATCH($X201,Settings!$AK$14:$AK$60,0))/2,INDEX(Settings!$AM$14:$AM$60,MATCH($X201,Settings!$AK$14:$AK$60,0))/2),"")</f>
        <v>0.26450000000000001</v>
      </c>
      <c r="V201" s="162">
        <f t="shared" si="1337"/>
        <v>0.52</v>
      </c>
      <c r="W201" s="75">
        <v>6.1230000000000002</v>
      </c>
      <c r="X201" s="937">
        <f t="shared" si="1332"/>
        <v>1313</v>
      </c>
      <c r="Y201" s="31"/>
      <c r="AK201" s="82" t="str">
        <f t="shared" si="1333"/>
        <v/>
      </c>
      <c r="AL201" s="419" t="s">
        <v>400</v>
      </c>
    </row>
    <row r="202" spans="2:38" x14ac:dyDescent="0.25">
      <c r="B202" s="650">
        <v>1.2808684130539616</v>
      </c>
      <c r="C202" s="651">
        <v>-1.6510089663155805</v>
      </c>
      <c r="D202" s="652">
        <v>-0.18860409481547891</v>
      </c>
      <c r="E202" s="653">
        <v>0</v>
      </c>
      <c r="F202" s="651">
        <v>0</v>
      </c>
      <c r="G202" s="654">
        <v>1</v>
      </c>
      <c r="H202" s="653">
        <v>0.25700000000000001</v>
      </c>
      <c r="I202" s="942">
        <v>0.41499999999999992</v>
      </c>
      <c r="J202" s="946">
        <v>3.21</v>
      </c>
      <c r="K202" s="931" t="str">
        <f>IF($J202="","",IF(IFERROR(INDEX(Settings!$AK$14:$AK$60,MATCH((((ROUND($H202,6)*2)*1000000)+ROUND($I202,6)),Settings!$AI$14:$AI$60,0)),"Undefined")="Undefined","Undefined",IFERROR(INDEX(_xlfn.ANCHORARRAY(Settings!$BC$14),MATCH(IFERROR(INDEX(Settings!$AK$14:$AK$60,MATCH((((ROUND($H202,6)*2)*1000000)+ROUND($I202,6)),Settings!$AI$14:$AI$60,0)),"Undefined"),_xlfn.ANCHORARRAY(Settings!$BC$14),0)),"Inactive")))</f>
        <v>CPS-32193r1</v>
      </c>
      <c r="L202" s="683"/>
      <c r="M202" s="934" t="s">
        <v>9</v>
      </c>
      <c r="N202" s="31" t="str">
        <f t="shared" si="1330"/>
        <v>N</v>
      </c>
      <c r="O202" s="162">
        <f t="shared" si="1334"/>
        <v>-3.2810253795702726</v>
      </c>
      <c r="P202" s="162">
        <f t="shared" si="1335"/>
        <v>2.0725761613552458</v>
      </c>
      <c r="Q202" s="162">
        <f t="shared" si="1336"/>
        <v>-1.0771032485433973</v>
      </c>
      <c r="R202" s="162">
        <f t="shared" si="1331"/>
        <v>-0.82455086763885588</v>
      </c>
      <c r="S202" s="162">
        <f t="shared" si="1327"/>
        <v>-0.53058217867979074</v>
      </c>
      <c r="T202" s="162">
        <f t="shared" si="1328"/>
        <v>0.19646480179262821</v>
      </c>
      <c r="U202" s="162">
        <f>IFERROR(IF(ISNUMBER(MATCH($X202,Settings!$AK$52:$AK$60,0)),INDEX(Settings!$AO$14:$AO$60,MATCH($X202,Settings!$AK$14:$AK$60,0))/2,INDEX(Settings!$AM$14:$AM$60,MATCH($X202,Settings!$AK$14:$AK$60,0))/2),"")</f>
        <v>0.26450000000000001</v>
      </c>
      <c r="V202" s="162">
        <f t="shared" si="1337"/>
        <v>0.52</v>
      </c>
      <c r="W202" s="75">
        <v>6.1289999999999996</v>
      </c>
      <c r="X202" s="937">
        <f t="shared" si="1332"/>
        <v>1313</v>
      </c>
      <c r="Y202" s="31"/>
      <c r="AK202" s="82" t="str">
        <f t="shared" si="1333"/>
        <v/>
      </c>
      <c r="AL202" s="419" t="s">
        <v>400</v>
      </c>
    </row>
    <row r="203" spans="2:38" x14ac:dyDescent="0.25">
      <c r="B203" s="650">
        <v>2.3605879847082432</v>
      </c>
      <c r="C203" s="651">
        <v>-2.1623099070093015</v>
      </c>
      <c r="D203" s="652">
        <v>-0.32071810376016019</v>
      </c>
      <c r="E203" s="653">
        <v>0.78944532611716944</v>
      </c>
      <c r="F203" s="651">
        <v>0.48084962960199157</v>
      </c>
      <c r="G203" s="654">
        <v>0.38152288369557025</v>
      </c>
      <c r="H203" s="653">
        <v>0.26600000000000001</v>
      </c>
      <c r="I203" s="942">
        <v>0.52</v>
      </c>
      <c r="J203" s="946">
        <v>3.22</v>
      </c>
      <c r="K203" s="931">
        <f>IF($J203="","",IF(IFERROR(INDEX(Settings!$AK$14:$AK$60,MATCH((((ROUND($H203,6)*2)*1000000)+ROUND($I203,6)),Settings!$AI$14:$AI$60,0)),"Undefined")="Undefined","Undefined",IFERROR(INDEX(_xlfn.ANCHORARRAY(Settings!$BC$14),MATCH(IFERROR(INDEX(Settings!$AK$14:$AK$60,MATCH((((ROUND($H203,6)*2)*1000000)+ROUND($I203,6)),Settings!$AI$14:$AI$60,0)),"Undefined"),_xlfn.ANCHORARRAY(Settings!$BC$14),0)),"Inactive")))</f>
        <v>1313</v>
      </c>
      <c r="L203" s="683"/>
      <c r="M203" s="934" t="s">
        <v>9</v>
      </c>
      <c r="N203" s="31" t="str">
        <f t="shared" si="1330"/>
        <v>N</v>
      </c>
      <c r="O203" s="162">
        <f t="shared" si="1334"/>
        <v>-3.4164680358357762</v>
      </c>
      <c r="P203" s="162">
        <f t="shared" si="1335"/>
        <v>2.1689937687293543</v>
      </c>
      <c r="Q203" s="162">
        <f t="shared" si="1336"/>
        <v>-1.8328055277414714</v>
      </c>
      <c r="R203" s="162">
        <f t="shared" si="1331"/>
        <v>-0.88866182122048265</v>
      </c>
      <c r="S203" s="162">
        <f t="shared" si="1327"/>
        <v>-0.4564246198013665</v>
      </c>
      <c r="T203" s="162">
        <f t="shared" si="1328"/>
        <v>4.423498552359996E-2</v>
      </c>
      <c r="U203" s="162">
        <f>IFERROR(IF(ISNUMBER(MATCH($X203,Settings!$AK$52:$AK$60,0)),INDEX(Settings!$AO$14:$AO$60,MATCH($X203,Settings!$AK$14:$AK$60,0))/2,INDEX(Settings!$AM$14:$AM$60,MATCH($X203,Settings!$AK$14:$AK$60,0))/2),"")</f>
        <v>0.26450000000000001</v>
      </c>
      <c r="V203" s="162">
        <f t="shared" si="1337"/>
        <v>0.52</v>
      </c>
      <c r="W203" s="75">
        <v>6.1349999999999998</v>
      </c>
      <c r="X203" s="937">
        <f t="shared" si="1332"/>
        <v>1313</v>
      </c>
      <c r="Y203" s="31"/>
      <c r="AK203" s="82" t="str">
        <f t="shared" si="1333"/>
        <v/>
      </c>
      <c r="AL203" s="419" t="s">
        <v>400</v>
      </c>
    </row>
    <row r="204" spans="2:38" x14ac:dyDescent="0.25">
      <c r="B204" s="650">
        <v>2.7778600123732575</v>
      </c>
      <c r="C204" s="651">
        <v>-2.4553351424586083</v>
      </c>
      <c r="D204" s="652">
        <v>-0.7824261789138176</v>
      </c>
      <c r="E204" s="653">
        <v>0.88029686473047453</v>
      </c>
      <c r="F204" s="651">
        <v>0.37021844909519031</v>
      </c>
      <c r="G204" s="654">
        <v>0.29667445103218593</v>
      </c>
      <c r="H204" s="653">
        <v>0.26600000000000001</v>
      </c>
      <c r="I204" s="942">
        <v>0.52</v>
      </c>
      <c r="J204" s="946">
        <v>3.226</v>
      </c>
      <c r="K204" s="931">
        <f>IF($J204="","",IF(IFERROR(INDEX(Settings!$AK$14:$AK$60,MATCH((((ROUND($H204,6)*2)*1000000)+ROUND($I204,6)),Settings!$AI$14:$AI$60,0)),"Undefined")="Undefined","Undefined",IFERROR(INDEX(_xlfn.ANCHORARRAY(Settings!$BC$14),MATCH(IFERROR(INDEX(Settings!$AK$14:$AK$60,MATCH((((ROUND($H204,6)*2)*1000000)+ROUND($I204,6)),Settings!$AI$14:$AI$60,0)),"Undefined"),_xlfn.ANCHORARRAY(Settings!$BC$14),0)),"Inactive")))</f>
        <v>1313</v>
      </c>
      <c r="L204" s="683"/>
      <c r="M204" s="934" t="s">
        <v>9</v>
      </c>
      <c r="N204" s="31" t="str">
        <f t="shared" si="1330"/>
        <v>N</v>
      </c>
      <c r="O204" s="162" t="str">
        <f t="shared" si="1334"/>
        <v/>
      </c>
      <c r="P204" s="162" t="str">
        <f t="shared" si="1335"/>
        <v/>
      </c>
      <c r="Q204" s="162" t="str">
        <f t="shared" si="1336"/>
        <v/>
      </c>
      <c r="R204" s="162" t="str">
        <f t="shared" si="1331"/>
        <v/>
      </c>
      <c r="S204" s="162" t="str">
        <f t="shared" si="1327"/>
        <v/>
      </c>
      <c r="T204" s="162" t="str">
        <f t="shared" si="1328"/>
        <v/>
      </c>
      <c r="U204" s="162" t="str">
        <f>IFERROR(IF(ISNUMBER(MATCH($X204,Settings!$AK$52:$AK$60,0)),INDEX(Settings!$AO$14:$AO$60,MATCH($X204,Settings!$AK$14:$AK$60,0))/2,INDEX(Settings!$AM$14:$AM$60,MATCH($X204,Settings!$AK$14:$AK$60,0))/2),"")</f>
        <v/>
      </c>
      <c r="V204" s="162" t="str">
        <f t="shared" si="1337"/>
        <v/>
      </c>
      <c r="W204" s="75"/>
      <c r="X204" s="937" t="str">
        <f t="shared" si="1332"/>
        <v/>
      </c>
      <c r="Y204" s="31"/>
      <c r="AK204" s="82" t="str">
        <f t="shared" si="1333"/>
        <v/>
      </c>
      <c r="AL204" s="419" t="s">
        <v>400</v>
      </c>
    </row>
    <row r="205" spans="2:38" x14ac:dyDescent="0.25">
      <c r="B205" s="650">
        <v>2.700814260369492</v>
      </c>
      <c r="C205" s="651">
        <v>-2.851622123189844</v>
      </c>
      <c r="D205" s="652">
        <v>-1.4282384759650626</v>
      </c>
      <c r="E205" s="653">
        <v>0.66359133728428377</v>
      </c>
      <c r="F205" s="651">
        <v>-0.70064490028948345</v>
      </c>
      <c r="G205" s="654">
        <v>0.2621893605385161</v>
      </c>
      <c r="H205" s="653">
        <v>0.25700000000000001</v>
      </c>
      <c r="I205" s="942">
        <v>0.41499999999999992</v>
      </c>
      <c r="J205" s="946">
        <v>3.2320000000000002</v>
      </c>
      <c r="K205" s="931" t="str">
        <f>IF($J205="","",IF(IFERROR(INDEX(Settings!$AK$14:$AK$60,MATCH((((ROUND($H205,6)*2)*1000000)+ROUND($I205,6)),Settings!$AI$14:$AI$60,0)),"Undefined")="Undefined","Undefined",IFERROR(INDEX(_xlfn.ANCHORARRAY(Settings!$BC$14),MATCH(IFERROR(INDEX(Settings!$AK$14:$AK$60,MATCH((((ROUND($H205,6)*2)*1000000)+ROUND($I205,6)),Settings!$AI$14:$AI$60,0)),"Undefined"),_xlfn.ANCHORARRAY(Settings!$BC$14),0)),"Inactive")))</f>
        <v>CPS-32193r1</v>
      </c>
      <c r="L205" s="683"/>
      <c r="M205" s="934" t="s">
        <v>9</v>
      </c>
      <c r="N205" s="31" t="str">
        <f t="shared" si="1330"/>
        <v>N</v>
      </c>
      <c r="O205" s="162" t="str">
        <f t="shared" si="1334"/>
        <v/>
      </c>
      <c r="P205" s="162" t="str">
        <f t="shared" si="1335"/>
        <v/>
      </c>
      <c r="Q205" s="162" t="str">
        <f t="shared" si="1336"/>
        <v/>
      </c>
      <c r="R205" s="162" t="str">
        <f t="shared" si="1331"/>
        <v/>
      </c>
      <c r="S205" s="162" t="str">
        <f t="shared" si="1327"/>
        <v/>
      </c>
      <c r="T205" s="162" t="str">
        <f t="shared" si="1328"/>
        <v/>
      </c>
      <c r="U205" s="162" t="str">
        <f>IFERROR(IF(ISNUMBER(MATCH($X205,Settings!$AK$52:$AK$60,0)),INDEX(Settings!$AO$14:$AO$60,MATCH($X205,Settings!$AK$14:$AK$60,0))/2,INDEX(Settings!$AM$14:$AM$60,MATCH($X205,Settings!$AK$14:$AK$60,0))/2),"")</f>
        <v/>
      </c>
      <c r="V205" s="162" t="str">
        <f t="shared" si="1337"/>
        <v/>
      </c>
      <c r="W205" s="75"/>
      <c r="X205" s="937" t="str">
        <f t="shared" si="1332"/>
        <v/>
      </c>
      <c r="Y205" s="31"/>
      <c r="AK205" s="82" t="str">
        <f t="shared" si="1333"/>
        <v/>
      </c>
      <c r="AL205" s="419" t="s">
        <v>400</v>
      </c>
    </row>
    <row r="206" spans="2:38" x14ac:dyDescent="0.25">
      <c r="B206" s="650">
        <v>2.6872442272755857</v>
      </c>
      <c r="C206" s="651">
        <v>-2.9490948723936277</v>
      </c>
      <c r="D206" s="652">
        <v>-2.1890184562948738</v>
      </c>
      <c r="E206" s="653">
        <v>0.67096686788408955</v>
      </c>
      <c r="F206" s="651">
        <v>-0.73634726964474506</v>
      </c>
      <c r="G206" s="654">
        <v>8.7155956127759254E-2</v>
      </c>
      <c r="H206" s="653">
        <v>0.25700000000000001</v>
      </c>
      <c r="I206" s="942">
        <v>0.41499999999999992</v>
      </c>
      <c r="J206" s="946">
        <v>3.238</v>
      </c>
      <c r="K206" s="931" t="str">
        <f>IF($J206="","",IF(IFERROR(INDEX(Settings!$AK$14:$AK$60,MATCH((((ROUND($H206,6)*2)*1000000)+ROUND($I206,6)),Settings!$AI$14:$AI$60,0)),"Undefined")="Undefined","Undefined",IFERROR(INDEX(_xlfn.ANCHORARRAY(Settings!$BC$14),MATCH(IFERROR(INDEX(Settings!$AK$14:$AK$60,MATCH((((ROUND($H206,6)*2)*1000000)+ROUND($I206,6)),Settings!$AI$14:$AI$60,0)),"Undefined"),_xlfn.ANCHORARRAY(Settings!$BC$14),0)),"Inactive")))</f>
        <v>CPS-32193r1</v>
      </c>
      <c r="L206" s="683"/>
      <c r="M206" s="934" t="s">
        <v>9</v>
      </c>
      <c r="N206" s="31" t="str">
        <f t="shared" si="1330"/>
        <v>N</v>
      </c>
      <c r="O206" s="162" t="str">
        <f t="shared" si="1334"/>
        <v/>
      </c>
      <c r="P206" s="162" t="str">
        <f t="shared" si="1335"/>
        <v/>
      </c>
      <c r="Q206" s="162" t="str">
        <f t="shared" si="1336"/>
        <v/>
      </c>
      <c r="R206" s="162" t="str">
        <f t="shared" si="1331"/>
        <v/>
      </c>
      <c r="S206" s="162" t="str">
        <f t="shared" si="1327"/>
        <v/>
      </c>
      <c r="T206" s="162" t="str">
        <f t="shared" si="1328"/>
        <v/>
      </c>
      <c r="U206" s="162" t="str">
        <f>IFERROR(IF(ISNUMBER(MATCH($X206,Settings!$AK$52:$AK$60,0)),INDEX(Settings!$AO$14:$AO$60,MATCH($X206,Settings!$AK$14:$AK$60,0))/2,INDEX(Settings!$AM$14:$AM$60,MATCH($X206,Settings!$AK$14:$AK$60,0))/2),"")</f>
        <v/>
      </c>
      <c r="V206" s="162" t="str">
        <f t="shared" si="1337"/>
        <v/>
      </c>
      <c r="W206" s="75"/>
      <c r="X206" s="937" t="str">
        <f t="shared" si="1332"/>
        <v/>
      </c>
      <c r="Y206" s="31"/>
      <c r="AK206" s="82" t="str">
        <f t="shared" si="1333"/>
        <v/>
      </c>
      <c r="AL206" s="419" t="s">
        <v>9</v>
      </c>
    </row>
    <row r="207" spans="2:38" x14ac:dyDescent="0.25">
      <c r="B207" s="650">
        <v>3.5133878302111881</v>
      </c>
      <c r="C207" s="651">
        <v>-2.028458242673167</v>
      </c>
      <c r="D207" s="652">
        <v>-4.7500143260432068</v>
      </c>
      <c r="E207" s="653">
        <v>0.90612152882724017</v>
      </c>
      <c r="F207" s="651">
        <v>0.36140207530206031</v>
      </c>
      <c r="G207" s="654">
        <v>-0.21984611655234879</v>
      </c>
      <c r="H207" s="653">
        <v>0.26600000000000001</v>
      </c>
      <c r="I207" s="942">
        <v>0.52</v>
      </c>
      <c r="J207" s="946">
        <v>3.3439999999999999</v>
      </c>
      <c r="K207" s="931">
        <f>IF($J207="","",IF(IFERROR(INDEX(Settings!$AK$14:$AK$60,MATCH((((ROUND($H207,6)*2)*1000000)+ROUND($I207,6)),Settings!$AI$14:$AI$60,0)),"Undefined")="Undefined","Undefined",IFERROR(INDEX(_xlfn.ANCHORARRAY(Settings!$BC$14),MATCH(IFERROR(INDEX(Settings!$AK$14:$AK$60,MATCH((((ROUND($H207,6)*2)*1000000)+ROUND($I207,6)),Settings!$AI$14:$AI$60,0)),"Undefined"),_xlfn.ANCHORARRAY(Settings!$BC$14),0)),"Inactive")))</f>
        <v>1313</v>
      </c>
      <c r="L207" s="683"/>
      <c r="M207" s="934" t="s">
        <v>9</v>
      </c>
      <c r="N207" s="31" t="str">
        <f t="shared" si="1330"/>
        <v>N</v>
      </c>
      <c r="O207" s="162" t="str">
        <f t="shared" si="1334"/>
        <v/>
      </c>
      <c r="P207" s="162" t="str">
        <f t="shared" si="1335"/>
        <v/>
      </c>
      <c r="Q207" s="162" t="str">
        <f t="shared" si="1336"/>
        <v/>
      </c>
      <c r="R207" s="162" t="str">
        <f t="shared" si="1331"/>
        <v/>
      </c>
      <c r="S207" s="162" t="str">
        <f t="shared" si="1327"/>
        <v/>
      </c>
      <c r="T207" s="162" t="str">
        <f t="shared" si="1328"/>
        <v/>
      </c>
      <c r="U207" s="162" t="str">
        <f>IFERROR(IF(ISNUMBER(MATCH($X207,Settings!$AK$52:$AK$60,0)),INDEX(Settings!$AO$14:$AO$60,MATCH($X207,Settings!$AK$14:$AK$60,0))/2,INDEX(Settings!$AM$14:$AM$60,MATCH($X207,Settings!$AK$14:$AK$60,0))/2),"")</f>
        <v/>
      </c>
      <c r="V207" s="162" t="str">
        <f t="shared" si="1337"/>
        <v/>
      </c>
      <c r="W207" s="75"/>
      <c r="X207" s="937" t="str">
        <f t="shared" si="1332"/>
        <v/>
      </c>
      <c r="Y207" s="31" t="s">
        <v>9</v>
      </c>
      <c r="AK207" s="82" t="str">
        <f t="shared" si="1333"/>
        <v/>
      </c>
      <c r="AL207" s="419" t="s">
        <v>9</v>
      </c>
    </row>
    <row r="208" spans="2:38" x14ac:dyDescent="0.25">
      <c r="B208" s="650">
        <v>2.8897461896091495E-2</v>
      </c>
      <c r="C208" s="651">
        <v>-2.4348358675571888</v>
      </c>
      <c r="D208" s="652">
        <v>-9.3800282901653292E-2</v>
      </c>
      <c r="E208" s="653">
        <v>0.94826129945451565</v>
      </c>
      <c r="F208" s="651">
        <v>-4.529108636518156E-2</v>
      </c>
      <c r="G208" s="654">
        <v>0.31424389485349624</v>
      </c>
      <c r="H208" s="653">
        <v>0.26600000000000001</v>
      </c>
      <c r="I208" s="942">
        <v>0.52</v>
      </c>
      <c r="J208" s="946">
        <v>4.1130000000000004</v>
      </c>
      <c r="K208" s="931">
        <f>IF($J208="","",IF(IFERROR(INDEX(Settings!$AK$14:$AK$60,MATCH((((ROUND($H208,6)*2)*1000000)+ROUND($I208,6)),Settings!$AI$14:$AI$60,0)),"Undefined")="Undefined","Undefined",IFERROR(INDEX(_xlfn.ANCHORARRAY(Settings!$BC$14),MATCH(IFERROR(INDEX(Settings!$AK$14:$AK$60,MATCH((((ROUND($H208,6)*2)*1000000)+ROUND($I208,6)),Settings!$AI$14:$AI$60,0)),"Undefined"),_xlfn.ANCHORARRAY(Settings!$BC$14),0)),"Inactive")))</f>
        <v>1313</v>
      </c>
      <c r="L208" s="683"/>
      <c r="M208" s="934"/>
      <c r="N208" s="31" t="str">
        <f t="shared" si="1330"/>
        <v>Y</v>
      </c>
      <c r="O208" s="162" t="str">
        <f t="shared" si="1334"/>
        <v/>
      </c>
      <c r="P208" s="162" t="str">
        <f t="shared" si="1335"/>
        <v/>
      </c>
      <c r="Q208" s="162" t="str">
        <f t="shared" si="1336"/>
        <v/>
      </c>
      <c r="R208" s="162" t="str">
        <f t="shared" si="1331"/>
        <v/>
      </c>
      <c r="S208" s="162" t="str">
        <f t="shared" si="1327"/>
        <v/>
      </c>
      <c r="T208" s="162" t="str">
        <f t="shared" si="1328"/>
        <v/>
      </c>
      <c r="U208" s="162" t="str">
        <f>IFERROR(IF(ISNUMBER(MATCH($X208,Settings!$AK$52:$AK$60,0)),INDEX(Settings!$AO$14:$AO$60,MATCH($X208,Settings!$AK$14:$AK$60,0))/2,INDEX(Settings!$AM$14:$AM$60,MATCH($X208,Settings!$AK$14:$AK$60,0))/2),"")</f>
        <v/>
      </c>
      <c r="V208" s="162" t="str">
        <f t="shared" si="1337"/>
        <v/>
      </c>
      <c r="W208" s="75"/>
      <c r="X208" s="937" t="str">
        <f t="shared" si="1332"/>
        <v/>
      </c>
      <c r="Y208" s="31"/>
      <c r="AK208" s="82" t="str">
        <f t="shared" si="1333"/>
        <v>Y</v>
      </c>
      <c r="AL208" s="419" t="s">
        <v>9</v>
      </c>
    </row>
    <row r="209" spans="2:38" x14ac:dyDescent="0.25">
      <c r="B209" s="650">
        <v>-7.0444016610246738E-3</v>
      </c>
      <c r="C209" s="651">
        <v>-3.1041013687737418</v>
      </c>
      <c r="D209" s="652">
        <v>-0.25470076817751724</v>
      </c>
      <c r="E209" s="653">
        <v>0.92766392299641653</v>
      </c>
      <c r="F209" s="651">
        <v>-0.19164211420457011</v>
      </c>
      <c r="G209" s="654">
        <v>0.32048860515484989</v>
      </c>
      <c r="H209" s="653">
        <v>0.26600000000000001</v>
      </c>
      <c r="I209" s="942">
        <v>0.52</v>
      </c>
      <c r="J209" s="946">
        <v>4.1189999999999998</v>
      </c>
      <c r="K209" s="931">
        <f>IF($J209="","",IF(IFERROR(INDEX(Settings!$AK$14:$AK$60,MATCH((((ROUND($H209,6)*2)*1000000)+ROUND($I209,6)),Settings!$AI$14:$AI$60,0)),"Undefined")="Undefined","Undefined",IFERROR(INDEX(_xlfn.ANCHORARRAY(Settings!$BC$14),MATCH(IFERROR(INDEX(Settings!$AK$14:$AK$60,MATCH((((ROUND($H209,6)*2)*1000000)+ROUND($I209,6)),Settings!$AI$14:$AI$60,0)),"Undefined"),_xlfn.ANCHORARRAY(Settings!$BC$14),0)),"Inactive")))</f>
        <v>1313</v>
      </c>
      <c r="L209" s="683"/>
      <c r="M209" s="934"/>
      <c r="N209" s="31" t="str">
        <f t="shared" si="1330"/>
        <v>Y</v>
      </c>
      <c r="O209" s="162" t="str">
        <f t="shared" si="1334"/>
        <v/>
      </c>
      <c r="P209" s="162" t="str">
        <f t="shared" si="1335"/>
        <v/>
      </c>
      <c r="Q209" s="162" t="str">
        <f t="shared" si="1336"/>
        <v/>
      </c>
      <c r="R209" s="162" t="str">
        <f t="shared" si="1331"/>
        <v/>
      </c>
      <c r="S209" s="162" t="str">
        <f t="shared" si="1327"/>
        <v/>
      </c>
      <c r="T209" s="162" t="str">
        <f t="shared" si="1328"/>
        <v/>
      </c>
      <c r="U209" s="162" t="str">
        <f>IFERROR(IF(ISNUMBER(MATCH($X209,Settings!$AK$52:$AK$60,0)),INDEX(Settings!$AO$14:$AO$60,MATCH($X209,Settings!$AK$14:$AK$60,0))/2,INDEX(Settings!$AM$14:$AM$60,MATCH($X209,Settings!$AK$14:$AK$60,0))/2),"")</f>
        <v/>
      </c>
      <c r="V209" s="162" t="str">
        <f t="shared" si="1337"/>
        <v/>
      </c>
      <c r="W209" s="75"/>
      <c r="X209" s="937" t="str">
        <f t="shared" si="1332"/>
        <v/>
      </c>
      <c r="Y209" s="31"/>
      <c r="AK209" s="82" t="str">
        <f t="shared" si="1333"/>
        <v>Y</v>
      </c>
      <c r="AL209" s="419" t="s">
        <v>9</v>
      </c>
    </row>
    <row r="210" spans="2:38" x14ac:dyDescent="0.25">
      <c r="B210" s="650">
        <v>-5.9143791147200545E-2</v>
      </c>
      <c r="C210" s="651">
        <v>-3.6433309677923318</v>
      </c>
      <c r="D210" s="652">
        <v>-0.68180205631500179</v>
      </c>
      <c r="E210" s="653">
        <v>0.90009864135216411</v>
      </c>
      <c r="F210" s="651">
        <v>-0.34431992035653103</v>
      </c>
      <c r="G210" s="654">
        <v>0.26695735292675615</v>
      </c>
      <c r="H210" s="653">
        <v>0.26600000000000001</v>
      </c>
      <c r="I210" s="942">
        <v>0.52</v>
      </c>
      <c r="J210" s="946">
        <v>4.125</v>
      </c>
      <c r="K210" s="931">
        <f>IF($J210="","",IF(IFERROR(INDEX(Settings!$AK$14:$AK$60,MATCH((((ROUND($H210,6)*2)*1000000)+ROUND($I210,6)),Settings!$AI$14:$AI$60,0)),"Undefined")="Undefined","Undefined",IFERROR(INDEX(_xlfn.ANCHORARRAY(Settings!$BC$14),MATCH(IFERROR(INDEX(Settings!$AK$14:$AK$60,MATCH((((ROUND($H210,6)*2)*1000000)+ROUND($I210,6)),Settings!$AI$14:$AI$60,0)),"Undefined"),_xlfn.ANCHORARRAY(Settings!$BC$14),0)),"Inactive")))</f>
        <v>1313</v>
      </c>
      <c r="L210" s="683"/>
      <c r="M210" s="934"/>
      <c r="N210" s="31" t="str">
        <f t="shared" si="1330"/>
        <v>Y</v>
      </c>
      <c r="O210" s="162" t="str">
        <f t="shared" si="1334"/>
        <v/>
      </c>
      <c r="P210" s="162" t="str">
        <f t="shared" si="1335"/>
        <v/>
      </c>
      <c r="Q210" s="162" t="str">
        <f t="shared" si="1336"/>
        <v/>
      </c>
      <c r="R210" s="162" t="str">
        <f t="shared" si="1331"/>
        <v/>
      </c>
      <c r="S210" s="162" t="str">
        <f t="shared" si="1327"/>
        <v/>
      </c>
      <c r="T210" s="162" t="str">
        <f t="shared" si="1328"/>
        <v/>
      </c>
      <c r="U210" s="162" t="str">
        <f>IFERROR(IF(ISNUMBER(MATCH($X210,Settings!$AK$52:$AK$60,0)),INDEX(Settings!$AO$14:$AO$60,MATCH($X210,Settings!$AK$14:$AK$60,0))/2,INDEX(Settings!$AM$14:$AM$60,MATCH($X210,Settings!$AK$14:$AK$60,0))/2),"")</f>
        <v/>
      </c>
      <c r="V210" s="162" t="str">
        <f t="shared" si="1337"/>
        <v/>
      </c>
      <c r="W210" s="75"/>
      <c r="X210" s="937" t="str">
        <f t="shared" si="1332"/>
        <v/>
      </c>
      <c r="Y210" s="31"/>
      <c r="AK210" s="82" t="str">
        <f t="shared" si="1333"/>
        <v>Y</v>
      </c>
      <c r="AL210" s="419" t="s">
        <v>9</v>
      </c>
    </row>
    <row r="211" spans="2:38" x14ac:dyDescent="0.25">
      <c r="B211" s="650">
        <v>-9.4541974027462936E-2</v>
      </c>
      <c r="C211" s="651">
        <v>-3.9530815536871788</v>
      </c>
      <c r="D211" s="652">
        <v>-1.2962039093509903</v>
      </c>
      <c r="E211" s="653">
        <v>0.86913765600239912</v>
      </c>
      <c r="F211" s="651">
        <v>-0.47082317744358915</v>
      </c>
      <c r="G211" s="654">
        <v>0.15141093256623844</v>
      </c>
      <c r="H211" s="653">
        <v>0.26600000000000001</v>
      </c>
      <c r="I211" s="942">
        <v>0.52</v>
      </c>
      <c r="J211" s="946">
        <v>4.1310000000000002</v>
      </c>
      <c r="K211" s="931">
        <f>IF($J211="","",IF(IFERROR(INDEX(Settings!$AK$14:$AK$60,MATCH((((ROUND($H211,6)*2)*1000000)+ROUND($I211,6)),Settings!$AI$14:$AI$60,0)),"Undefined")="Undefined","Undefined",IFERROR(INDEX(_xlfn.ANCHORARRAY(Settings!$BC$14),MATCH(IFERROR(INDEX(Settings!$AK$14:$AK$60,MATCH((((ROUND($H211,6)*2)*1000000)+ROUND($I211,6)),Settings!$AI$14:$AI$60,0)),"Undefined"),_xlfn.ANCHORARRAY(Settings!$BC$14),0)),"Inactive")))</f>
        <v>1313</v>
      </c>
      <c r="L211" s="683"/>
      <c r="M211" s="934"/>
      <c r="N211" s="31" t="str">
        <f t="shared" si="1330"/>
        <v>Y</v>
      </c>
      <c r="O211" s="162" t="str">
        <f t="shared" si="1334"/>
        <v/>
      </c>
      <c r="P211" s="162" t="str">
        <f t="shared" si="1335"/>
        <v/>
      </c>
      <c r="Q211" s="162" t="str">
        <f t="shared" si="1336"/>
        <v/>
      </c>
      <c r="R211" s="162" t="str">
        <f t="shared" si="1331"/>
        <v/>
      </c>
      <c r="S211" s="162" t="str">
        <f t="shared" si="1327"/>
        <v/>
      </c>
      <c r="T211" s="162" t="str">
        <f t="shared" si="1328"/>
        <v/>
      </c>
      <c r="U211" s="162" t="str">
        <f>IFERROR(IF(ISNUMBER(MATCH($X211,Settings!$AK$52:$AK$60,0)),INDEX(Settings!$AO$14:$AO$60,MATCH($X211,Settings!$AK$14:$AK$60,0))/2,INDEX(Settings!$AM$14:$AM$60,MATCH($X211,Settings!$AK$14:$AK$60,0))/2),"")</f>
        <v/>
      </c>
      <c r="V211" s="162" t="str">
        <f t="shared" si="1337"/>
        <v/>
      </c>
      <c r="W211" s="75"/>
      <c r="X211" s="937" t="str">
        <f t="shared" si="1332"/>
        <v/>
      </c>
      <c r="Y211" s="31"/>
      <c r="AK211" s="82" t="str">
        <f t="shared" si="1333"/>
        <v>Y</v>
      </c>
      <c r="AL211" s="419" t="s">
        <v>9</v>
      </c>
    </row>
    <row r="212" spans="2:38" x14ac:dyDescent="0.25">
      <c r="B212" s="650">
        <v>-0.10028673597963784</v>
      </c>
      <c r="C212" s="651">
        <v>-4.04558158727035</v>
      </c>
      <c r="D212" s="652">
        <v>-2.0632062226299674</v>
      </c>
      <c r="E212" s="653">
        <v>0.84883484065411807</v>
      </c>
      <c r="F212" s="651">
        <v>-0.52680421348678008</v>
      </c>
      <c r="G212" s="654">
        <v>4.4234985523600244E-2</v>
      </c>
      <c r="H212" s="653">
        <v>0.26600000000000001</v>
      </c>
      <c r="I212" s="942">
        <v>0.52</v>
      </c>
      <c r="J212" s="946">
        <v>4.1369999999999996</v>
      </c>
      <c r="K212" s="931">
        <f>IF($J212="","",IF(IFERROR(INDEX(Settings!$AK$14:$AK$60,MATCH((((ROUND($H212,6)*2)*1000000)+ROUND($I212,6)),Settings!$AI$14:$AI$60,0)),"Undefined")="Undefined","Undefined",IFERROR(INDEX(_xlfn.ANCHORARRAY(Settings!$BC$14),MATCH(IFERROR(INDEX(Settings!$AK$14:$AK$60,MATCH((((ROUND($H212,6)*2)*1000000)+ROUND($I212,6)),Settings!$AI$14:$AI$60,0)),"Undefined"),_xlfn.ANCHORARRAY(Settings!$BC$14),0)),"Inactive")))</f>
        <v>1313</v>
      </c>
      <c r="L212" s="683"/>
      <c r="M212" s="934"/>
      <c r="N212" s="31" t="str">
        <f t="shared" si="1330"/>
        <v>Y</v>
      </c>
      <c r="O212" s="162" t="str">
        <f t="shared" si="1334"/>
        <v/>
      </c>
      <c r="P212" s="162" t="str">
        <f t="shared" si="1335"/>
        <v/>
      </c>
      <c r="Q212" s="162" t="str">
        <f t="shared" si="1336"/>
        <v/>
      </c>
      <c r="R212" s="162" t="str">
        <f t="shared" si="1331"/>
        <v/>
      </c>
      <c r="S212" s="162" t="str">
        <f t="shared" si="1327"/>
        <v/>
      </c>
      <c r="T212" s="162" t="str">
        <f t="shared" si="1328"/>
        <v/>
      </c>
      <c r="U212" s="162" t="str">
        <f>IFERROR(IF(ISNUMBER(MATCH($X212,Settings!$AK$52:$AK$60,0)),INDEX(Settings!$AO$14:$AO$60,MATCH($X212,Settings!$AK$14:$AK$60,0))/2,INDEX(Settings!$AM$14:$AM$60,MATCH($X212,Settings!$AK$14:$AK$60,0))/2),"")</f>
        <v/>
      </c>
      <c r="V212" s="162" t="str">
        <f t="shared" si="1337"/>
        <v/>
      </c>
      <c r="W212" s="75"/>
      <c r="X212" s="937" t="str">
        <f t="shared" si="1332"/>
        <v/>
      </c>
      <c r="Y212" s="31"/>
      <c r="AK212" s="82" t="str">
        <f t="shared" si="1333"/>
        <v>Y</v>
      </c>
      <c r="AL212" s="419" t="s">
        <v>9</v>
      </c>
    </row>
    <row r="213" spans="2:38" x14ac:dyDescent="0.25">
      <c r="B213" s="650">
        <v>-0.91539823601915693</v>
      </c>
      <c r="C213" s="651">
        <v>-2.9613269711096533</v>
      </c>
      <c r="D213" s="652">
        <v>-0.26709072925210142</v>
      </c>
      <c r="E213" s="653">
        <v>0.78439777094161278</v>
      </c>
      <c r="F213" s="651">
        <v>-0.48319969463724982</v>
      </c>
      <c r="G213" s="654">
        <v>0.38889354847348362</v>
      </c>
      <c r="H213" s="653">
        <v>0.26600000000000001</v>
      </c>
      <c r="I213" s="942">
        <v>0.52</v>
      </c>
      <c r="J213" s="946">
        <v>4.2190000000000003</v>
      </c>
      <c r="K213" s="931">
        <f>IF($J213="","",IF(IFERROR(INDEX(Settings!$AK$14:$AK$60,MATCH((((ROUND($H213,6)*2)*1000000)+ROUND($I213,6)),Settings!$AI$14:$AI$60,0)),"Undefined")="Undefined","Undefined",IFERROR(INDEX(_xlfn.ANCHORARRAY(Settings!$BC$14),MATCH(IFERROR(INDEX(Settings!$AK$14:$AK$60,MATCH((((ROUND($H213,6)*2)*1000000)+ROUND($I213,6)),Settings!$AI$14:$AI$60,0)),"Undefined"),_xlfn.ANCHORARRAY(Settings!$BC$14),0)),"Inactive")))</f>
        <v>1313</v>
      </c>
      <c r="L213" s="683"/>
      <c r="M213" s="934" t="s">
        <v>9</v>
      </c>
      <c r="N213" s="31" t="str">
        <f t="shared" si="1330"/>
        <v>N</v>
      </c>
      <c r="O213" s="162" t="str">
        <f t="shared" si="1334"/>
        <v/>
      </c>
      <c r="P213" s="162" t="str">
        <f t="shared" si="1335"/>
        <v/>
      </c>
      <c r="Q213" s="162" t="str">
        <f t="shared" si="1336"/>
        <v/>
      </c>
      <c r="R213" s="162" t="str">
        <f t="shared" si="1331"/>
        <v/>
      </c>
      <c r="S213" s="162" t="str">
        <f t="shared" si="1327"/>
        <v/>
      </c>
      <c r="T213" s="162" t="str">
        <f t="shared" si="1328"/>
        <v/>
      </c>
      <c r="U213" s="162" t="str">
        <f>IFERROR(IF(ISNUMBER(MATCH($X213,Settings!$AK$52:$AK$60,0)),INDEX(Settings!$AO$14:$AO$60,MATCH($X213,Settings!$AK$14:$AK$60,0))/2,INDEX(Settings!$AM$14:$AM$60,MATCH($X213,Settings!$AK$14:$AK$60,0))/2),"")</f>
        <v/>
      </c>
      <c r="V213" s="162" t="str">
        <f t="shared" si="1337"/>
        <v/>
      </c>
      <c r="W213" s="75"/>
      <c r="X213" s="937" t="str">
        <f t="shared" si="1332"/>
        <v/>
      </c>
      <c r="Y213" s="31"/>
      <c r="AK213" s="82" t="str">
        <f t="shared" si="1333"/>
        <v/>
      </c>
      <c r="AL213" s="419" t="s">
        <v>400</v>
      </c>
    </row>
    <row r="214" spans="2:38" x14ac:dyDescent="0.25">
      <c r="B214" s="650">
        <v>-0.98170350963180864</v>
      </c>
      <c r="C214" s="651">
        <v>-3.5028109822502156</v>
      </c>
      <c r="D214" s="652">
        <v>-0.69077832518176241</v>
      </c>
      <c r="E214" s="653">
        <v>0.72787462606104136</v>
      </c>
      <c r="F214" s="651">
        <v>-0.60875960938270246</v>
      </c>
      <c r="G214" s="654">
        <v>0.31561094201677908</v>
      </c>
      <c r="H214" s="653">
        <v>0.26600000000000001</v>
      </c>
      <c r="I214" s="942">
        <v>0.52</v>
      </c>
      <c r="J214" s="946">
        <v>4.2249999999999996</v>
      </c>
      <c r="K214" s="931">
        <f>IF($J214="","",IF(IFERROR(INDEX(Settings!$AK$14:$AK$60,MATCH((((ROUND($H214,6)*2)*1000000)+ROUND($I214,6)),Settings!$AI$14:$AI$60,0)),"Undefined")="Undefined","Undefined",IFERROR(INDEX(_xlfn.ANCHORARRAY(Settings!$BC$14),MATCH(IFERROR(INDEX(Settings!$AK$14:$AK$60,MATCH((((ROUND($H214,6)*2)*1000000)+ROUND($I214,6)),Settings!$AI$14:$AI$60,0)),"Undefined"),_xlfn.ANCHORARRAY(Settings!$BC$14),0)),"Inactive")))</f>
        <v>1313</v>
      </c>
      <c r="L214" s="683"/>
      <c r="M214" s="934" t="s">
        <v>9</v>
      </c>
      <c r="N214" s="31" t="str">
        <f t="shared" si="1330"/>
        <v>N</v>
      </c>
      <c r="O214" s="162" t="str">
        <f t="shared" si="1334"/>
        <v/>
      </c>
      <c r="P214" s="162" t="str">
        <f t="shared" si="1335"/>
        <v/>
      </c>
      <c r="Q214" s="162" t="str">
        <f t="shared" si="1336"/>
        <v/>
      </c>
      <c r="R214" s="162" t="str">
        <f t="shared" si="1331"/>
        <v/>
      </c>
      <c r="S214" s="162" t="str">
        <f t="shared" si="1327"/>
        <v/>
      </c>
      <c r="T214" s="162" t="str">
        <f t="shared" si="1328"/>
        <v/>
      </c>
      <c r="U214" s="162" t="str">
        <f>IFERROR(IF(ISNUMBER(MATCH($X214,Settings!$AK$52:$AK$60,0)),INDEX(Settings!$AO$14:$AO$60,MATCH($X214,Settings!$AK$14:$AK$60,0))/2,INDEX(Settings!$AM$14:$AM$60,MATCH($X214,Settings!$AK$14:$AK$60,0))/2),"")</f>
        <v/>
      </c>
      <c r="V214" s="162" t="str">
        <f t="shared" si="1337"/>
        <v/>
      </c>
      <c r="W214" s="75"/>
      <c r="X214" s="937" t="str">
        <f t="shared" si="1332"/>
        <v/>
      </c>
      <c r="Y214" s="31"/>
      <c r="AK214" s="82" t="str">
        <f t="shared" si="1333"/>
        <v/>
      </c>
      <c r="AL214" s="419" t="s">
        <v>400</v>
      </c>
    </row>
    <row r="215" spans="2:38" x14ac:dyDescent="0.25">
      <c r="B215" s="650">
        <v>-1.3778283282282824</v>
      </c>
      <c r="C215" s="651">
        <v>-3.6540806165691477</v>
      </c>
      <c r="D215" s="652">
        <v>-1.3180509655661801</v>
      </c>
      <c r="E215" s="653">
        <v>-0.33438916350355274</v>
      </c>
      <c r="F215" s="651">
        <v>-0.88681945037397825</v>
      </c>
      <c r="G215" s="654">
        <v>0.31895947982430234</v>
      </c>
      <c r="H215" s="653">
        <v>0.25700000000000001</v>
      </c>
      <c r="I215" s="942">
        <v>0.41499999999999992</v>
      </c>
      <c r="J215" s="946">
        <v>4.2309999999999999</v>
      </c>
      <c r="K215" s="931" t="str">
        <f>IF($J215="","",IF(IFERROR(INDEX(Settings!$AK$14:$AK$60,MATCH((((ROUND($H215,6)*2)*1000000)+ROUND($I215,6)),Settings!$AI$14:$AI$60,0)),"Undefined")="Undefined","Undefined",IFERROR(INDEX(_xlfn.ANCHORARRAY(Settings!$BC$14),MATCH(IFERROR(INDEX(Settings!$AK$14:$AK$60,MATCH((((ROUND($H215,6)*2)*1000000)+ROUND($I215,6)),Settings!$AI$14:$AI$60,0)),"Undefined"),_xlfn.ANCHORARRAY(Settings!$BC$14),0)),"Inactive")))</f>
        <v>CPS-32193r1</v>
      </c>
      <c r="L215" s="683"/>
      <c r="M215" s="934" t="s">
        <v>9</v>
      </c>
      <c r="N215" s="31" t="str">
        <f t="shared" si="1330"/>
        <v>N</v>
      </c>
      <c r="O215" s="162" t="str">
        <f t="shared" si="1334"/>
        <v/>
      </c>
      <c r="P215" s="162" t="str">
        <f t="shared" si="1335"/>
        <v/>
      </c>
      <c r="Q215" s="162" t="str">
        <f t="shared" si="1336"/>
        <v/>
      </c>
      <c r="R215" s="162" t="str">
        <f t="shared" si="1331"/>
        <v/>
      </c>
      <c r="S215" s="162" t="str">
        <f t="shared" si="1327"/>
        <v/>
      </c>
      <c r="T215" s="162" t="str">
        <f t="shared" si="1328"/>
        <v/>
      </c>
      <c r="U215" s="162" t="str">
        <f>IFERROR(IF(ISNUMBER(MATCH($X215,Settings!$AK$52:$AK$60,0)),INDEX(Settings!$AO$14:$AO$60,MATCH($X215,Settings!$AK$14:$AK$60,0))/2,INDEX(Settings!$AM$14:$AM$60,MATCH($X215,Settings!$AK$14:$AK$60,0))/2),"")</f>
        <v/>
      </c>
      <c r="V215" s="162" t="str">
        <f t="shared" si="1337"/>
        <v/>
      </c>
      <c r="W215" s="75"/>
      <c r="X215" s="937" t="str">
        <f t="shared" si="1332"/>
        <v/>
      </c>
      <c r="Y215" s="31"/>
      <c r="AK215" s="82" t="str">
        <f t="shared" si="1333"/>
        <v/>
      </c>
      <c r="AL215" s="419" t="s">
        <v>400</v>
      </c>
    </row>
    <row r="216" spans="2:38" x14ac:dyDescent="0.25">
      <c r="B216" s="650">
        <v>-1.472617981640413</v>
      </c>
      <c r="C216" s="651">
        <v>-3.708077451126619</v>
      </c>
      <c r="D216" s="652">
        <v>-2.0738181088506269</v>
      </c>
      <c r="E216" s="653">
        <v>-0.36769187731507486</v>
      </c>
      <c r="F216" s="651">
        <v>-0.92585448244741586</v>
      </c>
      <c r="G216" s="654">
        <v>8.7155956127758963E-2</v>
      </c>
      <c r="H216" s="653">
        <v>0.25700000000000001</v>
      </c>
      <c r="I216" s="942">
        <v>0.41499999999999992</v>
      </c>
      <c r="J216" s="946">
        <v>4.2370000000000001</v>
      </c>
      <c r="K216" s="931" t="str">
        <f>IF($J216="","",IF(IFERROR(INDEX(Settings!$AK$14:$AK$60,MATCH((((ROUND($H216,6)*2)*1000000)+ROUND($I216,6)),Settings!$AI$14:$AI$60,0)),"Undefined")="Undefined","Undefined",IFERROR(INDEX(_xlfn.ANCHORARRAY(Settings!$BC$14),MATCH(IFERROR(INDEX(Settings!$AK$14:$AK$60,MATCH((((ROUND($H216,6)*2)*1000000)+ROUND($I216,6)),Settings!$AI$14:$AI$60,0)),"Undefined"),_xlfn.ANCHORARRAY(Settings!$BC$14),0)),"Inactive")))</f>
        <v>CPS-32193r1</v>
      </c>
      <c r="L216" s="683"/>
      <c r="M216" s="934" t="s">
        <v>9</v>
      </c>
      <c r="N216" s="31" t="str">
        <f t="shared" si="1330"/>
        <v>N</v>
      </c>
      <c r="O216" s="162" t="str">
        <f t="shared" si="1334"/>
        <v/>
      </c>
      <c r="P216" s="162" t="str">
        <f t="shared" si="1335"/>
        <v/>
      </c>
      <c r="Q216" s="162" t="str">
        <f t="shared" si="1336"/>
        <v/>
      </c>
      <c r="R216" s="162" t="str">
        <f t="shared" si="1331"/>
        <v/>
      </c>
      <c r="S216" s="162" t="str">
        <f t="shared" si="1327"/>
        <v/>
      </c>
      <c r="T216" s="162" t="str">
        <f t="shared" si="1328"/>
        <v/>
      </c>
      <c r="U216" s="162" t="str">
        <f>IFERROR(IF(ISNUMBER(MATCH($X216,Settings!$AK$52:$AK$60,0)),INDEX(Settings!$AO$14:$AO$60,MATCH($X216,Settings!$AK$14:$AK$60,0))/2,INDEX(Settings!$AM$14:$AM$60,MATCH($X216,Settings!$AK$14:$AK$60,0))/2),"")</f>
        <v/>
      </c>
      <c r="V216" s="162" t="str">
        <f t="shared" si="1337"/>
        <v/>
      </c>
      <c r="W216" s="75"/>
      <c r="X216" s="937" t="str">
        <f t="shared" si="1332"/>
        <v/>
      </c>
      <c r="Y216" s="31"/>
      <c r="AK216" s="82" t="str">
        <f t="shared" si="1333"/>
        <v/>
      </c>
      <c r="AL216" s="419" t="s">
        <v>400</v>
      </c>
    </row>
    <row r="217" spans="2:38" x14ac:dyDescent="0.25">
      <c r="B217" s="650">
        <v>-0.28299768674639098</v>
      </c>
      <c r="C217" s="651">
        <v>-4.0470296758290498</v>
      </c>
      <c r="D217" s="652">
        <v>-4.7500143260432068</v>
      </c>
      <c r="E217" s="653">
        <v>0.72204367311934226</v>
      </c>
      <c r="F217" s="651">
        <v>-0.65598827668273141</v>
      </c>
      <c r="G217" s="654">
        <v>-0.21984611655234854</v>
      </c>
      <c r="H217" s="653">
        <v>0.26600000000000001</v>
      </c>
      <c r="I217" s="942">
        <v>0.52</v>
      </c>
      <c r="J217" s="946">
        <v>4.343</v>
      </c>
      <c r="K217" s="931">
        <f>IF($J217="","",IF(IFERROR(INDEX(Settings!$AK$14:$AK$60,MATCH((((ROUND($H217,6)*2)*1000000)+ROUND($I217,6)),Settings!$AI$14:$AI$60,0)),"Undefined")="Undefined","Undefined",IFERROR(INDEX(_xlfn.ANCHORARRAY(Settings!$BC$14),MATCH(IFERROR(INDEX(Settings!$AK$14:$AK$60,MATCH((((ROUND($H217,6)*2)*1000000)+ROUND($I217,6)),Settings!$AI$14:$AI$60,0)),"Undefined"),_xlfn.ANCHORARRAY(Settings!$BC$14),0)),"Inactive")))</f>
        <v>1313</v>
      </c>
      <c r="L217" s="683"/>
      <c r="M217" s="934" t="s">
        <v>9</v>
      </c>
      <c r="N217" s="31" t="str">
        <f t="shared" si="1330"/>
        <v>N</v>
      </c>
      <c r="O217" s="162" t="str">
        <f t="shared" si="1334"/>
        <v/>
      </c>
      <c r="P217" s="162" t="str">
        <f t="shared" si="1335"/>
        <v/>
      </c>
      <c r="Q217" s="162" t="str">
        <f t="shared" si="1336"/>
        <v/>
      </c>
      <c r="R217" s="162" t="str">
        <f t="shared" si="1331"/>
        <v/>
      </c>
      <c r="S217" s="162" t="str">
        <f t="shared" si="1327"/>
        <v/>
      </c>
      <c r="T217" s="162" t="str">
        <f t="shared" si="1328"/>
        <v/>
      </c>
      <c r="U217" s="162" t="str">
        <f>IFERROR(IF(ISNUMBER(MATCH($X217,Settings!$AK$52:$AK$60,0)),INDEX(Settings!$AO$14:$AO$60,MATCH($X217,Settings!$AK$14:$AK$60,0))/2,INDEX(Settings!$AM$14:$AM$60,MATCH($X217,Settings!$AK$14:$AK$60,0))/2),"")</f>
        <v/>
      </c>
      <c r="V217" s="162" t="str">
        <f t="shared" si="1337"/>
        <v/>
      </c>
      <c r="W217" s="75"/>
      <c r="X217" s="937" t="str">
        <f t="shared" si="1332"/>
        <v/>
      </c>
      <c r="Y217" s="31" t="s">
        <v>9</v>
      </c>
      <c r="AK217" s="82" t="str">
        <f t="shared" si="1333"/>
        <v/>
      </c>
      <c r="AL217" s="419" t="s">
        <v>400</v>
      </c>
    </row>
    <row r="218" spans="2:38" x14ac:dyDescent="0.25">
      <c r="B218" s="650">
        <v>-0.4023687864453307</v>
      </c>
      <c r="C218" s="651">
        <v>-0.28174146852498344</v>
      </c>
      <c r="D218" s="652">
        <v>-0.43530131286875973</v>
      </c>
      <c r="E218" s="653">
        <v>0.57555437099860174</v>
      </c>
      <c r="F218" s="651">
        <v>-0.7441454016889234</v>
      </c>
      <c r="G218" s="654">
        <v>0.33909406831974337</v>
      </c>
      <c r="H218" s="653">
        <v>0.26600000000000001</v>
      </c>
      <c r="I218" s="942">
        <v>0.52</v>
      </c>
      <c r="J218" s="946">
        <v>5.1020000000000003</v>
      </c>
      <c r="K218" s="931">
        <f>IF($J218="","",IF(IFERROR(INDEX(Settings!$AK$14:$AK$60,MATCH((((ROUND($H218,6)*2)*1000000)+ROUND($I218,6)),Settings!$AI$14:$AI$60,0)),"Undefined")="Undefined","Undefined",IFERROR(INDEX(_xlfn.ANCHORARRAY(Settings!$BC$14),MATCH(IFERROR(INDEX(Settings!$AK$14:$AK$60,MATCH((((ROUND($H218,6)*2)*1000000)+ROUND($I218,6)),Settings!$AI$14:$AI$60,0)),"Undefined"),_xlfn.ANCHORARRAY(Settings!$BC$14),0)),"Inactive")))</f>
        <v>1313</v>
      </c>
      <c r="L218" s="683"/>
      <c r="M218" s="934"/>
      <c r="N218" s="31" t="str">
        <f t="shared" si="1330"/>
        <v>Y</v>
      </c>
      <c r="O218" s="162" t="str">
        <f t="shared" si="1334"/>
        <v/>
      </c>
      <c r="P218" s="162" t="str">
        <f t="shared" si="1335"/>
        <v/>
      </c>
      <c r="Q218" s="162" t="str">
        <f t="shared" si="1336"/>
        <v/>
      </c>
      <c r="R218" s="162" t="str">
        <f t="shared" si="1331"/>
        <v/>
      </c>
      <c r="S218" s="162" t="str">
        <f t="shared" si="1327"/>
        <v/>
      </c>
      <c r="T218" s="162" t="str">
        <f t="shared" si="1328"/>
        <v/>
      </c>
      <c r="U218" s="162" t="str">
        <f>IFERROR(IF(ISNUMBER(MATCH($X218,Settings!$AK$52:$AK$60,0)),INDEX(Settings!$AO$14:$AO$60,MATCH($X218,Settings!$AK$14:$AK$60,0))/2,INDEX(Settings!$AM$14:$AM$60,MATCH($X218,Settings!$AK$14:$AK$60,0))/2),"")</f>
        <v/>
      </c>
      <c r="V218" s="162" t="str">
        <f t="shared" si="1337"/>
        <v/>
      </c>
      <c r="W218" s="75"/>
      <c r="X218" s="937" t="str">
        <f t="shared" si="1332"/>
        <v/>
      </c>
      <c r="Y218" s="31"/>
      <c r="AK218" s="82" t="str">
        <f t="shared" si="1333"/>
        <v>Y</v>
      </c>
      <c r="AL218" s="419" t="s">
        <v>400</v>
      </c>
    </row>
    <row r="219" spans="2:38" x14ac:dyDescent="0.25">
      <c r="B219" s="650">
        <v>-0.88665304244386389</v>
      </c>
      <c r="C219" s="651">
        <v>-0.62084072787345701</v>
      </c>
      <c r="D219" s="652">
        <v>-0.27690083513291885</v>
      </c>
      <c r="E219" s="653">
        <v>0.56938716152390156</v>
      </c>
      <c r="F219" s="651">
        <v>-0.76874338762125927</v>
      </c>
      <c r="G219" s="654">
        <v>0.29125910162661833</v>
      </c>
      <c r="H219" s="653">
        <v>0.26600000000000001</v>
      </c>
      <c r="I219" s="942">
        <v>0.52</v>
      </c>
      <c r="J219" s="946">
        <v>5.1050000000000004</v>
      </c>
      <c r="K219" s="931">
        <f>IF($J219="","",IF(IFERROR(INDEX(Settings!$AK$14:$AK$60,MATCH((((ROUND($H219,6)*2)*1000000)+ROUND($I219,6)),Settings!$AI$14:$AI$60,0)),"Undefined")="Undefined","Undefined",IFERROR(INDEX(_xlfn.ANCHORARRAY(Settings!$BC$14),MATCH(IFERROR(INDEX(Settings!$AK$14:$AK$60,MATCH((((ROUND($H219,6)*2)*1000000)+ROUND($I219,6)),Settings!$AI$14:$AI$60,0)),"Undefined"),_xlfn.ANCHORARRAY(Settings!$BC$14),0)),"Inactive")))</f>
        <v>1313</v>
      </c>
      <c r="L219" s="683"/>
      <c r="M219" s="934"/>
      <c r="N219" s="31" t="str">
        <f t="shared" si="1330"/>
        <v>Y</v>
      </c>
      <c r="O219" s="162" t="str">
        <f t="shared" si="1334"/>
        <v/>
      </c>
      <c r="P219" s="162" t="str">
        <f t="shared" si="1335"/>
        <v/>
      </c>
      <c r="Q219" s="162" t="str">
        <f t="shared" si="1336"/>
        <v/>
      </c>
      <c r="R219" s="162" t="str">
        <f t="shared" si="1331"/>
        <v/>
      </c>
      <c r="S219" s="162" t="str">
        <f t="shared" si="1327"/>
        <v/>
      </c>
      <c r="T219" s="162" t="str">
        <f t="shared" si="1328"/>
        <v/>
      </c>
      <c r="U219" s="162" t="str">
        <f>IFERROR(IF(ISNUMBER(MATCH($X219,Settings!$AK$52:$AK$60,0)),INDEX(Settings!$AO$14:$AO$60,MATCH($X219,Settings!$AK$14:$AK$60,0))/2,INDEX(Settings!$AM$14:$AM$60,MATCH($X219,Settings!$AK$14:$AK$60,0))/2),"")</f>
        <v/>
      </c>
      <c r="V219" s="162" t="str">
        <f t="shared" si="1337"/>
        <v/>
      </c>
      <c r="W219" s="75"/>
      <c r="X219" s="937" t="str">
        <f t="shared" si="1332"/>
        <v/>
      </c>
      <c r="Y219" s="31"/>
      <c r="AK219" s="82" t="str">
        <f t="shared" si="1333"/>
        <v>Y</v>
      </c>
      <c r="AL219" s="419" t="s">
        <v>400</v>
      </c>
    </row>
    <row r="220" spans="2:38" x14ac:dyDescent="0.25">
      <c r="B220" s="650">
        <v>-1.3803575774410153</v>
      </c>
      <c r="C220" s="651">
        <v>-0.96653613316663178</v>
      </c>
      <c r="D220" s="652">
        <v>-0.17440052599198644</v>
      </c>
      <c r="E220" s="653">
        <v>0.55687195444872939</v>
      </c>
      <c r="F220" s="651">
        <v>-0.77750662408252591</v>
      </c>
      <c r="G220" s="654">
        <v>0.2921935588890458</v>
      </c>
      <c r="H220" s="653">
        <v>0.26600000000000001</v>
      </c>
      <c r="I220" s="942">
        <v>0.52</v>
      </c>
      <c r="J220" s="946">
        <v>5.1079999999999997</v>
      </c>
      <c r="K220" s="931">
        <f>IF($J220="","",IF(IFERROR(INDEX(Settings!$AK$14:$AK$60,MATCH((((ROUND($H220,6)*2)*1000000)+ROUND($I220,6)),Settings!$AI$14:$AI$60,0)),"Undefined")="Undefined","Undefined",IFERROR(INDEX(_xlfn.ANCHORARRAY(Settings!$BC$14),MATCH(IFERROR(INDEX(Settings!$AK$14:$AK$60,MATCH((((ROUND($H220,6)*2)*1000000)+ROUND($I220,6)),Settings!$AI$14:$AI$60,0)),"Undefined"),_xlfn.ANCHORARRAY(Settings!$BC$14),0)),"Inactive")))</f>
        <v>1313</v>
      </c>
      <c r="L220" s="683"/>
      <c r="M220" s="934"/>
      <c r="N220" s="31" t="str">
        <f t="shared" si="1330"/>
        <v>Y</v>
      </c>
      <c r="O220" s="162" t="str">
        <f t="shared" si="1334"/>
        <v/>
      </c>
      <c r="P220" s="162" t="str">
        <f t="shared" si="1335"/>
        <v/>
      </c>
      <c r="Q220" s="162" t="str">
        <f t="shared" si="1336"/>
        <v/>
      </c>
      <c r="R220" s="162" t="str">
        <f t="shared" si="1331"/>
        <v/>
      </c>
      <c r="S220" s="162" t="str">
        <f t="shared" si="1327"/>
        <v/>
      </c>
      <c r="T220" s="162" t="str">
        <f t="shared" si="1328"/>
        <v/>
      </c>
      <c r="U220" s="162" t="str">
        <f>IFERROR(IF(ISNUMBER(MATCH($X220,Settings!$AK$52:$AK$60,0)),INDEX(Settings!$AO$14:$AO$60,MATCH($X220,Settings!$AK$14:$AK$60,0))/2,INDEX(Settings!$AM$14:$AM$60,MATCH($X220,Settings!$AK$14:$AK$60,0))/2),"")</f>
        <v/>
      </c>
      <c r="V220" s="162" t="str">
        <f t="shared" si="1337"/>
        <v/>
      </c>
      <c r="W220" s="75"/>
      <c r="X220" s="937" t="str">
        <f t="shared" si="1332"/>
        <v/>
      </c>
      <c r="Y220" s="31"/>
      <c r="AK220" s="82" t="str">
        <f t="shared" si="1333"/>
        <v>Y</v>
      </c>
      <c r="AL220" s="419" t="s">
        <v>400</v>
      </c>
    </row>
    <row r="221" spans="2:38" x14ac:dyDescent="0.25">
      <c r="B221" s="650">
        <v>-1.9049594491625776</v>
      </c>
      <c r="C221" s="651">
        <v>-1.3229944951664849</v>
      </c>
      <c r="D221" s="652">
        <v>-9.5800288933671526E-2</v>
      </c>
      <c r="E221" s="653">
        <v>0.51208003676422242</v>
      </c>
      <c r="F221" s="651">
        <v>-0.8017546701474596</v>
      </c>
      <c r="G221" s="654">
        <v>0.30816145905075631</v>
      </c>
      <c r="H221" s="653">
        <v>0.26600000000000001</v>
      </c>
      <c r="I221" s="942">
        <v>0.52</v>
      </c>
      <c r="J221" s="946">
        <v>5.1120000000000001</v>
      </c>
      <c r="K221" s="931">
        <f>IF($J221="","",IF(IFERROR(INDEX(Settings!$AK$14:$AK$60,MATCH((((ROUND($H221,6)*2)*1000000)+ROUND($I221,6)),Settings!$AI$14:$AI$60,0)),"Undefined")="Undefined","Undefined",IFERROR(INDEX(_xlfn.ANCHORARRAY(Settings!$BC$14),MATCH(IFERROR(INDEX(Settings!$AK$14:$AK$60,MATCH((((ROUND($H221,6)*2)*1000000)+ROUND($I221,6)),Settings!$AI$14:$AI$60,0)),"Undefined"),_xlfn.ANCHORARRAY(Settings!$BC$14),0)),"Inactive")))</f>
        <v>1313</v>
      </c>
      <c r="L221" s="683"/>
      <c r="M221" s="934"/>
      <c r="N221" s="31" t="str">
        <f t="shared" si="1330"/>
        <v>Y</v>
      </c>
      <c r="O221" s="162" t="str">
        <f t="shared" si="1334"/>
        <v/>
      </c>
      <c r="P221" s="162" t="str">
        <f t="shared" si="1335"/>
        <v/>
      </c>
      <c r="Q221" s="162" t="str">
        <f t="shared" si="1336"/>
        <v/>
      </c>
      <c r="R221" s="162" t="str">
        <f t="shared" si="1331"/>
        <v/>
      </c>
      <c r="S221" s="162" t="str">
        <f t="shared" si="1327"/>
        <v/>
      </c>
      <c r="T221" s="162" t="str">
        <f t="shared" si="1328"/>
        <v/>
      </c>
      <c r="U221" s="162" t="str">
        <f>IFERROR(IF(ISNUMBER(MATCH($X221,Settings!$AK$52:$AK$60,0)),INDEX(Settings!$AO$14:$AO$60,MATCH($X221,Settings!$AK$14:$AK$60,0))/2,INDEX(Settings!$AM$14:$AM$60,MATCH($X221,Settings!$AK$14:$AK$60,0))/2),"")</f>
        <v/>
      </c>
      <c r="V221" s="162" t="str">
        <f t="shared" si="1337"/>
        <v/>
      </c>
      <c r="W221" s="75"/>
      <c r="X221" s="937" t="str">
        <f t="shared" si="1332"/>
        <v/>
      </c>
      <c r="Y221" s="31"/>
      <c r="AK221" s="82" t="str">
        <f t="shared" si="1333"/>
        <v>Y</v>
      </c>
      <c r="AL221" s="419" t="s">
        <v>9</v>
      </c>
    </row>
    <row r="222" spans="2:38" x14ac:dyDescent="0.25">
      <c r="B222" s="650">
        <v>-2.4855844977590573</v>
      </c>
      <c r="C222" s="651">
        <v>-1.6771780431638084</v>
      </c>
      <c r="D222" s="652">
        <v>-0.20800062732989225</v>
      </c>
      <c r="E222" s="653">
        <v>0.38329718890326075</v>
      </c>
      <c r="F222" s="651">
        <v>-0.86516737853860193</v>
      </c>
      <c r="G222" s="654">
        <v>0.32337079659657225</v>
      </c>
      <c r="H222" s="653">
        <v>0.26600000000000001</v>
      </c>
      <c r="I222" s="942">
        <v>0.52</v>
      </c>
      <c r="J222" s="946">
        <v>5.1180000000000003</v>
      </c>
      <c r="K222" s="931">
        <f>IF($J222="","",IF(IFERROR(INDEX(Settings!$AK$14:$AK$60,MATCH((((ROUND($H222,6)*2)*1000000)+ROUND($I222,6)),Settings!$AI$14:$AI$60,0)),"Undefined")="Undefined","Undefined",IFERROR(INDEX(_xlfn.ANCHORARRAY(Settings!$BC$14),MATCH(IFERROR(INDEX(Settings!$AK$14:$AK$60,MATCH((((ROUND($H222,6)*2)*1000000)+ROUND($I222,6)),Settings!$AI$14:$AI$60,0)),"Undefined"),_xlfn.ANCHORARRAY(Settings!$BC$14),0)),"Inactive")))</f>
        <v>1313</v>
      </c>
      <c r="L222" s="683"/>
      <c r="M222" s="934"/>
      <c r="N222" s="31" t="str">
        <f t="shared" si="1330"/>
        <v>Y</v>
      </c>
      <c r="O222" s="162" t="str">
        <f t="shared" si="1334"/>
        <v/>
      </c>
      <c r="P222" s="162" t="str">
        <f t="shared" si="1335"/>
        <v/>
      </c>
      <c r="Q222" s="162" t="str">
        <f t="shared" si="1336"/>
        <v/>
      </c>
      <c r="R222" s="162" t="str">
        <f t="shared" si="1331"/>
        <v/>
      </c>
      <c r="S222" s="162" t="str">
        <f t="shared" si="1327"/>
        <v/>
      </c>
      <c r="T222" s="162" t="str">
        <f t="shared" si="1328"/>
        <v/>
      </c>
      <c r="U222" s="162" t="str">
        <f>IFERROR(IF(ISNUMBER(MATCH($X222,Settings!$AK$52:$AK$60,0)),INDEX(Settings!$AO$14:$AO$60,MATCH($X222,Settings!$AK$14:$AK$60,0))/2,INDEX(Settings!$AM$14:$AM$60,MATCH($X222,Settings!$AK$14:$AK$60,0))/2),"")</f>
        <v/>
      </c>
      <c r="V222" s="162" t="str">
        <f t="shared" si="1337"/>
        <v/>
      </c>
      <c r="W222" s="75"/>
      <c r="X222" s="937" t="str">
        <f t="shared" si="1332"/>
        <v/>
      </c>
      <c r="Y222" s="31"/>
      <c r="AK222" s="82" t="str">
        <f t="shared" si="1333"/>
        <v>Y</v>
      </c>
      <c r="AL222" s="419" t="s">
        <v>9</v>
      </c>
    </row>
    <row r="223" spans="2:38" x14ac:dyDescent="0.25">
      <c r="B223" s="650">
        <v>-2.9858479940693243</v>
      </c>
      <c r="C223" s="651">
        <v>-1.952394626161114</v>
      </c>
      <c r="D223" s="652">
        <v>-0.59500179452541235</v>
      </c>
      <c r="E223" s="653">
        <v>0.24086566162374121</v>
      </c>
      <c r="F223" s="651">
        <v>-0.92921035201955138</v>
      </c>
      <c r="G223" s="654">
        <v>0.28027103801545189</v>
      </c>
      <c r="H223" s="653">
        <v>0.26600000000000001</v>
      </c>
      <c r="I223" s="942">
        <v>0.52</v>
      </c>
      <c r="J223" s="946">
        <v>5.1239999999999997</v>
      </c>
      <c r="K223" s="931">
        <f>IF($J223="","",IF(IFERROR(INDEX(Settings!$AK$14:$AK$60,MATCH((((ROUND($H223,6)*2)*1000000)+ROUND($I223,6)),Settings!$AI$14:$AI$60,0)),"Undefined")="Undefined","Undefined",IFERROR(INDEX(_xlfn.ANCHORARRAY(Settings!$BC$14),MATCH(IFERROR(INDEX(Settings!$AK$14:$AK$60,MATCH((((ROUND($H223,6)*2)*1000000)+ROUND($I223,6)),Settings!$AI$14:$AI$60,0)),"Undefined"),_xlfn.ANCHORARRAY(Settings!$BC$14),0)),"Inactive")))</f>
        <v>1313</v>
      </c>
      <c r="L223" s="683"/>
      <c r="M223" s="934"/>
      <c r="N223" s="31" t="str">
        <f t="shared" si="1330"/>
        <v>Y</v>
      </c>
      <c r="O223" s="162" t="str">
        <f t="shared" si="1334"/>
        <v/>
      </c>
      <c r="P223" s="162" t="str">
        <f t="shared" si="1335"/>
        <v/>
      </c>
      <c r="Q223" s="162" t="str">
        <f t="shared" si="1336"/>
        <v/>
      </c>
      <c r="R223" s="162" t="str">
        <f t="shared" si="1331"/>
        <v/>
      </c>
      <c r="S223" s="162" t="str">
        <f t="shared" si="1327"/>
        <v/>
      </c>
      <c r="T223" s="162" t="str">
        <f t="shared" si="1328"/>
        <v/>
      </c>
      <c r="U223" s="162" t="str">
        <f>IFERROR(IF(ISNUMBER(MATCH($X223,Settings!$AK$52:$AK$60,0)),INDEX(Settings!$AO$14:$AO$60,MATCH($X223,Settings!$AK$14:$AK$60,0))/2,INDEX(Settings!$AM$14:$AM$60,MATCH($X223,Settings!$AK$14:$AK$60,0))/2),"")</f>
        <v/>
      </c>
      <c r="V223" s="162" t="str">
        <f t="shared" si="1337"/>
        <v/>
      </c>
      <c r="W223" s="75"/>
      <c r="X223" s="937" t="str">
        <f t="shared" si="1332"/>
        <v/>
      </c>
      <c r="Y223" s="31"/>
      <c r="AK223" s="82" t="str">
        <f t="shared" si="1333"/>
        <v>Y</v>
      </c>
      <c r="AL223" s="419" t="s">
        <v>9</v>
      </c>
    </row>
    <row r="224" spans="2:38" x14ac:dyDescent="0.25">
      <c r="B224" s="650">
        <v>-3.3010197813055635</v>
      </c>
      <c r="C224" s="651">
        <v>-2.11677564238463</v>
      </c>
      <c r="D224" s="652">
        <v>-1.1853035748755818</v>
      </c>
      <c r="E224" s="653">
        <v>0.11348272551365081</v>
      </c>
      <c r="F224" s="651">
        <v>-0.9780580459819922</v>
      </c>
      <c r="G224" s="654">
        <v>0.17471156143736088</v>
      </c>
      <c r="H224" s="653">
        <v>0.26600000000000001</v>
      </c>
      <c r="I224" s="942">
        <v>0.52</v>
      </c>
      <c r="J224" s="946">
        <v>5.13</v>
      </c>
      <c r="K224" s="931">
        <f>IF($J224="","",IF(IFERROR(INDEX(Settings!$AK$14:$AK$60,MATCH((((ROUND($H224,6)*2)*1000000)+ROUND($I224,6)),Settings!$AI$14:$AI$60,0)),"Undefined")="Undefined","Undefined",IFERROR(INDEX(_xlfn.ANCHORARRAY(Settings!$BC$14),MATCH(IFERROR(INDEX(Settings!$AK$14:$AK$60,MATCH((((ROUND($H224,6)*2)*1000000)+ROUND($I224,6)),Settings!$AI$14:$AI$60,0)),"Undefined"),_xlfn.ANCHORARRAY(Settings!$BC$14),0)),"Inactive")))</f>
        <v>1313</v>
      </c>
      <c r="L224" s="683"/>
      <c r="M224" s="934"/>
      <c r="N224" s="31" t="str">
        <f t="shared" si="1330"/>
        <v>Y</v>
      </c>
      <c r="O224" s="162" t="str">
        <f t="shared" si="1334"/>
        <v/>
      </c>
      <c r="P224" s="162" t="str">
        <f t="shared" si="1335"/>
        <v/>
      </c>
      <c r="Q224" s="162" t="str">
        <f t="shared" si="1336"/>
        <v/>
      </c>
      <c r="R224" s="162" t="str">
        <f t="shared" si="1331"/>
        <v/>
      </c>
      <c r="S224" s="162" t="str">
        <f t="shared" si="1327"/>
        <v/>
      </c>
      <c r="T224" s="162" t="str">
        <f t="shared" si="1328"/>
        <v/>
      </c>
      <c r="U224" s="162" t="str">
        <f>IFERROR(IF(ISNUMBER(MATCH($X224,Settings!$AK$52:$AK$60,0)),INDEX(Settings!$AO$14:$AO$60,MATCH($X224,Settings!$AK$14:$AK$60,0))/2,INDEX(Settings!$AM$14:$AM$60,MATCH($X224,Settings!$AK$14:$AK$60,0))/2),"")</f>
        <v/>
      </c>
      <c r="V224" s="162" t="str">
        <f t="shared" si="1337"/>
        <v/>
      </c>
      <c r="W224" s="75"/>
      <c r="X224" s="937" t="str">
        <f t="shared" si="1332"/>
        <v/>
      </c>
      <c r="Y224" s="31"/>
      <c r="AK224" s="82" t="str">
        <f t="shared" si="1333"/>
        <v>Y</v>
      </c>
      <c r="AL224" s="419" t="s">
        <v>9</v>
      </c>
    </row>
    <row r="225" spans="2:38" x14ac:dyDescent="0.25">
      <c r="B225" s="650">
        <v>-3.4096380822602321</v>
      </c>
      <c r="C225" s="651">
        <v>-2.1797146502868414</v>
      </c>
      <c r="D225" s="652">
        <v>-1.9480058751857188</v>
      </c>
      <c r="E225" s="653">
        <v>3.8096309444734515E-2</v>
      </c>
      <c r="F225" s="651">
        <v>-0.99829451429045624</v>
      </c>
      <c r="G225" s="654">
        <v>4.4234985523600237E-2</v>
      </c>
      <c r="H225" s="653">
        <v>0.26600000000000001</v>
      </c>
      <c r="I225" s="942">
        <v>0.52</v>
      </c>
      <c r="J225" s="946">
        <v>5.1360000000000001</v>
      </c>
      <c r="K225" s="931">
        <f>IF($J225="","",IF(IFERROR(INDEX(Settings!$AK$14:$AK$60,MATCH((((ROUND($H225,6)*2)*1000000)+ROUND($I225,6)),Settings!$AI$14:$AI$60,0)),"Undefined")="Undefined","Undefined",IFERROR(INDEX(_xlfn.ANCHORARRAY(Settings!$BC$14),MATCH(IFERROR(INDEX(Settings!$AK$14:$AK$60,MATCH((((ROUND($H225,6)*2)*1000000)+ROUND($I225,6)),Settings!$AI$14:$AI$60,0)),"Undefined"),_xlfn.ANCHORARRAY(Settings!$BC$14),0)),"Inactive")))</f>
        <v>1313</v>
      </c>
      <c r="L225" s="683"/>
      <c r="M225" s="934"/>
      <c r="N225" s="31" t="str">
        <f t="shared" si="1330"/>
        <v>Y</v>
      </c>
      <c r="O225" s="162" t="str">
        <f t="shared" si="1334"/>
        <v/>
      </c>
      <c r="P225" s="162" t="str">
        <f t="shared" si="1335"/>
        <v/>
      </c>
      <c r="Q225" s="162" t="str">
        <f t="shared" si="1336"/>
        <v/>
      </c>
      <c r="R225" s="162" t="str">
        <f t="shared" si="1331"/>
        <v/>
      </c>
      <c r="S225" s="162" t="str">
        <f t="shared" si="1327"/>
        <v/>
      </c>
      <c r="T225" s="162" t="str">
        <f t="shared" si="1328"/>
        <v/>
      </c>
      <c r="U225" s="162" t="str">
        <f>IFERROR(IF(ISNUMBER(MATCH($X225,Settings!$AK$52:$AK$60,0)),INDEX(Settings!$AO$14:$AO$60,MATCH($X225,Settings!$AK$14:$AK$60,0))/2,INDEX(Settings!$AM$14:$AM$60,MATCH($X225,Settings!$AK$14:$AK$60,0))/2),"")</f>
        <v/>
      </c>
      <c r="V225" s="162" t="str">
        <f t="shared" si="1337"/>
        <v/>
      </c>
      <c r="W225" s="75"/>
      <c r="X225" s="937" t="str">
        <f t="shared" si="1332"/>
        <v/>
      </c>
      <c r="Y225" s="31"/>
      <c r="AK225" s="82" t="str">
        <f t="shared" si="1333"/>
        <v>Y</v>
      </c>
      <c r="AL225" s="419" t="s">
        <v>9</v>
      </c>
    </row>
    <row r="226" spans="2:38" x14ac:dyDescent="0.25">
      <c r="B226" s="650">
        <v>-1.2602357989283335</v>
      </c>
      <c r="C226" s="651">
        <v>0.22835508531948634</v>
      </c>
      <c r="D226" s="652">
        <v>-0.27401924554862328</v>
      </c>
      <c r="E226" s="653">
        <v>1.434963559124617E-17</v>
      </c>
      <c r="F226" s="651">
        <v>-2.6001580517940039E-18</v>
      </c>
      <c r="G226" s="654">
        <v>1</v>
      </c>
      <c r="H226" s="653">
        <v>0.19500000000000001</v>
      </c>
      <c r="I226" s="942">
        <v>0.21199999999999999</v>
      </c>
      <c r="J226" s="946">
        <v>5.2060000000000004</v>
      </c>
      <c r="K226" s="931" t="str">
        <f>IF($J226="","",IF(IFERROR(INDEX(Settings!$AK$14:$AK$60,MATCH((((ROUND($H226,6)*2)*1000000)+ROUND($I226,6)),Settings!$AI$14:$AI$60,0)),"Undefined")="Undefined","Undefined",IFERROR(INDEX(_xlfn.ANCHORARRAY(Settings!$BC$14),MATCH(IFERROR(INDEX(Settings!$AK$14:$AK$60,MATCH((((ROUND($H226,6)*2)*1000000)+ROUND($I226,6)),Settings!$AI$14:$AI$60,0)),"Undefined"),_xlfn.ANCHORARRAY(Settings!$BC$14),0)),"Inactive")))</f>
        <v>CPS-31783r1</v>
      </c>
      <c r="L226" s="683"/>
      <c r="M226" s="934" t="s">
        <v>9</v>
      </c>
      <c r="N226" s="31" t="str">
        <f t="shared" si="1330"/>
        <v>N</v>
      </c>
      <c r="O226" s="162" t="str">
        <f t="shared" si="1334"/>
        <v/>
      </c>
      <c r="P226" s="162" t="str">
        <f t="shared" si="1335"/>
        <v/>
      </c>
      <c r="Q226" s="162" t="str">
        <f t="shared" si="1336"/>
        <v/>
      </c>
      <c r="R226" s="162" t="str">
        <f t="shared" si="1331"/>
        <v/>
      </c>
      <c r="S226" s="162" t="str">
        <f t="shared" si="1327"/>
        <v/>
      </c>
      <c r="T226" s="162" t="str">
        <f t="shared" si="1328"/>
        <v/>
      </c>
      <c r="U226" s="162" t="str">
        <f>IFERROR(IF(ISNUMBER(MATCH($X226,Settings!$AK$52:$AK$60,0)),INDEX(Settings!$AO$14:$AO$60,MATCH($X226,Settings!$AK$14:$AK$60,0))/2,INDEX(Settings!$AM$14:$AM$60,MATCH($X226,Settings!$AK$14:$AK$60,0))/2),"")</f>
        <v/>
      </c>
      <c r="V226" s="162" t="str">
        <f t="shared" si="1337"/>
        <v/>
      </c>
      <c r="W226" s="75"/>
      <c r="X226" s="937" t="str">
        <f t="shared" si="1332"/>
        <v/>
      </c>
      <c r="Y226" s="31"/>
      <c r="AK226" s="82" t="str">
        <f t="shared" si="1333"/>
        <v/>
      </c>
      <c r="AL226" s="419" t="s">
        <v>400</v>
      </c>
    </row>
    <row r="227" spans="2:38" x14ac:dyDescent="0.25">
      <c r="B227" s="650">
        <v>-1.8803317091661718</v>
      </c>
      <c r="C227" s="651">
        <v>-0.16879428575255098</v>
      </c>
      <c r="D227" s="652">
        <v>-0.21733189479210935</v>
      </c>
      <c r="E227" s="653">
        <v>1.7363040443370617E-17</v>
      </c>
      <c r="F227" s="651">
        <v>1.5586515910169104E-18</v>
      </c>
      <c r="G227" s="654">
        <v>1</v>
      </c>
      <c r="H227" s="653">
        <v>0.25700000000000001</v>
      </c>
      <c r="I227" s="942">
        <v>0.41499999999999992</v>
      </c>
      <c r="J227" s="946">
        <v>5.2089999999999996</v>
      </c>
      <c r="K227" s="931" t="str">
        <f>IF($J227="","",IF(IFERROR(INDEX(Settings!$AK$14:$AK$60,MATCH((((ROUND($H227,6)*2)*1000000)+ROUND($I227,6)),Settings!$AI$14:$AI$60,0)),"Undefined")="Undefined","Undefined",IFERROR(INDEX(_xlfn.ANCHORARRAY(Settings!$BC$14),MATCH(IFERROR(INDEX(Settings!$AK$14:$AK$60,MATCH((((ROUND($H227,6)*2)*1000000)+ROUND($I227,6)),Settings!$AI$14:$AI$60,0)),"Undefined"),_xlfn.ANCHORARRAY(Settings!$BC$14),0)),"Inactive")))</f>
        <v>CPS-32193r1</v>
      </c>
      <c r="L227" s="683"/>
      <c r="M227" s="934" t="s">
        <v>9</v>
      </c>
      <c r="N227" s="31" t="str">
        <f t="shared" si="1330"/>
        <v>N</v>
      </c>
      <c r="O227" s="162" t="str">
        <f t="shared" si="1334"/>
        <v/>
      </c>
      <c r="P227" s="162" t="str">
        <f t="shared" si="1335"/>
        <v/>
      </c>
      <c r="Q227" s="162" t="str">
        <f t="shared" si="1336"/>
        <v/>
      </c>
      <c r="R227" s="162" t="str">
        <f t="shared" si="1331"/>
        <v/>
      </c>
      <c r="S227" s="162" t="str">
        <f t="shared" si="1327"/>
        <v/>
      </c>
      <c r="T227" s="162" t="str">
        <f t="shared" si="1328"/>
        <v/>
      </c>
      <c r="U227" s="162" t="str">
        <f>IFERROR(IF(ISNUMBER(MATCH($X227,Settings!$AK$52:$AK$60,0)),INDEX(Settings!$AO$14:$AO$60,MATCH($X227,Settings!$AK$14:$AK$60,0))/2,INDEX(Settings!$AM$14:$AM$60,MATCH($X227,Settings!$AK$14:$AK$60,0))/2),"")</f>
        <v/>
      </c>
      <c r="V227" s="162" t="str">
        <f t="shared" si="1337"/>
        <v/>
      </c>
      <c r="W227" s="75"/>
      <c r="X227" s="937" t="str">
        <f t="shared" si="1332"/>
        <v/>
      </c>
      <c r="Y227" s="31"/>
      <c r="AK227" s="82" t="str">
        <f t="shared" si="1333"/>
        <v/>
      </c>
      <c r="AL227" s="419" t="s">
        <v>400</v>
      </c>
    </row>
    <row r="228" spans="2:38" x14ac:dyDescent="0.25">
      <c r="B228" s="650">
        <v>-2.8495628974857943</v>
      </c>
      <c r="C228" s="651">
        <v>-0.91987034376999977</v>
      </c>
      <c r="D228" s="652">
        <v>-0.22055843550947685</v>
      </c>
      <c r="E228" s="653">
        <v>8.248462717233436E-2</v>
      </c>
      <c r="F228" s="651">
        <v>-0.91524967583306949</v>
      </c>
      <c r="G228" s="654">
        <v>0.39435303620956469</v>
      </c>
      <c r="H228" s="653">
        <v>0.26600000000000001</v>
      </c>
      <c r="I228" s="942">
        <v>0.52</v>
      </c>
      <c r="J228" s="946">
        <v>5.218</v>
      </c>
      <c r="K228" s="931">
        <f>IF($J228="","",IF(IFERROR(INDEX(Settings!$AK$14:$AK$60,MATCH((((ROUND($H228,6)*2)*1000000)+ROUND($I228,6)),Settings!$AI$14:$AI$60,0)),"Undefined")="Undefined","Undefined",IFERROR(INDEX(_xlfn.ANCHORARRAY(Settings!$BC$14),MATCH(IFERROR(INDEX(Settings!$AK$14:$AK$60,MATCH((((ROUND($H228,6)*2)*1000000)+ROUND($I228,6)),Settings!$AI$14:$AI$60,0)),"Undefined"),_xlfn.ANCHORARRAY(Settings!$BC$14),0)),"Inactive")))</f>
        <v>1313</v>
      </c>
      <c r="L228" s="683"/>
      <c r="M228" s="934" t="s">
        <v>9</v>
      </c>
      <c r="N228" s="31" t="str">
        <f t="shared" si="1330"/>
        <v>N</v>
      </c>
      <c r="O228" s="162" t="str">
        <f t="shared" ref="O228:O259" si="1338">IFERROR(INDEX(B$164:B$305,MATCH($W228,$J$164:$J$305,0)),"")</f>
        <v/>
      </c>
      <c r="P228" s="162" t="str">
        <f t="shared" ref="P228:P259" si="1339">IFERROR(INDEX(C$164:C$305,MATCH($W228,$J$164:$J$305,0)),"")</f>
        <v/>
      </c>
      <c r="Q228" s="162" t="str">
        <f t="shared" ref="Q228:Q259" si="1340">IFERROR(INDEX(D$164:D$305,MATCH($W228,$J$164:$J$305,0)),"")</f>
        <v/>
      </c>
      <c r="R228" s="162" t="str">
        <f t="shared" si="1331"/>
        <v/>
      </c>
      <c r="S228" s="162" t="str">
        <f t="shared" ref="S228:S291" si="1341">IFERROR(IF($L228="Y",-1*INDEX(F$164:F$305,MATCH($W228,$J$164:$J$305,0)),INDEX(F$164:F$305,MATCH($W228,$J$164:$J$305,0))),"")</f>
        <v/>
      </c>
      <c r="T228" s="162" t="str">
        <f t="shared" ref="T228:T291" si="1342">IFERROR(IF($L228="Y",-1*INDEX(G$164:G$305,MATCH($W228,$J$164:$J$305,0)),INDEX(G$164:G$305,MATCH($W228,$J$164:$J$305,0))),"")</f>
        <v/>
      </c>
      <c r="U228" s="162" t="str">
        <f>IFERROR(IF(ISNUMBER(MATCH($X228,Settings!$AK$52:$AK$60,0)),INDEX(Settings!$AO$14:$AO$60,MATCH($X228,Settings!$AK$14:$AK$60,0))/2,INDEX(Settings!$AM$14:$AM$60,MATCH($X228,Settings!$AK$14:$AK$60,0))/2),"")</f>
        <v/>
      </c>
      <c r="V228" s="162" t="str">
        <f t="shared" ref="V228:V259" si="1343">IFERROR(INDEX(I$164:I$305,MATCH($W228,$J$164:$J$305,0)),"")</f>
        <v/>
      </c>
      <c r="W228" s="75"/>
      <c r="X228" s="937" t="str">
        <f t="shared" si="1332"/>
        <v/>
      </c>
      <c r="Y228" s="31"/>
      <c r="AK228" s="82" t="str">
        <f t="shared" si="1333"/>
        <v/>
      </c>
      <c r="AL228" s="419" t="s">
        <v>400</v>
      </c>
    </row>
    <row r="229" spans="2:38" x14ac:dyDescent="0.25">
      <c r="B229" s="650">
        <v>-3.3746053900960926</v>
      </c>
      <c r="C229" s="651">
        <v>-1.1390009831613135</v>
      </c>
      <c r="D229" s="652">
        <v>-0.60439780165616863</v>
      </c>
      <c r="E229" s="653">
        <v>-6.7002660343783632E-2</v>
      </c>
      <c r="F229" s="651">
        <v>-0.94066471634756499</v>
      </c>
      <c r="G229" s="654">
        <v>0.33265678247348396</v>
      </c>
      <c r="H229" s="653">
        <v>0.26600000000000001</v>
      </c>
      <c r="I229" s="942">
        <v>0.52</v>
      </c>
      <c r="J229" s="946">
        <v>5.2240000000000002</v>
      </c>
      <c r="K229" s="931">
        <f>IF($J229="","",IF(IFERROR(INDEX(Settings!$AK$14:$AK$60,MATCH((((ROUND($H229,6)*2)*1000000)+ROUND($I229,6)),Settings!$AI$14:$AI$60,0)),"Undefined")="Undefined","Undefined",IFERROR(INDEX(_xlfn.ANCHORARRAY(Settings!$BC$14),MATCH(IFERROR(INDEX(Settings!$AK$14:$AK$60,MATCH((((ROUND($H229,6)*2)*1000000)+ROUND($I229,6)),Settings!$AI$14:$AI$60,0)),"Undefined"),_xlfn.ANCHORARRAY(Settings!$BC$14),0)),"Inactive")))</f>
        <v>1313</v>
      </c>
      <c r="L229" s="683"/>
      <c r="M229" s="934" t="s">
        <v>9</v>
      </c>
      <c r="N229" s="31" t="str">
        <f t="shared" ref="N229:N290" si="1344">IF(M229="Y","N","Y")</f>
        <v>N</v>
      </c>
      <c r="O229" s="162" t="str">
        <f t="shared" si="1338"/>
        <v/>
      </c>
      <c r="P229" s="162" t="str">
        <f t="shared" si="1339"/>
        <v/>
      </c>
      <c r="Q229" s="162" t="str">
        <f t="shared" si="1340"/>
        <v/>
      </c>
      <c r="R229" s="162" t="str">
        <f t="shared" ref="R229:R292" si="1345">IFERROR(IF($L229="Y",-1*INDEX(E$164:E$305,MATCH($W229,$J$164:$J$305,0)),INDEX(E$164:E$305,MATCH($W229,$J$164:$J$305,0))),"")</f>
        <v/>
      </c>
      <c r="S229" s="162" t="str">
        <f t="shared" si="1341"/>
        <v/>
      </c>
      <c r="T229" s="162" t="str">
        <f t="shared" si="1342"/>
        <v/>
      </c>
      <c r="U229" s="162" t="str">
        <f>IFERROR(IF(ISNUMBER(MATCH($X229,Settings!$AK$52:$AK$60,0)),INDEX(Settings!$AO$14:$AO$60,MATCH($X229,Settings!$AK$14:$AK$60,0))/2,INDEX(Settings!$AM$14:$AM$60,MATCH($X229,Settings!$AK$14:$AK$60,0))/2),"")</f>
        <v/>
      </c>
      <c r="V229" s="162" t="str">
        <f t="shared" si="1343"/>
        <v/>
      </c>
      <c r="W229" s="75"/>
      <c r="X229" s="937" t="str">
        <f t="shared" ref="X229:X292" si="1346">IFERROR(INDEX(K$164:K$305,MATCH($W229,$J$164:$J$305,0)),"")</f>
        <v/>
      </c>
      <c r="Y229" s="31"/>
      <c r="AK229" s="82" t="str">
        <f t="shared" ref="AK229:AK256" si="1347">IF(M229="","Y","")</f>
        <v/>
      </c>
      <c r="AL229" s="419" t="s">
        <v>400</v>
      </c>
    </row>
    <row r="230" spans="2:38" x14ac:dyDescent="0.25">
      <c r="B230" s="650">
        <v>-3.7721555439820809</v>
      </c>
      <c r="C230" s="651">
        <v>-0.88561611995368128</v>
      </c>
      <c r="D230" s="652">
        <v>-1.2095722399521402</v>
      </c>
      <c r="E230" s="653">
        <v>-0.90264053809280076</v>
      </c>
      <c r="F230" s="651">
        <v>-0.2119194189470695</v>
      </c>
      <c r="G230" s="654">
        <v>0.37460675229455687</v>
      </c>
      <c r="H230" s="653">
        <v>0.25700000000000001</v>
      </c>
      <c r="I230" s="942">
        <v>0.41499999999999992</v>
      </c>
      <c r="J230" s="946">
        <v>5.23</v>
      </c>
      <c r="K230" s="931" t="str">
        <f>IF($J230="","",IF(IFERROR(INDEX(Settings!$AK$14:$AK$60,MATCH((((ROUND($H230,6)*2)*1000000)+ROUND($I230,6)),Settings!$AI$14:$AI$60,0)),"Undefined")="Undefined","Undefined",IFERROR(INDEX(_xlfn.ANCHORARRAY(Settings!$BC$14),MATCH(IFERROR(INDEX(Settings!$AK$14:$AK$60,MATCH((((ROUND($H230,6)*2)*1000000)+ROUND($I230,6)),Settings!$AI$14:$AI$60,0)),"Undefined"),_xlfn.ANCHORARRAY(Settings!$BC$14),0)),"Inactive")))</f>
        <v>CPS-32193r1</v>
      </c>
      <c r="L230" s="683"/>
      <c r="M230" s="934" t="s">
        <v>9</v>
      </c>
      <c r="N230" s="31" t="str">
        <f t="shared" si="1344"/>
        <v>N</v>
      </c>
      <c r="O230" s="162" t="str">
        <f t="shared" si="1338"/>
        <v/>
      </c>
      <c r="P230" s="162" t="str">
        <f t="shared" si="1339"/>
        <v/>
      </c>
      <c r="Q230" s="162" t="str">
        <f t="shared" si="1340"/>
        <v/>
      </c>
      <c r="R230" s="162" t="str">
        <f t="shared" si="1345"/>
        <v/>
      </c>
      <c r="S230" s="162" t="str">
        <f t="shared" si="1341"/>
        <v/>
      </c>
      <c r="T230" s="162" t="str">
        <f t="shared" si="1342"/>
        <v/>
      </c>
      <c r="U230" s="162" t="str">
        <f>IFERROR(IF(ISNUMBER(MATCH($X230,Settings!$AK$52:$AK$60,0)),INDEX(Settings!$AO$14:$AO$60,MATCH($X230,Settings!$AK$14:$AK$60,0))/2,INDEX(Settings!$AM$14:$AM$60,MATCH($X230,Settings!$AK$14:$AK$60,0))/2),"")</f>
        <v/>
      </c>
      <c r="V230" s="162" t="str">
        <f t="shared" si="1343"/>
        <v/>
      </c>
      <c r="W230" s="75"/>
      <c r="X230" s="937" t="str">
        <f t="shared" si="1346"/>
        <v/>
      </c>
      <c r="Y230" s="31"/>
      <c r="AK230" s="82" t="str">
        <f t="shared" si="1347"/>
        <v/>
      </c>
      <c r="AL230" s="419" t="s">
        <v>400</v>
      </c>
    </row>
    <row r="231" spans="2:38" x14ac:dyDescent="0.25">
      <c r="B231" s="650">
        <v>-3.8974640541653245</v>
      </c>
      <c r="C231" s="651">
        <v>-0.85335575810651121</v>
      </c>
      <c r="D231" s="652">
        <v>-1.9586177614063787</v>
      </c>
      <c r="E231" s="653">
        <v>-0.97314163802870046</v>
      </c>
      <c r="F231" s="651">
        <v>-0.21307086062217423</v>
      </c>
      <c r="G231" s="654">
        <v>8.7155956127759185E-2</v>
      </c>
      <c r="H231" s="653">
        <v>0.25700000000000001</v>
      </c>
      <c r="I231" s="942">
        <v>0.41499999999999992</v>
      </c>
      <c r="J231" s="946">
        <v>5.2359999999999998</v>
      </c>
      <c r="K231" s="931" t="str">
        <f>IF($J231="","",IF(IFERROR(INDEX(Settings!$AK$14:$AK$60,MATCH((((ROUND($H231,6)*2)*1000000)+ROUND($I231,6)),Settings!$AI$14:$AI$60,0)),"Undefined")="Undefined","Undefined",IFERROR(INDEX(_xlfn.ANCHORARRAY(Settings!$BC$14),MATCH(IFERROR(INDEX(Settings!$AK$14:$AK$60,MATCH((((ROUND($H231,6)*2)*1000000)+ROUND($I231,6)),Settings!$AI$14:$AI$60,0)),"Undefined"),_xlfn.ANCHORARRAY(Settings!$BC$14),0)),"Inactive")))</f>
        <v>CPS-32193r1</v>
      </c>
      <c r="L231" s="683"/>
      <c r="M231" s="934" t="s">
        <v>9</v>
      </c>
      <c r="N231" s="31" t="str">
        <f t="shared" si="1344"/>
        <v>N</v>
      </c>
      <c r="O231" s="162" t="str">
        <f t="shared" si="1338"/>
        <v/>
      </c>
      <c r="P231" s="162" t="str">
        <f t="shared" si="1339"/>
        <v/>
      </c>
      <c r="Q231" s="162" t="str">
        <f t="shared" si="1340"/>
        <v/>
      </c>
      <c r="R231" s="162" t="str">
        <f t="shared" si="1345"/>
        <v/>
      </c>
      <c r="S231" s="162" t="str">
        <f t="shared" si="1341"/>
        <v/>
      </c>
      <c r="T231" s="162" t="str">
        <f t="shared" si="1342"/>
        <v/>
      </c>
      <c r="U231" s="162" t="str">
        <f>IFERROR(IF(ISNUMBER(MATCH($X231,Settings!$AK$52:$AK$60,0)),INDEX(Settings!$AO$14:$AO$60,MATCH($X231,Settings!$AK$14:$AK$60,0))/2,INDEX(Settings!$AM$14:$AM$60,MATCH($X231,Settings!$AK$14:$AK$60,0))/2),"")</f>
        <v/>
      </c>
      <c r="V231" s="162" t="str">
        <f t="shared" si="1343"/>
        <v/>
      </c>
      <c r="W231" s="75"/>
      <c r="X231" s="937" t="str">
        <f t="shared" si="1346"/>
        <v/>
      </c>
      <c r="Y231" s="31"/>
      <c r="AK231" s="82" t="str">
        <f t="shared" si="1347"/>
        <v/>
      </c>
      <c r="AL231" s="419" t="s">
        <v>400</v>
      </c>
    </row>
    <row r="232" spans="2:38" x14ac:dyDescent="0.25">
      <c r="B232" s="650">
        <v>-3.513389670385652</v>
      </c>
      <c r="C232" s="651">
        <v>-2.0284550553986147</v>
      </c>
      <c r="D232" s="652">
        <v>-4.7500143260432068</v>
      </c>
      <c r="E232" s="653">
        <v>-0.14007709428357151</v>
      </c>
      <c r="F232" s="651">
        <v>-0.96542534288981796</v>
      </c>
      <c r="G232" s="654">
        <v>-0.21984611655234879</v>
      </c>
      <c r="H232" s="653">
        <v>0.26600000000000001</v>
      </c>
      <c r="I232" s="942">
        <v>0.52</v>
      </c>
      <c r="J232" s="946">
        <v>5.3419999999999996</v>
      </c>
      <c r="K232" s="931">
        <f>IF($J232="","",IF(IFERROR(INDEX(Settings!$AK$14:$AK$60,MATCH((((ROUND($H232,6)*2)*1000000)+ROUND($I232,6)),Settings!$AI$14:$AI$60,0)),"Undefined")="Undefined","Undefined",IFERROR(INDEX(_xlfn.ANCHORARRAY(Settings!$BC$14),MATCH(IFERROR(INDEX(Settings!$AK$14:$AK$60,MATCH((((ROUND($H232,6)*2)*1000000)+ROUND($I232,6)),Settings!$AI$14:$AI$60,0)),"Undefined"),_xlfn.ANCHORARRAY(Settings!$BC$14),0)),"Inactive")))</f>
        <v>1313</v>
      </c>
      <c r="L232" s="683"/>
      <c r="M232" s="934" t="s">
        <v>9</v>
      </c>
      <c r="N232" s="31" t="str">
        <f t="shared" si="1344"/>
        <v>N</v>
      </c>
      <c r="O232" s="162" t="str">
        <f t="shared" si="1338"/>
        <v/>
      </c>
      <c r="P232" s="162" t="str">
        <f t="shared" si="1339"/>
        <v/>
      </c>
      <c r="Q232" s="162" t="str">
        <f t="shared" si="1340"/>
        <v/>
      </c>
      <c r="R232" s="162" t="str">
        <f t="shared" si="1345"/>
        <v/>
      </c>
      <c r="S232" s="162" t="str">
        <f t="shared" si="1341"/>
        <v/>
      </c>
      <c r="T232" s="162" t="str">
        <f t="shared" si="1342"/>
        <v/>
      </c>
      <c r="U232" s="162" t="str">
        <f>IFERROR(IF(ISNUMBER(MATCH($X232,Settings!$AK$52:$AK$60,0)),INDEX(Settings!$AO$14:$AO$60,MATCH($X232,Settings!$AK$14:$AK$60,0))/2,INDEX(Settings!$AM$14:$AM$60,MATCH($X232,Settings!$AK$14:$AK$60,0))/2),"")</f>
        <v/>
      </c>
      <c r="V232" s="162" t="str">
        <f t="shared" si="1343"/>
        <v/>
      </c>
      <c r="W232" s="75"/>
      <c r="X232" s="937" t="str">
        <f t="shared" si="1346"/>
        <v/>
      </c>
      <c r="Y232" s="31" t="s">
        <v>9</v>
      </c>
      <c r="AK232" s="82" t="str">
        <f t="shared" si="1347"/>
        <v/>
      </c>
      <c r="AL232" s="419" t="s">
        <v>400</v>
      </c>
    </row>
    <row r="233" spans="2:38" x14ac:dyDescent="0.25">
      <c r="B233" s="650">
        <v>-1.9064797699469747</v>
      </c>
      <c r="C233" s="651">
        <v>1.1064821218765786</v>
      </c>
      <c r="D233" s="652">
        <v>-0.10610031999856512</v>
      </c>
      <c r="E233" s="653">
        <v>-0.49408425732901073</v>
      </c>
      <c r="F233" s="651">
        <v>-0.81570547148363437</v>
      </c>
      <c r="G233" s="654">
        <v>0.30084103850921318</v>
      </c>
      <c r="H233" s="653">
        <v>0.26600000000000001</v>
      </c>
      <c r="I233" s="942">
        <v>0.52</v>
      </c>
      <c r="J233" s="946">
        <v>6.1109999999999998</v>
      </c>
      <c r="K233" s="931">
        <f>IF($J233="","",IF(IFERROR(INDEX(Settings!$AK$14:$AK$60,MATCH((((ROUND($H233,6)*2)*1000000)+ROUND($I233,6)),Settings!$AI$14:$AI$60,0)),"Undefined")="Undefined","Undefined",IFERROR(INDEX(_xlfn.ANCHORARRAY(Settings!$BC$14),MATCH(IFERROR(INDEX(Settings!$AK$14:$AK$60,MATCH((((ROUND($H233,6)*2)*1000000)+ROUND($I233,6)),Settings!$AI$14:$AI$60,0)),"Undefined"),_xlfn.ANCHORARRAY(Settings!$BC$14),0)),"Inactive")))</f>
        <v>1313</v>
      </c>
      <c r="L233" s="683"/>
      <c r="M233" s="934"/>
      <c r="N233" s="31" t="str">
        <f t="shared" si="1344"/>
        <v>Y</v>
      </c>
      <c r="O233" s="162" t="str">
        <f t="shared" si="1338"/>
        <v/>
      </c>
      <c r="P233" s="162" t="str">
        <f t="shared" si="1339"/>
        <v/>
      </c>
      <c r="Q233" s="162" t="str">
        <f t="shared" si="1340"/>
        <v/>
      </c>
      <c r="R233" s="162" t="str">
        <f t="shared" si="1345"/>
        <v/>
      </c>
      <c r="S233" s="162" t="str">
        <f t="shared" si="1341"/>
        <v/>
      </c>
      <c r="T233" s="162" t="str">
        <f t="shared" si="1342"/>
        <v/>
      </c>
      <c r="U233" s="162" t="str">
        <f>IFERROR(IF(ISNUMBER(MATCH($X233,Settings!$AK$52:$AK$60,0)),INDEX(Settings!$AO$14:$AO$60,MATCH($X233,Settings!$AK$14:$AK$60,0))/2,INDEX(Settings!$AM$14:$AM$60,MATCH($X233,Settings!$AK$14:$AK$60,0))/2),"")</f>
        <v/>
      </c>
      <c r="V233" s="162" t="str">
        <f t="shared" si="1343"/>
        <v/>
      </c>
      <c r="W233" s="75"/>
      <c r="X233" s="937" t="str">
        <f t="shared" si="1346"/>
        <v/>
      </c>
      <c r="Y233" s="31"/>
      <c r="AK233" s="82" t="str">
        <f t="shared" si="1347"/>
        <v>Y</v>
      </c>
      <c r="AL233" s="419" t="s">
        <v>400</v>
      </c>
    </row>
    <row r="234" spans="2:38" x14ac:dyDescent="0.25">
      <c r="B234" s="650">
        <v>-2.4810242203165869</v>
      </c>
      <c r="C234" s="651">
        <v>1.4813363373496613</v>
      </c>
      <c r="D234" s="652">
        <v>-0.16890050940393606</v>
      </c>
      <c r="E234" s="653">
        <v>-0.60222100944859724</v>
      </c>
      <c r="F234" s="651">
        <v>-0.72935468140984649</v>
      </c>
      <c r="G234" s="654">
        <v>0.32460992665698607</v>
      </c>
      <c r="H234" s="653">
        <v>0.26600000000000001</v>
      </c>
      <c r="I234" s="942">
        <v>0.52</v>
      </c>
      <c r="J234" s="946">
        <v>6.117</v>
      </c>
      <c r="K234" s="931">
        <f>IF($J234="","",IF(IFERROR(INDEX(Settings!$AK$14:$AK$60,MATCH((((ROUND($H234,6)*2)*1000000)+ROUND($I234,6)),Settings!$AI$14:$AI$60,0)),"Undefined")="Undefined","Undefined",IFERROR(INDEX(_xlfn.ANCHORARRAY(Settings!$BC$14),MATCH(IFERROR(INDEX(Settings!$AK$14:$AK$60,MATCH((((ROUND($H234,6)*2)*1000000)+ROUND($I234,6)),Settings!$AI$14:$AI$60,0)),"Undefined"),_xlfn.ANCHORARRAY(Settings!$BC$14),0)),"Inactive")))</f>
        <v>1313</v>
      </c>
      <c r="L234" s="683"/>
      <c r="M234" s="934"/>
      <c r="N234" s="31" t="str">
        <f t="shared" si="1344"/>
        <v>Y</v>
      </c>
      <c r="O234" s="162" t="str">
        <f t="shared" si="1338"/>
        <v/>
      </c>
      <c r="P234" s="162" t="str">
        <f t="shared" si="1339"/>
        <v/>
      </c>
      <c r="Q234" s="162" t="str">
        <f t="shared" si="1340"/>
        <v/>
      </c>
      <c r="R234" s="162" t="str">
        <f t="shared" si="1345"/>
        <v/>
      </c>
      <c r="S234" s="162" t="str">
        <f t="shared" si="1341"/>
        <v/>
      </c>
      <c r="T234" s="162" t="str">
        <f t="shared" si="1342"/>
        <v/>
      </c>
      <c r="U234" s="162" t="str">
        <f>IFERROR(IF(ISNUMBER(MATCH($X234,Settings!$AK$52:$AK$60,0)),INDEX(Settings!$AO$14:$AO$60,MATCH($X234,Settings!$AK$14:$AK$60,0))/2,INDEX(Settings!$AM$14:$AM$60,MATCH($X234,Settings!$AK$14:$AK$60,0))/2),"")</f>
        <v/>
      </c>
      <c r="V234" s="162" t="str">
        <f t="shared" si="1343"/>
        <v/>
      </c>
      <c r="W234" s="75"/>
      <c r="X234" s="937" t="str">
        <f t="shared" si="1346"/>
        <v/>
      </c>
      <c r="Y234" s="31"/>
      <c r="AK234" s="82" t="str">
        <f t="shared" si="1347"/>
        <v>Y</v>
      </c>
      <c r="AL234" s="419" t="s">
        <v>400</v>
      </c>
    </row>
    <row r="235" spans="2:38" x14ac:dyDescent="0.25">
      <c r="B235" s="650">
        <v>-2.9655751435783837</v>
      </c>
      <c r="C235" s="651">
        <v>1.8308621948490724</v>
      </c>
      <c r="D235" s="652">
        <v>-0.51390154992707449</v>
      </c>
      <c r="E235" s="653">
        <v>-0.72130537038369391</v>
      </c>
      <c r="F235" s="651">
        <v>-0.62813871744368865</v>
      </c>
      <c r="G235" s="654">
        <v>0.29182240199107412</v>
      </c>
      <c r="H235" s="653">
        <v>0.26600000000000001</v>
      </c>
      <c r="I235" s="942">
        <v>0.52</v>
      </c>
      <c r="J235" s="946">
        <v>6.1230000000000002</v>
      </c>
      <c r="K235" s="931">
        <f>IF($J235="","",IF(IFERROR(INDEX(Settings!$AK$14:$AK$60,MATCH((((ROUND($H235,6)*2)*1000000)+ROUND($I235,6)),Settings!$AI$14:$AI$60,0)),"Undefined")="Undefined","Undefined",IFERROR(INDEX(_xlfn.ANCHORARRAY(Settings!$BC$14),MATCH(IFERROR(INDEX(Settings!$AK$14:$AK$60,MATCH((((ROUND($H235,6)*2)*1000000)+ROUND($I235,6)),Settings!$AI$14:$AI$60,0)),"Undefined"),_xlfn.ANCHORARRAY(Settings!$BC$14),0)),"Inactive")))</f>
        <v>1313</v>
      </c>
      <c r="L235" s="683"/>
      <c r="M235" s="934"/>
      <c r="N235" s="31" t="str">
        <f t="shared" si="1344"/>
        <v>Y</v>
      </c>
      <c r="O235" s="162" t="str">
        <f t="shared" si="1338"/>
        <v/>
      </c>
      <c r="P235" s="162" t="str">
        <f t="shared" si="1339"/>
        <v/>
      </c>
      <c r="Q235" s="162" t="str">
        <f t="shared" si="1340"/>
        <v/>
      </c>
      <c r="R235" s="162" t="str">
        <f t="shared" si="1345"/>
        <v/>
      </c>
      <c r="S235" s="162" t="str">
        <f t="shared" si="1341"/>
        <v/>
      </c>
      <c r="T235" s="162" t="str">
        <f t="shared" si="1342"/>
        <v/>
      </c>
      <c r="U235" s="162" t="str">
        <f>IFERROR(IF(ISNUMBER(MATCH($X235,Settings!$AK$52:$AK$60,0)),INDEX(Settings!$AO$14:$AO$60,MATCH($X235,Settings!$AK$14:$AK$60,0))/2,INDEX(Settings!$AM$14:$AM$60,MATCH($X235,Settings!$AK$14:$AK$60,0))/2),"")</f>
        <v/>
      </c>
      <c r="V235" s="162" t="str">
        <f t="shared" si="1343"/>
        <v/>
      </c>
      <c r="W235" s="75"/>
      <c r="X235" s="937" t="str">
        <f t="shared" si="1346"/>
        <v/>
      </c>
      <c r="Y235" s="31"/>
      <c r="AK235" s="82" t="str">
        <f t="shared" si="1347"/>
        <v>Y</v>
      </c>
      <c r="AL235" s="419" t="s">
        <v>400</v>
      </c>
    </row>
    <row r="236" spans="2:38" x14ac:dyDescent="0.25">
      <c r="B236" s="650">
        <v>-3.2810253795702726</v>
      </c>
      <c r="C236" s="651">
        <v>2.0725761613552458</v>
      </c>
      <c r="D236" s="652">
        <v>-1.0771032485433973</v>
      </c>
      <c r="E236" s="653">
        <v>-0.82455086763885588</v>
      </c>
      <c r="F236" s="651">
        <v>-0.53058217867979074</v>
      </c>
      <c r="G236" s="654">
        <v>0.19646480179262821</v>
      </c>
      <c r="H236" s="653">
        <v>0.26600000000000001</v>
      </c>
      <c r="I236" s="942">
        <v>0.52</v>
      </c>
      <c r="J236" s="946">
        <v>6.1289999999999996</v>
      </c>
      <c r="K236" s="931">
        <f>IF($J236="","",IF(IFERROR(INDEX(Settings!$AK$14:$AK$60,MATCH((((ROUND($H236,6)*2)*1000000)+ROUND($I236,6)),Settings!$AI$14:$AI$60,0)),"Undefined")="Undefined","Undefined",IFERROR(INDEX(_xlfn.ANCHORARRAY(Settings!$BC$14),MATCH(IFERROR(INDEX(Settings!$AK$14:$AK$60,MATCH((((ROUND($H236,6)*2)*1000000)+ROUND($I236,6)),Settings!$AI$14:$AI$60,0)),"Undefined"),_xlfn.ANCHORARRAY(Settings!$BC$14),0)),"Inactive")))</f>
        <v>1313</v>
      </c>
      <c r="L236" s="683"/>
      <c r="M236" s="934"/>
      <c r="N236" s="31" t="str">
        <f t="shared" si="1344"/>
        <v>Y</v>
      </c>
      <c r="O236" s="162" t="str">
        <f t="shared" si="1338"/>
        <v/>
      </c>
      <c r="P236" s="162" t="str">
        <f t="shared" si="1339"/>
        <v/>
      </c>
      <c r="Q236" s="162" t="str">
        <f t="shared" si="1340"/>
        <v/>
      </c>
      <c r="R236" s="162" t="str">
        <f t="shared" si="1345"/>
        <v/>
      </c>
      <c r="S236" s="162" t="str">
        <f t="shared" si="1341"/>
        <v/>
      </c>
      <c r="T236" s="162" t="str">
        <f t="shared" si="1342"/>
        <v/>
      </c>
      <c r="U236" s="162" t="str">
        <f>IFERROR(IF(ISNUMBER(MATCH($X236,Settings!$AK$52:$AK$60,0)),INDEX(Settings!$AO$14:$AO$60,MATCH($X236,Settings!$AK$14:$AK$60,0))/2,INDEX(Settings!$AM$14:$AM$60,MATCH($X236,Settings!$AK$14:$AK$60,0))/2),"")</f>
        <v/>
      </c>
      <c r="V236" s="162" t="str">
        <f t="shared" si="1343"/>
        <v/>
      </c>
      <c r="W236" s="75"/>
      <c r="X236" s="937" t="str">
        <f t="shared" si="1346"/>
        <v/>
      </c>
      <c r="Y236" s="31"/>
      <c r="AK236" s="82" t="str">
        <f t="shared" si="1347"/>
        <v>Y</v>
      </c>
      <c r="AL236" s="419" t="s">
        <v>400</v>
      </c>
    </row>
    <row r="237" spans="2:38" x14ac:dyDescent="0.25">
      <c r="B237" s="650">
        <v>-3.4164680358357762</v>
      </c>
      <c r="C237" s="651">
        <v>2.1689937687293543</v>
      </c>
      <c r="D237" s="652">
        <v>-1.8328055277414714</v>
      </c>
      <c r="E237" s="653">
        <v>-0.88866182122048265</v>
      </c>
      <c r="F237" s="651">
        <v>-0.4564246198013665</v>
      </c>
      <c r="G237" s="654">
        <v>4.423498552359996E-2</v>
      </c>
      <c r="H237" s="653">
        <v>0.26600000000000001</v>
      </c>
      <c r="I237" s="942">
        <v>0.52</v>
      </c>
      <c r="J237" s="946">
        <v>6.1349999999999998</v>
      </c>
      <c r="K237" s="931">
        <f>IF($J237="","",IF(IFERROR(INDEX(Settings!$AK$14:$AK$60,MATCH((((ROUND($H237,6)*2)*1000000)+ROUND($I237,6)),Settings!$AI$14:$AI$60,0)),"Undefined")="Undefined","Undefined",IFERROR(INDEX(_xlfn.ANCHORARRAY(Settings!$BC$14),MATCH(IFERROR(INDEX(Settings!$AK$14:$AK$60,MATCH((((ROUND($H237,6)*2)*1000000)+ROUND($I237,6)),Settings!$AI$14:$AI$60,0)),"Undefined"),_xlfn.ANCHORARRAY(Settings!$BC$14),0)),"Inactive")))</f>
        <v>1313</v>
      </c>
      <c r="L237" s="683"/>
      <c r="M237" s="934"/>
      <c r="N237" s="31" t="str">
        <f t="shared" si="1344"/>
        <v>Y</v>
      </c>
      <c r="O237" s="162" t="str">
        <f t="shared" si="1338"/>
        <v/>
      </c>
      <c r="P237" s="162" t="str">
        <f t="shared" si="1339"/>
        <v/>
      </c>
      <c r="Q237" s="162" t="str">
        <f t="shared" si="1340"/>
        <v/>
      </c>
      <c r="R237" s="162" t="str">
        <f t="shared" si="1345"/>
        <v/>
      </c>
      <c r="S237" s="162" t="str">
        <f t="shared" si="1341"/>
        <v/>
      </c>
      <c r="T237" s="162" t="str">
        <f t="shared" si="1342"/>
        <v/>
      </c>
      <c r="U237" s="162" t="str">
        <f>IFERROR(IF(ISNUMBER(MATCH($X237,Settings!$AK$52:$AK$60,0)),INDEX(Settings!$AO$14:$AO$60,MATCH($X237,Settings!$AK$14:$AK$60,0))/2,INDEX(Settings!$AM$14:$AM$60,MATCH($X237,Settings!$AK$14:$AK$60,0))/2),"")</f>
        <v/>
      </c>
      <c r="V237" s="162" t="str">
        <f t="shared" si="1343"/>
        <v/>
      </c>
      <c r="W237" s="75"/>
      <c r="X237" s="937" t="str">
        <f t="shared" si="1346"/>
        <v/>
      </c>
      <c r="Y237" s="31"/>
      <c r="AK237" s="82" t="str">
        <f t="shared" si="1347"/>
        <v>Y</v>
      </c>
      <c r="AL237" s="419" t="s">
        <v>9</v>
      </c>
    </row>
    <row r="238" spans="2:38" x14ac:dyDescent="0.25">
      <c r="B238" s="650">
        <v>-1.9465265870702142</v>
      </c>
      <c r="C238" s="651">
        <v>2.1305515094674812</v>
      </c>
      <c r="D238" s="652">
        <v>-0.18204039119907794</v>
      </c>
      <c r="E238" s="653">
        <v>-0.78317296302282269</v>
      </c>
      <c r="F238" s="651">
        <v>-0.47779786356646686</v>
      </c>
      <c r="G238" s="654">
        <v>0.39793129000038741</v>
      </c>
      <c r="H238" s="653">
        <v>0.26600000000000001</v>
      </c>
      <c r="I238" s="942">
        <v>0.52</v>
      </c>
      <c r="J238" s="946">
        <v>6.2169999999999996</v>
      </c>
      <c r="K238" s="931">
        <f>IF($J238="","",IF(IFERROR(INDEX(Settings!$AK$14:$AK$60,MATCH((((ROUND($H238,6)*2)*1000000)+ROUND($I238,6)),Settings!$AI$14:$AI$60,0)),"Undefined")="Undefined","Undefined",IFERROR(INDEX(_xlfn.ANCHORARRAY(Settings!$BC$14),MATCH(IFERROR(INDEX(Settings!$AK$14:$AK$60,MATCH((((ROUND($H238,6)*2)*1000000)+ROUND($I238,6)),Settings!$AI$14:$AI$60,0)),"Undefined"),_xlfn.ANCHORARRAY(Settings!$BC$14),0)),"Inactive")))</f>
        <v>1313</v>
      </c>
      <c r="L238" s="683"/>
      <c r="M238" s="934" t="s">
        <v>9</v>
      </c>
      <c r="N238" s="31" t="str">
        <f t="shared" si="1344"/>
        <v>N</v>
      </c>
      <c r="O238" s="162" t="str">
        <f t="shared" si="1338"/>
        <v/>
      </c>
      <c r="P238" s="162" t="str">
        <f t="shared" si="1339"/>
        <v/>
      </c>
      <c r="Q238" s="162" t="str">
        <f t="shared" si="1340"/>
        <v/>
      </c>
      <c r="R238" s="162" t="str">
        <f t="shared" si="1345"/>
        <v/>
      </c>
      <c r="S238" s="162" t="str">
        <f t="shared" si="1341"/>
        <v/>
      </c>
      <c r="T238" s="162" t="str">
        <f t="shared" si="1342"/>
        <v/>
      </c>
      <c r="U238" s="162" t="str">
        <f>IFERROR(IF(ISNUMBER(MATCH($X238,Settings!$AK$52:$AK$60,0)),INDEX(Settings!$AO$14:$AO$60,MATCH($X238,Settings!$AK$14:$AK$60,0))/2,INDEX(Settings!$AM$14:$AM$60,MATCH($X238,Settings!$AK$14:$AK$60,0))/2),"")</f>
        <v/>
      </c>
      <c r="V238" s="162" t="str">
        <f t="shared" si="1343"/>
        <v/>
      </c>
      <c r="W238" s="75"/>
      <c r="X238" s="937" t="str">
        <f t="shared" si="1346"/>
        <v/>
      </c>
      <c r="Y238" s="31"/>
      <c r="AK238" s="82" t="str">
        <f t="shared" si="1347"/>
        <v/>
      </c>
      <c r="AL238" s="419" t="s">
        <v>9</v>
      </c>
    </row>
    <row r="239" spans="2:38" x14ac:dyDescent="0.25">
      <c r="B239" s="650">
        <v>-2.3920582220868427</v>
      </c>
      <c r="C239" s="651">
        <v>2.5269044110164414</v>
      </c>
      <c r="D239" s="652">
        <v>-0.52386759281905615</v>
      </c>
      <c r="E239" s="653">
        <v>-0.86754578312501673</v>
      </c>
      <c r="F239" s="651">
        <v>-0.35554268600659683</v>
      </c>
      <c r="G239" s="654">
        <v>0.34778400280808808</v>
      </c>
      <c r="H239" s="653">
        <v>0.26600000000000001</v>
      </c>
      <c r="I239" s="942">
        <v>0.52</v>
      </c>
      <c r="J239" s="946">
        <v>6.2229999999999999</v>
      </c>
      <c r="K239" s="931">
        <f>IF($J239="","",IF(IFERROR(INDEX(Settings!$AK$14:$AK$60,MATCH((((ROUND($H239,6)*2)*1000000)+ROUND($I239,6)),Settings!$AI$14:$AI$60,0)),"Undefined")="Undefined","Undefined",IFERROR(INDEX(_xlfn.ANCHORARRAY(Settings!$BC$14),MATCH(IFERROR(INDEX(Settings!$AK$14:$AK$60,MATCH((((ROUND($H239,6)*2)*1000000)+ROUND($I239,6)),Settings!$AI$14:$AI$60,0)),"Undefined"),_xlfn.ANCHORARRAY(Settings!$BC$14),0)),"Inactive")))</f>
        <v>1313</v>
      </c>
      <c r="L239" s="683"/>
      <c r="M239" s="934" t="s">
        <v>9</v>
      </c>
      <c r="N239" s="31" t="str">
        <f t="shared" si="1344"/>
        <v>N</v>
      </c>
      <c r="O239" s="162" t="str">
        <f t="shared" si="1338"/>
        <v/>
      </c>
      <c r="P239" s="162" t="str">
        <f t="shared" si="1339"/>
        <v/>
      </c>
      <c r="Q239" s="162" t="str">
        <f t="shared" si="1340"/>
        <v/>
      </c>
      <c r="R239" s="162" t="str">
        <f t="shared" si="1345"/>
        <v/>
      </c>
      <c r="S239" s="162" t="str">
        <f t="shared" si="1341"/>
        <v/>
      </c>
      <c r="T239" s="162" t="str">
        <f t="shared" si="1342"/>
        <v/>
      </c>
      <c r="U239" s="162" t="str">
        <f>IFERROR(IF(ISNUMBER(MATCH($X239,Settings!$AK$52:$AK$60,0)),INDEX(Settings!$AO$14:$AO$60,MATCH($X239,Settings!$AK$14:$AK$60,0))/2,INDEX(Settings!$AM$14:$AM$60,MATCH($X239,Settings!$AK$14:$AK$60,0))/2),"")</f>
        <v/>
      </c>
      <c r="V239" s="162" t="str">
        <f t="shared" si="1343"/>
        <v/>
      </c>
      <c r="W239" s="75"/>
      <c r="X239" s="937" t="str">
        <f t="shared" si="1346"/>
        <v/>
      </c>
      <c r="Y239" s="31"/>
      <c r="AK239" s="82" t="str">
        <f t="shared" si="1347"/>
        <v/>
      </c>
      <c r="AL239" s="419" t="s">
        <v>9</v>
      </c>
    </row>
    <row r="240" spans="2:38" x14ac:dyDescent="0.25">
      <c r="B240" s="650">
        <v>-2.3646613524321061</v>
      </c>
      <c r="C240" s="651">
        <v>3.0211295995865419</v>
      </c>
      <c r="D240" s="652">
        <v>-1.1036006260195887</v>
      </c>
      <c r="E240" s="653">
        <v>-0.55677662891171842</v>
      </c>
      <c r="F240" s="651">
        <v>0.71134682868358012</v>
      </c>
      <c r="G240" s="654">
        <v>0.42893528045559037</v>
      </c>
      <c r="H240" s="653">
        <v>0.25700000000000001</v>
      </c>
      <c r="I240" s="942">
        <v>0.41499999999999992</v>
      </c>
      <c r="J240" s="946">
        <v>6.2290000000000001</v>
      </c>
      <c r="K240" s="931" t="str">
        <f>IF($J240="","",IF(IFERROR(INDEX(Settings!$AK$14:$AK$60,MATCH((((ROUND($H240,6)*2)*1000000)+ROUND($I240,6)),Settings!$AI$14:$AI$60,0)),"Undefined")="Undefined","Undefined",IFERROR(INDEX(_xlfn.ANCHORARRAY(Settings!$BC$14),MATCH(IFERROR(INDEX(Settings!$AK$14:$AK$60,MATCH((((ROUND($H240,6)*2)*1000000)+ROUND($I240,6)),Settings!$AI$14:$AI$60,0)),"Undefined"),_xlfn.ANCHORARRAY(Settings!$BC$14),0)),"Inactive")))</f>
        <v>CPS-32193r1</v>
      </c>
      <c r="L240" s="683"/>
      <c r="M240" s="934" t="s">
        <v>9</v>
      </c>
      <c r="N240" s="31" t="str">
        <f t="shared" si="1344"/>
        <v>N</v>
      </c>
      <c r="O240" s="162" t="str">
        <f t="shared" si="1338"/>
        <v/>
      </c>
      <c r="P240" s="162" t="str">
        <f t="shared" si="1339"/>
        <v/>
      </c>
      <c r="Q240" s="162" t="str">
        <f t="shared" si="1340"/>
        <v/>
      </c>
      <c r="R240" s="162" t="str">
        <f t="shared" si="1345"/>
        <v/>
      </c>
      <c r="S240" s="162" t="str">
        <f t="shared" si="1341"/>
        <v/>
      </c>
      <c r="T240" s="162" t="str">
        <f t="shared" si="1342"/>
        <v/>
      </c>
      <c r="U240" s="162" t="str">
        <f>IFERROR(IF(ISNUMBER(MATCH($X240,Settings!$AK$52:$AK$60,0)),INDEX(Settings!$AO$14:$AO$60,MATCH($X240,Settings!$AK$14:$AK$60,0))/2,INDEX(Settings!$AM$14:$AM$60,MATCH($X240,Settings!$AK$14:$AK$60,0))/2),"")</f>
        <v/>
      </c>
      <c r="V240" s="162" t="str">
        <f t="shared" si="1343"/>
        <v/>
      </c>
      <c r="W240" s="75"/>
      <c r="X240" s="937" t="str">
        <f t="shared" si="1346"/>
        <v/>
      </c>
      <c r="Y240" s="31"/>
      <c r="AK240" s="82" t="str">
        <f t="shared" si="1347"/>
        <v/>
      </c>
      <c r="AL240" s="419" t="s">
        <v>9</v>
      </c>
    </row>
    <row r="241" spans="2:38" x14ac:dyDescent="0.25">
      <c r="B241" s="650">
        <v>-2.420542971958612</v>
      </c>
      <c r="C241" s="651">
        <v>3.1716578983721009</v>
      </c>
      <c r="D241" s="652">
        <v>-1.8434174139621307</v>
      </c>
      <c r="E241" s="653">
        <v>-0.60437533737693905</v>
      </c>
      <c r="F241" s="651">
        <v>0.79191810869683188</v>
      </c>
      <c r="G241" s="654">
        <v>8.7155956127758838E-2</v>
      </c>
      <c r="H241" s="653">
        <v>0.25700000000000001</v>
      </c>
      <c r="I241" s="942">
        <v>0.41499999999999992</v>
      </c>
      <c r="J241" s="946">
        <v>6.2350000000000003</v>
      </c>
      <c r="K241" s="931" t="str">
        <f>IF($J241="","",IF(IFERROR(INDEX(Settings!$AK$14:$AK$60,MATCH((((ROUND($H241,6)*2)*1000000)+ROUND($I241,6)),Settings!$AI$14:$AI$60,0)),"Undefined")="Undefined","Undefined",IFERROR(INDEX(_xlfn.ANCHORARRAY(Settings!$BC$14),MATCH(IFERROR(INDEX(Settings!$AK$14:$AK$60,MATCH((((ROUND($H241,6)*2)*1000000)+ROUND($I241,6)),Settings!$AI$14:$AI$60,0)),"Undefined"),_xlfn.ANCHORARRAY(Settings!$BC$14),0)),"Inactive")))</f>
        <v>CPS-32193r1</v>
      </c>
      <c r="L241" s="683"/>
      <c r="M241" s="934" t="s">
        <v>9</v>
      </c>
      <c r="N241" s="31" t="str">
        <f t="shared" si="1344"/>
        <v>N</v>
      </c>
      <c r="O241" s="162" t="str">
        <f t="shared" si="1338"/>
        <v/>
      </c>
      <c r="P241" s="162" t="str">
        <f t="shared" si="1339"/>
        <v/>
      </c>
      <c r="Q241" s="162" t="str">
        <f t="shared" si="1340"/>
        <v/>
      </c>
      <c r="R241" s="162" t="str">
        <f t="shared" si="1345"/>
        <v/>
      </c>
      <c r="S241" s="162" t="str">
        <f t="shared" si="1341"/>
        <v/>
      </c>
      <c r="T241" s="162" t="str">
        <f t="shared" si="1342"/>
        <v/>
      </c>
      <c r="U241" s="162" t="str">
        <f>IFERROR(IF(ISNUMBER(MATCH($X241,Settings!$AK$52:$AK$60,0)),INDEX(Settings!$AO$14:$AO$60,MATCH($X241,Settings!$AK$14:$AK$60,0))/2,INDEX(Settings!$AM$14:$AM$60,MATCH($X241,Settings!$AK$14:$AK$60,0))/2),"")</f>
        <v/>
      </c>
      <c r="V241" s="162" t="str">
        <f t="shared" si="1343"/>
        <v/>
      </c>
      <c r="W241" s="75"/>
      <c r="X241" s="937" t="str">
        <f t="shared" si="1346"/>
        <v/>
      </c>
      <c r="Y241" s="31"/>
      <c r="AK241" s="82" t="str">
        <f t="shared" si="1347"/>
        <v/>
      </c>
      <c r="AL241" s="419" t="s">
        <v>9</v>
      </c>
    </row>
    <row r="242" spans="2:38" x14ac:dyDescent="0.25">
      <c r="B242" s="650">
        <v>-3.3232276288235685</v>
      </c>
      <c r="C242" s="651">
        <v>2.3269497233005429</v>
      </c>
      <c r="D242" s="652">
        <v>-4.7500143260432077</v>
      </c>
      <c r="E242" s="653">
        <v>-0.93417159812385442</v>
      </c>
      <c r="F242" s="651">
        <v>-0.28105357193171432</v>
      </c>
      <c r="G242" s="654">
        <v>-0.21984611655234834</v>
      </c>
      <c r="H242" s="653">
        <v>0.26600000000000001</v>
      </c>
      <c r="I242" s="942">
        <v>0.52</v>
      </c>
      <c r="J242" s="946">
        <v>6.3470000000000004</v>
      </c>
      <c r="K242" s="931">
        <f>IF($J242="","",IF(IFERROR(INDEX(Settings!$AK$14:$AK$60,MATCH((((ROUND($H242,6)*2)*1000000)+ROUND($I242,6)),Settings!$AI$14:$AI$60,0)),"Undefined")="Undefined","Undefined",IFERROR(INDEX(_xlfn.ANCHORARRAY(Settings!$BC$14),MATCH(IFERROR(INDEX(Settings!$AK$14:$AK$60,MATCH((((ROUND($H242,6)*2)*1000000)+ROUND($I242,6)),Settings!$AI$14:$AI$60,0)),"Undefined"),_xlfn.ANCHORARRAY(Settings!$BC$14),0)),"Inactive")))</f>
        <v>1313</v>
      </c>
      <c r="L242" s="683"/>
      <c r="M242" s="934" t="s">
        <v>9</v>
      </c>
      <c r="N242" s="31" t="str">
        <f t="shared" si="1344"/>
        <v>N</v>
      </c>
      <c r="O242" s="162" t="str">
        <f t="shared" si="1338"/>
        <v/>
      </c>
      <c r="P242" s="162" t="str">
        <f t="shared" si="1339"/>
        <v/>
      </c>
      <c r="Q242" s="162" t="str">
        <f t="shared" si="1340"/>
        <v/>
      </c>
      <c r="R242" s="162" t="str">
        <f t="shared" si="1345"/>
        <v/>
      </c>
      <c r="S242" s="162" t="str">
        <f t="shared" si="1341"/>
        <v/>
      </c>
      <c r="T242" s="162" t="str">
        <f t="shared" si="1342"/>
        <v/>
      </c>
      <c r="U242" s="162" t="str">
        <f>IFERROR(IF(ISNUMBER(MATCH($X242,Settings!$AK$52:$AK$60,0)),INDEX(Settings!$AO$14:$AO$60,MATCH($X242,Settings!$AK$14:$AK$60,0))/2,INDEX(Settings!$AM$14:$AM$60,MATCH($X242,Settings!$AK$14:$AK$60,0))/2),"")</f>
        <v/>
      </c>
      <c r="V242" s="162" t="str">
        <f t="shared" si="1343"/>
        <v/>
      </c>
      <c r="W242" s="75"/>
      <c r="X242" s="937" t="str">
        <f t="shared" si="1346"/>
        <v/>
      </c>
      <c r="Y242" s="31" t="s">
        <v>9</v>
      </c>
      <c r="AK242" s="82" t="str">
        <f t="shared" si="1347"/>
        <v/>
      </c>
      <c r="AL242" s="419" t="s">
        <v>9</v>
      </c>
    </row>
    <row r="243" spans="2:38" x14ac:dyDescent="0.25">
      <c r="B243" s="650"/>
      <c r="C243" s="651"/>
      <c r="D243" s="652"/>
      <c r="E243" s="653"/>
      <c r="F243" s="651"/>
      <c r="G243" s="654"/>
      <c r="H243" s="653"/>
      <c r="I243" s="942"/>
      <c r="J243" s="946"/>
      <c r="K243" s="931" t="str">
        <f>IF($J243="","",IF(IFERROR(INDEX(Settings!$AK$14:$AK$60,MATCH((((ROUND($H243,6)*2)*1000000)+ROUND($I243,6)),Settings!$AI$14:$AI$60,0)),"Undefined")="Undefined","Undefined",IFERROR(INDEX(_xlfn.ANCHORARRAY(Settings!$BC$14),MATCH(IFERROR(INDEX(Settings!$AK$14:$AK$60,MATCH((((ROUND($H243,6)*2)*1000000)+ROUND($I243,6)),Settings!$AI$14:$AI$60,0)),"Undefined"),_xlfn.ANCHORARRAY(Settings!$BC$14),0)),"Inactive")))</f>
        <v/>
      </c>
      <c r="L243" s="683"/>
      <c r="M243" s="934"/>
      <c r="N243" s="31" t="str">
        <f t="shared" si="1344"/>
        <v>Y</v>
      </c>
      <c r="O243" s="162" t="str">
        <f t="shared" si="1338"/>
        <v/>
      </c>
      <c r="P243" s="162" t="str">
        <f t="shared" si="1339"/>
        <v/>
      </c>
      <c r="Q243" s="162" t="str">
        <f t="shared" si="1340"/>
        <v/>
      </c>
      <c r="R243" s="162" t="str">
        <f t="shared" si="1345"/>
        <v/>
      </c>
      <c r="S243" s="162" t="str">
        <f t="shared" si="1341"/>
        <v/>
      </c>
      <c r="T243" s="162" t="str">
        <f t="shared" si="1342"/>
        <v/>
      </c>
      <c r="U243" s="162" t="str">
        <f>IFERROR(IF(ISNUMBER(MATCH($X243,Settings!$AK$52:$AK$60,0)),INDEX(Settings!$AO$14:$AO$60,MATCH($X243,Settings!$AK$14:$AK$60,0))/2,INDEX(Settings!$AM$14:$AM$60,MATCH($X243,Settings!$AK$14:$AK$60,0))/2),"")</f>
        <v/>
      </c>
      <c r="V243" s="162" t="str">
        <f t="shared" si="1343"/>
        <v/>
      </c>
      <c r="W243" s="75"/>
      <c r="X243" s="937" t="str">
        <f t="shared" si="1346"/>
        <v/>
      </c>
      <c r="Y243" s="31"/>
      <c r="AK243" s="82" t="str">
        <f t="shared" si="1347"/>
        <v>Y</v>
      </c>
      <c r="AL243" s="419" t="s">
        <v>9</v>
      </c>
    </row>
    <row r="244" spans="2:38" x14ac:dyDescent="0.25">
      <c r="B244" s="650"/>
      <c r="C244" s="651"/>
      <c r="D244" s="652"/>
      <c r="E244" s="653"/>
      <c r="F244" s="651"/>
      <c r="G244" s="654"/>
      <c r="H244" s="653"/>
      <c r="I244" s="942"/>
      <c r="J244" s="946"/>
      <c r="K244" s="931" t="str">
        <f>IF($J244="","",IF(IFERROR(INDEX(Settings!$AK$14:$AK$60,MATCH((((ROUND($H244,6)*2)*1000000)+ROUND($I244,6)),Settings!$AI$14:$AI$60,0)),"Undefined")="Undefined","Undefined",IFERROR(INDEX(_xlfn.ANCHORARRAY(Settings!$BC$14),MATCH(IFERROR(INDEX(Settings!$AK$14:$AK$60,MATCH((((ROUND($H244,6)*2)*1000000)+ROUND($I244,6)),Settings!$AI$14:$AI$60,0)),"Undefined"),_xlfn.ANCHORARRAY(Settings!$BC$14),0)),"Inactive")))</f>
        <v/>
      </c>
      <c r="L244" s="683"/>
      <c r="M244" s="934"/>
      <c r="N244" s="31" t="str">
        <f t="shared" si="1344"/>
        <v>Y</v>
      </c>
      <c r="O244" s="162" t="str">
        <f t="shared" si="1338"/>
        <v/>
      </c>
      <c r="P244" s="162" t="str">
        <f t="shared" si="1339"/>
        <v/>
      </c>
      <c r="Q244" s="162" t="str">
        <f t="shared" si="1340"/>
        <v/>
      </c>
      <c r="R244" s="162" t="str">
        <f t="shared" si="1345"/>
        <v/>
      </c>
      <c r="S244" s="162" t="str">
        <f t="shared" si="1341"/>
        <v/>
      </c>
      <c r="T244" s="162" t="str">
        <f t="shared" si="1342"/>
        <v/>
      </c>
      <c r="U244" s="162" t="str">
        <f>IFERROR(IF(ISNUMBER(MATCH($X244,Settings!$AK$52:$AK$60,0)),INDEX(Settings!$AO$14:$AO$60,MATCH($X244,Settings!$AK$14:$AK$60,0))/2,INDEX(Settings!$AM$14:$AM$60,MATCH($X244,Settings!$AK$14:$AK$60,0))/2),"")</f>
        <v/>
      </c>
      <c r="V244" s="162" t="str">
        <f t="shared" si="1343"/>
        <v/>
      </c>
      <c r="W244" s="75"/>
      <c r="X244" s="937" t="str">
        <f t="shared" si="1346"/>
        <v/>
      </c>
      <c r="Y244" s="31"/>
      <c r="AK244" s="82" t="str">
        <f t="shared" si="1347"/>
        <v>Y</v>
      </c>
      <c r="AL244" s="419" t="s">
        <v>400</v>
      </c>
    </row>
    <row r="245" spans="2:38" x14ac:dyDescent="0.25">
      <c r="B245" s="650"/>
      <c r="C245" s="651"/>
      <c r="D245" s="652"/>
      <c r="E245" s="653"/>
      <c r="F245" s="651"/>
      <c r="G245" s="654"/>
      <c r="H245" s="653"/>
      <c r="I245" s="942"/>
      <c r="J245" s="946"/>
      <c r="K245" s="931" t="str">
        <f>IF($J245="","",IF(IFERROR(INDEX(Settings!$AK$14:$AK$60,MATCH((((ROUND($H245,6)*2)*1000000)+ROUND($I245,6)),Settings!$AI$14:$AI$60,0)),"Undefined")="Undefined","Undefined",IFERROR(INDEX(_xlfn.ANCHORARRAY(Settings!$BC$14),MATCH(IFERROR(INDEX(Settings!$AK$14:$AK$60,MATCH((((ROUND($H245,6)*2)*1000000)+ROUND($I245,6)),Settings!$AI$14:$AI$60,0)),"Undefined"),_xlfn.ANCHORARRAY(Settings!$BC$14),0)),"Inactive")))</f>
        <v/>
      </c>
      <c r="L245" s="683"/>
      <c r="M245" s="934"/>
      <c r="N245" s="31" t="str">
        <f t="shared" si="1344"/>
        <v>Y</v>
      </c>
      <c r="O245" s="162" t="str">
        <f t="shared" si="1338"/>
        <v/>
      </c>
      <c r="P245" s="162" t="str">
        <f t="shared" si="1339"/>
        <v/>
      </c>
      <c r="Q245" s="162" t="str">
        <f t="shared" si="1340"/>
        <v/>
      </c>
      <c r="R245" s="162" t="str">
        <f t="shared" si="1345"/>
        <v/>
      </c>
      <c r="S245" s="162" t="str">
        <f t="shared" si="1341"/>
        <v/>
      </c>
      <c r="T245" s="162" t="str">
        <f t="shared" si="1342"/>
        <v/>
      </c>
      <c r="U245" s="162" t="str">
        <f>IFERROR(IF(ISNUMBER(MATCH($X245,Settings!$AK$52:$AK$60,0)),INDEX(Settings!$AO$14:$AO$60,MATCH($X245,Settings!$AK$14:$AK$60,0))/2,INDEX(Settings!$AM$14:$AM$60,MATCH($X245,Settings!$AK$14:$AK$60,0))/2),"")</f>
        <v/>
      </c>
      <c r="V245" s="162" t="str">
        <f t="shared" si="1343"/>
        <v/>
      </c>
      <c r="W245" s="75"/>
      <c r="X245" s="937" t="str">
        <f t="shared" si="1346"/>
        <v/>
      </c>
      <c r="Y245" s="31"/>
      <c r="AK245" s="82" t="str">
        <f t="shared" si="1347"/>
        <v>Y</v>
      </c>
      <c r="AL245" s="419" t="s">
        <v>400</v>
      </c>
    </row>
    <row r="246" spans="2:38" x14ac:dyDescent="0.25">
      <c r="B246" s="650"/>
      <c r="C246" s="651"/>
      <c r="D246" s="652"/>
      <c r="E246" s="653"/>
      <c r="F246" s="651"/>
      <c r="G246" s="654"/>
      <c r="H246" s="653"/>
      <c r="I246" s="942"/>
      <c r="J246" s="946"/>
      <c r="K246" s="931" t="str">
        <f>IF($J246="","",IF(IFERROR(INDEX(Settings!$AK$14:$AK$60,MATCH((((ROUND($H246,6)*2)*1000000)+ROUND($I246,6)),Settings!$AI$14:$AI$60,0)),"Undefined")="Undefined","Undefined",IFERROR(INDEX(_xlfn.ANCHORARRAY(Settings!$BC$14),MATCH(IFERROR(INDEX(Settings!$AK$14:$AK$60,MATCH((((ROUND($H246,6)*2)*1000000)+ROUND($I246,6)),Settings!$AI$14:$AI$60,0)),"Undefined"),_xlfn.ANCHORARRAY(Settings!$BC$14),0)),"Inactive")))</f>
        <v/>
      </c>
      <c r="L246" s="683"/>
      <c r="M246" s="934"/>
      <c r="N246" s="31" t="str">
        <f t="shared" si="1344"/>
        <v>Y</v>
      </c>
      <c r="O246" s="162" t="str">
        <f t="shared" si="1338"/>
        <v/>
      </c>
      <c r="P246" s="162" t="str">
        <f t="shared" si="1339"/>
        <v/>
      </c>
      <c r="Q246" s="162" t="str">
        <f t="shared" si="1340"/>
        <v/>
      </c>
      <c r="R246" s="162" t="str">
        <f t="shared" si="1345"/>
        <v/>
      </c>
      <c r="S246" s="162" t="str">
        <f t="shared" si="1341"/>
        <v/>
      </c>
      <c r="T246" s="162" t="str">
        <f t="shared" si="1342"/>
        <v/>
      </c>
      <c r="U246" s="162" t="str">
        <f>IFERROR(IF(ISNUMBER(MATCH($X246,Settings!$AK$52:$AK$60,0)),INDEX(Settings!$AO$14:$AO$60,MATCH($X246,Settings!$AK$14:$AK$60,0))/2,INDEX(Settings!$AM$14:$AM$60,MATCH($X246,Settings!$AK$14:$AK$60,0))/2),"")</f>
        <v/>
      </c>
      <c r="V246" s="162" t="str">
        <f t="shared" si="1343"/>
        <v/>
      </c>
      <c r="W246" s="75"/>
      <c r="X246" s="937" t="str">
        <f t="shared" si="1346"/>
        <v/>
      </c>
      <c r="Y246" s="31"/>
      <c r="AK246" s="82" t="str">
        <f t="shared" si="1347"/>
        <v>Y</v>
      </c>
      <c r="AL246" s="419" t="s">
        <v>400</v>
      </c>
    </row>
    <row r="247" spans="2:38" x14ac:dyDescent="0.25">
      <c r="B247" s="650"/>
      <c r="C247" s="651"/>
      <c r="D247" s="652"/>
      <c r="E247" s="653"/>
      <c r="F247" s="651"/>
      <c r="G247" s="654"/>
      <c r="H247" s="653"/>
      <c r="I247" s="942"/>
      <c r="J247" s="946"/>
      <c r="K247" s="931" t="str">
        <f>IF($J247="","",IF(IFERROR(INDEX(Settings!$AK$14:$AK$60,MATCH((((ROUND($H247,6)*2)*1000000)+ROUND($I247,6)),Settings!$AI$14:$AI$60,0)),"Undefined")="Undefined","Undefined",IFERROR(INDEX(_xlfn.ANCHORARRAY(Settings!$BC$14),MATCH(IFERROR(INDEX(Settings!$AK$14:$AK$60,MATCH((((ROUND($H247,6)*2)*1000000)+ROUND($I247,6)),Settings!$AI$14:$AI$60,0)),"Undefined"),_xlfn.ANCHORARRAY(Settings!$BC$14),0)),"Inactive")))</f>
        <v/>
      </c>
      <c r="L247" s="683"/>
      <c r="M247" s="934"/>
      <c r="N247" s="31" t="str">
        <f t="shared" si="1344"/>
        <v>Y</v>
      </c>
      <c r="O247" s="162" t="str">
        <f t="shared" si="1338"/>
        <v/>
      </c>
      <c r="P247" s="162" t="str">
        <f t="shared" si="1339"/>
        <v/>
      </c>
      <c r="Q247" s="162" t="str">
        <f t="shared" si="1340"/>
        <v/>
      </c>
      <c r="R247" s="162" t="str">
        <f t="shared" si="1345"/>
        <v/>
      </c>
      <c r="S247" s="162" t="str">
        <f t="shared" si="1341"/>
        <v/>
      </c>
      <c r="T247" s="162" t="str">
        <f t="shared" si="1342"/>
        <v/>
      </c>
      <c r="U247" s="162" t="str">
        <f>IFERROR(IF(ISNUMBER(MATCH($X247,Settings!$AK$52:$AK$60,0)),INDEX(Settings!$AO$14:$AO$60,MATCH($X247,Settings!$AK$14:$AK$60,0))/2,INDEX(Settings!$AM$14:$AM$60,MATCH($X247,Settings!$AK$14:$AK$60,0))/2),"")</f>
        <v/>
      </c>
      <c r="V247" s="162" t="str">
        <f t="shared" si="1343"/>
        <v/>
      </c>
      <c r="W247" s="75"/>
      <c r="X247" s="937" t="str">
        <f t="shared" si="1346"/>
        <v/>
      </c>
      <c r="Y247" s="31"/>
      <c r="AK247" s="82" t="str">
        <f t="shared" si="1347"/>
        <v>Y</v>
      </c>
      <c r="AL247" s="419" t="s">
        <v>400</v>
      </c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942"/>
      <c r="J248" s="946"/>
      <c r="K248" s="931" t="str">
        <f>IF($J248="","",IF(IFERROR(INDEX(Settings!$AK$14:$AK$60,MATCH((((ROUND($H248,6)*2)*1000000)+ROUND($I248,6)),Settings!$AI$14:$AI$60,0)),"Undefined")="Undefined","Undefined",IFERROR(INDEX(_xlfn.ANCHORARRAY(Settings!$BC$14),MATCH(IFERROR(INDEX(Settings!$AK$14:$AK$60,MATCH((((ROUND($H248,6)*2)*1000000)+ROUND($I248,6)),Settings!$AI$14:$AI$60,0)),"Undefined"),_xlfn.ANCHORARRAY(Settings!$BC$14),0)),"Inactive")))</f>
        <v/>
      </c>
      <c r="L248" s="683"/>
      <c r="M248" s="934"/>
      <c r="N248" s="31" t="str">
        <f t="shared" si="1344"/>
        <v>Y</v>
      </c>
      <c r="O248" s="162" t="str">
        <f t="shared" si="1338"/>
        <v/>
      </c>
      <c r="P248" s="162" t="str">
        <f t="shared" si="1339"/>
        <v/>
      </c>
      <c r="Q248" s="162" t="str">
        <f t="shared" si="1340"/>
        <v/>
      </c>
      <c r="R248" s="162" t="str">
        <f t="shared" si="1345"/>
        <v/>
      </c>
      <c r="S248" s="162" t="str">
        <f t="shared" si="1341"/>
        <v/>
      </c>
      <c r="T248" s="162" t="str">
        <f t="shared" si="1342"/>
        <v/>
      </c>
      <c r="U248" s="162" t="str">
        <f>IFERROR(IF(ISNUMBER(MATCH($X248,Settings!$AK$52:$AK$60,0)),INDEX(Settings!$AO$14:$AO$60,MATCH($X248,Settings!$AK$14:$AK$60,0))/2,INDEX(Settings!$AM$14:$AM$60,MATCH($X248,Settings!$AK$14:$AK$60,0))/2),"")</f>
        <v/>
      </c>
      <c r="V248" s="162" t="str">
        <f t="shared" si="1343"/>
        <v/>
      </c>
      <c r="W248" s="75"/>
      <c r="X248" s="937" t="str">
        <f t="shared" si="1346"/>
        <v/>
      </c>
      <c r="Y248" s="31"/>
      <c r="AK248" s="82" t="str">
        <f t="shared" si="1347"/>
        <v>Y</v>
      </c>
      <c r="AL248" s="419" t="s">
        <v>400</v>
      </c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942"/>
      <c r="J249" s="946"/>
      <c r="K249" s="931" t="str">
        <f>IF($J249="","",IF(IFERROR(INDEX(Settings!$AK$14:$AK$60,MATCH((((ROUND($H249,6)*2)*1000000)+ROUND($I249,6)),Settings!$AI$14:$AI$60,0)),"Undefined")="Undefined","Undefined",IFERROR(INDEX(_xlfn.ANCHORARRAY(Settings!$BC$14),MATCH(IFERROR(INDEX(Settings!$AK$14:$AK$60,MATCH((((ROUND($H249,6)*2)*1000000)+ROUND($I249,6)),Settings!$AI$14:$AI$60,0)),"Undefined"),_xlfn.ANCHORARRAY(Settings!$BC$14),0)),"Inactive")))</f>
        <v/>
      </c>
      <c r="L249" s="683"/>
      <c r="M249" s="934"/>
      <c r="N249" s="31" t="str">
        <f t="shared" si="1344"/>
        <v>Y</v>
      </c>
      <c r="O249" s="162" t="str">
        <f t="shared" si="1338"/>
        <v/>
      </c>
      <c r="P249" s="162" t="str">
        <f t="shared" si="1339"/>
        <v/>
      </c>
      <c r="Q249" s="162" t="str">
        <f t="shared" si="1340"/>
        <v/>
      </c>
      <c r="R249" s="162" t="str">
        <f t="shared" si="1345"/>
        <v/>
      </c>
      <c r="S249" s="162" t="str">
        <f t="shared" si="1341"/>
        <v/>
      </c>
      <c r="T249" s="162" t="str">
        <f t="shared" si="1342"/>
        <v/>
      </c>
      <c r="U249" s="162" t="str">
        <f>IFERROR(IF(ISNUMBER(MATCH($X249,Settings!$AK$52:$AK$60,0)),INDEX(Settings!$AO$14:$AO$60,MATCH($X249,Settings!$AK$14:$AK$60,0))/2,INDEX(Settings!$AM$14:$AM$60,MATCH($X249,Settings!$AK$14:$AK$60,0))/2),"")</f>
        <v/>
      </c>
      <c r="V249" s="162" t="str">
        <f t="shared" si="1343"/>
        <v/>
      </c>
      <c r="W249" s="75"/>
      <c r="X249" s="937" t="str">
        <f t="shared" si="1346"/>
        <v/>
      </c>
      <c r="Y249" s="31"/>
      <c r="AK249" s="82" t="str">
        <f t="shared" si="1347"/>
        <v>Y</v>
      </c>
      <c r="AL249" s="419" t="s">
        <v>400</v>
      </c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942"/>
      <c r="J250" s="946"/>
      <c r="K250" s="931" t="str">
        <f>IF($J250="","",IF(IFERROR(INDEX(Settings!$AK$14:$AK$60,MATCH((((ROUND($H250,6)*2)*1000000)+ROUND($I250,6)),Settings!$AI$14:$AI$60,0)),"Undefined")="Undefined","Undefined",IFERROR(INDEX(_xlfn.ANCHORARRAY(Settings!$BC$14),MATCH(IFERROR(INDEX(Settings!$AK$14:$AK$60,MATCH((((ROUND($H250,6)*2)*1000000)+ROUND($I250,6)),Settings!$AI$14:$AI$60,0)),"Undefined"),_xlfn.ANCHORARRAY(Settings!$BC$14),0)),"Inactive")))</f>
        <v/>
      </c>
      <c r="L250" s="683"/>
      <c r="M250" s="934"/>
      <c r="N250" s="31" t="str">
        <f t="shared" si="1344"/>
        <v>Y</v>
      </c>
      <c r="O250" s="162" t="str">
        <f t="shared" si="1338"/>
        <v/>
      </c>
      <c r="P250" s="162" t="str">
        <f t="shared" si="1339"/>
        <v/>
      </c>
      <c r="Q250" s="162" t="str">
        <f t="shared" si="1340"/>
        <v/>
      </c>
      <c r="R250" s="162" t="str">
        <f t="shared" si="1345"/>
        <v/>
      </c>
      <c r="S250" s="162" t="str">
        <f t="shared" si="1341"/>
        <v/>
      </c>
      <c r="T250" s="162" t="str">
        <f t="shared" si="1342"/>
        <v/>
      </c>
      <c r="U250" s="162" t="str">
        <f>IFERROR(IF(ISNUMBER(MATCH($X250,Settings!$AK$52:$AK$60,0)),INDEX(Settings!$AO$14:$AO$60,MATCH($X250,Settings!$AK$14:$AK$60,0))/2,INDEX(Settings!$AM$14:$AM$60,MATCH($X250,Settings!$AK$14:$AK$60,0))/2),"")</f>
        <v/>
      </c>
      <c r="V250" s="162" t="str">
        <f t="shared" si="1343"/>
        <v/>
      </c>
      <c r="W250" s="75"/>
      <c r="X250" s="937" t="str">
        <f t="shared" si="1346"/>
        <v/>
      </c>
      <c r="Y250" s="31"/>
      <c r="AK250" s="82" t="str">
        <f t="shared" si="1347"/>
        <v>Y</v>
      </c>
      <c r="AL250" s="419" t="s">
        <v>400</v>
      </c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942"/>
      <c r="J251" s="946"/>
      <c r="K251" s="931" t="str">
        <f>IF($J251="","",IF(IFERROR(INDEX(Settings!$AK$14:$AK$60,MATCH((((ROUND($H251,6)*2)*1000000)+ROUND($I251,6)),Settings!$AI$14:$AI$60,0)),"Undefined")="Undefined","Undefined",IFERROR(INDEX(_xlfn.ANCHORARRAY(Settings!$BC$14),MATCH(IFERROR(INDEX(Settings!$AK$14:$AK$60,MATCH((((ROUND($H251,6)*2)*1000000)+ROUND($I251,6)),Settings!$AI$14:$AI$60,0)),"Undefined"),_xlfn.ANCHORARRAY(Settings!$BC$14),0)),"Inactive")))</f>
        <v/>
      </c>
      <c r="L251" s="683"/>
      <c r="M251" s="934"/>
      <c r="N251" s="31" t="str">
        <f t="shared" si="1344"/>
        <v>Y</v>
      </c>
      <c r="O251" s="162" t="str">
        <f t="shared" si="1338"/>
        <v/>
      </c>
      <c r="P251" s="162" t="str">
        <f t="shared" si="1339"/>
        <v/>
      </c>
      <c r="Q251" s="162" t="str">
        <f t="shared" si="1340"/>
        <v/>
      </c>
      <c r="R251" s="162" t="str">
        <f t="shared" si="1345"/>
        <v/>
      </c>
      <c r="S251" s="162" t="str">
        <f t="shared" si="1341"/>
        <v/>
      </c>
      <c r="T251" s="162" t="str">
        <f t="shared" si="1342"/>
        <v/>
      </c>
      <c r="U251" s="162" t="str">
        <f>IFERROR(IF(ISNUMBER(MATCH($X251,Settings!$AK$52:$AK$60,0)),INDEX(Settings!$AO$14:$AO$60,MATCH($X251,Settings!$AK$14:$AK$60,0))/2,INDEX(Settings!$AM$14:$AM$60,MATCH($X251,Settings!$AK$14:$AK$60,0))/2),"")</f>
        <v/>
      </c>
      <c r="V251" s="162" t="str">
        <f t="shared" si="1343"/>
        <v/>
      </c>
      <c r="W251" s="75"/>
      <c r="X251" s="937" t="str">
        <f t="shared" si="1346"/>
        <v/>
      </c>
      <c r="Y251" s="31"/>
      <c r="AK251" s="82" t="str">
        <f t="shared" si="1347"/>
        <v>Y</v>
      </c>
      <c r="AL251" s="419" t="s">
        <v>400</v>
      </c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942"/>
      <c r="J252" s="946"/>
      <c r="K252" s="931" t="str">
        <f>IF($J252="","",IF(IFERROR(INDEX(Settings!$AK$14:$AK$60,MATCH((((ROUND($H252,6)*2)*1000000)+ROUND($I252,6)),Settings!$AI$14:$AI$60,0)),"Undefined")="Undefined","Undefined",IFERROR(INDEX(_xlfn.ANCHORARRAY(Settings!$BC$14),MATCH(IFERROR(INDEX(Settings!$AK$14:$AK$60,MATCH((((ROUND($H252,6)*2)*1000000)+ROUND($I252,6)),Settings!$AI$14:$AI$60,0)),"Undefined"),_xlfn.ANCHORARRAY(Settings!$BC$14),0)),"Inactive")))</f>
        <v/>
      </c>
      <c r="L252" s="683"/>
      <c r="M252" s="934"/>
      <c r="N252" s="31" t="str">
        <f t="shared" si="1344"/>
        <v>Y</v>
      </c>
      <c r="O252" s="162" t="str">
        <f t="shared" si="1338"/>
        <v/>
      </c>
      <c r="P252" s="162" t="str">
        <f t="shared" si="1339"/>
        <v/>
      </c>
      <c r="Q252" s="162" t="str">
        <f t="shared" si="1340"/>
        <v/>
      </c>
      <c r="R252" s="162" t="str">
        <f t="shared" si="1345"/>
        <v/>
      </c>
      <c r="S252" s="162" t="str">
        <f t="shared" si="1341"/>
        <v/>
      </c>
      <c r="T252" s="162" t="str">
        <f t="shared" si="1342"/>
        <v/>
      </c>
      <c r="U252" s="162" t="str">
        <f>IFERROR(IF(ISNUMBER(MATCH($X252,Settings!$AK$52:$AK$60,0)),INDEX(Settings!$AO$14:$AO$60,MATCH($X252,Settings!$AK$14:$AK$60,0))/2,INDEX(Settings!$AM$14:$AM$60,MATCH($X252,Settings!$AK$14:$AK$60,0))/2),"")</f>
        <v/>
      </c>
      <c r="V252" s="162" t="str">
        <f t="shared" si="1343"/>
        <v/>
      </c>
      <c r="W252" s="75"/>
      <c r="X252" s="937" t="str">
        <f t="shared" si="1346"/>
        <v/>
      </c>
      <c r="Y252" s="31"/>
      <c r="AK252" s="82" t="str">
        <f t="shared" si="1347"/>
        <v>Y</v>
      </c>
      <c r="AL252" s="419" t="s">
        <v>9</v>
      </c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942"/>
      <c r="J253" s="946"/>
      <c r="K253" s="931" t="str">
        <f>IF($J253="","",IF(IFERROR(INDEX(Settings!$AK$14:$AK$60,MATCH((((ROUND($H253,6)*2)*1000000)+ROUND($I253,6)),Settings!$AI$14:$AI$60,0)),"Undefined")="Undefined","Undefined",IFERROR(INDEX(_xlfn.ANCHORARRAY(Settings!$BC$14),MATCH(IFERROR(INDEX(Settings!$AK$14:$AK$60,MATCH((((ROUND($H253,6)*2)*1000000)+ROUND($I253,6)),Settings!$AI$14:$AI$60,0)),"Undefined"),_xlfn.ANCHORARRAY(Settings!$BC$14),0)),"Inactive")))</f>
        <v/>
      </c>
      <c r="L253" s="683"/>
      <c r="M253" s="934"/>
      <c r="N253" s="31" t="str">
        <f t="shared" si="1344"/>
        <v>Y</v>
      </c>
      <c r="O253" s="162" t="str">
        <f t="shared" si="1338"/>
        <v/>
      </c>
      <c r="P253" s="162" t="str">
        <f t="shared" si="1339"/>
        <v/>
      </c>
      <c r="Q253" s="162" t="str">
        <f t="shared" si="1340"/>
        <v/>
      </c>
      <c r="R253" s="162" t="str">
        <f t="shared" si="1345"/>
        <v/>
      </c>
      <c r="S253" s="162" t="str">
        <f t="shared" si="1341"/>
        <v/>
      </c>
      <c r="T253" s="162" t="str">
        <f t="shared" si="1342"/>
        <v/>
      </c>
      <c r="U253" s="162" t="str">
        <f>IFERROR(IF(ISNUMBER(MATCH($X253,Settings!$AK$52:$AK$60,0)),INDEX(Settings!$AO$14:$AO$60,MATCH($X253,Settings!$AK$14:$AK$60,0))/2,INDEX(Settings!$AM$14:$AM$60,MATCH($X253,Settings!$AK$14:$AK$60,0))/2),"")</f>
        <v/>
      </c>
      <c r="V253" s="162" t="str">
        <f t="shared" si="1343"/>
        <v/>
      </c>
      <c r="W253" s="75"/>
      <c r="X253" s="937" t="str">
        <f t="shared" si="1346"/>
        <v/>
      </c>
      <c r="Y253" s="31"/>
      <c r="AK253" s="82" t="str">
        <f t="shared" si="1347"/>
        <v>Y</v>
      </c>
      <c r="AL253" s="419" t="s">
        <v>9</v>
      </c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942"/>
      <c r="J254" s="946"/>
      <c r="K254" s="931" t="str">
        <f>IF($J254="","",IF(IFERROR(INDEX(Settings!$AK$14:$AK$60,MATCH((((ROUND($H254,6)*2)*1000000)+ROUND($I254,6)),Settings!$AI$14:$AI$60,0)),"Undefined")="Undefined","Undefined",IFERROR(INDEX(_xlfn.ANCHORARRAY(Settings!$BC$14),MATCH(IFERROR(INDEX(Settings!$AK$14:$AK$60,MATCH((((ROUND($H254,6)*2)*1000000)+ROUND($I254,6)),Settings!$AI$14:$AI$60,0)),"Undefined"),_xlfn.ANCHORARRAY(Settings!$BC$14),0)),"Inactive")))</f>
        <v/>
      </c>
      <c r="L254" s="683"/>
      <c r="M254" s="934"/>
      <c r="N254" s="31" t="str">
        <f t="shared" si="1344"/>
        <v>Y</v>
      </c>
      <c r="O254" s="162" t="str">
        <f t="shared" si="1338"/>
        <v/>
      </c>
      <c r="P254" s="162" t="str">
        <f t="shared" si="1339"/>
        <v/>
      </c>
      <c r="Q254" s="162" t="str">
        <f t="shared" si="1340"/>
        <v/>
      </c>
      <c r="R254" s="162" t="str">
        <f t="shared" si="1345"/>
        <v/>
      </c>
      <c r="S254" s="162" t="str">
        <f t="shared" si="1341"/>
        <v/>
      </c>
      <c r="T254" s="162" t="str">
        <f t="shared" si="1342"/>
        <v/>
      </c>
      <c r="U254" s="162" t="str">
        <f>IFERROR(IF(ISNUMBER(MATCH($X254,Settings!$AK$52:$AK$60,0)),INDEX(Settings!$AO$14:$AO$60,MATCH($X254,Settings!$AK$14:$AK$60,0))/2,INDEX(Settings!$AM$14:$AM$60,MATCH($X254,Settings!$AK$14:$AK$60,0))/2),"")</f>
        <v/>
      </c>
      <c r="V254" s="162" t="str">
        <f t="shared" si="1343"/>
        <v/>
      </c>
      <c r="W254" s="75"/>
      <c r="X254" s="937" t="str">
        <f t="shared" si="1346"/>
        <v/>
      </c>
      <c r="Y254" s="31"/>
      <c r="AK254" s="82" t="str">
        <f t="shared" si="1347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942"/>
      <c r="J255" s="946"/>
      <c r="K255" s="931" t="str">
        <f>IF($J255="","",IF(IFERROR(INDEX(Settings!$AK$14:$AK$60,MATCH((((ROUND($H255,6)*2)*1000000)+ROUND($I255,6)),Settings!$AI$14:$AI$60,0)),"Undefined")="Undefined","Undefined",IFERROR(INDEX(_xlfn.ANCHORARRAY(Settings!$BC$14),MATCH(IFERROR(INDEX(Settings!$AK$14:$AK$60,MATCH((((ROUND($H255,6)*2)*1000000)+ROUND($I255,6)),Settings!$AI$14:$AI$60,0)),"Undefined"),_xlfn.ANCHORARRAY(Settings!$BC$14),0)),"Inactive")))</f>
        <v/>
      </c>
      <c r="L255" s="683"/>
      <c r="M255" s="934"/>
      <c r="N255" s="31" t="str">
        <f t="shared" si="1344"/>
        <v>Y</v>
      </c>
      <c r="O255" s="162" t="str">
        <f t="shared" si="1338"/>
        <v/>
      </c>
      <c r="P255" s="162" t="str">
        <f t="shared" si="1339"/>
        <v/>
      </c>
      <c r="Q255" s="162" t="str">
        <f t="shared" si="1340"/>
        <v/>
      </c>
      <c r="R255" s="162" t="str">
        <f t="shared" si="1345"/>
        <v/>
      </c>
      <c r="S255" s="162" t="str">
        <f t="shared" si="1341"/>
        <v/>
      </c>
      <c r="T255" s="162" t="str">
        <f t="shared" si="1342"/>
        <v/>
      </c>
      <c r="U255" s="162" t="str">
        <f>IFERROR(IF(ISNUMBER(MATCH($X255,Settings!$AK$52:$AK$60,0)),INDEX(Settings!$AO$14:$AO$60,MATCH($X255,Settings!$AK$14:$AK$60,0))/2,INDEX(Settings!$AM$14:$AM$60,MATCH($X255,Settings!$AK$14:$AK$60,0))/2),"")</f>
        <v/>
      </c>
      <c r="V255" s="162" t="str">
        <f t="shared" si="1343"/>
        <v/>
      </c>
      <c r="W255" s="75"/>
      <c r="X255" s="937" t="str">
        <f t="shared" si="1346"/>
        <v/>
      </c>
      <c r="Y255" s="31"/>
      <c r="AK255" s="82" t="str">
        <f t="shared" si="1347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$60,MATCH((((ROUND($H256,6)*2)*1000000)+ROUND($I256,6)),Settings!$AI$14:$AI$60,0)),"Undefined")="Undefined","Undefined",IFERROR(INDEX(_xlfn.ANCHORARRAY(Settings!$BC$14),MATCH(IFERROR(INDEX(Settings!$AK$14:$AK$60,MATCH((((ROUND($H256,6)*2)*1000000)+ROUND($I256,6)),Settings!$AI$14:$AI$60,0)),"Undefined"),_xlfn.ANCHORARRAY(Settings!$BC$14),0)),"Inactive")))</f>
        <v/>
      </c>
      <c r="L256" s="683"/>
      <c r="M256" s="934"/>
      <c r="N256" s="31" t="str">
        <f t="shared" si="1344"/>
        <v>Y</v>
      </c>
      <c r="O256" s="162" t="str">
        <f t="shared" si="1338"/>
        <v/>
      </c>
      <c r="P256" s="162" t="str">
        <f t="shared" si="1339"/>
        <v/>
      </c>
      <c r="Q256" s="162" t="str">
        <f t="shared" si="1340"/>
        <v/>
      </c>
      <c r="R256" s="162" t="str">
        <f t="shared" si="1345"/>
        <v/>
      </c>
      <c r="S256" s="162" t="str">
        <f t="shared" si="1341"/>
        <v/>
      </c>
      <c r="T256" s="162" t="str">
        <f t="shared" si="1342"/>
        <v/>
      </c>
      <c r="U256" s="162" t="str">
        <f>IFERROR(IF(ISNUMBER(MATCH($X256,Settings!$AK$52:$AK$60,0)),INDEX(Settings!$AO$14:$AO$60,MATCH($X256,Settings!$AK$14:$AK$60,0))/2,INDEX(Settings!$AM$14:$AM$60,MATCH($X256,Settings!$AK$14:$AK$60,0))/2),"")</f>
        <v/>
      </c>
      <c r="V256" s="162" t="str">
        <f t="shared" si="1343"/>
        <v/>
      </c>
      <c r="W256" s="75"/>
      <c r="X256" s="937" t="str">
        <f t="shared" si="1346"/>
        <v/>
      </c>
      <c r="Y256" s="31"/>
      <c r="AK256" s="82" t="str">
        <f t="shared" si="1347"/>
        <v>Y</v>
      </c>
      <c r="AL256" s="419" t="s">
        <v>9</v>
      </c>
    </row>
    <row r="257" spans="2:25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$60,MATCH((((ROUND($H257,6)*2)*1000000)+ROUND($I257,6)),Settings!$AI$14:$AI$60,0)),"Undefined")="Undefined","Undefined",IFERROR(INDEX(_xlfn.ANCHORARRAY(Settings!$BC$14),MATCH(IFERROR(INDEX(Settings!$AK$14:$AK$60,MATCH((((ROUND($H257,6)*2)*1000000)+ROUND($I257,6)),Settings!$AI$14:$AI$60,0)),"Undefined"),_xlfn.ANCHORARRAY(Settings!$BC$14),0)),"Inactive")))</f>
        <v/>
      </c>
      <c r="L257" s="683"/>
      <c r="M257" s="934"/>
      <c r="N257" s="31" t="str">
        <f t="shared" si="1344"/>
        <v>Y</v>
      </c>
      <c r="O257" s="162" t="str">
        <f t="shared" si="1338"/>
        <v/>
      </c>
      <c r="P257" s="162" t="str">
        <f t="shared" si="1339"/>
        <v/>
      </c>
      <c r="Q257" s="162" t="str">
        <f t="shared" si="1340"/>
        <v/>
      </c>
      <c r="R257" s="162" t="str">
        <f t="shared" si="1345"/>
        <v/>
      </c>
      <c r="S257" s="162" t="str">
        <f t="shared" si="1341"/>
        <v/>
      </c>
      <c r="T257" s="162" t="str">
        <f t="shared" si="1342"/>
        <v/>
      </c>
      <c r="U257" s="162" t="str">
        <f>IFERROR(IF(ISNUMBER(MATCH($X257,Settings!$AK$52:$AK$60,0)),INDEX(Settings!$AO$14:$AO$60,MATCH($X257,Settings!$AK$14:$AK$60,0))/2,INDEX(Settings!$AM$14:$AM$60,MATCH($X257,Settings!$AK$14:$AK$60,0))/2),"")</f>
        <v/>
      </c>
      <c r="V257" s="162" t="str">
        <f t="shared" si="1343"/>
        <v/>
      </c>
      <c r="W257" s="75"/>
      <c r="X257" s="937" t="str">
        <f t="shared" si="1346"/>
        <v/>
      </c>
      <c r="Y257" s="31"/>
    </row>
    <row r="258" spans="2:25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$60,MATCH((((ROUND($H258,6)*2)*1000000)+ROUND($I258,6)),Settings!$AI$14:$AI$60,0)),"Undefined")="Undefined","Undefined",IFERROR(INDEX(_xlfn.ANCHORARRAY(Settings!$BC$14),MATCH(IFERROR(INDEX(Settings!$AK$14:$AK$60,MATCH((((ROUND($H258,6)*2)*1000000)+ROUND($I258,6)),Settings!$AI$14:$AI$60,0)),"Undefined"),_xlfn.ANCHORARRAY(Settings!$BC$14),0)),"Inactive")))</f>
        <v/>
      </c>
      <c r="L258" s="683"/>
      <c r="M258" s="934"/>
      <c r="N258" s="31" t="str">
        <f t="shared" si="1344"/>
        <v>Y</v>
      </c>
      <c r="O258" s="162" t="str">
        <f t="shared" si="1338"/>
        <v/>
      </c>
      <c r="P258" s="162" t="str">
        <f t="shared" si="1339"/>
        <v/>
      </c>
      <c r="Q258" s="162" t="str">
        <f t="shared" si="1340"/>
        <v/>
      </c>
      <c r="R258" s="162" t="str">
        <f t="shared" si="1345"/>
        <v/>
      </c>
      <c r="S258" s="162" t="str">
        <f t="shared" si="1341"/>
        <v/>
      </c>
      <c r="T258" s="162" t="str">
        <f t="shared" si="1342"/>
        <v/>
      </c>
      <c r="U258" s="162" t="str">
        <f>IFERROR(IF(ISNUMBER(MATCH($X258,Settings!$AK$52:$AK$60,0)),INDEX(Settings!$AO$14:$AO$60,MATCH($X258,Settings!$AK$14:$AK$60,0))/2,INDEX(Settings!$AM$14:$AM$60,MATCH($X258,Settings!$AK$14:$AK$60,0))/2),"")</f>
        <v/>
      </c>
      <c r="V258" s="162" t="str">
        <f t="shared" si="1343"/>
        <v/>
      </c>
      <c r="W258" s="75"/>
      <c r="X258" s="937" t="str">
        <f t="shared" si="1346"/>
        <v/>
      </c>
      <c r="Y258" s="31"/>
    </row>
    <row r="259" spans="2:25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$60,MATCH((((ROUND($H259,6)*2)*1000000)+ROUND($I259,6)),Settings!$AI$14:$AI$60,0)),"Undefined")="Undefined","Undefined",IFERROR(INDEX(_xlfn.ANCHORARRAY(Settings!$BC$14),MATCH(IFERROR(INDEX(Settings!$AK$14:$AK$60,MATCH((((ROUND($H259,6)*2)*1000000)+ROUND($I259,6)),Settings!$AI$14:$AI$60,0)),"Undefined"),_xlfn.ANCHORARRAY(Settings!$BC$14),0)),"Inactive")))</f>
        <v/>
      </c>
      <c r="L259" s="683"/>
      <c r="M259" s="934"/>
      <c r="N259" s="31" t="str">
        <f t="shared" si="1344"/>
        <v>Y</v>
      </c>
      <c r="O259" s="162" t="str">
        <f t="shared" si="1338"/>
        <v/>
      </c>
      <c r="P259" s="162" t="str">
        <f t="shared" si="1339"/>
        <v/>
      </c>
      <c r="Q259" s="162" t="str">
        <f t="shared" si="1340"/>
        <v/>
      </c>
      <c r="R259" s="162" t="str">
        <f t="shared" si="1345"/>
        <v/>
      </c>
      <c r="S259" s="162" t="str">
        <f t="shared" si="1341"/>
        <v/>
      </c>
      <c r="T259" s="162" t="str">
        <f t="shared" si="1342"/>
        <v/>
      </c>
      <c r="U259" s="162" t="str">
        <f>IFERROR(IF(ISNUMBER(MATCH($X259,Settings!$AK$52:$AK$60,0)),INDEX(Settings!$AO$14:$AO$60,MATCH($X259,Settings!$AK$14:$AK$60,0))/2,INDEX(Settings!$AM$14:$AM$60,MATCH($X259,Settings!$AK$14:$AK$60,0))/2),"")</f>
        <v/>
      </c>
      <c r="V259" s="162" t="str">
        <f t="shared" si="1343"/>
        <v/>
      </c>
      <c r="W259" s="75"/>
      <c r="X259" s="937" t="str">
        <f t="shared" si="1346"/>
        <v/>
      </c>
      <c r="Y259" s="31"/>
    </row>
    <row r="260" spans="2:25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$60,MATCH((((ROUND($H260,6)*2)*1000000)+ROUND($I260,6)),Settings!$AI$14:$AI$60,0)),"Undefined")="Undefined","Undefined",IFERROR(INDEX(_xlfn.ANCHORARRAY(Settings!$BC$14),MATCH(IFERROR(INDEX(Settings!$AK$14:$AK$60,MATCH((((ROUND($H260,6)*2)*1000000)+ROUND($I260,6)),Settings!$AI$14:$AI$60,0)),"Undefined"),_xlfn.ANCHORARRAY(Settings!$BC$14),0)),"Inactive")))</f>
        <v/>
      </c>
      <c r="L260" s="683"/>
      <c r="M260" s="934"/>
      <c r="N260" s="31" t="str">
        <f t="shared" si="1344"/>
        <v>Y</v>
      </c>
      <c r="O260" s="162" t="str">
        <f t="shared" ref="O260:O291" si="1348">IFERROR(INDEX(B$164:B$305,MATCH($W260,$J$164:$J$305,0)),"")</f>
        <v/>
      </c>
      <c r="P260" s="162" t="str">
        <f t="shared" ref="P260:P291" si="1349">IFERROR(INDEX(C$164:C$305,MATCH($W260,$J$164:$J$305,0)),"")</f>
        <v/>
      </c>
      <c r="Q260" s="162" t="str">
        <f t="shared" ref="Q260:Q291" si="1350">IFERROR(INDEX(D$164:D$305,MATCH($W260,$J$164:$J$305,0)),"")</f>
        <v/>
      </c>
      <c r="R260" s="162" t="str">
        <f t="shared" si="1345"/>
        <v/>
      </c>
      <c r="S260" s="162" t="str">
        <f t="shared" si="1341"/>
        <v/>
      </c>
      <c r="T260" s="162" t="str">
        <f t="shared" si="1342"/>
        <v/>
      </c>
      <c r="U260" s="162" t="str">
        <f>IFERROR(IF(ISNUMBER(MATCH($X260,Settings!$AK$52:$AK$60,0)),INDEX(Settings!$AO$14:$AO$60,MATCH($X260,Settings!$AK$14:$AK$60,0))/2,INDEX(Settings!$AM$14:$AM$60,MATCH($X260,Settings!$AK$14:$AK$60,0))/2),"")</f>
        <v/>
      </c>
      <c r="V260" s="162" t="str">
        <f t="shared" ref="V260:V291" si="1351">IFERROR(INDEX(I$164:I$305,MATCH($W260,$J$164:$J$305,0)),"")</f>
        <v/>
      </c>
      <c r="W260" s="75"/>
      <c r="X260" s="937" t="str">
        <f t="shared" si="1346"/>
        <v/>
      </c>
      <c r="Y260" s="31"/>
    </row>
    <row r="261" spans="2:25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$60,MATCH((((ROUND($H261,6)*2)*1000000)+ROUND($I261,6)),Settings!$AI$14:$AI$60,0)),"Undefined")="Undefined","Undefined",IFERROR(INDEX(_xlfn.ANCHORARRAY(Settings!$BC$14),MATCH(IFERROR(INDEX(Settings!$AK$14:$AK$60,MATCH((((ROUND($H261,6)*2)*1000000)+ROUND($I261,6)),Settings!$AI$14:$AI$60,0)),"Undefined"),_xlfn.ANCHORARRAY(Settings!$BC$14),0)),"Inactive")))</f>
        <v/>
      </c>
      <c r="L261" s="683"/>
      <c r="M261" s="934"/>
      <c r="N261" s="31" t="str">
        <f t="shared" si="1344"/>
        <v>Y</v>
      </c>
      <c r="O261" s="162" t="str">
        <f t="shared" si="1348"/>
        <v/>
      </c>
      <c r="P261" s="162" t="str">
        <f t="shared" si="1349"/>
        <v/>
      </c>
      <c r="Q261" s="162" t="str">
        <f t="shared" si="1350"/>
        <v/>
      </c>
      <c r="R261" s="162" t="str">
        <f t="shared" si="1345"/>
        <v/>
      </c>
      <c r="S261" s="162" t="str">
        <f t="shared" si="1341"/>
        <v/>
      </c>
      <c r="T261" s="162" t="str">
        <f t="shared" si="1342"/>
        <v/>
      </c>
      <c r="U261" s="162" t="str">
        <f>IFERROR(IF(ISNUMBER(MATCH($X261,Settings!$AK$52:$AK$60,0)),INDEX(Settings!$AO$14:$AO$60,MATCH($X261,Settings!$AK$14:$AK$60,0))/2,INDEX(Settings!$AM$14:$AM$60,MATCH($X261,Settings!$AK$14:$AK$60,0))/2),"")</f>
        <v/>
      </c>
      <c r="V261" s="162" t="str">
        <f t="shared" si="1351"/>
        <v/>
      </c>
      <c r="W261" s="75"/>
      <c r="X261" s="937" t="str">
        <f t="shared" si="1346"/>
        <v/>
      </c>
      <c r="Y261" s="31"/>
    </row>
    <row r="262" spans="2:25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$60,MATCH((((ROUND($H262,6)*2)*1000000)+ROUND($I262,6)),Settings!$AI$14:$AI$60,0)),"Undefined")="Undefined","Undefined",IFERROR(INDEX(_xlfn.ANCHORARRAY(Settings!$BC$14),MATCH(IFERROR(INDEX(Settings!$AK$14:$AK$60,MATCH((((ROUND($H262,6)*2)*1000000)+ROUND($I262,6)),Settings!$AI$14:$AI$60,0)),"Undefined"),_xlfn.ANCHORARRAY(Settings!$BC$14),0)),"Inactive")))</f>
        <v/>
      </c>
      <c r="L262" s="683"/>
      <c r="M262" s="934"/>
      <c r="N262" s="31" t="str">
        <f t="shared" si="1344"/>
        <v>Y</v>
      </c>
      <c r="O262" s="162" t="str">
        <f t="shared" si="1348"/>
        <v/>
      </c>
      <c r="P262" s="162" t="str">
        <f t="shared" si="1349"/>
        <v/>
      </c>
      <c r="Q262" s="162" t="str">
        <f t="shared" si="1350"/>
        <v/>
      </c>
      <c r="R262" s="162" t="str">
        <f t="shared" si="1345"/>
        <v/>
      </c>
      <c r="S262" s="162" t="str">
        <f t="shared" si="1341"/>
        <v/>
      </c>
      <c r="T262" s="162" t="str">
        <f t="shared" si="1342"/>
        <v/>
      </c>
      <c r="U262" s="162" t="str">
        <f>IFERROR(IF(ISNUMBER(MATCH($X262,Settings!$AK$52:$AK$60,0)),INDEX(Settings!$AO$14:$AO$60,MATCH($X262,Settings!$AK$14:$AK$60,0))/2,INDEX(Settings!$AM$14:$AM$60,MATCH($X262,Settings!$AK$14:$AK$60,0))/2),"")</f>
        <v/>
      </c>
      <c r="V262" s="162" t="str">
        <f t="shared" si="1351"/>
        <v/>
      </c>
      <c r="W262" s="75"/>
      <c r="X262" s="937" t="str">
        <f t="shared" si="1346"/>
        <v/>
      </c>
      <c r="Y262" s="31"/>
    </row>
    <row r="263" spans="2:25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$60,MATCH((((ROUND($H263,6)*2)*1000000)+ROUND($I263,6)),Settings!$AI$14:$AI$60,0)),"Undefined")="Undefined","Undefined",IFERROR(INDEX(_xlfn.ANCHORARRAY(Settings!$BC$14),MATCH(IFERROR(INDEX(Settings!$AK$14:$AK$60,MATCH((((ROUND($H263,6)*2)*1000000)+ROUND($I263,6)),Settings!$AI$14:$AI$60,0)),"Undefined"),_xlfn.ANCHORARRAY(Settings!$BC$14),0)),"Inactive")))</f>
        <v/>
      </c>
      <c r="L263" s="683"/>
      <c r="M263" s="934"/>
      <c r="N263" s="31" t="str">
        <f t="shared" si="1344"/>
        <v>Y</v>
      </c>
      <c r="O263" s="162" t="str">
        <f t="shared" si="1348"/>
        <v/>
      </c>
      <c r="P263" s="162" t="str">
        <f t="shared" si="1349"/>
        <v/>
      </c>
      <c r="Q263" s="162" t="str">
        <f t="shared" si="1350"/>
        <v/>
      </c>
      <c r="R263" s="162" t="str">
        <f t="shared" si="1345"/>
        <v/>
      </c>
      <c r="S263" s="162" t="str">
        <f t="shared" si="1341"/>
        <v/>
      </c>
      <c r="T263" s="162" t="str">
        <f t="shared" si="1342"/>
        <v/>
      </c>
      <c r="U263" s="162" t="str">
        <f>IFERROR(IF(ISNUMBER(MATCH($X263,Settings!$AK$52:$AK$60,0)),INDEX(Settings!$AO$14:$AO$60,MATCH($X263,Settings!$AK$14:$AK$60,0))/2,INDEX(Settings!$AM$14:$AM$60,MATCH($X263,Settings!$AK$14:$AK$60,0))/2),"")</f>
        <v/>
      </c>
      <c r="V263" s="162" t="str">
        <f t="shared" si="1351"/>
        <v/>
      </c>
      <c r="W263" s="75"/>
      <c r="X263" s="937" t="str">
        <f t="shared" si="1346"/>
        <v/>
      </c>
      <c r="Y263" s="31"/>
    </row>
    <row r="264" spans="2:25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$60,MATCH((((ROUND($H264,6)*2)*1000000)+ROUND($I264,6)),Settings!$AI$14:$AI$60,0)),"Undefined")="Undefined","Undefined",IFERROR(INDEX(_xlfn.ANCHORARRAY(Settings!$BC$14),MATCH(IFERROR(INDEX(Settings!$AK$14:$AK$60,MATCH((((ROUND($H264,6)*2)*1000000)+ROUND($I264,6)),Settings!$AI$14:$AI$60,0)),"Undefined"),_xlfn.ANCHORARRAY(Settings!$BC$14),0)),"Inactive")))</f>
        <v/>
      </c>
      <c r="L264" s="683"/>
      <c r="M264" s="934"/>
      <c r="N264" s="31" t="str">
        <f t="shared" si="1344"/>
        <v>Y</v>
      </c>
      <c r="O264" s="162" t="str">
        <f t="shared" si="1348"/>
        <v/>
      </c>
      <c r="P264" s="162" t="str">
        <f t="shared" si="1349"/>
        <v/>
      </c>
      <c r="Q264" s="162" t="str">
        <f t="shared" si="1350"/>
        <v/>
      </c>
      <c r="R264" s="162" t="str">
        <f t="shared" si="1345"/>
        <v/>
      </c>
      <c r="S264" s="162" t="str">
        <f t="shared" si="1341"/>
        <v/>
      </c>
      <c r="T264" s="162" t="str">
        <f t="shared" si="1342"/>
        <v/>
      </c>
      <c r="U264" s="162" t="str">
        <f>IFERROR(IF(ISNUMBER(MATCH($X264,Settings!$AK$52:$AK$60,0)),INDEX(Settings!$AO$14:$AO$60,MATCH($X264,Settings!$AK$14:$AK$60,0))/2,INDEX(Settings!$AM$14:$AM$60,MATCH($X264,Settings!$AK$14:$AK$60,0))/2),"")</f>
        <v/>
      </c>
      <c r="V264" s="162" t="str">
        <f t="shared" si="1351"/>
        <v/>
      </c>
      <c r="W264" s="75"/>
      <c r="X264" s="937" t="str">
        <f t="shared" si="1346"/>
        <v/>
      </c>
      <c r="Y264" s="31"/>
    </row>
    <row r="265" spans="2:25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$60,MATCH((((ROUND($H265,6)*2)*1000000)+ROUND($I265,6)),Settings!$AI$14:$AI$60,0)),"Undefined")="Undefined","Undefined",IFERROR(INDEX(_xlfn.ANCHORARRAY(Settings!$BC$14),MATCH(IFERROR(INDEX(Settings!$AK$14:$AK$60,MATCH((((ROUND($H265,6)*2)*1000000)+ROUND($I265,6)),Settings!$AI$14:$AI$60,0)),"Undefined"),_xlfn.ANCHORARRAY(Settings!$BC$14),0)),"Inactive")))</f>
        <v/>
      </c>
      <c r="L265" s="683"/>
      <c r="M265" s="934"/>
      <c r="N265" s="31" t="str">
        <f t="shared" si="1344"/>
        <v>Y</v>
      </c>
      <c r="O265" s="162" t="str">
        <f t="shared" si="1348"/>
        <v/>
      </c>
      <c r="P265" s="162" t="str">
        <f t="shared" si="1349"/>
        <v/>
      </c>
      <c r="Q265" s="162" t="str">
        <f t="shared" si="1350"/>
        <v/>
      </c>
      <c r="R265" s="162" t="str">
        <f t="shared" si="1345"/>
        <v/>
      </c>
      <c r="S265" s="162" t="str">
        <f t="shared" si="1341"/>
        <v/>
      </c>
      <c r="T265" s="162" t="str">
        <f t="shared" si="1342"/>
        <v/>
      </c>
      <c r="U265" s="162" t="str">
        <f>IFERROR(IF(ISNUMBER(MATCH($X265,Settings!$AK$52:$AK$60,0)),INDEX(Settings!$AO$14:$AO$60,MATCH($X265,Settings!$AK$14:$AK$60,0))/2,INDEX(Settings!$AM$14:$AM$60,MATCH($X265,Settings!$AK$14:$AK$60,0))/2),"")</f>
        <v/>
      </c>
      <c r="V265" s="162" t="str">
        <f t="shared" si="1351"/>
        <v/>
      </c>
      <c r="W265" s="75"/>
      <c r="X265" s="937" t="str">
        <f t="shared" si="1346"/>
        <v/>
      </c>
      <c r="Y265" s="31"/>
    </row>
    <row r="266" spans="2:25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$60,MATCH((((ROUND($H266,6)*2)*1000000)+ROUND($I266,6)),Settings!$AI$14:$AI$60,0)),"Undefined")="Undefined","Undefined",IFERROR(INDEX(_xlfn.ANCHORARRAY(Settings!$BC$14),MATCH(IFERROR(INDEX(Settings!$AK$14:$AK$60,MATCH((((ROUND($H266,6)*2)*1000000)+ROUND($I266,6)),Settings!$AI$14:$AI$60,0)),"Undefined"),_xlfn.ANCHORARRAY(Settings!$BC$14),0)),"Inactive")))</f>
        <v/>
      </c>
      <c r="L266" s="683"/>
      <c r="M266" s="934"/>
      <c r="N266" s="31" t="str">
        <f t="shared" si="1344"/>
        <v>Y</v>
      </c>
      <c r="O266" s="162" t="str">
        <f t="shared" si="1348"/>
        <v/>
      </c>
      <c r="P266" s="162" t="str">
        <f t="shared" si="1349"/>
        <v/>
      </c>
      <c r="Q266" s="162" t="str">
        <f t="shared" si="1350"/>
        <v/>
      </c>
      <c r="R266" s="162" t="str">
        <f t="shared" si="1345"/>
        <v/>
      </c>
      <c r="S266" s="162" t="str">
        <f t="shared" si="1341"/>
        <v/>
      </c>
      <c r="T266" s="162" t="str">
        <f t="shared" si="1342"/>
        <v/>
      </c>
      <c r="U266" s="162" t="str">
        <f>IFERROR(IF(ISNUMBER(MATCH($X266,Settings!$AK$52:$AK$60,0)),INDEX(Settings!$AO$14:$AO$60,MATCH($X266,Settings!$AK$14:$AK$60,0))/2,INDEX(Settings!$AM$14:$AM$60,MATCH($X266,Settings!$AK$14:$AK$60,0))/2),"")</f>
        <v/>
      </c>
      <c r="V266" s="162" t="str">
        <f t="shared" si="1351"/>
        <v/>
      </c>
      <c r="W266" s="75"/>
      <c r="X266" s="937" t="str">
        <f t="shared" si="1346"/>
        <v/>
      </c>
      <c r="Y266" s="31"/>
    </row>
    <row r="267" spans="2:25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$60,MATCH((((ROUND($H267,6)*2)*1000000)+ROUND($I267,6)),Settings!$AI$14:$AI$60,0)),"Undefined")="Undefined","Undefined",IFERROR(INDEX(_xlfn.ANCHORARRAY(Settings!$BC$14),MATCH(IFERROR(INDEX(Settings!$AK$14:$AK$60,MATCH((((ROUND($H267,6)*2)*1000000)+ROUND($I267,6)),Settings!$AI$14:$AI$60,0)),"Undefined"),_xlfn.ANCHORARRAY(Settings!$BC$14),0)),"Inactive")))</f>
        <v/>
      </c>
      <c r="L267" s="683"/>
      <c r="M267" s="934"/>
      <c r="N267" s="31" t="str">
        <f t="shared" si="1344"/>
        <v>Y</v>
      </c>
      <c r="O267" s="162" t="str">
        <f t="shared" si="1348"/>
        <v/>
      </c>
      <c r="P267" s="162" t="str">
        <f t="shared" si="1349"/>
        <v/>
      </c>
      <c r="Q267" s="162" t="str">
        <f t="shared" si="1350"/>
        <v/>
      </c>
      <c r="R267" s="162" t="str">
        <f t="shared" si="1345"/>
        <v/>
      </c>
      <c r="S267" s="162" t="str">
        <f t="shared" si="1341"/>
        <v/>
      </c>
      <c r="T267" s="162" t="str">
        <f t="shared" si="1342"/>
        <v/>
      </c>
      <c r="U267" s="162" t="str">
        <f>IFERROR(IF(ISNUMBER(MATCH($X267,Settings!$AK$52:$AK$60,0)),INDEX(Settings!$AO$14:$AO$60,MATCH($X267,Settings!$AK$14:$AK$60,0))/2,INDEX(Settings!$AM$14:$AM$60,MATCH($X267,Settings!$AK$14:$AK$60,0))/2),"")</f>
        <v/>
      </c>
      <c r="V267" s="162" t="str">
        <f t="shared" si="1351"/>
        <v/>
      </c>
      <c r="W267" s="75"/>
      <c r="X267" s="937" t="str">
        <f t="shared" si="1346"/>
        <v/>
      </c>
      <c r="Y267" s="31"/>
    </row>
    <row r="268" spans="2:25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$60,MATCH((((ROUND($H268,6)*2)*1000000)+ROUND($I268,6)),Settings!$AI$14:$AI$60,0)),"Undefined")="Undefined","Undefined",IFERROR(INDEX(_xlfn.ANCHORARRAY(Settings!$BC$14),MATCH(IFERROR(INDEX(Settings!$AK$14:$AK$60,MATCH((((ROUND($H268,6)*2)*1000000)+ROUND($I268,6)),Settings!$AI$14:$AI$60,0)),"Undefined"),_xlfn.ANCHORARRAY(Settings!$BC$14),0)),"Inactive")))</f>
        <v/>
      </c>
      <c r="L268" s="683"/>
      <c r="M268" s="934"/>
      <c r="N268" s="31" t="str">
        <f t="shared" si="1344"/>
        <v>Y</v>
      </c>
      <c r="O268" s="162" t="str">
        <f t="shared" si="1348"/>
        <v/>
      </c>
      <c r="P268" s="162" t="str">
        <f t="shared" si="1349"/>
        <v/>
      </c>
      <c r="Q268" s="162" t="str">
        <f t="shared" si="1350"/>
        <v/>
      </c>
      <c r="R268" s="162" t="str">
        <f t="shared" si="1345"/>
        <v/>
      </c>
      <c r="S268" s="162" t="str">
        <f t="shared" si="1341"/>
        <v/>
      </c>
      <c r="T268" s="162" t="str">
        <f t="shared" si="1342"/>
        <v/>
      </c>
      <c r="U268" s="162" t="str">
        <f>IFERROR(IF(ISNUMBER(MATCH($X268,Settings!$AK$52:$AK$60,0)),INDEX(Settings!$AO$14:$AO$60,MATCH($X268,Settings!$AK$14:$AK$60,0))/2,INDEX(Settings!$AM$14:$AM$60,MATCH($X268,Settings!$AK$14:$AK$60,0))/2),"")</f>
        <v/>
      </c>
      <c r="V268" s="162" t="str">
        <f t="shared" si="1351"/>
        <v/>
      </c>
      <c r="W268" s="75"/>
      <c r="X268" s="937" t="str">
        <f t="shared" si="1346"/>
        <v/>
      </c>
      <c r="Y268" s="31"/>
    </row>
    <row r="269" spans="2:25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$60,MATCH((((ROUND($H269,6)*2)*1000000)+ROUND($I269,6)),Settings!$AI$14:$AI$60,0)),"Undefined")="Undefined","Undefined",IFERROR(INDEX(_xlfn.ANCHORARRAY(Settings!$BC$14),MATCH(IFERROR(INDEX(Settings!$AK$14:$AK$60,MATCH((((ROUND($H269,6)*2)*1000000)+ROUND($I269,6)),Settings!$AI$14:$AI$60,0)),"Undefined"),_xlfn.ANCHORARRAY(Settings!$BC$14),0)),"Inactive")))</f>
        <v/>
      </c>
      <c r="L269" s="683"/>
      <c r="M269" s="934"/>
      <c r="N269" s="31" t="str">
        <f t="shared" si="1344"/>
        <v>Y</v>
      </c>
      <c r="O269" s="162" t="str">
        <f t="shared" si="1348"/>
        <v/>
      </c>
      <c r="P269" s="162" t="str">
        <f t="shared" si="1349"/>
        <v/>
      </c>
      <c r="Q269" s="162" t="str">
        <f t="shared" si="1350"/>
        <v/>
      </c>
      <c r="R269" s="162" t="str">
        <f t="shared" si="1345"/>
        <v/>
      </c>
      <c r="S269" s="162" t="str">
        <f t="shared" si="1341"/>
        <v/>
      </c>
      <c r="T269" s="162" t="str">
        <f t="shared" si="1342"/>
        <v/>
      </c>
      <c r="U269" s="162" t="str">
        <f>IFERROR(IF(ISNUMBER(MATCH($X269,Settings!$AK$52:$AK$60,0)),INDEX(Settings!$AO$14:$AO$60,MATCH($X269,Settings!$AK$14:$AK$60,0))/2,INDEX(Settings!$AM$14:$AM$60,MATCH($X269,Settings!$AK$14:$AK$60,0))/2),"")</f>
        <v/>
      </c>
      <c r="V269" s="162" t="str">
        <f t="shared" si="1351"/>
        <v/>
      </c>
      <c r="W269" s="75"/>
      <c r="X269" s="937" t="str">
        <f t="shared" si="1346"/>
        <v/>
      </c>
      <c r="Y269" s="31"/>
    </row>
    <row r="270" spans="2:25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$60,MATCH((((ROUND($H270,6)*2)*1000000)+ROUND($I270,6)),Settings!$AI$14:$AI$60,0)),"Undefined")="Undefined","Undefined",IFERROR(INDEX(_xlfn.ANCHORARRAY(Settings!$BC$14),MATCH(IFERROR(INDEX(Settings!$AK$14:$AK$60,MATCH((((ROUND($H270,6)*2)*1000000)+ROUND($I270,6)),Settings!$AI$14:$AI$60,0)),"Undefined"),_xlfn.ANCHORARRAY(Settings!$BC$14),0)),"Inactive")))</f>
        <v/>
      </c>
      <c r="L270" s="683"/>
      <c r="M270" s="934"/>
      <c r="N270" s="31" t="str">
        <f t="shared" si="1344"/>
        <v>Y</v>
      </c>
      <c r="O270" s="162" t="str">
        <f t="shared" si="1348"/>
        <v/>
      </c>
      <c r="P270" s="162" t="str">
        <f t="shared" si="1349"/>
        <v/>
      </c>
      <c r="Q270" s="162" t="str">
        <f t="shared" si="1350"/>
        <v/>
      </c>
      <c r="R270" s="162" t="str">
        <f t="shared" si="1345"/>
        <v/>
      </c>
      <c r="S270" s="162" t="str">
        <f t="shared" si="1341"/>
        <v/>
      </c>
      <c r="T270" s="162" t="str">
        <f t="shared" si="1342"/>
        <v/>
      </c>
      <c r="U270" s="162" t="str">
        <f>IFERROR(IF(ISNUMBER(MATCH($X270,Settings!$AK$52:$AK$60,0)),INDEX(Settings!$AO$14:$AO$60,MATCH($X270,Settings!$AK$14:$AK$60,0))/2,INDEX(Settings!$AM$14:$AM$60,MATCH($X270,Settings!$AK$14:$AK$60,0))/2),"")</f>
        <v/>
      </c>
      <c r="V270" s="162" t="str">
        <f t="shared" si="1351"/>
        <v/>
      </c>
      <c r="W270" s="75"/>
      <c r="X270" s="937" t="str">
        <f t="shared" si="1346"/>
        <v/>
      </c>
      <c r="Y270" s="31"/>
    </row>
    <row r="271" spans="2:25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$60,MATCH((((ROUND($H271,6)*2)*1000000)+ROUND($I271,6)),Settings!$AI$14:$AI$60,0)),"Undefined")="Undefined","Undefined",IFERROR(INDEX(_xlfn.ANCHORARRAY(Settings!$BC$14),MATCH(IFERROR(INDEX(Settings!$AK$14:$AK$60,MATCH((((ROUND($H271,6)*2)*1000000)+ROUND($I271,6)),Settings!$AI$14:$AI$60,0)),"Undefined"),_xlfn.ANCHORARRAY(Settings!$BC$14),0)),"Inactive")))</f>
        <v/>
      </c>
      <c r="L271" s="683"/>
      <c r="M271" s="934"/>
      <c r="N271" s="31" t="str">
        <f t="shared" si="1344"/>
        <v>Y</v>
      </c>
      <c r="O271" s="162" t="str">
        <f t="shared" si="1348"/>
        <v/>
      </c>
      <c r="P271" s="162" t="str">
        <f t="shared" si="1349"/>
        <v/>
      </c>
      <c r="Q271" s="162" t="str">
        <f t="shared" si="1350"/>
        <v/>
      </c>
      <c r="R271" s="162" t="str">
        <f t="shared" si="1345"/>
        <v/>
      </c>
      <c r="S271" s="162" t="str">
        <f t="shared" si="1341"/>
        <v/>
      </c>
      <c r="T271" s="162" t="str">
        <f t="shared" si="1342"/>
        <v/>
      </c>
      <c r="U271" s="162" t="str">
        <f>IFERROR(IF(ISNUMBER(MATCH($X271,Settings!$AK$52:$AK$60,0)),INDEX(Settings!$AO$14:$AO$60,MATCH($X271,Settings!$AK$14:$AK$60,0))/2,INDEX(Settings!$AM$14:$AM$60,MATCH($X271,Settings!$AK$14:$AK$60,0))/2),"")</f>
        <v/>
      </c>
      <c r="V271" s="162" t="str">
        <f t="shared" si="1351"/>
        <v/>
      </c>
      <c r="W271" s="75"/>
      <c r="X271" s="937" t="str">
        <f t="shared" si="1346"/>
        <v/>
      </c>
      <c r="Y271" s="31"/>
    </row>
    <row r="272" spans="2:25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$60,MATCH((((ROUND($H272,6)*2)*1000000)+ROUND($I272,6)),Settings!$AI$14:$AI$60,0)),"Undefined")="Undefined","Undefined",IFERROR(INDEX(_xlfn.ANCHORARRAY(Settings!$BC$14),MATCH(IFERROR(INDEX(Settings!$AK$14:$AK$60,MATCH((((ROUND($H272,6)*2)*1000000)+ROUND($I272,6)),Settings!$AI$14:$AI$60,0)),"Undefined"),_xlfn.ANCHORARRAY(Settings!$BC$14),0)),"Inactive")))</f>
        <v/>
      </c>
      <c r="L272" s="683"/>
      <c r="M272" s="934"/>
      <c r="N272" s="31" t="str">
        <f t="shared" si="1344"/>
        <v>Y</v>
      </c>
      <c r="O272" s="162" t="str">
        <f t="shared" si="1348"/>
        <v/>
      </c>
      <c r="P272" s="162" t="str">
        <f t="shared" si="1349"/>
        <v/>
      </c>
      <c r="Q272" s="162" t="str">
        <f t="shared" si="1350"/>
        <v/>
      </c>
      <c r="R272" s="162" t="str">
        <f t="shared" si="1345"/>
        <v/>
      </c>
      <c r="S272" s="162" t="str">
        <f t="shared" si="1341"/>
        <v/>
      </c>
      <c r="T272" s="162" t="str">
        <f t="shared" si="1342"/>
        <v/>
      </c>
      <c r="U272" s="162" t="str">
        <f>IFERROR(IF(ISNUMBER(MATCH($X272,Settings!$AK$52:$AK$60,0)),INDEX(Settings!$AO$14:$AO$60,MATCH($X272,Settings!$AK$14:$AK$60,0))/2,INDEX(Settings!$AM$14:$AM$60,MATCH($X272,Settings!$AK$14:$AK$60,0))/2),"")</f>
        <v/>
      </c>
      <c r="V272" s="162" t="str">
        <f t="shared" si="1351"/>
        <v/>
      </c>
      <c r="W272" s="75"/>
      <c r="X272" s="937" t="str">
        <f t="shared" si="1346"/>
        <v/>
      </c>
      <c r="Y272" s="31"/>
    </row>
    <row r="273" spans="2:25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$60,MATCH((((ROUND($H273,6)*2)*1000000)+ROUND($I273,6)),Settings!$AI$14:$AI$60,0)),"Undefined")="Undefined","Undefined",IFERROR(INDEX(_xlfn.ANCHORARRAY(Settings!$BC$14),MATCH(IFERROR(INDEX(Settings!$AK$14:$AK$60,MATCH((((ROUND($H273,6)*2)*1000000)+ROUND($I273,6)),Settings!$AI$14:$AI$60,0)),"Undefined"),_xlfn.ANCHORARRAY(Settings!$BC$14),0)),"Inactive")))</f>
        <v/>
      </c>
      <c r="L273" s="683"/>
      <c r="M273" s="934"/>
      <c r="N273" s="31" t="str">
        <f t="shared" si="1344"/>
        <v>Y</v>
      </c>
      <c r="O273" s="162" t="str">
        <f t="shared" si="1348"/>
        <v/>
      </c>
      <c r="P273" s="162" t="str">
        <f t="shared" si="1349"/>
        <v/>
      </c>
      <c r="Q273" s="162" t="str">
        <f t="shared" si="1350"/>
        <v/>
      </c>
      <c r="R273" s="162" t="str">
        <f t="shared" si="1345"/>
        <v/>
      </c>
      <c r="S273" s="162" t="str">
        <f t="shared" si="1341"/>
        <v/>
      </c>
      <c r="T273" s="162" t="str">
        <f t="shared" si="1342"/>
        <v/>
      </c>
      <c r="U273" s="162" t="str">
        <f>IFERROR(IF(ISNUMBER(MATCH($X273,Settings!$AK$52:$AK$60,0)),INDEX(Settings!$AO$14:$AO$60,MATCH($X273,Settings!$AK$14:$AK$60,0))/2,INDEX(Settings!$AM$14:$AM$60,MATCH($X273,Settings!$AK$14:$AK$60,0))/2),"")</f>
        <v/>
      </c>
      <c r="V273" s="162" t="str">
        <f t="shared" si="1351"/>
        <v/>
      </c>
      <c r="W273" s="75"/>
      <c r="X273" s="937" t="str">
        <f t="shared" si="1346"/>
        <v/>
      </c>
      <c r="Y273" s="31"/>
    </row>
    <row r="274" spans="2:25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$60,MATCH((((ROUND($H274,6)*2)*1000000)+ROUND($I274,6)),Settings!$AI$14:$AI$60,0)),"Undefined")="Undefined","Undefined",IFERROR(INDEX(_xlfn.ANCHORARRAY(Settings!$BC$14),MATCH(IFERROR(INDEX(Settings!$AK$14:$AK$60,MATCH((((ROUND($H274,6)*2)*1000000)+ROUND($I274,6)),Settings!$AI$14:$AI$60,0)),"Undefined"),_xlfn.ANCHORARRAY(Settings!$BC$14),0)),"Inactive")))</f>
        <v/>
      </c>
      <c r="L274" s="683"/>
      <c r="M274" s="934"/>
      <c r="N274" s="31" t="str">
        <f t="shared" si="1344"/>
        <v>Y</v>
      </c>
      <c r="O274" s="162" t="str">
        <f t="shared" si="1348"/>
        <v/>
      </c>
      <c r="P274" s="162" t="str">
        <f t="shared" si="1349"/>
        <v/>
      </c>
      <c r="Q274" s="162" t="str">
        <f t="shared" si="1350"/>
        <v/>
      </c>
      <c r="R274" s="162" t="str">
        <f t="shared" si="1345"/>
        <v/>
      </c>
      <c r="S274" s="162" t="str">
        <f t="shared" si="1341"/>
        <v/>
      </c>
      <c r="T274" s="162" t="str">
        <f t="shared" si="1342"/>
        <v/>
      </c>
      <c r="U274" s="162" t="str">
        <f>IFERROR(IF(ISNUMBER(MATCH($X274,Settings!$AK$52:$AK$60,0)),INDEX(Settings!$AO$14:$AO$60,MATCH($X274,Settings!$AK$14:$AK$60,0))/2,INDEX(Settings!$AM$14:$AM$60,MATCH($X274,Settings!$AK$14:$AK$60,0))/2),"")</f>
        <v/>
      </c>
      <c r="V274" s="162" t="str">
        <f t="shared" si="1351"/>
        <v/>
      </c>
      <c r="W274" s="75"/>
      <c r="X274" s="937" t="str">
        <f t="shared" si="1346"/>
        <v/>
      </c>
      <c r="Y274" s="31"/>
    </row>
    <row r="275" spans="2:25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$60,MATCH((((ROUND($H275,6)*2)*1000000)+ROUND($I275,6)),Settings!$AI$14:$AI$60,0)),"Undefined")="Undefined","Undefined",IFERROR(INDEX(_xlfn.ANCHORARRAY(Settings!$BC$14),MATCH(IFERROR(INDEX(Settings!$AK$14:$AK$60,MATCH((((ROUND($H275,6)*2)*1000000)+ROUND($I275,6)),Settings!$AI$14:$AI$60,0)),"Undefined"),_xlfn.ANCHORARRAY(Settings!$BC$14),0)),"Inactive")))</f>
        <v/>
      </c>
      <c r="L275" s="683"/>
      <c r="M275" s="934"/>
      <c r="N275" s="31" t="str">
        <f t="shared" si="1344"/>
        <v>Y</v>
      </c>
      <c r="O275" s="162" t="str">
        <f t="shared" si="1348"/>
        <v/>
      </c>
      <c r="P275" s="162" t="str">
        <f t="shared" si="1349"/>
        <v/>
      </c>
      <c r="Q275" s="162" t="str">
        <f t="shared" si="1350"/>
        <v/>
      </c>
      <c r="R275" s="162" t="str">
        <f t="shared" si="1345"/>
        <v/>
      </c>
      <c r="S275" s="162" t="str">
        <f t="shared" si="1341"/>
        <v/>
      </c>
      <c r="T275" s="162" t="str">
        <f t="shared" si="1342"/>
        <v/>
      </c>
      <c r="U275" s="162" t="str">
        <f>IFERROR(IF(ISNUMBER(MATCH($X275,Settings!$AK$52:$AK$60,0)),INDEX(Settings!$AO$14:$AO$60,MATCH($X275,Settings!$AK$14:$AK$60,0))/2,INDEX(Settings!$AM$14:$AM$60,MATCH($X275,Settings!$AK$14:$AK$60,0))/2),"")</f>
        <v/>
      </c>
      <c r="V275" s="162" t="str">
        <f t="shared" si="1351"/>
        <v/>
      </c>
      <c r="W275" s="75"/>
      <c r="X275" s="937" t="str">
        <f t="shared" si="1346"/>
        <v/>
      </c>
      <c r="Y275" s="31"/>
    </row>
    <row r="276" spans="2:25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$60,MATCH((((ROUND($H276,6)*2)*1000000)+ROUND($I276,6)),Settings!$AI$14:$AI$60,0)),"Undefined")="Undefined","Undefined",IFERROR(INDEX(_xlfn.ANCHORARRAY(Settings!$BC$14),MATCH(IFERROR(INDEX(Settings!$AK$14:$AK$60,MATCH((((ROUND($H276,6)*2)*1000000)+ROUND($I276,6)),Settings!$AI$14:$AI$60,0)),"Undefined"),_xlfn.ANCHORARRAY(Settings!$BC$14),0)),"Inactive")))</f>
        <v/>
      </c>
      <c r="L276" s="683"/>
      <c r="M276" s="934"/>
      <c r="N276" s="31" t="str">
        <f t="shared" si="1344"/>
        <v>Y</v>
      </c>
      <c r="O276" s="162" t="str">
        <f t="shared" si="1348"/>
        <v/>
      </c>
      <c r="P276" s="162" t="str">
        <f t="shared" si="1349"/>
        <v/>
      </c>
      <c r="Q276" s="162" t="str">
        <f t="shared" si="1350"/>
        <v/>
      </c>
      <c r="R276" s="162" t="str">
        <f t="shared" si="1345"/>
        <v/>
      </c>
      <c r="S276" s="162" t="str">
        <f t="shared" si="1341"/>
        <v/>
      </c>
      <c r="T276" s="162" t="str">
        <f t="shared" si="1342"/>
        <v/>
      </c>
      <c r="U276" s="162" t="str">
        <f>IFERROR(IF(ISNUMBER(MATCH($X276,Settings!$AK$52:$AK$60,0)),INDEX(Settings!$AO$14:$AO$60,MATCH($X276,Settings!$AK$14:$AK$60,0))/2,INDEX(Settings!$AM$14:$AM$60,MATCH($X276,Settings!$AK$14:$AK$60,0))/2),"")</f>
        <v/>
      </c>
      <c r="V276" s="162" t="str">
        <f t="shared" si="1351"/>
        <v/>
      </c>
      <c r="W276" s="75"/>
      <c r="X276" s="937" t="str">
        <f t="shared" si="1346"/>
        <v/>
      </c>
      <c r="Y276" s="31"/>
    </row>
    <row r="277" spans="2:25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$60,MATCH((((ROUND($H277,6)*2)*1000000)+ROUND($I277,6)),Settings!$AI$14:$AI$60,0)),"Undefined")="Undefined","Undefined",IFERROR(INDEX(_xlfn.ANCHORARRAY(Settings!$BC$14),MATCH(IFERROR(INDEX(Settings!$AK$14:$AK$60,MATCH((((ROUND($H277,6)*2)*1000000)+ROUND($I277,6)),Settings!$AI$14:$AI$60,0)),"Undefined"),_xlfn.ANCHORARRAY(Settings!$BC$14),0)),"Inactive")))</f>
        <v/>
      </c>
      <c r="L277" s="683"/>
      <c r="M277" s="934"/>
      <c r="N277" s="31" t="str">
        <f t="shared" si="1344"/>
        <v>Y</v>
      </c>
      <c r="O277" s="162" t="str">
        <f t="shared" si="1348"/>
        <v/>
      </c>
      <c r="P277" s="162" t="str">
        <f t="shared" si="1349"/>
        <v/>
      </c>
      <c r="Q277" s="162" t="str">
        <f t="shared" si="1350"/>
        <v/>
      </c>
      <c r="R277" s="162" t="str">
        <f t="shared" si="1345"/>
        <v/>
      </c>
      <c r="S277" s="162" t="str">
        <f t="shared" si="1341"/>
        <v/>
      </c>
      <c r="T277" s="162" t="str">
        <f t="shared" si="1342"/>
        <v/>
      </c>
      <c r="U277" s="162" t="str">
        <f>IFERROR(IF(ISNUMBER(MATCH($X277,Settings!$AK$52:$AK$60,0)),INDEX(Settings!$AO$14:$AO$60,MATCH($X277,Settings!$AK$14:$AK$60,0))/2,INDEX(Settings!$AM$14:$AM$60,MATCH($X277,Settings!$AK$14:$AK$60,0))/2),"")</f>
        <v/>
      </c>
      <c r="V277" s="162" t="str">
        <f t="shared" si="1351"/>
        <v/>
      </c>
      <c r="W277" s="75"/>
      <c r="X277" s="937" t="str">
        <f t="shared" si="1346"/>
        <v/>
      </c>
      <c r="Y277" s="31"/>
    </row>
    <row r="278" spans="2:25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$60,MATCH((((ROUND($H278,6)*2)*1000000)+ROUND($I278,6)),Settings!$AI$14:$AI$60,0)),"Undefined")="Undefined","Undefined",IFERROR(INDEX(_xlfn.ANCHORARRAY(Settings!$BC$14),MATCH(IFERROR(INDEX(Settings!$AK$14:$AK$60,MATCH((((ROUND($H278,6)*2)*1000000)+ROUND($I278,6)),Settings!$AI$14:$AI$60,0)),"Undefined"),_xlfn.ANCHORARRAY(Settings!$BC$14),0)),"Inactive")))</f>
        <v/>
      </c>
      <c r="L278" s="683"/>
      <c r="M278" s="934"/>
      <c r="N278" s="31" t="str">
        <f t="shared" si="1344"/>
        <v>Y</v>
      </c>
      <c r="O278" s="162" t="str">
        <f t="shared" si="1348"/>
        <v/>
      </c>
      <c r="P278" s="162" t="str">
        <f t="shared" si="1349"/>
        <v/>
      </c>
      <c r="Q278" s="162" t="str">
        <f t="shared" si="1350"/>
        <v/>
      </c>
      <c r="R278" s="162" t="str">
        <f t="shared" si="1345"/>
        <v/>
      </c>
      <c r="S278" s="162" t="str">
        <f t="shared" si="1341"/>
        <v/>
      </c>
      <c r="T278" s="162" t="str">
        <f t="shared" si="1342"/>
        <v/>
      </c>
      <c r="U278" s="162" t="str">
        <f>IFERROR(IF(ISNUMBER(MATCH($X278,Settings!$AK$52:$AK$60,0)),INDEX(Settings!$AO$14:$AO$60,MATCH($X278,Settings!$AK$14:$AK$60,0))/2,INDEX(Settings!$AM$14:$AM$60,MATCH($X278,Settings!$AK$14:$AK$60,0))/2),"")</f>
        <v/>
      </c>
      <c r="V278" s="162" t="str">
        <f t="shared" si="1351"/>
        <v/>
      </c>
      <c r="W278" s="75"/>
      <c r="X278" s="937" t="str">
        <f t="shared" si="1346"/>
        <v/>
      </c>
      <c r="Y278" s="31"/>
    </row>
    <row r="279" spans="2:25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$60,MATCH((((ROUND($H279,6)*2)*1000000)+ROUND($I279,6)),Settings!$AI$14:$AI$60,0)),"Undefined")="Undefined","Undefined",IFERROR(INDEX(_xlfn.ANCHORARRAY(Settings!$BC$14),MATCH(IFERROR(INDEX(Settings!$AK$14:$AK$60,MATCH((((ROUND($H279,6)*2)*1000000)+ROUND($I279,6)),Settings!$AI$14:$AI$60,0)),"Undefined"),_xlfn.ANCHORARRAY(Settings!$BC$14),0)),"Inactive")))</f>
        <v/>
      </c>
      <c r="L279" s="683"/>
      <c r="M279" s="934"/>
      <c r="N279" s="31" t="str">
        <f t="shared" si="1344"/>
        <v>Y</v>
      </c>
      <c r="O279" s="162" t="str">
        <f t="shared" si="1348"/>
        <v/>
      </c>
      <c r="P279" s="162" t="str">
        <f t="shared" si="1349"/>
        <v/>
      </c>
      <c r="Q279" s="162" t="str">
        <f t="shared" si="1350"/>
        <v/>
      </c>
      <c r="R279" s="162" t="str">
        <f t="shared" si="1345"/>
        <v/>
      </c>
      <c r="S279" s="162" t="str">
        <f t="shared" si="1341"/>
        <v/>
      </c>
      <c r="T279" s="162" t="str">
        <f t="shared" si="1342"/>
        <v/>
      </c>
      <c r="U279" s="162" t="str">
        <f>IFERROR(IF(ISNUMBER(MATCH($X279,Settings!$AK$52:$AK$60,0)),INDEX(Settings!$AO$14:$AO$60,MATCH($X279,Settings!$AK$14:$AK$60,0))/2,INDEX(Settings!$AM$14:$AM$60,MATCH($X279,Settings!$AK$14:$AK$60,0))/2),"")</f>
        <v/>
      </c>
      <c r="V279" s="162" t="str">
        <f t="shared" si="1351"/>
        <v/>
      </c>
      <c r="W279" s="75"/>
      <c r="X279" s="937" t="str">
        <f t="shared" si="1346"/>
        <v/>
      </c>
      <c r="Y279" s="31"/>
    </row>
    <row r="280" spans="2:25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$60,MATCH((((ROUND($H280,6)*2)*1000000)+ROUND($I280,6)),Settings!$AI$14:$AI$60,0)),"Undefined")="Undefined","Undefined",IFERROR(INDEX(_xlfn.ANCHORARRAY(Settings!$BC$14),MATCH(IFERROR(INDEX(Settings!$AK$14:$AK$60,MATCH((((ROUND($H280,6)*2)*1000000)+ROUND($I280,6)),Settings!$AI$14:$AI$60,0)),"Undefined"),_xlfn.ANCHORARRAY(Settings!$BC$14),0)),"Inactive")))</f>
        <v/>
      </c>
      <c r="L280" s="683"/>
      <c r="M280" s="934"/>
      <c r="N280" s="31" t="str">
        <f t="shared" si="1344"/>
        <v>Y</v>
      </c>
      <c r="O280" s="162" t="str">
        <f t="shared" si="1348"/>
        <v/>
      </c>
      <c r="P280" s="162" t="str">
        <f t="shared" si="1349"/>
        <v/>
      </c>
      <c r="Q280" s="162" t="str">
        <f t="shared" si="1350"/>
        <v/>
      </c>
      <c r="R280" s="162" t="str">
        <f t="shared" si="1345"/>
        <v/>
      </c>
      <c r="S280" s="162" t="str">
        <f t="shared" si="1341"/>
        <v/>
      </c>
      <c r="T280" s="162" t="str">
        <f t="shared" si="1342"/>
        <v/>
      </c>
      <c r="U280" s="162" t="str">
        <f>IFERROR(IF(ISNUMBER(MATCH($X280,Settings!$AK$52:$AK$60,0)),INDEX(Settings!$AO$14:$AO$60,MATCH($X280,Settings!$AK$14:$AK$60,0))/2,INDEX(Settings!$AM$14:$AM$60,MATCH($X280,Settings!$AK$14:$AK$60,0))/2),"")</f>
        <v/>
      </c>
      <c r="V280" s="162" t="str">
        <f t="shared" si="1351"/>
        <v/>
      </c>
      <c r="W280" s="75"/>
      <c r="X280" s="937" t="str">
        <f t="shared" si="1346"/>
        <v/>
      </c>
      <c r="Y280" s="31"/>
    </row>
    <row r="281" spans="2:25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$60,MATCH((((ROUND($H281,6)*2)*1000000)+ROUND($I281,6)),Settings!$AI$14:$AI$60,0)),"Undefined")="Undefined","Undefined",IFERROR(INDEX(_xlfn.ANCHORARRAY(Settings!$BC$14),MATCH(IFERROR(INDEX(Settings!$AK$14:$AK$60,MATCH((((ROUND($H281,6)*2)*1000000)+ROUND($I281,6)),Settings!$AI$14:$AI$60,0)),"Undefined"),_xlfn.ANCHORARRAY(Settings!$BC$14),0)),"Inactive")))</f>
        <v/>
      </c>
      <c r="L281" s="683"/>
      <c r="M281" s="934"/>
      <c r="N281" s="31" t="str">
        <f t="shared" si="1344"/>
        <v>Y</v>
      </c>
      <c r="O281" s="162" t="str">
        <f t="shared" si="1348"/>
        <v/>
      </c>
      <c r="P281" s="162" t="str">
        <f t="shared" si="1349"/>
        <v/>
      </c>
      <c r="Q281" s="162" t="str">
        <f t="shared" si="1350"/>
        <v/>
      </c>
      <c r="R281" s="162" t="str">
        <f t="shared" si="1345"/>
        <v/>
      </c>
      <c r="S281" s="162" t="str">
        <f t="shared" si="1341"/>
        <v/>
      </c>
      <c r="T281" s="162" t="str">
        <f t="shared" si="1342"/>
        <v/>
      </c>
      <c r="U281" s="162" t="str">
        <f>IFERROR(IF(ISNUMBER(MATCH($X281,Settings!$AK$52:$AK$60,0)),INDEX(Settings!$AO$14:$AO$60,MATCH($X281,Settings!$AK$14:$AK$60,0))/2,INDEX(Settings!$AM$14:$AM$60,MATCH($X281,Settings!$AK$14:$AK$60,0))/2),"")</f>
        <v/>
      </c>
      <c r="V281" s="162" t="str">
        <f t="shared" si="1351"/>
        <v/>
      </c>
      <c r="W281" s="75"/>
      <c r="X281" s="937" t="str">
        <f t="shared" si="1346"/>
        <v/>
      </c>
      <c r="Y281" s="31"/>
    </row>
    <row r="282" spans="2:25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$60,MATCH((((ROUND($H282,6)*2)*1000000)+ROUND($I282,6)),Settings!$AI$14:$AI$60,0)),"Undefined")="Undefined","Undefined",IFERROR(INDEX(_xlfn.ANCHORARRAY(Settings!$BC$14),MATCH(IFERROR(INDEX(Settings!$AK$14:$AK$60,MATCH((((ROUND($H282,6)*2)*1000000)+ROUND($I282,6)),Settings!$AI$14:$AI$60,0)),"Undefined"),_xlfn.ANCHORARRAY(Settings!$BC$14),0)),"Inactive")))</f>
        <v/>
      </c>
      <c r="L282" s="683"/>
      <c r="M282" s="934"/>
      <c r="N282" s="31" t="str">
        <f t="shared" si="1344"/>
        <v>Y</v>
      </c>
      <c r="O282" s="162" t="str">
        <f t="shared" si="1348"/>
        <v/>
      </c>
      <c r="P282" s="162" t="str">
        <f t="shared" si="1349"/>
        <v/>
      </c>
      <c r="Q282" s="162" t="str">
        <f t="shared" si="1350"/>
        <v/>
      </c>
      <c r="R282" s="162" t="str">
        <f t="shared" si="1345"/>
        <v/>
      </c>
      <c r="S282" s="162" t="str">
        <f t="shared" si="1341"/>
        <v/>
      </c>
      <c r="T282" s="162" t="str">
        <f t="shared" si="1342"/>
        <v/>
      </c>
      <c r="U282" s="162" t="str">
        <f>IFERROR(IF(ISNUMBER(MATCH($X282,Settings!$AK$52:$AK$60,0)),INDEX(Settings!$AO$14:$AO$60,MATCH($X282,Settings!$AK$14:$AK$60,0))/2,INDEX(Settings!$AM$14:$AM$60,MATCH($X282,Settings!$AK$14:$AK$60,0))/2),"")</f>
        <v/>
      </c>
      <c r="V282" s="162" t="str">
        <f t="shared" si="1351"/>
        <v/>
      </c>
      <c r="W282" s="75"/>
      <c r="X282" s="937" t="str">
        <f t="shared" si="1346"/>
        <v/>
      </c>
      <c r="Y282" s="31"/>
    </row>
    <row r="283" spans="2:25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$60,MATCH((((ROUND($H283,6)*2)*1000000)+ROUND($I283,6)),Settings!$AI$14:$AI$60,0)),"Undefined")="Undefined","Undefined",IFERROR(INDEX(_xlfn.ANCHORARRAY(Settings!$BC$14),MATCH(IFERROR(INDEX(Settings!$AK$14:$AK$60,MATCH((((ROUND($H283,6)*2)*1000000)+ROUND($I283,6)),Settings!$AI$14:$AI$60,0)),"Undefined"),_xlfn.ANCHORARRAY(Settings!$BC$14),0)),"Inactive")))</f>
        <v/>
      </c>
      <c r="L283" s="683"/>
      <c r="M283" s="934"/>
      <c r="N283" s="31" t="str">
        <f t="shared" si="1344"/>
        <v>Y</v>
      </c>
      <c r="O283" s="162" t="str">
        <f t="shared" si="1348"/>
        <v/>
      </c>
      <c r="P283" s="162" t="str">
        <f t="shared" si="1349"/>
        <v/>
      </c>
      <c r="Q283" s="162" t="str">
        <f t="shared" si="1350"/>
        <v/>
      </c>
      <c r="R283" s="162" t="str">
        <f t="shared" si="1345"/>
        <v/>
      </c>
      <c r="S283" s="162" t="str">
        <f t="shared" si="1341"/>
        <v/>
      </c>
      <c r="T283" s="162" t="str">
        <f t="shared" si="1342"/>
        <v/>
      </c>
      <c r="U283" s="162" t="str">
        <f>IFERROR(IF(ISNUMBER(MATCH($X283,Settings!$AK$52:$AK$60,0)),INDEX(Settings!$AO$14:$AO$60,MATCH($X283,Settings!$AK$14:$AK$60,0))/2,INDEX(Settings!$AM$14:$AM$60,MATCH($X283,Settings!$AK$14:$AK$60,0))/2),"")</f>
        <v/>
      </c>
      <c r="V283" s="162" t="str">
        <f t="shared" si="1351"/>
        <v/>
      </c>
      <c r="W283" s="75"/>
      <c r="X283" s="937" t="str">
        <f t="shared" si="1346"/>
        <v/>
      </c>
      <c r="Y283" s="31"/>
    </row>
    <row r="284" spans="2:25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$60,MATCH((((ROUND($H284,6)*2)*1000000)+ROUND($I284,6)),Settings!$AI$14:$AI$60,0)),"Undefined")="Undefined","Undefined",IFERROR(INDEX(_xlfn.ANCHORARRAY(Settings!$BC$14),MATCH(IFERROR(INDEX(Settings!$AK$14:$AK$60,MATCH((((ROUND($H284,6)*2)*1000000)+ROUND($I284,6)),Settings!$AI$14:$AI$60,0)),"Undefined"),_xlfn.ANCHORARRAY(Settings!$BC$14),0)),"Inactive")))</f>
        <v/>
      </c>
      <c r="L284" s="683"/>
      <c r="M284" s="934"/>
      <c r="N284" s="31" t="str">
        <f t="shared" si="1344"/>
        <v>Y</v>
      </c>
      <c r="O284" s="162" t="str">
        <f t="shared" si="1348"/>
        <v/>
      </c>
      <c r="P284" s="162" t="str">
        <f t="shared" si="1349"/>
        <v/>
      </c>
      <c r="Q284" s="162" t="str">
        <f t="shared" si="1350"/>
        <v/>
      </c>
      <c r="R284" s="162" t="str">
        <f t="shared" si="1345"/>
        <v/>
      </c>
      <c r="S284" s="162" t="str">
        <f t="shared" si="1341"/>
        <v/>
      </c>
      <c r="T284" s="162" t="str">
        <f t="shared" si="1342"/>
        <v/>
      </c>
      <c r="U284" s="162" t="str">
        <f>IFERROR(IF(ISNUMBER(MATCH($X284,Settings!$AK$52:$AK$60,0)),INDEX(Settings!$AO$14:$AO$60,MATCH($X284,Settings!$AK$14:$AK$60,0))/2,INDEX(Settings!$AM$14:$AM$60,MATCH($X284,Settings!$AK$14:$AK$60,0))/2),"")</f>
        <v/>
      </c>
      <c r="V284" s="162" t="str">
        <f t="shared" si="1351"/>
        <v/>
      </c>
      <c r="W284" s="75"/>
      <c r="X284" s="937" t="str">
        <f t="shared" si="1346"/>
        <v/>
      </c>
      <c r="Y284" s="31"/>
    </row>
    <row r="285" spans="2:25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$60,MATCH((((ROUND($H285,6)*2)*1000000)+ROUND($I285,6)),Settings!$AI$14:$AI$60,0)),"Undefined")="Undefined","Undefined",IFERROR(INDEX(_xlfn.ANCHORARRAY(Settings!$BC$14),MATCH(IFERROR(INDEX(Settings!$AK$14:$AK$60,MATCH((((ROUND($H285,6)*2)*1000000)+ROUND($I285,6)),Settings!$AI$14:$AI$60,0)),"Undefined"),_xlfn.ANCHORARRAY(Settings!$BC$14),0)),"Inactive")))</f>
        <v/>
      </c>
      <c r="L285" s="683"/>
      <c r="M285" s="934"/>
      <c r="N285" s="31" t="str">
        <f t="shared" si="1344"/>
        <v>Y</v>
      </c>
      <c r="O285" s="162" t="str">
        <f t="shared" si="1348"/>
        <v/>
      </c>
      <c r="P285" s="162" t="str">
        <f t="shared" si="1349"/>
        <v/>
      </c>
      <c r="Q285" s="162" t="str">
        <f t="shared" si="1350"/>
        <v/>
      </c>
      <c r="R285" s="162" t="str">
        <f t="shared" si="1345"/>
        <v/>
      </c>
      <c r="S285" s="162" t="str">
        <f t="shared" si="1341"/>
        <v/>
      </c>
      <c r="T285" s="162" t="str">
        <f t="shared" si="1342"/>
        <v/>
      </c>
      <c r="U285" s="162" t="str">
        <f>IFERROR(IF(ISNUMBER(MATCH($X285,Settings!$AK$52:$AK$60,0)),INDEX(Settings!$AO$14:$AO$60,MATCH($X285,Settings!$AK$14:$AK$60,0))/2,INDEX(Settings!$AM$14:$AM$60,MATCH($X285,Settings!$AK$14:$AK$60,0))/2),"")</f>
        <v/>
      </c>
      <c r="V285" s="162" t="str">
        <f t="shared" si="1351"/>
        <v/>
      </c>
      <c r="W285" s="75"/>
      <c r="X285" s="937" t="str">
        <f t="shared" si="1346"/>
        <v/>
      </c>
      <c r="Y285" s="31"/>
    </row>
    <row r="286" spans="2:25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$60,MATCH((((ROUND($H286,6)*2)*1000000)+ROUND($I286,6)),Settings!$AI$14:$AI$60,0)),"Undefined")="Undefined","Undefined",IFERROR(INDEX(_xlfn.ANCHORARRAY(Settings!$BC$14),MATCH(IFERROR(INDEX(Settings!$AK$14:$AK$60,MATCH((((ROUND($H286,6)*2)*1000000)+ROUND($I286,6)),Settings!$AI$14:$AI$60,0)),"Undefined"),_xlfn.ANCHORARRAY(Settings!$BC$14),0)),"Inactive")))</f>
        <v/>
      </c>
      <c r="L286" s="683"/>
      <c r="M286" s="934"/>
      <c r="N286" s="31" t="str">
        <f t="shared" si="1344"/>
        <v>Y</v>
      </c>
      <c r="O286" s="162" t="str">
        <f t="shared" si="1348"/>
        <v/>
      </c>
      <c r="P286" s="162" t="str">
        <f t="shared" si="1349"/>
        <v/>
      </c>
      <c r="Q286" s="162" t="str">
        <f t="shared" si="1350"/>
        <v/>
      </c>
      <c r="R286" s="162" t="str">
        <f t="shared" si="1345"/>
        <v/>
      </c>
      <c r="S286" s="162" t="str">
        <f t="shared" si="1341"/>
        <v/>
      </c>
      <c r="T286" s="162" t="str">
        <f t="shared" si="1342"/>
        <v/>
      </c>
      <c r="U286" s="162" t="str">
        <f>IFERROR(IF(ISNUMBER(MATCH($X286,Settings!$AK$52:$AK$60,0)),INDEX(Settings!$AO$14:$AO$60,MATCH($X286,Settings!$AK$14:$AK$60,0))/2,INDEX(Settings!$AM$14:$AM$60,MATCH($X286,Settings!$AK$14:$AK$60,0))/2),"")</f>
        <v/>
      </c>
      <c r="V286" s="162" t="str">
        <f t="shared" si="1351"/>
        <v/>
      </c>
      <c r="W286" s="75"/>
      <c r="X286" s="937" t="str">
        <f t="shared" si="1346"/>
        <v/>
      </c>
      <c r="Y286" s="31"/>
    </row>
    <row r="287" spans="2:25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$60,MATCH((((ROUND($H287,6)*2)*1000000)+ROUND($I287,6)),Settings!$AI$14:$AI$60,0)),"Undefined")="Undefined","Undefined",IFERROR(INDEX(_xlfn.ANCHORARRAY(Settings!$BC$14),MATCH(IFERROR(INDEX(Settings!$AK$14:$AK$60,MATCH((((ROUND($H287,6)*2)*1000000)+ROUND($I287,6)),Settings!$AI$14:$AI$60,0)),"Undefined"),_xlfn.ANCHORARRAY(Settings!$BC$14),0)),"Inactive")))</f>
        <v/>
      </c>
      <c r="L287" s="683"/>
      <c r="M287" s="934"/>
      <c r="N287" s="31" t="str">
        <f t="shared" si="1344"/>
        <v>Y</v>
      </c>
      <c r="O287" s="162" t="str">
        <f t="shared" si="1348"/>
        <v/>
      </c>
      <c r="P287" s="162" t="str">
        <f t="shared" si="1349"/>
        <v/>
      </c>
      <c r="Q287" s="162" t="str">
        <f t="shared" si="1350"/>
        <v/>
      </c>
      <c r="R287" s="162" t="str">
        <f t="shared" si="1345"/>
        <v/>
      </c>
      <c r="S287" s="162" t="str">
        <f t="shared" si="1341"/>
        <v/>
      </c>
      <c r="T287" s="162" t="str">
        <f t="shared" si="1342"/>
        <v/>
      </c>
      <c r="U287" s="162" t="str">
        <f>IFERROR(IF(ISNUMBER(MATCH($X287,Settings!$AK$52:$AK$60,0)),INDEX(Settings!$AO$14:$AO$60,MATCH($X287,Settings!$AK$14:$AK$60,0))/2,INDEX(Settings!$AM$14:$AM$60,MATCH($X287,Settings!$AK$14:$AK$60,0))/2),"")</f>
        <v/>
      </c>
      <c r="V287" s="162" t="str">
        <f t="shared" si="1351"/>
        <v/>
      </c>
      <c r="W287" s="75"/>
      <c r="X287" s="937" t="str">
        <f t="shared" si="1346"/>
        <v/>
      </c>
      <c r="Y287" s="31"/>
    </row>
    <row r="288" spans="2:25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$60,MATCH((((ROUND($H288,6)*2)*1000000)+ROUND($I288,6)),Settings!$AI$14:$AI$60,0)),"Undefined")="Undefined","Undefined",IFERROR(INDEX(_xlfn.ANCHORARRAY(Settings!$BC$14),MATCH(IFERROR(INDEX(Settings!$AK$14:$AK$60,MATCH((((ROUND($H288,6)*2)*1000000)+ROUND($I288,6)),Settings!$AI$14:$AI$60,0)),"Undefined"),_xlfn.ANCHORARRAY(Settings!$BC$14),0)),"Inactive")))</f>
        <v/>
      </c>
      <c r="L288" s="683"/>
      <c r="M288" s="934"/>
      <c r="N288" s="31" t="str">
        <f t="shared" si="1344"/>
        <v>Y</v>
      </c>
      <c r="O288" s="162" t="str">
        <f t="shared" si="1348"/>
        <v/>
      </c>
      <c r="P288" s="162" t="str">
        <f t="shared" si="1349"/>
        <v/>
      </c>
      <c r="Q288" s="162" t="str">
        <f t="shared" si="1350"/>
        <v/>
      </c>
      <c r="R288" s="162" t="str">
        <f t="shared" si="1345"/>
        <v/>
      </c>
      <c r="S288" s="162" t="str">
        <f t="shared" si="1341"/>
        <v/>
      </c>
      <c r="T288" s="162" t="str">
        <f t="shared" si="1342"/>
        <v/>
      </c>
      <c r="U288" s="162" t="str">
        <f>IFERROR(IF(ISNUMBER(MATCH($X288,Settings!$AK$52:$AK$60,0)),INDEX(Settings!$AO$14:$AO$60,MATCH($X288,Settings!$AK$14:$AK$60,0))/2,INDEX(Settings!$AM$14:$AM$60,MATCH($X288,Settings!$AK$14:$AK$60,0))/2),"")</f>
        <v/>
      </c>
      <c r="V288" s="162" t="str">
        <f t="shared" si="1351"/>
        <v/>
      </c>
      <c r="W288" s="75"/>
      <c r="X288" s="937" t="str">
        <f t="shared" si="134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$60,MATCH((((ROUND($H289,6)*2)*1000000)+ROUND($I289,6)),Settings!$AI$14:$AI$60,0)),"Undefined")="Undefined","Undefined",IFERROR(INDEX(_xlfn.ANCHORARRAY(Settings!$BC$14),MATCH(IFERROR(INDEX(Settings!$AK$14:$AK$60,MATCH((((ROUND($H289,6)*2)*1000000)+ROUND($I289,6)),Settings!$AI$14:$AI$60,0)),"Undefined"),_xlfn.ANCHORARRAY(Settings!$BC$14),0)),"Inactive")))</f>
        <v/>
      </c>
      <c r="L289" s="683"/>
      <c r="M289" s="934"/>
      <c r="N289" s="31" t="str">
        <f t="shared" si="1344"/>
        <v>Y</v>
      </c>
      <c r="O289" s="162" t="str">
        <f t="shared" si="1348"/>
        <v/>
      </c>
      <c r="P289" s="162" t="str">
        <f t="shared" si="1349"/>
        <v/>
      </c>
      <c r="Q289" s="162" t="str">
        <f t="shared" si="1350"/>
        <v/>
      </c>
      <c r="R289" s="162" t="str">
        <f t="shared" si="1345"/>
        <v/>
      </c>
      <c r="S289" s="162" t="str">
        <f t="shared" si="1341"/>
        <v/>
      </c>
      <c r="T289" s="162" t="str">
        <f t="shared" si="1342"/>
        <v/>
      </c>
      <c r="U289" s="162" t="str">
        <f>IFERROR(IF(ISNUMBER(MATCH($X289,Settings!$AK$52:$AK$60,0)),INDEX(Settings!$AO$14:$AO$60,MATCH($X289,Settings!$AK$14:$AK$60,0))/2,INDEX(Settings!$AM$14:$AM$60,MATCH($X289,Settings!$AK$14:$AK$60,0))/2),"")</f>
        <v/>
      </c>
      <c r="V289" s="162" t="str">
        <f t="shared" si="1351"/>
        <v/>
      </c>
      <c r="W289" s="75"/>
      <c r="X289" s="937" t="str">
        <f t="shared" si="134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$60,MATCH((((ROUND($H290,6)*2)*1000000)+ROUND($I290,6)),Settings!$AI$14:$AI$60,0)),"Undefined")="Undefined","Undefined",IFERROR(INDEX(_xlfn.ANCHORARRAY(Settings!$BC$14),MATCH(IFERROR(INDEX(Settings!$AK$14:$AK$60,MATCH((((ROUND($H290,6)*2)*1000000)+ROUND($I290,6)),Settings!$AI$14:$AI$60,0)),"Undefined"),_xlfn.ANCHORARRAY(Settings!$BC$14),0)),"Inactive")))</f>
        <v/>
      </c>
      <c r="L290" s="683"/>
      <c r="M290" s="934"/>
      <c r="N290" s="31" t="str">
        <f t="shared" si="1344"/>
        <v>Y</v>
      </c>
      <c r="O290" s="162" t="str">
        <f t="shared" si="1348"/>
        <v/>
      </c>
      <c r="P290" s="162" t="str">
        <f t="shared" si="1349"/>
        <v/>
      </c>
      <c r="Q290" s="162" t="str">
        <f t="shared" si="1350"/>
        <v/>
      </c>
      <c r="R290" s="162" t="str">
        <f t="shared" si="1345"/>
        <v/>
      </c>
      <c r="S290" s="162" t="str">
        <f t="shared" si="1341"/>
        <v/>
      </c>
      <c r="T290" s="162" t="str">
        <f t="shared" si="1342"/>
        <v/>
      </c>
      <c r="U290" s="162" t="str">
        <f>IFERROR(IF(ISNUMBER(MATCH($X290,Settings!$AK$52:$AK$60,0)),INDEX(Settings!$AO$14:$AO$60,MATCH($X290,Settings!$AK$14:$AK$60,0))/2,INDEX(Settings!$AM$14:$AM$60,MATCH($X290,Settings!$AK$14:$AK$60,0))/2),"")</f>
        <v/>
      </c>
      <c r="V290" s="162" t="str">
        <f t="shared" si="1351"/>
        <v/>
      </c>
      <c r="W290" s="75"/>
      <c r="X290" s="937" t="str">
        <f t="shared" si="134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$60,MATCH((((ROUND($H291,6)*2)*1000000)+ROUND($I291,6)),Settings!$AI$14:$AI$60,0)),"Undefined")="Undefined","Undefined",IFERROR(INDEX(_xlfn.ANCHORARRAY(Settings!$BC$14),MATCH(IFERROR(INDEX(Settings!$AK$14:$AK$60,MATCH((((ROUND($H291,6)*2)*1000000)+ROUND($I291,6)),Settings!$AI$14:$AI$60,0)),"Undefined"),_xlfn.ANCHORARRAY(Settings!$BC$14),0)),"Inactive")))</f>
        <v/>
      </c>
      <c r="L291" s="683"/>
      <c r="M291" s="934"/>
      <c r="O291" s="162" t="str">
        <f t="shared" si="1348"/>
        <v/>
      </c>
      <c r="P291" s="162" t="str">
        <f t="shared" si="1349"/>
        <v/>
      </c>
      <c r="Q291" s="162" t="str">
        <f t="shared" si="1350"/>
        <v/>
      </c>
      <c r="R291" s="162" t="str">
        <f t="shared" si="1345"/>
        <v/>
      </c>
      <c r="S291" s="162" t="str">
        <f t="shared" si="1341"/>
        <v/>
      </c>
      <c r="T291" s="162" t="str">
        <f t="shared" si="1342"/>
        <v/>
      </c>
      <c r="U291" s="162" t="str">
        <f>IFERROR(IF(ISNUMBER(MATCH($X291,Settings!$AK$52:$AK$60,0)),INDEX(Settings!$AO$14:$AO$60,MATCH($X291,Settings!$AK$14:$AK$60,0))/2,INDEX(Settings!$AM$14:$AM$60,MATCH($X291,Settings!$AK$14:$AK$60,0))/2),"")</f>
        <v/>
      </c>
      <c r="V291" s="162" t="str">
        <f t="shared" si="1351"/>
        <v/>
      </c>
      <c r="W291" s="75"/>
      <c r="X291" s="937" t="str">
        <f t="shared" si="134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$60,MATCH((((ROUND($H292,6)*2)*1000000)+ROUND($I292,6)),Settings!$AI$14:$AI$60,0)),"Undefined")="Undefined","Undefined",IFERROR(INDEX(_xlfn.ANCHORARRAY(Settings!$BC$14),MATCH(IFERROR(INDEX(Settings!$AK$14:$AK$60,MATCH((((ROUND($H292,6)*2)*1000000)+ROUND($I292,6)),Settings!$AI$14:$AI$60,0)),"Undefined"),_xlfn.ANCHORARRAY(Settings!$BC$14),0)),"Inactive")))</f>
        <v/>
      </c>
      <c r="L292" s="683"/>
      <c r="M292" s="934"/>
      <c r="O292" s="162" t="str">
        <f t="shared" ref="O292:O305" si="1352">IFERROR(INDEX(B$164:B$305,MATCH($W292,$J$164:$J$305,0)),"")</f>
        <v/>
      </c>
      <c r="P292" s="162" t="str">
        <f t="shared" ref="P292:P305" si="1353">IFERROR(INDEX(C$164:C$305,MATCH($W292,$J$164:$J$305,0)),"")</f>
        <v/>
      </c>
      <c r="Q292" s="162" t="str">
        <f t="shared" ref="Q292:Q305" si="1354">IFERROR(INDEX(D$164:D$305,MATCH($W292,$J$164:$J$305,0)),"")</f>
        <v/>
      </c>
      <c r="R292" s="162" t="str">
        <f t="shared" si="1345"/>
        <v/>
      </c>
      <c r="S292" s="162" t="str">
        <f t="shared" ref="S292:S305" si="1355">IFERROR(IF($L292="Y",-1*INDEX(F$164:F$305,MATCH($W292,$J$164:$J$305,0)),INDEX(F$164:F$305,MATCH($W292,$J$164:$J$305,0))),"")</f>
        <v/>
      </c>
      <c r="T292" s="162" t="str">
        <f t="shared" ref="T292:T305" si="1356">IFERROR(IF($L292="Y",-1*INDEX(G$164:G$305,MATCH($W292,$J$164:$J$305,0)),INDEX(G$164:G$305,MATCH($W292,$J$164:$J$305,0))),"")</f>
        <v/>
      </c>
      <c r="U292" s="162" t="str">
        <f>IFERROR(IF(ISNUMBER(MATCH($X292,Settings!$AK$52:$AK$60,0)),INDEX(Settings!$AO$14:$AO$60,MATCH($X292,Settings!$AK$14:$AK$60,0))/2,INDEX(Settings!$AM$14:$AM$60,MATCH($X292,Settings!$AK$14:$AK$60,0))/2),"")</f>
        <v/>
      </c>
      <c r="V292" s="162" t="str">
        <f t="shared" ref="V292:V305" si="1357">IFERROR(INDEX(I$164:I$305,MATCH($W292,$J$164:$J$305,0)),"")</f>
        <v/>
      </c>
      <c r="W292" s="75"/>
      <c r="X292" s="937" t="str">
        <f t="shared" si="134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$60,MATCH((((ROUND($H293,6)*2)*1000000)+ROUND($I293,6)),Settings!$AI$14:$AI$60,0)),"Undefined")="Undefined","Undefined",IFERROR(INDEX(_xlfn.ANCHORARRAY(Settings!$BC$14),MATCH(IFERROR(INDEX(Settings!$AK$14:$AK$60,MATCH((((ROUND($H293,6)*2)*1000000)+ROUND($I293,6)),Settings!$AI$14:$AI$60,0)),"Undefined"),_xlfn.ANCHORARRAY(Settings!$BC$14),0)),"Inactive")))</f>
        <v/>
      </c>
      <c r="L293" s="683"/>
      <c r="M293" s="934"/>
      <c r="O293" s="162" t="str">
        <f t="shared" si="1352"/>
        <v/>
      </c>
      <c r="P293" s="162" t="str">
        <f t="shared" si="1353"/>
        <v/>
      </c>
      <c r="Q293" s="162" t="str">
        <f t="shared" si="1354"/>
        <v/>
      </c>
      <c r="R293" s="162" t="str">
        <f t="shared" ref="R293:R305" si="1358">IFERROR(IF($L293="Y",-1*INDEX(E$164:E$305,MATCH($W293,$J$164:$J$305,0)),INDEX(E$164:E$305,MATCH($W293,$J$164:$J$305,0))),"")</f>
        <v/>
      </c>
      <c r="S293" s="162" t="str">
        <f t="shared" si="1355"/>
        <v/>
      </c>
      <c r="T293" s="162" t="str">
        <f t="shared" si="1356"/>
        <v/>
      </c>
      <c r="U293" s="162" t="str">
        <f>IFERROR(IF(ISNUMBER(MATCH($X293,Settings!$AK$52:$AK$60,0)),INDEX(Settings!$AO$14:$AO$60,MATCH($X293,Settings!$AK$14:$AK$60,0))/2,INDEX(Settings!$AM$14:$AM$60,MATCH($X293,Settings!$AK$14:$AK$60,0))/2),"")</f>
        <v/>
      </c>
      <c r="V293" s="162" t="str">
        <f t="shared" si="1357"/>
        <v/>
      </c>
      <c r="W293" s="75"/>
      <c r="X293" s="937" t="str">
        <f t="shared" ref="X293:X305" si="135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$60,MATCH((((ROUND($H294,6)*2)*1000000)+ROUND($I294,6)),Settings!$AI$14:$AI$60,0)),"Undefined")="Undefined","Undefined",IFERROR(INDEX(_xlfn.ANCHORARRAY(Settings!$BC$14),MATCH(IFERROR(INDEX(Settings!$AK$14:$AK$60,MATCH((((ROUND($H294,6)*2)*1000000)+ROUND($I294,6)),Settings!$AI$14:$AI$60,0)),"Undefined"),_xlfn.ANCHORARRAY(Settings!$BC$14),0)),"Inactive")))</f>
        <v/>
      </c>
      <c r="L294" s="683"/>
      <c r="M294" s="934"/>
      <c r="O294" s="162" t="str">
        <f t="shared" si="1352"/>
        <v/>
      </c>
      <c r="P294" s="162" t="str">
        <f t="shared" si="1353"/>
        <v/>
      </c>
      <c r="Q294" s="162" t="str">
        <f t="shared" si="1354"/>
        <v/>
      </c>
      <c r="R294" s="162" t="str">
        <f t="shared" si="1358"/>
        <v/>
      </c>
      <c r="S294" s="162" t="str">
        <f t="shared" si="1355"/>
        <v/>
      </c>
      <c r="T294" s="162" t="str">
        <f t="shared" si="1356"/>
        <v/>
      </c>
      <c r="U294" s="162" t="str">
        <f>IFERROR(IF(ISNUMBER(MATCH($X294,Settings!$AK$52:$AK$60,0)),INDEX(Settings!$AO$14:$AO$60,MATCH($X294,Settings!$AK$14:$AK$60,0))/2,INDEX(Settings!$AM$14:$AM$60,MATCH($X294,Settings!$AK$14:$AK$60,0))/2),"")</f>
        <v/>
      </c>
      <c r="V294" s="162" t="str">
        <f t="shared" si="1357"/>
        <v/>
      </c>
      <c r="W294" s="75"/>
      <c r="X294" s="937" t="str">
        <f t="shared" si="135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$60,MATCH((((ROUND($H295,6)*2)*1000000)+ROUND($I295,6)),Settings!$AI$14:$AI$60,0)),"Undefined")="Undefined","Undefined",IFERROR(INDEX(_xlfn.ANCHORARRAY(Settings!$BC$14),MATCH(IFERROR(INDEX(Settings!$AK$14:$AK$60,MATCH((((ROUND($H295,6)*2)*1000000)+ROUND($I295,6)),Settings!$AI$14:$AI$60,0)),"Undefined"),_xlfn.ANCHORARRAY(Settings!$BC$14),0)),"Inactive")))</f>
        <v/>
      </c>
      <c r="L295" s="683"/>
      <c r="M295" s="934"/>
      <c r="O295" s="162" t="str">
        <f t="shared" si="1352"/>
        <v/>
      </c>
      <c r="P295" s="162" t="str">
        <f t="shared" si="1353"/>
        <v/>
      </c>
      <c r="Q295" s="162" t="str">
        <f t="shared" si="1354"/>
        <v/>
      </c>
      <c r="R295" s="162" t="str">
        <f t="shared" si="1358"/>
        <v/>
      </c>
      <c r="S295" s="162" t="str">
        <f t="shared" si="1355"/>
        <v/>
      </c>
      <c r="T295" s="162" t="str">
        <f t="shared" si="1356"/>
        <v/>
      </c>
      <c r="U295" s="162" t="str">
        <f>IFERROR(IF(ISNUMBER(MATCH($X295,Settings!$AK$52:$AK$60,0)),INDEX(Settings!$AO$14:$AO$60,MATCH($X295,Settings!$AK$14:$AK$60,0))/2,INDEX(Settings!$AM$14:$AM$60,MATCH($X295,Settings!$AK$14:$AK$60,0))/2),"")</f>
        <v/>
      </c>
      <c r="V295" s="162" t="str">
        <f t="shared" si="1357"/>
        <v/>
      </c>
      <c r="W295" s="75"/>
      <c r="X295" s="937" t="str">
        <f t="shared" si="135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$60,MATCH((((ROUND($H296,6)*2)*1000000)+ROUND($I296,6)),Settings!$AI$14:$AI$60,0)),"Undefined")="Undefined","Undefined",IFERROR(INDEX(_xlfn.ANCHORARRAY(Settings!$BC$14),MATCH(IFERROR(INDEX(Settings!$AK$14:$AK$60,MATCH((((ROUND($H296,6)*2)*1000000)+ROUND($I296,6)),Settings!$AI$14:$AI$60,0)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IFERROR(IF(ISNUMBER(MATCH($X296,Settings!$AK$52:$AK$60,0)),INDEX(Settings!$AO$14:$AO$60,MATCH($X296,Settings!$AK$14:$AK$60,0))/2,INDEX(Settings!$AM$14:$AM$60,MATCH($X296,Settings!$AK$14:$AK$60,0))/2),"")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$60,MATCH((((ROUND($H297,6)*2)*1000000)+ROUND($I297,6)),Settings!$AI$14:$AI$60,0)),"Undefined")="Undefined","Undefined",IFERROR(INDEX(_xlfn.ANCHORARRAY(Settings!$BC$14),MATCH(IFERROR(INDEX(Settings!$AK$14:$AK$60,MATCH((((ROUND($H297,6)*2)*1000000)+ROUND($I297,6)),Settings!$AI$14:$AI$60,0)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IFERROR(IF(ISNUMBER(MATCH($X297,Settings!$AK$52:$AK$60,0)),INDEX(Settings!$AO$14:$AO$60,MATCH($X297,Settings!$AK$14:$AK$60,0))/2,INDEX(Settings!$AM$14:$AM$60,MATCH($X297,Settings!$AK$14:$AK$60,0))/2),"")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$60,MATCH((((ROUND($H298,6)*2)*1000000)+ROUND($I298,6)),Settings!$AI$14:$AI$60,0)),"Undefined")="Undefined","Undefined",IFERROR(INDEX(_xlfn.ANCHORARRAY(Settings!$BC$14),MATCH(IFERROR(INDEX(Settings!$AK$14:$AK$60,MATCH((((ROUND($H298,6)*2)*1000000)+ROUND($I298,6)),Settings!$AI$14:$AI$60,0)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IFERROR(IF(ISNUMBER(MATCH($X298,Settings!$AK$52:$AK$60,0)),INDEX(Settings!$AO$14:$AO$60,MATCH($X298,Settings!$AK$14:$AK$60,0))/2,INDEX(Settings!$AM$14:$AM$60,MATCH($X298,Settings!$AK$14:$AK$60,0))/2),"")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$60,MATCH((((ROUND($H299,6)*2)*1000000)+ROUND($I299,6)),Settings!$AI$14:$AI$60,0)),"Undefined")="Undefined","Undefined",IFERROR(INDEX(_xlfn.ANCHORARRAY(Settings!$BC$14),MATCH(IFERROR(INDEX(Settings!$AK$14:$AK$60,MATCH((((ROUND($H299,6)*2)*1000000)+ROUND($I299,6)),Settings!$AI$14:$AI$60,0)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IFERROR(IF(ISNUMBER(MATCH($X299,Settings!$AK$52:$AK$60,0)),INDEX(Settings!$AO$14:$AO$60,MATCH($X299,Settings!$AK$14:$AK$60,0))/2,INDEX(Settings!$AM$14:$AM$60,MATCH($X299,Settings!$AK$14:$AK$60,0))/2),"")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$60,MATCH((((ROUND($H300,6)*2)*1000000)+ROUND($I300,6)),Settings!$AI$14:$AI$60,0)),"Undefined")="Undefined","Undefined",IFERROR(INDEX(_xlfn.ANCHORARRAY(Settings!$BC$14),MATCH(IFERROR(INDEX(Settings!$AK$14:$AK$60,MATCH((((ROUND($H300,6)*2)*1000000)+ROUND($I300,6)),Settings!$AI$14:$AI$60,0)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IFERROR(IF(ISNUMBER(MATCH($X300,Settings!$AK$52:$AK$60,0)),INDEX(Settings!$AO$14:$AO$60,MATCH($X300,Settings!$AK$14:$AK$60,0))/2,INDEX(Settings!$AM$14:$AM$60,MATCH($X300,Settings!$AK$14:$AK$60,0))/2),"")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$60,MATCH((((ROUND($H301,6)*2)*1000000)+ROUND($I301,6)),Settings!$AI$14:$AI$60,0)),"Undefined")="Undefined","Undefined",IFERROR(INDEX(_xlfn.ANCHORARRAY(Settings!$BC$14),MATCH(IFERROR(INDEX(Settings!$AK$14:$AK$60,MATCH((((ROUND($H301,6)*2)*1000000)+ROUND($I301,6)),Settings!$AI$14:$AI$60,0)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IFERROR(IF(ISNUMBER(MATCH($X301,Settings!$AK$52:$AK$60,0)),INDEX(Settings!$AO$14:$AO$60,MATCH($X301,Settings!$AK$14:$AK$60,0))/2,INDEX(Settings!$AM$14:$AM$60,MATCH($X301,Settings!$AK$14:$AK$60,0))/2),"")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$60,MATCH((((ROUND($H302,6)*2)*1000000)+ROUND($I302,6)),Settings!$AI$14:$AI$60,0)),"Undefined")="Undefined","Undefined",IFERROR(INDEX(_xlfn.ANCHORARRAY(Settings!$BC$14),MATCH(IFERROR(INDEX(Settings!$AK$14:$AK$60,MATCH((((ROUND($H302,6)*2)*1000000)+ROUND($I302,6)),Settings!$AI$14:$AI$60,0)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IFERROR(IF(ISNUMBER(MATCH($X302,Settings!$AK$52:$AK$60,0)),INDEX(Settings!$AO$14:$AO$60,MATCH($X302,Settings!$AK$14:$AK$60,0))/2,INDEX(Settings!$AM$14:$AM$60,MATCH($X302,Settings!$AK$14:$AK$60,0))/2),"")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$60,MATCH((((ROUND($H303,6)*2)*1000000)+ROUND($I303,6)),Settings!$AI$14:$AI$60,0)),"Undefined")="Undefined","Undefined",IFERROR(INDEX(_xlfn.ANCHORARRAY(Settings!$BC$14),MATCH(IFERROR(INDEX(Settings!$AK$14:$AK$60,MATCH((((ROUND($H303,6)*2)*1000000)+ROUND($I303,6)),Settings!$AI$14:$AI$60,0)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IFERROR(IF(ISNUMBER(MATCH($X303,Settings!$AK$52:$AK$60,0)),INDEX(Settings!$AO$14:$AO$60,MATCH($X303,Settings!$AK$14:$AK$60,0))/2,INDEX(Settings!$AM$14:$AM$60,MATCH($X303,Settings!$AK$14:$AK$60,0))/2),"")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$60,MATCH((((ROUND($H304,6)*2)*1000000)+ROUND($I304,6)),Settings!$AI$14:$AI$60,0)),"Undefined")="Undefined","Undefined",IFERROR(INDEX(_xlfn.ANCHORARRAY(Settings!$BC$14),MATCH(IFERROR(INDEX(Settings!$AK$14:$AK$60,MATCH((((ROUND($H304,6)*2)*1000000)+ROUND($I304,6)),Settings!$AI$14:$AI$60,0)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IFERROR(IF(ISNUMBER(MATCH($X304,Settings!$AK$52:$AK$60,0)),INDEX(Settings!$AO$14:$AO$60,MATCH($X304,Settings!$AK$14:$AK$60,0))/2,INDEX(Settings!$AM$14:$AM$60,MATCH($X304,Settings!$AK$14:$AK$60,0))/2),"")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$60,MATCH((((ROUND($H305,6)*2)*1000000)+ROUND($I305,6)),Settings!$AI$14:$AI$60,0)),"Undefined")="Undefined","Undefined",IFERROR(INDEX(_xlfn.ANCHORARRAY(Settings!$BC$14),MATCH(IFERROR(INDEX(Settings!$AK$14:$AK$60,MATCH((((ROUND($H305,6)*2)*1000000)+ROUND($I305,6)),Settings!$AI$14:$AI$60,0)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IFERROR(IF(ISNUMBER(MATCH($X305,Settings!$AK$52:$AK$60,0)),INDEX(Settings!$AO$14:$AO$60,MATCH($X305,Settings!$AK$14:$AK$60,0))/2,INDEX(Settings!$AM$14:$AM$60,MATCH($X305,Settings!$AK$14:$AK$60,0))/2),"")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103" t="s">
        <v>11</v>
      </c>
      <c r="E3" s="1104"/>
      <c r="F3" s="1387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388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39" t="str">
        <f>CONCATENATE(Settings!$C$19," ",Settings!$B$28)</f>
        <v>8.5 3336r00</v>
      </c>
      <c r="D1" s="1139"/>
      <c r="E1" s="1139"/>
      <c r="F1" s="1139"/>
      <c r="G1" s="1139"/>
      <c r="H1" s="1139"/>
      <c r="I1" s="1139"/>
      <c r="J1" s="1139"/>
      <c r="K1" s="1139"/>
      <c r="M1" s="103" t="s">
        <v>310</v>
      </c>
      <c r="N1" s="1434" t="s">
        <v>312</v>
      </c>
      <c r="O1" s="1434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30" t="str">
        <f>Settings!B28</f>
        <v>3336r00</v>
      </c>
      <c r="C2" s="1431"/>
      <c r="D2" s="1431"/>
      <c r="E2" s="1431"/>
      <c r="F2" s="1431"/>
      <c r="G2" s="1431"/>
      <c r="H2" s="1431"/>
      <c r="I2" s="1431"/>
      <c r="J2" s="1431"/>
      <c r="K2" s="1432"/>
      <c r="L2" s="1102" t="str" cm="1">
        <f t="array" ref="L2">IF(OR($K$9:$K$150="Undefined"),"Undefined Element","")</f>
        <v/>
      </c>
      <c r="M2" s="1427" t="s">
        <v>0</v>
      </c>
      <c r="N2" s="1119" t="s">
        <v>1</v>
      </c>
      <c r="O2" s="1120"/>
      <c r="P2" s="1120"/>
      <c r="Q2" s="1120"/>
      <c r="R2" s="1120"/>
      <c r="S2" s="1120"/>
      <c r="T2" s="1120"/>
      <c r="U2" s="1120"/>
      <c r="V2" s="1120"/>
      <c r="W2" s="1120"/>
      <c r="X2" s="1120"/>
      <c r="Y2" s="1121"/>
      <c r="Z2" s="1119" t="s">
        <v>2</v>
      </c>
      <c r="AA2" s="1120"/>
      <c r="AB2" s="1120"/>
      <c r="AC2" s="1120"/>
      <c r="AD2" s="1120"/>
      <c r="AE2" s="1120"/>
      <c r="AF2" s="1120"/>
      <c r="AG2" s="1120"/>
      <c r="AH2" s="1120"/>
      <c r="AI2" s="1120"/>
      <c r="AJ2" s="1120"/>
      <c r="AK2" s="1120"/>
      <c r="AL2" s="1120"/>
      <c r="AM2" s="1120"/>
      <c r="AN2" s="1120"/>
      <c r="AO2" s="1120"/>
      <c r="AP2" s="1120"/>
      <c r="AQ2" s="1189"/>
      <c r="AS2" s="1127" t="s">
        <v>44</v>
      </c>
      <c r="AT2" s="1128"/>
      <c r="AV2" s="1424" t="str">
        <f>M2</f>
        <v>CS-Name</v>
      </c>
      <c r="AW2" s="1344"/>
      <c r="AX2" s="1344"/>
      <c r="AY2" s="1344"/>
      <c r="AZ2" s="1344"/>
      <c r="BA2" s="1344"/>
      <c r="BB2" s="1344"/>
      <c r="BC2" s="1345"/>
      <c r="BF2" s="1400" t="s">
        <v>313</v>
      </c>
      <c r="BG2" s="1401"/>
      <c r="BH2" s="1401"/>
      <c r="BI2" s="1401"/>
      <c r="BJ2" s="1401"/>
      <c r="BK2" s="1402"/>
      <c r="BM2" s="1390" t="s">
        <v>270</v>
      </c>
      <c r="BN2" s="1094"/>
      <c r="BO2" s="1094"/>
      <c r="BP2" s="1095"/>
      <c r="BR2" s="1390" t="s">
        <v>270</v>
      </c>
      <c r="BS2" s="1094"/>
      <c r="BT2" s="1094"/>
      <c r="BU2" s="1095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45"/>
      <c r="C3" s="1146"/>
      <c r="D3" s="1146"/>
      <c r="E3" s="1146"/>
      <c r="F3" s="1146"/>
      <c r="G3" s="1146"/>
      <c r="H3" s="1146"/>
      <c r="I3" s="1146"/>
      <c r="J3" s="1146"/>
      <c r="K3" s="1147"/>
      <c r="L3" s="1102"/>
      <c r="M3" s="1428"/>
      <c r="N3" s="1122"/>
      <c r="O3" s="1123"/>
      <c r="P3" s="1123"/>
      <c r="Q3" s="1123"/>
      <c r="R3" s="1123"/>
      <c r="S3" s="1123"/>
      <c r="T3" s="1123"/>
      <c r="U3" s="1123"/>
      <c r="V3" s="1123"/>
      <c r="W3" s="1123"/>
      <c r="X3" s="1123"/>
      <c r="Y3" s="1124"/>
      <c r="Z3" s="1211"/>
      <c r="AA3" s="1197"/>
      <c r="AB3" s="1197"/>
      <c r="AC3" s="1197"/>
      <c r="AD3" s="1197"/>
      <c r="AE3" s="1197"/>
      <c r="AF3" s="1197"/>
      <c r="AG3" s="1197"/>
      <c r="AH3" s="1197"/>
      <c r="AI3" s="1197"/>
      <c r="AJ3" s="1197"/>
      <c r="AK3" s="1197"/>
      <c r="AL3" s="1197"/>
      <c r="AM3" s="1197"/>
      <c r="AN3" s="1197"/>
      <c r="AO3" s="1197"/>
      <c r="AP3" s="1197"/>
      <c r="AQ3" s="1212"/>
      <c r="AS3" s="415">
        <v>100</v>
      </c>
      <c r="AT3" s="412" t="s">
        <v>45</v>
      </c>
      <c r="AV3" s="1425"/>
      <c r="AW3" s="1350"/>
      <c r="AX3" s="1350"/>
      <c r="AY3" s="1350"/>
      <c r="AZ3" s="1350"/>
      <c r="BA3" s="1350"/>
      <c r="BB3" s="1350"/>
      <c r="BC3" s="1351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10" t="s">
        <v>307</v>
      </c>
      <c r="C4" s="984"/>
      <c r="D4" s="984"/>
      <c r="E4" s="984"/>
      <c r="F4" s="984"/>
      <c r="G4" s="984"/>
      <c r="H4" s="984"/>
      <c r="I4" s="984"/>
      <c r="J4" s="984"/>
      <c r="K4" s="1433"/>
      <c r="L4" s="1102"/>
      <c r="M4" s="1428"/>
      <c r="N4" s="1163" t="s">
        <v>3</v>
      </c>
      <c r="O4" s="1111"/>
      <c r="P4" s="1111"/>
      <c r="Q4" s="1112" t="s">
        <v>4</v>
      </c>
      <c r="R4" s="1111"/>
      <c r="S4" s="1113"/>
      <c r="T4" s="1172" t="str">
        <f>N4</f>
        <v>Cartesian Coordinates</v>
      </c>
      <c r="U4" s="1143"/>
      <c r="V4" s="1173"/>
      <c r="W4" s="1143" t="str">
        <f>Q4</f>
        <v>Polar XY; Cartesian Z</v>
      </c>
      <c r="X4" s="1143"/>
      <c r="Y4" s="1144"/>
      <c r="Z4" s="1435" t="s">
        <v>3</v>
      </c>
      <c r="AA4" s="1410"/>
      <c r="AB4" s="1410"/>
      <c r="AC4" s="1410"/>
      <c r="AD4" s="1410"/>
      <c r="AE4" s="1410"/>
      <c r="AF4" s="1410"/>
      <c r="AG4" s="1409" t="s">
        <v>31</v>
      </c>
      <c r="AH4" s="1410"/>
      <c r="AI4" s="1410"/>
      <c r="AJ4" s="1411"/>
      <c r="AK4" s="1393" t="s">
        <v>32</v>
      </c>
      <c r="AL4" s="1394"/>
      <c r="AM4" s="1394"/>
      <c r="AN4" s="1394"/>
      <c r="AO4" s="1394"/>
      <c r="AP4" s="1394"/>
      <c r="AQ4" s="1395"/>
      <c r="AS4" s="416">
        <v>0</v>
      </c>
      <c r="AT4" s="413" t="s">
        <v>46</v>
      </c>
      <c r="AV4" s="1425"/>
      <c r="AW4" s="1407"/>
      <c r="AX4" s="1407"/>
      <c r="AY4" s="1407"/>
      <c r="AZ4" s="1408"/>
      <c r="BA4" s="1407" t="str">
        <f>Z2</f>
        <v>PDC Orientation</v>
      </c>
      <c r="BB4" s="1407"/>
      <c r="BC4" s="1408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9" t="s">
        <v>372</v>
      </c>
      <c r="IF4" s="1009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45" t="str">
        <f>CONCATENATE(B7," ; ",E7," ; ",H8)</f>
        <v>Absolute-Point ; Incremental-Vector Point ; Radius</v>
      </c>
      <c r="C5" s="1146"/>
      <c r="D5" s="1146"/>
      <c r="E5" s="1146"/>
      <c r="F5" s="1146"/>
      <c r="G5" s="1146"/>
      <c r="H5" s="1146"/>
      <c r="I5" s="1146"/>
      <c r="J5" s="1146"/>
      <c r="K5" s="1147"/>
      <c r="L5" s="813" t="str" cm="1">
        <f t="array" ref="L5">IF(OR(IF(LEFT($K$9:$K$150,4)="&lt;&gt;CS",TRUE,FALSE)),"Wrong CS","")</f>
        <v/>
      </c>
      <c r="M5" s="1428"/>
      <c r="N5" s="1182" t="s">
        <v>5</v>
      </c>
      <c r="O5" s="1089"/>
      <c r="P5" s="1089"/>
      <c r="Q5" s="1088" t="s">
        <v>6</v>
      </c>
      <c r="R5" s="1089"/>
      <c r="S5" s="1090"/>
      <c r="T5" s="1107" t="str">
        <f>CONCATENATE("Relative to ",M8,"'s θ &amp; Z; Z Axis")</f>
        <v>Relative to 's θ &amp; Z; Z Axis</v>
      </c>
      <c r="U5" s="1108"/>
      <c r="V5" s="1183"/>
      <c r="W5" s="1108" t="str">
        <f>CONCATENATE("Relative to ",M8,"'s θ &amp; Z; Z Axis")</f>
        <v>Relative to 's θ &amp; Z; Z Axis</v>
      </c>
      <c r="X5" s="1108"/>
      <c r="Y5" s="1174"/>
      <c r="Z5" s="1164" t="str">
        <f>N5</f>
        <v>Relative to World_CS</v>
      </c>
      <c r="AA5" s="1108"/>
      <c r="AB5" s="1108"/>
      <c r="AC5" s="1108"/>
      <c r="AD5" s="1108"/>
      <c r="AE5" s="1108"/>
      <c r="AF5" s="1108"/>
      <c r="AG5" s="1107" t="str">
        <f>N5</f>
        <v>Relative to World_CS</v>
      </c>
      <c r="AH5" s="1108"/>
      <c r="AI5" s="1108"/>
      <c r="AJ5" s="1109"/>
      <c r="AK5" s="1194" t="s">
        <v>7</v>
      </c>
      <c r="AL5" s="1089"/>
      <c r="AM5" s="1089"/>
      <c r="AN5" s="1089"/>
      <c r="AO5" s="1089"/>
      <c r="AP5" s="1089"/>
      <c r="AQ5" s="1090"/>
      <c r="AS5" s="167">
        <f>(((AS4*12)/60)/AS3)</f>
        <v>0</v>
      </c>
      <c r="AT5" s="413" t="s">
        <v>47</v>
      </c>
      <c r="AV5" s="1425"/>
      <c r="AW5" s="1172" t="str">
        <f>W4</f>
        <v>Polar XY; Cartesian Z</v>
      </c>
      <c r="AX5" s="1143"/>
      <c r="AY5" s="1143"/>
      <c r="AZ5" s="1315" t="s">
        <v>104</v>
      </c>
      <c r="BA5" s="1143" t="str">
        <f>AK4</f>
        <v>Polar Z Projection → XZ Plane</v>
      </c>
      <c r="BB5" s="1143"/>
      <c r="BC5" s="1216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48"/>
      <c r="C6" s="1149"/>
      <c r="D6" s="1149"/>
      <c r="E6" s="1149"/>
      <c r="F6" s="1149"/>
      <c r="G6" s="1149"/>
      <c r="H6" s="1149"/>
      <c r="I6" s="1149"/>
      <c r="J6" s="1149"/>
      <c r="K6" s="1150"/>
      <c r="L6" s="1102" t="str" cm="1">
        <f t="array" ref="L6">IF(OR($K$9:$K$150="Inactive"),"Inactive Element","")</f>
        <v/>
      </c>
      <c r="M6" s="1428"/>
      <c r="N6" s="1178" t="s">
        <v>8</v>
      </c>
      <c r="O6" s="1180" t="s">
        <v>9</v>
      </c>
      <c r="P6" s="1086" t="s">
        <v>10</v>
      </c>
      <c r="Q6" s="1103" t="s">
        <v>11</v>
      </c>
      <c r="R6" s="1104"/>
      <c r="S6" s="1387" t="s">
        <v>10</v>
      </c>
      <c r="T6" s="1135" t="str">
        <f>N6</f>
        <v>X</v>
      </c>
      <c r="U6" s="1137" t="str">
        <f>O6</f>
        <v>Y</v>
      </c>
      <c r="V6" s="1170" t="str">
        <f>P6</f>
        <v>Z</v>
      </c>
      <c r="W6" s="1161" t="str">
        <f>Q6</f>
        <v>Projected XY</v>
      </c>
      <c r="X6" s="1162"/>
      <c r="Y6" s="1133" t="str">
        <f>S6</f>
        <v>Z</v>
      </c>
      <c r="Z6" s="1114" t="s">
        <v>12</v>
      </c>
      <c r="AA6" s="1115"/>
      <c r="AB6" s="1115"/>
      <c r="AC6" s="1116"/>
      <c r="AD6" s="1112" t="s">
        <v>13</v>
      </c>
      <c r="AE6" s="1111"/>
      <c r="AF6" s="1111"/>
      <c r="AG6" s="1110" t="s">
        <v>7</v>
      </c>
      <c r="AH6" s="1111"/>
      <c r="AI6" s="1112" t="s">
        <v>14</v>
      </c>
      <c r="AJ6" s="1113"/>
      <c r="AK6" s="1172" t="str">
        <f>AD6</f>
        <v>Unit Vector</v>
      </c>
      <c r="AL6" s="1143"/>
      <c r="AM6" s="1216"/>
      <c r="AN6" s="34" t="s">
        <v>15</v>
      </c>
      <c r="AO6" s="35" t="s">
        <v>16</v>
      </c>
      <c r="AP6" s="680" t="s">
        <v>17</v>
      </c>
      <c r="AQ6" s="1436" t="s">
        <v>108</v>
      </c>
      <c r="AS6" s="168">
        <f>(AS5/360)</f>
        <v>0</v>
      </c>
      <c r="AT6" s="414" t="s">
        <v>48</v>
      </c>
      <c r="AV6" s="1425"/>
      <c r="AW6" s="1107" t="str">
        <f>W5</f>
        <v>Relative to 's θ &amp; Z; Z Axis</v>
      </c>
      <c r="AX6" s="1108"/>
      <c r="AY6" s="1108"/>
      <c r="AZ6" s="1421"/>
      <c r="BA6" s="1108" t="str">
        <f>AK5</f>
        <v>Vector Along X Axis</v>
      </c>
      <c r="BB6" s="1108"/>
      <c r="BC6" s="1109"/>
      <c r="BD6" s="417"/>
      <c r="BF6" s="410">
        <f>SUM(AZ9:AZ150)</f>
        <v>0</v>
      </c>
      <c r="BG6" s="1414" t="s">
        <v>309</v>
      </c>
      <c r="BH6" s="1414"/>
      <c r="BI6" s="1414"/>
      <c r="BJ6" s="1414"/>
      <c r="BK6" s="1414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65" t="s">
        <v>40</v>
      </c>
      <c r="C7" s="1166"/>
      <c r="D7" s="1167"/>
      <c r="E7" s="1168" t="s">
        <v>41</v>
      </c>
      <c r="F7" s="1166"/>
      <c r="G7" s="1169"/>
      <c r="H7" s="1007" t="s">
        <v>305</v>
      </c>
      <c r="I7" s="1027"/>
      <c r="J7" s="1008"/>
      <c r="K7" s="488"/>
      <c r="L7" s="1102"/>
      <c r="M7" s="1429"/>
      <c r="N7" s="1179"/>
      <c r="O7" s="1181"/>
      <c r="P7" s="1087"/>
      <c r="Q7" s="36" t="s">
        <v>18</v>
      </c>
      <c r="R7" s="2" t="s">
        <v>19</v>
      </c>
      <c r="S7" s="1388"/>
      <c r="T7" s="1136"/>
      <c r="U7" s="1138"/>
      <c r="V7" s="1171"/>
      <c r="W7" s="37" t="str">
        <f>Q7</f>
        <v>&lt; θ°</v>
      </c>
      <c r="X7" s="27" t="str">
        <f>R7</f>
        <v>r</v>
      </c>
      <c r="Y7" s="1134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37"/>
      <c r="AS7" s="1412" t="s">
        <v>54</v>
      </c>
      <c r="AT7" s="1391" t="s">
        <v>53</v>
      </c>
      <c r="AV7" s="1425"/>
      <c r="AW7" s="1420" t="str">
        <f>$W$6</f>
        <v>Projected XY</v>
      </c>
      <c r="AX7" s="1162"/>
      <c r="AY7" s="1422" t="str">
        <f>$Y$6</f>
        <v>Z</v>
      </c>
      <c r="AZ7" s="1421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14"/>
      <c r="BH7" s="1414"/>
      <c r="BI7" s="1414"/>
      <c r="BJ7" s="1414"/>
      <c r="BK7" s="1414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33" t="s">
        <v>33</v>
      </c>
      <c r="IH7" s="1272" t="s">
        <v>376</v>
      </c>
      <c r="II7" s="1029" t="s">
        <v>324</v>
      </c>
      <c r="IJ7" s="1030"/>
      <c r="IK7" s="1030"/>
      <c r="IL7" s="1027"/>
      <c r="IM7" s="1027"/>
      <c r="IN7" s="1027"/>
      <c r="IO7" s="1008"/>
      <c r="IP7" s="1007" t="s">
        <v>320</v>
      </c>
      <c r="IQ7" s="1027"/>
      <c r="IR7" s="1027"/>
      <c r="IS7" s="1027"/>
      <c r="IT7" s="1027"/>
      <c r="IU7" s="1007" t="s">
        <v>319</v>
      </c>
      <c r="IV7" s="1027"/>
      <c r="IW7" s="1027"/>
      <c r="IX7" s="1027"/>
      <c r="IY7" s="1008"/>
      <c r="JA7" s="725"/>
      <c r="JB7" s="1389" t="s">
        <v>355</v>
      </c>
      <c r="JC7" s="1091"/>
      <c r="JD7" s="1091"/>
      <c r="JE7" s="109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02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13"/>
      <c r="AT8" s="1392"/>
      <c r="AV8" s="1426"/>
      <c r="AW8" s="46" t="str">
        <f>$W$7</f>
        <v>&lt; θ°</v>
      </c>
      <c r="AX8" s="27" t="str">
        <f>$X$7</f>
        <v>r</v>
      </c>
      <c r="AY8" s="1423"/>
      <c r="AZ8" s="1316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74"/>
      <c r="IH8" s="1273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93" t="s">
        <v>356</v>
      </c>
      <c r="JC19" s="1094"/>
      <c r="JD19" s="1094"/>
      <c r="JE19" s="1094"/>
      <c r="JF19" s="1094"/>
      <c r="JG19" s="1094"/>
      <c r="JH19" s="1094"/>
      <c r="JI19" s="1095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96" t="s">
        <v>360</v>
      </c>
      <c r="JC20" s="1097"/>
      <c r="JD20" s="1097"/>
      <c r="JE20" s="1097"/>
      <c r="JF20" s="1310" t="s">
        <v>361</v>
      </c>
      <c r="JG20" s="1311"/>
      <c r="JH20" s="1311"/>
      <c r="JI20" s="1312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98"/>
      <c r="JC21" s="1099"/>
      <c r="JD21" s="1099"/>
      <c r="JE21" s="1099"/>
      <c r="JF21" s="1313" t="s">
        <v>349</v>
      </c>
      <c r="JG21" s="1314"/>
      <c r="JH21" s="1100" t="s">
        <v>362</v>
      </c>
      <c r="JI21" s="1101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18" t="str">
        <f>$W$6</f>
        <v>Projected XY</v>
      </c>
      <c r="AX152" s="1419"/>
      <c r="AY152" s="1405" t="str">
        <f>$Y$6</f>
        <v>Z</v>
      </c>
      <c r="AZ152" s="1403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6"/>
      <c r="AZ153" s="1404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51" t="s">
        <v>42</v>
      </c>
      <c r="C157" s="1152"/>
      <c r="D157" s="1152"/>
      <c r="E157" s="1152"/>
      <c r="F157" s="1152"/>
      <c r="G157" s="1152"/>
      <c r="H157" s="1152"/>
      <c r="I157" s="1152"/>
      <c r="J157" s="1152"/>
      <c r="K157" s="1153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54"/>
      <c r="C158" s="1115"/>
      <c r="D158" s="1115"/>
      <c r="E158" s="1115"/>
      <c r="F158" s="1115"/>
      <c r="G158" s="1115"/>
      <c r="H158" s="1115"/>
      <c r="I158" s="1115"/>
      <c r="J158" s="1115"/>
      <c r="K158" s="1155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56"/>
      <c r="C159" s="1157"/>
      <c r="D159" s="1157"/>
      <c r="E159" s="1157"/>
      <c r="F159" s="1157"/>
      <c r="G159" s="1157"/>
      <c r="H159" s="1157"/>
      <c r="I159" s="1157"/>
      <c r="J159" s="1157"/>
      <c r="K159" s="1158"/>
      <c r="AQ159" s="162"/>
      <c r="BD159" s="417"/>
    </row>
    <row r="160" spans="1:259" ht="15" customHeight="1" x14ac:dyDescent="0.25">
      <c r="B160" s="1145" t="str">
        <f>CONCATENATE(B162," ; ",E162," ; ",H163)</f>
        <v>Absolute-Point ; Incremental-Vector Point ; Radius</v>
      </c>
      <c r="C160" s="1146"/>
      <c r="D160" s="1146"/>
      <c r="E160" s="1146"/>
      <c r="F160" s="1146"/>
      <c r="G160" s="1146"/>
      <c r="H160" s="1146"/>
      <c r="I160" s="1146"/>
      <c r="J160" s="1146"/>
      <c r="K160" s="1147"/>
      <c r="AQ160" s="162"/>
      <c r="BD160" s="417"/>
    </row>
    <row r="161" spans="2:56" ht="15" customHeight="1" x14ac:dyDescent="0.25">
      <c r="B161" s="1148"/>
      <c r="C161" s="1149"/>
      <c r="D161" s="1149"/>
      <c r="E161" s="1149"/>
      <c r="F161" s="1149"/>
      <c r="G161" s="1149"/>
      <c r="H161" s="1149"/>
      <c r="I161" s="1149"/>
      <c r="J161" s="1149"/>
      <c r="K161" s="1150"/>
      <c r="AQ161" s="162"/>
      <c r="BD161" s="417"/>
    </row>
    <row r="162" spans="2:56" ht="15" customHeight="1" x14ac:dyDescent="0.25">
      <c r="B162" s="1165" t="s">
        <v>40</v>
      </c>
      <c r="C162" s="1166"/>
      <c r="D162" s="1167"/>
      <c r="E162" s="1168" t="s">
        <v>41</v>
      </c>
      <c r="F162" s="1166"/>
      <c r="G162" s="1169"/>
      <c r="H162" s="1007" t="s">
        <v>305</v>
      </c>
      <c r="I162" s="1027"/>
      <c r="J162" s="1008"/>
      <c r="K162" s="488"/>
      <c r="M162" s="1367" t="s">
        <v>304</v>
      </c>
      <c r="N162" s="1415"/>
      <c r="O162" s="1396" t="s">
        <v>283</v>
      </c>
      <c r="P162" s="1397"/>
      <c r="Q162" s="1398"/>
      <c r="R162" s="1399" t="s">
        <v>41</v>
      </c>
      <c r="S162" s="1397"/>
      <c r="T162" s="1398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16"/>
      <c r="N163" s="141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1313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1313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1313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1.1160000000000001</v>
      </c>
      <c r="N168" s="810">
        <f>Assy.Model!K13</f>
        <v>1313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1.1220000000000001</v>
      </c>
      <c r="N169" s="810">
        <f>Assy.Model!K14</f>
        <v>1313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1.1279999999999999</v>
      </c>
      <c r="N170" s="810">
        <f>Assy.Model!K15</f>
        <v>1313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1.1339999999999999</v>
      </c>
      <c r="N171" s="810">
        <f>Assy.Model!K16</f>
        <v>1313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1.1399999999999999</v>
      </c>
      <c r="N172" s="810">
        <f>Assy.Model!K17</f>
        <v>1313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2.1150000000000002</v>
      </c>
      <c r="N173" s="810">
        <f>Assy.Model!K18</f>
        <v>1313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2.121</v>
      </c>
      <c r="N174" s="810">
        <f>Assy.Model!K19</f>
        <v>1313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2.1269999999999998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2.133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2.1389999999999998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3.1030000000000002</v>
      </c>
      <c r="N178" s="810">
        <f>Assy.Model!K23</f>
        <v>1313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3.1059999999999999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3.109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3.1139999999999999</v>
      </c>
      <c r="N181" s="810">
        <f>Assy.Model!K26</f>
        <v>1313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3.12</v>
      </c>
      <c r="N182" s="810">
        <f>Assy.Model!K27</f>
        <v>1313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3.1259999999999999</v>
      </c>
      <c r="N183" s="810">
        <f>Assy.Model!K28</f>
        <v>1313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3.1320000000000001</v>
      </c>
      <c r="N184" s="810">
        <f>Assy.Model!K29</f>
        <v>1313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3.1379999999999999</v>
      </c>
      <c r="N185" s="810">
        <f>Assy.Model!K30</f>
        <v>1313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4.1130000000000004</v>
      </c>
      <c r="N186" s="810">
        <f>Assy.Model!K31</f>
        <v>1313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4.1189999999999998</v>
      </c>
      <c r="N187" s="810">
        <f>Assy.Model!K32</f>
        <v>1313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4.125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4.1310000000000002</v>
      </c>
      <c r="N189" s="810">
        <f>Assy.Model!K34</f>
        <v>1313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4.1369999999999996</v>
      </c>
      <c r="N190" s="810">
        <f>Assy.Model!K35</f>
        <v>1313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5.1020000000000003</v>
      </c>
      <c r="N191" s="810">
        <f>Assy.Model!K36</f>
        <v>1313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5.1050000000000004</v>
      </c>
      <c r="N192" s="810">
        <f>Assy.Model!K37</f>
        <v>1313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5.1079999999999997</v>
      </c>
      <c r="N193" s="810">
        <f>Assy.Model!K38</f>
        <v>1313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5.1120000000000001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5.1180000000000003</v>
      </c>
      <c r="N195" s="810">
        <f>Assy.Model!K40</f>
        <v>1313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5.1239999999999997</v>
      </c>
      <c r="N196" s="810">
        <f>Assy.Model!K41</f>
        <v>1313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5.13</v>
      </c>
      <c r="N197" s="810">
        <f>Assy.Model!K42</f>
        <v>1313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5.1360000000000001</v>
      </c>
      <c r="N198" s="810">
        <f>Assy.Model!K43</f>
        <v>1313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6.1109999999999998</v>
      </c>
      <c r="N199" s="810">
        <f>Assy.Model!K44</f>
        <v>1313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6.117</v>
      </c>
      <c r="N200" s="810">
        <f>Assy.Model!K45</f>
        <v>1313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6.1230000000000002</v>
      </c>
      <c r="N201" s="810">
        <f>Assy.Model!K46</f>
        <v>1313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6.1289999999999996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6.1349999999999998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 t="str">
        <f>Assy.Model!$M49</f>
        <v/>
      </c>
      <c r="N204" s="810" t="str">
        <f>Assy.Model!K49</f>
        <v/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 t="str">
        <f>Assy.Model!$M50</f>
        <v/>
      </c>
      <c r="N205" s="810" t="str">
        <f>Assy.Model!K50</f>
        <v/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 t="str">
        <f>Assy.Model!$M51</f>
        <v/>
      </c>
      <c r="N206" s="810" t="str">
        <f>Assy.Model!K51</f>
        <v/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 t="str">
        <f>Assy.Model!$M52</f>
        <v/>
      </c>
      <c r="N207" s="810" t="str">
        <f>Assy.Model!K52</f>
        <v/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 t="str">
        <f>Assy.Model!$M53</f>
        <v/>
      </c>
      <c r="N208" s="810" t="str">
        <f>Assy.Model!K53</f>
        <v/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 t="str">
        <f>Assy.Model!$M54</f>
        <v/>
      </c>
      <c r="N209" s="810" t="str">
        <f>Assy.Model!K54</f>
        <v/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 t="str">
        <f>Assy.Model!$M55</f>
        <v/>
      </c>
      <c r="N210" s="810" t="str">
        <f>Assy.Model!K55</f>
        <v/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 t="str">
        <f>Assy.Model!$M56</f>
        <v/>
      </c>
      <c r="N211" s="810" t="str">
        <f>Assy.Model!K56</f>
        <v/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 t="str">
        <f>Assy.Model!$M57</f>
        <v/>
      </c>
      <c r="N212" s="810" t="str">
        <f>Assy.Model!K57</f>
        <v/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 t="str">
        <f>Assy.Model!$M58</f>
        <v/>
      </c>
      <c r="N213" s="810" t="str">
        <f>Assy.Model!K58</f>
        <v/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 t="str">
        <f>Assy.Model!$M59</f>
        <v/>
      </c>
      <c r="N214" s="810" t="str">
        <f>Assy.Model!K59</f>
        <v/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 t="str">
        <f>Assy.Model!$M60</f>
        <v/>
      </c>
      <c r="N215" s="810" t="str">
        <f>Assy.Model!K60</f>
        <v/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 t="str">
        <f>Assy.Model!$M61</f>
        <v/>
      </c>
      <c r="N216" s="810" t="str">
        <f>Assy.Model!K61</f>
        <v/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 t="str">
        <f>Assy.Model!$M62</f>
        <v/>
      </c>
      <c r="N217" s="810" t="str">
        <f>Assy.Model!K62</f>
        <v/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 t="str">
        <f>Assy.Model!$M63</f>
        <v/>
      </c>
      <c r="N218" s="810" t="str">
        <f>Assy.Model!K63</f>
        <v/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 t="str">
        <f>Assy.Model!$M64</f>
        <v/>
      </c>
      <c r="N219" s="810" t="str">
        <f>Assy.Model!K64</f>
        <v/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 t="str">
        <f>Assy.Model!$M65</f>
        <v/>
      </c>
      <c r="N220" s="810" t="str">
        <f>Assy.Model!K65</f>
        <v/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 t="str">
        <f>Assy.Model!$M66</f>
        <v/>
      </c>
      <c r="N221" s="810" t="str">
        <f>Assy.Model!K66</f>
        <v/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 t="str">
        <f>Assy.Model!$M67</f>
        <v/>
      </c>
      <c r="N222" s="810" t="str">
        <f>Assy.Model!K67</f>
        <v/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 t="str">
        <f>Assy.Model!$M68</f>
        <v/>
      </c>
      <c r="N223" s="810" t="str">
        <f>Assy.Model!K68</f>
        <v/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 t="str">
        <f>Assy.Model!$M69</f>
        <v/>
      </c>
      <c r="N224" s="810" t="str">
        <f>Assy.Model!K69</f>
        <v/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 t="str">
        <f>Assy.Model!$M70</f>
        <v/>
      </c>
      <c r="N225" s="810" t="str">
        <f>Assy.Model!K70</f>
        <v/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 t="str">
        <f>Assy.Model!$M71</f>
        <v/>
      </c>
      <c r="N226" s="810" t="str">
        <f>Assy.Model!K71</f>
        <v/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 t="str">
        <f>Assy.Model!$M72</f>
        <v/>
      </c>
      <c r="N227" s="810" t="str">
        <f>Assy.Model!K72</f>
        <v/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 t="str">
        <f>Assy.Model!$M73</f>
        <v/>
      </c>
      <c r="N228" s="810" t="str">
        <f>Assy.Model!K73</f>
        <v/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 t="str">
        <f>Assy.Model!$M74</f>
        <v/>
      </c>
      <c r="N229" s="810" t="str">
        <f>Assy.Model!K74</f>
        <v/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 t="str">
        <f>Assy.Model!$M75</f>
        <v/>
      </c>
      <c r="N230" s="810" t="str">
        <f>Assy.Model!K75</f>
        <v/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 t="str">
        <f>Assy.Model!$M76</f>
        <v/>
      </c>
      <c r="N231" s="810" t="str">
        <f>Assy.Model!K76</f>
        <v/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 t="str">
        <f>Assy.Model!$M77</f>
        <v/>
      </c>
      <c r="N232" s="810" t="str">
        <f>Assy.Model!K77</f>
        <v/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 t="str">
        <f>Assy.Model!$M78</f>
        <v/>
      </c>
      <c r="N233" s="810" t="str">
        <f>Assy.Model!K78</f>
        <v/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>
      <selection activeCell="A4" sqref="A4"/>
    </sheetView>
  </sheetViews>
  <sheetFormatPr defaultRowHeight="15" x14ac:dyDescent="0.25"/>
  <cols>
    <col min="2" max="5" width="10.7109375" style="31" customWidth="1"/>
  </cols>
  <sheetData>
    <row r="7" spans="2:5" x14ac:dyDescent="0.25">
      <c r="B7" s="1390" t="s">
        <v>33</v>
      </c>
      <c r="C7" s="1438" t="s">
        <v>105</v>
      </c>
      <c r="D7" s="1398"/>
      <c r="E7" s="1440" t="s">
        <v>110</v>
      </c>
    </row>
    <row r="8" spans="2:5" ht="15.75" thickBot="1" x14ac:dyDescent="0.3">
      <c r="B8" s="1439"/>
      <c r="C8" s="839" t="s">
        <v>8</v>
      </c>
      <c r="D8" s="838" t="s">
        <v>9</v>
      </c>
      <c r="E8" s="1441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2024-08-28T14:53:09Z</dcterms:modified>
</cp:coreProperties>
</file>