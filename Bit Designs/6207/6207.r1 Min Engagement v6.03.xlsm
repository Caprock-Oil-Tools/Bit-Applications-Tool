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6207\"/>
    </mc:Choice>
  </mc:AlternateContent>
  <xr:revisionPtr revIDLastSave="0" documentId="8_{18DA03E3-1881-4978-8035-34749CF1AC55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J47" i="1"/>
  <c r="IP47" i="1"/>
  <c r="IY47" i="1"/>
  <c r="IX47" i="1"/>
  <c r="IQ47" i="1"/>
  <c r="IN92" i="1"/>
  <c r="IS92" i="1"/>
  <c r="IX92" i="1"/>
  <c r="IV92" i="1"/>
  <c r="IJ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V23" i="1"/>
  <c r="IS23" i="1"/>
  <c r="IK23" i="1"/>
  <c r="IT23" i="1"/>
  <c r="IJ23" i="1"/>
  <c r="IW23" i="1"/>
  <c r="IN23" i="1"/>
  <c r="IP23" i="1"/>
  <c r="IL23" i="1"/>
  <c r="IY23" i="1"/>
  <c r="IX23" i="1"/>
  <c r="IU23" i="1"/>
  <c r="IE23" i="1" s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T15" i="1"/>
  <c r="IR15" i="1"/>
  <c r="IJ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S62" i="1"/>
  <c r="IY62" i="1"/>
  <c r="IX62" i="1"/>
  <c r="IQ62" i="1"/>
  <c r="IP62" i="1"/>
  <c r="IK62" i="1"/>
  <c r="IW62" i="1"/>
  <c r="IU62" i="1"/>
  <c r="IE62" i="1" s="1"/>
  <c r="IT62" i="1"/>
  <c r="IJ62" i="1"/>
  <c r="IR62" i="1"/>
  <c r="IL62" i="1"/>
  <c r="IV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Y64" i="1"/>
  <c r="IN64" i="1"/>
  <c r="IX64" i="1"/>
  <c r="IV64" i="1"/>
  <c r="IS64" i="1"/>
  <c r="IL64" i="1"/>
  <c r="IQ64" i="1"/>
  <c r="IU64" i="1"/>
  <c r="IE64" i="1" s="1"/>
  <c r="IK64" i="1"/>
  <c r="IT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J38" i="1"/>
  <c r="IW38" i="1"/>
  <c r="IK38" i="1"/>
  <c r="IY38" i="1"/>
  <c r="IQ91" i="1"/>
  <c r="IK91" i="1"/>
  <c r="IY91" i="1"/>
  <c r="IV91" i="1"/>
  <c r="IS91" i="1"/>
  <c r="IT91" i="1"/>
  <c r="IP91" i="1"/>
  <c r="IW91" i="1"/>
  <c r="IJ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X65" i="1"/>
  <c r="IK65" i="1"/>
  <c r="IP65" i="1"/>
  <c r="IU65" i="1"/>
  <c r="IE65" i="1" s="1"/>
  <c r="IS65" i="1"/>
  <c r="IJ65" i="1"/>
  <c r="IY65" i="1"/>
  <c r="IT65" i="1"/>
  <c r="IN65" i="1"/>
  <c r="IQ65" i="1"/>
  <c r="IW65" i="1"/>
  <c r="IV65" i="1"/>
  <c r="IL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T20" i="1"/>
  <c r="IQ20" i="1"/>
  <c r="IJ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X76" i="1"/>
  <c r="IQ76" i="1"/>
  <c r="IP76" i="1"/>
  <c r="IN76" i="1"/>
  <c r="IT76" i="1"/>
  <c r="IY76" i="1"/>
  <c r="IJ76" i="1"/>
  <c r="IV76" i="1"/>
  <c r="IW76" i="1"/>
  <c r="IU76" i="1"/>
  <c r="IE76" i="1" s="1"/>
  <c r="IS76" i="1"/>
  <c r="IK76" i="1"/>
  <c r="IL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U30" i="1"/>
  <c r="IE30" i="1" s="1"/>
  <c r="IT30" i="1"/>
  <c r="IQ30" i="1"/>
  <c r="IV30" i="1"/>
  <c r="IK30" i="1"/>
  <c r="IJ30" i="1"/>
  <c r="IY30" i="1"/>
  <c r="IW30" i="1"/>
  <c r="IX30" i="1"/>
  <c r="IS30" i="1"/>
  <c r="IR30" i="1"/>
  <c r="IP30" i="1"/>
  <c r="IN30" i="1"/>
  <c r="IL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X93" i="1"/>
  <c r="IK93" i="1"/>
  <c r="IN93" i="1"/>
  <c r="IW93" i="1"/>
  <c r="IT93" i="1"/>
  <c r="IL93" i="1"/>
  <c r="IJ93" i="1"/>
  <c r="IV93" i="1"/>
  <c r="IY93" i="1"/>
  <c r="IS93" i="1"/>
  <c r="IR93" i="1"/>
  <c r="IU93" i="1"/>
  <c r="IE93" i="1" s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X46" i="1"/>
  <c r="IV46" i="1"/>
  <c r="IR46" i="1"/>
  <c r="IS46" i="1"/>
  <c r="IN46" i="1"/>
  <c r="IT46" i="1"/>
  <c r="IW46" i="1"/>
  <c r="IU46" i="1"/>
  <c r="IE46" i="1" s="1"/>
  <c r="IK46" i="1"/>
  <c r="IP46" i="1"/>
  <c r="IJ46" i="1"/>
  <c r="IL46" i="1"/>
  <c r="IY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U77" i="1"/>
  <c r="IE77" i="1" s="1"/>
  <c r="IW77" i="1"/>
  <c r="IS77" i="1"/>
  <c r="IQ77" i="1"/>
  <c r="IK77" i="1"/>
  <c r="IN77" i="1"/>
  <c r="IP77" i="1"/>
  <c r="IY77" i="1"/>
  <c r="IV77" i="1"/>
  <c r="IR77" i="1"/>
  <c r="IJ77" i="1"/>
  <c r="IL77" i="1"/>
  <c r="IT77" i="1"/>
  <c r="IX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X63" i="1"/>
  <c r="IU63" i="1"/>
  <c r="IE63" i="1" s="1"/>
  <c r="IY63" i="1"/>
  <c r="IT63" i="1"/>
  <c r="IJ63" i="1"/>
  <c r="IR63" i="1"/>
  <c r="IQ63" i="1"/>
  <c r="IN63" i="1"/>
  <c r="IV63" i="1"/>
  <c r="IL63" i="1"/>
  <c r="IS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L94" i="1"/>
  <c r="IY94" i="1"/>
  <c r="IP94" i="1"/>
  <c r="IT94" i="1"/>
  <c r="IK94" i="1"/>
  <c r="IJ94" i="1"/>
  <c r="IX94" i="1"/>
  <c r="IS94" i="1"/>
  <c r="IW94" i="1"/>
  <c r="IV94" i="1"/>
  <c r="IU94" i="1"/>
  <c r="IE94" i="1" s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J48" i="1"/>
  <c r="IY48" i="1"/>
  <c r="IV48" i="1"/>
  <c r="IS48" i="1"/>
  <c r="IW48" i="1"/>
  <c r="IR48" i="1"/>
  <c r="IN48" i="1"/>
  <c r="IQ48" i="1"/>
  <c r="IU48" i="1"/>
  <c r="IE48" i="1" s="1"/>
  <c r="IX48" i="1"/>
  <c r="IV22" i="1"/>
  <c r="IW22" i="1"/>
  <c r="IU22" i="1"/>
  <c r="IE22" i="1" s="1"/>
  <c r="IS22" i="1"/>
  <c r="IK22" i="1"/>
  <c r="IR22" i="1"/>
  <c r="IT22" i="1"/>
  <c r="IQ22" i="1"/>
  <c r="IJ22" i="1"/>
  <c r="IP22" i="1"/>
  <c r="IX22" i="1"/>
  <c r="IN22" i="1"/>
  <c r="IY22" i="1"/>
  <c r="IL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J32" i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L49" i="1"/>
  <c r="IK49" i="1"/>
  <c r="IT49" i="1"/>
  <c r="IS49" i="1"/>
  <c r="IJ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J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J18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J55" i="1"/>
  <c r="IW55" i="1"/>
  <c r="IQ55" i="1"/>
  <c r="IN55" i="1"/>
  <c r="IV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V39" i="1"/>
  <c r="IS39" i="1"/>
  <c r="IR39" i="1"/>
  <c r="IQ39" i="1"/>
  <c r="IL39" i="1"/>
  <c r="IP39" i="1"/>
  <c r="IK39" i="1"/>
  <c r="IY39" i="1"/>
  <c r="IU39" i="1"/>
  <c r="IE39" i="1" s="1"/>
  <c r="IT39" i="1"/>
  <c r="IX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89" i="1"/>
  <c r="IF98" i="1"/>
  <c r="IF130" i="1"/>
  <c r="IF137" i="1"/>
  <c r="IF150" i="1"/>
  <c r="IF56" i="1"/>
  <c r="IF58" i="1"/>
  <c r="IF114" i="1"/>
  <c r="IF139" i="1"/>
  <c r="IF112" i="1"/>
  <c r="IF11" i="1"/>
  <c r="IF62" i="1"/>
  <c r="IF21" i="1"/>
  <c r="IF82" i="1"/>
  <c r="IF113" i="1"/>
  <c r="IF117" i="1"/>
  <c r="IF132" i="1"/>
  <c r="IF78" i="1"/>
  <c r="IF136" i="1"/>
  <c r="IF92" i="1"/>
  <c r="IF44" i="1"/>
  <c r="IF63" i="1"/>
  <c r="IF127" i="1"/>
  <c r="IF76" i="1"/>
  <c r="IF144" i="1"/>
  <c r="IF100" i="1"/>
  <c r="IF96" i="1"/>
  <c r="IF67" i="1"/>
  <c r="IF13" i="1"/>
  <c r="IF30" i="1"/>
  <c r="IF116" i="1"/>
  <c r="IF106" i="1"/>
  <c r="IF135" i="1"/>
  <c r="IF68" i="1"/>
  <c r="IF140" i="1"/>
  <c r="IF105" i="1"/>
  <c r="IF123" i="1"/>
  <c r="IF88" i="1"/>
  <c r="IF55" i="1"/>
  <c r="IF31" i="1"/>
  <c r="IF115" i="1"/>
  <c r="IF131" i="1"/>
  <c r="IF12" i="1"/>
  <c r="IF126" i="1"/>
  <c r="IF149" i="1"/>
  <c r="IF27" i="1"/>
  <c r="IF102" i="1"/>
  <c r="IF147" i="1"/>
  <c r="IF84" i="1"/>
  <c r="IF109" i="1"/>
  <c r="IF103" i="1"/>
  <c r="IF49" i="1"/>
  <c r="IF145" i="1"/>
  <c r="IF75" i="1"/>
  <c r="IF94" i="1"/>
  <c r="IF9" i="1"/>
  <c r="IF79" i="1"/>
  <c r="IF134" i="1"/>
  <c r="IF57" i="1"/>
  <c r="IF69" i="1"/>
  <c r="IF125" i="1"/>
  <c r="IF87" i="1"/>
  <c r="IF143" i="1"/>
  <c r="IF39" i="1"/>
  <c r="IF95" i="1"/>
  <c r="IF107" i="1"/>
  <c r="IF10" i="1"/>
  <c r="IF146" i="1"/>
  <c r="IF28" i="1"/>
  <c r="IF121" i="1"/>
  <c r="IF46" i="1"/>
  <c r="IF90" i="1"/>
  <c r="IF122" i="1"/>
  <c r="IF20" i="1"/>
  <c r="IF91" i="1"/>
  <c r="IF118" i="1"/>
  <c r="IF83" i="1"/>
  <c r="IF64" i="1"/>
  <c r="IF80" i="1"/>
  <c r="IF86" i="1"/>
  <c r="IF141" i="1"/>
  <c r="IF138" i="1"/>
  <c r="IF119" i="1"/>
  <c r="IF45" i="1"/>
  <c r="IF85" i="1"/>
  <c r="IF97" i="1"/>
  <c r="IF110" i="1"/>
  <c r="IF77" i="1"/>
  <c r="IF133" i="1"/>
  <c r="IF128" i="1"/>
  <c r="IF129" i="1"/>
  <c r="IF72" i="1"/>
  <c r="IF124" i="1"/>
  <c r="IF32" i="1"/>
  <c r="IF120" i="1"/>
  <c r="IF14" i="1"/>
  <c r="IF70" i="1"/>
  <c r="IF101" i="1"/>
  <c r="IF38" i="1"/>
  <c r="IF73" i="1"/>
  <c r="IF66" i="1"/>
  <c r="IF99" i="1"/>
  <c r="IF81" i="1"/>
  <c r="IF74" i="1"/>
  <c r="IF37" i="1"/>
  <c r="IF104" i="1"/>
  <c r="IF48" i="1"/>
  <c r="IF71" i="1"/>
  <c r="IF93" i="1"/>
  <c r="IF65" i="1"/>
  <c r="IF23" i="1"/>
  <c r="IF47" i="1"/>
  <c r="IF142" i="1"/>
  <c r="IF148" i="1"/>
  <c r="IF22" i="1"/>
  <c r="IF50" i="1"/>
  <c r="IF40" i="1"/>
  <c r="IF108" i="1"/>
  <c r="IF15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AW152" i="7" l="1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Q51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IQ26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IQ42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IQ25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Q41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V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Q53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V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Q36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IQ34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DY118" i="1" l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P36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Q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P41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AQ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P53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4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AQ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IP25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IP26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Q64" i="1" s="1"/>
  <c r="AE63" i="1"/>
  <c r="AD63" i="1"/>
  <c r="AH63" i="1" s="1"/>
  <c r="AC63" i="1"/>
  <c r="AF63" i="1"/>
  <c r="Q55" i="1"/>
  <c r="R55" i="1"/>
  <c r="X55" i="1" s="1"/>
  <c r="AQ55" i="1" s="1"/>
  <c r="R39" i="1"/>
  <c r="X39" i="1" s="1"/>
  <c r="IP42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AQ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AQ77" i="1" s="1"/>
  <c r="V76" i="1"/>
  <c r="R76" i="1"/>
  <c r="X76" i="1" s="1"/>
  <c r="AQ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AQ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IP51" i="1" s="1"/>
  <c r="Q47" i="1"/>
  <c r="AF25" i="1"/>
  <c r="AE25" i="1"/>
  <c r="AD25" i="1"/>
  <c r="AH25" i="1" s="1"/>
  <c r="AF9" i="1"/>
  <c r="AE9" i="1"/>
  <c r="AD9" i="1"/>
  <c r="AH9" i="1" s="1"/>
  <c r="R46" i="1"/>
  <c r="X46" i="1" s="1"/>
  <c r="AQ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G47" i="1" l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IL16" i="1" s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4" i="1" l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4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1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S60" i="1" s="1"/>
  <c r="AL58" i="1"/>
  <c r="AN58" i="1" s="1"/>
  <c r="IT61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AL54" i="1"/>
  <c r="AN54" i="1" s="1"/>
  <c r="IY54" i="1" s="1"/>
  <c r="AK54" i="1"/>
  <c r="U54" i="1"/>
  <c r="T54" i="1"/>
  <c r="AL53" i="1"/>
  <c r="AN53" i="1" s="1"/>
  <c r="IY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T53" i="1" s="1"/>
  <c r="AK50" i="1"/>
  <c r="AL50" i="1"/>
  <c r="AN50" i="1" s="1"/>
  <c r="IT54" i="1" s="1"/>
  <c r="U50" i="1"/>
  <c r="T50" i="1"/>
  <c r="T49" i="1"/>
  <c r="AK49" i="1"/>
  <c r="AO49" i="1" s="1"/>
  <c r="IS53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IT42" i="1" s="1"/>
  <c r="AL38" i="1"/>
  <c r="AN38" i="1" s="1"/>
  <c r="IT41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IT36" i="1" s="1"/>
  <c r="T32" i="1"/>
  <c r="U32" i="1"/>
  <c r="AK32" i="1"/>
  <c r="U31" i="1"/>
  <c r="T31" i="1"/>
  <c r="AK31" i="1"/>
  <c r="AL31" i="1"/>
  <c r="AN31" i="1" s="1"/>
  <c r="IT35" i="1" s="1"/>
  <c r="AL30" i="1"/>
  <c r="AN30" i="1" s="1"/>
  <c r="IT34" i="1" s="1"/>
  <c r="U30" i="1"/>
  <c r="T30" i="1"/>
  <c r="U29" i="1"/>
  <c r="AK29" i="1"/>
  <c r="T29" i="1"/>
  <c r="AL29" i="1"/>
  <c r="AN29" i="1" s="1"/>
  <c r="IT33" i="1" s="1"/>
  <c r="AL28" i="1"/>
  <c r="AN28" i="1" s="1"/>
  <c r="AK28" i="1"/>
  <c r="U28" i="1"/>
  <c r="T28" i="1"/>
  <c r="AL27" i="1"/>
  <c r="AN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IT26" i="1" s="1"/>
  <c r="AL22" i="1"/>
  <c r="AN22" i="1" s="1"/>
  <c r="IT25" i="1" s="1"/>
  <c r="U22" i="1"/>
  <c r="AK22" i="1"/>
  <c r="T22" i="1"/>
  <c r="AK21" i="1"/>
  <c r="AO21" i="1" s="1"/>
  <c r="IS24" i="1" s="1"/>
  <c r="T21" i="1"/>
  <c r="AL21" i="1"/>
  <c r="AN21" i="1" s="1"/>
  <c r="IT24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IT17" i="1" s="1"/>
  <c r="AK12" i="1"/>
  <c r="U12" i="1"/>
  <c r="AL12" i="1"/>
  <c r="AN12" i="1" s="1"/>
  <c r="IT16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41" i="1" l="1"/>
  <c r="IF43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AO114" i="1"/>
  <c r="AP114" i="1"/>
  <c r="AZ101" i="7"/>
  <c r="AP123" i="1"/>
  <c r="AO123" i="1"/>
  <c r="AO108" i="1"/>
  <c r="AP108" i="1"/>
  <c r="AO133" i="1"/>
  <c r="AP133" i="1"/>
  <c r="AP93" i="1"/>
  <c r="AO93" i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AP74" i="1"/>
  <c r="AO74" i="1"/>
  <c r="AP71" i="1"/>
  <c r="AO72" i="1"/>
  <c r="AP72" i="1"/>
  <c r="AO69" i="1"/>
  <c r="AP69" i="1"/>
  <c r="AP70" i="1"/>
  <c r="AO70" i="1"/>
  <c r="AO67" i="1"/>
  <c r="AP67" i="1"/>
  <c r="AO68" i="1"/>
  <c r="AP68" i="1"/>
  <c r="AO65" i="1"/>
  <c r="AP65" i="1"/>
  <c r="AP66" i="1"/>
  <c r="AO66" i="1"/>
  <c r="AO63" i="1"/>
  <c r="AP63" i="1"/>
  <c r="AO64" i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IS61" i="1" s="1"/>
  <c r="AP58" i="1"/>
  <c r="AP56" i="1"/>
  <c r="AO56" i="1"/>
  <c r="IS59" i="1" s="1"/>
  <c r="AP55" i="1"/>
  <c r="AO53" i="1"/>
  <c r="IX53" i="1" s="1"/>
  <c r="IF53" i="1" s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51" i="1" s="1"/>
  <c r="AP47" i="1"/>
  <c r="AO48" i="1"/>
  <c r="IS52" i="1" s="1"/>
  <c r="AP48" i="1"/>
  <c r="AP45" i="1"/>
  <c r="AO45" i="1"/>
  <c r="AP46" i="1"/>
  <c r="AO46" i="1"/>
  <c r="AP43" i="1"/>
  <c r="AO44" i="1"/>
  <c r="AP44" i="1"/>
  <c r="AO42" i="1"/>
  <c r="IX42" i="1" s="1"/>
  <c r="IF42" i="1" s="1"/>
  <c r="AP42" i="1"/>
  <c r="AP41" i="1"/>
  <c r="AO40" i="1"/>
  <c r="IS43" i="1" s="1"/>
  <c r="AP40" i="1"/>
  <c r="AO39" i="1"/>
  <c r="IS42" i="1" s="1"/>
  <c r="AP39" i="1"/>
  <c r="AP37" i="1"/>
  <c r="AO37" i="1"/>
  <c r="AO38" i="1"/>
  <c r="IS41" i="1" s="1"/>
  <c r="AP38" i="1"/>
  <c r="AP35" i="1"/>
  <c r="AO35" i="1"/>
  <c r="IX35" i="1" s="1"/>
  <c r="IF35" i="1" s="1"/>
  <c r="AP36" i="1"/>
  <c r="AO36" i="1"/>
  <c r="IX36" i="1" s="1"/>
  <c r="IF36" i="1" s="1"/>
  <c r="AO33" i="1"/>
  <c r="IX33" i="1" s="1"/>
  <c r="IF33" i="1" s="1"/>
  <c r="AP33" i="1"/>
  <c r="AO34" i="1"/>
  <c r="IX34" i="1" s="1"/>
  <c r="IF34" i="1" s="1"/>
  <c r="AP34" i="1"/>
  <c r="AO31" i="1"/>
  <c r="IS35" i="1" s="1"/>
  <c r="AP31" i="1"/>
  <c r="AO32" i="1"/>
  <c r="IS36" i="1" s="1"/>
  <c r="AP32" i="1"/>
  <c r="AO29" i="1"/>
  <c r="IS33" i="1" s="1"/>
  <c r="AP29" i="1"/>
  <c r="AP30" i="1"/>
  <c r="AO27" i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IS26" i="1" s="1"/>
  <c r="AP23" i="1"/>
  <c r="AP21" i="1"/>
  <c r="AO22" i="1"/>
  <c r="IS25" i="1" s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IS19" i="1" s="1"/>
  <c r="AO16" i="1"/>
  <c r="AP16" i="1"/>
  <c r="AO13" i="1"/>
  <c r="IS17" i="1" s="1"/>
  <c r="AP13" i="1"/>
  <c r="AO14" i="1"/>
  <c r="IS18" i="1" s="1"/>
  <c r="AP14" i="1"/>
  <c r="AP11" i="1"/>
  <c r="AO12" i="1"/>
  <c r="IS16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16" i="1" l="1"/>
  <c r="IF16" i="1" s="1"/>
  <c r="AS13" i="1"/>
  <c r="BA35" i="7"/>
  <c r="IS5" i="1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<sst xmlns="http://schemas.openxmlformats.org/spreadsheetml/2006/main" count="704" uniqueCount="379">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</sst>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142" xfId="0" applyBorder="1" applyAlignment="1">
      <alignment horizontal="center" vertic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E36" sqref="E36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7.875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3.9375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H33" sqref="H33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7.875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022" t="s">
        <v>0</v>
      </c>
      <c r="AW2" s="1024" t="s">
        <v>109</v>
      </c>
      <c r="AX2" s="1025"/>
      <c r="AY2" s="1025"/>
      <c r="AZ2" s="1025"/>
      <c r="BA2" s="1025"/>
      <c r="BB2" s="1025"/>
      <c r="BC2" s="1025"/>
      <c r="BD2" s="1025"/>
      <c r="BE2" s="1050"/>
      <c r="BF2" s="1114" t="s">
        <v>115</v>
      </c>
      <c r="BG2" s="1025"/>
      <c r="BH2" s="1025"/>
      <c r="BI2" s="1025"/>
      <c r="BJ2" s="1025"/>
      <c r="BK2" s="1025"/>
      <c r="BL2" s="1025"/>
      <c r="BM2" s="1025"/>
      <c r="BN2" s="1025"/>
      <c r="BO2" s="1025"/>
      <c r="BP2" s="1025"/>
      <c r="BQ2" s="1025"/>
      <c r="BR2" s="1025"/>
      <c r="BS2" s="1025"/>
      <c r="BT2" s="1025"/>
      <c r="BU2" s="1025"/>
      <c r="BV2" s="1025"/>
      <c r="BW2" s="1025"/>
      <c r="BX2" s="1025"/>
      <c r="BY2" s="1025"/>
      <c r="BZ2" s="1025"/>
      <c r="CA2" s="1025"/>
      <c r="CB2" s="1025"/>
      <c r="CC2" s="1025"/>
      <c r="CD2" s="1025"/>
      <c r="CE2" s="1025"/>
      <c r="CF2" s="1025"/>
      <c r="CG2" s="1025"/>
      <c r="CH2" s="1025"/>
      <c r="CI2" s="1025"/>
      <c r="CJ2" s="1025"/>
      <c r="CK2" s="1025"/>
      <c r="CL2" s="1025"/>
      <c r="CM2" s="1025"/>
      <c r="CN2" s="1025"/>
      <c r="CO2" s="1025"/>
      <c r="CP2" s="1025"/>
      <c r="CQ2" s="1025"/>
      <c r="CR2" s="1025"/>
      <c r="CS2" s="1025"/>
      <c r="CT2" s="1025"/>
      <c r="CU2" s="1025"/>
      <c r="CV2" s="1025"/>
      <c r="CW2" s="1025"/>
      <c r="CX2" s="1025"/>
      <c r="CY2" s="1025"/>
      <c r="CZ2" s="1025"/>
      <c r="DA2" s="1025"/>
      <c r="DB2" s="1025"/>
      <c r="DC2" s="1025"/>
      <c r="DD2" s="1025"/>
      <c r="DE2" s="1025"/>
      <c r="DF2" s="1025"/>
      <c r="DG2" s="1025"/>
      <c r="DH2" s="1025"/>
      <c r="DI2" s="1025"/>
      <c r="DJ2" s="1025"/>
      <c r="DK2" s="1025"/>
      <c r="DL2" s="1025"/>
      <c r="DM2" s="1025"/>
      <c r="DN2" s="1025"/>
      <c r="DO2" s="1025"/>
      <c r="DP2" s="1025"/>
      <c r="DQ2" s="1025"/>
      <c r="DR2" s="1025"/>
      <c r="DS2" s="1025"/>
      <c r="DT2" s="1025"/>
      <c r="DU2" s="1025"/>
      <c r="DV2" s="1025"/>
      <c r="DW2" s="1025"/>
      <c r="DX2" s="1025"/>
      <c r="DY2" s="1025"/>
      <c r="DZ2" s="1025"/>
      <c r="EA2" s="1025"/>
      <c r="EB2" s="1025"/>
      <c r="EC2" s="1025"/>
      <c r="ED2" s="1025"/>
      <c r="EE2" s="1025"/>
      <c r="EF2" s="1025"/>
      <c r="EG2" s="1025"/>
      <c r="EH2" s="1025"/>
      <c r="EI2" s="1025"/>
      <c r="EJ2" s="1025"/>
      <c r="EK2" s="1025"/>
      <c r="EL2" s="1025"/>
      <c r="EM2" s="1025"/>
      <c r="EN2" s="1025"/>
      <c r="EO2" s="1025"/>
      <c r="EP2" s="1025"/>
      <c r="EQ2" s="1025"/>
      <c r="ER2" s="1026"/>
      <c r="ES2" s="1117" t="s">
        <v>197</v>
      </c>
      <c r="ET2" s="1118"/>
      <c r="EU2" s="1118"/>
      <c r="EV2" s="1118"/>
      <c r="EW2" s="1118"/>
      <c r="EX2" s="1118"/>
      <c r="EY2" s="1118"/>
      <c r="EZ2" s="1118"/>
      <c r="FA2" s="1118"/>
      <c r="FB2" s="1118"/>
      <c r="FC2" s="1118"/>
      <c r="FD2" s="1118"/>
      <c r="FE2" s="1118"/>
      <c r="FF2" s="1119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6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27"/>
      <c r="AA3" s="1028"/>
      <c r="AB3" s="1028"/>
      <c r="AC3" s="1028"/>
      <c r="AD3" s="1028"/>
      <c r="AE3" s="1028"/>
      <c r="AF3" s="1028"/>
      <c r="AG3" s="1028"/>
      <c r="AH3" s="1028"/>
      <c r="AI3" s="1028"/>
      <c r="AJ3" s="1028"/>
      <c r="AK3" s="1028"/>
      <c r="AL3" s="1028"/>
      <c r="AM3" s="1028"/>
      <c r="AN3" s="1028"/>
      <c r="AO3" s="1028"/>
      <c r="AP3" s="1028"/>
      <c r="AQ3" s="1051"/>
      <c r="AS3" s="488">
        <v>100</v>
      </c>
      <c r="AT3" s="485" t="s">
        <v>45</v>
      </c>
      <c r="AV3" s="1023"/>
      <c r="AW3" s="1069"/>
      <c r="AX3" s="1070"/>
      <c r="AY3" s="1070"/>
      <c r="AZ3" s="1070"/>
      <c r="BA3" s="1070"/>
      <c r="BB3" s="1070"/>
      <c r="BC3" s="1070"/>
      <c r="BD3" s="1070"/>
      <c r="BE3" s="1071"/>
      <c r="BF3" s="1115"/>
      <c r="BG3" s="1070"/>
      <c r="BH3" s="1070"/>
      <c r="BI3" s="1070"/>
      <c r="BJ3" s="1070"/>
      <c r="BK3" s="1070"/>
      <c r="BL3" s="1070"/>
      <c r="BM3" s="1070"/>
      <c r="BN3" s="1070"/>
      <c r="BO3" s="1070"/>
      <c r="BP3" s="1070"/>
      <c r="BQ3" s="1070"/>
      <c r="BR3" s="1070"/>
      <c r="BS3" s="1070"/>
      <c r="BT3" s="1070"/>
      <c r="BU3" s="1070"/>
      <c r="BV3" s="1070"/>
      <c r="BW3" s="1070"/>
      <c r="BX3" s="1070"/>
      <c r="BY3" s="1070"/>
      <c r="BZ3" s="1070"/>
      <c r="CA3" s="1070"/>
      <c r="CB3" s="1070"/>
      <c r="CC3" s="1070"/>
      <c r="CD3" s="1070"/>
      <c r="CE3" s="1070"/>
      <c r="CF3" s="1070"/>
      <c r="CG3" s="1070"/>
      <c r="CH3" s="1070"/>
      <c r="CI3" s="1070"/>
      <c r="CJ3" s="1070"/>
      <c r="CK3" s="1070"/>
      <c r="CL3" s="1070"/>
      <c r="CM3" s="1070"/>
      <c r="CN3" s="1070"/>
      <c r="CO3" s="1070"/>
      <c r="CP3" s="1070"/>
      <c r="CQ3" s="1070"/>
      <c r="CR3" s="1070"/>
      <c r="CS3" s="1070"/>
      <c r="CT3" s="1070"/>
      <c r="CU3" s="1070"/>
      <c r="CV3" s="1070"/>
      <c r="CW3" s="1070"/>
      <c r="CX3" s="1070"/>
      <c r="CY3" s="1070"/>
      <c r="CZ3" s="1070"/>
      <c r="DA3" s="1070"/>
      <c r="DB3" s="1070"/>
      <c r="DC3" s="1070"/>
      <c r="DD3" s="1070"/>
      <c r="DE3" s="1070"/>
      <c r="DF3" s="1070"/>
      <c r="DG3" s="1070"/>
      <c r="DH3" s="1070"/>
      <c r="DI3" s="1070"/>
      <c r="DJ3" s="1070"/>
      <c r="DK3" s="1070"/>
      <c r="DL3" s="1070"/>
      <c r="DM3" s="1070"/>
      <c r="DN3" s="1070"/>
      <c r="DO3" s="1070"/>
      <c r="DP3" s="1070"/>
      <c r="DQ3" s="1070"/>
      <c r="DR3" s="1070"/>
      <c r="DS3" s="1070"/>
      <c r="DT3" s="1070"/>
      <c r="DU3" s="1070"/>
      <c r="DV3" s="1070"/>
      <c r="DW3" s="1070"/>
      <c r="DX3" s="1070"/>
      <c r="DY3" s="1070"/>
      <c r="DZ3" s="1070"/>
      <c r="EA3" s="1070"/>
      <c r="EB3" s="1070"/>
      <c r="EC3" s="1070"/>
      <c r="ED3" s="1070"/>
      <c r="EE3" s="1070"/>
      <c r="EF3" s="1070"/>
      <c r="EG3" s="1070"/>
      <c r="EH3" s="1070"/>
      <c r="EI3" s="1070"/>
      <c r="EJ3" s="1070"/>
      <c r="EK3" s="1070"/>
      <c r="EL3" s="1070"/>
      <c r="EM3" s="1070"/>
      <c r="EN3" s="1070"/>
      <c r="EO3" s="1070"/>
      <c r="EP3" s="1070"/>
      <c r="EQ3" s="1070"/>
      <c r="ER3" s="1116"/>
      <c r="ES3" s="1069"/>
      <c r="ET3" s="1070"/>
      <c r="EU3" s="1070"/>
      <c r="EV3" s="1070"/>
      <c r="EW3" s="1070"/>
      <c r="EX3" s="1070"/>
      <c r="EY3" s="1070"/>
      <c r="EZ3" s="1070"/>
      <c r="FA3" s="1070"/>
      <c r="FB3" s="1070"/>
      <c r="FC3" s="1070"/>
      <c r="FD3" s="1070"/>
      <c r="FE3" s="1070"/>
      <c r="FF3" s="1116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9" t="s">
        <v>31</v>
      </c>
      <c r="AH4" s="984"/>
      <c r="AI4" s="984"/>
      <c r="AJ4" s="1006"/>
      <c r="AK4" s="1052" t="s">
        <v>32</v>
      </c>
      <c r="AL4" s="1053"/>
      <c r="AM4" s="1053"/>
      <c r="AN4" s="1053"/>
      <c r="AO4" s="1053"/>
      <c r="AP4" s="1053"/>
      <c r="AQ4" s="1054"/>
      <c r="AS4" s="489">
        <v>680</v>
      </c>
      <c r="AT4" s="486" t="s">
        <v>46</v>
      </c>
      <c r="AV4" s="1023"/>
      <c r="AW4" s="1081" t="s">
        <v>112</v>
      </c>
      <c r="AX4" s="1061"/>
      <c r="AY4" s="882"/>
      <c r="AZ4" s="1066"/>
      <c r="BA4" s="1067"/>
      <c r="BB4" s="1072" t="s">
        <v>113</v>
      </c>
      <c r="BC4" s="966" t="str">
        <f>$Q$4</f>
        <v>Polar XY; Cartesian Z</v>
      </c>
      <c r="BD4" s="966"/>
      <c r="BE4" s="1075"/>
      <c r="BF4" s="1089" t="s">
        <v>129</v>
      </c>
      <c r="BG4" s="1090"/>
      <c r="BH4" s="1090"/>
      <c r="BI4" s="1090"/>
      <c r="BJ4" s="1090"/>
      <c r="BK4" s="1090"/>
      <c r="BL4" s="1090"/>
      <c r="BM4" s="1090"/>
      <c r="BN4" s="1090"/>
      <c r="BO4" s="1090"/>
      <c r="BP4" s="1090"/>
      <c r="BQ4" s="1090"/>
      <c r="BR4" s="1090"/>
      <c r="BS4" s="1090"/>
      <c r="BT4" s="1090"/>
      <c r="BU4" s="1090"/>
      <c r="BV4" s="1090"/>
      <c r="BW4" s="1090"/>
      <c r="BX4" s="1090"/>
      <c r="BY4" s="1090"/>
      <c r="BZ4" s="1090"/>
      <c r="CA4" s="1090"/>
      <c r="CB4" s="1090"/>
      <c r="CC4" s="1090"/>
      <c r="CD4" s="1090"/>
      <c r="CE4" s="1090"/>
      <c r="CF4" s="1090"/>
      <c r="CG4" s="1090"/>
      <c r="CH4" s="1090"/>
      <c r="CI4" s="1090"/>
      <c r="CJ4" s="1090"/>
      <c r="CK4" s="1090"/>
      <c r="CL4" s="1090"/>
      <c r="CM4" s="1090"/>
      <c r="CN4" s="1091"/>
      <c r="CO4" s="1056" t="s">
        <v>193</v>
      </c>
      <c r="CP4" s="1057"/>
      <c r="CQ4" s="1057"/>
      <c r="CR4" s="1057"/>
      <c r="CS4" s="1057"/>
      <c r="CT4" s="1057"/>
      <c r="CU4" s="1057"/>
      <c r="CV4" s="1057"/>
      <c r="CW4" s="1057"/>
      <c r="CX4" s="1057"/>
      <c r="CY4" s="1057"/>
      <c r="CZ4" s="1057"/>
      <c r="DA4" s="1058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3" t="s">
        <v>196</v>
      </c>
      <c r="ET4" s="1134"/>
      <c r="EU4" s="1134"/>
      <c r="EV4" s="1134"/>
      <c r="EW4" s="1134"/>
      <c r="EX4" s="1134"/>
      <c r="EY4" s="1135"/>
      <c r="EZ4" s="1140" t="s">
        <v>201</v>
      </c>
      <c r="FA4" s="1141"/>
      <c r="FB4" s="1141"/>
      <c r="FC4" s="1141"/>
      <c r="FD4" s="1141"/>
      <c r="FE4" s="1141"/>
      <c r="FF4" s="1142"/>
      <c r="FG4" s="350"/>
      <c r="FP4" s="1126" t="s">
        <v>229</v>
      </c>
      <c r="FZ4" s="1126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7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about Z Axis")</f>
        <v>Relative to 1.112's θ about Z Axis</v>
      </c>
      <c r="U5" s="991"/>
      <c r="V5" s="1044"/>
      <c r="W5" s="991" t="str">
        <f>CONCATENATE("Relative to ",M8,"'s θ about Z Axis")</f>
        <v>Relative to 1.112's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176">
        <f>(((AS4*12)/60)/AS3)</f>
        <v>1.36</v>
      </c>
      <c r="AT5" s="486" t="s">
        <v>47</v>
      </c>
      <c r="AV5" s="1023"/>
      <c r="AW5" s="1082"/>
      <c r="AX5" s="1083"/>
      <c r="AY5" s="1084"/>
      <c r="AZ5" s="1068"/>
      <c r="BA5" s="863"/>
      <c r="BB5" s="1073"/>
      <c r="BC5" s="1078" t="str">
        <f>$W$5</f>
        <v>Relative to 1.112's θ about Z Axis</v>
      </c>
      <c r="BD5" s="991"/>
      <c r="BE5" s="1018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59" t="s">
        <v>275</v>
      </c>
      <c r="CP5" s="1059" t="s">
        <v>149</v>
      </c>
      <c r="CQ5" s="1061"/>
      <c r="CR5" s="1061"/>
      <c r="CS5" s="961"/>
      <c r="CT5" s="1061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6" t="s">
        <v>173</v>
      </c>
      <c r="DJ5" s="1106"/>
      <c r="DK5" s="1107"/>
      <c r="DL5" s="1192" t="s">
        <v>174</v>
      </c>
      <c r="DM5" s="1106"/>
      <c r="DN5" s="1193"/>
      <c r="DO5" s="1110" t="s">
        <v>175</v>
      </c>
      <c r="DP5" s="1111"/>
      <c r="DQ5" s="1111"/>
      <c r="DR5" s="1100" t="s">
        <v>187</v>
      </c>
      <c r="DS5" s="1100"/>
      <c r="DT5" s="1100"/>
      <c r="DU5" s="1100"/>
      <c r="DV5" s="1100"/>
      <c r="DW5" s="1100"/>
      <c r="DX5" s="1059" t="s">
        <v>190</v>
      </c>
      <c r="DY5" s="921" t="s">
        <v>149</v>
      </c>
      <c r="DZ5" s="1100"/>
      <c r="EA5" s="1100"/>
      <c r="EB5" s="1100"/>
      <c r="EC5" s="1100" t="s">
        <v>150</v>
      </c>
      <c r="ED5" s="1100"/>
      <c r="EE5" s="1187" t="s">
        <v>194</v>
      </c>
      <c r="EF5" s="1187"/>
      <c r="EG5" s="1188"/>
      <c r="EH5" s="1196" t="s">
        <v>195</v>
      </c>
      <c r="EI5" s="1197"/>
      <c r="EJ5" s="1198"/>
      <c r="EK5" s="1100" t="s">
        <v>188</v>
      </c>
      <c r="EL5" s="1059"/>
      <c r="EM5" s="960" t="s">
        <v>189</v>
      </c>
      <c r="EN5" s="890"/>
      <c r="EO5" s="890"/>
      <c r="EP5" s="890"/>
      <c r="EQ5" s="890"/>
      <c r="ER5" s="1096"/>
      <c r="ES5" s="1081" t="s">
        <v>202</v>
      </c>
      <c r="ET5" s="1061"/>
      <c r="EU5" s="961"/>
      <c r="EV5" s="1136" t="s">
        <v>222</v>
      </c>
      <c r="EW5" s="1137"/>
      <c r="EX5" s="1137"/>
      <c r="EY5" s="1138"/>
      <c r="EZ5" s="1128" t="s">
        <v>200</v>
      </c>
      <c r="FA5" s="956" t="s">
        <v>202</v>
      </c>
      <c r="FB5" s="1149"/>
      <c r="FC5" s="957"/>
      <c r="FD5" s="1153" t="s">
        <v>222</v>
      </c>
      <c r="FE5" s="1154"/>
      <c r="FF5" s="1155"/>
      <c r="FP5" s="1127"/>
      <c r="FQ5" s="34"/>
      <c r="FR5" s="34"/>
      <c r="FS5" s="34"/>
      <c r="FT5" s="34"/>
      <c r="FZ5" s="1127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68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>
        <f>IR19*2</f>
        <v>0.628</v>
      </c>
      <c r="IS5">
        <f>IS19*2</f>
        <v>0.54386397731449176</v>
      </c>
      <c r="IW5">
        <f>IW19*2</f>
        <v>0.51400000000000001</v>
      </c>
      <c r="IX5">
        <f>IX19*2</f>
        <v>0.51400000000000001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$Q$6</f>
        <v>Projected XY</v>
      </c>
      <c r="X6" s="988"/>
      <c r="Y6" s="1038" t="str">
        <f>$S$6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1047" t="str">
        <f>AD6</f>
        <v>Unit Vector</v>
      </c>
      <c r="AL6" s="1048"/>
      <c r="AM6" s="1049"/>
      <c r="AN6" s="190" t="s">
        <v>15</v>
      </c>
      <c r="AO6" s="191" t="s">
        <v>16</v>
      </c>
      <c r="AP6" s="803" t="s">
        <v>17</v>
      </c>
      <c r="AQ6" s="1030" t="s">
        <v>108</v>
      </c>
      <c r="AS6" s="177">
        <f>(AS5/360)</f>
        <v>3.7777777777777779E-3</v>
      </c>
      <c r="AT6" s="487" t="s">
        <v>48</v>
      </c>
      <c r="AV6" s="1023"/>
      <c r="AW6" s="1015" t="s">
        <v>105</v>
      </c>
      <c r="AX6" s="1016"/>
      <c r="AY6" s="202" t="s">
        <v>110</v>
      </c>
      <c r="AZ6" s="1079" t="s">
        <v>111</v>
      </c>
      <c r="BA6" s="1080"/>
      <c r="BB6" s="1074"/>
      <c r="BC6" s="987" t="str">
        <f>$Q$6</f>
        <v>Projected XY</v>
      </c>
      <c r="BD6" s="988"/>
      <c r="BE6" s="1076" t="str">
        <f>$S$6</f>
        <v>Z</v>
      </c>
      <c r="BF6" s="897" t="s">
        <v>125</v>
      </c>
      <c r="BG6" s="911"/>
      <c r="BH6" s="1092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2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5"/>
      <c r="CH6" s="1065"/>
      <c r="CI6" s="1099" t="s">
        <v>137</v>
      </c>
      <c r="CJ6" s="1065"/>
      <c r="CK6" s="905"/>
      <c r="CL6" s="1097" t="s">
        <v>140</v>
      </c>
      <c r="CM6" s="1065"/>
      <c r="CN6" s="1098"/>
      <c r="CO6" s="1060"/>
      <c r="CP6" s="1060"/>
      <c r="CQ6" s="1062"/>
      <c r="CR6" s="1062"/>
      <c r="CS6" s="1063"/>
      <c r="CT6" s="1062"/>
      <c r="CU6" s="1064"/>
      <c r="CV6" s="1088" t="s">
        <v>147</v>
      </c>
      <c r="CW6" s="911"/>
      <c r="CX6" s="898"/>
      <c r="CY6" s="1085" t="s">
        <v>148</v>
      </c>
      <c r="CZ6" s="1086"/>
      <c r="DA6" s="1087"/>
      <c r="DB6" s="1102" t="s">
        <v>176</v>
      </c>
      <c r="DC6" s="1103"/>
      <c r="DD6" s="1104"/>
      <c r="DE6" s="1105" t="s">
        <v>177</v>
      </c>
      <c r="DF6" s="1103"/>
      <c r="DG6" s="1104"/>
      <c r="DH6" s="260" t="s">
        <v>29</v>
      </c>
      <c r="DI6" s="1108"/>
      <c r="DJ6" s="1108"/>
      <c r="DK6" s="1109"/>
      <c r="DL6" s="1194"/>
      <c r="DM6" s="1108"/>
      <c r="DN6" s="1195"/>
      <c r="DO6" s="1112"/>
      <c r="DP6" s="1113"/>
      <c r="DQ6" s="1113"/>
      <c r="DR6" s="1101"/>
      <c r="DS6" s="1101"/>
      <c r="DT6" s="1101"/>
      <c r="DU6" s="1101"/>
      <c r="DV6" s="1101"/>
      <c r="DW6" s="1101"/>
      <c r="DX6" s="1060"/>
      <c r="DY6" s="1156"/>
      <c r="DZ6" s="1101"/>
      <c r="EA6" s="1101"/>
      <c r="EB6" s="1101"/>
      <c r="EC6" s="1101"/>
      <c r="ED6" s="1101"/>
      <c r="EE6" s="1189"/>
      <c r="EF6" s="1189"/>
      <c r="EG6" s="1190"/>
      <c r="EH6" s="1199"/>
      <c r="EI6" s="1200"/>
      <c r="EJ6" s="1201"/>
      <c r="EK6" s="1101"/>
      <c r="EL6" s="1060"/>
      <c r="EM6" s="1144" t="s">
        <v>199</v>
      </c>
      <c r="EN6" s="1094"/>
      <c r="EO6" s="1191"/>
      <c r="EP6" s="1093" t="s">
        <v>198</v>
      </c>
      <c r="EQ6" s="1094"/>
      <c r="ER6" s="1095"/>
      <c r="ES6" s="1139"/>
      <c r="ET6" s="1062"/>
      <c r="EU6" s="1063"/>
      <c r="EV6" s="281" t="s">
        <v>221</v>
      </c>
      <c r="EW6" s="1093" t="s">
        <v>202</v>
      </c>
      <c r="EX6" s="1094"/>
      <c r="EY6" s="1143"/>
      <c r="EZ6" s="1129"/>
      <c r="FA6" s="1150"/>
      <c r="FB6" s="1151"/>
      <c r="FC6" s="1152"/>
      <c r="FD6" s="1144" t="s">
        <v>202</v>
      </c>
      <c r="FE6" s="1094"/>
      <c r="FF6" s="1095"/>
      <c r="FG6" s="1146" t="s">
        <v>224</v>
      </c>
      <c r="FH6" s="1147"/>
      <c r="FI6" s="1148"/>
      <c r="FJ6" s="1100" t="s">
        <v>203</v>
      </c>
      <c r="FK6" s="1059" t="s">
        <v>214</v>
      </c>
      <c r="FL6" s="1061"/>
      <c r="FM6" s="961"/>
      <c r="FN6" s="1122" t="s">
        <v>204</v>
      </c>
      <c r="FO6" s="1131" t="s">
        <v>227</v>
      </c>
      <c r="FP6" s="1120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59" t="s">
        <v>218</v>
      </c>
      <c r="FV6" s="1061"/>
      <c r="FW6" s="961"/>
      <c r="FX6" s="1122" t="s">
        <v>219</v>
      </c>
      <c r="FY6" s="1131" t="s">
        <v>227</v>
      </c>
      <c r="FZ6" s="1120" t="s">
        <v>225</v>
      </c>
      <c r="GA6" s="1124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61" t="s">
        <v>203</v>
      </c>
      <c r="GR6" s="1217"/>
      <c r="GS6" s="1167" t="s">
        <v>252</v>
      </c>
      <c r="GT6" s="1168"/>
      <c r="GU6" s="1227" t="s">
        <v>251</v>
      </c>
      <c r="GV6" s="1086"/>
      <c r="GW6" s="1086"/>
      <c r="GX6" s="368" t="s">
        <v>106</v>
      </c>
      <c r="GY6" s="908" t="s">
        <v>250</v>
      </c>
      <c r="GZ6" s="1092"/>
      <c r="HA6" s="1184" t="s">
        <v>252</v>
      </c>
      <c r="HB6" s="1103"/>
      <c r="HC6" s="1103"/>
      <c r="HD6" s="1104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$Q$7</f>
        <v>&lt; θ°</v>
      </c>
      <c r="X7" s="30" t="str">
        <f>$R$7</f>
        <v>r</v>
      </c>
      <c r="Y7" s="1039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1"/>
      <c r="AS7" s="1036" t="s">
        <v>54</v>
      </c>
      <c r="AT7" s="1034" t="s">
        <v>53</v>
      </c>
      <c r="AV7" s="102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4"/>
      <c r="BC7" s="40" t="str">
        <f>$Q$7</f>
        <v>&lt; θ°</v>
      </c>
      <c r="BD7" s="30" t="str">
        <f>$R$7</f>
        <v>r</v>
      </c>
      <c r="BE7" s="1077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0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5"/>
      <c r="FK7" s="357" t="s">
        <v>211</v>
      </c>
      <c r="FL7" s="358" t="s">
        <v>212</v>
      </c>
      <c r="FM7" s="359" t="s">
        <v>213</v>
      </c>
      <c r="FN7" s="1123"/>
      <c r="FO7" s="1132"/>
      <c r="FP7" s="1121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3"/>
      <c r="FY7" s="1132"/>
      <c r="FZ7" s="1121"/>
      <c r="GA7" s="1125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6" t="s">
        <v>246</v>
      </c>
      <c r="HL7" s="1126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1.1120000000000001</v>
      </c>
      <c r="N8" s="477"/>
      <c r="O8" s="478"/>
      <c r="P8" s="479"/>
      <c r="Q8" s="643">
        <f>IFERROR(INDEX(Q$9:Q$150,MATCH($M$8,$M$9:$M$150,0)),"")</f>
        <v>89.091000131243348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-0.10330031155373964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7"/>
      <c r="AT8" s="103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0.34250103298311552</v>
      </c>
      <c r="D9" s="767">
        <v>-0.50390151976698372</v>
      </c>
      <c r="E9" s="768">
        <v>-0.93969263802333458</v>
      </c>
      <c r="F9" s="766">
        <v>-8.852130215629557E-2</v>
      </c>
      <c r="G9" s="769">
        <v>0.33036604714967344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0.34250103298311552</v>
      </c>
      <c r="P9" s="25">
        <f t="shared" ref="P9:P40" si="5">IF(M9="","",D9)</f>
        <v>-0.50390151976698372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0.34250103298311552</v>
      </c>
      <c r="S9" s="23">
        <f>IF(M9="","",P9)</f>
        <v>-0.50390151976698372</v>
      </c>
      <c r="T9" s="26">
        <f>IF(M9="","",X9*COS(RADIANS(W9)))</f>
        <v>0.34245793021550841</v>
      </c>
      <c r="U9" s="20">
        <f>IF(M9="","",X9*SIN(RADIANS(W9)))</f>
        <v>5.4335648529454331E-3</v>
      </c>
      <c r="V9" s="28">
        <f>IF(M9="","",Y9)</f>
        <v>-0.50390151976698372</v>
      </c>
      <c r="W9" s="620">
        <f t="shared" ref="W9:W14" si="6">IF(M9="","",IF(Q9-$Q$8&lt;0,360+Q9-$Q$8,Q9-$Q$8))</f>
        <v>0.90899986875665206</v>
      </c>
      <c r="X9" s="5">
        <f>IF(M9="","",R9)</f>
        <v>0.34250103298311552</v>
      </c>
      <c r="Y9" s="7">
        <f>IF(M9="","",S9)</f>
        <v>-0.50390151976698372</v>
      </c>
      <c r="Z9" s="24">
        <f t="shared" ref="Z9:Z40" si="7">IF(M9="","",-E9)</f>
        <v>0.93969263802333458</v>
      </c>
      <c r="AA9" s="20">
        <f t="shared" ref="AA9:AA40" si="8">IF(M9="","",-F9)</f>
        <v>8.852130215629557E-2</v>
      </c>
      <c r="AB9" s="20">
        <f t="shared" ref="AB9:AB40" si="9">IF(M9="","",-G9)</f>
        <v>-0.33036604714967344</v>
      </c>
      <c r="AC9" s="28">
        <f>IF(M9="","",SQRT(Z9^2+AA9^2+AB9^2))</f>
        <v>1</v>
      </c>
      <c r="AD9" s="27">
        <f>IF(M9="","",Z9*(1/SQRT(Z9^2+AA9^2+AB9^2)))</f>
        <v>0.93969263802333458</v>
      </c>
      <c r="AE9" s="20">
        <f>IF(M9="","",AA9*(1/SQRT(Z9^2+AA9^2+AB9^2)))</f>
        <v>8.852130215629557E-2</v>
      </c>
      <c r="AF9" s="25">
        <f>IF(M9="","",AB9*(1/SQRT(Z9^2+AA9^2+AB9^2)))</f>
        <v>-0.33036604714967344</v>
      </c>
      <c r="AG9" s="618">
        <f>IF(M9="","",DEGREES(ATAN2(-AF9,AE9)))</f>
        <v>14.999997834268262</v>
      </c>
      <c r="AH9" s="619">
        <f>IF(M9="","",DEGREES(ACOS(AD9)))</f>
        <v>19.999997112357679</v>
      </c>
      <c r="AI9" s="620">
        <f>IF(M9="","",DEGREES(-ACOS(-AF9)))</f>
        <v>-70.709005437865216</v>
      </c>
      <c r="AJ9" s="621">
        <f>IF(M9="","",DEGREES(ATAN2(-AE9,AD9)))</f>
        <v>95.38151876223948</v>
      </c>
      <c r="AK9" s="26">
        <f>IF(M9="","",(COS(RADIANS((90-$Q$8)-W9))*AD9)+(-SIN(RADIANS((90-$Q$8)-W9))*AE9))</f>
        <v>0.93969263802333458</v>
      </c>
      <c r="AL9" s="20">
        <f>IF(M9="","",(SIN(RADIANS((90-$Q$8)-W9))*AD9)+(COS(RADIANS((90-$Q$8)-W9))*AE9))</f>
        <v>8.852130215629557E-2</v>
      </c>
      <c r="AM9" s="23">
        <f>IF(M9="","",AF9)</f>
        <v>-0.33036604714967344</v>
      </c>
      <c r="AN9" s="612">
        <f>IF(M9="","",DEGREES(ATAN2(-AM9,AL9)))</f>
        <v>14.999997834268262</v>
      </c>
      <c r="AO9" s="613">
        <f>IF(ROUND(IF(M9="",0,DEGREES(ACOS(AK9))),4)=90,0,IF(M9="","",DEGREES(ACOS(AK9))))</f>
        <v>19.999997112357679</v>
      </c>
      <c r="AP9" s="640">
        <f>IF(M9="","",DEGREES(ATAN2(AK9,AL9)))</f>
        <v>5.3815187622394784</v>
      </c>
      <c r="AQ9" s="641">
        <f t="shared" ref="AQ9:AQ40" si="10">IF(M9="","",DEGREES(ATAN(($AS$5*SIN(RADIANS(90)))/(($X9*2*PI())-($AS$5*COS(RADIANS(90)))))))</f>
        <v>32.291699427190167</v>
      </c>
      <c r="AS9" s="55">
        <f>IF(M9="","",W9)</f>
        <v>0.90899986875665206</v>
      </c>
      <c r="AT9" s="76">
        <f t="shared" ref="AT9:AT40" si="11">IF(M9="","",Y9+(((AS9-$AS$9)*$AS$6)*-1))</f>
        <v>-0.50390151976698372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0</v>
      </c>
      <c r="C10" s="771">
        <v>1.0397031357446576</v>
      </c>
      <c r="D10" s="772">
        <v>-0.3171009563764845</v>
      </c>
      <c r="E10" s="773">
        <v>-0.96592583607220739</v>
      </c>
      <c r="F10" s="771">
        <v>-6.6987279208207184E-2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0</v>
      </c>
      <c r="O10" s="5">
        <f t="shared" si="4"/>
        <v>1.0397031357446576</v>
      </c>
      <c r="P10" s="10">
        <f t="shared" si="5"/>
        <v>-0.3171009563764845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1.0397031357446576</v>
      </c>
      <c r="S10" s="6">
        <f t="shared" ref="S10:S105" si="84">IF(M10="","",P10)</f>
        <v>-0.3171009563764845</v>
      </c>
      <c r="T10" s="4">
        <f t="shared" ref="T10:T105" si="85">IF(M10="","",X10*COS(RADIANS(W10)))</f>
        <v>1.0395722921023769</v>
      </c>
      <c r="U10" s="5">
        <f t="shared" ref="U10:U105" si="86">IF(M10="","",X10*SIN(RADIANS(W10)))</f>
        <v>1.6494240518561656E-2</v>
      </c>
      <c r="V10" s="8">
        <f>IF(M10="","",Y10)</f>
        <v>-0.3171009563764845</v>
      </c>
      <c r="W10" s="624">
        <f t="shared" si="6"/>
        <v>0.90899986875665206</v>
      </c>
      <c r="X10" s="5">
        <f t="shared" ref="X10:X105" si="87">IF(M10="","",R10)</f>
        <v>1.0397031357446576</v>
      </c>
      <c r="Y10" s="7">
        <f>IF(M10="","",S10)</f>
        <v>-0.3171009563764845</v>
      </c>
      <c r="Z10" s="21">
        <f t="shared" si="7"/>
        <v>0.96592583607220739</v>
      </c>
      <c r="AA10" s="5">
        <f t="shared" si="8"/>
        <v>6.6987279208207184E-2</v>
      </c>
      <c r="AB10" s="5">
        <f t="shared" si="9"/>
        <v>-0.24999996726497564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6.6987279208207184E-2</v>
      </c>
      <c r="AF10" s="10">
        <f t="shared" ref="AF10:AF105" si="90">IF(M10="","",AB10*(1/SQRT(Z10^2+AA10^2+AB10^2)))</f>
        <v>-0.24999996726497564</v>
      </c>
      <c r="AG10" s="622">
        <f t="shared" ref="AG10:AG105" si="91">IF(M10="","",DEGREES(ATAN2(-AF10,AE10)))</f>
        <v>14.999997834268264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6.6987279208207184E-2</v>
      </c>
      <c r="AM10" s="6">
        <f t="shared" ref="AM10:AM105" si="96">IF(M10="","",AF10)</f>
        <v>-0.24999996726497564</v>
      </c>
      <c r="AN10" s="612">
        <f t="shared" ref="AN10:AN105" si="97">IF(M10="","",DEGREES(ATAN2(-AM10,AL10)))</f>
        <v>14.999997834268264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3.9671296450865703</v>
      </c>
      <c r="AQ10" s="625">
        <f t="shared" si="10"/>
        <v>11.760149965037805</v>
      </c>
      <c r="AS10" s="56">
        <f>IF($M10="","",IF(AND($W10&lt;($AS$9+180),$W10&gt;($AS$9-180)),$W10,IF($W10&gt;($AS$9+180),$W10-360,IF($W10&lt;($AS$9-180),$W10+360,"Error"))))</f>
        <v>0.90899986875665206</v>
      </c>
      <c r="AT10" s="77">
        <f t="shared" si="11"/>
        <v>-0.3171009563764845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0</v>
      </c>
      <c r="C11" s="771">
        <v>1.7115051618995685</v>
      </c>
      <c r="D11" s="772">
        <v>-0.11310034111062879</v>
      </c>
      <c r="E11" s="773">
        <v>-0.96592583607220739</v>
      </c>
      <c r="F11" s="771">
        <v>-5.0271535051510788E-2</v>
      </c>
      <c r="G11" s="774">
        <v>0.2538898421988795</v>
      </c>
      <c r="H11" s="773">
        <v>0.28999999999999998</v>
      </c>
      <c r="I11" s="771">
        <v>0.52</v>
      </c>
      <c r="J11" s="601">
        <v>1.107</v>
      </c>
      <c r="K11" s="426" t="str">
        <f t="shared" si="1"/>
        <v>1513</v>
      </c>
      <c r="L11" s="856" cm="1">
        <f t="array" ref="L11">MIN(IF(ISNUMBER($II9:$II150),IF(ISNUMBER($IF9:$IF150),"",IF(ISNUMBER(VALUE($K9:$K150)),IF(ISNUMBER($IE9:$IE150),$IO9:$IO150,""),"")),""))</f>
        <v>110</v>
      </c>
      <c r="M11" s="173">
        <f t="shared" si="2"/>
        <v>1.107</v>
      </c>
      <c r="N11" s="21">
        <f t="shared" si="3"/>
        <v>0</v>
      </c>
      <c r="O11" s="5">
        <f t="shared" si="4"/>
        <v>1.7115051618995685</v>
      </c>
      <c r="P11" s="10">
        <f t="shared" si="5"/>
        <v>-0.11310034111062879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1.7115051618995685</v>
      </c>
      <c r="S11" s="6">
        <f t="shared" si="84"/>
        <v>-0.11310034111062879</v>
      </c>
      <c r="T11" s="4">
        <f t="shared" si="85"/>
        <v>1.7112897739090296</v>
      </c>
      <c r="U11" s="5">
        <f t="shared" si="86"/>
        <v>2.7151959841798856E-2</v>
      </c>
      <c r="V11" s="8">
        <f t="shared" ref="V11:V105" si="117">IF(M11="","",Y11)</f>
        <v>-0.11310034111062879</v>
      </c>
      <c r="W11" s="624">
        <f t="shared" si="6"/>
        <v>0.90899986875665206</v>
      </c>
      <c r="X11" s="5">
        <f>IF(M11="","",R11)</f>
        <v>1.7115051618995685</v>
      </c>
      <c r="Y11" s="7">
        <f>IF(M11="","",S11)</f>
        <v>-0.11310034111062879</v>
      </c>
      <c r="Z11" s="21">
        <f t="shared" si="7"/>
        <v>0.96592583607220739</v>
      </c>
      <c r="AA11" s="5">
        <f t="shared" si="8"/>
        <v>5.0271535051510788E-2</v>
      </c>
      <c r="AB11" s="5">
        <f t="shared" si="9"/>
        <v>-0.2538898421988795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5.0271535051510788E-2</v>
      </c>
      <c r="AF11" s="10">
        <f t="shared" si="90"/>
        <v>-0.2538898421988795</v>
      </c>
      <c r="AG11" s="622">
        <f>IF(M11="","",DEGREES(ATAN2(-AF11,AE11)))</f>
        <v>11.199998382920306</v>
      </c>
      <c r="AH11" s="623">
        <f t="shared" si="92"/>
        <v>14.999997834268255</v>
      </c>
      <c r="AI11" s="624">
        <f t="shared" si="93"/>
        <v>-75.292186949482485</v>
      </c>
      <c r="AJ11" s="625">
        <f t="shared" si="94"/>
        <v>92.979266377344999</v>
      </c>
      <c r="AK11" s="4">
        <f>IF(M11="","",(COS(RADIANS((90-$Q$8)-W11))*AD11)+(-SIN(RADIANS((90-$Q$8)-W11))*AE11))</f>
        <v>0.96592583607220739</v>
      </c>
      <c r="AL11" s="5">
        <f t="shared" si="95"/>
        <v>5.0271535051510788E-2</v>
      </c>
      <c r="AM11" s="6">
        <f t="shared" si="96"/>
        <v>-0.2538898421988795</v>
      </c>
      <c r="AN11" s="612">
        <f>IF(M11="","",DEGREES(ATAN2(-AM11,AL11)))</f>
        <v>11.199998382920306</v>
      </c>
      <c r="AO11" s="613">
        <f>IF(ROUND(IF(M11="",0,DEGREES(ACOS(AK11))),4)=90,0,IF(M11="","",DEGREES(ACOS(AK11))))</f>
        <v>14.999997834268255</v>
      </c>
      <c r="AP11" s="624">
        <f t="shared" si="99"/>
        <v>2.9792663773450134</v>
      </c>
      <c r="AQ11" s="625">
        <f t="shared" si="10"/>
        <v>7.2078204248287703</v>
      </c>
      <c r="AS11" s="56">
        <f t="shared" ref="AS11:AS42" si="119">IF(G11="","",IF(AND(W11&lt;(AS10+180),W11&gt;(AS10-180)),W11,IF(W11&gt;(AS10+180),W11-360,IF(W11&lt;(AS10-180),W11+360,"Error"))))</f>
        <v>0.90899986875665206</v>
      </c>
      <c r="AT11" s="77">
        <f t="shared" si="11"/>
        <v>-0.11310034111062879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4.0132230681740488E-2</v>
      </c>
      <c r="C12" s="771">
        <v>2.5293892731859016</v>
      </c>
      <c r="D12" s="772">
        <v>-0.10330031155373964</v>
      </c>
      <c r="E12" s="773">
        <v>-0.96115222939803513</v>
      </c>
      <c r="F12" s="771">
        <v>0.12713249436304336</v>
      </c>
      <c r="G12" s="774">
        <v>0.24499738937429033</v>
      </c>
      <c r="H12" s="773">
        <v>0.314</v>
      </c>
      <c r="I12" s="771">
        <v>0.52</v>
      </c>
      <c r="J12" s="601">
        <v>1.1120000000000001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1.1120000000000001</v>
      </c>
      <c r="N12" s="21">
        <f t="shared" si="3"/>
        <v>4.0132230681740488E-2</v>
      </c>
      <c r="O12" s="5">
        <f t="shared" si="4"/>
        <v>2.5293892731859016</v>
      </c>
      <c r="P12" s="10">
        <f t="shared" si="5"/>
        <v>-0.10330031155373964</v>
      </c>
      <c r="Q12" s="624">
        <f>IF(M12="","",IF(DEGREES(ATAN2(N12,O12))&lt;0,DEGREES(ATAN2(N12,O12))+360,IF(DEGREES(ATAN2(N12,O12))&gt;360,DEGREES(ATAN2(N12,O12))-360,DEGREES(ATAN2(N12,O12)))))</f>
        <v>89.091000131243348</v>
      </c>
      <c r="R12" s="5">
        <f t="shared" si="83"/>
        <v>2.5297076295982102</v>
      </c>
      <c r="S12" s="6">
        <f t="shared" si="84"/>
        <v>-0.10330031155373964</v>
      </c>
      <c r="T12" s="4">
        <f>IF(M12="","",X12*COS(RADIANS(W12)))</f>
        <v>2.5297076295982102</v>
      </c>
      <c r="U12" s="5">
        <f t="shared" si="86"/>
        <v>0</v>
      </c>
      <c r="V12" s="8">
        <f t="shared" si="117"/>
        <v>-0.10330031155373964</v>
      </c>
      <c r="W12" s="624">
        <f>IF(M12="","",IF(Q12-$Q$8&lt;0,360+Q12-$Q$8,Q12-$Q$8))</f>
        <v>0</v>
      </c>
      <c r="X12" s="5">
        <f t="shared" si="87"/>
        <v>2.5297076295982102</v>
      </c>
      <c r="Y12" s="7">
        <f>IF(M12="","",S12)</f>
        <v>-0.10330031155373964</v>
      </c>
      <c r="Z12" s="21">
        <f t="shared" si="7"/>
        <v>0.96115222939803513</v>
      </c>
      <c r="AA12" s="5">
        <f t="shared" si="8"/>
        <v>-0.12713249436304336</v>
      </c>
      <c r="AB12" s="5">
        <f t="shared" si="9"/>
        <v>-0.24499738937429033</v>
      </c>
      <c r="AC12" s="8">
        <f t="shared" si="88"/>
        <v>1</v>
      </c>
      <c r="AD12" s="9">
        <f t="shared" si="118"/>
        <v>0.96115222939803513</v>
      </c>
      <c r="AE12" s="5">
        <f t="shared" si="89"/>
        <v>-0.12713249436304336</v>
      </c>
      <c r="AF12" s="10">
        <f t="shared" si="90"/>
        <v>-0.24499738937429033</v>
      </c>
      <c r="AG12" s="622">
        <f t="shared" si="91"/>
        <v>-27.425415709647478</v>
      </c>
      <c r="AH12" s="623">
        <f t="shared" si="92"/>
        <v>16.022738694456642</v>
      </c>
      <c r="AI12" s="624">
        <f t="shared" si="93"/>
        <v>-75.818320551192713</v>
      </c>
      <c r="AJ12" s="625">
        <f t="shared" si="94"/>
        <v>82.465173195690269</v>
      </c>
      <c r="AK12" s="4">
        <f t="shared" ref="AK12:AK105" si="213">IF(M12="","",(COS(RADIANS((90-$Q$8)-W12))*AD12)+(-SIN(RADIANS((90-$Q$8)-W12))*AE12))</f>
        <v>0.96304814873644928</v>
      </c>
      <c r="AL12" s="5">
        <f>IF(M12="","",(SIN(RADIANS((90-$Q$8)-W12))*AD12)+(COS(RADIANS((90-$Q$8)-W12))*AE12))</f>
        <v>-0.11186841562782718</v>
      </c>
      <c r="AM12" s="6">
        <f t="shared" si="96"/>
        <v>-0.24499738937429033</v>
      </c>
      <c r="AN12" s="612">
        <f>IF(M12="","",DEGREES(ATAN2(-AM12,AL12)))</f>
        <v>-24.54194365811097</v>
      </c>
      <c r="AO12" s="613">
        <f t="shared" si="98"/>
        <v>15.624359248728833</v>
      </c>
      <c r="AP12" s="624">
        <f t="shared" si="99"/>
        <v>-6.6258269355530892</v>
      </c>
      <c r="AQ12" s="625">
        <f t="shared" si="10"/>
        <v>4.8905178539777596</v>
      </c>
      <c r="AS12" s="56">
        <f t="shared" si="119"/>
        <v>0</v>
      </c>
      <c r="AT12" s="77">
        <f>IF(M12="","",Y12+(((AS12-$AS$9)*$AS$6)*-1))</f>
        <v>-9.9866312049547851E-2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1.1120000000000001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0.10671800505799521</v>
      </c>
      <c r="C13" s="771">
        <v>3.2095359730593964</v>
      </c>
      <c r="D13" s="772">
        <v>-0.48070144979557244</v>
      </c>
      <c r="E13" s="773">
        <v>-0.93431531721094707</v>
      </c>
      <c r="F13" s="771">
        <v>0.29514909530410416</v>
      </c>
      <c r="G13" s="774">
        <v>0.1998546961324057</v>
      </c>
      <c r="H13" s="773">
        <v>0.314</v>
      </c>
      <c r="I13" s="771">
        <v>0.52</v>
      </c>
      <c r="J13" s="601">
        <v>1.1180000000000001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90</v>
      </c>
      <c r="M13" s="173">
        <f t="shared" si="2"/>
        <v>1.1180000000000001</v>
      </c>
      <c r="N13" s="21">
        <f t="shared" si="3"/>
        <v>0.10671800505799521</v>
      </c>
      <c r="O13" s="5">
        <f t="shared" si="4"/>
        <v>3.2095359730593964</v>
      </c>
      <c r="P13" s="10">
        <f t="shared" si="5"/>
        <v>-0.48070144979557244</v>
      </c>
      <c r="Q13" s="624">
        <f t="shared" si="116"/>
        <v>88.095600274961299</v>
      </c>
      <c r="R13" s="5">
        <f t="shared" si="83"/>
        <v>3.2113096853100114</v>
      </c>
      <c r="S13" s="6">
        <f t="shared" si="84"/>
        <v>-0.48070144979557244</v>
      </c>
      <c r="T13" s="4">
        <f>IF(M13="","",X13*COS(RADIANS(W13)))</f>
        <v>3.2108250766700936</v>
      </c>
      <c r="U13" s="5">
        <f t="shared" si="86"/>
        <v>-5.5787292391470795E-2</v>
      </c>
      <c r="V13" s="8">
        <f t="shared" si="117"/>
        <v>-0.48070144979557244</v>
      </c>
      <c r="W13" s="624">
        <f t="shared" si="6"/>
        <v>359.00460014371794</v>
      </c>
      <c r="X13" s="5">
        <f t="shared" si="87"/>
        <v>3.2113096853100114</v>
      </c>
      <c r="Y13" s="7">
        <f>IF(M13="","",S13)</f>
        <v>-0.48070144979557244</v>
      </c>
      <c r="Z13" s="21">
        <f t="shared" si="7"/>
        <v>0.93431531721094707</v>
      </c>
      <c r="AA13" s="5">
        <f t="shared" si="8"/>
        <v>-0.29514909530410416</v>
      </c>
      <c r="AB13" s="5">
        <f t="shared" si="9"/>
        <v>-0.1998546961324057</v>
      </c>
      <c r="AC13" s="8">
        <f t="shared" si="88"/>
        <v>1</v>
      </c>
      <c r="AD13" s="9">
        <f>IF(M13="","",Z13*(1/SQRT(Z13^2+AA13^2+AB13^2)))</f>
        <v>0.93431531721094707</v>
      </c>
      <c r="AE13" s="5">
        <f t="shared" si="89"/>
        <v>-0.29514909530410416</v>
      </c>
      <c r="AF13" s="10">
        <f t="shared" si="90"/>
        <v>-0.1998546961324057</v>
      </c>
      <c r="AG13" s="622">
        <f>IF(M13="","",DEGREES(ATAN2(-AF13,AE13)))</f>
        <v>-55.896840711143341</v>
      </c>
      <c r="AH13" s="623">
        <f t="shared" si="92"/>
        <v>20.882190246745836</v>
      </c>
      <c r="AI13" s="624">
        <f t="shared" si="93"/>
        <v>-78.471537810668664</v>
      </c>
      <c r="AJ13" s="625">
        <f t="shared" si="94"/>
        <v>72.468735449451714</v>
      </c>
      <c r="AK13" s="4">
        <f t="shared" si="213"/>
        <v>0.94360763687041693</v>
      </c>
      <c r="AL13" s="5">
        <f t="shared" si="95"/>
        <v>-0.2639369774655515</v>
      </c>
      <c r="AM13" s="6">
        <f t="shared" si="96"/>
        <v>-0.1998546961324057</v>
      </c>
      <c r="AN13" s="612">
        <f t="shared" si="97"/>
        <v>-52.866771483808151</v>
      </c>
      <c r="AO13" s="613">
        <f t="shared" si="98"/>
        <v>19.3334838175562</v>
      </c>
      <c r="AP13" s="624">
        <f t="shared" si="99"/>
        <v>-15.626864825509541</v>
      </c>
      <c r="AQ13" s="625">
        <f t="shared" si="10"/>
        <v>3.8560538591332314</v>
      </c>
      <c r="AS13" s="56">
        <f t="shared" si="119"/>
        <v>-0.99539985628206296</v>
      </c>
      <c r="AT13" s="77">
        <f t="shared" si="11"/>
        <v>-0.4735070508343151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1.1180000000000001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0.15517694081864869</v>
      </c>
      <c r="C14" s="771">
        <v>3.6043720558351167</v>
      </c>
      <c r="D14" s="772">
        <v>-1.147403460568837</v>
      </c>
      <c r="E14" s="773">
        <v>-0.88476121279145259</v>
      </c>
      <c r="F14" s="771">
        <v>0.45069575733765771</v>
      </c>
      <c r="G14" s="774">
        <v>0.11862095370394438</v>
      </c>
      <c r="H14" s="773">
        <v>0.314</v>
      </c>
      <c r="I14" s="771">
        <v>0.52</v>
      </c>
      <c r="J14" s="601">
        <v>1.1240000000000001</v>
      </c>
      <c r="K14" s="426" t="str">
        <f t="shared" si="225"/>
        <v>1613</v>
      </c>
      <c r="L14" s="327"/>
      <c r="M14" s="173">
        <f t="shared" si="2"/>
        <v>1.1240000000000001</v>
      </c>
      <c r="N14" s="21">
        <f t="shared" si="3"/>
        <v>0.15517694081864869</v>
      </c>
      <c r="O14" s="5">
        <f t="shared" si="4"/>
        <v>3.6043720558351167</v>
      </c>
      <c r="P14" s="10">
        <f t="shared" si="5"/>
        <v>-1.147403460568837</v>
      </c>
      <c r="Q14" s="624">
        <f t="shared" si="116"/>
        <v>87.534800355930798</v>
      </c>
      <c r="R14" s="5">
        <f t="shared" si="83"/>
        <v>3.607710880856017</v>
      </c>
      <c r="S14" s="6">
        <f t="shared" si="84"/>
        <v>-1.147403460568837</v>
      </c>
      <c r="T14" s="4">
        <f t="shared" si="85"/>
        <v>3.6063802411960095</v>
      </c>
      <c r="U14" s="5">
        <f t="shared" si="86"/>
        <v>-9.7976302022010436E-2</v>
      </c>
      <c r="V14" s="8">
        <f t="shared" si="117"/>
        <v>-1.147403460568837</v>
      </c>
      <c r="W14" s="624">
        <f t="shared" si="6"/>
        <v>358.44380022468744</v>
      </c>
      <c r="X14" s="5">
        <f t="shared" si="87"/>
        <v>3.607710880856017</v>
      </c>
      <c r="Y14" s="7">
        <f t="shared" ref="Y14:Y75" si="226">IF(M14="","",S14)</f>
        <v>-1.147403460568837</v>
      </c>
      <c r="Z14" s="21">
        <f t="shared" si="7"/>
        <v>0.88476121279145259</v>
      </c>
      <c r="AA14" s="5">
        <f t="shared" si="8"/>
        <v>-0.45069575733765771</v>
      </c>
      <c r="AB14" s="5">
        <f t="shared" si="9"/>
        <v>-0.11862095370394438</v>
      </c>
      <c r="AC14" s="8">
        <f t="shared" si="88"/>
        <v>1</v>
      </c>
      <c r="AD14" s="9">
        <f>IF(M14="","",Z14*(1/SQRT(Z14^2+AA14^2+AB14^2)))</f>
        <v>0.88476121279145259</v>
      </c>
      <c r="AE14" s="5">
        <f t="shared" si="89"/>
        <v>-0.45069575733765771</v>
      </c>
      <c r="AF14" s="10">
        <f t="shared" si="90"/>
        <v>-0.11862095370394438</v>
      </c>
      <c r="AG14" s="622">
        <f t="shared" si="91"/>
        <v>-75.254438930157605</v>
      </c>
      <c r="AH14" s="623">
        <f t="shared" si="92"/>
        <v>27.777849622497421</v>
      </c>
      <c r="AI14" s="624">
        <f t="shared" si="93"/>
        <v>-83.187479414473628</v>
      </c>
      <c r="AJ14" s="625">
        <f t="shared" si="94"/>
        <v>63.005789068358261</v>
      </c>
      <c r="AK14" s="4">
        <f>IF(M14="","",(COS(RADIANS((90-$Q$8)-W14))*AD14)+(-SIN(RADIANS((90-$Q$8)-W14))*AE14))</f>
        <v>0.9033279794201905</v>
      </c>
      <c r="AL14" s="5">
        <f t="shared" si="95"/>
        <v>-0.41222279284266039</v>
      </c>
      <c r="AM14" s="6">
        <f t="shared" si="96"/>
        <v>-0.11862095370394438</v>
      </c>
      <c r="AN14" s="612">
        <f t="shared" si="97"/>
        <v>-73.946333635013175</v>
      </c>
      <c r="AO14" s="613">
        <f t="shared" si="98"/>
        <v>25.400976888737702</v>
      </c>
      <c r="AP14" s="624">
        <f>IF(M14="","",DEGREES(ATAN2(AK14,AL14)))</f>
        <v>-24.529011287572505</v>
      </c>
      <c r="AQ14" s="625">
        <f t="shared" si="10"/>
        <v>3.4334415721176574</v>
      </c>
      <c r="AS14" s="56">
        <f t="shared" si="119"/>
        <v>-1.5561997753125638</v>
      </c>
      <c r="AT14" s="77">
        <f t="shared" si="11"/>
        <v>-1.1380904841356867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1.1240000000000001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0.16499936313482874</v>
      </c>
      <c r="C15" s="771">
        <v>3.6832171826962794</v>
      </c>
      <c r="D15" s="772">
        <v>-1.9392058486448396</v>
      </c>
      <c r="E15" s="773">
        <v>-0.84278140031771642</v>
      </c>
      <c r="F15" s="771">
        <v>0.53825599047153783</v>
      </c>
      <c r="G15" s="774">
        <v>1.1339743348047648E-7</v>
      </c>
      <c r="H15" s="773">
        <v>0.314</v>
      </c>
      <c r="I15" s="771">
        <v>0.52</v>
      </c>
      <c r="J15" s="601">
        <v>1.1299999999999999</v>
      </c>
      <c r="K15" s="426" t="str">
        <f t="shared" si="225"/>
        <v>1613</v>
      </c>
      <c r="L15" s="327"/>
      <c r="M15" s="173">
        <f t="shared" si="2"/>
        <v>1.1299999999999999</v>
      </c>
      <c r="N15" s="21">
        <f t="shared" si="3"/>
        <v>0.16499936313482874</v>
      </c>
      <c r="O15" s="5">
        <f t="shared" si="4"/>
        <v>3.6832171826962794</v>
      </c>
      <c r="P15" s="10">
        <f t="shared" si="5"/>
        <v>-1.9392058486448396</v>
      </c>
      <c r="Q15" s="624">
        <f t="shared" si="116"/>
        <v>87.435000370340134</v>
      </c>
      <c r="R15" s="5">
        <f t="shared" si="83"/>
        <v>3.6869111197239368</v>
      </c>
      <c r="S15" s="6">
        <f t="shared" si="84"/>
        <v>-1.9392058486448396</v>
      </c>
      <c r="T15" s="4">
        <f t="shared" si="85"/>
        <v>3.6853712722170888</v>
      </c>
      <c r="U15" s="5">
        <f t="shared" si="86"/>
        <v>-0.10654665954880585</v>
      </c>
      <c r="V15" s="8">
        <f t="shared" si="117"/>
        <v>-1.9392058486448396</v>
      </c>
      <c r="W15" s="624">
        <f t="shared" ref="W15:W78" si="227">IF(M15="","",IF(Q15-$Q$8&lt;0,360+Q15-$Q$8,Q15-$Q$8))</f>
        <v>358.34400023909683</v>
      </c>
      <c r="X15" s="5">
        <f>IF(M15="","",R15)</f>
        <v>3.6869111197239368</v>
      </c>
      <c r="Y15" s="7">
        <f>IF(M15="","",S15)</f>
        <v>-1.9392058486448396</v>
      </c>
      <c r="Z15" s="21">
        <f t="shared" si="7"/>
        <v>0.84278140031771642</v>
      </c>
      <c r="AA15" s="5">
        <f t="shared" si="8"/>
        <v>-0.53825599047153783</v>
      </c>
      <c r="AB15" s="5">
        <f t="shared" si="9"/>
        <v>-1.1339743348047648E-7</v>
      </c>
      <c r="AC15" s="8">
        <f t="shared" si="88"/>
        <v>1</v>
      </c>
      <c r="AD15" s="9">
        <f t="shared" si="118"/>
        <v>0.84278140031771642</v>
      </c>
      <c r="AE15" s="5">
        <f t="shared" si="89"/>
        <v>-0.53825599047153783</v>
      </c>
      <c r="AF15" s="10">
        <f t="shared" si="90"/>
        <v>-1.1339743348047648E-7</v>
      </c>
      <c r="AG15" s="622">
        <f t="shared" si="91"/>
        <v>-89.999987929174111</v>
      </c>
      <c r="AH15" s="623">
        <f t="shared" si="92"/>
        <v>32.564995298196344</v>
      </c>
      <c r="AI15" s="624">
        <f t="shared" si="93"/>
        <v>-89.999993502805651</v>
      </c>
      <c r="AJ15" s="625">
        <f t="shared" si="94"/>
        <v>57.435004701804232</v>
      </c>
      <c r="AK15" s="4">
        <f t="shared" si="213"/>
        <v>0.86602544158358552</v>
      </c>
      <c r="AL15" s="5">
        <f t="shared" si="95"/>
        <v>-0.49999993452993863</v>
      </c>
      <c r="AM15" s="6">
        <f t="shared" si="96"/>
        <v>-1.1339743348047648E-7</v>
      </c>
      <c r="AN15" s="612">
        <f>IF(M15="","",DEGREES(ATAN2(-AM15,AL15)))</f>
        <v>-89.999987005609611</v>
      </c>
      <c r="AO15" s="613">
        <f t="shared" si="98"/>
        <v>29.999995668536549</v>
      </c>
      <c r="AP15" s="624">
        <f t="shared" si="99"/>
        <v>-29.999995668535913</v>
      </c>
      <c r="AQ15" s="625">
        <f t="shared" si="10"/>
        <v>3.3598570434814041</v>
      </c>
      <c r="AS15" s="56">
        <f t="shared" si="119"/>
        <v>-1.6559997609031711</v>
      </c>
      <c r="AT15" s="77">
        <f t="shared" si="11"/>
        <v>-1.9295158500439025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1.1299999999999999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0.84664451138934105</v>
      </c>
      <c r="C16" s="771">
        <v>2.4073690957275056</v>
      </c>
      <c r="D16" s="772">
        <v>-6.7500203580614149E-2</v>
      </c>
      <c r="E16" s="773">
        <v>-0.83436064895461359</v>
      </c>
      <c r="F16" s="771">
        <v>0.44852539122902285</v>
      </c>
      <c r="G16" s="774">
        <v>0.32041735424113377</v>
      </c>
      <c r="H16" s="773">
        <v>0.26600000000000001</v>
      </c>
      <c r="I16" s="771">
        <v>0.52</v>
      </c>
      <c r="J16" s="601">
        <v>1.212</v>
      </c>
      <c r="K16" s="426" t="str">
        <f t="shared" si="225"/>
        <v>1313</v>
      </c>
      <c r="L16" s="327"/>
      <c r="M16" s="173">
        <f t="shared" si="2"/>
        <v>1.212</v>
      </c>
      <c r="N16" s="21">
        <f t="shared" si="3"/>
        <v>0.84664451138934105</v>
      </c>
      <c r="O16" s="5">
        <f t="shared" si="4"/>
        <v>2.4073690957275056</v>
      </c>
      <c r="P16" s="10">
        <f t="shared" si="5"/>
        <v>-6.7500203580614149E-2</v>
      </c>
      <c r="Q16" s="624">
        <f>IF(M16="","",IF(DEGREES(ATAN2(N16,O16))&lt;0,DEGREES(ATAN2(N16,O16))+360,IF(DEGREES(ATAN2(N16,O16))&gt;360,DEGREES(ATAN2(N16,O16))-360,DEGREES(ATAN2(N16,O16)))))</f>
        <v>70.623802797576744</v>
      </c>
      <c r="R16" s="5">
        <f t="shared" si="83"/>
        <v>2.5519076965536125</v>
      </c>
      <c r="S16" s="6">
        <f t="shared" si="84"/>
        <v>-6.7500203580614149E-2</v>
      </c>
      <c r="T16" s="4">
        <f t="shared" si="85"/>
        <v>2.4204976213561222</v>
      </c>
      <c r="U16" s="5">
        <f t="shared" si="86"/>
        <v>-0.80834655732483851</v>
      </c>
      <c r="V16" s="8">
        <f t="shared" si="117"/>
        <v>-6.7500203580614149E-2</v>
      </c>
      <c r="W16" s="624">
        <f>IF(M16="","",IF(Q16-$Q$8&lt;0,360+Q16-$Q$8,Q16-$Q$8))</f>
        <v>341.5328026663334</v>
      </c>
      <c r="X16" s="5">
        <f t="shared" si="87"/>
        <v>2.5519076965536125</v>
      </c>
      <c r="Y16" s="7">
        <f t="shared" si="226"/>
        <v>-6.7500203580614149E-2</v>
      </c>
      <c r="Z16" s="21">
        <f t="shared" si="7"/>
        <v>0.83436064895461359</v>
      </c>
      <c r="AA16" s="5">
        <f t="shared" si="8"/>
        <v>-0.44852539122902285</v>
      </c>
      <c r="AB16" s="5">
        <f t="shared" si="9"/>
        <v>-0.32041735424113377</v>
      </c>
      <c r="AC16" s="8">
        <f t="shared" si="88"/>
        <v>1</v>
      </c>
      <c r="AD16" s="9">
        <f t="shared" si="118"/>
        <v>0.83436064895461359</v>
      </c>
      <c r="AE16" s="5">
        <f t="shared" si="89"/>
        <v>-0.44852539122902285</v>
      </c>
      <c r="AF16" s="10">
        <f t="shared" si="90"/>
        <v>-0.32041735424113377</v>
      </c>
      <c r="AG16" s="622">
        <f t="shared" si="91"/>
        <v>-54.458763415530896</v>
      </c>
      <c r="AH16" s="623">
        <f t="shared" si="92"/>
        <v>33.450676827052924</v>
      </c>
      <c r="AI16" s="624">
        <f t="shared" si="93"/>
        <v>-71.311833428561741</v>
      </c>
      <c r="AJ16" s="625">
        <f t="shared" si="94"/>
        <v>61.738958006532179</v>
      </c>
      <c r="AK16" s="4">
        <f t="shared" si="213"/>
        <v>0.93590987045213281</v>
      </c>
      <c r="AL16" s="5">
        <f t="shared" si="95"/>
        <v>-0.14630595849583161</v>
      </c>
      <c r="AM16" s="6">
        <f t="shared" si="96"/>
        <v>-0.32041735424113377</v>
      </c>
      <c r="AN16" s="612">
        <f t="shared" si="97"/>
        <v>-24.541941316455958</v>
      </c>
      <c r="AO16" s="613">
        <f t="shared" si="98"/>
        <v>20.624358522645291</v>
      </c>
      <c r="AP16" s="624">
        <f t="shared" si="99"/>
        <v>-8.8848447910445696</v>
      </c>
      <c r="AQ16" s="625">
        <f t="shared" si="10"/>
        <v>4.8481769519287923</v>
      </c>
      <c r="AS16" s="56">
        <f t="shared" si="119"/>
        <v>-18.467197333666604</v>
      </c>
      <c r="AT16" s="77">
        <f t="shared" si="11"/>
        <v>5.698763628540382E-3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>
        <f>IFERROR(IF($IU16="","",IF($IU16&lt;(((Settings!$C$19/2)*-1)*$IE$8),"",1)),"")</f>
        <v>1</v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1.212</v>
      </c>
      <c r="IH16" s="797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1.1120000000000001</v>
      </c>
      <c r="II16" s="800" cm="1">
        <f t="array" ref="II16">IFERROR(IF($IH16&lt;1,$IH16+LARGE((IF($M$9:$M$150="",0,$M$9:$M$150)-MOD(IF($M$9:$M$150="",0,$M$9:$M$150),1)),1),$IH16),"")</f>
        <v>1.1120000000000001</v>
      </c>
      <c r="IJ16" s="839" t="str">
        <f t="shared" si="68"/>
        <v>1613</v>
      </c>
      <c r="IK16" s="839" t="str">
        <f t="shared" si="69"/>
        <v>1313</v>
      </c>
      <c r="IL16" s="791">
        <f>IF(ISNUMBER($II16),IFERROR(IF(INDEX($W$9:$W$150,MATCH($II16,$M$9:$M$150,0))&lt;$W16,((INDEX($W$9:$W$150,MATCH($II16,$M$9:$M$150,0))+360)-$W16),INDEX($W$9:$W$150,MATCH($II16,$M$9:$M$150,0))-$W16),""),"")</f>
        <v>18.467197333666604</v>
      </c>
      <c r="IM16" s="830">
        <v>1.12027556275087E-2</v>
      </c>
      <c r="IN16" s="5">
        <f>IF(ISNUMBER($II16),(($IO16*12)/60)/$AS$3,"")</f>
        <v>0.22</v>
      </c>
      <c r="IO16" s="852">
        <v>110</v>
      </c>
      <c r="IP16" s="9">
        <f>IF(ISNUMBER($II16),(INDEX($X$9:$X$150,MATCH($II16,$M$9:$M$150,0))*-1),"")</f>
        <v>-2.5297076295982102</v>
      </c>
      <c r="IQ16" s="5">
        <f>IF(ISNUMBER($II16),INDEX($Y$9:$Y$150,MATCH($II16,$M$9:$M$150,0)),"")</f>
        <v>-0.10330031155373964</v>
      </c>
      <c r="IR16" s="5">
        <f t="shared" si="74"/>
        <v>0.314</v>
      </c>
      <c r="IS16" s="5">
        <f>IF(ISNUMBER($II16),$IR16*COS(RADIANS(INDEX($AO$9:$AO$150,MATCH($II16,$M$9:$M$150,0)))),"")</f>
        <v>0.30239711870324509</v>
      </c>
      <c r="IT16" s="791">
        <f>IF(ISNUMBER($II16),(-1*INDEX($AN$9:$AN$150,MATCH($II16,$M$9:$M$150,0))),"")</f>
        <v>24.54194365811097</v>
      </c>
      <c r="IU16" s="9">
        <f>IF(ISNUMBER($II16),-$X16,"")</f>
        <v>-2.5519076965536125</v>
      </c>
      <c r="IV16" s="5">
        <f>IF(ISNUMBER($II16),$Y16,"")</f>
        <v>-6.7500203580614149E-2</v>
      </c>
      <c r="IW16" s="5">
        <f t="shared" si="79"/>
        <v>0.26600000000000001</v>
      </c>
      <c r="IX16" s="5">
        <f>IF(ISNUMBER($II16),$IW16*COS(RADIANS($AO16)),"")</f>
        <v>0.24895202554026735</v>
      </c>
      <c r="IY16" s="833">
        <f>IF(ISNUMBER($II16),(-1*$AN16),"")</f>
        <v>24.541941316455958</v>
      </c>
    </row>
    <row r="17" spans="1:259" ht="15" customHeight="1" x14ac:dyDescent="0.25">
      <c r="A17" s="84">
        <f t="shared" si="82"/>
        <v>0.02</v>
      </c>
      <c r="B17" s="770">
        <v>0.9976442194611741</v>
      </c>
      <c r="C17" s="771">
        <v>3.0976181790806057</v>
      </c>
      <c r="D17" s="772">
        <v>-0.45930138525297814</v>
      </c>
      <c r="E17" s="773">
        <v>-0.76658652147053274</v>
      </c>
      <c r="F17" s="771">
        <v>0.59200780553881116</v>
      </c>
      <c r="G17" s="774">
        <v>0.24874055415398127</v>
      </c>
      <c r="H17" s="773">
        <v>0.26600000000000001</v>
      </c>
      <c r="I17" s="771">
        <v>0.52</v>
      </c>
      <c r="J17" s="601">
        <v>1.218</v>
      </c>
      <c r="K17" s="426" t="str">
        <f t="shared" si="225"/>
        <v>1313</v>
      </c>
      <c r="L17" s="861" t="s">
        <v>332</v>
      </c>
      <c r="M17" s="173">
        <f t="shared" si="2"/>
        <v>1.218</v>
      </c>
      <c r="N17" s="21">
        <f t="shared" si="3"/>
        <v>0.9976442194611741</v>
      </c>
      <c r="O17" s="5">
        <f t="shared" si="4"/>
        <v>3.0976181790806057</v>
      </c>
      <c r="P17" s="10">
        <f t="shared" si="5"/>
        <v>-0.45930138525297814</v>
      </c>
      <c r="Q17" s="624">
        <f>IF(M17="","",IF(DEGREES(ATAN2(N17,O17))&lt;0,DEGREES(ATAN2(N17,O17))+360,IF(DEGREES(ATAN2(N17,O17))&gt;360,DEGREES(ATAN2(N17,O17))-360,DEGREES(ATAN2(N17,O17)))))</f>
        <v>72.147902577523965</v>
      </c>
      <c r="R17" s="5">
        <f>IF(M17="","",SQRT(N17^2+O17^2))</f>
        <v>3.2543098149984035</v>
      </c>
      <c r="S17" s="6">
        <f>IF(M17="","",P17)</f>
        <v>-0.45930138525297814</v>
      </c>
      <c r="T17" s="4">
        <f>IF(M17="","",X17*COS(RADIANS(W17)))</f>
        <v>3.1130553548580013</v>
      </c>
      <c r="U17" s="5">
        <f>IF(M17="","",X17*SIN(RADIANS(W17)))</f>
        <v>-0.94837689216095244</v>
      </c>
      <c r="V17" s="8">
        <f>IF(M17="","",Y17)</f>
        <v>-0.45930138525297814</v>
      </c>
      <c r="W17" s="624">
        <f t="shared" si="227"/>
        <v>343.05690244628062</v>
      </c>
      <c r="X17" s="5">
        <f>IF(M17="","",R17)</f>
        <v>3.2543098149984035</v>
      </c>
      <c r="Y17" s="7">
        <f t="shared" si="226"/>
        <v>-0.45930138525297814</v>
      </c>
      <c r="Z17" s="21">
        <f t="shared" si="7"/>
        <v>0.76658652147053274</v>
      </c>
      <c r="AA17" s="5">
        <f t="shared" si="8"/>
        <v>-0.59200780553881116</v>
      </c>
      <c r="AB17" s="5">
        <f t="shared" si="9"/>
        <v>-0.24874055415398127</v>
      </c>
      <c r="AC17" s="8">
        <f>IF(M17="","",SQRT(Z17^2+AA17^2+AB17^2))</f>
        <v>1</v>
      </c>
      <c r="AD17" s="9">
        <f>IF(M17="","",Z17*(1/SQRT(Z17^2+AA17^2+AB17^2)))</f>
        <v>0.76658652147053274</v>
      </c>
      <c r="AE17" s="5">
        <f>IF(M17="","",AA17*(1/SQRT(Z17^2+AA17^2+AB17^2)))</f>
        <v>-0.59200780553881116</v>
      </c>
      <c r="AF17" s="10">
        <f>IF(M17="","",AB17*(1/SQRT(Z17^2+AA17^2+AB17^2)))</f>
        <v>-0.24874055415398127</v>
      </c>
      <c r="AG17" s="622">
        <f>IF(M17="","",DEGREES(ATAN2(-AF17,AE17)))</f>
        <v>-67.209591880885455</v>
      </c>
      <c r="AH17" s="623">
        <f>IF(M17="","",DEGREES(ACOS(AD17)))</f>
        <v>39.951656770878976</v>
      </c>
      <c r="AI17" s="624">
        <f>IF(M17="","",DEGREES(-ACOS(-AF17)))</f>
        <v>-75.597002813748119</v>
      </c>
      <c r="AJ17" s="625">
        <f>IF(M17="","",DEGREES(ATAN2(-AE17,AD17)))</f>
        <v>52.322353442234338</v>
      </c>
      <c r="AK17" s="4">
        <f>IF(M17="","",(COS(RADIANS((90-$Q$8)-W17))*AD17)+(-SIN(RADIANS((90-$Q$8)-W17))*AE17))</f>
        <v>0.91116263612978488</v>
      </c>
      <c r="AL17" s="5">
        <f>IF(M17="","",(SIN(RADIANS((90-$Q$8)-W17))*AD17)+(COS(RADIANS((90-$Q$8)-W17))*AE17))</f>
        <v>-0.32849777356961141</v>
      </c>
      <c r="AM17" s="6">
        <f>IF(M17="","",AF17)</f>
        <v>-0.24874055415398127</v>
      </c>
      <c r="AN17" s="612">
        <f>IF(M17="","",DEGREES(ATAN2(-AM17,AL17)))</f>
        <v>-52.866768409497205</v>
      </c>
      <c r="AO17" s="613">
        <f t="shared" si="98"/>
        <v>24.333483082800441</v>
      </c>
      <c r="AP17" s="624">
        <f>IF(M17="","",DEGREES(ATAN2(AK17,AL17)))</f>
        <v>-19.825549135289588</v>
      </c>
      <c r="AQ17" s="625">
        <f t="shared" si="10"/>
        <v>3.8052534031015015</v>
      </c>
      <c r="AS17" s="56">
        <f t="shared" si="119"/>
        <v>-16.943097553719383</v>
      </c>
      <c r="AT17" s="77">
        <f t="shared" si="11"/>
        <v>-0.39186012832362421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1.218</v>
      </c>
      <c r="IH17" s="797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1.1180000000000001</v>
      </c>
      <c r="II17" s="800" cm="1">
        <f t="array" ref="II17">IFERROR(IF($IH17&lt;1,$IH17+LARGE((IF($M$9:$M$150="",0,$M$9:$M$150)-MOD(IF($M$9:$M$150="",0,$M$9:$M$150),1)),1),$IH17),"")</f>
        <v>1.1180000000000001</v>
      </c>
      <c r="IJ17" s="555" t="str">
        <f t="shared" si="68"/>
        <v>1613</v>
      </c>
      <c r="IK17" s="839" t="str">
        <f t="shared" si="69"/>
        <v>1313</v>
      </c>
      <c r="IL17" s="791">
        <f t="shared" ref="IL17:IL80" si="228">IF(ISNUMBER($II17),IFERROR(IF(INDEX($W$9:$W$150,MATCH($II17,$M$9:$M$150,0))&lt;$W17,((INDEX($W$9:$W$150,MATCH($II17,$M$9:$M$150,0))+360)-$W17),INDEX($W$9:$W$150,MATCH($II17,$M$9:$M$150,0))-$W17),""),"")</f>
        <v>15.94769769743732</v>
      </c>
      <c r="IM17" s="830">
        <v>5.5927440746486798E-3</v>
      </c>
      <c r="IN17" s="5">
        <f t="shared" ref="IN17:IN80" si="229">IF(ISNUMBER($II17),(($IO17*12)/60)/$AS$3,"")</f>
        <v>0.2</v>
      </c>
      <c r="IO17" s="852">
        <v>100</v>
      </c>
      <c r="IP17" s="9">
        <f t="shared" ref="IP17:IP80" si="230">IF(ISNUMBER($II17),(INDEX($X$9:$X$150,MATCH($II17,$M$9:$M$150,0))*-1),"")</f>
        <v>-3.2113096853100114</v>
      </c>
      <c r="IQ17" s="5">
        <f t="shared" ref="IQ17:IQ80" si="231">IF(ISNUMBER($II17),INDEX($Y$9:$Y$150,MATCH($II17,$M$9:$M$150,0)),"")</f>
        <v>-0.48070144979557244</v>
      </c>
      <c r="IR17" s="5">
        <f t="shared" si="74"/>
        <v>0.314</v>
      </c>
      <c r="IS17" s="5">
        <f t="shared" ref="IS17:IS80" si="232">IF(ISNUMBER($II17),$IR17*COS(RADIANS(INDEX($AO$9:$AO$150,MATCH($II17,$M$9:$M$150,0)))),"")</f>
        <v>0.2962927979773109</v>
      </c>
      <c r="IT17" s="791">
        <f t="shared" ref="IT17:IT80" si="233">IF(ISNUMBER($II17),(-1*INDEX($AN$9:$AN$150,MATCH($II17,$M$9:$M$150,0))),"")</f>
        <v>52.866771483808151</v>
      </c>
      <c r="IU17" s="9">
        <f t="shared" ref="IU17:IU80" si="234">IF(ISNUMBER($II17),-$X17,"")</f>
        <v>-3.2543098149984035</v>
      </c>
      <c r="IV17" s="5">
        <f t="shared" ref="IV17:IV80" si="235">IF(ISNUMBER($II17),$Y17,"")</f>
        <v>-0.45930138525297814</v>
      </c>
      <c r="IW17" s="5">
        <f t="shared" si="79"/>
        <v>0.26600000000000001</v>
      </c>
      <c r="IX17" s="5">
        <f t="shared" ref="IX17:IX80" si="236">IF(ISNUMBER($II17),$IW17*COS(RADIANS($AO17)),"")</f>
        <v>0.24236926121052282</v>
      </c>
      <c r="IY17" s="833">
        <f t="shared" ref="IY17:IY80" si="237">IF(ISNUMBER($II17),(-1*$AN17),"")</f>
        <v>52.866768409497205</v>
      </c>
    </row>
    <row r="18" spans="1:259" ht="15" customHeight="1" x14ac:dyDescent="0.25">
      <c r="A18" s="84">
        <f t="shared" si="82"/>
        <v>0</v>
      </c>
      <c r="B18" s="770">
        <v>1.27882226272345</v>
      </c>
      <c r="C18" s="771">
        <v>3.4014588759333568</v>
      </c>
      <c r="D18" s="772">
        <v>-1.1524034756488841</v>
      </c>
      <c r="E18" s="773">
        <v>0.28325273916114929</v>
      </c>
      <c r="F18" s="771">
        <v>0.75340678371732617</v>
      </c>
      <c r="G18" s="774">
        <v>0.59341899531984998</v>
      </c>
      <c r="H18" s="773">
        <v>0.25700000000000001</v>
      </c>
      <c r="I18" s="771">
        <v>0.41499999999999992</v>
      </c>
      <c r="J18" s="601">
        <v>1.224</v>
      </c>
      <c r="K18" s="426" t="str">
        <f t="shared" si="225"/>
        <v>Knuckle</v>
      </c>
      <c r="L18" s="857" t="s">
        <v>376</v>
      </c>
      <c r="M18" s="173">
        <f t="shared" si="2"/>
        <v>1.224</v>
      </c>
      <c r="N18" s="21">
        <f t="shared" si="3"/>
        <v>1.27882226272345</v>
      </c>
      <c r="O18" s="5">
        <f t="shared" si="4"/>
        <v>3.4014588759333568</v>
      </c>
      <c r="P18" s="10">
        <f t="shared" si="5"/>
        <v>-1.1524034756488841</v>
      </c>
      <c r="Q18" s="624">
        <f t="shared" si="116"/>
        <v>69.395602974906865</v>
      </c>
      <c r="R18" s="5">
        <f>IF(M18="","",SQRT(N18^2+O18^2))</f>
        <v>3.6339109598754535</v>
      </c>
      <c r="S18" s="6">
        <f>IF(M18="","",P18)</f>
        <v>-1.1524034756488841</v>
      </c>
      <c r="T18" s="4">
        <f>IF(M18="","",X18*COS(RADIANS(W18)))</f>
        <v>3.421318528177907</v>
      </c>
      <c r="U18" s="5">
        <f>IF(M18="","",X18*SIN(RADIANS(W18)))</f>
        <v>-1.2246993071972814</v>
      </c>
      <c r="V18" s="8">
        <f>IF(M18="","",Y18)</f>
        <v>-1.1524034756488841</v>
      </c>
      <c r="W18" s="624">
        <f t="shared" si="227"/>
        <v>340.30460284366353</v>
      </c>
      <c r="X18" s="5">
        <f>IF(M18="","",R18)</f>
        <v>3.6339109598754535</v>
      </c>
      <c r="Y18" s="7">
        <f t="shared" si="226"/>
        <v>-1.1524034756488841</v>
      </c>
      <c r="Z18" s="21">
        <f t="shared" si="7"/>
        <v>-0.28325273916114929</v>
      </c>
      <c r="AA18" s="5">
        <f t="shared" si="8"/>
        <v>-0.75340678371732617</v>
      </c>
      <c r="AB18" s="5">
        <f t="shared" si="9"/>
        <v>-0.59341899531984998</v>
      </c>
      <c r="AC18" s="8">
        <f>IF(M18="","",SQRT(Z18^2+AA18^2+AB18^2))</f>
        <v>1</v>
      </c>
      <c r="AD18" s="9">
        <f>IF(M18="","",Z18*(1/SQRT(Z18^2+AA18^2+AB18^2)))</f>
        <v>-0.28325273916114929</v>
      </c>
      <c r="AE18" s="5">
        <f>IF(M18="","",AA18*(1/SQRT(Z18^2+AA18^2+AB18^2)))</f>
        <v>-0.75340678371732617</v>
      </c>
      <c r="AF18" s="10">
        <f>IF(M18="","",AB18*(1/SQRT(Z18^2+AA18^2+AB18^2)))</f>
        <v>-0.59341899531984998</v>
      </c>
      <c r="AG18" s="622">
        <f>IF(M18="","",DEGREES(ATAN2(-AF18,AE18)))</f>
        <v>-51.774350873429057</v>
      </c>
      <c r="AH18" s="623">
        <f>IF(M18="","",DEGREES(ACOS(AD18)))</f>
        <v>106.45443466984685</v>
      </c>
      <c r="AI18" s="624">
        <f>IF(M18="","",DEGREES(-ACOS(-AF18)))</f>
        <v>-53.599992261119652</v>
      </c>
      <c r="AJ18" s="625">
        <f>IF(M18="","",DEGREES(ATAN2(-AE18,AD18)))</f>
        <v>-20.604380880861772</v>
      </c>
      <c r="AK18" s="4">
        <f>IF(M18="","",(COS(RADIANS((90-$Q$8)-W18))*AD18)+(-SIN(RADIANS((90-$Q$8)-W18))*AE18))</f>
        <v>2.2679489708465894E-7</v>
      </c>
      <c r="AL18" s="5">
        <f>IF(M18="","",(SIN(RADIANS((90-$Q$8)-W18))*AD18)+(COS(RADIANS((90-$Q$8)-W18))*AE18))</f>
        <v>-0.80489371720341352</v>
      </c>
      <c r="AM18" s="6">
        <f>IF(M18="","",AF18)</f>
        <v>-0.59341899531984998</v>
      </c>
      <c r="AN18" s="612">
        <f>IF(M18="","",DEGREES(ATAN2(-AM18,AL18)))</f>
        <v>-53.59999226111858</v>
      </c>
      <c r="AO18" s="613">
        <f t="shared" si="98"/>
        <v>0</v>
      </c>
      <c r="AP18" s="624">
        <f>IF(M18="","",DEGREES(ATAN2(AK18,AL18)))</f>
        <v>-89.999983855768619</v>
      </c>
      <c r="AQ18" s="625">
        <f t="shared" si="10"/>
        <v>3.4087454372283688</v>
      </c>
      <c r="AS18" s="56">
        <f t="shared" si="119"/>
        <v>-19.695397156336469</v>
      </c>
      <c r="AT18" s="77">
        <f t="shared" si="11"/>
        <v>-1.0745646424429767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1.224</v>
      </c>
      <c r="IH18" s="797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1.1240000000000001</v>
      </c>
      <c r="II18" s="800" cm="1">
        <f t="array" ref="II18">IFERROR(IF($IH18&lt;1,$IH18+LARGE((IF($M$9:$M$150="",0,$M$9:$M$150)-MOD(IF($M$9:$M$150="",0,$M$9:$M$150),1)),1),$IH18),"")</f>
        <v>1.1240000000000001</v>
      </c>
      <c r="IJ18" s="839" t="str">
        <f t="shared" si="68"/>
        <v>1613</v>
      </c>
      <c r="IK18" s="839" t="str">
        <f t="shared" si="69"/>
        <v>Knuckle</v>
      </c>
      <c r="IL18" s="791">
        <f t="shared" si="228"/>
        <v>18.139197381023905</v>
      </c>
      <c r="IM18" s="830">
        <v>2.0276663651224202E-3</v>
      </c>
      <c r="IN18" s="5">
        <f t="shared" si="229"/>
        <v>0.06</v>
      </c>
      <c r="IO18" s="852">
        <v>30</v>
      </c>
      <c r="IP18" s="9">
        <f t="shared" si="230"/>
        <v>-3.607710880856017</v>
      </c>
      <c r="IQ18" s="5">
        <f t="shared" si="231"/>
        <v>-1.147403460568837</v>
      </c>
      <c r="IR18" s="5">
        <f t="shared" si="74"/>
        <v>0.314</v>
      </c>
      <c r="IS18" s="5">
        <f t="shared" si="232"/>
        <v>0.28364498553793982</v>
      </c>
      <c r="IT18" s="791">
        <f t="shared" si="233"/>
        <v>73.946333635013175</v>
      </c>
      <c r="IU18" s="9">
        <f t="shared" si="234"/>
        <v>-3.6339109598754535</v>
      </c>
      <c r="IV18" s="5">
        <f t="shared" si="235"/>
        <v>-1.1524034756488841</v>
      </c>
      <c r="IW18" s="5">
        <f t="shared" si="79"/>
        <v>0.25700000000000001</v>
      </c>
      <c r="IX18" s="5">
        <f t="shared" si="236"/>
        <v>0.25700000000000001</v>
      </c>
      <c r="IY18" s="833">
        <f t="shared" si="237"/>
        <v>53.59999226111858</v>
      </c>
    </row>
    <row r="19" spans="1:259" ht="15" customHeight="1" x14ac:dyDescent="0.25">
      <c r="A19" s="84">
        <f t="shared" si="82"/>
        <v>0</v>
      </c>
      <c r="B19" s="770">
        <v>1.3328679030114661</v>
      </c>
      <c r="C19" s="771">
        <v>3.4542802568994917</v>
      </c>
      <c r="D19" s="772">
        <v>-1.9521058875513571</v>
      </c>
      <c r="E19" s="773">
        <v>0.3599900336721219</v>
      </c>
      <c r="F19" s="771">
        <v>0.93295614883910449</v>
      </c>
      <c r="G19" s="774">
        <v>2.2679489633423987E-7</v>
      </c>
      <c r="H19" s="773">
        <v>0.25700000000000001</v>
      </c>
      <c r="I19" s="771">
        <v>0.41499999999999992</v>
      </c>
      <c r="J19" s="601">
        <v>1.23</v>
      </c>
      <c r="K19" s="426" t="str">
        <f t="shared" si="225"/>
        <v>Knuckle</v>
      </c>
      <c r="L19" s="856" cm="1">
        <f t="array" ref="L19">MIN(IF(ISNUMBER($II9:$II150),IF(ISNUMBER($IF9:$IF150),"",IF($K9:$K150="Knuckle",IF(ISNUMBER($IE9:$IE150),$IO9:$IO150,""),"")),""))</f>
        <v>100</v>
      </c>
      <c r="M19" s="173">
        <f t="shared" si="2"/>
        <v>1.23</v>
      </c>
      <c r="N19" s="21">
        <f t="shared" si="3"/>
        <v>1.3328679030114661</v>
      </c>
      <c r="O19" s="5">
        <f t="shared" si="4"/>
        <v>3.4542802568994917</v>
      </c>
      <c r="P19" s="10">
        <f t="shared" si="5"/>
        <v>-1.9521058875513571</v>
      </c>
      <c r="Q19" s="624">
        <f t="shared" si="116"/>
        <v>68.90040304640489</v>
      </c>
      <c r="R19" s="5">
        <f>IF(M19="","",SQRT(N19^2+O19^2))</f>
        <v>3.7025111667736805</v>
      </c>
      <c r="S19" s="6">
        <f>IF(M19="","",P19)</f>
        <v>-1.9521058875513571</v>
      </c>
      <c r="T19" s="4">
        <f>IF(M19="","",X19*COS(RADIANS(W19)))</f>
        <v>3.4749906620345588</v>
      </c>
      <c r="U19" s="5">
        <f>IF(M19="","",X19*SIN(RADIANS(W19)))</f>
        <v>-1.277900167797321</v>
      </c>
      <c r="V19" s="8">
        <f>IF(M19="","",Y19)</f>
        <v>-1.9521058875513571</v>
      </c>
      <c r="W19" s="624">
        <f t="shared" si="227"/>
        <v>339.80940291516157</v>
      </c>
      <c r="X19" s="5">
        <f>IF(M19="","",R19)</f>
        <v>3.7025111667736805</v>
      </c>
      <c r="Y19" s="7">
        <f t="shared" si="226"/>
        <v>-1.9521058875513571</v>
      </c>
      <c r="Z19" s="21">
        <f t="shared" si="7"/>
        <v>-0.3599900336721219</v>
      </c>
      <c r="AA19" s="5">
        <f t="shared" si="8"/>
        <v>-0.93295614883910449</v>
      </c>
      <c r="AB19" s="5">
        <f t="shared" si="9"/>
        <v>-2.2679489633423987E-7</v>
      </c>
      <c r="AC19" s="8">
        <f>IF(M19="","",SQRT(Z19^2+AA19^2+AB19^2))</f>
        <v>1</v>
      </c>
      <c r="AD19" s="9">
        <f>IF(M19="","",Z19*(1/SQRT(Z19^2+AA19^2+AB19^2)))</f>
        <v>-0.3599900336721219</v>
      </c>
      <c r="AE19" s="5">
        <f>IF(M19="","",AA19*(1/SQRT(Z19^2+AA19^2+AB19^2)))</f>
        <v>-0.93295614883910449</v>
      </c>
      <c r="AF19" s="10">
        <f>IF(M19="","",AB19*(1/SQRT(Z19^2+AA19^2+AB19^2)))</f>
        <v>-2.2679489633423987E-7</v>
      </c>
      <c r="AG19" s="622">
        <f>IF(M19="","",DEGREES(ATAN2(-AF19,AE19)))</f>
        <v>-89.999986071810142</v>
      </c>
      <c r="AH19" s="623">
        <f>IF(M19="","",DEGREES(ACOS(AD19)))</f>
        <v>111.09958395920417</v>
      </c>
      <c r="AI19" s="624">
        <f>IF(M19="","",DEGREES(-ACOS(-AF19)))</f>
        <v>-89.999987005609626</v>
      </c>
      <c r="AJ19" s="625">
        <f>IF(M19="","",DEGREES(ATAN2(-AE19,AD19)))</f>
        <v>-21.099583959204729</v>
      </c>
      <c r="AK19" s="4">
        <f>IF(M19="","",(COS(RADIANS((90-$Q$8)-W19))*AD19)+(-SIN(RADIANS((90-$Q$8)-W19))*AE19))</f>
        <v>2.2679489591892477E-7</v>
      </c>
      <c r="AL19" s="5">
        <f>IF(M19="","",(SIN(RADIANS((90-$Q$8)-W19))*AD19)+(COS(RADIANS((90-$Q$8)-W19))*AE19))</f>
        <v>-0.99999999999994871</v>
      </c>
      <c r="AM19" s="6">
        <f>IF(M19="","",AF19)</f>
        <v>-2.2679489633423987E-7</v>
      </c>
      <c r="AN19" s="612">
        <f>IF(M19="","",DEGREES(ATAN2(-AM19,AL19)))</f>
        <v>-89.999987005609626</v>
      </c>
      <c r="AO19" s="613">
        <f t="shared" si="98"/>
        <v>0</v>
      </c>
      <c r="AP19" s="624">
        <f>IF(M19="","",DEGREES(ATAN2(AK19,AL19)))</f>
        <v>-89.999987005609654</v>
      </c>
      <c r="AQ19" s="625">
        <f t="shared" si="10"/>
        <v>3.3457329514226246</v>
      </c>
      <c r="AS19" s="56">
        <f t="shared" si="119"/>
        <v>-20.19059708483843</v>
      </c>
      <c r="AT19" s="77">
        <f t="shared" si="11"/>
        <v>-1.8723962990599978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 t="str">
        <f>IFERROR(IF($IU19="","",IF($IU19&lt;(((Settings!$C$19/2)*-1)*$IE$8),"",1)),"")</f>
        <v/>
      </c>
      <c r="IF19" s="91">
        <f>IFERROR(IF((((($IW19*COS(RADIANS(180-$IY19)))*COS(RADIANS($IY19)))-(($IX19*SIN(RADIANS(180-$IY19)))*SIN(RADIANS($IY19))))+$IU19)&lt;(((Settings!$C$19/2)*-1)+$IF$8),1,""),"")</f>
        <v>1</v>
      </c>
      <c r="IG19" s="836">
        <f t="shared" si="67"/>
        <v>1.23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1.1299999999999999</v>
      </c>
      <c r="II19" s="800" cm="1">
        <f t="array" ref="II19">IFERROR(IF($IH19&lt;1,$IH19+LARGE((IF($M$9:$M$150="",0,$M$9:$M$150)-MOD(IF($M$9:$M$150="",0,$M$9:$M$150),1)),1),$IH19),"")</f>
        <v>1.1299999999999999</v>
      </c>
      <c r="IJ19" s="839" t="str">
        <f t="shared" si="68"/>
        <v>1613</v>
      </c>
      <c r="IK19" s="839" t="str">
        <f t="shared" si="69"/>
        <v>Knuckle</v>
      </c>
      <c r="IL19" s="791">
        <f t="shared" si="228"/>
        <v>18.534597323935259</v>
      </c>
      <c r="IM19" s="830">
        <v>3.7233002313805202E-5</v>
      </c>
      <c r="IN19" s="5">
        <f t="shared" si="229"/>
        <v>0</v>
      </c>
      <c r="IO19" s="852">
        <v>0</v>
      </c>
      <c r="IP19" s="9">
        <f t="shared" si="230"/>
        <v>-3.6869111197239368</v>
      </c>
      <c r="IQ19" s="5">
        <f t="shared" si="231"/>
        <v>-1.9392058486448396</v>
      </c>
      <c r="IR19" s="5">
        <f t="shared" si="74"/>
        <v>0.314</v>
      </c>
      <c r="IS19" s="5">
        <f t="shared" si="232"/>
        <v>0.27193198865724588</v>
      </c>
      <c r="IT19" s="791">
        <f t="shared" si="233"/>
        <v>89.999987005609611</v>
      </c>
      <c r="IU19" s="9">
        <f t="shared" si="234"/>
        <v>-3.7025111667736805</v>
      </c>
      <c r="IV19" s="5">
        <f t="shared" si="235"/>
        <v>-1.9521058875513571</v>
      </c>
      <c r="IW19" s="5">
        <f t="shared" si="79"/>
        <v>0.25700000000000001</v>
      </c>
      <c r="IX19" s="5">
        <f t="shared" si="236"/>
        <v>0.25700000000000001</v>
      </c>
      <c r="IY19" s="833">
        <f t="shared" si="237"/>
        <v>89.999987005609626</v>
      </c>
    </row>
    <row r="20" spans="1:259" ht="15" customHeight="1" x14ac:dyDescent="0.25">
      <c r="A20" s="84">
        <f t="shared" si="82"/>
        <v>0.02</v>
      </c>
      <c r="B20" s="770">
        <v>2.004517902641386</v>
      </c>
      <c r="C20" s="771">
        <v>1.3150929272216629</v>
      </c>
      <c r="D20" s="772">
        <v>-8.7700234343906697E-2</v>
      </c>
      <c r="E20" s="773">
        <v>-0.45733358446225991</v>
      </c>
      <c r="F20" s="771">
        <v>0.8525782579904051</v>
      </c>
      <c r="G20" s="774">
        <v>0.25289584125672615</v>
      </c>
      <c r="H20" s="773">
        <v>0.314</v>
      </c>
      <c r="I20" s="771">
        <v>0.52</v>
      </c>
      <c r="J20" s="601">
        <v>2.1110000000000002</v>
      </c>
      <c r="K20" s="426" t="str">
        <f t="shared" si="225"/>
        <v>1613</v>
      </c>
      <c r="L20" s="858" t="s">
        <v>377</v>
      </c>
      <c r="M20" s="173">
        <f t="shared" si="2"/>
        <v>2.1110000000000002</v>
      </c>
      <c r="N20" s="21">
        <f t="shared" si="3"/>
        <v>2.004517902641386</v>
      </c>
      <c r="O20" s="5">
        <f t="shared" si="4"/>
        <v>1.3150929272216629</v>
      </c>
      <c r="P20" s="10">
        <f t="shared" si="5"/>
        <v>-8.7700234343906697E-2</v>
      </c>
      <c r="Q20" s="624">
        <f t="shared" si="116"/>
        <v>33.26745621359678</v>
      </c>
      <c r="R20" s="5">
        <f>IF(M20="","",SQRT(N20^2+O20^2))</f>
        <v>2.3974072305802081</v>
      </c>
      <c r="S20" s="6">
        <f>IF(M20="","",P20)</f>
        <v>-8.7700234343906697E-2</v>
      </c>
      <c r="T20" s="4">
        <f>IF(M20="","",X20*COS(RADIANS(W20)))</f>
        <v>1.3467278504325448</v>
      </c>
      <c r="U20" s="5">
        <f>IF(M20="","",X20*SIN(RADIANS(W20)))</f>
        <v>-1.9834025123780599</v>
      </c>
      <c r="V20" s="8">
        <f>IF(M20="","",Y20)</f>
        <v>-8.7700234343906697E-2</v>
      </c>
      <c r="W20" s="624">
        <f t="shared" si="227"/>
        <v>304.17645608235347</v>
      </c>
      <c r="X20" s="5">
        <f>IF(M20="","",R20)</f>
        <v>2.3974072305802081</v>
      </c>
      <c r="Y20" s="7">
        <f t="shared" si="226"/>
        <v>-8.7700234343906697E-2</v>
      </c>
      <c r="Z20" s="21">
        <f t="shared" si="7"/>
        <v>0.45733358446225991</v>
      </c>
      <c r="AA20" s="5">
        <f t="shared" si="8"/>
        <v>-0.8525782579904051</v>
      </c>
      <c r="AB20" s="5">
        <f t="shared" si="9"/>
        <v>-0.25289584125672615</v>
      </c>
      <c r="AC20" s="8">
        <f>IF(M20="","",SQRT(Z20^2+AA20^2+AB20^2))</f>
        <v>1</v>
      </c>
      <c r="AD20" s="9">
        <f>IF(M20="","",Z20*(1/SQRT(Z20^2+AA20^2+AB20^2)))</f>
        <v>0.45733358446225991</v>
      </c>
      <c r="AE20" s="5">
        <f>IF(M20="","",AA20*(1/SQRT(Z20^2+AA20^2+AB20^2)))</f>
        <v>-0.8525782579904051</v>
      </c>
      <c r="AF20" s="10">
        <f>IF(M20="","",AB20*(1/SQRT(Z20^2+AA20^2+AB20^2)))</f>
        <v>-0.25289584125672615</v>
      </c>
      <c r="AG20" s="622">
        <f>IF(M20="","",DEGREES(ATAN2(-AF20,AE20)))</f>
        <v>-73.478338197775273</v>
      </c>
      <c r="AH20" s="623">
        <f>IF(M20="","",DEGREES(ACOS(AD20)))</f>
        <v>62.784818028297238</v>
      </c>
      <c r="AI20" s="624">
        <f>IF(M20="","",DEGREES(-ACOS(-AF20)))</f>
        <v>-75.351060438167252</v>
      </c>
      <c r="AJ20" s="625">
        <f>IF(M20="","",DEGREES(ATAN2(-AE20,AD20)))</f>
        <v>28.209662401881271</v>
      </c>
      <c r="AK20" s="4">
        <f>IF(M20="","",(COS(RADIANS((90-$Q$8)-W20))*AD20)+(-SIN(RADIANS((90-$Q$8)-W20))*AE20))</f>
        <v>0.96372636003632151</v>
      </c>
      <c r="AL20" s="5">
        <f>IF(M20="","",(SIN(RADIANS((90-$Q$8)-W20))*AD20)+(COS(RADIANS((90-$Q$8)-W20))*AE20))</f>
        <v>-8.52947621263761E-2</v>
      </c>
      <c r="AM20" s="6">
        <f>IF(M20="","",AF20)</f>
        <v>-0.25289584125672615</v>
      </c>
      <c r="AN20" s="612">
        <f>IF(M20="","",DEGREES(ATAN2(-AM20,AL20)))</f>
        <v>-18.637825802790374</v>
      </c>
      <c r="AO20" s="613">
        <f t="shared" si="98"/>
        <v>15.479424299784572</v>
      </c>
      <c r="AP20" s="624">
        <f>IF(M20="","",DEGREES(ATAN2(AK20,AL20)))</f>
        <v>-5.0577938117155412</v>
      </c>
      <c r="AQ20" s="625">
        <f t="shared" si="10"/>
        <v>5.1589814584252061</v>
      </c>
      <c r="AS20" s="56">
        <f t="shared" si="119"/>
        <v>-55.823543917646532</v>
      </c>
      <c r="AT20" s="77">
        <f t="shared" si="11"/>
        <v>0.12662270884917201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 t="str">
        <f>IFERROR(IF($IU20="","",IF($IU20&lt;(((Settings!$C$19/2)*-1)*$IE$8),"",1)),"")</f>
        <v/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2.1110000000000002</v>
      </c>
      <c r="IH20" s="797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800" t="str" cm="1">
        <f t="array" ref="II20">IFERROR(IF($IH20&lt;1,$IH20+LARGE((IF($M$9:$M$150="",0,$M$9:$M$150)-MOD(IF($M$9:$M$150="",0,$M$9:$M$150),1)),1),$IH20),"")</f>
        <v/>
      </c>
      <c r="IJ20" s="839" t="str">
        <f t="shared" si="68"/>
        <v/>
      </c>
      <c r="IK20" s="839" t="str">
        <f t="shared" si="69"/>
        <v/>
      </c>
      <c r="IL20" s="791" t="str">
        <f t="shared" si="228"/>
        <v/>
      </c>
      <c r="IM20" s="830"/>
      <c r="IN20" s="5" t="str">
        <f t="shared" si="229"/>
        <v/>
      </c>
      <c r="IO20" s="852"/>
      <c r="IP20" s="9" t="str">
        <f t="shared" si="230"/>
        <v/>
      </c>
      <c r="IQ20" s="5" t="str">
        <f t="shared" si="231"/>
        <v/>
      </c>
      <c r="IR20" s="5" t="str">
        <f t="shared" si="74"/>
        <v/>
      </c>
      <c r="IS20" s="5" t="str">
        <f t="shared" si="232"/>
        <v/>
      </c>
      <c r="IT20" s="791" t="str">
        <f t="shared" si="233"/>
        <v/>
      </c>
      <c r="IU20" s="9" t="str">
        <f t="shared" si="234"/>
        <v/>
      </c>
      <c r="IV20" s="5" t="str">
        <f t="shared" si="235"/>
        <v/>
      </c>
      <c r="IW20" s="5" t="str">
        <f t="shared" si="79"/>
        <v/>
      </c>
      <c r="IX20" s="5" t="str">
        <f t="shared" si="236"/>
        <v/>
      </c>
      <c r="IY20" s="833" t="str">
        <f t="shared" si="237"/>
        <v/>
      </c>
    </row>
    <row r="21" spans="1:259" ht="15" customHeight="1" x14ac:dyDescent="0.25">
      <c r="A21" s="84">
        <f t="shared" si="82"/>
        <v>0.02</v>
      </c>
      <c r="B21" s="770">
        <v>2.6335201066285352</v>
      </c>
      <c r="C21" s="771">
        <v>1.6612519433421369</v>
      </c>
      <c r="D21" s="772">
        <v>-0.40370118740278144</v>
      </c>
      <c r="E21" s="773">
        <v>-0.30634558908872223</v>
      </c>
      <c r="F21" s="771">
        <v>0.92949528969156847</v>
      </c>
      <c r="G21" s="774">
        <v>0.2054042027006043</v>
      </c>
      <c r="H21" s="773">
        <v>0.314</v>
      </c>
      <c r="I21" s="771">
        <v>0.52</v>
      </c>
      <c r="J21" s="601">
        <v>2.117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860" cm="1">
        <f t="array" ref="L21">MIN(IF(ISNUMBER($II9:$II150),IF(ISNUMBER($IF9:$IF150),"",IF($K9:$K150="Knuckle",IF(ISNUMBER($IE9:$IE150),"",$IO9:$IO150),"")),""))</f>
        <v>30</v>
      </c>
      <c r="M21" s="173">
        <f t="shared" si="2"/>
        <v>2.117</v>
      </c>
      <c r="N21" s="21">
        <f t="shared" si="3"/>
        <v>2.6335201066285352</v>
      </c>
      <c r="O21" s="5">
        <f t="shared" si="4"/>
        <v>1.6612519433421369</v>
      </c>
      <c r="P21" s="10">
        <f t="shared" si="5"/>
        <v>-0.40370118740278144</v>
      </c>
      <c r="Q21" s="624">
        <f t="shared" si="116"/>
        <v>32.244156361342988</v>
      </c>
      <c r="R21" s="5">
        <f>IF(M21="","",SQRT(N21^2+O21^2))</f>
        <v>3.1137093909475237</v>
      </c>
      <c r="S21" s="6">
        <f>IF(M21="","",P21)</f>
        <v>-0.40370118740278144</v>
      </c>
      <c r="T21" s="4">
        <f>IF(M21="","",X21*COS(RADIANS(W21)))</f>
        <v>1.702822030329739</v>
      </c>
      <c r="U21" s="5">
        <f>IF(M21="","",X21*SIN(RADIANS(W21)))</f>
        <v>-2.6068339617817062</v>
      </c>
      <c r="V21" s="8">
        <f>IF(M21="","",Y21)</f>
        <v>-0.40370118740278144</v>
      </c>
      <c r="W21" s="624">
        <f t="shared" si="227"/>
        <v>303.15315623009968</v>
      </c>
      <c r="X21" s="5">
        <f>IF(M21="","",R21)</f>
        <v>3.1137093909475237</v>
      </c>
      <c r="Y21" s="7">
        <f t="shared" si="226"/>
        <v>-0.40370118740278144</v>
      </c>
      <c r="Z21" s="21">
        <f t="shared" si="7"/>
        <v>0.30634558908872223</v>
      </c>
      <c r="AA21" s="5">
        <f t="shared" si="8"/>
        <v>-0.92949528969156847</v>
      </c>
      <c r="AB21" s="5">
        <f t="shared" si="9"/>
        <v>-0.2054042027006043</v>
      </c>
      <c r="AC21" s="8">
        <f>IF(M21="","",SQRT(Z21^2+AA21^2+AB21^2))</f>
        <v>1</v>
      </c>
      <c r="AD21" s="9">
        <f>IF(M21="","",Z21*(1/SQRT(Z21^2+AA21^2+AB21^2)))</f>
        <v>0.30634558908872223</v>
      </c>
      <c r="AE21" s="5">
        <f>IF(M21="","",AA21*(1/SQRT(Z21^2+AA21^2+AB21^2)))</f>
        <v>-0.92949528969156847</v>
      </c>
      <c r="AF21" s="10">
        <f>IF(M21="","",AB21*(1/SQRT(Z21^2+AA21^2+AB21^2)))</f>
        <v>-0.2054042027006043</v>
      </c>
      <c r="AG21" s="622">
        <f>IF(M21="","",DEGREES(ATAN2(-AF21,AE21)))</f>
        <v>-77.53878013473269</v>
      </c>
      <c r="AH21" s="623">
        <f>IF(M21="","",DEGREES(ACOS(AD21)))</f>
        <v>72.160863906738811</v>
      </c>
      <c r="AI21" s="624">
        <f>IF(M21="","",DEGREES(-ACOS(-AF21)))</f>
        <v>-78.14683829197584</v>
      </c>
      <c r="AJ21" s="625">
        <f>IF(M21="","",DEGREES(ATAN2(-AE21,AD21)))</f>
        <v>18.241326998287672</v>
      </c>
      <c r="AK21" s="4">
        <f>IF(M21="","",(COS(RADIANS((90-$Q$8)-W21))*AD21)+(-SIN(RADIANS((90-$Q$8)-W21))*AE21))</f>
        <v>0.94959463725914006</v>
      </c>
      <c r="AL21" s="5">
        <f>IF(M21="","",(SIN(RADIANS((90-$Q$8)-W21))*AD21)+(COS(RADIANS((90-$Q$8)-W21))*AE21))</f>
        <v>-0.23681034268293943</v>
      </c>
      <c r="AM21" s="6">
        <f>IF(M21="","",AF21)</f>
        <v>-0.2054042027006043</v>
      </c>
      <c r="AN21" s="612">
        <f>IF(M21="","",DEGREES(ATAN2(-AM21,AL21)))</f>
        <v>-49.062333633727519</v>
      </c>
      <c r="AO21" s="613">
        <f>IF(ROUND(IF(M21="",0,DEGREES(ACOS(AK21))),4)=90,0,IF(M21="","",DEGREES(ACOS(AK21))))</f>
        <v>18.269107411626702</v>
      </c>
      <c r="AP21" s="624">
        <f>IF(M21="","",DEGREES(ATAN2(AK21,AL21)))</f>
        <v>-14.002829363055369</v>
      </c>
      <c r="AQ21" s="625">
        <f t="shared" si="10"/>
        <v>3.97654129190845</v>
      </c>
      <c r="AS21" s="56">
        <f t="shared" si="119"/>
        <v>-56.846843769900318</v>
      </c>
      <c r="AT21" s="77">
        <f t="shared" si="11"/>
        <v>-0.18551244476785511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2.117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8"/>
        <v/>
      </c>
      <c r="IK21" s="839" t="str">
        <f t="shared" si="69"/>
        <v/>
      </c>
      <c r="IL21" s="791" t="str">
        <f t="shared" si="228"/>
        <v/>
      </c>
      <c r="IM21" s="830"/>
      <c r="IN21" s="5" t="str">
        <f t="shared" si="229"/>
        <v/>
      </c>
      <c r="IO21" s="852"/>
      <c r="IP21" s="9" t="str">
        <f t="shared" si="230"/>
        <v/>
      </c>
      <c r="IQ21" s="5" t="str">
        <f t="shared" si="231"/>
        <v/>
      </c>
      <c r="IR21" s="5" t="str">
        <f t="shared" si="74"/>
        <v/>
      </c>
      <c r="IS21" s="5" t="str">
        <f t="shared" si="232"/>
        <v/>
      </c>
      <c r="IT21" s="791" t="str">
        <f t="shared" si="233"/>
        <v/>
      </c>
      <c r="IU21" s="9" t="str">
        <f t="shared" si="234"/>
        <v/>
      </c>
      <c r="IV21" s="5" t="str">
        <f t="shared" si="235"/>
        <v/>
      </c>
      <c r="IW21" s="5" t="str">
        <f t="shared" si="79"/>
        <v/>
      </c>
      <c r="IX21" s="5" t="str">
        <f t="shared" si="236"/>
        <v/>
      </c>
      <c r="IY21" s="833" t="str">
        <f t="shared" si="237"/>
        <v/>
      </c>
    </row>
    <row r="22" spans="1:259" ht="15" customHeight="1" x14ac:dyDescent="0.25">
      <c r="A22" s="84">
        <f t="shared" si="82"/>
        <v>0.02</v>
      </c>
      <c r="B22" s="770">
        <v>3.0385004887182956</v>
      </c>
      <c r="C22" s="771">
        <v>1.8676795954551488</v>
      </c>
      <c r="D22" s="772">
        <v>-1.0333030862821084</v>
      </c>
      <c r="E22" s="773">
        <v>-0.14428291619969261</v>
      </c>
      <c r="F22" s="771">
        <v>0.98001765418559605</v>
      </c>
      <c r="G22" s="774">
        <v>0.13692274309797517</v>
      </c>
      <c r="H22" s="773">
        <v>0.314</v>
      </c>
      <c r="I22" s="771">
        <v>0.52</v>
      </c>
      <c r="J22" s="601">
        <v>2.1230000000000002</v>
      </c>
      <c r="K22" s="426" t="str">
        <f t="shared" si="225"/>
        <v>1613</v>
      </c>
      <c r="L22" s="327"/>
      <c r="M22" s="173">
        <f t="shared" si="2"/>
        <v>2.1230000000000002</v>
      </c>
      <c r="N22" s="21">
        <f t="shared" si="3"/>
        <v>3.0385004887182956</v>
      </c>
      <c r="O22" s="5">
        <f t="shared" si="4"/>
        <v>1.8676795954551488</v>
      </c>
      <c r="P22" s="10">
        <f t="shared" si="5"/>
        <v>-1.0333030862821084</v>
      </c>
      <c r="Q22" s="624">
        <f t="shared" si="116"/>
        <v>31.577856457544797</v>
      </c>
      <c r="R22" s="5">
        <f t="shared" si="83"/>
        <v>3.5666107568980427</v>
      </c>
      <c r="S22" s="6">
        <f t="shared" si="84"/>
        <v>-1.0333030862821084</v>
      </c>
      <c r="T22" s="4">
        <f t="shared" si="85"/>
        <v>1.9156484647998424</v>
      </c>
      <c r="U22" s="5">
        <f t="shared" si="86"/>
        <v>-3.0084885325576427</v>
      </c>
      <c r="V22" s="8">
        <f t="shared" si="117"/>
        <v>-1.0333030862821084</v>
      </c>
      <c r="W22" s="624">
        <f t="shared" si="227"/>
        <v>302.48685632630145</v>
      </c>
      <c r="X22" s="5">
        <f t="shared" si="87"/>
        <v>3.5666107568980427</v>
      </c>
      <c r="Y22" s="7">
        <f t="shared" si="226"/>
        <v>-1.0333030862821084</v>
      </c>
      <c r="Z22" s="21">
        <f t="shared" si="7"/>
        <v>0.14428291619969261</v>
      </c>
      <c r="AA22" s="5">
        <f t="shared" si="8"/>
        <v>-0.98001765418559605</v>
      </c>
      <c r="AB22" s="5">
        <f t="shared" si="9"/>
        <v>-0.13692274309797517</v>
      </c>
      <c r="AC22" s="8">
        <f t="shared" si="88"/>
        <v>1</v>
      </c>
      <c r="AD22" s="9">
        <f t="shared" si="118"/>
        <v>0.14428291619969261</v>
      </c>
      <c r="AE22" s="5">
        <f t="shared" si="89"/>
        <v>-0.98001765418559605</v>
      </c>
      <c r="AF22" s="10">
        <f t="shared" si="90"/>
        <v>-0.13692274309797517</v>
      </c>
      <c r="AG22" s="622">
        <f t="shared" si="91"/>
        <v>-82.046429910395133</v>
      </c>
      <c r="AH22" s="623">
        <f t="shared" si="92"/>
        <v>81.704243332698596</v>
      </c>
      <c r="AI22" s="624">
        <f t="shared" si="93"/>
        <v>-82.130182462648136</v>
      </c>
      <c r="AJ22" s="625">
        <f t="shared" si="94"/>
        <v>8.3751950933141739</v>
      </c>
      <c r="AK22" s="4">
        <f t="shared" si="213"/>
        <v>0.91046054674568222</v>
      </c>
      <c r="AL22" s="5">
        <f t="shared" si="95"/>
        <v>-0.39027394896672202</v>
      </c>
      <c r="AM22" s="6">
        <f t="shared" si="96"/>
        <v>-0.13692274309797517</v>
      </c>
      <c r="AN22" s="612">
        <f t="shared" si="97"/>
        <v>-70.667215574279538</v>
      </c>
      <c r="AO22" s="613">
        <f t="shared" si="98"/>
        <v>24.430926546875913</v>
      </c>
      <c r="AP22" s="624">
        <f t="shared" si="99"/>
        <v>-23.202661364230583</v>
      </c>
      <c r="AQ22" s="625">
        <f t="shared" si="10"/>
        <v>3.4729108211685222</v>
      </c>
      <c r="AS22" s="56">
        <f t="shared" si="119"/>
        <v>-57.513143673698551</v>
      </c>
      <c r="AT22" s="77">
        <f t="shared" si="11"/>
        <v>-0.81259721067727764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2.1230000000000002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8"/>
        <v/>
      </c>
      <c r="IK22" s="839" t="str">
        <f t="shared" si="69"/>
        <v/>
      </c>
      <c r="IL22" s="791" t="str">
        <f t="shared" si="228"/>
        <v/>
      </c>
      <c r="IM22" s="830"/>
      <c r="IN22" s="5" t="str">
        <f t="shared" si="229"/>
        <v/>
      </c>
      <c r="IO22" s="852"/>
      <c r="IP22" s="9" t="str">
        <f t="shared" si="230"/>
        <v/>
      </c>
      <c r="IQ22" s="5" t="str">
        <f t="shared" si="231"/>
        <v/>
      </c>
      <c r="IR22" s="5" t="str">
        <f t="shared" si="74"/>
        <v/>
      </c>
      <c r="IS22" s="5" t="str">
        <f t="shared" si="232"/>
        <v/>
      </c>
      <c r="IT22" s="791" t="str">
        <f t="shared" si="233"/>
        <v/>
      </c>
      <c r="IU22" s="9" t="str">
        <f t="shared" si="234"/>
        <v/>
      </c>
      <c r="IV22" s="5" t="str">
        <f t="shared" si="235"/>
        <v/>
      </c>
      <c r="IW22" s="5" t="str">
        <f t="shared" si="79"/>
        <v/>
      </c>
      <c r="IX22" s="5" t="str">
        <f t="shared" si="236"/>
        <v/>
      </c>
      <c r="IY22" s="833" t="str">
        <f t="shared" si="237"/>
        <v/>
      </c>
    </row>
    <row r="23" spans="1:259" ht="15" customHeight="1" x14ac:dyDescent="0.25">
      <c r="A23" s="84">
        <f t="shared" si="82"/>
        <v>0.02</v>
      </c>
      <c r="B23" s="770">
        <v>3.1457933782631851</v>
      </c>
      <c r="C23" s="771">
        <v>1.9228358302778674</v>
      </c>
      <c r="D23" s="772">
        <v>-1.8256054758661155</v>
      </c>
      <c r="E23" s="773">
        <v>-2.5042172658557578E-2</v>
      </c>
      <c r="F23" s="771">
        <v>0.99968639562040962</v>
      </c>
      <c r="G23" s="774">
        <v>1.1339743353153852E-7</v>
      </c>
      <c r="H23" s="773">
        <v>0.314</v>
      </c>
      <c r="I23" s="771">
        <v>0.52</v>
      </c>
      <c r="J23" s="601">
        <v>2.129</v>
      </c>
      <c r="K23" s="426" t="str">
        <f t="shared" si="225"/>
        <v>1613</v>
      </c>
      <c r="L23" s="327"/>
      <c r="M23" s="173">
        <f t="shared" si="2"/>
        <v>2.129</v>
      </c>
      <c r="N23" s="21">
        <f t="shared" si="3"/>
        <v>3.1457933782631851</v>
      </c>
      <c r="O23" s="5">
        <f t="shared" si="4"/>
        <v>1.9228358302778674</v>
      </c>
      <c r="P23" s="10">
        <f t="shared" si="5"/>
        <v>-1.8256054758661155</v>
      </c>
      <c r="Q23" s="624">
        <f t="shared" si="116"/>
        <v>31.434956493438374</v>
      </c>
      <c r="R23" s="5">
        <f t="shared" si="83"/>
        <v>3.6869111202909242</v>
      </c>
      <c r="S23" s="6">
        <f t="shared" si="84"/>
        <v>-1.8256054758661155</v>
      </c>
      <c r="T23" s="4">
        <f t="shared" si="85"/>
        <v>1.9724998930127058</v>
      </c>
      <c r="U23" s="5">
        <f t="shared" si="86"/>
        <v>-3.114892900404401</v>
      </c>
      <c r="V23" s="8">
        <f t="shared" si="117"/>
        <v>-1.8256054758661155</v>
      </c>
      <c r="W23" s="624">
        <f t="shared" si="227"/>
        <v>302.34395636219506</v>
      </c>
      <c r="X23" s="5">
        <f t="shared" si="87"/>
        <v>3.6869111202909242</v>
      </c>
      <c r="Y23" s="7">
        <f t="shared" si="226"/>
        <v>-1.8256054758661155</v>
      </c>
      <c r="Z23" s="21">
        <f t="shared" si="7"/>
        <v>2.5042172658557578E-2</v>
      </c>
      <c r="AA23" s="5">
        <f t="shared" si="8"/>
        <v>-0.99968639562040962</v>
      </c>
      <c r="AB23" s="5">
        <f t="shared" si="9"/>
        <v>-1.1339743353153852E-7</v>
      </c>
      <c r="AC23" s="8">
        <f t="shared" si="88"/>
        <v>1</v>
      </c>
      <c r="AD23" s="9">
        <f t="shared" si="118"/>
        <v>2.5042172658557578E-2</v>
      </c>
      <c r="AE23" s="5">
        <f t="shared" si="89"/>
        <v>-0.99968639562040962</v>
      </c>
      <c r="AF23" s="10">
        <f t="shared" si="90"/>
        <v>-1.1339743353153852E-7</v>
      </c>
      <c r="AG23" s="622">
        <f t="shared" si="91"/>
        <v>-89.999993500767474</v>
      </c>
      <c r="AH23" s="623">
        <f t="shared" si="92"/>
        <v>88.565039190358917</v>
      </c>
      <c r="AI23" s="624">
        <f t="shared" si="93"/>
        <v>-89.999993502805651</v>
      </c>
      <c r="AJ23" s="625">
        <f t="shared" si="94"/>
        <v>1.4349608096410889</v>
      </c>
      <c r="AK23" s="4">
        <f t="shared" si="213"/>
        <v>0.86602544145040472</v>
      </c>
      <c r="AL23" s="5">
        <f t="shared" si="95"/>
        <v>-0.49999993476061461</v>
      </c>
      <c r="AM23" s="6">
        <f t="shared" si="96"/>
        <v>-1.1339743353153852E-7</v>
      </c>
      <c r="AN23" s="612">
        <f t="shared" si="97"/>
        <v>-89.999987005609611</v>
      </c>
      <c r="AO23" s="613">
        <f t="shared" si="98"/>
        <v>29.999995683797945</v>
      </c>
      <c r="AP23" s="624">
        <f t="shared" si="99"/>
        <v>-29.999995683797309</v>
      </c>
      <c r="AQ23" s="625">
        <f t="shared" si="10"/>
        <v>3.3598570429658956</v>
      </c>
      <c r="AS23" s="56">
        <f t="shared" si="119"/>
        <v>-57.656043637804942</v>
      </c>
      <c r="AT23" s="77">
        <f t="shared" si="11"/>
        <v>-1.6043597559524385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2.129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</v>
      </c>
      <c r="B24" s="770">
        <v>3.0739018584798523</v>
      </c>
      <c r="C24" s="771">
        <v>0.66593548858381058</v>
      </c>
      <c r="D24" s="772">
        <v>-0.39020114668665834</v>
      </c>
      <c r="E24" s="773">
        <v>0.4421770833238059</v>
      </c>
      <c r="F24" s="771">
        <v>9.5794250726952232E-2</v>
      </c>
      <c r="G24" s="774">
        <v>0.89179756027414303</v>
      </c>
      <c r="H24" s="773">
        <v>0.25700000000000001</v>
      </c>
      <c r="I24" s="771">
        <v>0.41499999999999992</v>
      </c>
      <c r="J24" s="601">
        <v>2.2170000000000001</v>
      </c>
      <c r="K24" s="426" t="str">
        <f t="shared" si="225"/>
        <v>Knuckle</v>
      </c>
      <c r="L24" s="327"/>
      <c r="M24" s="173">
        <f t="shared" si="2"/>
        <v>2.2170000000000001</v>
      </c>
      <c r="N24" s="21">
        <f t="shared" si="3"/>
        <v>3.0739018584798523</v>
      </c>
      <c r="O24" s="5">
        <f t="shared" si="4"/>
        <v>0.66593548858381058</v>
      </c>
      <c r="P24" s="10">
        <f t="shared" si="5"/>
        <v>-0.39020114668665834</v>
      </c>
      <c r="Q24" s="624">
        <f t="shared" si="116"/>
        <v>12.223759251930693</v>
      </c>
      <c r="R24" s="5">
        <f t="shared" si="83"/>
        <v>3.1452094859518098</v>
      </c>
      <c r="S24" s="6">
        <f t="shared" si="84"/>
        <v>-0.39020114668665834</v>
      </c>
      <c r="T24" s="4">
        <f t="shared" si="85"/>
        <v>0.7146172145681422</v>
      </c>
      <c r="U24" s="5">
        <f t="shared" si="86"/>
        <v>-3.0629503664219104</v>
      </c>
      <c r="V24" s="8">
        <f t="shared" si="117"/>
        <v>-0.39020114668665834</v>
      </c>
      <c r="W24" s="624">
        <f t="shared" si="227"/>
        <v>283.13275912068735</v>
      </c>
      <c r="X24" s="5">
        <f t="shared" si="87"/>
        <v>3.1452094859518098</v>
      </c>
      <c r="Y24" s="7">
        <f t="shared" si="226"/>
        <v>-0.39020114668665834</v>
      </c>
      <c r="Z24" s="21">
        <f t="shared" si="7"/>
        <v>-0.4421770833238059</v>
      </c>
      <c r="AA24" s="5">
        <f t="shared" si="8"/>
        <v>-9.5794250726952232E-2</v>
      </c>
      <c r="AB24" s="5">
        <f t="shared" si="9"/>
        <v>-0.89179756027414303</v>
      </c>
      <c r="AC24" s="8">
        <f t="shared" si="88"/>
        <v>1</v>
      </c>
      <c r="AD24" s="9">
        <f t="shared" si="118"/>
        <v>-0.4421770833238059</v>
      </c>
      <c r="AE24" s="5">
        <f t="shared" si="89"/>
        <v>-9.5794250726952232E-2</v>
      </c>
      <c r="AF24" s="10">
        <f t="shared" si="90"/>
        <v>-0.89179756027414303</v>
      </c>
      <c r="AG24" s="622">
        <f t="shared" si="91"/>
        <v>-6.1310341223710569</v>
      </c>
      <c r="AH24" s="623">
        <f t="shared" si="92"/>
        <v>116.24287032866236</v>
      </c>
      <c r="AI24" s="624">
        <f t="shared" si="93"/>
        <v>-26.899996116124001</v>
      </c>
      <c r="AJ24" s="625">
        <f t="shared" si="94"/>
        <v>-77.776212027036507</v>
      </c>
      <c r="AK24" s="4">
        <f>IF(M24="","",(COS(RADIANS((90-$Q$8)-W24))*AD24)+(-SIN(RADIANS((90-$Q$8)-W24))*AE24))</f>
        <v>2.2679489670995867E-7</v>
      </c>
      <c r="AL24" s="5">
        <f t="shared" si="95"/>
        <v>-0.45243464885995938</v>
      </c>
      <c r="AM24" s="6">
        <f t="shared" si="96"/>
        <v>-0.89179756027414303</v>
      </c>
      <c r="AN24" s="612">
        <f t="shared" si="97"/>
        <v>-26.899996116121095</v>
      </c>
      <c r="AO24" s="613">
        <f t="shared" si="98"/>
        <v>0</v>
      </c>
      <c r="AP24" s="624">
        <f t="shared" si="99"/>
        <v>-89.999971278967195</v>
      </c>
      <c r="AQ24" s="625">
        <f t="shared" si="10"/>
        <v>3.936841054310952</v>
      </c>
      <c r="AS24" s="56">
        <f t="shared" si="119"/>
        <v>-76.867240879312646</v>
      </c>
      <c r="AT24" s="77">
        <f t="shared" si="11"/>
        <v>-9.6379792749507642E-2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2.2170000000000001</v>
      </c>
      <c r="IH24" s="797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2.117</v>
      </c>
      <c r="II24" s="800" cm="1">
        <f t="array" ref="II24">IFERROR(IF($IH24&lt;1,$IH24+LARGE((IF($M$9:$M$150="",0,$M$9:$M$150)-MOD(IF($M$9:$M$150="",0,$M$9:$M$150),1)),1),$IH24),"")</f>
        <v>2.117</v>
      </c>
      <c r="IJ24" s="839" t="str">
        <f t="shared" si="68"/>
        <v>1613</v>
      </c>
      <c r="IK24" s="839" t="str">
        <f t="shared" si="69"/>
        <v>Knuckle</v>
      </c>
      <c r="IL24" s="791">
        <f t="shared" si="228"/>
        <v>20.020397109412329</v>
      </c>
      <c r="IM24" s="830">
        <v>7.7068400031821103E-3</v>
      </c>
      <c r="IN24" s="5">
        <f t="shared" si="229"/>
        <v>0.2</v>
      </c>
      <c r="IO24" s="852">
        <v>100</v>
      </c>
      <c r="IP24" s="9">
        <f t="shared" si="230"/>
        <v>-3.1137093909475237</v>
      </c>
      <c r="IQ24" s="5">
        <f t="shared" si="231"/>
        <v>-0.40370118740278144</v>
      </c>
      <c r="IR24" s="5">
        <f t="shared" si="74"/>
        <v>0.314</v>
      </c>
      <c r="IS24" s="5">
        <f t="shared" si="232"/>
        <v>0.29817271609936996</v>
      </c>
      <c r="IT24" s="791">
        <f t="shared" si="233"/>
        <v>49.062333633727519</v>
      </c>
      <c r="IU24" s="9">
        <f t="shared" si="234"/>
        <v>-3.1452094859518098</v>
      </c>
      <c r="IV24" s="5">
        <f t="shared" si="235"/>
        <v>-0.39020114668665834</v>
      </c>
      <c r="IW24" s="5">
        <f t="shared" si="79"/>
        <v>0.25700000000000001</v>
      </c>
      <c r="IX24" s="5">
        <f t="shared" si="236"/>
        <v>0.25700000000000001</v>
      </c>
      <c r="IY24" s="833">
        <f t="shared" si="237"/>
        <v>26.899996116121095</v>
      </c>
    </row>
    <row r="25" spans="1:259" ht="15" customHeight="1" x14ac:dyDescent="0.25">
      <c r="A25" s="84">
        <f t="shared" si="82"/>
        <v>0</v>
      </c>
      <c r="B25" s="770">
        <v>3.498108371668621</v>
      </c>
      <c r="C25" s="771">
        <v>0.82688935562731947</v>
      </c>
      <c r="D25" s="772">
        <v>-1.0362030950285341</v>
      </c>
      <c r="E25" s="773">
        <v>0.74331137929035329</v>
      </c>
      <c r="F25" s="771">
        <v>0.17570555779419242</v>
      </c>
      <c r="G25" s="774">
        <v>0.64545778357511852</v>
      </c>
      <c r="H25" s="773">
        <v>0.25700000000000001</v>
      </c>
      <c r="I25" s="771">
        <v>0.41499999999999992</v>
      </c>
      <c r="J25" s="601">
        <v>2.2229999999999999</v>
      </c>
      <c r="K25" s="426" t="str">
        <f t="shared" si="225"/>
        <v>Knuckle</v>
      </c>
      <c r="L25" s="327"/>
      <c r="M25" s="173">
        <f t="shared" si="2"/>
        <v>2.2229999999999999</v>
      </c>
      <c r="N25" s="21">
        <f t="shared" si="3"/>
        <v>3.498108371668621</v>
      </c>
      <c r="O25" s="5">
        <f t="shared" si="4"/>
        <v>0.82688935562731947</v>
      </c>
      <c r="P25" s="10">
        <f t="shared" si="5"/>
        <v>-1.0362030950285341</v>
      </c>
      <c r="Q25" s="624">
        <f t="shared" si="116"/>
        <v>13.299559096604415</v>
      </c>
      <c r="R25" s="5">
        <f>IF(M25="","",SQRT(N25^2+O25^2))</f>
        <v>3.5945108410446971</v>
      </c>
      <c r="S25" s="6">
        <f>IF(M25="","",P25)</f>
        <v>-1.0362030950285341</v>
      </c>
      <c r="T25" s="4">
        <f>IF(M25="","",X25*COS(RADIANS(W25)))</f>
        <v>0.88228059726861263</v>
      </c>
      <c r="U25" s="5">
        <f>IF(M25="","",X25*SIN(RADIANS(W25)))</f>
        <v>-3.4845500619263885</v>
      </c>
      <c r="V25" s="8">
        <f>IF(M25="","",Y25)</f>
        <v>-1.0362030950285341</v>
      </c>
      <c r="W25" s="624">
        <f t="shared" si="227"/>
        <v>284.20855896536108</v>
      </c>
      <c r="X25" s="5">
        <f>IF(M25="","",R25)</f>
        <v>3.5945108410446971</v>
      </c>
      <c r="Y25" s="7">
        <f t="shared" si="226"/>
        <v>-1.0362030950285341</v>
      </c>
      <c r="Z25" s="21">
        <f t="shared" si="7"/>
        <v>-0.74331137929035329</v>
      </c>
      <c r="AA25" s="5">
        <f t="shared" si="8"/>
        <v>-0.17570555779419242</v>
      </c>
      <c r="AB25" s="5">
        <f t="shared" si="9"/>
        <v>-0.64545778357511852</v>
      </c>
      <c r="AC25" s="8">
        <f>IF(M25="","",SQRT(Z25^2+AA25^2+AB25^2))</f>
        <v>1</v>
      </c>
      <c r="AD25" s="9">
        <f>IF(M25="","",Z25*(1/SQRT(Z25^2+AA25^2+AB25^2)))</f>
        <v>-0.74331137929035329</v>
      </c>
      <c r="AE25" s="5">
        <f>IF(M25="","",AA25*(1/SQRT(Z25^2+AA25^2+AB25^2)))</f>
        <v>-0.17570555779419242</v>
      </c>
      <c r="AF25" s="10">
        <f>IF(M25="","",AB25*(1/SQRT(Z25^2+AA25^2+AB25^2)))</f>
        <v>-0.64545778357511852</v>
      </c>
      <c r="AG25" s="622">
        <f>IF(M25="","",DEGREES(ATAN2(-AF25,AE25)))</f>
        <v>-15.227983456485958</v>
      </c>
      <c r="AH25" s="623">
        <f>IF(M25="","",DEGREES(ACOS(AD25)))</f>
        <v>138.0142635084143</v>
      </c>
      <c r="AI25" s="624">
        <f>IF(M25="","",DEGREES(-ACOS(-AF25)))</f>
        <v>-49.799992809771886</v>
      </c>
      <c r="AJ25" s="625">
        <f>IF(M25="","",DEGREES(ATAN2(-AE25,AD25)))</f>
        <v>-76.700423890487315</v>
      </c>
      <c r="AK25" s="4">
        <f>IF(M25="","",(COS(RADIANS((90-$Q$8)-W25))*AD25)+(-SIN(RADIANS((90-$Q$8)-W25))*AE25))</f>
        <v>2.2679489658505858E-7</v>
      </c>
      <c r="AL25" s="5">
        <f>IF(M25="","",(SIN(RADIANS((90-$Q$8)-W25))*AD25)+(COS(RADIANS((90-$Q$8)-W25))*AE25))</f>
        <v>-0.76379594763408132</v>
      </c>
      <c r="AM25" s="6">
        <f>IF(M25="","",AF25)</f>
        <v>-0.64545778357511852</v>
      </c>
      <c r="AN25" s="612">
        <f>IF(M25="","",DEGREES(ATAN2(-AM25,AL25)))</f>
        <v>-49.79999280977065</v>
      </c>
      <c r="AO25" s="613">
        <f>IF(ROUND(IF(M25="",0,DEGREES(ACOS(AK25))),4)=90,0,IF(M25="","",DEGREES(ACOS(AK25))))</f>
        <v>0</v>
      </c>
      <c r="AP25" s="624">
        <f>IF(M25="","",DEGREES(ATAN2(AK25,AL25)))</f>
        <v>-89.999982987091741</v>
      </c>
      <c r="AQ25" s="625">
        <f t="shared" si="10"/>
        <v>3.4460197919678413</v>
      </c>
      <c r="AS25" s="56">
        <f t="shared" si="119"/>
        <v>-75.791441034638922</v>
      </c>
      <c r="AT25" s="77">
        <f t="shared" si="11"/>
        <v>-0.74644587383792871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2.2229999999999999</v>
      </c>
      <c r="IH25" s="797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2.1230000000000002</v>
      </c>
      <c r="II25" s="800" cm="1">
        <f t="array" ref="II25">IFERROR(IF($IH25&lt;1,$IH25+LARGE((IF($M$9:$M$150="",0,$M$9:$M$150)-MOD(IF($M$9:$M$150="",0,$M$9:$M$150),1)),1),$IH25),"")</f>
        <v>2.1230000000000002</v>
      </c>
      <c r="IJ25" s="839" t="str">
        <f t="shared" si="68"/>
        <v>1613</v>
      </c>
      <c r="IK25" s="839" t="str">
        <f t="shared" si="69"/>
        <v>Knuckle</v>
      </c>
      <c r="IL25" s="791">
        <f t="shared" si="228"/>
        <v>18.278297360940371</v>
      </c>
      <c r="IM25" s="830">
        <v>2.6720288610227799E-3</v>
      </c>
      <c r="IN25" s="5">
        <f t="shared" si="229"/>
        <v>0.1</v>
      </c>
      <c r="IO25" s="852">
        <v>50</v>
      </c>
      <c r="IP25" s="9">
        <f t="shared" si="230"/>
        <v>-3.5666107568980427</v>
      </c>
      <c r="IQ25" s="5">
        <f t="shared" si="231"/>
        <v>-1.0333030862821084</v>
      </c>
      <c r="IR25" s="5">
        <f t="shared" si="74"/>
        <v>0.314</v>
      </c>
      <c r="IS25" s="5">
        <f t="shared" si="232"/>
        <v>0.28588461167814422</v>
      </c>
      <c r="IT25" s="791">
        <f t="shared" si="233"/>
        <v>70.667215574279538</v>
      </c>
      <c r="IU25" s="9">
        <f t="shared" si="234"/>
        <v>-3.5945108410446971</v>
      </c>
      <c r="IV25" s="5">
        <f t="shared" si="235"/>
        <v>-1.0362030950285341</v>
      </c>
      <c r="IW25" s="5">
        <f t="shared" si="79"/>
        <v>0.25700000000000001</v>
      </c>
      <c r="IX25" s="5">
        <f t="shared" si="236"/>
        <v>0.25700000000000001</v>
      </c>
      <c r="IY25" s="833">
        <f t="shared" si="237"/>
        <v>49.79999280977065</v>
      </c>
    </row>
    <row r="26" spans="1:259" ht="15" customHeight="1" x14ac:dyDescent="0.25">
      <c r="A26" s="84">
        <f t="shared" si="82"/>
        <v>0</v>
      </c>
      <c r="B26" s="770">
        <v>3.6090590271785929</v>
      </c>
      <c r="C26" s="771">
        <v>0.82660867114899905</v>
      </c>
      <c r="D26" s="772">
        <v>-1.8385055147726317</v>
      </c>
      <c r="E26" s="773">
        <v>0.97475974411225386</v>
      </c>
      <c r="F26" s="771">
        <v>0.22325644729360483</v>
      </c>
      <c r="G26" s="774">
        <v>2.2679489701100133E-7</v>
      </c>
      <c r="H26" s="773">
        <v>0.25700000000000001</v>
      </c>
      <c r="I26" s="771">
        <v>0.41499999999999992</v>
      </c>
      <c r="J26" s="601">
        <v>2.2290000000000001</v>
      </c>
      <c r="K26" s="426" t="str">
        <f t="shared" si="225"/>
        <v>Knuckle</v>
      </c>
      <c r="L26" s="327"/>
      <c r="M26" s="173">
        <f t="shared" si="2"/>
        <v>2.2290000000000001</v>
      </c>
      <c r="N26" s="21">
        <f t="shared" si="3"/>
        <v>3.6090590271785929</v>
      </c>
      <c r="O26" s="5">
        <f t="shared" si="4"/>
        <v>0.82660867114899905</v>
      </c>
      <c r="P26" s="10">
        <f t="shared" si="5"/>
        <v>-1.8385055147726317</v>
      </c>
      <c r="Q26" s="624">
        <f t="shared" si="116"/>
        <v>12.900359154241766</v>
      </c>
      <c r="R26" s="5">
        <f>IF(M26="","",SQRT(N26^2+O26^2))</f>
        <v>3.7025111690416286</v>
      </c>
      <c r="S26" s="6">
        <f>IF(M26="","",P26)</f>
        <v>-1.8385055147726317</v>
      </c>
      <c r="T26" s="4">
        <f>IF(M26="","",X26*COS(RADIANS(W26)))</f>
        <v>0.88376011092813955</v>
      </c>
      <c r="U26" s="5">
        <f>IF(M26="","",X26*SIN(RADIANS(W26)))</f>
        <v>-3.5954912075000669</v>
      </c>
      <c r="V26" s="8">
        <f>IF(M26="","",Y26)</f>
        <v>-1.8385055147726317</v>
      </c>
      <c r="W26" s="624">
        <f t="shared" si="227"/>
        <v>283.80935902299842</v>
      </c>
      <c r="X26" s="5">
        <f>IF(M26="","",R26)</f>
        <v>3.7025111690416286</v>
      </c>
      <c r="Y26" s="7">
        <f t="shared" si="226"/>
        <v>-1.8385055147726317</v>
      </c>
      <c r="Z26" s="21">
        <f t="shared" si="7"/>
        <v>-0.97475974411225386</v>
      </c>
      <c r="AA26" s="5">
        <f t="shared" si="8"/>
        <v>-0.22325644729360483</v>
      </c>
      <c r="AB26" s="5">
        <f t="shared" si="9"/>
        <v>-2.2679489701100133E-7</v>
      </c>
      <c r="AC26" s="8">
        <f>IF(M26="","",SQRT(Z26^2+AA26^2+AB26^2))</f>
        <v>1</v>
      </c>
      <c r="AD26" s="9">
        <f>IF(M26="","",Z26*(1/SQRT(Z26^2+AA26^2+AB26^2)))</f>
        <v>-0.97475974411225386</v>
      </c>
      <c r="AE26" s="5">
        <f>IF(M26="","",AA26*(1/SQRT(Z26^2+AA26^2+AB26^2)))</f>
        <v>-0.22325644729360483</v>
      </c>
      <c r="AF26" s="10">
        <f>IF(M26="","",AB26*(1/SQRT(Z26^2+AA26^2+AB26^2)))</f>
        <v>-2.2679489701100133E-7</v>
      </c>
      <c r="AG26" s="622">
        <f>IF(M26="","",DEGREES(ATAN2(-AF26,AE26)))</f>
        <v>-89.99994179612473</v>
      </c>
      <c r="AH26" s="623">
        <f>IF(M26="","",DEGREES(ACOS(AD26)))</f>
        <v>167.09962785136142</v>
      </c>
      <c r="AI26" s="624">
        <f>IF(M26="","",DEGREES(-ACOS(-AF26)))</f>
        <v>-89.999987005609583</v>
      </c>
      <c r="AJ26" s="625">
        <f>IF(M26="","",DEGREES(ATAN2(-AE26,AD26)))</f>
        <v>-77.099627851367856</v>
      </c>
      <c r="AK26" s="4">
        <f>IF(M26="","",(COS(RADIANS((90-$Q$8)-W26))*AD26)+(-SIN(RADIANS((90-$Q$8)-W26))*AE26))</f>
        <v>2.2679489672383646E-7</v>
      </c>
      <c r="AL26" s="5">
        <f>IF(M26="","",(SIN(RADIANS((90-$Q$8)-W26))*AD26)+(COS(RADIANS((90-$Q$8)-W26))*AE26))</f>
        <v>-0.9999999999999486</v>
      </c>
      <c r="AM26" s="6">
        <f>IF(M26="","",AF26)</f>
        <v>-2.2679489701100133E-7</v>
      </c>
      <c r="AN26" s="612">
        <f>IF(M26="","",DEGREES(ATAN2(-AM26,AL26)))</f>
        <v>-89.999987005609597</v>
      </c>
      <c r="AO26" s="613">
        <f t="shared" si="98"/>
        <v>0</v>
      </c>
      <c r="AP26" s="624">
        <f>IF(M26="","",DEGREES(ATAN2(AK26,AL26)))</f>
        <v>-89.999987005609611</v>
      </c>
      <c r="AQ26" s="625">
        <f t="shared" si="10"/>
        <v>3.3457329493778745</v>
      </c>
      <c r="AS26" s="56">
        <f t="shared" si="119"/>
        <v>-76.190640977001578</v>
      </c>
      <c r="AT26" s="77">
        <f t="shared" si="11"/>
        <v>-1.5472402049108784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>
        <f>IFERROR(IF((((($IW26*COS(RADIANS(180-$IY26)))*COS(RADIANS($IY26)))-(($IX26*SIN(RADIANS(180-$IY26)))*SIN(RADIANS($IY26))))+$IU26)&lt;(((Settings!$C$19/2)*-1)+$IF$8),1,""),"")</f>
        <v>1</v>
      </c>
      <c r="IG26" s="836">
        <f t="shared" si="67"/>
        <v>2.2290000000000001</v>
      </c>
      <c r="IH26" s="797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2.129</v>
      </c>
      <c r="II26" s="800" cm="1">
        <f t="array" ref="II26">IFERROR(IF($IH26&lt;1,$IH26+LARGE((IF($M$9:$M$150="",0,$M$9:$M$150)-MOD(IF($M$9:$M$150="",0,$M$9:$M$150),1)),1),$IH26),"")</f>
        <v>2.129</v>
      </c>
      <c r="IJ26" s="839" t="str">
        <f t="shared" si="68"/>
        <v>1613</v>
      </c>
      <c r="IK26" s="839" t="str">
        <f t="shared" si="69"/>
        <v>Knuckle</v>
      </c>
      <c r="IL26" s="791">
        <f t="shared" si="228"/>
        <v>18.534597339196637</v>
      </c>
      <c r="IM26" s="830">
        <v>3.7231743499857597E-5</v>
      </c>
      <c r="IN26" s="5">
        <f t="shared" si="229"/>
        <v>0</v>
      </c>
      <c r="IO26" s="852">
        <v>0</v>
      </c>
      <c r="IP26" s="9">
        <f t="shared" si="230"/>
        <v>-3.6869111202909242</v>
      </c>
      <c r="IQ26" s="5">
        <f t="shared" si="231"/>
        <v>-1.8256054758661155</v>
      </c>
      <c r="IR26" s="5">
        <f t="shared" si="74"/>
        <v>0.314</v>
      </c>
      <c r="IS26" s="5">
        <f t="shared" si="232"/>
        <v>0.27193198861542706</v>
      </c>
      <c r="IT26" s="791">
        <f t="shared" si="233"/>
        <v>89.999987005609611</v>
      </c>
      <c r="IU26" s="9">
        <f t="shared" si="234"/>
        <v>-3.7025111690416286</v>
      </c>
      <c r="IV26" s="5">
        <f t="shared" si="235"/>
        <v>-1.8385055147726317</v>
      </c>
      <c r="IW26" s="5">
        <f t="shared" si="79"/>
        <v>0.25700000000000001</v>
      </c>
      <c r="IX26" s="5">
        <f t="shared" si="236"/>
        <v>0.25700000000000001</v>
      </c>
      <c r="IY26" s="833">
        <f t="shared" si="237"/>
        <v>89.999987005609597</v>
      </c>
    </row>
    <row r="27" spans="1:259" ht="15" customHeight="1" x14ac:dyDescent="0.25">
      <c r="A27" s="84">
        <f t="shared" si="82"/>
        <v>0.02</v>
      </c>
      <c r="B27" s="770">
        <v>0.69914417297184839</v>
      </c>
      <c r="C27" s="771">
        <v>-0.40365164024502692</v>
      </c>
      <c r="D27" s="772">
        <v>-0.37940114427385113</v>
      </c>
      <c r="E27" s="773">
        <v>0.42495075868149662</v>
      </c>
      <c r="F27" s="771">
        <v>0.87000969481008184</v>
      </c>
      <c r="G27" s="774">
        <v>0.2499999672649757</v>
      </c>
      <c r="H27" s="773">
        <v>0.314</v>
      </c>
      <c r="I27" s="771">
        <v>0.52</v>
      </c>
      <c r="J27" s="601">
        <v>3.1030000000000002</v>
      </c>
      <c r="K27" s="426" t="str">
        <f t="shared" si="225"/>
        <v>1613</v>
      </c>
      <c r="L27" s="327"/>
      <c r="M27" s="173">
        <f t="shared" si="2"/>
        <v>3.1030000000000002</v>
      </c>
      <c r="N27" s="21">
        <f t="shared" si="3"/>
        <v>0.69914417297184839</v>
      </c>
      <c r="O27" s="5">
        <f t="shared" si="4"/>
        <v>-0.40365164024502692</v>
      </c>
      <c r="P27" s="10">
        <f t="shared" si="5"/>
        <v>-0.37940114427385113</v>
      </c>
      <c r="Q27" s="624">
        <f t="shared" si="116"/>
        <v>329.99996534829228</v>
      </c>
      <c r="R27" s="5">
        <f t="shared" si="83"/>
        <v>0.80730243482414354</v>
      </c>
      <c r="S27" s="6">
        <f t="shared" si="84"/>
        <v>-0.37940114427385113</v>
      </c>
      <c r="T27" s="4">
        <f t="shared" si="85"/>
        <v>-0.39250935645391954</v>
      </c>
      <c r="U27" s="5">
        <f t="shared" si="86"/>
        <v>-0.70545986871623001</v>
      </c>
      <c r="V27" s="8">
        <f t="shared" si="117"/>
        <v>-0.37940114427385113</v>
      </c>
      <c r="W27" s="624">
        <f t="shared" si="227"/>
        <v>240.90896521704894</v>
      </c>
      <c r="X27" s="5">
        <f t="shared" si="87"/>
        <v>0.80730243482414354</v>
      </c>
      <c r="Y27" s="7">
        <f t="shared" si="226"/>
        <v>-0.37940114427385113</v>
      </c>
      <c r="Z27" s="21">
        <f t="shared" si="7"/>
        <v>-0.42495075868149662</v>
      </c>
      <c r="AA27" s="5">
        <f t="shared" si="8"/>
        <v>-0.87000969481008184</v>
      </c>
      <c r="AB27" s="5">
        <f t="shared" si="9"/>
        <v>-0.2499999672649757</v>
      </c>
      <c r="AC27" s="8">
        <f t="shared" si="88"/>
        <v>1</v>
      </c>
      <c r="AD27" s="9">
        <f t="shared" si="118"/>
        <v>-0.42495075868149662</v>
      </c>
      <c r="AE27" s="5">
        <f t="shared" si="89"/>
        <v>-0.87000969481008184</v>
      </c>
      <c r="AF27" s="10">
        <f t="shared" si="90"/>
        <v>-0.2499999672649757</v>
      </c>
      <c r="AG27" s="622">
        <f t="shared" si="91"/>
        <v>-73.967832110835701</v>
      </c>
      <c r="AH27" s="623">
        <f t="shared" si="92"/>
        <v>115.14754663787646</v>
      </c>
      <c r="AI27" s="624">
        <f t="shared" si="93"/>
        <v>-75.522489751159455</v>
      </c>
      <c r="AJ27" s="625">
        <f t="shared" si="94"/>
        <v>-26.03290500662116</v>
      </c>
      <c r="AK27" s="4">
        <f t="shared" si="213"/>
        <v>0.96592583607220761</v>
      </c>
      <c r="AL27" s="5">
        <f t="shared" si="95"/>
        <v>6.6987279208207129E-2</v>
      </c>
      <c r="AM27" s="6">
        <f t="shared" si="96"/>
        <v>-0.2499999672649757</v>
      </c>
      <c r="AN27" s="612">
        <f t="shared" si="97"/>
        <v>14.999997834268251</v>
      </c>
      <c r="AO27" s="613">
        <f t="shared" si="98"/>
        <v>14.999997834268203</v>
      </c>
      <c r="AP27" s="624">
        <f t="shared" si="99"/>
        <v>3.9671296450865663</v>
      </c>
      <c r="AQ27" s="625">
        <f t="shared" si="10"/>
        <v>15.008918297592054</v>
      </c>
      <c r="AS27" s="56">
        <f t="shared" si="119"/>
        <v>-119.09103478295106</v>
      </c>
      <c r="AT27" s="77">
        <f t="shared" si="11"/>
        <v>7.3932319965933579E-2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3.1030000000000002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8"/>
        <v/>
      </c>
      <c r="IK27" s="839" t="str">
        <f t="shared" si="69"/>
        <v/>
      </c>
      <c r="IL27" s="791" t="str">
        <f t="shared" si="228"/>
        <v/>
      </c>
      <c r="IM27" s="830"/>
      <c r="IN27" s="5" t="str">
        <f t="shared" si="229"/>
        <v/>
      </c>
      <c r="IO27" s="852"/>
      <c r="IP27" s="9" t="str">
        <f t="shared" si="230"/>
        <v/>
      </c>
      <c r="IQ27" s="5" t="str">
        <f t="shared" si="231"/>
        <v/>
      </c>
      <c r="IR27" s="5" t="str">
        <f t="shared" si="74"/>
        <v/>
      </c>
      <c r="IS27" s="5" t="str">
        <f t="shared" si="232"/>
        <v/>
      </c>
      <c r="IT27" s="791" t="str">
        <f t="shared" si="233"/>
        <v/>
      </c>
      <c r="IU27" s="9" t="str">
        <f t="shared" si="234"/>
        <v/>
      </c>
      <c r="IV27" s="5" t="str">
        <f t="shared" si="235"/>
        <v/>
      </c>
      <c r="IW27" s="5" t="str">
        <f t="shared" si="79"/>
        <v/>
      </c>
      <c r="IX27" s="5" t="str">
        <f t="shared" si="236"/>
        <v/>
      </c>
      <c r="IY27" s="833" t="str">
        <f t="shared" si="237"/>
        <v/>
      </c>
    </row>
    <row r="28" spans="1:259" ht="15" customHeight="1" x14ac:dyDescent="0.25">
      <c r="A28" s="84">
        <f t="shared" si="82"/>
        <v>0.02</v>
      </c>
      <c r="B28" s="770">
        <v>1.283366468384717</v>
      </c>
      <c r="C28" s="771">
        <v>-0.7409530108746506</v>
      </c>
      <c r="D28" s="772">
        <v>-0.17470052689678911</v>
      </c>
      <c r="E28" s="773">
        <v>0.42495075868149673</v>
      </c>
      <c r="F28" s="771">
        <v>0.87000969481008172</v>
      </c>
      <c r="G28" s="774">
        <v>0.2499999672649757</v>
      </c>
      <c r="H28" s="773">
        <v>0.28999999999999998</v>
      </c>
      <c r="I28" s="771">
        <v>0.52</v>
      </c>
      <c r="J28" s="601">
        <v>3.1059999999999999</v>
      </c>
      <c r="K28" s="426" t="str">
        <f t="shared" si="225"/>
        <v>1513</v>
      </c>
      <c r="L28" s="327"/>
      <c r="M28" s="173">
        <f t="shared" si="2"/>
        <v>3.1059999999999999</v>
      </c>
      <c r="N28" s="21">
        <f t="shared" si="3"/>
        <v>1.283366468384717</v>
      </c>
      <c r="O28" s="5">
        <f t="shared" si="4"/>
        <v>-0.7409530108746506</v>
      </c>
      <c r="P28" s="10">
        <f t="shared" si="5"/>
        <v>-0.17470052689678911</v>
      </c>
      <c r="Q28" s="624">
        <f t="shared" si="116"/>
        <v>329.99996534829228</v>
      </c>
      <c r="R28" s="5">
        <f t="shared" si="83"/>
        <v>1.4819044694238799</v>
      </c>
      <c r="S28" s="6">
        <f t="shared" si="84"/>
        <v>-0.17470052689678911</v>
      </c>
      <c r="T28" s="4">
        <f t="shared" si="85"/>
        <v>-0.72049995705321856</v>
      </c>
      <c r="U28" s="5">
        <f t="shared" si="86"/>
        <v>-1.2949597168965454</v>
      </c>
      <c r="V28" s="8">
        <f t="shared" si="117"/>
        <v>-0.17470052689678911</v>
      </c>
      <c r="W28" s="624">
        <f t="shared" si="227"/>
        <v>240.90896521704894</v>
      </c>
      <c r="X28" s="5">
        <f t="shared" si="87"/>
        <v>1.4819044694238799</v>
      </c>
      <c r="Y28" s="7">
        <f t="shared" si="226"/>
        <v>-0.17470052689678911</v>
      </c>
      <c r="Z28" s="21">
        <f t="shared" si="7"/>
        <v>-0.42495075868149673</v>
      </c>
      <c r="AA28" s="5">
        <f t="shared" si="8"/>
        <v>-0.87000969481008172</v>
      </c>
      <c r="AB28" s="5">
        <f t="shared" si="9"/>
        <v>-0.2499999672649757</v>
      </c>
      <c r="AC28" s="8">
        <f t="shared" si="88"/>
        <v>1</v>
      </c>
      <c r="AD28" s="9">
        <f t="shared" si="118"/>
        <v>-0.42495075868149673</v>
      </c>
      <c r="AE28" s="5">
        <f t="shared" si="89"/>
        <v>-0.87000969481008172</v>
      </c>
      <c r="AF28" s="10">
        <f t="shared" si="90"/>
        <v>-0.2499999672649757</v>
      </c>
      <c r="AG28" s="622">
        <f t="shared" si="91"/>
        <v>-73.967832110835701</v>
      </c>
      <c r="AH28" s="623">
        <f t="shared" si="92"/>
        <v>115.14754663787647</v>
      </c>
      <c r="AI28" s="624">
        <f t="shared" si="93"/>
        <v>-75.522489751159455</v>
      </c>
      <c r="AJ28" s="625">
        <f t="shared" si="94"/>
        <v>-26.032905006621167</v>
      </c>
      <c r="AK28" s="4">
        <f t="shared" si="213"/>
        <v>0.9659258360722075</v>
      </c>
      <c r="AL28" s="5">
        <f t="shared" si="95"/>
        <v>6.6987279208206962E-2</v>
      </c>
      <c r="AM28" s="6">
        <f t="shared" si="96"/>
        <v>-0.2499999672649757</v>
      </c>
      <c r="AN28" s="612">
        <f t="shared" si="97"/>
        <v>14.999997834268218</v>
      </c>
      <c r="AO28" s="613">
        <f t="shared" si="98"/>
        <v>14.99999783426823</v>
      </c>
      <c r="AP28" s="624">
        <f t="shared" si="99"/>
        <v>3.967129645086557</v>
      </c>
      <c r="AQ28" s="625">
        <f t="shared" si="10"/>
        <v>8.3100033325663496</v>
      </c>
      <c r="AS28" s="56">
        <f t="shared" si="119"/>
        <v>-119.09103478295106</v>
      </c>
      <c r="AT28" s="77">
        <f t="shared" si="11"/>
        <v>0.2786329373429956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3.1059999999999999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1.948826035481696</v>
      </c>
      <c r="C29" s="771">
        <v>-1.1509278312086666</v>
      </c>
      <c r="D29" s="772">
        <v>-6.4500194532586666E-2</v>
      </c>
      <c r="E29" s="773">
        <v>0.54072642560476181</v>
      </c>
      <c r="F29" s="771">
        <v>0.80059624759117443</v>
      </c>
      <c r="G29" s="774">
        <v>0.25818710462691369</v>
      </c>
      <c r="H29" s="773">
        <v>0.314</v>
      </c>
      <c r="I29" s="771">
        <v>0.52</v>
      </c>
      <c r="J29" s="601">
        <v>3.11</v>
      </c>
      <c r="K29" s="426" t="str">
        <f t="shared" si="225"/>
        <v>1613</v>
      </c>
      <c r="L29" s="327"/>
      <c r="M29" s="173">
        <f t="shared" si="2"/>
        <v>3.11</v>
      </c>
      <c r="N29" s="21">
        <f t="shared" si="3"/>
        <v>1.948826035481696</v>
      </c>
      <c r="O29" s="5">
        <f t="shared" si="4"/>
        <v>-1.1509278312086666</v>
      </c>
      <c r="P29" s="10">
        <f t="shared" si="5"/>
        <v>-6.4500194532586666E-2</v>
      </c>
      <c r="Q29" s="624">
        <f t="shared" si="116"/>
        <v>329.43496542986816</v>
      </c>
      <c r="R29" s="5">
        <f>IF(M29="","",SQRT(N29^2+O29^2))</f>
        <v>2.263306826133388</v>
      </c>
      <c r="S29" s="6">
        <f>IF(M29="","",P29)</f>
        <v>-6.4500194532586666E-2</v>
      </c>
      <c r="T29" s="4">
        <f>IF(M29="","",X29*COS(RADIANS(W29)))</f>
        <v>-1.1198660830642053</v>
      </c>
      <c r="U29" s="5">
        <f>IF(M29="","",X29*SIN(RADIANS(W29)))</f>
        <v>-1.9668395321490832</v>
      </c>
      <c r="V29" s="8">
        <f>IF(M29="","",Y29)</f>
        <v>-6.4500194532586666E-2</v>
      </c>
      <c r="W29" s="624">
        <f t="shared" si="227"/>
        <v>240.34396529862482</v>
      </c>
      <c r="X29" s="5">
        <f>IF(M29="","",R29)</f>
        <v>2.263306826133388</v>
      </c>
      <c r="Y29" s="7">
        <f t="shared" si="226"/>
        <v>-6.4500194532586666E-2</v>
      </c>
      <c r="Z29" s="21">
        <f t="shared" si="7"/>
        <v>-0.54072642560476181</v>
      </c>
      <c r="AA29" s="5">
        <f t="shared" si="8"/>
        <v>-0.80059624759117443</v>
      </c>
      <c r="AB29" s="5">
        <f t="shared" si="9"/>
        <v>-0.25818710462691369</v>
      </c>
      <c r="AC29" s="8">
        <f>IF(M29="","",SQRT(Z29^2+AA29^2+AB29^2))</f>
        <v>1</v>
      </c>
      <c r="AD29" s="9">
        <f>IF(M29="","",Z29*(1/SQRT(Z29^2+AA29^2+AB29^2)))</f>
        <v>-0.54072642560476181</v>
      </c>
      <c r="AE29" s="5">
        <f>IF(M29="","",AA29*(1/SQRT(Z29^2+AA29^2+AB29^2)))</f>
        <v>-0.80059624759117443</v>
      </c>
      <c r="AF29" s="10">
        <f>IF(M29="","",AB29*(1/SQRT(Z29^2+AA29^2+AB29^2)))</f>
        <v>-0.25818710462691369</v>
      </c>
      <c r="AG29" s="622">
        <f>IF(M29="","",DEGREES(ATAN2(-AF29,AE29)))</f>
        <v>-72.125824761501804</v>
      </c>
      <c r="AH29" s="623">
        <f>IF(M29="","",DEGREES(ACOS(AD29)))</f>
        <v>122.7331034856075</v>
      </c>
      <c r="AI29" s="624">
        <f>IF(M29="","",DEGREES(-ACOS(-AF29)))</f>
        <v>-75.037481502924763</v>
      </c>
      <c r="AJ29" s="625">
        <f>IF(M29="","",DEGREES(ATAN2(-AE29,AD29)))</f>
        <v>-34.035274549567959</v>
      </c>
      <c r="AK29" s="4">
        <f>IF(M29="","",(COS(RADIANS((90-$Q$8)-W29))*AD29)+(-SIN(RADIANS((90-$Q$8)-W29))*AE29))</f>
        <v>0.96432347497568349</v>
      </c>
      <c r="AL29" s="5">
        <f>IF(M29="","",(SIN(RADIANS((90-$Q$8)-W29))*AD29)+(COS(RADIANS((90-$Q$8)-W29))*AE29))</f>
        <v>-5.8477813016505786E-2</v>
      </c>
      <c r="AM29" s="6">
        <f>IF(M29="","",AF29)</f>
        <v>-0.25818710462691369</v>
      </c>
      <c r="AN29" s="612">
        <f>IF(M29="","",DEGREES(ATAN2(-AM29,AL29)))</f>
        <v>-12.761828988183282</v>
      </c>
      <c r="AO29" s="613">
        <f t="shared" si="98"/>
        <v>15.350715017630963</v>
      </c>
      <c r="AP29" s="624">
        <f>IF(M29="","",DEGREES(ATAN2(AK29,AL29)))</f>
        <v>-3.4702399794361316</v>
      </c>
      <c r="AQ29" s="625">
        <f t="shared" si="10"/>
        <v>5.462852043780055</v>
      </c>
      <c r="AS29" s="56">
        <f t="shared" si="119"/>
        <v>-119.65603470137518</v>
      </c>
      <c r="AT29" s="77">
        <f t="shared" si="11"/>
        <v>0.39096771384346696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3.11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2.5628477512823231</v>
      </c>
      <c r="C30" s="771">
        <v>-1.576497771828681</v>
      </c>
      <c r="D30" s="772">
        <v>-0.31550095155086993</v>
      </c>
      <c r="E30" s="773">
        <v>0.67904308753029707</v>
      </c>
      <c r="F30" s="771">
        <v>0.70389054562942599</v>
      </c>
      <c r="G30" s="774">
        <v>0.20841925307137604</v>
      </c>
      <c r="H30" s="773">
        <v>0.314</v>
      </c>
      <c r="I30" s="771">
        <v>0.52</v>
      </c>
      <c r="J30" s="601">
        <v>3.1160000000000001</v>
      </c>
      <c r="K30" s="426" t="str">
        <f t="shared" si="225"/>
        <v>1613</v>
      </c>
      <c r="L30" s="327"/>
      <c r="M30" s="173">
        <f t="shared" si="2"/>
        <v>3.1160000000000001</v>
      </c>
      <c r="N30" s="21">
        <f t="shared" si="3"/>
        <v>2.5628477512823231</v>
      </c>
      <c r="O30" s="5">
        <f t="shared" si="4"/>
        <v>-1.576497771828681</v>
      </c>
      <c r="P30" s="10">
        <f t="shared" si="5"/>
        <v>-0.31550095155086993</v>
      </c>
      <c r="Q30" s="624">
        <f t="shared" si="116"/>
        <v>328.40286557888493</v>
      </c>
      <c r="R30" s="5">
        <f>IF(M30="","",SQRT(N30^2+O30^2))</f>
        <v>3.0089090748697704</v>
      </c>
      <c r="S30" s="6">
        <f>IF(M30="","",P30)</f>
        <v>-0.31550095155086993</v>
      </c>
      <c r="T30" s="4">
        <f>IF(M30="","",X30*COS(RADIANS(W30)))</f>
        <v>-1.5356413961265976</v>
      </c>
      <c r="U30" s="5">
        <f>IF(M30="","",X30*SIN(RADIANS(W30)))</f>
        <v>-2.5875353762482192</v>
      </c>
      <c r="V30" s="8">
        <f>IF(M30="","",Y30)</f>
        <v>-0.31550095155086993</v>
      </c>
      <c r="W30" s="624">
        <f t="shared" si="227"/>
        <v>239.31186544764159</v>
      </c>
      <c r="X30" s="5">
        <f>IF(M30="","",R30)</f>
        <v>3.0089090748697704</v>
      </c>
      <c r="Y30" s="7">
        <f t="shared" si="226"/>
        <v>-0.31550095155086993</v>
      </c>
      <c r="Z30" s="21">
        <f t="shared" si="7"/>
        <v>-0.67904308753029707</v>
      </c>
      <c r="AA30" s="5">
        <f t="shared" si="8"/>
        <v>-0.70389054562942599</v>
      </c>
      <c r="AB30" s="5">
        <f t="shared" si="9"/>
        <v>-0.20841925307137604</v>
      </c>
      <c r="AC30" s="8">
        <f>IF(M30="","",SQRT(Z30^2+AA30^2+AB30^2))</f>
        <v>1</v>
      </c>
      <c r="AD30" s="9">
        <f>IF(M30="","",Z30*(1/SQRT(Z30^2+AA30^2+AB30^2)))</f>
        <v>-0.67904308753029707</v>
      </c>
      <c r="AE30" s="5">
        <f>IF(M30="","",AA30*(1/SQRT(Z30^2+AA30^2+AB30^2)))</f>
        <v>-0.70389054562942599</v>
      </c>
      <c r="AF30" s="10">
        <f>IF(M30="","",AB30*(1/SQRT(Z30^2+AA30^2+AB30^2)))</f>
        <v>-0.20841925307137604</v>
      </c>
      <c r="AG30" s="622">
        <f>IF(M30="","",DEGREES(ATAN2(-AF30,AE30)))</f>
        <v>-73.506183288601378</v>
      </c>
      <c r="AH30" s="623">
        <f>IF(M30="","",DEGREES(ACOS(AD30)))</f>
        <v>132.76891170750133</v>
      </c>
      <c r="AI30" s="624">
        <f>IF(M30="","",DEGREES(-ACOS(-AF30)))</f>
        <v>-77.970267493167384</v>
      </c>
      <c r="AJ30" s="625">
        <f>IF(M30="","",DEGREES(ATAN2(-AE30,AD30)))</f>
        <v>-43.970665488756495</v>
      </c>
      <c r="AK30" s="4">
        <f>IF(M30="","",(COS(RADIANS((90-$Q$8)-W30))*AD30)+(-SIN(RADIANS((90-$Q$8)-W30))*AE30))</f>
        <v>0.95532106320190291</v>
      </c>
      <c r="AL30" s="5">
        <f>IF(M30="","",(SIN(RADIANS((90-$Q$8)-W30))*AD30)+(COS(RADIANS((90-$Q$8)-W30))*AE30))</f>
        <v>-0.20957834132360958</v>
      </c>
      <c r="AM30" s="6">
        <f>IF(M30="","",AF30)</f>
        <v>-0.20841925307137604</v>
      </c>
      <c r="AN30" s="612">
        <f>IF(M30="","",DEGREES(ATAN2(-AM30,AL30)))</f>
        <v>-45.158878174444837</v>
      </c>
      <c r="AO30" s="613">
        <f>IF(ROUND(IF(M30="",0,DEGREES(ACOS(AK30))),4)=90,0,IF(M30="","",DEGREES(ACOS(AK30))))</f>
        <v>17.191724396514115</v>
      </c>
      <c r="AP30" s="624">
        <f>IF(M30="","",DEGREES(ATAN2(AK30,AL30)))</f>
        <v>-12.373531067641446</v>
      </c>
      <c r="AQ30" s="625">
        <f t="shared" si="10"/>
        <v>4.1145765142335247</v>
      </c>
      <c r="AS30" s="56">
        <f t="shared" si="119"/>
        <v>-120.68813455235841</v>
      </c>
      <c r="AT30" s="77">
        <f t="shared" si="11"/>
        <v>0.14386600070667588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3.1160000000000001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2.9693513441928721</v>
      </c>
      <c r="C31" s="771">
        <v>-1.8810242214799751</v>
      </c>
      <c r="D31" s="772">
        <v>-0.90320272405941571</v>
      </c>
      <c r="E31" s="773">
        <v>0.80096711722681257</v>
      </c>
      <c r="F31" s="771">
        <v>0.57866545935251423</v>
      </c>
      <c r="G31" s="774">
        <v>0.1536162858349121</v>
      </c>
      <c r="H31" s="773">
        <v>0.314</v>
      </c>
      <c r="I31" s="771">
        <v>0.52</v>
      </c>
      <c r="J31" s="601">
        <v>3.1219999999999999</v>
      </c>
      <c r="K31" s="426" t="str">
        <f t="shared" si="225"/>
        <v>1613</v>
      </c>
      <c r="L31" s="327"/>
      <c r="M31" s="173">
        <f t="shared" si="2"/>
        <v>3.1219999999999999</v>
      </c>
      <c r="N31" s="21">
        <f t="shared" si="3"/>
        <v>2.9693513441928721</v>
      </c>
      <c r="O31" s="5">
        <f t="shared" si="4"/>
        <v>-1.8810242214799751</v>
      </c>
      <c r="P31" s="10">
        <f t="shared" si="5"/>
        <v>-0.90320272405941571</v>
      </c>
      <c r="Q31" s="624">
        <f t="shared" si="116"/>
        <v>327.64656568808113</v>
      </c>
      <c r="R31" s="5">
        <f>IF(M31="","",SQRT(N31^2+O31^2))</f>
        <v>3.5150106012719737</v>
      </c>
      <c r="S31" s="6">
        <f>IF(M31="","",P31)</f>
        <v>-0.90320272405941571</v>
      </c>
      <c r="T31" s="4">
        <f>IF(M31="","",X31*COS(RADIANS(W31)))</f>
        <v>-1.8336805965323284</v>
      </c>
      <c r="U31" s="5">
        <f>IF(M31="","",X31*SIN(RADIANS(W31)))</f>
        <v>-2.998818933672923</v>
      </c>
      <c r="V31" s="8">
        <f>IF(M31="","",Y31)</f>
        <v>-0.90320272405941571</v>
      </c>
      <c r="W31" s="624">
        <f t="shared" si="227"/>
        <v>238.55556555683779</v>
      </c>
      <c r="X31" s="5">
        <f>IF(M31="","",R31)</f>
        <v>3.5150106012719737</v>
      </c>
      <c r="Y31" s="7">
        <f t="shared" si="226"/>
        <v>-0.90320272405941571</v>
      </c>
      <c r="Z31" s="21">
        <f t="shared" si="7"/>
        <v>-0.80096711722681257</v>
      </c>
      <c r="AA31" s="5">
        <f t="shared" si="8"/>
        <v>-0.57866545935251423</v>
      </c>
      <c r="AB31" s="5">
        <f t="shared" si="9"/>
        <v>-0.1536162858349121</v>
      </c>
      <c r="AC31" s="8">
        <f>IF(M31="","",SQRT(Z31^2+AA31^2+AB31^2))</f>
        <v>1</v>
      </c>
      <c r="AD31" s="9">
        <f>IF(M31="","",Z31*(1/SQRT(Z31^2+AA31^2+AB31^2)))</f>
        <v>-0.80096711722681257</v>
      </c>
      <c r="AE31" s="5">
        <f>IF(M31="","",AA31*(1/SQRT(Z31^2+AA31^2+AB31^2)))</f>
        <v>-0.57866545935251423</v>
      </c>
      <c r="AF31" s="10">
        <f>IF(M31="","",AB31*(1/SQRT(Z31^2+AA31^2+AB31^2)))</f>
        <v>-0.1536162858349121</v>
      </c>
      <c r="AG31" s="622">
        <f>IF(M31="","",DEGREES(ATAN2(-AF31,AE31)))</f>
        <v>-75.132801961446347</v>
      </c>
      <c r="AH31" s="623">
        <f>IF(M31="","",DEGREES(ACOS(AD31)))</f>
        <v>143.22255474059619</v>
      </c>
      <c r="AI31" s="624">
        <f>IF(M31="","",DEGREES(-ACOS(-AF31)))</f>
        <v>-81.163445813235711</v>
      </c>
      <c r="AJ31" s="625">
        <f>IF(M31="","",DEGREES(ATAN2(-AE31,AD31)))</f>
        <v>-54.153453050599033</v>
      </c>
      <c r="AK31" s="4">
        <f>IF(M31="","",(COS(RADIANS((90-$Q$8)-W31))*AD31)+(-SIN(RADIANS((90-$Q$8)-W31))*AE31))</f>
        <v>0.91746511561359401</v>
      </c>
      <c r="AL31" s="5">
        <f>IF(M31="","",(SIN(RADIANS((90-$Q$8)-W31))*AD31)+(COS(RADIANS((90-$Q$8)-W31))*AE31))</f>
        <v>-0.36696021359054892</v>
      </c>
      <c r="AM31" s="6">
        <f>IF(M31="","",AF31)</f>
        <v>-0.1536162858349121</v>
      </c>
      <c r="AN31" s="612">
        <f>IF(M31="","",DEGREES(ATAN2(-AM31,AL31)))</f>
        <v>-67.284918902108984</v>
      </c>
      <c r="AO31" s="613">
        <f t="shared" si="98"/>
        <v>23.441731956865834</v>
      </c>
      <c r="AP31" s="624">
        <f>IF(M31="","",DEGREES(ATAN2(AK31,AL31)))</f>
        <v>-21.800018738680134</v>
      </c>
      <c r="AQ31" s="625">
        <f t="shared" si="10"/>
        <v>3.5237654202733384</v>
      </c>
      <c r="AS31" s="56">
        <f t="shared" si="119"/>
        <v>-121.44443444316221</v>
      </c>
      <c r="AT31" s="77">
        <f t="shared" si="11"/>
        <v>-0.44097863888105554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3.1219999999999999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3.1072587661024023</v>
      </c>
      <c r="C32" s="771">
        <v>-1.984504110659334</v>
      </c>
      <c r="D32" s="772">
        <v>-1.7094051555659495</v>
      </c>
      <c r="E32" s="773">
        <v>0.88753434029675882</v>
      </c>
      <c r="F32" s="771">
        <v>0.46074157050778952</v>
      </c>
      <c r="G32" s="774">
        <v>1.1339743404472288E-7</v>
      </c>
      <c r="H32" s="773">
        <v>0.314</v>
      </c>
      <c r="I32" s="771">
        <v>0.52</v>
      </c>
      <c r="J32" s="601">
        <v>3.1280000000000001</v>
      </c>
      <c r="K32" s="426" t="str">
        <f t="shared" si="225"/>
        <v>1613</v>
      </c>
      <c r="L32" s="327"/>
      <c r="M32" s="173">
        <f t="shared" si="2"/>
        <v>3.1280000000000001</v>
      </c>
      <c r="N32" s="21">
        <f t="shared" si="3"/>
        <v>3.1072587661024023</v>
      </c>
      <c r="O32" s="5">
        <f t="shared" si="4"/>
        <v>-1.984504110659334</v>
      </c>
      <c r="P32" s="10">
        <f t="shared" si="5"/>
        <v>-1.7094051555659495</v>
      </c>
      <c r="Q32" s="624">
        <f t="shared" si="116"/>
        <v>327.43496571863238</v>
      </c>
      <c r="R32" s="5">
        <f t="shared" si="83"/>
        <v>3.6869111197239373</v>
      </c>
      <c r="S32" s="6">
        <f t="shared" si="84"/>
        <v>-1.7094051555659495</v>
      </c>
      <c r="T32" s="4">
        <f t="shared" si="85"/>
        <v>-1.9349596479982987</v>
      </c>
      <c r="U32" s="5">
        <f t="shared" si="86"/>
        <v>-3.1383506441062821</v>
      </c>
      <c r="V32" s="8">
        <f t="shared" si="117"/>
        <v>-1.7094051555659495</v>
      </c>
      <c r="W32" s="624">
        <f t="shared" si="227"/>
        <v>238.34396558738905</v>
      </c>
      <c r="X32" s="5">
        <f t="shared" si="87"/>
        <v>3.6869111197239373</v>
      </c>
      <c r="Y32" s="7">
        <f t="shared" si="226"/>
        <v>-1.7094051555659495</v>
      </c>
      <c r="Z32" s="21">
        <f t="shared" si="7"/>
        <v>-0.88753434029675882</v>
      </c>
      <c r="AA32" s="5">
        <f t="shared" si="8"/>
        <v>-0.46074157050778952</v>
      </c>
      <c r="AB32" s="5">
        <f t="shared" si="9"/>
        <v>-1.1339743404472288E-7</v>
      </c>
      <c r="AC32" s="8">
        <f t="shared" si="88"/>
        <v>1</v>
      </c>
      <c r="AD32" s="9">
        <f t="shared" si="118"/>
        <v>-0.88753434029675882</v>
      </c>
      <c r="AE32" s="5">
        <f t="shared" si="89"/>
        <v>-0.46074157050778952</v>
      </c>
      <c r="AF32" s="10">
        <f t="shared" si="90"/>
        <v>-1.1339743404472288E-7</v>
      </c>
      <c r="AG32" s="622">
        <f t="shared" si="91"/>
        <v>-89.999985898397725</v>
      </c>
      <c r="AH32" s="623">
        <f t="shared" si="92"/>
        <v>152.56502994990279</v>
      </c>
      <c r="AI32" s="624">
        <f t="shared" si="93"/>
        <v>-89.999993502805623</v>
      </c>
      <c r="AJ32" s="625">
        <f t="shared" si="94"/>
        <v>-62.565029949903497</v>
      </c>
      <c r="AK32" s="4">
        <f t="shared" si="213"/>
        <v>0.86602544158358574</v>
      </c>
      <c r="AL32" s="5">
        <f t="shared" si="95"/>
        <v>-0.49999993452993818</v>
      </c>
      <c r="AM32" s="6">
        <f t="shared" si="96"/>
        <v>-1.1339743404472288E-7</v>
      </c>
      <c r="AN32" s="612">
        <f t="shared" si="97"/>
        <v>-89.99998700560954</v>
      </c>
      <c r="AO32" s="613">
        <f t="shared" si="98"/>
        <v>29.99999566853651</v>
      </c>
      <c r="AP32" s="624">
        <f t="shared" si="99"/>
        <v>-29.999995668535888</v>
      </c>
      <c r="AQ32" s="625">
        <f t="shared" si="10"/>
        <v>3.3598570434814037</v>
      </c>
      <c r="AS32" s="56">
        <f t="shared" si="119"/>
        <v>-121.65603441261095</v>
      </c>
      <c r="AT32" s="77">
        <f t="shared" si="11"/>
        <v>-1.2463816927252274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3.1280000000000001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1.5222630123958121</v>
      </c>
      <c r="C33" s="771">
        <v>-1.6908064801589497</v>
      </c>
      <c r="D33" s="772">
        <v>-2.4600074193823769E-2</v>
      </c>
      <c r="E33" s="773">
        <v>0.74818930669042416</v>
      </c>
      <c r="F33" s="771">
        <v>0.57023965739964944</v>
      </c>
      <c r="G33" s="774">
        <v>0.33917472559557421</v>
      </c>
      <c r="H33" s="773">
        <v>0.26600000000000001</v>
      </c>
      <c r="I33" s="771">
        <v>0.52</v>
      </c>
      <c r="J33" s="601">
        <v>3.21</v>
      </c>
      <c r="K33" s="426" t="str">
        <f t="shared" si="225"/>
        <v>1313</v>
      </c>
      <c r="L33" s="327"/>
      <c r="M33" s="173">
        <f t="shared" si="2"/>
        <v>3.21</v>
      </c>
      <c r="N33" s="21">
        <f t="shared" si="3"/>
        <v>1.5222630123958121</v>
      </c>
      <c r="O33" s="5">
        <f t="shared" si="4"/>
        <v>-1.6908064801589497</v>
      </c>
      <c r="P33" s="10">
        <f t="shared" si="5"/>
        <v>-2.4600074193823769E-2</v>
      </c>
      <c r="Q33" s="624">
        <f t="shared" si="116"/>
        <v>311.9972679475602</v>
      </c>
      <c r="R33" s="5">
        <f t="shared" si="83"/>
        <v>2.2751068617222949</v>
      </c>
      <c r="S33" s="6">
        <f t="shared" si="84"/>
        <v>-2.4600074193823769E-2</v>
      </c>
      <c r="T33" s="4">
        <f t="shared" si="85"/>
        <v>-1.666443945636938</v>
      </c>
      <c r="U33" s="5">
        <f t="shared" si="86"/>
        <v>-1.548895028175203</v>
      </c>
      <c r="V33" s="8">
        <f t="shared" si="117"/>
        <v>-2.4600074193823769E-2</v>
      </c>
      <c r="W33" s="624">
        <f t="shared" si="227"/>
        <v>222.90626781631687</v>
      </c>
      <c r="X33" s="5">
        <f t="shared" si="87"/>
        <v>2.2751068617222949</v>
      </c>
      <c r="Y33" s="7">
        <f t="shared" si="226"/>
        <v>-2.4600074193823769E-2</v>
      </c>
      <c r="Z33" s="21">
        <f t="shared" si="7"/>
        <v>-0.74818930669042416</v>
      </c>
      <c r="AA33" s="5">
        <f t="shared" si="8"/>
        <v>-0.57023965739964944</v>
      </c>
      <c r="AB33" s="5">
        <f t="shared" si="9"/>
        <v>-0.33917472559557421</v>
      </c>
      <c r="AC33" s="8">
        <f t="shared" si="88"/>
        <v>1</v>
      </c>
      <c r="AD33" s="9">
        <f t="shared" si="118"/>
        <v>-0.74818930669042416</v>
      </c>
      <c r="AE33" s="5">
        <f t="shared" si="89"/>
        <v>-0.57023965739964944</v>
      </c>
      <c r="AF33" s="10">
        <f t="shared" si="90"/>
        <v>-0.33917472559557421</v>
      </c>
      <c r="AG33" s="622">
        <f t="shared" si="91"/>
        <v>-59.256101936057121</v>
      </c>
      <c r="AH33" s="623">
        <f t="shared" si="92"/>
        <v>138.43377254992959</v>
      </c>
      <c r="AI33" s="624">
        <f t="shared" si="93"/>
        <v>-70.173398121589543</v>
      </c>
      <c r="AJ33" s="625">
        <f t="shared" si="94"/>
        <v>-52.686814798589921</v>
      </c>
      <c r="AK33" s="4">
        <f t="shared" si="213"/>
        <v>0.93758148361600713</v>
      </c>
      <c r="AL33" s="5">
        <f t="shared" si="95"/>
        <v>-7.6821006876857001E-2</v>
      </c>
      <c r="AM33" s="6">
        <f t="shared" si="96"/>
        <v>-0.33917472559557421</v>
      </c>
      <c r="AN33" s="612">
        <f t="shared" si="97"/>
        <v>-12.76182721867711</v>
      </c>
      <c r="AO33" s="613">
        <f t="shared" si="98"/>
        <v>20.350714293356685</v>
      </c>
      <c r="AP33" s="624">
        <f t="shared" si="99"/>
        <v>-4.6840827461501116</v>
      </c>
      <c r="AQ33" s="625">
        <f t="shared" si="10"/>
        <v>5.4346885757186074</v>
      </c>
      <c r="AS33" s="56">
        <f t="shared" si="119"/>
        <v>-137.09373218368313</v>
      </c>
      <c r="AT33" s="77">
        <f t="shared" si="11"/>
        <v>0.49674358022650439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>
        <f>IFERROR(IF($IU33="","",IF($IU33&lt;(((Settings!$C$19/2)*-1)*$IE$8),"",1)),"")</f>
        <v>1</v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3.21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</v>
      </c>
      <c r="II33" s="800" cm="1">
        <f t="array" ref="II33">IFERROR(IF($IH33&lt;1,$IH33+LARGE((IF($M$9:$M$150="",0,$M$9:$M$150)-MOD(IF($M$9:$M$150="",0,$M$9:$M$150),1)),1),$IH33),"")</f>
        <v>3.11</v>
      </c>
      <c r="IJ33" s="839" t="str">
        <f t="shared" si="68"/>
        <v>1613</v>
      </c>
      <c r="IK33" s="839" t="str">
        <f t="shared" si="69"/>
        <v>1313</v>
      </c>
      <c r="IL33" s="791">
        <f t="shared" si="228"/>
        <v>17.437697482307954</v>
      </c>
      <c r="IM33" s="830">
        <v>1.17640974198729E-2</v>
      </c>
      <c r="IN33" s="5">
        <f t="shared" si="229"/>
        <v>0.22</v>
      </c>
      <c r="IO33" s="852">
        <v>110</v>
      </c>
      <c r="IP33" s="9">
        <f t="shared" si="230"/>
        <v>-2.263306826133388</v>
      </c>
      <c r="IQ33" s="5">
        <f t="shared" si="231"/>
        <v>-6.4500194532586666E-2</v>
      </c>
      <c r="IR33" s="5">
        <f t="shared" si="74"/>
        <v>0.314</v>
      </c>
      <c r="IS33" s="5">
        <f t="shared" si="232"/>
        <v>0.30279757114236461</v>
      </c>
      <c r="IT33" s="791">
        <f t="shared" si="233"/>
        <v>12.761828988183282</v>
      </c>
      <c r="IU33" s="9">
        <f t="shared" si="234"/>
        <v>-2.2751068617222949</v>
      </c>
      <c r="IV33" s="5">
        <f t="shared" si="235"/>
        <v>-2.4600074193823769E-2</v>
      </c>
      <c r="IW33" s="5">
        <f t="shared" si="79"/>
        <v>0.26600000000000001</v>
      </c>
      <c r="IX33" s="5">
        <f t="shared" si="236"/>
        <v>0.24939667464185791</v>
      </c>
      <c r="IY33" s="833">
        <f t="shared" si="237"/>
        <v>12.76182721867711</v>
      </c>
    </row>
    <row r="34" spans="1:259" ht="15" customHeight="1" x14ac:dyDescent="0.25">
      <c r="A34" s="84">
        <f t="shared" si="82"/>
        <v>0.02</v>
      </c>
      <c r="B34" s="770">
        <v>2.0164473761380544</v>
      </c>
      <c r="C34" s="771">
        <v>-2.2842056799229229</v>
      </c>
      <c r="D34" s="772">
        <v>-0.28950087313463335</v>
      </c>
      <c r="E34" s="773">
        <v>0.87138991561834622</v>
      </c>
      <c r="F34" s="771">
        <v>0.41199987442480035</v>
      </c>
      <c r="G34" s="774">
        <v>0.26633760236324189</v>
      </c>
      <c r="H34" s="773">
        <v>0.26600000000000001</v>
      </c>
      <c r="I34" s="771">
        <v>0.52</v>
      </c>
      <c r="J34" s="601">
        <v>3.2160000000000002</v>
      </c>
      <c r="K34" s="426" t="str">
        <f t="shared" si="225"/>
        <v>1313</v>
      </c>
      <c r="L34" s="327"/>
      <c r="M34" s="173">
        <f t="shared" si="2"/>
        <v>3.2160000000000002</v>
      </c>
      <c r="N34" s="21">
        <f t="shared" si="3"/>
        <v>2.0164473761380544</v>
      </c>
      <c r="O34" s="5">
        <f t="shared" si="4"/>
        <v>-2.2842056799229229</v>
      </c>
      <c r="P34" s="10">
        <f t="shared" si="5"/>
        <v>-0.28950087313463335</v>
      </c>
      <c r="Q34" s="624">
        <f t="shared" si="116"/>
        <v>311.43736802839976</v>
      </c>
      <c r="R34" s="5">
        <f>IF(M34="","",SQRT(N34^2+O34^2))</f>
        <v>3.0469091894781153</v>
      </c>
      <c r="S34" s="6">
        <f>IF(M34="","",P34)</f>
        <v>-0.28950087313463335</v>
      </c>
      <c r="T34" s="4">
        <f>IF(M34="","",X34*COS(RADIANS(W34)))</f>
        <v>-2.251928541716651</v>
      </c>
      <c r="U34" s="5">
        <f>IF(M34="","",X34*SIN(RADIANS(W34)))</f>
        <v>-2.0524311077178945</v>
      </c>
      <c r="V34" s="8">
        <f>IF(M34="","",Y34)</f>
        <v>-0.28950087313463335</v>
      </c>
      <c r="W34" s="624">
        <f t="shared" si="227"/>
        <v>222.34636789715643</v>
      </c>
      <c r="X34" s="5">
        <f>IF(M34="","",R34)</f>
        <v>3.0469091894781153</v>
      </c>
      <c r="Y34" s="7">
        <f t="shared" si="226"/>
        <v>-0.28950087313463335</v>
      </c>
      <c r="Z34" s="21">
        <f t="shared" si="7"/>
        <v>-0.87138991561834622</v>
      </c>
      <c r="AA34" s="5">
        <f t="shared" si="8"/>
        <v>-0.41199987442480035</v>
      </c>
      <c r="AB34" s="5">
        <f t="shared" si="9"/>
        <v>-0.26633760236324189</v>
      </c>
      <c r="AC34" s="8">
        <f>IF(M34="","",SQRT(Z34^2+AA34^2+AB34^2))</f>
        <v>1</v>
      </c>
      <c r="AD34" s="9">
        <f>IF(M34="","",Z34*(1/SQRT(Z34^2+AA34^2+AB34^2)))</f>
        <v>-0.87138991561834622</v>
      </c>
      <c r="AE34" s="5">
        <f>IF(M34="","",AA34*(1/SQRT(Z34^2+AA34^2+AB34^2)))</f>
        <v>-0.41199987442480035</v>
      </c>
      <c r="AF34" s="10">
        <f>IF(M34="","",AB34*(1/SQRT(Z34^2+AA34^2+AB34^2)))</f>
        <v>-0.26633760236324189</v>
      </c>
      <c r="AG34" s="622">
        <f>IF(M34="","",DEGREES(ATAN2(-AF34,AE34)))</f>
        <v>-57.119324369561944</v>
      </c>
      <c r="AH34" s="623">
        <f>IF(M34="","",DEGREES(ACOS(AD34)))</f>
        <v>150.62056056531029</v>
      </c>
      <c r="AI34" s="624">
        <f>IF(M34="","",DEGREES(-ACOS(-AF34)))</f>
        <v>-74.553551495403966</v>
      </c>
      <c r="AJ34" s="625">
        <f>IF(M34="","",DEGREES(ATAN2(-AE34,AD34)))</f>
        <v>-64.694854363006485</v>
      </c>
      <c r="AK34" s="4">
        <f>IF(M34="","",(COS(RADIANS((90-$Q$8)-W34))*AD34)+(-SIN(RADIANS((90-$Q$8)-W34))*AE34))</f>
        <v>0.92592515398179787</v>
      </c>
      <c r="AL34" s="5">
        <f>IF(M34="","",(SIN(RADIANS((90-$Q$8)-W34))*AD34)+(COS(RADIANS((90-$Q$8)-W34))*AE34))</f>
        <v>-0.26781876482275041</v>
      </c>
      <c r="AM34" s="6">
        <f>IF(M34="","",AF34)</f>
        <v>-0.26633760236324189</v>
      </c>
      <c r="AN34" s="612">
        <f>IF(M34="","",DEGREES(ATAN2(-AM34,AL34)))</f>
        <v>-45.158875088664452</v>
      </c>
      <c r="AO34" s="613">
        <f t="shared" si="98"/>
        <v>22.191723665628874</v>
      </c>
      <c r="AP34" s="624">
        <f>IF(M34="","",DEGREES(ATAN2(AK34,AL34)))</f>
        <v>-16.132222391406238</v>
      </c>
      <c r="AQ34" s="625">
        <f t="shared" si="10"/>
        <v>4.0634337556797426</v>
      </c>
      <c r="AS34" s="56">
        <f t="shared" si="119"/>
        <v>-137.65363210284357</v>
      </c>
      <c r="AT34" s="77">
        <f t="shared" si="11"/>
        <v>0.23395795875807868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3.2160000000000002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3.1160000000000001</v>
      </c>
      <c r="II34" s="800" cm="1">
        <f t="array" ref="II34">IFERROR(IF($IH34&lt;1,$IH34+LARGE((IF($M$9:$M$150="",0,$M$9:$M$150)-MOD(IF($M$9:$M$150="",0,$M$9:$M$150),1)),1),$IH34),"")</f>
        <v>3.1160000000000001</v>
      </c>
      <c r="IJ34" s="839" t="str">
        <f t="shared" si="68"/>
        <v>1613</v>
      </c>
      <c r="IK34" s="839" t="str">
        <f t="shared" si="69"/>
        <v>1313</v>
      </c>
      <c r="IL34" s="791">
        <f t="shared" si="228"/>
        <v>16.965497550485168</v>
      </c>
      <c r="IM34" s="830">
        <v>7.3623362860785703E-3</v>
      </c>
      <c r="IN34" s="5">
        <f t="shared" si="229"/>
        <v>0.22</v>
      </c>
      <c r="IO34" s="852">
        <v>110</v>
      </c>
      <c r="IP34" s="9">
        <f t="shared" si="230"/>
        <v>-3.0089090748697704</v>
      </c>
      <c r="IQ34" s="5">
        <f t="shared" si="231"/>
        <v>-0.31550095155086993</v>
      </c>
      <c r="IR34" s="5">
        <f t="shared" si="74"/>
        <v>0.314</v>
      </c>
      <c r="IS34" s="5">
        <f t="shared" si="232"/>
        <v>0.29997081384539753</v>
      </c>
      <c r="IT34" s="791">
        <f t="shared" si="233"/>
        <v>45.158878174444837</v>
      </c>
      <c r="IU34" s="9">
        <f t="shared" si="234"/>
        <v>-3.0469091894781153</v>
      </c>
      <c r="IV34" s="5">
        <f t="shared" si="235"/>
        <v>-0.28950087313463335</v>
      </c>
      <c r="IW34" s="5">
        <f t="shared" si="79"/>
        <v>0.26600000000000001</v>
      </c>
      <c r="IX34" s="5">
        <f t="shared" si="236"/>
        <v>0.24629609095915825</v>
      </c>
      <c r="IY34" s="833">
        <f t="shared" si="237"/>
        <v>45.158875088664452</v>
      </c>
    </row>
    <row r="35" spans="1:259" ht="15" customHeight="1" x14ac:dyDescent="0.25">
      <c r="A35" s="84">
        <f t="shared" si="82"/>
        <v>0</v>
      </c>
      <c r="B35" s="770">
        <v>2.23840845716812</v>
      </c>
      <c r="C35" s="771">
        <v>-2.7479004693231119</v>
      </c>
      <c r="D35" s="772">
        <v>-0.90380272586902133</v>
      </c>
      <c r="E35" s="773">
        <v>0.45431179937053406</v>
      </c>
      <c r="F35" s="771">
        <v>-0.5577189448613028</v>
      </c>
      <c r="G35" s="774">
        <v>0.69465845384296798</v>
      </c>
      <c r="H35" s="773">
        <v>0.25700000000000001</v>
      </c>
      <c r="I35" s="771">
        <v>0.41499999999999992</v>
      </c>
      <c r="J35" s="601">
        <v>3.222</v>
      </c>
      <c r="K35" s="426" t="str">
        <f t="shared" si="225"/>
        <v>Knuckle</v>
      </c>
      <c r="L35" s="327"/>
      <c r="M35" s="173">
        <f t="shared" si="2"/>
        <v>3.222</v>
      </c>
      <c r="N35" s="21">
        <f t="shared" si="3"/>
        <v>2.23840845716812</v>
      </c>
      <c r="O35" s="5">
        <f t="shared" si="4"/>
        <v>-2.7479004693231119</v>
      </c>
      <c r="P35" s="10">
        <f t="shared" si="5"/>
        <v>-0.90380272586902133</v>
      </c>
      <c r="Q35" s="624">
        <f t="shared" si="116"/>
        <v>309.16586835636372</v>
      </c>
      <c r="R35" s="5">
        <f>IF(M35="","",SQRT(N35^2+O35^2))</f>
        <v>3.5442106893394389</v>
      </c>
      <c r="S35" s="6">
        <f>IF(M35="","",P35)</f>
        <v>-0.90380272586902133</v>
      </c>
      <c r="T35" s="4">
        <f>IF(M35="","",X35*COS(RADIANS(W35)))</f>
        <v>-2.7120437026214854</v>
      </c>
      <c r="U35" s="5">
        <f>IF(M35="","",X35*SIN(RADIANS(W35)))</f>
        <v>-2.2817204836480482</v>
      </c>
      <c r="V35" s="8">
        <f>IF(M35="","",Y35)</f>
        <v>-0.90380272586902133</v>
      </c>
      <c r="W35" s="624">
        <f t="shared" si="227"/>
        <v>220.07486822512038</v>
      </c>
      <c r="X35" s="5">
        <f>IF(M35="","",R35)</f>
        <v>3.5442106893394389</v>
      </c>
      <c r="Y35" s="7">
        <f t="shared" si="226"/>
        <v>-0.90380272586902133</v>
      </c>
      <c r="Z35" s="21">
        <f t="shared" si="7"/>
        <v>-0.45431179937053406</v>
      </c>
      <c r="AA35" s="5">
        <f t="shared" si="8"/>
        <v>0.5577189448613028</v>
      </c>
      <c r="AB35" s="5">
        <f t="shared" si="9"/>
        <v>-0.69465845384296798</v>
      </c>
      <c r="AC35" s="8">
        <f>IF(M35="","",SQRT(Z35^2+AA35^2+AB35^2))</f>
        <v>1</v>
      </c>
      <c r="AD35" s="9">
        <f>IF(M35="","",Z35*(1/SQRT(Z35^2+AA35^2+AB35^2)))</f>
        <v>-0.45431179937053406</v>
      </c>
      <c r="AE35" s="5">
        <f>IF(M35="","",AA35*(1/SQRT(Z35^2+AA35^2+AB35^2)))</f>
        <v>0.5577189448613028</v>
      </c>
      <c r="AF35" s="10">
        <f>IF(M35="","",AB35*(1/SQRT(Z35^2+AA35^2+AB35^2)))</f>
        <v>-0.69465845384296798</v>
      </c>
      <c r="AG35" s="622">
        <f>IF(M35="","",DEGREES(ATAN2(-AF35,AE35)))</f>
        <v>38.759860962405703</v>
      </c>
      <c r="AH35" s="623">
        <f>IF(M35="","",DEGREES(ACOS(AD35)))</f>
        <v>117.02066292921205</v>
      </c>
      <c r="AI35" s="624">
        <f>IF(M35="","",DEGREES(-ACOS(-AF35)))</f>
        <v>-45.999993358424121</v>
      </c>
      <c r="AJ35" s="625">
        <f>IF(M35="","",DEGREES(ATAN2(-AE35,AD35)))</f>
        <v>-140.83411357930584</v>
      </c>
      <c r="AK35" s="4">
        <f>IF(M35="","",(COS(RADIANS((90-$Q$8)-W35))*AD35)+(-SIN(RADIANS((90-$Q$8)-W35))*AE35))</f>
        <v>2.2679489652954743E-7</v>
      </c>
      <c r="AL35" s="5">
        <f>IF(M35="","",(SIN(RADIANS((90-$Q$8)-W35))*AD35)+(COS(RADIANS((90-$Q$8)-W35))*AE35))</f>
        <v>-0.71933971981564171</v>
      </c>
      <c r="AM35" s="6">
        <f>IF(M35="","",AF35)</f>
        <v>-0.69465845384296798</v>
      </c>
      <c r="AN35" s="612">
        <f>IF(M35="","",DEGREES(ATAN2(-AM35,AL35)))</f>
        <v>-45.999993358422707</v>
      </c>
      <c r="AO35" s="613">
        <f t="shared" si="98"/>
        <v>0</v>
      </c>
      <c r="AP35" s="624">
        <f>IF(M35="","",DEGREES(ATAN2(AK35,AL35)))</f>
        <v>-89.999981935669581</v>
      </c>
      <c r="AQ35" s="625">
        <f t="shared" si="10"/>
        <v>3.4948060291471226</v>
      </c>
      <c r="AS35" s="56">
        <f t="shared" si="119"/>
        <v>-139.92513177487962</v>
      </c>
      <c r="AT35" s="77">
        <f t="shared" si="11"/>
        <v>-0.37176267299306198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3.222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3.1219999999999999</v>
      </c>
      <c r="II35" s="800" cm="1">
        <f t="array" ref="II35">IFERROR(IF($IH35&lt;1,$IH35+LARGE((IF($M$9:$M$150="",0,$M$9:$M$150)-MOD(IF($M$9:$M$150="",0,$M$9:$M$150),1)),1),$IH35),"")</f>
        <v>3.1219999999999999</v>
      </c>
      <c r="IJ35" s="839" t="str">
        <f t="shared" si="68"/>
        <v>1613</v>
      </c>
      <c r="IK35" s="839" t="str">
        <f t="shared" si="69"/>
        <v>Knuckle</v>
      </c>
      <c r="IL35" s="791">
        <f t="shared" si="228"/>
        <v>18.480697331717408</v>
      </c>
      <c r="IM35" s="830">
        <v>3.5171796725857098E-3</v>
      </c>
      <c r="IN35" s="5">
        <f t="shared" si="229"/>
        <v>0.14000000000000001</v>
      </c>
      <c r="IO35" s="852">
        <v>70</v>
      </c>
      <c r="IP35" s="9">
        <f t="shared" si="230"/>
        <v>-3.5150106012719737</v>
      </c>
      <c r="IQ35" s="5">
        <f t="shared" si="231"/>
        <v>-0.90320272405941571</v>
      </c>
      <c r="IR35" s="5">
        <f t="shared" si="74"/>
        <v>0.314</v>
      </c>
      <c r="IS35" s="5">
        <f t="shared" si="232"/>
        <v>0.28808404630266854</v>
      </c>
      <c r="IT35" s="791">
        <f t="shared" si="233"/>
        <v>67.284918902108984</v>
      </c>
      <c r="IU35" s="9">
        <f t="shared" si="234"/>
        <v>-3.5442106893394389</v>
      </c>
      <c r="IV35" s="5">
        <f t="shared" si="235"/>
        <v>-0.90380272586902133</v>
      </c>
      <c r="IW35" s="5">
        <f t="shared" si="79"/>
        <v>0.25700000000000001</v>
      </c>
      <c r="IX35" s="5">
        <f t="shared" si="236"/>
        <v>0.25700000000000001</v>
      </c>
      <c r="IY35" s="833">
        <f t="shared" si="237"/>
        <v>45.999993358422707</v>
      </c>
    </row>
    <row r="36" spans="1:259" ht="15" customHeight="1" x14ac:dyDescent="0.25">
      <c r="A36" s="84">
        <f t="shared" si="82"/>
        <v>0</v>
      </c>
      <c r="B36" s="770">
        <v>2.3250587601055943</v>
      </c>
      <c r="C36" s="771">
        <v>-2.8814389985109923</v>
      </c>
      <c r="D36" s="772">
        <v>-1.7223051944724665</v>
      </c>
      <c r="E36" s="773">
        <v>0.62796823800727708</v>
      </c>
      <c r="F36" s="771">
        <v>-0.77823896847561203</v>
      </c>
      <c r="G36" s="774">
        <v>2.2679489709822973E-7</v>
      </c>
      <c r="H36" s="773">
        <v>0.25700000000000001</v>
      </c>
      <c r="I36" s="771">
        <v>0.41499999999999992</v>
      </c>
      <c r="J36" s="601">
        <v>3.2280000000000002</v>
      </c>
      <c r="K36" s="426" t="str">
        <f t="shared" si="225"/>
        <v>Knuckle</v>
      </c>
      <c r="L36" s="327"/>
      <c r="M36" s="173">
        <f t="shared" si="2"/>
        <v>3.2280000000000002</v>
      </c>
      <c r="N36" s="21">
        <f t="shared" si="3"/>
        <v>2.3250587601055943</v>
      </c>
      <c r="O36" s="5">
        <f t="shared" si="4"/>
        <v>-2.8814389985109923</v>
      </c>
      <c r="P36" s="10">
        <f t="shared" si="5"/>
        <v>-1.7223051944724665</v>
      </c>
      <c r="Q36" s="624">
        <f t="shared" si="116"/>
        <v>308.90036839469718</v>
      </c>
      <c r="R36" s="5">
        <f>IF(M36="","",SQRT(N36^2+O36^2))</f>
        <v>3.7025111667736792</v>
      </c>
      <c r="S36" s="6">
        <f>IF(M36="","",P36)</f>
        <v>-1.7223051944724665</v>
      </c>
      <c r="T36" s="4">
        <f>IF(M36="","",X36*COS(RADIANS(W36)))</f>
        <v>-2.8441907734637439</v>
      </c>
      <c r="U36" s="5">
        <f>IF(M36="","",X36*SIN(RADIANS(W36)))</f>
        <v>-2.3704783872095314</v>
      </c>
      <c r="V36" s="8">
        <f>IF(M36="","",Y36)</f>
        <v>-1.7223051944724665</v>
      </c>
      <c r="W36" s="624">
        <f t="shared" si="227"/>
        <v>219.80936826345385</v>
      </c>
      <c r="X36" s="5">
        <f>IF(M36="","",R36)</f>
        <v>3.7025111667736792</v>
      </c>
      <c r="Y36" s="7">
        <f t="shared" si="226"/>
        <v>-1.7223051944724665</v>
      </c>
      <c r="Z36" s="21">
        <f t="shared" si="7"/>
        <v>-0.62796823800727708</v>
      </c>
      <c r="AA36" s="5">
        <f t="shared" si="8"/>
        <v>0.77823896847561203</v>
      </c>
      <c r="AB36" s="5">
        <f t="shared" si="9"/>
        <v>-2.2679489709822973E-7</v>
      </c>
      <c r="AC36" s="8">
        <f>IF(M36="","",SQRT(Z36^2+AA36^2+AB36^2))</f>
        <v>1</v>
      </c>
      <c r="AD36" s="9">
        <f>IF(M36="","",Z36*(1/SQRT(Z36^2+AA36^2+AB36^2)))</f>
        <v>-0.62796823800727708</v>
      </c>
      <c r="AE36" s="5">
        <f>IF(M36="","",AA36*(1/SQRT(Z36^2+AA36^2+AB36^2)))</f>
        <v>0.77823896847561203</v>
      </c>
      <c r="AF36" s="10">
        <f>IF(M36="","",AB36*(1/SQRT(Z36^2+AA36^2+AB36^2)))</f>
        <v>-2.2679489709822973E-7</v>
      </c>
      <c r="AG36" s="622">
        <f>IF(M36="","",DEGREES(ATAN2(-AF36,AE36)))</f>
        <v>89.999983302827346</v>
      </c>
      <c r="AH36" s="623">
        <f>IF(M36="","",DEGREES(ACOS(AD36)))</f>
        <v>128.90038138908636</v>
      </c>
      <c r="AI36" s="624">
        <f>IF(M36="","",DEGREES(-ACOS(-AF36)))</f>
        <v>-89.999987005609583</v>
      </c>
      <c r="AJ36" s="625">
        <f>IF(M36="","",DEGREES(ATAN2(-AE36,AD36)))</f>
        <v>-141.09961861091244</v>
      </c>
      <c r="AK36" s="4">
        <f>IF(M36="","",(COS(RADIANS((90-$Q$8)-W36))*AD36)+(-SIN(RADIANS((90-$Q$8)-W36))*AE36))</f>
        <v>2.2679489625199167E-7</v>
      </c>
      <c r="AL36" s="5">
        <f>IF(M36="","",(SIN(RADIANS((90-$Q$8)-W36))*AD36)+(COS(RADIANS((90-$Q$8)-W36))*AE36))</f>
        <v>-0.99999999999994871</v>
      </c>
      <c r="AM36" s="6">
        <f>IF(M36="","",AF36)</f>
        <v>-2.2679489709822973E-7</v>
      </c>
      <c r="AN36" s="612">
        <f>IF(M36="","",DEGREES(ATAN2(-AM36,AL36)))</f>
        <v>-89.999987005609583</v>
      </c>
      <c r="AO36" s="613">
        <f t="shared" si="98"/>
        <v>0</v>
      </c>
      <c r="AP36" s="624">
        <f>IF(M36="","",DEGREES(ATAN2(AK36,AL36)))</f>
        <v>-89.999987005609626</v>
      </c>
      <c r="AQ36" s="625">
        <f t="shared" si="10"/>
        <v>3.3457329514226259</v>
      </c>
      <c r="AS36" s="56">
        <f t="shared" si="119"/>
        <v>-140.19063173654615</v>
      </c>
      <c r="AT36" s="77">
        <f t="shared" si="11"/>
        <v>-1.1892621417413225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>
        <f>IFERROR(IF((((($IW36*COS(RADIANS(180-$IY36)))*COS(RADIANS($IY36)))-(($IX36*SIN(RADIANS(180-$IY36)))*SIN(RADIANS($IY36))))+$IU36)&lt;(((Settings!$C$19/2)*-1)+$IF$8),1,""),"")</f>
        <v>1</v>
      </c>
      <c r="IG36" s="836">
        <f t="shared" si="67"/>
        <v>3.2280000000000002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3.1280000000000001</v>
      </c>
      <c r="II36" s="800" cm="1">
        <f t="array" ref="II36">IFERROR(IF($IH36&lt;1,$IH36+LARGE((IF($M$9:$M$150="",0,$M$9:$M$150)-MOD(IF($M$9:$M$150="",0,$M$9:$M$150),1)),1),$IH36),"")</f>
        <v>3.1280000000000001</v>
      </c>
      <c r="IJ36" s="839" t="str">
        <f t="shared" si="68"/>
        <v>1613</v>
      </c>
      <c r="IK36" s="839" t="str">
        <f t="shared" si="69"/>
        <v>Knuckle</v>
      </c>
      <c r="IL36" s="791">
        <f t="shared" si="228"/>
        <v>18.534597323935202</v>
      </c>
      <c r="IM36" s="830">
        <v>3.7233002314111997E-5</v>
      </c>
      <c r="IN36" s="5">
        <f t="shared" si="229"/>
        <v>0</v>
      </c>
      <c r="IO36" s="852">
        <v>0</v>
      </c>
      <c r="IP36" s="9">
        <f t="shared" si="230"/>
        <v>-3.6869111197239373</v>
      </c>
      <c r="IQ36" s="5">
        <f t="shared" si="231"/>
        <v>-1.7094051555659495</v>
      </c>
      <c r="IR36" s="5">
        <f t="shared" si="74"/>
        <v>0.314</v>
      </c>
      <c r="IS36" s="5">
        <f t="shared" si="232"/>
        <v>0.27193198865724594</v>
      </c>
      <c r="IT36" s="791">
        <f t="shared" si="233"/>
        <v>89.99998700560954</v>
      </c>
      <c r="IU36" s="9">
        <f t="shared" si="234"/>
        <v>-3.7025111667736792</v>
      </c>
      <c r="IV36" s="5">
        <f t="shared" si="235"/>
        <v>-1.7223051944724665</v>
      </c>
      <c r="IW36" s="5">
        <f t="shared" si="79"/>
        <v>0.25700000000000001</v>
      </c>
      <c r="IX36" s="5">
        <f t="shared" si="236"/>
        <v>0.25700000000000001</v>
      </c>
      <c r="IY36" s="833">
        <f t="shared" si="237"/>
        <v>89.999987005609583</v>
      </c>
    </row>
    <row r="37" spans="1:259" ht="15" customHeight="1" x14ac:dyDescent="0.25">
      <c r="A37" s="84">
        <f t="shared" si="82"/>
        <v>0.02</v>
      </c>
      <c r="B37" s="770">
        <v>-1.517578186205449E-2</v>
      </c>
      <c r="C37" s="771">
        <v>-2.1164519759604583</v>
      </c>
      <c r="D37" s="772">
        <v>-7.4200193627784003E-2</v>
      </c>
      <c r="E37" s="773">
        <v>0.96458042631082186</v>
      </c>
      <c r="F37" s="771">
        <v>-3.8218014805665335E-2</v>
      </c>
      <c r="G37" s="774">
        <v>0.26100571741313866</v>
      </c>
      <c r="H37" s="773">
        <v>0.314</v>
      </c>
      <c r="I37" s="771">
        <v>0.52</v>
      </c>
      <c r="J37" s="601">
        <v>4.109</v>
      </c>
      <c r="K37" s="426" t="str">
        <f t="shared" si="225"/>
        <v>1613</v>
      </c>
      <c r="L37" s="327"/>
      <c r="M37" s="173">
        <f t="shared" si="2"/>
        <v>4.109</v>
      </c>
      <c r="N37" s="21">
        <f t="shared" si="3"/>
        <v>-1.517578186205449E-2</v>
      </c>
      <c r="O37" s="5">
        <f t="shared" si="4"/>
        <v>-2.1164519759604583</v>
      </c>
      <c r="P37" s="10">
        <f t="shared" si="5"/>
        <v>-7.4200193627784003E-2</v>
      </c>
      <c r="Q37" s="624">
        <f t="shared" si="116"/>
        <v>269.58917407053139</v>
      </c>
      <c r="R37" s="5">
        <f t="shared" si="83"/>
        <v>2.116506383383252</v>
      </c>
      <c r="S37" s="6">
        <f t="shared" si="84"/>
        <v>-7.4200193627784003E-2</v>
      </c>
      <c r="T37" s="4">
        <f t="shared" si="85"/>
        <v>-2.1164263808763986</v>
      </c>
      <c r="U37" s="5">
        <f t="shared" si="86"/>
        <v>-1.840231595434404E-2</v>
      </c>
      <c r="V37" s="8">
        <f t="shared" si="117"/>
        <v>-7.4200193627784003E-2</v>
      </c>
      <c r="W37" s="624">
        <f t="shared" si="227"/>
        <v>180.49817393928805</v>
      </c>
      <c r="X37" s="5">
        <f t="shared" si="87"/>
        <v>2.116506383383252</v>
      </c>
      <c r="Y37" s="7">
        <f t="shared" si="226"/>
        <v>-7.4200193627784003E-2</v>
      </c>
      <c r="Z37" s="21">
        <f t="shared" si="7"/>
        <v>-0.96458042631082186</v>
      </c>
      <c r="AA37" s="5">
        <f t="shared" si="8"/>
        <v>3.8218014805665335E-2</v>
      </c>
      <c r="AB37" s="5">
        <f t="shared" si="9"/>
        <v>-0.26100571741313866</v>
      </c>
      <c r="AC37" s="8">
        <f t="shared" si="88"/>
        <v>1</v>
      </c>
      <c r="AD37" s="9">
        <f t="shared" si="118"/>
        <v>-0.96458042631082186</v>
      </c>
      <c r="AE37" s="5">
        <f t="shared" si="89"/>
        <v>3.8218014805665335E-2</v>
      </c>
      <c r="AF37" s="10">
        <f t="shared" si="90"/>
        <v>-0.26100571741313866</v>
      </c>
      <c r="AG37" s="622">
        <f t="shared" si="91"/>
        <v>8.3303905086553236</v>
      </c>
      <c r="AH37" s="623">
        <f t="shared" si="92"/>
        <v>164.70499658082494</v>
      </c>
      <c r="AI37" s="624">
        <f t="shared" si="93"/>
        <v>-74.870253781304712</v>
      </c>
      <c r="AJ37" s="625">
        <f t="shared" si="94"/>
        <v>-92.268951468678338</v>
      </c>
      <c r="AK37" s="4">
        <f t="shared" si="213"/>
        <v>0.96482966152454963</v>
      </c>
      <c r="AL37" s="5">
        <f t="shared" si="95"/>
        <v>-3.1300794240335508E-2</v>
      </c>
      <c r="AM37" s="6">
        <f t="shared" si="96"/>
        <v>-0.26100571741313866</v>
      </c>
      <c r="AN37" s="612">
        <f t="shared" si="97"/>
        <v>-6.838468717046764</v>
      </c>
      <c r="AO37" s="613">
        <f t="shared" si="98"/>
        <v>15.240774905545813</v>
      </c>
      <c r="AP37" s="624">
        <f t="shared" si="99"/>
        <v>-1.8581255392097251</v>
      </c>
      <c r="AQ37" s="625">
        <f t="shared" si="10"/>
        <v>5.8392201844896414</v>
      </c>
      <c r="AS37" s="56">
        <f t="shared" si="119"/>
        <v>-179.50182606071195</v>
      </c>
      <c r="AT37" s="77">
        <f t="shared" si="11"/>
        <v>0.60735181543909744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4.109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0.02</v>
      </c>
      <c r="B38" s="770">
        <v>-7.2343252358680027E-2</v>
      </c>
      <c r="C38" s="771">
        <v>-2.89670551821489</v>
      </c>
      <c r="D38" s="772">
        <v>-0.25700074495424674</v>
      </c>
      <c r="E38" s="773">
        <v>0.95591107028923383</v>
      </c>
      <c r="F38" s="771">
        <v>-0.20643048737301925</v>
      </c>
      <c r="G38" s="774">
        <v>0.20885516412439833</v>
      </c>
      <c r="H38" s="773">
        <v>0.314</v>
      </c>
      <c r="I38" s="771">
        <v>0.52</v>
      </c>
      <c r="J38" s="601">
        <v>4.1150000000000002</v>
      </c>
      <c r="K38" s="426" t="str">
        <f t="shared" si="225"/>
        <v>1613</v>
      </c>
      <c r="L38" s="327"/>
      <c r="M38" s="173">
        <f t="shared" si="2"/>
        <v>4.1150000000000002</v>
      </c>
      <c r="N38" s="21">
        <f t="shared" si="3"/>
        <v>-7.2343252358680027E-2</v>
      </c>
      <c r="O38" s="5">
        <f t="shared" si="4"/>
        <v>-2.89670551821489</v>
      </c>
      <c r="P38" s="10">
        <f t="shared" si="5"/>
        <v>-0.25700074495424674</v>
      </c>
      <c r="Q38" s="624">
        <f t="shared" si="116"/>
        <v>268.56937421777229</v>
      </c>
      <c r="R38" s="5">
        <f t="shared" si="83"/>
        <v>2.8976087391879575</v>
      </c>
      <c r="S38" s="6">
        <f t="shared" si="84"/>
        <v>-0.25700074495424674</v>
      </c>
      <c r="T38" s="4">
        <f t="shared" si="85"/>
        <v>-2.8974886566663267</v>
      </c>
      <c r="U38" s="5">
        <f t="shared" si="86"/>
        <v>2.6379725328159426E-2</v>
      </c>
      <c r="V38" s="8">
        <f t="shared" si="117"/>
        <v>-0.25700074495424674</v>
      </c>
      <c r="W38" s="624">
        <f t="shared" si="227"/>
        <v>179.47837408652896</v>
      </c>
      <c r="X38" s="5">
        <f t="shared" si="87"/>
        <v>2.8976087391879575</v>
      </c>
      <c r="Y38" s="7">
        <f t="shared" si="226"/>
        <v>-0.25700074495424674</v>
      </c>
      <c r="Z38" s="21">
        <f t="shared" si="7"/>
        <v>-0.95591107028923383</v>
      </c>
      <c r="AA38" s="5">
        <f t="shared" si="8"/>
        <v>0.20643048737301925</v>
      </c>
      <c r="AB38" s="5">
        <f t="shared" si="9"/>
        <v>-0.20885516412439833</v>
      </c>
      <c r="AC38" s="8">
        <f t="shared" si="88"/>
        <v>1</v>
      </c>
      <c r="AD38" s="9">
        <f t="shared" si="118"/>
        <v>-0.95591107028923383</v>
      </c>
      <c r="AE38" s="5">
        <f t="shared" si="89"/>
        <v>0.20643048737301925</v>
      </c>
      <c r="AF38" s="10">
        <f t="shared" si="90"/>
        <v>-0.20885516412439833</v>
      </c>
      <c r="AG38" s="622">
        <f t="shared" si="91"/>
        <v>44.665478049916032</v>
      </c>
      <c r="AH38" s="623">
        <f t="shared" si="92"/>
        <v>162.92301895547342</v>
      </c>
      <c r="AI38" s="624">
        <f t="shared" si="93"/>
        <v>-77.944729620082612</v>
      </c>
      <c r="AJ38" s="625">
        <f t="shared" si="94"/>
        <v>-102.18598151506737</v>
      </c>
      <c r="AK38" s="4">
        <f t="shared" si="213"/>
        <v>0.96076695497966369</v>
      </c>
      <c r="AL38" s="5">
        <f t="shared" si="95"/>
        <v>-0.18250035243164811</v>
      </c>
      <c r="AM38" s="6">
        <f t="shared" si="96"/>
        <v>-0.20885516412439833</v>
      </c>
      <c r="AN38" s="612">
        <f t="shared" si="97"/>
        <v>-41.147382717355327</v>
      </c>
      <c r="AO38" s="613">
        <f t="shared" si="98"/>
        <v>16.102520271270254</v>
      </c>
      <c r="AP38" s="624">
        <f t="shared" si="99"/>
        <v>-10.755355732839675</v>
      </c>
      <c r="AQ38" s="625">
        <f t="shared" si="10"/>
        <v>4.2720475732293206</v>
      </c>
      <c r="AS38" s="56">
        <f t="shared" si="119"/>
        <v>-180.52162591347104</v>
      </c>
      <c r="AT38" s="77">
        <f t="shared" si="11"/>
        <v>0.42840384133416909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4.1150000000000002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0.02</v>
      </c>
      <c r="B39" s="770">
        <v>-0.13651343048525225</v>
      </c>
      <c r="C39" s="771">
        <v>-3.450511013277727</v>
      </c>
      <c r="D39" s="772">
        <v>-0.79810237691676944</v>
      </c>
      <c r="E39" s="773">
        <v>0.91004607594236597</v>
      </c>
      <c r="F39" s="771">
        <v>-0.37851231018471132</v>
      </c>
      <c r="G39" s="774">
        <v>0.16895138561294609</v>
      </c>
      <c r="H39" s="773">
        <v>0.314</v>
      </c>
      <c r="I39" s="771">
        <v>0.52</v>
      </c>
      <c r="J39" s="601">
        <v>4.1210000000000004</v>
      </c>
      <c r="K39" s="426" t="str">
        <f t="shared" si="225"/>
        <v>1613</v>
      </c>
      <c r="L39" s="327"/>
      <c r="M39" s="173">
        <f t="shared" si="2"/>
        <v>4.1210000000000004</v>
      </c>
      <c r="N39" s="21">
        <f t="shared" si="3"/>
        <v>-0.13651343048525225</v>
      </c>
      <c r="O39" s="5">
        <f t="shared" si="4"/>
        <v>-3.450511013277727</v>
      </c>
      <c r="P39" s="10">
        <f t="shared" si="5"/>
        <v>-0.79810237691676944</v>
      </c>
      <c r="Q39" s="624">
        <f t="shared" si="116"/>
        <v>267.73437433833135</v>
      </c>
      <c r="R39" s="5">
        <f t="shared" si="83"/>
        <v>3.4532104148826117</v>
      </c>
      <c r="S39" s="6">
        <f t="shared" si="84"/>
        <v>-0.79810237691676944</v>
      </c>
      <c r="T39" s="4">
        <f t="shared" si="85"/>
        <v>-3.4522424766790007</v>
      </c>
      <c r="U39" s="5">
        <f t="shared" si="86"/>
        <v>8.17560497270996E-2</v>
      </c>
      <c r="V39" s="8">
        <f t="shared" si="117"/>
        <v>-0.79810237691676944</v>
      </c>
      <c r="W39" s="624">
        <f t="shared" si="227"/>
        <v>178.64337420708802</v>
      </c>
      <c r="X39" s="5">
        <f t="shared" si="87"/>
        <v>3.4532104148826117</v>
      </c>
      <c r="Y39" s="7">
        <f t="shared" si="226"/>
        <v>-0.79810237691676944</v>
      </c>
      <c r="Z39" s="21">
        <f t="shared" si="7"/>
        <v>-0.91004607594236597</v>
      </c>
      <c r="AA39" s="5">
        <f t="shared" si="8"/>
        <v>0.37851231018471132</v>
      </c>
      <c r="AB39" s="5">
        <f t="shared" si="9"/>
        <v>-0.16895138561294609</v>
      </c>
      <c r="AC39" s="8">
        <f t="shared" si="88"/>
        <v>1</v>
      </c>
      <c r="AD39" s="9">
        <f t="shared" si="118"/>
        <v>-0.91004607594236597</v>
      </c>
      <c r="AE39" s="5">
        <f t="shared" si="89"/>
        <v>0.37851231018471132</v>
      </c>
      <c r="AF39" s="10">
        <f t="shared" si="90"/>
        <v>-0.16895138561294609</v>
      </c>
      <c r="AG39" s="622">
        <f t="shared" si="91"/>
        <v>65.946099412767666</v>
      </c>
      <c r="AH39" s="623">
        <f t="shared" si="92"/>
        <v>155.51171965822937</v>
      </c>
      <c r="AI39" s="624">
        <f t="shared" si="93"/>
        <v>-80.273143994175939</v>
      </c>
      <c r="AJ39" s="625">
        <f t="shared" si="94"/>
        <v>-112.58372212720879</v>
      </c>
      <c r="AK39" s="4">
        <f t="shared" si="213"/>
        <v>0.92429815681591665</v>
      </c>
      <c r="AL39" s="5">
        <f t="shared" si="95"/>
        <v>-0.34224018847319015</v>
      </c>
      <c r="AM39" s="6">
        <f t="shared" si="96"/>
        <v>-0.16895138561294609</v>
      </c>
      <c r="AN39" s="612">
        <f t="shared" si="97"/>
        <v>-63.726142065862959</v>
      </c>
      <c r="AO39" s="613">
        <f t="shared" si="98"/>
        <v>22.437240118831113</v>
      </c>
      <c r="AP39" s="624">
        <f t="shared" si="99"/>
        <v>-20.318096465540137</v>
      </c>
      <c r="AQ39" s="625">
        <f t="shared" si="10"/>
        <v>3.5866651131229275</v>
      </c>
      <c r="AS39" s="56">
        <f t="shared" si="119"/>
        <v>-181.35662579291198</v>
      </c>
      <c r="AT39" s="77">
        <f t="shared" si="11"/>
        <v>-0.1095433466393545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4.1210000000000004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0.02</v>
      </c>
      <c r="B40" s="770">
        <v>-0.16500103284884099</v>
      </c>
      <c r="C40" s="771">
        <v>-3.6832171084642429</v>
      </c>
      <c r="D40" s="772">
        <v>-1.6045048090265044</v>
      </c>
      <c r="E40" s="773">
        <v>0.84278115617020621</v>
      </c>
      <c r="F40" s="771">
        <v>-0.53825637274852378</v>
      </c>
      <c r="G40" s="774">
        <v>1.1339743345366201E-7</v>
      </c>
      <c r="H40" s="773">
        <v>0.314</v>
      </c>
      <c r="I40" s="771">
        <v>0.52</v>
      </c>
      <c r="J40" s="601">
        <v>4.1269999999999998</v>
      </c>
      <c r="K40" s="426" t="str">
        <f t="shared" si="225"/>
        <v>1613</v>
      </c>
      <c r="L40" s="327"/>
      <c r="M40" s="173">
        <f t="shared" si="2"/>
        <v>4.1269999999999998</v>
      </c>
      <c r="N40" s="21">
        <f t="shared" si="3"/>
        <v>-0.16500103284884099</v>
      </c>
      <c r="O40" s="5">
        <f t="shared" si="4"/>
        <v>-3.6832171084642429</v>
      </c>
      <c r="P40" s="10">
        <f t="shared" si="5"/>
        <v>-1.6045048090265044</v>
      </c>
      <c r="Q40" s="624">
        <f t="shared" si="116"/>
        <v>267.43497439682073</v>
      </c>
      <c r="R40" s="5">
        <f t="shared" si="83"/>
        <v>3.6869111202909246</v>
      </c>
      <c r="S40" s="6">
        <f t="shared" si="84"/>
        <v>-1.6045048090265044</v>
      </c>
      <c r="T40" s="4">
        <f t="shared" si="85"/>
        <v>-3.6853712244833639</v>
      </c>
      <c r="U40" s="5">
        <f t="shared" si="86"/>
        <v>0.1065483302303353</v>
      </c>
      <c r="V40" s="8">
        <f t="shared" si="117"/>
        <v>-1.6045048090265044</v>
      </c>
      <c r="W40" s="624">
        <f t="shared" si="227"/>
        <v>178.3439742655774</v>
      </c>
      <c r="X40" s="5">
        <f t="shared" si="87"/>
        <v>3.6869111202909246</v>
      </c>
      <c r="Y40" s="7">
        <f t="shared" si="226"/>
        <v>-1.6045048090265044</v>
      </c>
      <c r="Z40" s="21">
        <f t="shared" si="7"/>
        <v>-0.84278115617020621</v>
      </c>
      <c r="AA40" s="5">
        <f t="shared" si="8"/>
        <v>0.53825637274852378</v>
      </c>
      <c r="AB40" s="5">
        <f t="shared" si="9"/>
        <v>-1.1339743345366201E-7</v>
      </c>
      <c r="AC40" s="8">
        <f t="shared" si="88"/>
        <v>1</v>
      </c>
      <c r="AD40" s="9">
        <f t="shared" si="118"/>
        <v>-0.84278115617020621</v>
      </c>
      <c r="AE40" s="5">
        <f t="shared" si="89"/>
        <v>0.53825637274852378</v>
      </c>
      <c r="AF40" s="10">
        <f t="shared" si="90"/>
        <v>-1.1339743345366201E-7</v>
      </c>
      <c r="AG40" s="622">
        <f t="shared" si="91"/>
        <v>89.999987929182694</v>
      </c>
      <c r="AH40" s="623">
        <f t="shared" si="92"/>
        <v>147.43497871302287</v>
      </c>
      <c r="AI40" s="624">
        <f t="shared" si="93"/>
        <v>-89.999993502805651</v>
      </c>
      <c r="AJ40" s="625">
        <f t="shared" si="94"/>
        <v>-122.56502128697656</v>
      </c>
      <c r="AK40" s="4">
        <f t="shared" si="213"/>
        <v>0.86602544145040483</v>
      </c>
      <c r="AL40" s="5">
        <f t="shared" si="95"/>
        <v>-0.4999999347606145</v>
      </c>
      <c r="AM40" s="6">
        <f t="shared" si="96"/>
        <v>-1.1339743345366201E-7</v>
      </c>
      <c r="AN40" s="612">
        <f t="shared" si="97"/>
        <v>-89.999987005609626</v>
      </c>
      <c r="AO40" s="613">
        <f t="shared" si="98"/>
        <v>29.99999568379793</v>
      </c>
      <c r="AP40" s="624">
        <f t="shared" si="99"/>
        <v>-29.999995683797309</v>
      </c>
      <c r="AQ40" s="625">
        <f t="shared" si="10"/>
        <v>3.3598570429658952</v>
      </c>
      <c r="AS40" s="56">
        <f t="shared" si="119"/>
        <v>-181.6560257344226</v>
      </c>
      <c r="AT40" s="77">
        <f t="shared" si="11"/>
        <v>-0.91481471230338274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4.1269999999999998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</v>
      </c>
      <c r="B41" s="770">
        <v>-1.1395165909916409</v>
      </c>
      <c r="C41" s="771">
        <v>-2.6965207937901527</v>
      </c>
      <c r="D41" s="772">
        <v>-0.23780068704687241</v>
      </c>
      <c r="E41" s="773">
        <v>-0.12865506397876553</v>
      </c>
      <c r="F41" s="771">
        <v>-0.30444639587443434</v>
      </c>
      <c r="G41" s="774">
        <v>0.94380096765774035</v>
      </c>
      <c r="H41" s="773">
        <v>0.25700000000000001</v>
      </c>
      <c r="I41" s="771">
        <v>0.41499999999999992</v>
      </c>
      <c r="J41" s="601">
        <v>4.2149999999999999</v>
      </c>
      <c r="K41" s="426" t="str">
        <f t="shared" si="225"/>
        <v>Knuckle</v>
      </c>
      <c r="L41" s="327"/>
      <c r="M41" s="173">
        <f t="shared" ref="M41:M72" si="242">IF(J41="","",VALUE(J41))</f>
        <v>4.2149999999999999</v>
      </c>
      <c r="N41" s="21">
        <f t="shared" ref="N41:N72" si="243">IF(M41="","",B41)</f>
        <v>-1.1395165909916409</v>
      </c>
      <c r="O41" s="5">
        <f t="shared" ref="O41:O72" si="244">IF(M41="","",C41)</f>
        <v>-2.6965207937901527</v>
      </c>
      <c r="P41" s="10">
        <f t="shared" ref="P41:P72" si="245">IF(M41="","",D41)</f>
        <v>-0.23780068704687241</v>
      </c>
      <c r="Q41" s="624">
        <f t="shared" si="116"/>
        <v>247.09167731876801</v>
      </c>
      <c r="R41" s="5">
        <f t="shared" si="83"/>
        <v>2.9274088290650293</v>
      </c>
      <c r="S41" s="6">
        <f t="shared" si="84"/>
        <v>-0.23780068704687241</v>
      </c>
      <c r="T41" s="4">
        <f t="shared" si="85"/>
        <v>-2.7142591630327861</v>
      </c>
      <c r="U41" s="5">
        <f t="shared" si="86"/>
        <v>1.0965945688268051</v>
      </c>
      <c r="V41" s="8">
        <f t="shared" si="117"/>
        <v>-0.23780068704687241</v>
      </c>
      <c r="W41" s="624">
        <f t="shared" si="227"/>
        <v>158.00067718752467</v>
      </c>
      <c r="X41" s="5">
        <f t="shared" si="87"/>
        <v>2.9274088290650293</v>
      </c>
      <c r="Y41" s="7">
        <f t="shared" si="226"/>
        <v>-0.23780068704687241</v>
      </c>
      <c r="Z41" s="21">
        <f t="shared" ref="Z41:Z72" si="246">IF(M41="","",-E41)</f>
        <v>0.12865506397876553</v>
      </c>
      <c r="AA41" s="5">
        <f t="shared" ref="AA41:AA72" si="247">IF(M41="","",-F41)</f>
        <v>0.30444639587443434</v>
      </c>
      <c r="AB41" s="5">
        <f t="shared" ref="AB41:AB72" si="248">IF(M41="","",-G41)</f>
        <v>-0.94380096765774035</v>
      </c>
      <c r="AC41" s="8">
        <f t="shared" si="88"/>
        <v>1</v>
      </c>
      <c r="AD41" s="9">
        <f t="shared" si="118"/>
        <v>0.12865506397876553</v>
      </c>
      <c r="AE41" s="5">
        <f t="shared" si="89"/>
        <v>0.30444639587443434</v>
      </c>
      <c r="AF41" s="10">
        <f t="shared" si="90"/>
        <v>-0.94380096765774035</v>
      </c>
      <c r="AG41" s="622">
        <f t="shared" si="91"/>
        <v>17.878392569361662</v>
      </c>
      <c r="AH41" s="623">
        <f t="shared" si="92"/>
        <v>82.6081194765259</v>
      </c>
      <c r="AI41" s="624">
        <f t="shared" si="93"/>
        <v>-19.299997213429375</v>
      </c>
      <c r="AJ41" s="625">
        <f t="shared" si="94"/>
        <v>157.09171663443018</v>
      </c>
      <c r="AK41" s="4">
        <f t="shared" si="213"/>
        <v>2.2679489691812549E-7</v>
      </c>
      <c r="AL41" s="5">
        <f t="shared" si="95"/>
        <v>-0.33051434681154401</v>
      </c>
      <c r="AM41" s="6">
        <f t="shared" si="96"/>
        <v>-0.94380096765774035</v>
      </c>
      <c r="AN41" s="612">
        <f t="shared" si="97"/>
        <v>-19.299997213425172</v>
      </c>
      <c r="AO41" s="613">
        <f t="shared" si="98"/>
        <v>0</v>
      </c>
      <c r="AP41" s="624">
        <f t="shared" si="99"/>
        <v>-89.999960684337807</v>
      </c>
      <c r="AQ41" s="625">
        <f t="shared" ref="AQ41:AQ72" si="249">IF(M41="","",DEGREES(ATAN(($AS$5*SIN(RADIANS(90)))/(($X41*2*PI())-($AS$5*COS(RADIANS(90)))))))</f>
        <v>4.2287180486331311</v>
      </c>
      <c r="AS41" s="56">
        <f t="shared" si="119"/>
        <v>-201.99932281247533</v>
      </c>
      <c r="AT41" s="77">
        <f t="shared" ref="AT41:AT72" si="250">IF(M41="","",Y41+(((AS41-$AS$9)*$AS$6)*-1))</f>
        <v>0.52874186530444844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>
        <f>IFERROR(IF($IU41="","",IF($IU41&lt;(((Settings!$C$19/2)*-1)*$IE$8),"",1)),"")</f>
        <v>1</v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4.2149999999999999</v>
      </c>
      <c r="IH41" s="797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4.1150000000000002</v>
      </c>
      <c r="II41" s="800" cm="1">
        <f t="array" ref="II41">IFERROR(IF($IH41&lt;1,$IH41+LARGE((IF($M$9:$M$150="",0,$M$9:$M$150)-MOD(IF($M$9:$M$150="",0,$M$9:$M$150),1)),1),$IH41),"")</f>
        <v>4.1150000000000002</v>
      </c>
      <c r="IJ41" s="839" t="str">
        <f t="shared" ref="IJ41:IJ72" si="386">IF(ISNUMBER($II41),INDEX($K$9:$K$150,MATCH($II41,$M$9:$M$150,0)),"")</f>
        <v>1613</v>
      </c>
      <c r="IK41" s="839" t="str">
        <f t="shared" ref="IK41:IK72" si="387">IF(ISNUMBER($II41),INDEX($K$9:$K$150,MATCH($IG41,$M$9:$M$150,0)),"")</f>
        <v>Knuckle</v>
      </c>
      <c r="IL41" s="791">
        <f t="shared" si="228"/>
        <v>21.477696899004286</v>
      </c>
      <c r="IM41" s="830">
        <v>9.8055691070021399E-3</v>
      </c>
      <c r="IN41" s="5">
        <f t="shared" si="229"/>
        <v>0.2</v>
      </c>
      <c r="IO41" s="852">
        <v>100</v>
      </c>
      <c r="IP41" s="9">
        <f t="shared" si="230"/>
        <v>-2.8976087391879575</v>
      </c>
      <c r="IQ41" s="5">
        <f t="shared" si="231"/>
        <v>-0.25700074495424674</v>
      </c>
      <c r="IR41" s="5">
        <f t="shared" ref="IR41:IR72" si="388">IF(ISNUMBER($II41),INDEX($H$9:$H$150,MATCH($II41,$M$9:$M$150,0)),"")</f>
        <v>0.314</v>
      </c>
      <c r="IS41" s="5">
        <f t="shared" si="232"/>
        <v>0.30168082386361439</v>
      </c>
      <c r="IT41" s="791">
        <f t="shared" si="233"/>
        <v>41.147382717355327</v>
      </c>
      <c r="IU41" s="9">
        <f t="shared" si="234"/>
        <v>-2.9274088290650293</v>
      </c>
      <c r="IV41" s="5">
        <f t="shared" si="235"/>
        <v>-0.23780068704687241</v>
      </c>
      <c r="IW41" s="5">
        <f t="shared" ref="IW41:IW72" si="389">IF(ISNUMBER($II41),$H41,"")</f>
        <v>0.25700000000000001</v>
      </c>
      <c r="IX41" s="5">
        <f t="shared" si="236"/>
        <v>0.25700000000000001</v>
      </c>
      <c r="IY41" s="833">
        <f t="shared" si="237"/>
        <v>19.299997213425172</v>
      </c>
    </row>
    <row r="42" spans="1:259" ht="15" customHeight="1" x14ac:dyDescent="0.25">
      <c r="A42" s="84">
        <f t="shared" si="82"/>
        <v>0</v>
      </c>
      <c r="B42" s="770">
        <v>-1.2493276674518394</v>
      </c>
      <c r="C42" s="771">
        <v>-3.2517727206274278</v>
      </c>
      <c r="D42" s="772">
        <v>-0.79610237088475089</v>
      </c>
      <c r="E42" s="773">
        <v>-0.24044184357329543</v>
      </c>
      <c r="F42" s="771">
        <v>-0.62582702540008761</v>
      </c>
      <c r="G42" s="774">
        <v>0.74197591210089364</v>
      </c>
      <c r="H42" s="773">
        <v>0.25700000000000001</v>
      </c>
      <c r="I42" s="771">
        <v>0.41499999999999992</v>
      </c>
      <c r="J42" s="601">
        <v>4.2210000000000001</v>
      </c>
      <c r="K42" s="426" t="str">
        <f t="shared" si="225"/>
        <v>Knuckle</v>
      </c>
      <c r="L42" s="327"/>
      <c r="M42" s="173">
        <f t="shared" si="242"/>
        <v>4.2210000000000001</v>
      </c>
      <c r="N42" s="21">
        <f t="shared" si="243"/>
        <v>-1.2493276674518394</v>
      </c>
      <c r="O42" s="5">
        <f t="shared" si="244"/>
        <v>-3.2517727206274278</v>
      </c>
      <c r="P42" s="10">
        <f t="shared" si="245"/>
        <v>-0.79610237088475089</v>
      </c>
      <c r="Q42" s="624">
        <f t="shared" si="116"/>
        <v>248.9832770456548</v>
      </c>
      <c r="R42" s="5">
        <f t="shared" ref="R42:R47" si="390">IF(M42="","",SQRT(N42^2+O42^2))</f>
        <v>3.4835105062676872</v>
      </c>
      <c r="S42" s="6">
        <f t="shared" ref="S42:S47" si="391">IF(M42="","",P42)</f>
        <v>-0.79610237088475089</v>
      </c>
      <c r="T42" s="4">
        <f t="shared" ref="T42:T47" si="392">IF(M42="","",X42*COS(RADIANS(W42)))</f>
        <v>-3.2711832971208366</v>
      </c>
      <c r="U42" s="5">
        <f t="shared" ref="U42:U47" si="393">IF(M42="","",X42*SIN(RADIANS(W42)))</f>
        <v>1.1975831010476941</v>
      </c>
      <c r="V42" s="8">
        <f t="shared" ref="V42:V47" si="394">IF(M42="","",Y42)</f>
        <v>-0.79610237088475089</v>
      </c>
      <c r="W42" s="624">
        <f t="shared" si="227"/>
        <v>159.89227691441147</v>
      </c>
      <c r="X42" s="5">
        <f t="shared" ref="X42:X47" si="395">IF(M42="","",R42)</f>
        <v>3.4835105062676872</v>
      </c>
      <c r="Y42" s="7">
        <f t="shared" si="226"/>
        <v>-0.79610237088475089</v>
      </c>
      <c r="Z42" s="21">
        <f t="shared" si="246"/>
        <v>0.24044184357329543</v>
      </c>
      <c r="AA42" s="5">
        <f t="shared" si="247"/>
        <v>0.62582702540008761</v>
      </c>
      <c r="AB42" s="5">
        <f t="shared" si="248"/>
        <v>-0.74197591210089364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0.24044184357329543</v>
      </c>
      <c r="AE42" s="5">
        <f t="shared" ref="AE42:AE47" si="398">IF(M42="","",AA42*(1/SQRT(Z42^2+AA42^2+AB42^2)))</f>
        <v>0.62582702540008761</v>
      </c>
      <c r="AF42" s="10">
        <f t="shared" ref="AF42:AF47" si="399">IF(M42="","",AB42*(1/SQRT(Z42^2+AA42^2+AB42^2)))</f>
        <v>-0.74197591210089364</v>
      </c>
      <c r="AG42" s="622">
        <f t="shared" ref="AG42:AG47" si="400">IF(M42="","",DEGREES(ATAN2(-AF42,AE42)))</f>
        <v>40.146293292437932</v>
      </c>
      <c r="AH42" s="623">
        <f t="shared" ref="AH42:AH47" si="401">IF(M42="","",DEGREES(ACOS(AD42)))</f>
        <v>76.08738021383418</v>
      </c>
      <c r="AI42" s="624">
        <f t="shared" ref="AI42:AI47" si="402">IF(M42="","",DEGREES(-ACOS(-AF42)))</f>
        <v>-42.099993921514553</v>
      </c>
      <c r="AJ42" s="625">
        <f t="shared" ref="AJ42:AJ47" si="403">IF(M42="","",DEGREES(ATAN2(-AE42,AD42)))</f>
        <v>158.98329642792808</v>
      </c>
      <c r="AK42" s="4">
        <f t="shared" ref="AK42:AK47" si="404">IF(M42="","",(COS(RADIANS((90-$Q$8)-W42))*AD42)+(-SIN(RADIANS((90-$Q$8)-W42))*AE42))</f>
        <v>2.2679489675159203E-7</v>
      </c>
      <c r="AL42" s="5">
        <f t="shared" ref="AL42:AL47" si="405">IF(M42="","",(SIN(RADIANS((90-$Q$8)-W42))*AD42)+(COS(RADIANS((90-$Q$8)-W42))*AE42))</f>
        <v>-0.67042654024284831</v>
      </c>
      <c r="AM42" s="6">
        <f t="shared" ref="AM42:AM47" si="406">IF(M42="","",AF42)</f>
        <v>-0.74197591210089364</v>
      </c>
      <c r="AN42" s="612">
        <f t="shared" ref="AN42:AN47" si="407">IF(M42="","",DEGREES(ATAN2(-AM42,AL42)))</f>
        <v>-42.099993921512926</v>
      </c>
      <c r="AO42" s="613">
        <f t="shared" si="98"/>
        <v>0</v>
      </c>
      <c r="AP42" s="624">
        <f t="shared" ref="AP42:AP47" si="408">IF(M42="","",DEGREES(ATAN2(AK42,AL42)))</f>
        <v>-89.999980617726749</v>
      </c>
      <c r="AQ42" s="625">
        <f t="shared" si="249"/>
        <v>3.5555481485988767</v>
      </c>
      <c r="AS42" s="56">
        <f t="shared" si="119"/>
        <v>-200.10772308558853</v>
      </c>
      <c r="AT42" s="77">
        <f t="shared" si="250"/>
        <v>-3.6705861946113472E-2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4.2210000000000001</v>
      </c>
      <c r="IH42" s="797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4.1210000000000004</v>
      </c>
      <c r="II42" s="800" cm="1">
        <f t="array" ref="II42">IFERROR(IF($IH42&lt;1,$IH42+LARGE((IF($M$9:$M$150="",0,$M$9:$M$150)-MOD(IF($M$9:$M$150="",0,$M$9:$M$150),1)),1),$IH42),"")</f>
        <v>4.1210000000000004</v>
      </c>
      <c r="IJ42" s="839" t="str">
        <f t="shared" si="386"/>
        <v>1613</v>
      </c>
      <c r="IK42" s="839" t="str">
        <f t="shared" si="387"/>
        <v>Knuckle</v>
      </c>
      <c r="IL42" s="791">
        <f t="shared" si="228"/>
        <v>18.751097292676548</v>
      </c>
      <c r="IM42" s="830">
        <v>4.3071049838960497E-3</v>
      </c>
      <c r="IN42" s="5">
        <f t="shared" si="229"/>
        <v>0.16</v>
      </c>
      <c r="IO42" s="852">
        <v>80</v>
      </c>
      <c r="IP42" s="9">
        <f t="shared" si="230"/>
        <v>-3.4532104148826117</v>
      </c>
      <c r="IQ42" s="5">
        <f t="shared" si="231"/>
        <v>-0.79810237691676944</v>
      </c>
      <c r="IR42" s="5">
        <f t="shared" si="388"/>
        <v>0.314</v>
      </c>
      <c r="IS42" s="5">
        <f t="shared" si="232"/>
        <v>0.29022962124019785</v>
      </c>
      <c r="IT42" s="791">
        <f t="shared" si="233"/>
        <v>63.726142065862959</v>
      </c>
      <c r="IU42" s="9">
        <f t="shared" si="234"/>
        <v>-3.4835105062676872</v>
      </c>
      <c r="IV42" s="5">
        <f t="shared" si="235"/>
        <v>-0.79610237088475089</v>
      </c>
      <c r="IW42" s="5">
        <f t="shared" si="389"/>
        <v>0.25700000000000001</v>
      </c>
      <c r="IX42" s="5">
        <f t="shared" si="236"/>
        <v>0.25700000000000001</v>
      </c>
      <c r="IY42" s="833">
        <f t="shared" si="237"/>
        <v>42.099993921512926</v>
      </c>
    </row>
    <row r="43" spans="1:259" ht="15" customHeight="1" x14ac:dyDescent="0.25">
      <c r="A43" s="84">
        <f t="shared" si="82"/>
        <v>0</v>
      </c>
      <c r="B43" s="770">
        <v>-1.3328694706540369</v>
      </c>
      <c r="C43" s="771">
        <v>-3.4542796544397545</v>
      </c>
      <c r="D43" s="772">
        <v>-1.6174048479330205</v>
      </c>
      <c r="E43" s="773">
        <v>-0.35999045685147152</v>
      </c>
      <c r="F43" s="771">
        <v>-0.93295598555120351</v>
      </c>
      <c r="G43" s="774">
        <v>2.2679489705657792E-7</v>
      </c>
      <c r="H43" s="773">
        <v>0.25700000000000001</v>
      </c>
      <c r="I43" s="771">
        <v>0.41499999999999992</v>
      </c>
      <c r="J43" s="601">
        <v>4.2270000000000003</v>
      </c>
      <c r="K43" s="426" t="str">
        <f t="shared" si="225"/>
        <v>Knuckle</v>
      </c>
      <c r="L43" s="327"/>
      <c r="M43" s="173">
        <f t="shared" si="242"/>
        <v>4.2270000000000003</v>
      </c>
      <c r="N43" s="21">
        <f t="shared" si="243"/>
        <v>-1.3328694706540369</v>
      </c>
      <c r="O43" s="5">
        <f t="shared" si="244"/>
        <v>-3.4542796544397545</v>
      </c>
      <c r="P43" s="10">
        <f t="shared" si="245"/>
        <v>-1.6174048479330205</v>
      </c>
      <c r="Q43" s="624">
        <f t="shared" si="116"/>
        <v>248.9003770576241</v>
      </c>
      <c r="R43" s="5">
        <f t="shared" si="390"/>
        <v>3.7025111690416277</v>
      </c>
      <c r="S43" s="6">
        <f t="shared" si="391"/>
        <v>-1.6174048479330205</v>
      </c>
      <c r="T43" s="4">
        <f t="shared" si="392"/>
        <v>-3.4749900845203086</v>
      </c>
      <c r="U43" s="5">
        <f t="shared" si="393"/>
        <v>1.2779017448002563</v>
      </c>
      <c r="V43" s="8">
        <f t="shared" si="394"/>
        <v>-1.6174048479330205</v>
      </c>
      <c r="W43" s="624">
        <f t="shared" si="227"/>
        <v>159.80937692638076</v>
      </c>
      <c r="X43" s="5">
        <f t="shared" si="395"/>
        <v>3.7025111690416277</v>
      </c>
      <c r="Y43" s="7">
        <f t="shared" si="226"/>
        <v>-1.6174048479330205</v>
      </c>
      <c r="Z43" s="21">
        <f t="shared" si="246"/>
        <v>0.35999045685147152</v>
      </c>
      <c r="AA43" s="5">
        <f t="shared" si="247"/>
        <v>0.93295598555120351</v>
      </c>
      <c r="AB43" s="5">
        <f t="shared" si="248"/>
        <v>-2.2679489705657792E-7</v>
      </c>
      <c r="AC43" s="8">
        <f t="shared" si="396"/>
        <v>1</v>
      </c>
      <c r="AD43" s="9">
        <f t="shared" si="397"/>
        <v>0.35999045685147152</v>
      </c>
      <c r="AE43" s="5">
        <f t="shared" si="398"/>
        <v>0.93295598555120351</v>
      </c>
      <c r="AF43" s="10">
        <f t="shared" si="399"/>
        <v>-2.2679489705657792E-7</v>
      </c>
      <c r="AG43" s="622">
        <f t="shared" si="400"/>
        <v>89.999986071807655</v>
      </c>
      <c r="AH43" s="623">
        <f t="shared" si="401"/>
        <v>68.900390052015055</v>
      </c>
      <c r="AI43" s="624">
        <f t="shared" si="402"/>
        <v>-89.999987005609583</v>
      </c>
      <c r="AJ43" s="625">
        <f t="shared" si="403"/>
        <v>158.9003900520145</v>
      </c>
      <c r="AK43" s="4">
        <f t="shared" si="404"/>
        <v>2.2679489680710319E-7</v>
      </c>
      <c r="AL43" s="5">
        <f t="shared" si="405"/>
        <v>-0.99999999999994849</v>
      </c>
      <c r="AM43" s="6">
        <f t="shared" si="406"/>
        <v>-2.2679489705657792E-7</v>
      </c>
      <c r="AN43" s="612">
        <f t="shared" si="407"/>
        <v>-89.999987005609583</v>
      </c>
      <c r="AO43" s="613">
        <f t="shared" si="98"/>
        <v>0</v>
      </c>
      <c r="AP43" s="624">
        <f t="shared" si="408"/>
        <v>-89.999987005609611</v>
      </c>
      <c r="AQ43" s="625">
        <f t="shared" si="249"/>
        <v>3.3457329493778749</v>
      </c>
      <c r="AS43" s="56">
        <f t="shared" ref="AS43:AS74" si="411">IF(G43="","",IF(AND(W43&lt;(AS42+180),W43&gt;(AS42-180)),W43,IF(W43&gt;(AS42+180),W43-360,IF(W43&lt;(AS42-180),W43+360,"Error"))))</f>
        <v>-200.19062307361924</v>
      </c>
      <c r="AT43" s="77">
        <f t="shared" si="250"/>
        <v>-0.85769516126182266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>
        <f>IFERROR(IF((((($IW43*COS(RADIANS(180-$IY43)))*COS(RADIANS($IY43)))-(($IX43*SIN(RADIANS(180-$IY43)))*SIN(RADIANS($IY43))))+$IU43)&lt;(((Settings!$C$19/2)*-1)+$IF$8),1,""),"")</f>
        <v>1</v>
      </c>
      <c r="IG43" s="836">
        <f t="shared" si="385"/>
        <v>4.2270000000000003</v>
      </c>
      <c r="IH43" s="797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4.1269999999999998</v>
      </c>
      <c r="II43" s="800" cm="1">
        <f t="array" ref="II43">IFERROR(IF($IH43&lt;1,$IH43+LARGE((IF($M$9:$M$150="",0,$M$9:$M$150)-MOD(IF($M$9:$M$150="",0,$M$9:$M$150),1)),1),$IH43),"")</f>
        <v>4.1269999999999998</v>
      </c>
      <c r="IJ43" s="839" t="str">
        <f t="shared" si="386"/>
        <v>1613</v>
      </c>
      <c r="IK43" s="839" t="str">
        <f t="shared" si="387"/>
        <v>Knuckle</v>
      </c>
      <c r="IL43" s="791">
        <f t="shared" si="228"/>
        <v>18.534597339196637</v>
      </c>
      <c r="IM43" s="830">
        <v>3.7231743506913002E-5</v>
      </c>
      <c r="IN43" s="5">
        <f t="shared" si="229"/>
        <v>0</v>
      </c>
      <c r="IO43" s="852">
        <v>0</v>
      </c>
      <c r="IP43" s="9">
        <f t="shared" si="230"/>
        <v>-3.6869111202909246</v>
      </c>
      <c r="IQ43" s="5">
        <f t="shared" si="231"/>
        <v>-1.6045048090265044</v>
      </c>
      <c r="IR43" s="5">
        <f t="shared" si="388"/>
        <v>0.314</v>
      </c>
      <c r="IS43" s="5">
        <f t="shared" si="232"/>
        <v>0.27193198861542711</v>
      </c>
      <c r="IT43" s="791">
        <f t="shared" si="233"/>
        <v>89.999987005609626</v>
      </c>
      <c r="IU43" s="9">
        <f t="shared" si="234"/>
        <v>-3.7025111690416277</v>
      </c>
      <c r="IV43" s="5">
        <f t="shared" si="235"/>
        <v>-1.6174048479330205</v>
      </c>
      <c r="IW43" s="5">
        <f t="shared" si="389"/>
        <v>0.25700000000000001</v>
      </c>
      <c r="IX43" s="5">
        <f t="shared" si="236"/>
        <v>0.25700000000000001</v>
      </c>
      <c r="IY43" s="833">
        <f t="shared" si="237"/>
        <v>89.999987005609583</v>
      </c>
    </row>
    <row r="44" spans="1:259" ht="15" customHeight="1" x14ac:dyDescent="0.25">
      <c r="A44" s="84">
        <f t="shared" si="82"/>
        <v>0.02</v>
      </c>
      <c r="B44" s="770">
        <v>-0.51671832930855399</v>
      </c>
      <c r="C44" s="771">
        <v>-0.25202018133867077</v>
      </c>
      <c r="D44" s="772">
        <v>-0.44170133217121788</v>
      </c>
      <c r="E44" s="773">
        <v>0.4880334306401819</v>
      </c>
      <c r="F44" s="771">
        <v>-0.82307756169972091</v>
      </c>
      <c r="G44" s="774">
        <v>0.29045946017304536</v>
      </c>
      <c r="H44" s="773">
        <v>0.314</v>
      </c>
      <c r="I44" s="771">
        <v>0.52</v>
      </c>
      <c r="J44" s="601">
        <v>5.1020000000000003</v>
      </c>
      <c r="K44" s="426" t="str">
        <f t="shared" si="225"/>
        <v>1613</v>
      </c>
      <c r="L44" s="327"/>
      <c r="M44" s="173">
        <f t="shared" si="242"/>
        <v>5.1020000000000003</v>
      </c>
      <c r="N44" s="21">
        <f t="shared" si="243"/>
        <v>-0.51671832930855399</v>
      </c>
      <c r="O44" s="5">
        <f t="shared" si="244"/>
        <v>-0.25202018133867077</v>
      </c>
      <c r="P44" s="10">
        <f t="shared" si="245"/>
        <v>-0.44170133217121788</v>
      </c>
      <c r="Q44" s="624">
        <f t="shared" si="116"/>
        <v>205.99998325167462</v>
      </c>
      <c r="R44" s="5">
        <f t="shared" si="390"/>
        <v>0.57490173390362964</v>
      </c>
      <c r="S44" s="6">
        <f t="shared" si="391"/>
        <v>-0.44170133217121788</v>
      </c>
      <c r="T44" s="4">
        <f t="shared" si="392"/>
        <v>-0.26018587871288273</v>
      </c>
      <c r="U44" s="5">
        <f t="shared" si="393"/>
        <v>0.51265515911166337</v>
      </c>
      <c r="V44" s="8">
        <f t="shared" si="394"/>
        <v>-0.44170133217121788</v>
      </c>
      <c r="W44" s="624">
        <f t="shared" si="227"/>
        <v>116.90898312043127</v>
      </c>
      <c r="X44" s="5">
        <f t="shared" si="395"/>
        <v>0.57490173390362964</v>
      </c>
      <c r="Y44" s="7">
        <f t="shared" si="226"/>
        <v>-0.44170133217121788</v>
      </c>
      <c r="Z44" s="21">
        <f t="shared" si="246"/>
        <v>-0.4880334306401819</v>
      </c>
      <c r="AA44" s="5">
        <f t="shared" si="247"/>
        <v>0.82307756169972091</v>
      </c>
      <c r="AB44" s="5">
        <f t="shared" si="248"/>
        <v>-0.29045946017304536</v>
      </c>
      <c r="AC44" s="8">
        <f t="shared" si="396"/>
        <v>1</v>
      </c>
      <c r="AD44" s="9">
        <f t="shared" si="397"/>
        <v>-0.4880334306401819</v>
      </c>
      <c r="AE44" s="5">
        <f t="shared" si="398"/>
        <v>0.82307756169972091</v>
      </c>
      <c r="AF44" s="10">
        <f t="shared" si="399"/>
        <v>-0.29045946017304536</v>
      </c>
      <c r="AG44" s="622">
        <f t="shared" si="400"/>
        <v>70.562348560179586</v>
      </c>
      <c r="AH44" s="623">
        <f t="shared" si="401"/>
        <v>119.2114064334851</v>
      </c>
      <c r="AI44" s="624">
        <f t="shared" si="402"/>
        <v>-73.114534769632428</v>
      </c>
      <c r="AJ44" s="625">
        <f t="shared" si="403"/>
        <v>-149.3347147995427</v>
      </c>
      <c r="AK44" s="4">
        <f t="shared" si="404"/>
        <v>0.95371696400905337</v>
      </c>
      <c r="AL44" s="5">
        <f t="shared" si="405"/>
        <v>7.782836601996157E-2</v>
      </c>
      <c r="AM44" s="6">
        <f t="shared" si="406"/>
        <v>-0.29045946017304536</v>
      </c>
      <c r="AN44" s="612">
        <f t="shared" si="407"/>
        <v>14.999997834268274</v>
      </c>
      <c r="AO44" s="613">
        <f t="shared" si="98"/>
        <v>17.49999747331298</v>
      </c>
      <c r="AP44" s="624">
        <f t="shared" si="408"/>
        <v>4.6653019487827061</v>
      </c>
      <c r="AQ44" s="625">
        <f t="shared" si="249"/>
        <v>20.631375096264239</v>
      </c>
      <c r="AS44" s="56">
        <f t="shared" si="411"/>
        <v>-243.09101687956871</v>
      </c>
      <c r="AT44" s="77">
        <f t="shared" si="250"/>
        <v>0.48007650887801134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5.1020000000000003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0.02</v>
      </c>
      <c r="B45" s="770">
        <v>-1.1299674440889094</v>
      </c>
      <c r="C45" s="771">
        <v>-0.55112153762215477</v>
      </c>
      <c r="D45" s="772">
        <v>-0.23490070846053665</v>
      </c>
      <c r="E45" s="773">
        <v>0.48364153900886331</v>
      </c>
      <c r="F45" s="771">
        <v>-0.8388032415964124</v>
      </c>
      <c r="G45" s="774">
        <v>0.24999996726497556</v>
      </c>
      <c r="H45" s="773">
        <v>0.28999999999999998</v>
      </c>
      <c r="I45" s="771">
        <v>0.52</v>
      </c>
      <c r="J45" s="601">
        <v>5.1050000000000004</v>
      </c>
      <c r="K45" s="426" t="str">
        <f t="shared" si="225"/>
        <v>1513</v>
      </c>
      <c r="L45" s="327"/>
      <c r="M45" s="173">
        <f t="shared" si="242"/>
        <v>5.1050000000000004</v>
      </c>
      <c r="N45" s="21">
        <f t="shared" si="243"/>
        <v>-1.1299674440889094</v>
      </c>
      <c r="O45" s="5">
        <f t="shared" si="244"/>
        <v>-0.55112153762215477</v>
      </c>
      <c r="P45" s="10">
        <f t="shared" si="245"/>
        <v>-0.23490070846053665</v>
      </c>
      <c r="Q45" s="624">
        <f t="shared" si="116"/>
        <v>205.99998325167462</v>
      </c>
      <c r="R45" s="5">
        <f t="shared" si="390"/>
        <v>1.2572037917266359</v>
      </c>
      <c r="S45" s="6">
        <f t="shared" si="391"/>
        <v>-0.23490070846053665</v>
      </c>
      <c r="T45" s="4">
        <f t="shared" si="392"/>
        <v>-0.56897840792805032</v>
      </c>
      <c r="U45" s="5">
        <f t="shared" si="393"/>
        <v>1.1210820421554757</v>
      </c>
      <c r="V45" s="8">
        <f t="shared" si="394"/>
        <v>-0.23490070846053665</v>
      </c>
      <c r="W45" s="624">
        <f t="shared" si="227"/>
        <v>116.90898312043127</v>
      </c>
      <c r="X45" s="5">
        <f t="shared" si="395"/>
        <v>1.2572037917266359</v>
      </c>
      <c r="Y45" s="7">
        <f t="shared" si="226"/>
        <v>-0.23490070846053665</v>
      </c>
      <c r="Z45" s="21">
        <f t="shared" si="246"/>
        <v>-0.48364153900886331</v>
      </c>
      <c r="AA45" s="5">
        <f t="shared" si="247"/>
        <v>0.8388032415964124</v>
      </c>
      <c r="AB45" s="5">
        <f t="shared" si="248"/>
        <v>-0.24999996726497556</v>
      </c>
      <c r="AC45" s="8">
        <f t="shared" si="396"/>
        <v>1</v>
      </c>
      <c r="AD45" s="9">
        <f t="shared" si="397"/>
        <v>-0.48364153900886331</v>
      </c>
      <c r="AE45" s="5">
        <f t="shared" si="398"/>
        <v>0.8388032415964124</v>
      </c>
      <c r="AF45" s="10">
        <f t="shared" si="399"/>
        <v>-0.24999996726497556</v>
      </c>
      <c r="AG45" s="622">
        <f t="shared" si="400"/>
        <v>73.40364725137006</v>
      </c>
      <c r="AH45" s="623">
        <f t="shared" si="401"/>
        <v>118.92350802287865</v>
      </c>
      <c r="AI45" s="624">
        <f t="shared" si="402"/>
        <v>-75.522489751159469</v>
      </c>
      <c r="AJ45" s="625">
        <f t="shared" si="403"/>
        <v>-150.03288710323878</v>
      </c>
      <c r="AK45" s="4">
        <f t="shared" si="404"/>
        <v>0.96592583607220739</v>
      </c>
      <c r="AL45" s="5">
        <f t="shared" si="405"/>
        <v>6.6987279208207462E-2</v>
      </c>
      <c r="AM45" s="6">
        <f t="shared" si="406"/>
        <v>-0.24999996726497556</v>
      </c>
      <c r="AN45" s="612">
        <f t="shared" si="407"/>
        <v>14.999997834268331</v>
      </c>
      <c r="AO45" s="613">
        <f t="shared" si="98"/>
        <v>14.999997834268255</v>
      </c>
      <c r="AP45" s="624">
        <f t="shared" si="408"/>
        <v>3.9671296450865872</v>
      </c>
      <c r="AQ45" s="625">
        <f t="shared" si="249"/>
        <v>9.7687504811425008</v>
      </c>
      <c r="AS45" s="56">
        <f t="shared" si="411"/>
        <v>-243.09101687956871</v>
      </c>
      <c r="AT45" s="77">
        <f t="shared" si="250"/>
        <v>0.68687713258869254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5.1050000000000004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-1.7426768369873544</v>
      </c>
      <c r="C46" s="771">
        <v>-0.83964478983134827</v>
      </c>
      <c r="D46" s="772">
        <v>-6.0500182468550309E-2</v>
      </c>
      <c r="E46" s="773">
        <v>0.41529835988587444</v>
      </c>
      <c r="F46" s="771">
        <v>-0.87133832506999065</v>
      </c>
      <c r="G46" s="774">
        <v>0.26133655607343975</v>
      </c>
      <c r="H46" s="773">
        <v>0.28999999999999998</v>
      </c>
      <c r="I46" s="771">
        <v>0.52</v>
      </c>
      <c r="J46" s="601">
        <v>5.1079999999999997</v>
      </c>
      <c r="K46" s="426" t="str">
        <f t="shared" si="225"/>
        <v>1513</v>
      </c>
      <c r="L46" s="327"/>
      <c r="M46" s="173">
        <f t="shared" si="242"/>
        <v>5.1079999999999997</v>
      </c>
      <c r="N46" s="21">
        <f t="shared" si="243"/>
        <v>-1.7426768369873544</v>
      </c>
      <c r="O46" s="5">
        <f t="shared" si="244"/>
        <v>-0.83964478983134827</v>
      </c>
      <c r="P46" s="10">
        <f t="shared" si="245"/>
        <v>-6.0500182468550309E-2</v>
      </c>
      <c r="Q46" s="624">
        <f t="shared" si="116"/>
        <v>205.72538329132192</v>
      </c>
      <c r="R46" s="5">
        <f t="shared" si="390"/>
        <v>1.9344058341679957</v>
      </c>
      <c r="S46" s="6">
        <f t="shared" si="391"/>
        <v>-6.0500182468550309E-2</v>
      </c>
      <c r="T46" s="4">
        <f t="shared" si="392"/>
        <v>-0.86718560194245409</v>
      </c>
      <c r="U46" s="5">
        <f t="shared" si="393"/>
        <v>1.729137086250504</v>
      </c>
      <c r="V46" s="8">
        <f t="shared" si="394"/>
        <v>-6.0500182468550309E-2</v>
      </c>
      <c r="W46" s="624">
        <f t="shared" si="227"/>
        <v>116.63438316007857</v>
      </c>
      <c r="X46" s="5">
        <f t="shared" si="395"/>
        <v>1.9344058341679957</v>
      </c>
      <c r="Y46" s="7">
        <f t="shared" si="226"/>
        <v>-6.0500182468550309E-2</v>
      </c>
      <c r="Z46" s="21">
        <f t="shared" si="246"/>
        <v>-0.41529835988587444</v>
      </c>
      <c r="AA46" s="5">
        <f t="shared" si="247"/>
        <v>0.87133832506999065</v>
      </c>
      <c r="AB46" s="5">
        <f t="shared" si="248"/>
        <v>-0.26133655607343975</v>
      </c>
      <c r="AC46" s="8">
        <f t="shared" si="396"/>
        <v>1</v>
      </c>
      <c r="AD46" s="9">
        <f t="shared" si="397"/>
        <v>-0.41529835988587444</v>
      </c>
      <c r="AE46" s="5">
        <f t="shared" si="398"/>
        <v>0.87133832506999065</v>
      </c>
      <c r="AF46" s="10">
        <f t="shared" si="399"/>
        <v>-0.26133655607343975</v>
      </c>
      <c r="AG46" s="622">
        <f t="shared" si="400"/>
        <v>73.304673547324356</v>
      </c>
      <c r="AH46" s="623">
        <f t="shared" si="401"/>
        <v>114.53810702958212</v>
      </c>
      <c r="AI46" s="624">
        <f t="shared" si="402"/>
        <v>-74.850616563802447</v>
      </c>
      <c r="AJ46" s="625">
        <f t="shared" si="403"/>
        <v>-154.5165390804344</v>
      </c>
      <c r="AK46" s="4">
        <f t="shared" si="404"/>
        <v>0.96523913824194629</v>
      </c>
      <c r="AL46" s="5">
        <f t="shared" si="405"/>
        <v>-4.0755938977148909E-3</v>
      </c>
      <c r="AM46" s="6">
        <f t="shared" si="406"/>
        <v>-0.26133655607343975</v>
      </c>
      <c r="AN46" s="612">
        <f t="shared" si="407"/>
        <v>-0.89346628198404487</v>
      </c>
      <c r="AO46" s="613">
        <f t="shared" si="98"/>
        <v>15.151269737293189</v>
      </c>
      <c r="AP46" s="624">
        <f t="shared" si="408"/>
        <v>-0.2419223717563343</v>
      </c>
      <c r="AQ46" s="625">
        <f t="shared" si="249"/>
        <v>6.3845648878636245</v>
      </c>
      <c r="AS46" s="56">
        <f t="shared" si="411"/>
        <v>-243.36561683992142</v>
      </c>
      <c r="AT46" s="77">
        <f t="shared" si="250"/>
        <v>0.86231503620867811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5.1079999999999997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0.02</v>
      </c>
      <c r="B47" s="770">
        <v>-2.5254462317241821</v>
      </c>
      <c r="C47" s="771">
        <v>-1.1638128982226632</v>
      </c>
      <c r="D47" s="772">
        <v>-0.18860056881931542</v>
      </c>
      <c r="E47" s="773">
        <v>0.25684651212439569</v>
      </c>
      <c r="F47" s="771">
        <v>-0.94039273221789854</v>
      </c>
      <c r="G47" s="774">
        <v>0.22291563067961079</v>
      </c>
      <c r="H47" s="773">
        <v>0.314</v>
      </c>
      <c r="I47" s="771">
        <v>0.52</v>
      </c>
      <c r="J47" s="601">
        <v>5.1139999999999999</v>
      </c>
      <c r="K47" s="426" t="str">
        <f t="shared" si="225"/>
        <v>1613</v>
      </c>
      <c r="L47" s="327"/>
      <c r="M47" s="173">
        <f t="shared" si="242"/>
        <v>5.1139999999999999</v>
      </c>
      <c r="N47" s="21">
        <f t="shared" si="243"/>
        <v>-2.5254462317241821</v>
      </c>
      <c r="O47" s="5">
        <f t="shared" si="244"/>
        <v>-1.1638128982226632</v>
      </c>
      <c r="P47" s="10">
        <f t="shared" si="245"/>
        <v>-0.18860056881931542</v>
      </c>
      <c r="Q47" s="624">
        <f t="shared" si="116"/>
        <v>204.74188343332176</v>
      </c>
      <c r="R47" s="5">
        <f t="shared" si="390"/>
        <v>2.7807083866164941</v>
      </c>
      <c r="S47" s="6">
        <f t="shared" si="391"/>
        <v>-0.18860056881931542</v>
      </c>
      <c r="T47" s="4">
        <f t="shared" si="392"/>
        <v>-1.2037310619920665</v>
      </c>
      <c r="U47" s="5">
        <f t="shared" si="393"/>
        <v>2.5066652472547579</v>
      </c>
      <c r="V47" s="8">
        <f t="shared" si="394"/>
        <v>-0.18860056881931542</v>
      </c>
      <c r="W47" s="624">
        <f t="shared" si="227"/>
        <v>115.65088330207841</v>
      </c>
      <c r="X47" s="5">
        <f t="shared" si="395"/>
        <v>2.7807083866164941</v>
      </c>
      <c r="Y47" s="7">
        <f t="shared" si="226"/>
        <v>-0.18860056881931542</v>
      </c>
      <c r="Z47" s="21">
        <f t="shared" si="246"/>
        <v>-0.25684651212439569</v>
      </c>
      <c r="AA47" s="5">
        <f t="shared" si="247"/>
        <v>0.94039273221789854</v>
      </c>
      <c r="AB47" s="5">
        <f t="shared" si="248"/>
        <v>-0.22291563067961079</v>
      </c>
      <c r="AC47" s="8">
        <f t="shared" si="396"/>
        <v>1</v>
      </c>
      <c r="AD47" s="9">
        <f t="shared" si="397"/>
        <v>-0.25684651212439569</v>
      </c>
      <c r="AE47" s="5">
        <f t="shared" si="398"/>
        <v>0.94039273221789854</v>
      </c>
      <c r="AF47" s="10">
        <f t="shared" si="399"/>
        <v>-0.22291563067961079</v>
      </c>
      <c r="AG47" s="622">
        <f t="shared" si="400"/>
        <v>76.664448103232431</v>
      </c>
      <c r="AH47" s="623">
        <f t="shared" si="401"/>
        <v>104.88302726136251</v>
      </c>
      <c r="AI47" s="624">
        <f t="shared" si="402"/>
        <v>-77.119660041108219</v>
      </c>
      <c r="AJ47" s="625">
        <f t="shared" si="403"/>
        <v>-164.72357392317087</v>
      </c>
      <c r="AK47" s="4">
        <f t="shared" si="404"/>
        <v>0.96156525382650315</v>
      </c>
      <c r="AL47" s="5">
        <f t="shared" si="405"/>
        <v>-0.16031495323981573</v>
      </c>
      <c r="AM47" s="6">
        <f t="shared" si="406"/>
        <v>-0.22291563067961079</v>
      </c>
      <c r="AN47" s="612">
        <f t="shared" si="407"/>
        <v>-35.722677273405424</v>
      </c>
      <c r="AO47" s="613">
        <f t="shared" si="98"/>
        <v>15.936778823704183</v>
      </c>
      <c r="AP47" s="624">
        <f t="shared" si="408"/>
        <v>-9.4654573564926139</v>
      </c>
      <c r="AQ47" s="625">
        <f t="shared" si="249"/>
        <v>4.4509362862892754</v>
      </c>
      <c r="AS47" s="56">
        <f t="shared" si="411"/>
        <v>-244.3491166979216</v>
      </c>
      <c r="AT47" s="77">
        <f t="shared" si="250"/>
        <v>0.73793009376591367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 t="str">
        <f>IFERROR(IF($IU47="","",IF($IU47&lt;(((Settings!$C$19/2)*-1)*$IE$8),"",1)),"")</f>
        <v/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5.1139999999999999</v>
      </c>
      <c r="IH47" s="797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800" t="str" cm="1">
        <f t="array" ref="II47">IFERROR(IF($IH47&lt;1,$IH47+LARGE((IF($M$9:$M$150="",0,$M$9:$M$150)-MOD(IF($M$9:$M$150="",0,$M$9:$M$150),1)),1),$IH47),"")</f>
        <v/>
      </c>
      <c r="IJ47" s="839" t="str">
        <f t="shared" si="386"/>
        <v/>
      </c>
      <c r="IK47" s="839" t="str">
        <f t="shared" si="387"/>
        <v/>
      </c>
      <c r="IL47" s="791" t="str">
        <f t="shared" si="228"/>
        <v/>
      </c>
      <c r="IM47" s="830"/>
      <c r="IN47" s="5" t="str">
        <f t="shared" si="229"/>
        <v/>
      </c>
      <c r="IO47" s="852"/>
      <c r="IP47" s="9" t="str">
        <f t="shared" si="230"/>
        <v/>
      </c>
      <c r="IQ47" s="5" t="str">
        <f t="shared" si="231"/>
        <v/>
      </c>
      <c r="IR47" s="5" t="str">
        <f t="shared" si="388"/>
        <v/>
      </c>
      <c r="IS47" s="5" t="str">
        <f t="shared" si="232"/>
        <v/>
      </c>
      <c r="IT47" s="791" t="str">
        <f t="shared" si="233"/>
        <v/>
      </c>
      <c r="IU47" s="9" t="str">
        <f t="shared" si="234"/>
        <v/>
      </c>
      <c r="IV47" s="5" t="str">
        <f t="shared" si="235"/>
        <v/>
      </c>
      <c r="IW47" s="5" t="str">
        <f t="shared" si="389"/>
        <v/>
      </c>
      <c r="IX47" s="5" t="str">
        <f t="shared" si="236"/>
        <v/>
      </c>
      <c r="IY47" s="833" t="str">
        <f t="shared" si="237"/>
        <v/>
      </c>
    </row>
    <row r="48" spans="1:259" ht="15" customHeight="1" x14ac:dyDescent="0.25">
      <c r="A48" s="84">
        <f t="shared" si="82"/>
        <v>0.02</v>
      </c>
      <c r="B48" s="770">
        <v>-3.0931172852012097</v>
      </c>
      <c r="C48" s="771">
        <v>-1.3667161364160108</v>
      </c>
      <c r="D48" s="772">
        <v>-0.67870204696537362</v>
      </c>
      <c r="E48" s="773">
        <v>8.6412929204772476E-2</v>
      </c>
      <c r="F48" s="771">
        <v>-0.97958502357756672</v>
      </c>
      <c r="G48" s="774">
        <v>0.18151029515922523</v>
      </c>
      <c r="H48" s="773">
        <v>0.314</v>
      </c>
      <c r="I48" s="771">
        <v>0.52</v>
      </c>
      <c r="J48" s="601">
        <v>5.12</v>
      </c>
      <c r="K48" s="426" t="str">
        <f t="shared" si="225"/>
        <v>1613</v>
      </c>
      <c r="L48" s="327"/>
      <c r="M48" s="173">
        <f t="shared" si="242"/>
        <v>5.12</v>
      </c>
      <c r="N48" s="21">
        <f t="shared" si="243"/>
        <v>-3.0931172852012097</v>
      </c>
      <c r="O48" s="5">
        <f t="shared" si="244"/>
        <v>-1.3667161364160108</v>
      </c>
      <c r="P48" s="10">
        <f t="shared" si="245"/>
        <v>-0.67870204696537362</v>
      </c>
      <c r="Q48" s="624">
        <f t="shared" si="116"/>
        <v>203.83858356374213</v>
      </c>
      <c r="R48" s="5">
        <f t="shared" si="83"/>
        <v>3.3816101989363601</v>
      </c>
      <c r="S48" s="6">
        <f t="shared" si="84"/>
        <v>-0.67870204696537362</v>
      </c>
      <c r="T48" s="4">
        <f t="shared" si="85"/>
        <v>-1.4156145119129404</v>
      </c>
      <c r="U48" s="5">
        <f t="shared" si="86"/>
        <v>3.0710459278903492</v>
      </c>
      <c r="V48" s="8">
        <f t="shared" si="117"/>
        <v>-0.67870204696537362</v>
      </c>
      <c r="W48" s="624">
        <f t="shared" si="227"/>
        <v>114.74758343249879</v>
      </c>
      <c r="X48" s="5">
        <f t="shared" si="87"/>
        <v>3.3816101989363601</v>
      </c>
      <c r="Y48" s="7">
        <f t="shared" si="226"/>
        <v>-0.67870204696537362</v>
      </c>
      <c r="Z48" s="21">
        <f t="shared" si="246"/>
        <v>-8.6412929204772476E-2</v>
      </c>
      <c r="AA48" s="5">
        <f t="shared" si="247"/>
        <v>0.97958502357756672</v>
      </c>
      <c r="AB48" s="5">
        <f t="shared" si="248"/>
        <v>-0.18151029515922523</v>
      </c>
      <c r="AC48" s="8">
        <f t="shared" si="88"/>
        <v>1</v>
      </c>
      <c r="AD48" s="9">
        <f t="shared" si="118"/>
        <v>-8.6412929204772476E-2</v>
      </c>
      <c r="AE48" s="5">
        <f t="shared" si="89"/>
        <v>0.97958502357756672</v>
      </c>
      <c r="AF48" s="10">
        <f t="shared" si="90"/>
        <v>-0.18151029515922523</v>
      </c>
      <c r="AG48" s="622">
        <f t="shared" si="91"/>
        <v>79.502547908313758</v>
      </c>
      <c r="AH48" s="623">
        <f t="shared" si="92"/>
        <v>94.957278735910748</v>
      </c>
      <c r="AI48" s="624">
        <f t="shared" si="93"/>
        <v>-79.542257405388639</v>
      </c>
      <c r="AJ48" s="625">
        <f t="shared" si="94"/>
        <v>-174.95877025358507</v>
      </c>
      <c r="AK48" s="4">
        <f t="shared" si="213"/>
        <v>0.93093914682458889</v>
      </c>
      <c r="AL48" s="5">
        <f t="shared" si="95"/>
        <v>-0.31686955937848904</v>
      </c>
      <c r="AM48" s="6">
        <f t="shared" si="96"/>
        <v>-0.18151029515922523</v>
      </c>
      <c r="AN48" s="612">
        <f t="shared" si="97"/>
        <v>-60.194909618973895</v>
      </c>
      <c r="AO48" s="613">
        <f t="shared" si="98"/>
        <v>21.418312808829008</v>
      </c>
      <c r="AP48" s="624">
        <f t="shared" si="99"/>
        <v>-18.797353817327206</v>
      </c>
      <c r="AQ48" s="625">
        <f t="shared" si="249"/>
        <v>3.6624024829560886</v>
      </c>
      <c r="AS48" s="56">
        <f t="shared" si="411"/>
        <v>-245.2524165675012</v>
      </c>
      <c r="AT48" s="77">
        <f t="shared" si="250"/>
        <v>0.25124108179382276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 t="str">
        <f>IFERROR(IF($IU48="","",IF($IU48&lt;(((Settings!$C$19/2)*-1)*$IE$8),"",1)),"")</f>
        <v/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5.12</v>
      </c>
      <c r="IH48" s="797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800" t="str" cm="1">
        <f t="array" ref="II48">IFERROR(IF($IH48&lt;1,$IH48+LARGE((IF($M$9:$M$150="",0,$M$9:$M$150)-MOD(IF($M$9:$M$150="",0,$M$9:$M$150),1)),1),$IH48),"")</f>
        <v/>
      </c>
      <c r="IJ48" s="839" t="str">
        <f t="shared" si="386"/>
        <v/>
      </c>
      <c r="IK48" s="839" t="str">
        <f t="shared" si="387"/>
        <v/>
      </c>
      <c r="IL48" s="791" t="str">
        <f t="shared" si="228"/>
        <v/>
      </c>
      <c r="IM48" s="830"/>
      <c r="IN48" s="5" t="str">
        <f t="shared" si="229"/>
        <v/>
      </c>
      <c r="IO48" s="852"/>
      <c r="IP48" s="9" t="str">
        <f t="shared" si="230"/>
        <v/>
      </c>
      <c r="IQ48" s="5" t="str">
        <f t="shared" si="231"/>
        <v/>
      </c>
      <c r="IR48" s="5" t="str">
        <f t="shared" si="388"/>
        <v/>
      </c>
      <c r="IS48" s="5" t="str">
        <f t="shared" si="232"/>
        <v/>
      </c>
      <c r="IT48" s="791" t="str">
        <f t="shared" si="233"/>
        <v/>
      </c>
      <c r="IU48" s="9" t="str">
        <f t="shared" si="234"/>
        <v/>
      </c>
      <c r="IV48" s="5" t="str">
        <f t="shared" si="235"/>
        <v/>
      </c>
      <c r="IW48" s="5" t="str">
        <f t="shared" si="389"/>
        <v/>
      </c>
      <c r="IX48" s="5" t="str">
        <f t="shared" si="236"/>
        <v/>
      </c>
      <c r="IY48" s="833" t="str">
        <f t="shared" si="237"/>
        <v/>
      </c>
    </row>
    <row r="49" spans="1:259" ht="15" customHeight="1" x14ac:dyDescent="0.25">
      <c r="A49" s="84">
        <f t="shared" si="82"/>
        <v>0.02</v>
      </c>
      <c r="B49" s="770">
        <v>-3.3540224972803023</v>
      </c>
      <c r="C49" s="771">
        <v>-1.4577359748477117</v>
      </c>
      <c r="D49" s="772">
        <v>-1.4039042341751706</v>
      </c>
      <c r="E49" s="773">
        <v>-9.1781355511733484E-2</v>
      </c>
      <c r="F49" s="771">
        <v>-0.99158836716850862</v>
      </c>
      <c r="G49" s="774">
        <v>9.126167254943178E-2</v>
      </c>
      <c r="H49" s="773">
        <v>0.314</v>
      </c>
      <c r="I49" s="771">
        <v>0.52</v>
      </c>
      <c r="J49" s="601">
        <v>5.1260000000000003</v>
      </c>
      <c r="K49" s="426" t="str">
        <f t="shared" si="225"/>
        <v>1613</v>
      </c>
      <c r="L49" s="327"/>
      <c r="M49" s="173">
        <f t="shared" si="242"/>
        <v>5.1260000000000003</v>
      </c>
      <c r="N49" s="21">
        <f t="shared" si="243"/>
        <v>-3.3540224972803023</v>
      </c>
      <c r="O49" s="5">
        <f t="shared" si="244"/>
        <v>-1.4577359748477117</v>
      </c>
      <c r="P49" s="10">
        <f t="shared" si="245"/>
        <v>-1.4039042341751706</v>
      </c>
      <c r="Q49" s="624">
        <f t="shared" si="116"/>
        <v>203.49088361394379</v>
      </c>
      <c r="R49" s="5">
        <f t="shared" si="83"/>
        <v>3.6571110298468659</v>
      </c>
      <c r="S49" s="6">
        <f t="shared" si="84"/>
        <v>-1.4039042341751706</v>
      </c>
      <c r="T49" s="4">
        <f t="shared" si="85"/>
        <v>-1.5107619939054402</v>
      </c>
      <c r="U49" s="5">
        <f t="shared" si="86"/>
        <v>3.3304743329439521</v>
      </c>
      <c r="V49" s="8">
        <f t="shared" si="117"/>
        <v>-1.4039042341751706</v>
      </c>
      <c r="W49" s="624">
        <f t="shared" si="227"/>
        <v>114.39988348270045</v>
      </c>
      <c r="X49" s="5">
        <f t="shared" si="87"/>
        <v>3.6571110298468659</v>
      </c>
      <c r="Y49" s="7">
        <f t="shared" si="226"/>
        <v>-1.4039042341751706</v>
      </c>
      <c r="Z49" s="21">
        <f t="shared" si="246"/>
        <v>9.1781355511733484E-2</v>
      </c>
      <c r="AA49" s="5">
        <f t="shared" si="247"/>
        <v>0.99158836716850862</v>
      </c>
      <c r="AB49" s="5">
        <f t="shared" si="248"/>
        <v>-9.126167254943178E-2</v>
      </c>
      <c r="AC49" s="8">
        <f t="shared" si="88"/>
        <v>1</v>
      </c>
      <c r="AD49" s="9">
        <f t="shared" si="118"/>
        <v>9.1781355511733484E-2</v>
      </c>
      <c r="AE49" s="5">
        <f t="shared" si="89"/>
        <v>0.99158836716850862</v>
      </c>
      <c r="AF49" s="10">
        <f t="shared" si="90"/>
        <v>-9.126167254943178E-2</v>
      </c>
      <c r="AG49" s="622">
        <f t="shared" si="91"/>
        <v>84.741548576160952</v>
      </c>
      <c r="AH49" s="623">
        <f t="shared" si="92"/>
        <v>84.73390453048188</v>
      </c>
      <c r="AI49" s="624">
        <f t="shared" si="93"/>
        <v>-84.763805663340094</v>
      </c>
      <c r="AJ49" s="625">
        <f t="shared" si="94"/>
        <v>174.71177399665606</v>
      </c>
      <c r="AK49" s="4">
        <f t="shared" si="213"/>
        <v>0.87282466452995167</v>
      </c>
      <c r="AL49" s="5">
        <f t="shared" si="95"/>
        <v>-0.47942508498373082</v>
      </c>
      <c r="AM49" s="6">
        <f t="shared" si="96"/>
        <v>-9.126167254943178E-2</v>
      </c>
      <c r="AN49" s="612">
        <f t="shared" si="97"/>
        <v>-79.222320937018765</v>
      </c>
      <c r="AO49" s="613">
        <f t="shared" si="98"/>
        <v>29.211438417011127</v>
      </c>
      <c r="AP49" s="624">
        <f t="shared" si="99"/>
        <v>-28.779109617287745</v>
      </c>
      <c r="AQ49" s="625">
        <f t="shared" si="249"/>
        <v>3.387171462806589</v>
      </c>
      <c r="AS49" s="56">
        <f t="shared" si="411"/>
        <v>-245.60011651729957</v>
      </c>
      <c r="AT49" s="77">
        <f t="shared" si="250"/>
        <v>-0.47264757227229148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5.1260000000000003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-3.3827850636947034</v>
      </c>
      <c r="C50" s="771">
        <v>-1.4663147061896482</v>
      </c>
      <c r="D50" s="772">
        <v>-2.1690065417237303</v>
      </c>
      <c r="E50" s="773">
        <v>-0.11433052106755759</v>
      </c>
      <c r="F50" s="771">
        <v>-0.99344276732603376</v>
      </c>
      <c r="G50" s="774">
        <v>1.1339743362162163E-7</v>
      </c>
      <c r="H50" s="773">
        <v>0.314</v>
      </c>
      <c r="I50" s="771">
        <v>0.52</v>
      </c>
      <c r="J50" s="601">
        <v>5.1319999999999997</v>
      </c>
      <c r="K50" s="426" t="str">
        <f t="shared" si="225"/>
        <v>1613</v>
      </c>
      <c r="L50" s="327"/>
      <c r="M50" s="173">
        <f t="shared" si="242"/>
        <v>5.1319999999999997</v>
      </c>
      <c r="N50" s="21">
        <f t="shared" si="243"/>
        <v>-3.3827850636947034</v>
      </c>
      <c r="O50" s="5">
        <f t="shared" si="244"/>
        <v>-1.4663147061896482</v>
      </c>
      <c r="P50" s="10">
        <f t="shared" si="245"/>
        <v>-2.1690065417237303</v>
      </c>
      <c r="Q50" s="624">
        <f t="shared" si="116"/>
        <v>203.43498362201476</v>
      </c>
      <c r="R50" s="5">
        <f t="shared" si="83"/>
        <v>3.6869111197239364</v>
      </c>
      <c r="S50" s="6">
        <f t="shared" si="84"/>
        <v>-2.1690065417237303</v>
      </c>
      <c r="T50" s="4">
        <f t="shared" si="85"/>
        <v>-1.5197959457806647</v>
      </c>
      <c r="U50" s="5">
        <f t="shared" si="86"/>
        <v>3.3590971834605599</v>
      </c>
      <c r="V50" s="8">
        <f t="shared" si="117"/>
        <v>-2.1690065417237303</v>
      </c>
      <c r="W50" s="624">
        <f t="shared" si="227"/>
        <v>114.34398349077141</v>
      </c>
      <c r="X50" s="5">
        <f t="shared" si="87"/>
        <v>3.6869111197239364</v>
      </c>
      <c r="Y50" s="7">
        <f t="shared" si="226"/>
        <v>-2.1690065417237303</v>
      </c>
      <c r="Z50" s="21">
        <f t="shared" si="246"/>
        <v>0.11433052106755759</v>
      </c>
      <c r="AA50" s="5">
        <f t="shared" si="247"/>
        <v>0.99344276732603376</v>
      </c>
      <c r="AB50" s="5">
        <f t="shared" si="248"/>
        <v>-1.1339743362162163E-7</v>
      </c>
      <c r="AC50" s="8">
        <f t="shared" si="88"/>
        <v>1</v>
      </c>
      <c r="AD50" s="9">
        <f t="shared" si="118"/>
        <v>0.11433052106755759</v>
      </c>
      <c r="AE50" s="5">
        <f t="shared" si="89"/>
        <v>0.99344276732603376</v>
      </c>
      <c r="AF50" s="10">
        <f t="shared" si="90"/>
        <v>-1.1339743362162163E-7</v>
      </c>
      <c r="AG50" s="622">
        <f t="shared" si="91"/>
        <v>89.99999345992083</v>
      </c>
      <c r="AH50" s="623">
        <f t="shared" si="92"/>
        <v>83.434987953478881</v>
      </c>
      <c r="AI50" s="624">
        <f t="shared" si="93"/>
        <v>-89.999993502805637</v>
      </c>
      <c r="AJ50" s="625">
        <f t="shared" si="94"/>
        <v>173.43498795347884</v>
      </c>
      <c r="AK50" s="4">
        <f t="shared" si="213"/>
        <v>0.86602544158358552</v>
      </c>
      <c r="AL50" s="5">
        <f t="shared" si="95"/>
        <v>-0.49999993452993868</v>
      </c>
      <c r="AM50" s="6">
        <f t="shared" si="96"/>
        <v>-1.1339743362162163E-7</v>
      </c>
      <c r="AN50" s="612">
        <f t="shared" si="97"/>
        <v>-89.999987005609597</v>
      </c>
      <c r="AO50" s="613">
        <f t="shared" si="98"/>
        <v>29.999995668536549</v>
      </c>
      <c r="AP50" s="624">
        <f t="shared" si="99"/>
        <v>-29.99999566853592</v>
      </c>
      <c r="AQ50" s="625">
        <f t="shared" si="249"/>
        <v>3.3598570434814041</v>
      </c>
      <c r="AS50" s="56">
        <f t="shared" si="411"/>
        <v>-245.65601650922861</v>
      </c>
      <c r="AT50" s="77">
        <f t="shared" si="250"/>
        <v>-1.2375387020735635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5.1319999999999997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-2.7863195257919822</v>
      </c>
      <c r="C51" s="771">
        <v>-0.37848752173986566</v>
      </c>
      <c r="D51" s="772">
        <v>-0.15700047351342813</v>
      </c>
      <c r="E51" s="773">
        <v>-8.1022787033921975E-2</v>
      </c>
      <c r="F51" s="771">
        <v>-0.95355867626698099</v>
      </c>
      <c r="G51" s="774">
        <v>0.29010542721089988</v>
      </c>
      <c r="H51" s="773">
        <v>0.26600000000000001</v>
      </c>
      <c r="I51" s="771">
        <v>0.52</v>
      </c>
      <c r="J51" s="601">
        <v>5.2140000000000004</v>
      </c>
      <c r="K51" s="426" t="str">
        <f t="shared" si="225"/>
        <v>1313</v>
      </c>
      <c r="L51" s="327"/>
      <c r="M51" s="173">
        <f t="shared" si="242"/>
        <v>5.2140000000000004</v>
      </c>
      <c r="N51" s="21">
        <f t="shared" si="243"/>
        <v>-2.7863195257919822</v>
      </c>
      <c r="O51" s="5">
        <f t="shared" si="244"/>
        <v>-0.37848752173986566</v>
      </c>
      <c r="P51" s="10">
        <f t="shared" si="245"/>
        <v>-0.15700047351342813</v>
      </c>
      <c r="Q51" s="624">
        <f t="shared" si="116"/>
        <v>187.73558588872734</v>
      </c>
      <c r="R51" s="5">
        <f t="shared" si="83"/>
        <v>2.8119084807159784</v>
      </c>
      <c r="S51" s="6">
        <f t="shared" si="84"/>
        <v>-0.15700047351342813</v>
      </c>
      <c r="T51" s="4">
        <f t="shared" si="85"/>
        <v>-0.42264310822965273</v>
      </c>
      <c r="U51" s="5">
        <f t="shared" si="86"/>
        <v>2.7799644075038841</v>
      </c>
      <c r="V51" s="8">
        <f t="shared" si="117"/>
        <v>-0.15700047351342813</v>
      </c>
      <c r="W51" s="624">
        <f t="shared" si="227"/>
        <v>98.644585757483995</v>
      </c>
      <c r="X51" s="5">
        <f t="shared" si="87"/>
        <v>2.8119084807159784</v>
      </c>
      <c r="Y51" s="7">
        <f t="shared" si="226"/>
        <v>-0.15700047351342813</v>
      </c>
      <c r="Z51" s="21">
        <f t="shared" si="246"/>
        <v>8.1022787033921975E-2</v>
      </c>
      <c r="AA51" s="5">
        <f t="shared" si="247"/>
        <v>0.95355867626698099</v>
      </c>
      <c r="AB51" s="5">
        <f t="shared" si="248"/>
        <v>-0.29010542721089988</v>
      </c>
      <c r="AC51" s="8">
        <f t="shared" si="88"/>
        <v>1</v>
      </c>
      <c r="AD51" s="9">
        <f t="shared" si="118"/>
        <v>8.1022787033921975E-2</v>
      </c>
      <c r="AE51" s="5">
        <f t="shared" si="89"/>
        <v>0.95355867626698099</v>
      </c>
      <c r="AF51" s="10">
        <f t="shared" si="90"/>
        <v>-0.29010542721089988</v>
      </c>
      <c r="AG51" s="622">
        <f t="shared" si="91"/>
        <v>73.078430869784256</v>
      </c>
      <c r="AH51" s="623">
        <f t="shared" si="92"/>
        <v>85.352642023279898</v>
      </c>
      <c r="AI51" s="624">
        <f t="shared" si="93"/>
        <v>-73.135732099881324</v>
      </c>
      <c r="AJ51" s="625">
        <f t="shared" si="94"/>
        <v>175.14330887349658</v>
      </c>
      <c r="AK51" s="4">
        <f t="shared" si="213"/>
        <v>0.93397529215937092</v>
      </c>
      <c r="AL51" s="5">
        <f t="shared" si="95"/>
        <v>-0.20863603413264739</v>
      </c>
      <c r="AM51" s="6">
        <f t="shared" si="96"/>
        <v>-0.29010542721089988</v>
      </c>
      <c r="AN51" s="612">
        <f t="shared" si="97"/>
        <v>-35.722674431428835</v>
      </c>
      <c r="AO51" s="613">
        <f t="shared" si="98"/>
        <v>20.936778095590238</v>
      </c>
      <c r="AP51" s="624">
        <f t="shared" si="99"/>
        <v>-12.592277015230765</v>
      </c>
      <c r="AQ51" s="625">
        <f t="shared" si="249"/>
        <v>4.4017452042299494</v>
      </c>
      <c r="AS51" s="56">
        <f t="shared" si="411"/>
        <v>-261.35541424251602</v>
      </c>
      <c r="AT51" s="77">
        <f t="shared" si="250"/>
        <v>0.83377620201804648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>
        <f>IFERROR(IF($IU51="","",IF($IU51&lt;(((Settings!$C$19/2)*-1)*$IE$8),"",1)),"")</f>
        <v>1</v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5.2140000000000004</v>
      </c>
      <c r="IH51" s="797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5.1139999999999999</v>
      </c>
      <c r="II51" s="800" cm="1">
        <f t="array" ref="II51">IFERROR(IF($IH51&lt;1,$IH51+LARGE((IF($M$9:$M$150="",0,$M$9:$M$150)-MOD(IF($M$9:$M$150="",0,$M$9:$M$150),1)),1),$IH51),"")</f>
        <v>5.1139999999999999</v>
      </c>
      <c r="IJ51" s="839" t="str">
        <f t="shared" si="386"/>
        <v>1613</v>
      </c>
      <c r="IK51" s="839" t="str">
        <f t="shared" si="387"/>
        <v>1313</v>
      </c>
      <c r="IL51" s="791">
        <f t="shared" si="228"/>
        <v>17.006297544594418</v>
      </c>
      <c r="IM51" s="830">
        <v>8.9042956224804001E-3</v>
      </c>
      <c r="IN51" s="5">
        <f t="shared" si="229"/>
        <v>0.22</v>
      </c>
      <c r="IO51" s="852">
        <v>110</v>
      </c>
      <c r="IP51" s="9">
        <f t="shared" si="230"/>
        <v>-2.7807083866164941</v>
      </c>
      <c r="IQ51" s="5">
        <f t="shared" si="231"/>
        <v>-0.18860056881931542</v>
      </c>
      <c r="IR51" s="5">
        <f t="shared" si="388"/>
        <v>0.314</v>
      </c>
      <c r="IS51" s="5">
        <f t="shared" si="232"/>
        <v>0.301931489701522</v>
      </c>
      <c r="IT51" s="791">
        <f t="shared" si="233"/>
        <v>35.722677273405424</v>
      </c>
      <c r="IU51" s="9">
        <f t="shared" si="234"/>
        <v>-2.8119084807159784</v>
      </c>
      <c r="IV51" s="5">
        <f t="shared" si="235"/>
        <v>-0.15700047351342813</v>
      </c>
      <c r="IW51" s="5">
        <f t="shared" si="389"/>
        <v>0.26600000000000001</v>
      </c>
      <c r="IX51" s="5">
        <f t="shared" si="236"/>
        <v>0.24843742771439267</v>
      </c>
      <c r="IY51" s="833">
        <f t="shared" si="237"/>
        <v>35.722674431428835</v>
      </c>
    </row>
    <row r="52" spans="1:259" ht="15" customHeight="1" x14ac:dyDescent="0.25">
      <c r="A52" s="84">
        <f t="shared" si="82"/>
        <v>0.02</v>
      </c>
      <c r="B52" s="770">
        <v>-3.3900090138170644</v>
      </c>
      <c r="C52" s="771">
        <v>-0.51236904705584863</v>
      </c>
      <c r="D52" s="772">
        <v>-0.66240199780442577</v>
      </c>
      <c r="E52" s="773">
        <v>-0.2478951663567488</v>
      </c>
      <c r="F52" s="771">
        <v>-0.94320795414322234</v>
      </c>
      <c r="G52" s="774">
        <v>0.22114868694594839</v>
      </c>
      <c r="H52" s="773">
        <v>0.26600000000000001</v>
      </c>
      <c r="I52" s="771">
        <v>0.52</v>
      </c>
      <c r="J52" s="601">
        <v>5.22</v>
      </c>
      <c r="K52" s="426" t="str">
        <f t="shared" si="225"/>
        <v>1313</v>
      </c>
      <c r="L52" s="327"/>
      <c r="M52" s="173">
        <f t="shared" si="242"/>
        <v>5.22</v>
      </c>
      <c r="N52" s="21">
        <f t="shared" si="243"/>
        <v>-3.3900090138170644</v>
      </c>
      <c r="O52" s="5">
        <f t="shared" si="244"/>
        <v>-0.51236904705584863</v>
      </c>
      <c r="P52" s="10">
        <f t="shared" si="245"/>
        <v>-0.66240199780442577</v>
      </c>
      <c r="Q52" s="624">
        <f t="shared" si="116"/>
        <v>188.59468576468865</v>
      </c>
      <c r="R52" s="5">
        <f t="shared" si="83"/>
        <v>3.428510340387187</v>
      </c>
      <c r="S52" s="6">
        <f t="shared" si="84"/>
        <v>-0.66240199780442577</v>
      </c>
      <c r="T52" s="4">
        <f t="shared" si="85"/>
        <v>-0.56608494141225263</v>
      </c>
      <c r="U52" s="5">
        <f t="shared" si="86"/>
        <v>3.3814539762132134</v>
      </c>
      <c r="V52" s="8">
        <f t="shared" si="117"/>
        <v>-0.66240199780442577</v>
      </c>
      <c r="W52" s="624">
        <f t="shared" si="227"/>
        <v>99.503685633445301</v>
      </c>
      <c r="X52" s="5">
        <f t="shared" si="87"/>
        <v>3.428510340387187</v>
      </c>
      <c r="Y52" s="7">
        <f t="shared" si="226"/>
        <v>-0.66240199780442577</v>
      </c>
      <c r="Z52" s="21">
        <f t="shared" si="246"/>
        <v>0.2478951663567488</v>
      </c>
      <c r="AA52" s="5">
        <f t="shared" si="247"/>
        <v>0.94320795414322234</v>
      </c>
      <c r="AB52" s="5">
        <f t="shared" si="248"/>
        <v>-0.22114868694594839</v>
      </c>
      <c r="AC52" s="8">
        <f t="shared" si="88"/>
        <v>1</v>
      </c>
      <c r="AD52" s="9">
        <f t="shared" si="118"/>
        <v>0.2478951663567488</v>
      </c>
      <c r="AE52" s="5">
        <f t="shared" si="89"/>
        <v>0.94320795414322234</v>
      </c>
      <c r="AF52" s="10">
        <f t="shared" si="90"/>
        <v>-0.22114868694594839</v>
      </c>
      <c r="AG52" s="622">
        <f t="shared" si="91"/>
        <v>76.804533868899625</v>
      </c>
      <c r="AH52" s="623">
        <f t="shared" si="92"/>
        <v>75.647006142417425</v>
      </c>
      <c r="AI52" s="624">
        <f t="shared" si="93"/>
        <v>-77.223490143254907</v>
      </c>
      <c r="AJ52" s="625">
        <f t="shared" si="94"/>
        <v>165.27447359781158</v>
      </c>
      <c r="AK52" s="4">
        <f t="shared" si="213"/>
        <v>0.89556960646260286</v>
      </c>
      <c r="AL52" s="5">
        <f t="shared" si="95"/>
        <v>-0.3860677896982625</v>
      </c>
      <c r="AM52" s="6">
        <f t="shared" si="96"/>
        <v>-0.22114868694594839</v>
      </c>
      <c r="AN52" s="612">
        <f t="shared" si="97"/>
        <v>-60.194906610870241</v>
      </c>
      <c r="AO52" s="613">
        <f t="shared" si="98"/>
        <v>26.418312069829476</v>
      </c>
      <c r="AP52" s="624">
        <f t="shared" si="99"/>
        <v>-23.320212166877056</v>
      </c>
      <c r="AQ52" s="625">
        <f t="shared" si="249"/>
        <v>3.6124364053564495</v>
      </c>
      <c r="AS52" s="56">
        <f t="shared" si="411"/>
        <v>-260.49631436655471</v>
      </c>
      <c r="AT52" s="77">
        <f t="shared" si="250"/>
        <v>0.32512918930675061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5.22</v>
      </c>
      <c r="IH52" s="797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5.12</v>
      </c>
      <c r="II52" s="800" cm="1">
        <f t="array" ref="II52">IFERROR(IF($IH52&lt;1,$IH52+LARGE((IF($M$9:$M$150="",0,$M$9:$M$150)-MOD(IF($M$9:$M$150="",0,$M$9:$M$150),1)),1),$IH52),"")</f>
        <v>5.12</v>
      </c>
      <c r="IJ52" s="839" t="str">
        <f t="shared" si="386"/>
        <v>1613</v>
      </c>
      <c r="IK52" s="839" t="str">
        <f t="shared" si="387"/>
        <v>1313</v>
      </c>
      <c r="IL52" s="791">
        <f t="shared" si="228"/>
        <v>15.243897799053485</v>
      </c>
      <c r="IM52" s="830">
        <v>4.1258178927831204E-3</v>
      </c>
      <c r="IN52" s="5">
        <f t="shared" si="229"/>
        <v>0.18</v>
      </c>
      <c r="IO52" s="852">
        <v>90</v>
      </c>
      <c r="IP52" s="9">
        <f t="shared" si="230"/>
        <v>-3.3816101989363601</v>
      </c>
      <c r="IQ52" s="5">
        <f t="shared" si="231"/>
        <v>-0.67870204696537362</v>
      </c>
      <c r="IR52" s="5">
        <f t="shared" si="388"/>
        <v>0.314</v>
      </c>
      <c r="IS52" s="5">
        <f t="shared" si="232"/>
        <v>0.29231489210292089</v>
      </c>
      <c r="IT52" s="791">
        <f t="shared" si="233"/>
        <v>60.194909618973895</v>
      </c>
      <c r="IU52" s="9">
        <f t="shared" si="234"/>
        <v>-3.428510340387187</v>
      </c>
      <c r="IV52" s="5">
        <f t="shared" si="235"/>
        <v>-0.66240199780442577</v>
      </c>
      <c r="IW52" s="5">
        <f t="shared" si="389"/>
        <v>0.26600000000000001</v>
      </c>
      <c r="IX52" s="5">
        <f t="shared" si="236"/>
        <v>0.23822151531905236</v>
      </c>
      <c r="IY52" s="833">
        <f t="shared" si="237"/>
        <v>60.194906610870241</v>
      </c>
    </row>
    <row r="53" spans="1:259" ht="15" customHeight="1" x14ac:dyDescent="0.25">
      <c r="A53" s="84">
        <f t="shared" si="82"/>
        <v>0</v>
      </c>
      <c r="B53" s="770">
        <v>-3.6585893256456874</v>
      </c>
      <c r="C53" s="771">
        <v>-0.34169553758250987</v>
      </c>
      <c r="D53" s="772">
        <v>-1.413204262224055</v>
      </c>
      <c r="E53" s="773">
        <v>-0.87250952424857997</v>
      </c>
      <c r="F53" s="771">
        <v>-8.1488633393343154E-2</v>
      </c>
      <c r="G53" s="774">
        <v>0.48175380924617722</v>
      </c>
      <c r="H53" s="773">
        <v>0.25700000000000001</v>
      </c>
      <c r="I53" s="771">
        <v>0.41499999999999992</v>
      </c>
      <c r="J53" s="601">
        <v>5.226</v>
      </c>
      <c r="K53" s="426" t="str">
        <f t="shared" si="225"/>
        <v>Knuckle</v>
      </c>
      <c r="L53" s="327"/>
      <c r="M53" s="173">
        <f t="shared" si="242"/>
        <v>5.226</v>
      </c>
      <c r="N53" s="21">
        <f t="shared" si="243"/>
        <v>-3.6585893256456874</v>
      </c>
      <c r="O53" s="5">
        <f t="shared" si="244"/>
        <v>-0.34169553758250987</v>
      </c>
      <c r="P53" s="10">
        <f t="shared" si="245"/>
        <v>-1.413204262224055</v>
      </c>
      <c r="Q53" s="624">
        <f t="shared" si="116"/>
        <v>185.33568623522999</v>
      </c>
      <c r="R53" s="5">
        <f t="shared" ref="R53:R58" si="415">IF(M53="","",SQRT(N53^2+O53^2))</f>
        <v>3.674511082325425</v>
      </c>
      <c r="S53" s="6">
        <f t="shared" ref="S53:S58" si="416">IF(M53="","",P53)</f>
        <v>-1.413204262224055</v>
      </c>
      <c r="T53" s="4">
        <f t="shared" ref="T53:T58" si="417">IF(M53="","",X53*COS(RADIANS(W53)))</f>
        <v>-0.39969376951432667</v>
      </c>
      <c r="U53" s="5">
        <f t="shared" ref="U53:U58" si="418">IF(M53="","",X53*SIN(RADIANS(W53)))</f>
        <v>3.6527081165545918</v>
      </c>
      <c r="V53" s="8">
        <f t="shared" ref="V53:V58" si="419">IF(M53="","",Y53)</f>
        <v>-1.413204262224055</v>
      </c>
      <c r="W53" s="624">
        <f t="shared" si="227"/>
        <v>96.244686103986638</v>
      </c>
      <c r="X53" s="5">
        <f t="shared" ref="X53:X58" si="420">IF(M53="","",R53)</f>
        <v>3.674511082325425</v>
      </c>
      <c r="Y53" s="7">
        <f t="shared" si="226"/>
        <v>-1.413204262224055</v>
      </c>
      <c r="Z53" s="21">
        <f t="shared" si="246"/>
        <v>0.87250952424857997</v>
      </c>
      <c r="AA53" s="5">
        <f t="shared" si="247"/>
        <v>8.1488633393343154E-2</v>
      </c>
      <c r="AB53" s="5">
        <f t="shared" si="248"/>
        <v>-0.48175380924617722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0.87250952424857997</v>
      </c>
      <c r="AE53" s="5">
        <f t="shared" ref="AE53:AE58" si="423">IF(M53="","",AA53*(1/SQRT(Z53^2+AA53^2+AB53^2)))</f>
        <v>8.1488633393343154E-2</v>
      </c>
      <c r="AF53" s="10">
        <f t="shared" ref="AF53:AF58" si="424">IF(M53="","",AB53*(1/SQRT(Z53^2+AA53^2+AB53^2)))</f>
        <v>-0.48175380924617722</v>
      </c>
      <c r="AG53" s="622">
        <f t="shared" ref="AG53:AG58" si="425">IF(M53="","",DEGREES(ATAN2(-AF53,AE53)))</f>
        <v>9.6007024929214779</v>
      </c>
      <c r="AH53" s="623">
        <f t="shared" ref="AH53:AH58" si="426">IF(M53="","",DEGREES(ACOS(AD53)))</f>
        <v>29.248414935358579</v>
      </c>
      <c r="AI53" s="624">
        <f t="shared" ref="AI53:AI58" si="427">IF(M53="","",DEGREES(-ACOS(-AF53)))</f>
        <v>-61.199991163815362</v>
      </c>
      <c r="AJ53" s="625">
        <f t="shared" ref="AJ53:AJ58" si="428">IF(M53="","",DEGREES(ATAN2(-AE53,AD53)))</f>
        <v>95.335701063818846</v>
      </c>
      <c r="AK53" s="4">
        <f t="shared" ref="AK53:AK58" si="429">IF(M53="","",(COS(RADIANS((90-$Q$8)-W53))*AD53)+(-SIN(RADIANS((90-$Q$8)-W53))*AE53))</f>
        <v>2.2679489641852513E-7</v>
      </c>
      <c r="AL53" s="5">
        <f t="shared" ref="AL53:AL58" si="430">IF(M53="","",(SIN(RADIANS((90-$Q$8)-W53))*AD53)+(COS(RADIANS((90-$Q$8)-W53))*AE53))</f>
        <v>-0.87630660574752406</v>
      </c>
      <c r="AM53" s="6">
        <f t="shared" ref="AM53:AM58" si="431">IF(M53="","",AF53)</f>
        <v>-0.48175380924617722</v>
      </c>
      <c r="AN53" s="612">
        <f t="shared" ref="AN53:AN58" si="432">IF(M53="","",DEGREES(ATAN2(-AM53,AL53)))</f>
        <v>-61.199991163814559</v>
      </c>
      <c r="AO53" s="613">
        <f t="shared" si="98"/>
        <v>0</v>
      </c>
      <c r="AP53" s="624">
        <f t="shared" ref="AP53:AP58" si="433">IF(M53="","",DEGREES(ATAN2(AK53,AL53)))</f>
        <v>-89.99998517141114</v>
      </c>
      <c r="AQ53" s="625">
        <f t="shared" si="249"/>
        <v>3.3711691406239948</v>
      </c>
      <c r="AS53" s="56">
        <f t="shared" si="411"/>
        <v>-263.75531389601338</v>
      </c>
      <c r="AT53" s="77">
        <f t="shared" si="250"/>
        <v>-0.41336129911270147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>
        <f>IFERROR(IF((((($IW53*COS(RADIANS(180-$IY53)))*COS(RADIANS($IY53)))-(($IX53*SIN(RADIANS(180-$IY53)))*SIN(RADIANS($IY53))))+$IU53)&lt;(((Settings!$C$19/2)*-1)+$IF$8),1,""),"")</f>
        <v>1</v>
      </c>
      <c r="IG53" s="836">
        <f t="shared" si="385"/>
        <v>5.226</v>
      </c>
      <c r="IH53" s="797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5.1260000000000003</v>
      </c>
      <c r="II53" s="800" cm="1">
        <f t="array" ref="II53">IFERROR(IF($IH53&lt;1,$IH53+LARGE((IF($M$9:$M$150="",0,$M$9:$M$150)-MOD(IF($M$9:$M$150="",0,$M$9:$M$150),1)),1),$IH53),"")</f>
        <v>5.1260000000000003</v>
      </c>
      <c r="IJ53" s="839" t="str">
        <f t="shared" si="386"/>
        <v>1613</v>
      </c>
      <c r="IK53" s="839" t="str">
        <f t="shared" si="387"/>
        <v>Knuckle</v>
      </c>
      <c r="IL53" s="791">
        <f t="shared" si="228"/>
        <v>18.155197378713808</v>
      </c>
      <c r="IM53" s="830">
        <v>9.5338810491014904E-4</v>
      </c>
      <c r="IN53" s="5">
        <f t="shared" si="229"/>
        <v>0</v>
      </c>
      <c r="IO53" s="852">
        <v>0</v>
      </c>
      <c r="IP53" s="9">
        <f t="shared" si="230"/>
        <v>-3.6571110298468659</v>
      </c>
      <c r="IQ53" s="5">
        <f t="shared" si="231"/>
        <v>-1.4039042341751706</v>
      </c>
      <c r="IR53" s="5">
        <f t="shared" si="388"/>
        <v>0.314</v>
      </c>
      <c r="IS53" s="5">
        <f t="shared" si="232"/>
        <v>0.27406694466240483</v>
      </c>
      <c r="IT53" s="791">
        <f t="shared" si="233"/>
        <v>79.222320937018765</v>
      </c>
      <c r="IU53" s="9">
        <f t="shared" si="234"/>
        <v>-3.674511082325425</v>
      </c>
      <c r="IV53" s="5">
        <f t="shared" si="235"/>
        <v>-1.413204262224055</v>
      </c>
      <c r="IW53" s="5">
        <f t="shared" si="389"/>
        <v>0.25700000000000001</v>
      </c>
      <c r="IX53" s="5">
        <f t="shared" si="236"/>
        <v>0.25700000000000001</v>
      </c>
      <c r="IY53" s="833">
        <f t="shared" si="237"/>
        <v>61.199991163814559</v>
      </c>
    </row>
    <row r="54" spans="1:259" ht="15" customHeight="1" x14ac:dyDescent="0.25">
      <c r="A54" s="84">
        <f t="shared" si="82"/>
        <v>0</v>
      </c>
      <c r="B54" s="770">
        <v>-3.6889774527651342</v>
      </c>
      <c r="C54" s="771">
        <v>-0.3162819834803271</v>
      </c>
      <c r="D54" s="772">
        <v>-2.1819065806302476</v>
      </c>
      <c r="E54" s="773">
        <v>-0.99634470089885852</v>
      </c>
      <c r="F54" s="771">
        <v>-8.5423866634054185E-2</v>
      </c>
      <c r="G54" s="774">
        <v>2.2679489568523886E-7</v>
      </c>
      <c r="H54" s="773">
        <v>0.25700000000000001</v>
      </c>
      <c r="I54" s="771">
        <v>0.41499999999999992</v>
      </c>
      <c r="J54" s="601">
        <v>5.2320000000000002</v>
      </c>
      <c r="K54" s="426" t="str">
        <f t="shared" si="225"/>
        <v>Knuckle</v>
      </c>
      <c r="L54" s="327"/>
      <c r="M54" s="173">
        <f t="shared" si="242"/>
        <v>5.2320000000000002</v>
      </c>
      <c r="N54" s="21">
        <f t="shared" si="243"/>
        <v>-3.6889774527651342</v>
      </c>
      <c r="O54" s="5">
        <f t="shared" si="244"/>
        <v>-0.3162819834803271</v>
      </c>
      <c r="P54" s="10">
        <f t="shared" si="245"/>
        <v>-2.1819065806302476</v>
      </c>
      <c r="Q54" s="624">
        <f t="shared" si="116"/>
        <v>184.9003862980795</v>
      </c>
      <c r="R54" s="5">
        <f t="shared" si="415"/>
        <v>3.7025111667736788</v>
      </c>
      <c r="S54" s="6">
        <f t="shared" si="416"/>
        <v>-2.1819065806302476</v>
      </c>
      <c r="T54" s="4">
        <f t="shared" si="417"/>
        <v>-0.37476550228129896</v>
      </c>
      <c r="U54" s="5">
        <f t="shared" si="418"/>
        <v>3.6834955895702701</v>
      </c>
      <c r="V54" s="8">
        <f t="shared" si="419"/>
        <v>-2.1819065806302476</v>
      </c>
      <c r="W54" s="624">
        <f t="shared" si="227"/>
        <v>95.809386166836148</v>
      </c>
      <c r="X54" s="5">
        <f t="shared" si="420"/>
        <v>3.7025111667736788</v>
      </c>
      <c r="Y54" s="7">
        <f t="shared" si="226"/>
        <v>-2.1819065806302476</v>
      </c>
      <c r="Z54" s="21">
        <f t="shared" si="246"/>
        <v>0.99634470089885852</v>
      </c>
      <c r="AA54" s="5">
        <f t="shared" si="247"/>
        <v>8.5423866634054185E-2</v>
      </c>
      <c r="AB54" s="5">
        <f t="shared" si="248"/>
        <v>-2.2679489568523886E-7</v>
      </c>
      <c r="AC54" s="8">
        <f t="shared" si="421"/>
        <v>1</v>
      </c>
      <c r="AD54" s="9">
        <f t="shared" si="422"/>
        <v>0.99634470089885852</v>
      </c>
      <c r="AE54" s="5">
        <f t="shared" si="423"/>
        <v>8.5423866634054185E-2</v>
      </c>
      <c r="AF54" s="10">
        <f t="shared" si="424"/>
        <v>-2.2679489568523886E-7</v>
      </c>
      <c r="AG54" s="622">
        <f t="shared" si="425"/>
        <v>89.9998478833744</v>
      </c>
      <c r="AH54" s="623">
        <f t="shared" si="426"/>
        <v>4.9003992924870916</v>
      </c>
      <c r="AI54" s="624">
        <f t="shared" si="427"/>
        <v>-89.999987005609654</v>
      </c>
      <c r="AJ54" s="625">
        <f t="shared" si="428"/>
        <v>94.900399292469885</v>
      </c>
      <c r="AK54" s="4">
        <f t="shared" si="429"/>
        <v>2.2679489676546982E-7</v>
      </c>
      <c r="AL54" s="5">
        <f t="shared" si="430"/>
        <v>-0.9999999999999486</v>
      </c>
      <c r="AM54" s="6">
        <f t="shared" si="431"/>
        <v>-2.2679489568523886E-7</v>
      </c>
      <c r="AN54" s="612">
        <f t="shared" si="432"/>
        <v>-89.999987005609668</v>
      </c>
      <c r="AO54" s="613">
        <f t="shared" si="98"/>
        <v>0</v>
      </c>
      <c r="AP54" s="624">
        <f t="shared" si="433"/>
        <v>-89.999987005609611</v>
      </c>
      <c r="AQ54" s="625">
        <f t="shared" si="249"/>
        <v>3.3457329514226264</v>
      </c>
      <c r="AS54" s="56">
        <f t="shared" si="411"/>
        <v>-264.19061383316387</v>
      </c>
      <c r="AT54" s="77">
        <f t="shared" si="250"/>
        <v>-1.1804191510896589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>
        <f>IFERROR(IF((((($IW54*COS(RADIANS(180-$IY54)))*COS(RADIANS($IY54)))-(($IX54*SIN(RADIANS(180-$IY54)))*SIN(RADIANS($IY54))))+$IU54)&lt;(((Settings!$C$19/2)*-1)+$IF$8),1,""),"")</f>
        <v>1</v>
      </c>
      <c r="IG54" s="836">
        <f t="shared" si="385"/>
        <v>5.2320000000000002</v>
      </c>
      <c r="IH54" s="797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5.1319999999999997</v>
      </c>
      <c r="II54" s="800" cm="1">
        <f t="array" ref="II54">IFERROR(IF($IH54&lt;1,$IH54+LARGE((IF($M$9:$M$150="",0,$M$9:$M$150)-MOD(IF($M$9:$M$150="",0,$M$9:$M$150),1)),1),$IH54),"")</f>
        <v>5.1319999999999997</v>
      </c>
      <c r="IJ54" s="839" t="str">
        <f t="shared" si="386"/>
        <v>1613</v>
      </c>
      <c r="IK54" s="839" t="str">
        <f t="shared" si="387"/>
        <v>Knuckle</v>
      </c>
      <c r="IL54" s="791">
        <f t="shared" si="228"/>
        <v>18.534597323935259</v>
      </c>
      <c r="IM54" s="830">
        <v>3.7233002314111997E-5</v>
      </c>
      <c r="IN54" s="5">
        <f t="shared" si="229"/>
        <v>0</v>
      </c>
      <c r="IO54" s="852">
        <v>0</v>
      </c>
      <c r="IP54" s="9">
        <f t="shared" si="230"/>
        <v>-3.6869111197239364</v>
      </c>
      <c r="IQ54" s="5">
        <f t="shared" si="231"/>
        <v>-2.1690065417237303</v>
      </c>
      <c r="IR54" s="5">
        <f t="shared" si="388"/>
        <v>0.314</v>
      </c>
      <c r="IS54" s="5">
        <f t="shared" si="232"/>
        <v>0.27193198865724588</v>
      </c>
      <c r="IT54" s="791">
        <f t="shared" si="233"/>
        <v>89.999987005609597</v>
      </c>
      <c r="IU54" s="9">
        <f t="shared" si="234"/>
        <v>-3.7025111667736788</v>
      </c>
      <c r="IV54" s="5">
        <f t="shared" si="235"/>
        <v>-2.1819065806302476</v>
      </c>
      <c r="IW54" s="5">
        <f t="shared" si="389"/>
        <v>0.25700000000000001</v>
      </c>
      <c r="IX54" s="5">
        <f t="shared" si="236"/>
        <v>0.25700000000000001</v>
      </c>
      <c r="IY54" s="833">
        <f t="shared" si="237"/>
        <v>89.999987005609668</v>
      </c>
    </row>
    <row r="55" spans="1:259" ht="15" customHeight="1" x14ac:dyDescent="0.25">
      <c r="A55" s="84">
        <f t="shared" si="82"/>
        <v>0.02</v>
      </c>
      <c r="B55" s="770">
        <v>-2.2772210685013694</v>
      </c>
      <c r="C55" s="771">
        <v>1.3728029185944386</v>
      </c>
      <c r="D55" s="772">
        <v>-0.15090042495568154</v>
      </c>
      <c r="E55" s="773">
        <v>-0.61390791293990643</v>
      </c>
      <c r="F55" s="771">
        <v>-0.75358065056281187</v>
      </c>
      <c r="G55" s="774">
        <v>0.23501761109988684</v>
      </c>
      <c r="H55" s="773">
        <v>0.314</v>
      </c>
      <c r="I55" s="771">
        <v>0.52</v>
      </c>
      <c r="J55" s="601">
        <v>6.1130000000000004</v>
      </c>
      <c r="K55" s="426" t="str">
        <f t="shared" si="225"/>
        <v>1613</v>
      </c>
      <c r="L55" s="327"/>
      <c r="M55" s="173">
        <f t="shared" si="242"/>
        <v>6.1130000000000004</v>
      </c>
      <c r="N55" s="21">
        <f t="shared" si="243"/>
        <v>-2.2772210685013694</v>
      </c>
      <c r="O55" s="5">
        <f t="shared" si="244"/>
        <v>1.3728029185944386</v>
      </c>
      <c r="P55" s="10">
        <f t="shared" si="245"/>
        <v>-0.15090042495568154</v>
      </c>
      <c r="Q55" s="624">
        <f t="shared" si="116"/>
        <v>148.9166914934822</v>
      </c>
      <c r="R55" s="5">
        <f t="shared" si="415"/>
        <v>2.6590080195681862</v>
      </c>
      <c r="S55" s="6">
        <f t="shared" si="416"/>
        <v>-0.15090042495568154</v>
      </c>
      <c r="T55" s="4">
        <f t="shared" si="417"/>
        <v>1.3365034661312425</v>
      </c>
      <c r="U55" s="5">
        <f t="shared" si="418"/>
        <v>2.298713147208042</v>
      </c>
      <c r="V55" s="8">
        <f t="shared" si="419"/>
        <v>-0.15090042495568154</v>
      </c>
      <c r="W55" s="624">
        <f t="shared" si="227"/>
        <v>59.825691362238857</v>
      </c>
      <c r="X55" s="5">
        <f t="shared" si="420"/>
        <v>2.6590080195681862</v>
      </c>
      <c r="Y55" s="7">
        <f t="shared" si="226"/>
        <v>-0.15090042495568154</v>
      </c>
      <c r="Z55" s="21">
        <f t="shared" si="246"/>
        <v>0.61390791293990643</v>
      </c>
      <c r="AA55" s="5">
        <f t="shared" si="247"/>
        <v>0.75358065056281187</v>
      </c>
      <c r="AB55" s="5">
        <f t="shared" si="248"/>
        <v>-0.23501761109988684</v>
      </c>
      <c r="AC55" s="8">
        <f t="shared" si="421"/>
        <v>1</v>
      </c>
      <c r="AD55" s="9">
        <f t="shared" si="422"/>
        <v>0.61390791293990643</v>
      </c>
      <c r="AE55" s="5">
        <f t="shared" si="423"/>
        <v>0.75358065056281187</v>
      </c>
      <c r="AF55" s="10">
        <f t="shared" si="424"/>
        <v>-0.23501761109988684</v>
      </c>
      <c r="AG55" s="622">
        <f t="shared" si="425"/>
        <v>72.678976106304802</v>
      </c>
      <c r="AH55" s="623">
        <f t="shared" si="426"/>
        <v>52.127389908779669</v>
      </c>
      <c r="AI55" s="624">
        <f t="shared" si="427"/>
        <v>-76.407339110092934</v>
      </c>
      <c r="AJ55" s="625">
        <f t="shared" si="428"/>
        <v>140.83186071772002</v>
      </c>
      <c r="AK55" s="4">
        <f t="shared" si="429"/>
        <v>0.9623304217503923</v>
      </c>
      <c r="AL55" s="5">
        <f t="shared" si="430"/>
        <v>-0.13669997017781216</v>
      </c>
      <c r="AM55" s="6">
        <f t="shared" si="431"/>
        <v>-0.23501761109988684</v>
      </c>
      <c r="AN55" s="612">
        <f t="shared" si="432"/>
        <v>-30.184783396444487</v>
      </c>
      <c r="AO55" s="613">
        <f>IF(ROUND(IF(M55="",0,DEGREES(ACOS(AK55))),4)=90,0,IF(M55="","",DEGREES(ACOS(AK55))))</f>
        <v>15.776324505550711</v>
      </c>
      <c r="AP55" s="624">
        <f t="shared" si="433"/>
        <v>-8.0848307757621871</v>
      </c>
      <c r="AQ55" s="625">
        <f t="shared" si="249"/>
        <v>4.6537762237415423</v>
      </c>
      <c r="AS55" s="56">
        <f t="shared" si="411"/>
        <v>-300.17430863776116</v>
      </c>
      <c r="AT55" s="77">
        <f t="shared" si="250"/>
        <v>0.98652540718005244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6.1130000000000004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6"/>
        <v/>
      </c>
      <c r="IK55" s="839" t="str">
        <f t="shared" si="387"/>
        <v/>
      </c>
      <c r="IL55" s="791" t="str">
        <f t="shared" si="228"/>
        <v/>
      </c>
      <c r="IM55" s="830"/>
      <c r="IN55" s="5" t="str">
        <f t="shared" si="229"/>
        <v/>
      </c>
      <c r="IO55" s="852"/>
      <c r="IP55" s="9" t="str">
        <f t="shared" si="230"/>
        <v/>
      </c>
      <c r="IQ55" s="5" t="str">
        <f t="shared" si="231"/>
        <v/>
      </c>
      <c r="IR55" s="5" t="str">
        <f t="shared" si="388"/>
        <v/>
      </c>
      <c r="IS55" s="5" t="str">
        <f t="shared" si="232"/>
        <v/>
      </c>
      <c r="IT55" s="791" t="str">
        <f t="shared" si="233"/>
        <v/>
      </c>
      <c r="IU55" s="9" t="str">
        <f t="shared" si="234"/>
        <v/>
      </c>
      <c r="IV55" s="5" t="str">
        <f t="shared" si="235"/>
        <v/>
      </c>
      <c r="IW55" s="5" t="str">
        <f t="shared" si="389"/>
        <v/>
      </c>
      <c r="IX55" s="5" t="str">
        <f t="shared" si="236"/>
        <v/>
      </c>
      <c r="IY55" s="833" t="str">
        <f t="shared" si="237"/>
        <v/>
      </c>
    </row>
    <row r="56" spans="1:259" ht="15" customHeight="1" x14ac:dyDescent="0.25">
      <c r="A56" s="84">
        <f t="shared" si="82"/>
        <v>0.02</v>
      </c>
      <c r="B56" s="770">
        <v>-2.7980510206408318</v>
      </c>
      <c r="C56" s="771">
        <v>1.7510730557349514</v>
      </c>
      <c r="D56" s="772">
        <v>-0.58600173722123916</v>
      </c>
      <c r="E56" s="773">
        <v>-0.74367053331530897</v>
      </c>
      <c r="F56" s="771">
        <v>-0.64041723636767811</v>
      </c>
      <c r="G56" s="774">
        <v>0.19188512511841424</v>
      </c>
      <c r="H56" s="773">
        <v>0.314</v>
      </c>
      <c r="I56" s="771">
        <v>0.52</v>
      </c>
      <c r="J56" s="601">
        <v>6.1189999999999998</v>
      </c>
      <c r="K56" s="426" t="str">
        <f t="shared" si="225"/>
        <v>1613</v>
      </c>
      <c r="L56" s="327"/>
      <c r="M56" s="173">
        <f t="shared" si="242"/>
        <v>6.1189999999999998</v>
      </c>
      <c r="N56" s="21">
        <f t="shared" si="243"/>
        <v>-2.7980510206408318</v>
      </c>
      <c r="O56" s="5">
        <f t="shared" si="244"/>
        <v>1.7510730557349514</v>
      </c>
      <c r="P56" s="10">
        <f t="shared" si="245"/>
        <v>-0.58600173722123916</v>
      </c>
      <c r="Q56" s="624">
        <f t="shared" si="116"/>
        <v>147.96089163148264</v>
      </c>
      <c r="R56" s="5">
        <f t="shared" si="415"/>
        <v>3.3008099552428249</v>
      </c>
      <c r="S56" s="6">
        <f t="shared" si="416"/>
        <v>-0.58600173722123916</v>
      </c>
      <c r="T56" s="4">
        <f t="shared" si="417"/>
        <v>1.7064633573512391</v>
      </c>
      <c r="U56" s="5">
        <f t="shared" si="418"/>
        <v>2.8254785737371426</v>
      </c>
      <c r="V56" s="8">
        <f t="shared" si="419"/>
        <v>-0.58600173722123916</v>
      </c>
      <c r="W56" s="624">
        <f t="shared" si="227"/>
        <v>58.869891500239291</v>
      </c>
      <c r="X56" s="5">
        <f t="shared" si="420"/>
        <v>3.3008099552428249</v>
      </c>
      <c r="Y56" s="7">
        <f t="shared" si="226"/>
        <v>-0.58600173722123916</v>
      </c>
      <c r="Z56" s="21">
        <f t="shared" si="246"/>
        <v>0.74367053331530897</v>
      </c>
      <c r="AA56" s="5">
        <f t="shared" si="247"/>
        <v>0.64041723636767811</v>
      </c>
      <c r="AB56" s="5">
        <f t="shared" si="248"/>
        <v>-0.19188512511841424</v>
      </c>
      <c r="AC56" s="8">
        <f t="shared" si="421"/>
        <v>1</v>
      </c>
      <c r="AD56" s="9">
        <f t="shared" si="422"/>
        <v>0.74367053331530897</v>
      </c>
      <c r="AE56" s="5">
        <f t="shared" si="423"/>
        <v>0.64041723636767811</v>
      </c>
      <c r="AF56" s="10">
        <f t="shared" si="424"/>
        <v>-0.19188512511841424</v>
      </c>
      <c r="AG56" s="622">
        <f t="shared" si="425"/>
        <v>73.320460564945719</v>
      </c>
      <c r="AH56" s="623">
        <f t="shared" si="426"/>
        <v>41.95496544947737</v>
      </c>
      <c r="AI56" s="624">
        <f t="shared" si="427"/>
        <v>-78.937181572961322</v>
      </c>
      <c r="AJ56" s="625">
        <f t="shared" si="428"/>
        <v>130.73362308644957</v>
      </c>
      <c r="AK56" s="4">
        <f t="shared" si="429"/>
        <v>0.9373885734234646</v>
      </c>
      <c r="AL56" s="5">
        <f t="shared" si="430"/>
        <v>-0.2906591838793548</v>
      </c>
      <c r="AM56" s="6">
        <f t="shared" si="431"/>
        <v>-0.19188512511841424</v>
      </c>
      <c r="AN56" s="612">
        <f t="shared" si="432"/>
        <v>-56.568315060175287</v>
      </c>
      <c r="AO56" s="613">
        <f t="shared" ref="AO56:AO119" si="466">IF(ROUND(IF(M56="",0,DEGREES(ACOS(AK56))),4)=90,0,IF(M56="","",DEGREES(ACOS(AK56))))</f>
        <v>20.382473287351626</v>
      </c>
      <c r="AP56" s="624">
        <f t="shared" si="433"/>
        <v>-17.227268545033077</v>
      </c>
      <c r="AQ56" s="625">
        <f t="shared" si="249"/>
        <v>3.7518011121217545</v>
      </c>
      <c r="AS56" s="56">
        <f t="shared" si="411"/>
        <v>-301.13010849976069</v>
      </c>
      <c r="AT56" s="77">
        <f t="shared" si="250"/>
        <v>0.55503489439315978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6.1189999999999998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6"/>
        <v/>
      </c>
      <c r="IK56" s="839" t="str">
        <f t="shared" si="387"/>
        <v/>
      </c>
      <c r="IL56" s="791" t="str">
        <f t="shared" si="228"/>
        <v/>
      </c>
      <c r="IM56" s="830"/>
      <c r="IN56" s="5" t="str">
        <f t="shared" si="229"/>
        <v/>
      </c>
      <c r="IO56" s="852"/>
      <c r="IP56" s="9" t="str">
        <f t="shared" si="230"/>
        <v/>
      </c>
      <c r="IQ56" s="5" t="str">
        <f t="shared" si="231"/>
        <v/>
      </c>
      <c r="IR56" s="5" t="str">
        <f t="shared" si="388"/>
        <v/>
      </c>
      <c r="IS56" s="5" t="str">
        <f t="shared" si="232"/>
        <v/>
      </c>
      <c r="IT56" s="791" t="str">
        <f t="shared" si="233"/>
        <v/>
      </c>
      <c r="IU56" s="9" t="str">
        <f t="shared" si="234"/>
        <v/>
      </c>
      <c r="IV56" s="5" t="str">
        <f t="shared" si="235"/>
        <v/>
      </c>
      <c r="IW56" s="5" t="str">
        <f t="shared" si="389"/>
        <v/>
      </c>
      <c r="IX56" s="5" t="str">
        <f t="shared" si="236"/>
        <v/>
      </c>
      <c r="IY56" s="833" t="str">
        <f t="shared" si="237"/>
        <v/>
      </c>
    </row>
    <row r="57" spans="1:259" ht="15" customHeight="1" x14ac:dyDescent="0.25">
      <c r="A57" s="84">
        <f t="shared" si="82"/>
        <v>0.02</v>
      </c>
      <c r="B57" s="770">
        <v>-3.0679780040260058</v>
      </c>
      <c r="C57" s="771">
        <v>1.9549698735710321</v>
      </c>
      <c r="D57" s="772">
        <v>-1.2846038442051937</v>
      </c>
      <c r="E57" s="773">
        <v>-0.8539031684263314</v>
      </c>
      <c r="F57" s="771">
        <v>-0.50944198785948935</v>
      </c>
      <c r="G57" s="774">
        <v>0.10638721707632147</v>
      </c>
      <c r="H57" s="773">
        <v>0.314</v>
      </c>
      <c r="I57" s="771">
        <v>0.52</v>
      </c>
      <c r="J57" s="601">
        <v>6.125</v>
      </c>
      <c r="K57" s="426" t="str">
        <f t="shared" si="225"/>
        <v>1613</v>
      </c>
      <c r="L57" s="327"/>
      <c r="M57" s="173">
        <f t="shared" si="242"/>
        <v>6.125</v>
      </c>
      <c r="N57" s="21">
        <f t="shared" si="243"/>
        <v>-3.0679780040260058</v>
      </c>
      <c r="O57" s="5">
        <f t="shared" si="244"/>
        <v>1.9549698735710321</v>
      </c>
      <c r="P57" s="10">
        <f t="shared" si="245"/>
        <v>-1.2846038442051937</v>
      </c>
      <c r="Q57" s="624">
        <f t="shared" si="116"/>
        <v>147.49399169889463</v>
      </c>
      <c r="R57" s="5">
        <f t="shared" si="415"/>
        <v>3.6379109719394909</v>
      </c>
      <c r="S57" s="6">
        <f t="shared" si="416"/>
        <v>-1.2846038442051937</v>
      </c>
      <c r="T57" s="4">
        <f t="shared" si="417"/>
        <v>1.9060522924516476</v>
      </c>
      <c r="U57" s="5">
        <f t="shared" si="418"/>
        <v>3.098606283185644</v>
      </c>
      <c r="V57" s="8">
        <f t="shared" si="419"/>
        <v>-1.2846038442051937</v>
      </c>
      <c r="W57" s="624">
        <f t="shared" si="227"/>
        <v>58.402991567651284</v>
      </c>
      <c r="X57" s="5">
        <f t="shared" si="420"/>
        <v>3.6379109719394909</v>
      </c>
      <c r="Y57" s="7">
        <f t="shared" si="226"/>
        <v>-1.2846038442051937</v>
      </c>
      <c r="Z57" s="21">
        <f t="shared" si="246"/>
        <v>0.8539031684263314</v>
      </c>
      <c r="AA57" s="5">
        <f t="shared" si="247"/>
        <v>0.50944198785948935</v>
      </c>
      <c r="AB57" s="5">
        <f t="shared" si="248"/>
        <v>-0.10638721707632147</v>
      </c>
      <c r="AC57" s="8">
        <f t="shared" si="421"/>
        <v>1</v>
      </c>
      <c r="AD57" s="9">
        <f t="shared" si="422"/>
        <v>0.8539031684263314</v>
      </c>
      <c r="AE57" s="5">
        <f t="shared" si="423"/>
        <v>0.50944198785948935</v>
      </c>
      <c r="AF57" s="10">
        <f t="shared" si="424"/>
        <v>-0.10638721707632147</v>
      </c>
      <c r="AG57" s="622">
        <f t="shared" si="425"/>
        <v>78.204392456508899</v>
      </c>
      <c r="AH57" s="623">
        <f t="shared" si="426"/>
        <v>31.361228013131228</v>
      </c>
      <c r="AI57" s="624">
        <f t="shared" si="427"/>
        <v>-83.892904044419552</v>
      </c>
      <c r="AJ57" s="625">
        <f t="shared" si="428"/>
        <v>120.82046835150275</v>
      </c>
      <c r="AK57" s="4">
        <f t="shared" si="429"/>
        <v>0.88850766476488952</v>
      </c>
      <c r="AL57" s="5">
        <f t="shared" si="430"/>
        <v>-0.4463584766718322</v>
      </c>
      <c r="AM57" s="6">
        <f t="shared" si="431"/>
        <v>-0.10638721707632147</v>
      </c>
      <c r="AN57" s="612">
        <f t="shared" si="432"/>
        <v>-76.59397184876164</v>
      </c>
      <c r="AO57" s="613">
        <f t="shared" si="466"/>
        <v>27.313684359921854</v>
      </c>
      <c r="AP57" s="624">
        <f t="shared" si="433"/>
        <v>-26.673523347391875</v>
      </c>
      <c r="AQ57" s="625">
        <f t="shared" si="249"/>
        <v>3.4050062241607391</v>
      </c>
      <c r="AS57" s="56">
        <f t="shared" si="411"/>
        <v>-301.59700843234873</v>
      </c>
      <c r="AT57" s="77">
        <f t="shared" si="250"/>
        <v>-0.14180336840101782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6.125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6"/>
        <v/>
      </c>
      <c r="IK57" s="839" t="str">
        <f t="shared" si="387"/>
        <v/>
      </c>
      <c r="IL57" s="791" t="str">
        <f t="shared" si="228"/>
        <v/>
      </c>
      <c r="IM57" s="830"/>
      <c r="IN57" s="5" t="str">
        <f t="shared" si="229"/>
        <v/>
      </c>
      <c r="IO57" s="852"/>
      <c r="IP57" s="9" t="str">
        <f t="shared" si="230"/>
        <v/>
      </c>
      <c r="IQ57" s="5" t="str">
        <f t="shared" si="231"/>
        <v/>
      </c>
      <c r="IR57" s="5" t="str">
        <f t="shared" si="388"/>
        <v/>
      </c>
      <c r="IS57" s="5" t="str">
        <f t="shared" si="232"/>
        <v/>
      </c>
      <c r="IT57" s="791" t="str">
        <f t="shared" si="233"/>
        <v/>
      </c>
      <c r="IU57" s="9" t="str">
        <f t="shared" si="234"/>
        <v/>
      </c>
      <c r="IV57" s="5" t="str">
        <f t="shared" si="235"/>
        <v/>
      </c>
      <c r="IW57" s="5" t="str">
        <f t="shared" si="389"/>
        <v/>
      </c>
      <c r="IX57" s="5" t="str">
        <f t="shared" si="236"/>
        <v/>
      </c>
      <c r="IY57" s="833" t="str">
        <f t="shared" si="237"/>
        <v/>
      </c>
    </row>
    <row r="58" spans="1:259" ht="15" customHeight="1" x14ac:dyDescent="0.25">
      <c r="A58" s="84">
        <f t="shared" si="82"/>
        <v>0.02</v>
      </c>
      <c r="B58" s="770">
        <v>-3.1072596672593336</v>
      </c>
      <c r="C58" s="771">
        <v>1.9845027007157989</v>
      </c>
      <c r="D58" s="772">
        <v>-2.064106195184285</v>
      </c>
      <c r="E58" s="773">
        <v>-0.88753413130899372</v>
      </c>
      <c r="F58" s="771">
        <v>-0.46074197308426018</v>
      </c>
      <c r="G58" s="774">
        <v>1.1339743381742591E-7</v>
      </c>
      <c r="H58" s="773">
        <v>0.314</v>
      </c>
      <c r="I58" s="771">
        <v>0.52</v>
      </c>
      <c r="J58" s="601">
        <v>6.1310000000000002</v>
      </c>
      <c r="K58" s="426" t="str">
        <f t="shared" si="225"/>
        <v>1613</v>
      </c>
      <c r="L58" s="327"/>
      <c r="M58" s="173">
        <f t="shared" si="242"/>
        <v>6.1310000000000002</v>
      </c>
      <c r="N58" s="21">
        <f t="shared" si="243"/>
        <v>-3.1072596672593336</v>
      </c>
      <c r="O58" s="5">
        <f t="shared" si="244"/>
        <v>1.9845027007157989</v>
      </c>
      <c r="P58" s="10">
        <f t="shared" si="245"/>
        <v>-2.064106195184285</v>
      </c>
      <c r="Q58" s="624">
        <f t="shared" si="116"/>
        <v>147.43499172267457</v>
      </c>
      <c r="R58" s="5">
        <f t="shared" si="415"/>
        <v>3.686911120290925</v>
      </c>
      <c r="S58" s="6">
        <f t="shared" si="416"/>
        <v>-2.064106195184285</v>
      </c>
      <c r="T58" s="4">
        <f t="shared" si="417"/>
        <v>1.9349582239359104</v>
      </c>
      <c r="U58" s="5">
        <f t="shared" si="418"/>
        <v>3.1383515227819321</v>
      </c>
      <c r="V58" s="8">
        <f t="shared" si="419"/>
        <v>-2.064106195184285</v>
      </c>
      <c r="W58" s="624">
        <f t="shared" si="227"/>
        <v>58.343991591431219</v>
      </c>
      <c r="X58" s="5">
        <f t="shared" si="420"/>
        <v>3.686911120290925</v>
      </c>
      <c r="Y58" s="7">
        <f t="shared" si="226"/>
        <v>-2.064106195184285</v>
      </c>
      <c r="Z58" s="21">
        <f t="shared" si="246"/>
        <v>0.88753413130899372</v>
      </c>
      <c r="AA58" s="5">
        <f t="shared" si="247"/>
        <v>0.46074197308426018</v>
      </c>
      <c r="AB58" s="5">
        <f t="shared" si="248"/>
        <v>-1.1339743381742591E-7</v>
      </c>
      <c r="AC58" s="8">
        <f t="shared" si="421"/>
        <v>1</v>
      </c>
      <c r="AD58" s="9">
        <f t="shared" si="422"/>
        <v>0.88753413130899372</v>
      </c>
      <c r="AE58" s="5">
        <f t="shared" si="423"/>
        <v>0.46074197308426018</v>
      </c>
      <c r="AF58" s="10">
        <f t="shared" si="424"/>
        <v>-1.1339743381742591E-7</v>
      </c>
      <c r="AG58" s="622">
        <f t="shared" si="425"/>
        <v>89.999985898410074</v>
      </c>
      <c r="AH58" s="623">
        <f t="shared" si="426"/>
        <v>27.434996038878001</v>
      </c>
      <c r="AI58" s="624">
        <f t="shared" si="427"/>
        <v>-89.999993502805637</v>
      </c>
      <c r="AJ58" s="625">
        <f t="shared" si="428"/>
        <v>117.4349960388773</v>
      </c>
      <c r="AK58" s="4">
        <f t="shared" si="429"/>
        <v>0.86602544145040505</v>
      </c>
      <c r="AL58" s="5">
        <f t="shared" si="430"/>
        <v>-0.49999993476061411</v>
      </c>
      <c r="AM58" s="6">
        <f t="shared" si="431"/>
        <v>-1.1339743381742591E-7</v>
      </c>
      <c r="AN58" s="612">
        <f t="shared" si="432"/>
        <v>-89.999987005609583</v>
      </c>
      <c r="AO58" s="613">
        <f t="shared" si="466"/>
        <v>29.999995683797906</v>
      </c>
      <c r="AP58" s="624">
        <f t="shared" si="433"/>
        <v>-29.999995683797277</v>
      </c>
      <c r="AQ58" s="625">
        <f t="shared" si="249"/>
        <v>3.3598570429658952</v>
      </c>
      <c r="AS58" s="56">
        <f t="shared" si="411"/>
        <v>-301.65600840856877</v>
      </c>
      <c r="AT58" s="77">
        <f t="shared" si="250"/>
        <v>-0.92108283058105545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6.1310000000000002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</v>
      </c>
      <c r="B59" s="770">
        <v>-2.0972162738542131</v>
      </c>
      <c r="C59" s="771">
        <v>2.589846933642876</v>
      </c>
      <c r="D59" s="772">
        <v>-0.57830171399796915</v>
      </c>
      <c r="E59" s="773">
        <v>-0.35645108241790358</v>
      </c>
      <c r="F59" s="771">
        <v>0.44018015619384376</v>
      </c>
      <c r="G59" s="774">
        <v>0.82412623786424155</v>
      </c>
      <c r="H59" s="773">
        <v>0.25700000000000001</v>
      </c>
      <c r="I59" s="771">
        <v>0.41499999999999992</v>
      </c>
      <c r="J59" s="601">
        <v>6.2190000000000003</v>
      </c>
      <c r="K59" s="426" t="str">
        <f t="shared" si="225"/>
        <v>Knuckle</v>
      </c>
      <c r="L59" s="327"/>
      <c r="M59" s="173">
        <f t="shared" si="242"/>
        <v>6.2190000000000003</v>
      </c>
      <c r="N59" s="21">
        <f t="shared" si="243"/>
        <v>-2.0972162738542131</v>
      </c>
      <c r="O59" s="5">
        <f t="shared" si="244"/>
        <v>2.589846933642876</v>
      </c>
      <c r="P59" s="10">
        <f t="shared" si="245"/>
        <v>-0.57830171399796915</v>
      </c>
      <c r="Q59" s="624">
        <f t="shared" si="116"/>
        <v>128.99999436909749</v>
      </c>
      <c r="R59" s="5">
        <f t="shared" si="83"/>
        <v>3.3325100508503129</v>
      </c>
      <c r="S59" s="6">
        <f t="shared" si="84"/>
        <v>-0.57830171399796915</v>
      </c>
      <c r="T59" s="4">
        <f t="shared" si="85"/>
        <v>2.5562499832776906</v>
      </c>
      <c r="U59" s="5">
        <f t="shared" si="86"/>
        <v>2.1380386483904261</v>
      </c>
      <c r="V59" s="8">
        <f t="shared" si="117"/>
        <v>-0.57830171399796915</v>
      </c>
      <c r="W59" s="624">
        <f t="shared" si="227"/>
        <v>39.908994237854145</v>
      </c>
      <c r="X59" s="5">
        <f t="shared" si="87"/>
        <v>3.3325100508503129</v>
      </c>
      <c r="Y59" s="7">
        <f t="shared" si="226"/>
        <v>-0.57830171399796915</v>
      </c>
      <c r="Z59" s="21">
        <f t="shared" si="246"/>
        <v>0.35645108241790358</v>
      </c>
      <c r="AA59" s="5">
        <f t="shared" si="247"/>
        <v>-0.44018015619384376</v>
      </c>
      <c r="AB59" s="5">
        <f t="shared" si="248"/>
        <v>-0.82412623786424155</v>
      </c>
      <c r="AC59" s="8">
        <f t="shared" si="88"/>
        <v>1</v>
      </c>
      <c r="AD59" s="9">
        <f t="shared" si="118"/>
        <v>0.35645108241790358</v>
      </c>
      <c r="AE59" s="5">
        <f t="shared" si="89"/>
        <v>-0.44018015619384376</v>
      </c>
      <c r="AF59" s="10">
        <f t="shared" si="90"/>
        <v>-0.82412623786424155</v>
      </c>
      <c r="AG59" s="622">
        <f t="shared" si="91"/>
        <v>-28.107450364016696</v>
      </c>
      <c r="AH59" s="623">
        <f t="shared" si="92"/>
        <v>69.117595895093231</v>
      </c>
      <c r="AI59" s="624">
        <f t="shared" si="93"/>
        <v>-34.499995018819156</v>
      </c>
      <c r="AJ59" s="625">
        <f t="shared" si="94"/>
        <v>39.000017310921216</v>
      </c>
      <c r="AK59" s="4">
        <f t="shared" si="213"/>
        <v>2.2679489669608088E-7</v>
      </c>
      <c r="AL59" s="5">
        <f t="shared" si="95"/>
        <v>-0.56640616527689769</v>
      </c>
      <c r="AM59" s="6">
        <f t="shared" si="96"/>
        <v>-0.82412623786424155</v>
      </c>
      <c r="AN59" s="612">
        <f t="shared" si="97"/>
        <v>-34.499995018817025</v>
      </c>
      <c r="AO59" s="613">
        <f t="shared" si="466"/>
        <v>0</v>
      </c>
      <c r="AP59" s="624">
        <f t="shared" si="99"/>
        <v>-89.999977058176285</v>
      </c>
      <c r="AQ59" s="625">
        <f t="shared" si="249"/>
        <v>3.7162130459438472</v>
      </c>
      <c r="AS59" s="56">
        <f t="shared" si="411"/>
        <v>-320.09100576214587</v>
      </c>
      <c r="AT59" s="77">
        <f t="shared" si="250"/>
        <v>0.634364973940996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6.2190000000000003</v>
      </c>
      <c r="IH59" s="797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0.11899999999999999</v>
      </c>
      <c r="II59" s="800" cm="1">
        <f t="array" ref="II59">IFERROR(IF($IH59&lt;1,$IH59+LARGE((IF($M$9:$M$150="",0,$M$9:$M$150)-MOD(IF($M$9:$M$150="",0,$M$9:$M$150),1)),1),$IH59),"")</f>
        <v>6.1189999999999998</v>
      </c>
      <c r="IJ59" s="839" t="str">
        <f t="shared" si="386"/>
        <v>1613</v>
      </c>
      <c r="IK59" s="839" t="str">
        <f t="shared" si="387"/>
        <v>Knuckle</v>
      </c>
      <c r="IL59" s="791">
        <f t="shared" si="228"/>
        <v>18.960897262385146</v>
      </c>
      <c r="IM59" s="830">
        <v>5.7903251948550399E-3</v>
      </c>
      <c r="IN59" s="5">
        <f t="shared" si="229"/>
        <v>0.18</v>
      </c>
      <c r="IO59" s="852">
        <v>90</v>
      </c>
      <c r="IP59" s="9">
        <f t="shared" si="230"/>
        <v>-3.3008099552428249</v>
      </c>
      <c r="IQ59" s="5">
        <f t="shared" si="231"/>
        <v>-0.58600173722123916</v>
      </c>
      <c r="IR59" s="5">
        <f t="shared" si="388"/>
        <v>0.314</v>
      </c>
      <c r="IS59" s="5">
        <f t="shared" si="232"/>
        <v>0.2943400120549679</v>
      </c>
      <c r="IT59" s="791">
        <f t="shared" si="233"/>
        <v>56.568315060175287</v>
      </c>
      <c r="IU59" s="9">
        <f t="shared" si="234"/>
        <v>-3.3325100508503129</v>
      </c>
      <c r="IV59" s="5">
        <f t="shared" si="235"/>
        <v>-0.57830171399796915</v>
      </c>
      <c r="IW59" s="5">
        <f t="shared" si="389"/>
        <v>0.25700000000000001</v>
      </c>
      <c r="IX59" s="5">
        <f t="shared" si="236"/>
        <v>0.25700000000000001</v>
      </c>
      <c r="IY59" s="833">
        <f t="shared" si="237"/>
        <v>34.499995018817025</v>
      </c>
    </row>
    <row r="60" spans="1:259" ht="15" customHeight="1" x14ac:dyDescent="0.25">
      <c r="A60" s="84">
        <f t="shared" si="82"/>
        <v>0</v>
      </c>
      <c r="B60" s="770">
        <v>-2.3213239490385424</v>
      </c>
      <c r="C60" s="771">
        <v>2.8295589641902628</v>
      </c>
      <c r="D60" s="772">
        <v>-1.2919038662220608</v>
      </c>
      <c r="E60" s="773">
        <v>-0.53433139916927197</v>
      </c>
      <c r="F60" s="771">
        <v>0.65131855936988392</v>
      </c>
      <c r="G60" s="774">
        <v>0.53877090686315565</v>
      </c>
      <c r="H60" s="773">
        <v>0.25700000000000001</v>
      </c>
      <c r="I60" s="771">
        <v>0.41499999999999992</v>
      </c>
      <c r="J60" s="601">
        <v>6.2249999999999996</v>
      </c>
      <c r="K60" s="426" t="str">
        <f t="shared" si="225"/>
        <v>Knuckle</v>
      </c>
      <c r="L60" s="327"/>
      <c r="M60" s="173">
        <f t="shared" si="242"/>
        <v>6.2249999999999996</v>
      </c>
      <c r="N60" s="21">
        <f t="shared" si="243"/>
        <v>-2.3213239490385424</v>
      </c>
      <c r="O60" s="5">
        <f t="shared" si="244"/>
        <v>2.8295589641902628</v>
      </c>
      <c r="P60" s="10">
        <f t="shared" si="245"/>
        <v>-1.2919038662220608</v>
      </c>
      <c r="Q60" s="624">
        <f t="shared" si="116"/>
        <v>129.36489431641249</v>
      </c>
      <c r="R60" s="5">
        <f t="shared" si="83"/>
        <v>3.6599110382916913</v>
      </c>
      <c r="S60" s="6">
        <f t="shared" si="84"/>
        <v>-1.2919038662220608</v>
      </c>
      <c r="T60" s="4">
        <f t="shared" si="85"/>
        <v>2.7923765185393949</v>
      </c>
      <c r="U60" s="5">
        <f t="shared" si="86"/>
        <v>2.3659210018339945</v>
      </c>
      <c r="V60" s="8">
        <f t="shared" si="117"/>
        <v>-1.2919038662220608</v>
      </c>
      <c r="W60" s="624">
        <f t="shared" si="227"/>
        <v>40.273894185169141</v>
      </c>
      <c r="X60" s="5">
        <f t="shared" si="87"/>
        <v>3.6599110382916913</v>
      </c>
      <c r="Y60" s="7">
        <f t="shared" si="226"/>
        <v>-1.2919038662220608</v>
      </c>
      <c r="Z60" s="21">
        <f t="shared" si="246"/>
        <v>0.53433139916927197</v>
      </c>
      <c r="AA60" s="5">
        <f t="shared" si="247"/>
        <v>-0.65131855936988392</v>
      </c>
      <c r="AB60" s="5">
        <f t="shared" si="248"/>
        <v>-0.53877090686315565</v>
      </c>
      <c r="AC60" s="8">
        <f t="shared" si="88"/>
        <v>1</v>
      </c>
      <c r="AD60" s="9">
        <f t="shared" si="118"/>
        <v>0.53433139916927197</v>
      </c>
      <c r="AE60" s="5">
        <f t="shared" si="89"/>
        <v>-0.65131855936988392</v>
      </c>
      <c r="AF60" s="10">
        <f t="shared" si="90"/>
        <v>-0.53877090686315565</v>
      </c>
      <c r="AG60" s="622">
        <f t="shared" si="91"/>
        <v>-50.402437236977541</v>
      </c>
      <c r="AH60" s="623">
        <f t="shared" si="92"/>
        <v>57.70142009229172</v>
      </c>
      <c r="AI60" s="624">
        <f t="shared" si="93"/>
        <v>-57.399991712467539</v>
      </c>
      <c r="AJ60" s="625">
        <f t="shared" si="94"/>
        <v>39.364909740894191</v>
      </c>
      <c r="AK60" s="4">
        <f t="shared" si="213"/>
        <v>2.2679489641852513E-7</v>
      </c>
      <c r="AL60" s="5">
        <f t="shared" si="95"/>
        <v>-0.84245231907675422</v>
      </c>
      <c r="AM60" s="6">
        <f t="shared" si="96"/>
        <v>-0.53877090686315565</v>
      </c>
      <c r="AN60" s="612">
        <f t="shared" si="97"/>
        <v>-57.39999171246658</v>
      </c>
      <c r="AO60" s="613">
        <f t="shared" si="466"/>
        <v>0</v>
      </c>
      <c r="AP60" s="624">
        <f t="shared" si="99"/>
        <v>-89.999984575518297</v>
      </c>
      <c r="AQ60" s="625">
        <f t="shared" si="249"/>
        <v>3.3845861397616175</v>
      </c>
      <c r="AS60" s="56">
        <f t="shared" si="411"/>
        <v>-319.72610581483087</v>
      </c>
      <c r="AT60" s="77">
        <f t="shared" si="250"/>
        <v>-8.0615689195174367E-2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>
        <f>IFERROR(IF((((($IW60*COS(RADIANS(180-$IY60)))*COS(RADIANS($IY60)))-(($IX60*SIN(RADIANS(180-$IY60)))*SIN(RADIANS($IY60))))+$IU60)&lt;(((Settings!$C$19/2)*-1)+$IF$8),1,""),"")</f>
        <v>1</v>
      </c>
      <c r="IG60" s="836">
        <f t="shared" si="385"/>
        <v>6.2249999999999996</v>
      </c>
      <c r="IH60" s="797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0.125</v>
      </c>
      <c r="II60" s="800" cm="1">
        <f t="array" ref="II60">IFERROR(IF($IH60&lt;1,$IH60+LARGE((IF($M$9:$M$150="",0,$M$9:$M$150)-MOD(IF($M$9:$M$150="",0,$M$9:$M$150),1)),1),$IH60),"")</f>
        <v>6.125</v>
      </c>
      <c r="IJ60" s="839" t="str">
        <f t="shared" si="386"/>
        <v>1613</v>
      </c>
      <c r="IK60" s="839" t="str">
        <f t="shared" si="387"/>
        <v>Knuckle</v>
      </c>
      <c r="IL60" s="791">
        <f t="shared" si="228"/>
        <v>18.129097382482144</v>
      </c>
      <c r="IM60" s="830">
        <v>1.51252935870098E-3</v>
      </c>
      <c r="IN60" s="5">
        <f t="shared" si="229"/>
        <v>0</v>
      </c>
      <c r="IO60" s="852">
        <v>0</v>
      </c>
      <c r="IP60" s="9">
        <f t="shared" si="230"/>
        <v>-3.6379109719394909</v>
      </c>
      <c r="IQ60" s="5">
        <f t="shared" si="231"/>
        <v>-1.2846038442051937</v>
      </c>
      <c r="IR60" s="5">
        <f t="shared" si="388"/>
        <v>0.314</v>
      </c>
      <c r="IS60" s="5">
        <f t="shared" si="232"/>
        <v>0.27899140673617528</v>
      </c>
      <c r="IT60" s="791">
        <f t="shared" si="233"/>
        <v>76.59397184876164</v>
      </c>
      <c r="IU60" s="9">
        <f t="shared" si="234"/>
        <v>-3.6599110382916913</v>
      </c>
      <c r="IV60" s="5">
        <f t="shared" si="235"/>
        <v>-1.2919038662220608</v>
      </c>
      <c r="IW60" s="5">
        <f t="shared" si="389"/>
        <v>0.25700000000000001</v>
      </c>
      <c r="IX60" s="5">
        <f t="shared" si="236"/>
        <v>0.25700000000000001</v>
      </c>
      <c r="IY60" s="833">
        <f t="shared" si="237"/>
        <v>57.39999171246658</v>
      </c>
    </row>
    <row r="61" spans="1:259" ht="15" customHeight="1" x14ac:dyDescent="0.25">
      <c r="A61" s="84">
        <f t="shared" si="82"/>
        <v>0</v>
      </c>
      <c r="B61" s="770">
        <v>-2.3250600685208762</v>
      </c>
      <c r="C61" s="771">
        <v>2.8814379456527792</v>
      </c>
      <c r="D61" s="772">
        <v>-2.0770062340908018</v>
      </c>
      <c r="E61" s="773">
        <v>-0.62796859100846547</v>
      </c>
      <c r="F61" s="771">
        <v>0.77823868363554849</v>
      </c>
      <c r="G61" s="774">
        <v>2.2679489724587369E-7</v>
      </c>
      <c r="H61" s="773">
        <v>0.25700000000000001</v>
      </c>
      <c r="I61" s="771">
        <v>0.41499999999999992</v>
      </c>
      <c r="J61" s="601">
        <v>6.2309999999999999</v>
      </c>
      <c r="K61" s="426" t="str">
        <f t="shared" si="225"/>
        <v>Knuckle</v>
      </c>
      <c r="L61" s="327"/>
      <c r="M61" s="173">
        <f t="shared" si="242"/>
        <v>6.2309999999999999</v>
      </c>
      <c r="N61" s="21">
        <f t="shared" si="243"/>
        <v>-2.3250600685208762</v>
      </c>
      <c r="O61" s="5">
        <f t="shared" si="244"/>
        <v>2.8814379456527792</v>
      </c>
      <c r="P61" s="10">
        <f t="shared" si="245"/>
        <v>-2.0770062340908018</v>
      </c>
      <c r="Q61" s="624">
        <f t="shared" si="116"/>
        <v>128.90039438347796</v>
      </c>
      <c r="R61" s="5">
        <f t="shared" si="83"/>
        <v>3.702511169041629</v>
      </c>
      <c r="S61" s="6">
        <f t="shared" si="84"/>
        <v>-2.0770062340908018</v>
      </c>
      <c r="T61" s="4">
        <f t="shared" si="85"/>
        <v>2.8441896999808405</v>
      </c>
      <c r="U61" s="5">
        <f t="shared" si="86"/>
        <v>2.3704796787572144</v>
      </c>
      <c r="V61" s="8">
        <f t="shared" si="117"/>
        <v>-2.0770062340908018</v>
      </c>
      <c r="W61" s="624">
        <f t="shared" si="227"/>
        <v>39.809394252234611</v>
      </c>
      <c r="X61" s="5">
        <f t="shared" si="87"/>
        <v>3.702511169041629</v>
      </c>
      <c r="Y61" s="7">
        <f t="shared" si="226"/>
        <v>-2.0770062340908018</v>
      </c>
      <c r="Z61" s="21">
        <f t="shared" si="246"/>
        <v>0.62796859100846547</v>
      </c>
      <c r="AA61" s="5">
        <f t="shared" si="247"/>
        <v>-0.77823868363554849</v>
      </c>
      <c r="AB61" s="5">
        <f t="shared" si="248"/>
        <v>-2.2679489724587369E-7</v>
      </c>
      <c r="AC61" s="8">
        <f t="shared" si="88"/>
        <v>1</v>
      </c>
      <c r="AD61" s="9">
        <f t="shared" si="118"/>
        <v>0.62796859100846547</v>
      </c>
      <c r="AE61" s="5">
        <f t="shared" si="89"/>
        <v>-0.77823868363554849</v>
      </c>
      <c r="AF61" s="10">
        <f t="shared" si="90"/>
        <v>-2.2679489724587369E-7</v>
      </c>
      <c r="AG61" s="622">
        <f t="shared" si="91"/>
        <v>-89.999983302821235</v>
      </c>
      <c r="AH61" s="623">
        <f t="shared" si="92"/>
        <v>51.099592622132832</v>
      </c>
      <c r="AI61" s="624">
        <f t="shared" si="93"/>
        <v>-89.999987005609569</v>
      </c>
      <c r="AJ61" s="625">
        <f t="shared" si="94"/>
        <v>38.900407377868362</v>
      </c>
      <c r="AK61" s="4">
        <f t="shared" si="213"/>
        <v>2.2679489680710319E-7</v>
      </c>
      <c r="AL61" s="5">
        <f t="shared" si="95"/>
        <v>-0.99999999999994871</v>
      </c>
      <c r="AM61" s="6">
        <f t="shared" si="96"/>
        <v>-2.2679489724587369E-7</v>
      </c>
      <c r="AN61" s="612">
        <f t="shared" si="97"/>
        <v>-89.999987005609583</v>
      </c>
      <c r="AO61" s="613">
        <f t="shared" si="466"/>
        <v>0</v>
      </c>
      <c r="AP61" s="624">
        <f t="shared" si="99"/>
        <v>-89.999987005609611</v>
      </c>
      <c r="AQ61" s="625">
        <f t="shared" si="249"/>
        <v>3.345732949377874</v>
      </c>
      <c r="AS61" s="56">
        <f t="shared" si="411"/>
        <v>-320.1906057477654</v>
      </c>
      <c r="AT61" s="77">
        <f t="shared" si="250"/>
        <v>-0.86396327953949603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>
        <f>IFERROR(IF((((($IW61*COS(RADIANS(180-$IY61)))*COS(RADIANS($IY61)))-(($IX61*SIN(RADIANS(180-$IY61)))*SIN(RADIANS($IY61))))+$IU61)&lt;(((Settings!$C$19/2)*-1)+$IF$8),1,""),"")</f>
        <v>1</v>
      </c>
      <c r="IG61" s="836">
        <f t="shared" si="385"/>
        <v>6.2309999999999999</v>
      </c>
      <c r="IH61" s="797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0.13100000000000001</v>
      </c>
      <c r="II61" s="800" cm="1">
        <f t="array" ref="II61">IFERROR(IF($IH61&lt;1,$IH61+LARGE((IF($M$9:$M$150="",0,$M$9:$M$150)-MOD(IF($M$9:$M$150="",0,$M$9:$M$150),1)),1),$IH61),"")</f>
        <v>6.1310000000000002</v>
      </c>
      <c r="IJ61" s="839" t="str">
        <f t="shared" si="386"/>
        <v>1613</v>
      </c>
      <c r="IK61" s="839" t="str">
        <f t="shared" si="387"/>
        <v>Knuckle</v>
      </c>
      <c r="IL61" s="791">
        <f t="shared" si="228"/>
        <v>18.534597339196608</v>
      </c>
      <c r="IM61" s="830">
        <v>3.7231743513824201E-5</v>
      </c>
      <c r="IN61" s="5">
        <f t="shared" si="229"/>
        <v>0</v>
      </c>
      <c r="IO61" s="852">
        <v>0</v>
      </c>
      <c r="IP61" s="9">
        <f t="shared" si="230"/>
        <v>-3.686911120290925</v>
      </c>
      <c r="IQ61" s="5">
        <f t="shared" si="231"/>
        <v>-2.064106195184285</v>
      </c>
      <c r="IR61" s="5">
        <f t="shared" si="388"/>
        <v>0.314</v>
      </c>
      <c r="IS61" s="5">
        <f t="shared" si="232"/>
        <v>0.27193198861542717</v>
      </c>
      <c r="IT61" s="791">
        <f t="shared" si="233"/>
        <v>89.999987005609583</v>
      </c>
      <c r="IU61" s="9">
        <f t="shared" si="234"/>
        <v>-3.702511169041629</v>
      </c>
      <c r="IV61" s="5">
        <f t="shared" si="235"/>
        <v>-2.0770062340908018</v>
      </c>
      <c r="IW61" s="5">
        <f t="shared" si="389"/>
        <v>0.25700000000000001</v>
      </c>
      <c r="IX61" s="5">
        <f t="shared" si="236"/>
        <v>0.25700000000000001</v>
      </c>
      <c r="IY61" s="833">
        <f t="shared" si="237"/>
        <v>89.999987005609583</v>
      </c>
    </row>
    <row r="62" spans="1:259" ht="15" customHeight="1" x14ac:dyDescent="0.25">
      <c r="A62" s="84">
        <f t="shared" si="82"/>
        <v>0</v>
      </c>
      <c r="B62" s="770"/>
      <c r="C62" s="771"/>
      <c r="D62" s="772"/>
      <c r="E62" s="773"/>
      <c r="F62" s="771"/>
      <c r="G62" s="774"/>
      <c r="H62" s="773"/>
      <c r="I62" s="771"/>
      <c r="J62" s="601"/>
      <c r="K62" s="426" t="str">
        <f t="shared" si="225"/>
        <v/>
      </c>
      <c r="L62" s="327"/>
      <c r="M62" s="173" t="str">
        <f t="shared" si="242"/>
        <v/>
      </c>
      <c r="N62" s="21" t="str">
        <f t="shared" si="243"/>
        <v/>
      </c>
      <c r="O62" s="5" t="str">
        <f t="shared" si="244"/>
        <v/>
      </c>
      <c r="P62" s="10" t="str">
        <f t="shared" si="245"/>
        <v/>
      </c>
      <c r="Q62" s="624" t="str">
        <f t="shared" si="116"/>
        <v/>
      </c>
      <c r="R62" s="5" t="str">
        <f t="shared" si="83"/>
        <v/>
      </c>
      <c r="S62" s="6" t="str">
        <f t="shared" si="84"/>
        <v/>
      </c>
      <c r="T62" s="4" t="str">
        <f t="shared" si="85"/>
        <v/>
      </c>
      <c r="U62" s="5" t="str">
        <f t="shared" si="86"/>
        <v/>
      </c>
      <c r="V62" s="8" t="str">
        <f t="shared" si="117"/>
        <v/>
      </c>
      <c r="W62" s="624" t="str">
        <f t="shared" si="227"/>
        <v/>
      </c>
      <c r="X62" s="5" t="str">
        <f t="shared" si="87"/>
        <v/>
      </c>
      <c r="Y62" s="7" t="str">
        <f t="shared" si="226"/>
        <v/>
      </c>
      <c r="Z62" s="21" t="str">
        <f t="shared" si="246"/>
        <v/>
      </c>
      <c r="AA62" s="5" t="str">
        <f t="shared" si="247"/>
        <v/>
      </c>
      <c r="AB62" s="5" t="str">
        <f t="shared" si="248"/>
        <v/>
      </c>
      <c r="AC62" s="8" t="str">
        <f t="shared" si="88"/>
        <v/>
      </c>
      <c r="AD62" s="9" t="str">
        <f t="shared" si="118"/>
        <v/>
      </c>
      <c r="AE62" s="5" t="str">
        <f t="shared" si="89"/>
        <v/>
      </c>
      <c r="AF62" s="10" t="str">
        <f t="shared" si="90"/>
        <v/>
      </c>
      <c r="AG62" s="622" t="str">
        <f t="shared" si="91"/>
        <v/>
      </c>
      <c r="AH62" s="623" t="str">
        <f t="shared" si="92"/>
        <v/>
      </c>
      <c r="AI62" s="624" t="str">
        <f t="shared" si="93"/>
        <v/>
      </c>
      <c r="AJ62" s="625" t="str">
        <f t="shared" si="94"/>
        <v/>
      </c>
      <c r="AK62" s="4" t="str">
        <f t="shared" si="213"/>
        <v/>
      </c>
      <c r="AL62" s="5" t="str">
        <f t="shared" si="95"/>
        <v/>
      </c>
      <c r="AM62" s="6" t="str">
        <f t="shared" si="96"/>
        <v/>
      </c>
      <c r="AN62" s="612" t="str">
        <f t="shared" si="97"/>
        <v/>
      </c>
      <c r="AO62" s="613" t="str">
        <f t="shared" si="466"/>
        <v/>
      </c>
      <c r="AP62" s="624" t="str">
        <f t="shared" si="99"/>
        <v/>
      </c>
      <c r="AQ62" s="625" t="str">
        <f t="shared" si="249"/>
        <v/>
      </c>
      <c r="AS62" s="56" t="str">
        <f t="shared" si="411"/>
        <v/>
      </c>
      <c r="AT62" s="77" t="str">
        <f t="shared" si="250"/>
        <v/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 t="str">
        <f t="shared" si="385"/>
        <v/>
      </c>
      <c r="IH62" s="797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800" t="str" cm="1">
        <f t="array" ref="II62">IFERROR(IF($IH62&lt;1,$IH62+LARGE((IF($M$9:$M$150="",0,$M$9:$M$150)-MOD(IF($M$9:$M$150="",0,$M$9:$M$150),1)),1),$IH62),"")</f>
        <v/>
      </c>
      <c r="IJ62" s="839" t="str">
        <f t="shared" si="386"/>
        <v/>
      </c>
      <c r="IK62" s="839" t="str">
        <f t="shared" si="387"/>
        <v/>
      </c>
      <c r="IL62" s="791" t="str">
        <f t="shared" si="228"/>
        <v/>
      </c>
      <c r="IM62" s="830"/>
      <c r="IN62" s="5" t="str">
        <f t="shared" si="229"/>
        <v/>
      </c>
      <c r="IO62" s="852"/>
      <c r="IP62" s="9" t="str">
        <f t="shared" si="230"/>
        <v/>
      </c>
      <c r="IQ62" s="5" t="str">
        <f t="shared" si="231"/>
        <v/>
      </c>
      <c r="IR62" s="5" t="str">
        <f t="shared" si="388"/>
        <v/>
      </c>
      <c r="IS62" s="5" t="str">
        <f t="shared" si="232"/>
        <v/>
      </c>
      <c r="IT62" s="791" t="str">
        <f t="shared" si="233"/>
        <v/>
      </c>
      <c r="IU62" s="9" t="str">
        <f t="shared" si="234"/>
        <v/>
      </c>
      <c r="IV62" s="5" t="str">
        <f t="shared" si="235"/>
        <v/>
      </c>
      <c r="IW62" s="5" t="str">
        <f t="shared" si="389"/>
        <v/>
      </c>
      <c r="IX62" s="5" t="str">
        <f t="shared" si="236"/>
        <v/>
      </c>
      <c r="IY62" s="833" t="str">
        <f t="shared" si="237"/>
        <v/>
      </c>
    </row>
    <row r="63" spans="1:259" ht="15" customHeight="1" x14ac:dyDescent="0.25">
      <c r="A63" s="84">
        <f t="shared" si="82"/>
        <v>0</v>
      </c>
      <c r="B63" s="770"/>
      <c r="C63" s="771"/>
      <c r="D63" s="772"/>
      <c r="E63" s="773"/>
      <c r="F63" s="771"/>
      <c r="G63" s="774"/>
      <c r="H63" s="773"/>
      <c r="I63" s="771"/>
      <c r="J63" s="601"/>
      <c r="K63" s="426" t="str">
        <f t="shared" si="225"/>
        <v/>
      </c>
      <c r="L63" s="327"/>
      <c r="M63" s="173" t="str">
        <f t="shared" si="242"/>
        <v/>
      </c>
      <c r="N63" s="21" t="str">
        <f t="shared" si="243"/>
        <v/>
      </c>
      <c r="O63" s="5" t="str">
        <f t="shared" si="244"/>
        <v/>
      </c>
      <c r="P63" s="10" t="str">
        <f t="shared" si="245"/>
        <v/>
      </c>
      <c r="Q63" s="624" t="str">
        <f t="shared" si="116"/>
        <v/>
      </c>
      <c r="R63" s="5" t="str">
        <f t="shared" si="83"/>
        <v/>
      </c>
      <c r="S63" s="6" t="str">
        <f t="shared" si="84"/>
        <v/>
      </c>
      <c r="T63" s="4" t="str">
        <f t="shared" si="85"/>
        <v/>
      </c>
      <c r="U63" s="5" t="str">
        <f t="shared" si="86"/>
        <v/>
      </c>
      <c r="V63" s="8" t="str">
        <f t="shared" si="117"/>
        <v/>
      </c>
      <c r="W63" s="624" t="str">
        <f t="shared" si="227"/>
        <v/>
      </c>
      <c r="X63" s="5" t="str">
        <f t="shared" si="87"/>
        <v/>
      </c>
      <c r="Y63" s="7" t="str">
        <f t="shared" si="226"/>
        <v/>
      </c>
      <c r="Z63" s="21" t="str">
        <f t="shared" si="246"/>
        <v/>
      </c>
      <c r="AA63" s="5" t="str">
        <f t="shared" si="247"/>
        <v/>
      </c>
      <c r="AB63" s="5" t="str">
        <f t="shared" si="248"/>
        <v/>
      </c>
      <c r="AC63" s="8" t="str">
        <f t="shared" si="88"/>
        <v/>
      </c>
      <c r="AD63" s="9" t="str">
        <f t="shared" si="118"/>
        <v/>
      </c>
      <c r="AE63" s="5" t="str">
        <f t="shared" si="89"/>
        <v/>
      </c>
      <c r="AF63" s="10" t="str">
        <f t="shared" si="90"/>
        <v/>
      </c>
      <c r="AG63" s="622" t="str">
        <f t="shared" si="91"/>
        <v/>
      </c>
      <c r="AH63" s="623" t="str">
        <f t="shared" si="92"/>
        <v/>
      </c>
      <c r="AI63" s="624" t="str">
        <f t="shared" si="93"/>
        <v/>
      </c>
      <c r="AJ63" s="625" t="str">
        <f t="shared" si="94"/>
        <v/>
      </c>
      <c r="AK63" s="4" t="str">
        <f t="shared" si="213"/>
        <v/>
      </c>
      <c r="AL63" s="5" t="str">
        <f t="shared" si="95"/>
        <v/>
      </c>
      <c r="AM63" s="6" t="str">
        <f t="shared" si="96"/>
        <v/>
      </c>
      <c r="AN63" s="612" t="str">
        <f t="shared" si="97"/>
        <v/>
      </c>
      <c r="AO63" s="613" t="str">
        <f t="shared" si="466"/>
        <v/>
      </c>
      <c r="AP63" s="624" t="str">
        <f t="shared" si="99"/>
        <v/>
      </c>
      <c r="AQ63" s="625" t="str">
        <f t="shared" si="249"/>
        <v/>
      </c>
      <c r="AS63" s="56" t="str">
        <f t="shared" si="411"/>
        <v/>
      </c>
      <c r="AT63" s="77" t="str">
        <f t="shared" si="250"/>
        <v/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 t="str">
        <f t="shared" si="385"/>
        <v/>
      </c>
      <c r="IH63" s="797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800" t="str" cm="1">
        <f t="array" ref="II63">IFERROR(IF($IH63&lt;1,$IH63+LARGE((IF($M$9:$M$150="",0,$M$9:$M$150)-MOD(IF($M$9:$M$150="",0,$M$9:$M$150),1)),1),$IH63),"")</f>
        <v/>
      </c>
      <c r="IJ63" s="839" t="str">
        <f t="shared" si="386"/>
        <v/>
      </c>
      <c r="IK63" s="839" t="str">
        <f t="shared" si="387"/>
        <v/>
      </c>
      <c r="IL63" s="791" t="str">
        <f t="shared" si="228"/>
        <v/>
      </c>
      <c r="IM63" s="830"/>
      <c r="IN63" s="5" t="str">
        <f t="shared" si="229"/>
        <v/>
      </c>
      <c r="IO63" s="852"/>
      <c r="IP63" s="9" t="str">
        <f t="shared" si="230"/>
        <v/>
      </c>
      <c r="IQ63" s="5" t="str">
        <f t="shared" si="231"/>
        <v/>
      </c>
      <c r="IR63" s="5" t="str">
        <f t="shared" si="388"/>
        <v/>
      </c>
      <c r="IS63" s="5" t="str">
        <f t="shared" si="232"/>
        <v/>
      </c>
      <c r="IT63" s="791" t="str">
        <f t="shared" si="233"/>
        <v/>
      </c>
      <c r="IU63" s="9" t="str">
        <f t="shared" si="234"/>
        <v/>
      </c>
      <c r="IV63" s="5" t="str">
        <f t="shared" si="235"/>
        <v/>
      </c>
      <c r="IW63" s="5" t="str">
        <f t="shared" si="389"/>
        <v/>
      </c>
      <c r="IX63" s="5" t="str">
        <f t="shared" si="236"/>
        <v/>
      </c>
      <c r="IY63" s="833" t="str">
        <f t="shared" si="237"/>
        <v/>
      </c>
    </row>
    <row r="64" spans="1:259" ht="15" customHeight="1" x14ac:dyDescent="0.25">
      <c r="A64" s="84">
        <f t="shared" si="82"/>
        <v>0</v>
      </c>
      <c r="B64" s="770"/>
      <c r="C64" s="771"/>
      <c r="D64" s="772"/>
      <c r="E64" s="773"/>
      <c r="F64" s="771"/>
      <c r="G64" s="774"/>
      <c r="H64" s="773"/>
      <c r="I64" s="771"/>
      <c r="J64" s="601"/>
      <c r="K64" s="426" t="str">
        <f t="shared" si="225"/>
        <v/>
      </c>
      <c r="L64" s="327"/>
      <c r="M64" s="173" t="str">
        <f t="shared" si="242"/>
        <v/>
      </c>
      <c r="N64" s="21" t="str">
        <f t="shared" si="243"/>
        <v/>
      </c>
      <c r="O64" s="5" t="str">
        <f t="shared" si="244"/>
        <v/>
      </c>
      <c r="P64" s="10" t="str">
        <f t="shared" si="245"/>
        <v/>
      </c>
      <c r="Q64" s="624" t="str">
        <f t="shared" si="116"/>
        <v/>
      </c>
      <c r="R64" s="5" t="str">
        <f t="shared" si="83"/>
        <v/>
      </c>
      <c r="S64" s="6" t="str">
        <f t="shared" si="84"/>
        <v/>
      </c>
      <c r="T64" s="4" t="str">
        <f t="shared" si="85"/>
        <v/>
      </c>
      <c r="U64" s="5" t="str">
        <f t="shared" si="86"/>
        <v/>
      </c>
      <c r="V64" s="8" t="str">
        <f t="shared" si="117"/>
        <v/>
      </c>
      <c r="W64" s="624" t="str">
        <f t="shared" si="227"/>
        <v/>
      </c>
      <c r="X64" s="5" t="str">
        <f t="shared" si="87"/>
        <v/>
      </c>
      <c r="Y64" s="7" t="str">
        <f t="shared" si="226"/>
        <v/>
      </c>
      <c r="Z64" s="21" t="str">
        <f t="shared" si="246"/>
        <v/>
      </c>
      <c r="AA64" s="5" t="str">
        <f t="shared" si="247"/>
        <v/>
      </c>
      <c r="AB64" s="5" t="str">
        <f t="shared" si="248"/>
        <v/>
      </c>
      <c r="AC64" s="8" t="str">
        <f t="shared" si="88"/>
        <v/>
      </c>
      <c r="AD64" s="9" t="str">
        <f t="shared" si="118"/>
        <v/>
      </c>
      <c r="AE64" s="5" t="str">
        <f t="shared" si="89"/>
        <v/>
      </c>
      <c r="AF64" s="10" t="str">
        <f t="shared" si="90"/>
        <v/>
      </c>
      <c r="AG64" s="622" t="str">
        <f t="shared" si="91"/>
        <v/>
      </c>
      <c r="AH64" s="623" t="str">
        <f t="shared" si="92"/>
        <v/>
      </c>
      <c r="AI64" s="624" t="str">
        <f t="shared" si="93"/>
        <v/>
      </c>
      <c r="AJ64" s="625" t="str">
        <f t="shared" si="94"/>
        <v/>
      </c>
      <c r="AK64" s="4" t="str">
        <f t="shared" si="213"/>
        <v/>
      </c>
      <c r="AL64" s="5" t="str">
        <f t="shared" si="95"/>
        <v/>
      </c>
      <c r="AM64" s="6" t="str">
        <f t="shared" si="96"/>
        <v/>
      </c>
      <c r="AN64" s="612" t="str">
        <f t="shared" si="97"/>
        <v/>
      </c>
      <c r="AO64" s="613" t="str">
        <f t="shared" si="466"/>
        <v/>
      </c>
      <c r="AP64" s="624" t="str">
        <f t="shared" si="99"/>
        <v/>
      </c>
      <c r="AQ64" s="625" t="str">
        <f t="shared" si="249"/>
        <v/>
      </c>
      <c r="AS64" s="56" t="str">
        <f t="shared" si="411"/>
        <v/>
      </c>
      <c r="AT64" s="77" t="str">
        <f t="shared" si="250"/>
        <v/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 t="str">
        <f>IFERROR(IF((((($IW64*COS(RADIANS(180-$IY64)))*COS(RADIANS($IY64)))-(($IX64*SIN(RADIANS(180-$IY64)))*SIN(RADIANS($IY64))))+$IU64)&lt;(((Settings!$C$19/2)*-1)+$IF$8),1,""),"")</f>
        <v/>
      </c>
      <c r="IG64" s="836" t="str">
        <f t="shared" si="385"/>
        <v/>
      </c>
      <c r="IH64" s="797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800" t="str" cm="1">
        <f t="array" ref="II64">IFERROR(IF($IH64&lt;1,$IH64+LARGE((IF($M$9:$M$150="",0,$M$9:$M$150)-MOD(IF($M$9:$M$150="",0,$M$9:$M$150),1)),1),$IH64),"")</f>
        <v/>
      </c>
      <c r="IJ64" s="839" t="str">
        <f t="shared" si="386"/>
        <v/>
      </c>
      <c r="IK64" s="839" t="str">
        <f t="shared" si="387"/>
        <v/>
      </c>
      <c r="IL64" s="791" t="str">
        <f t="shared" si="228"/>
        <v/>
      </c>
      <c r="IM64" s="830"/>
      <c r="IN64" s="5" t="str">
        <f t="shared" si="229"/>
        <v/>
      </c>
      <c r="IO64" s="852"/>
      <c r="IP64" s="9" t="str">
        <f t="shared" si="230"/>
        <v/>
      </c>
      <c r="IQ64" s="5" t="str">
        <f t="shared" si="231"/>
        <v/>
      </c>
      <c r="IR64" s="5" t="str">
        <f t="shared" si="388"/>
        <v/>
      </c>
      <c r="IS64" s="5" t="str">
        <f t="shared" si="232"/>
        <v/>
      </c>
      <c r="IT64" s="791" t="str">
        <f t="shared" si="233"/>
        <v/>
      </c>
      <c r="IU64" s="9" t="str">
        <f t="shared" si="234"/>
        <v/>
      </c>
      <c r="IV64" s="5" t="str">
        <f t="shared" si="235"/>
        <v/>
      </c>
      <c r="IW64" s="5" t="str">
        <f t="shared" si="389"/>
        <v/>
      </c>
      <c r="IX64" s="5" t="str">
        <f t="shared" si="236"/>
        <v/>
      </c>
      <c r="IY64" s="833" t="str">
        <f t="shared" si="237"/>
        <v/>
      </c>
    </row>
    <row r="65" spans="1:259" ht="15" customHeight="1" x14ac:dyDescent="0.25">
      <c r="A65" s="84">
        <f t="shared" si="82"/>
        <v>0</v>
      </c>
      <c r="B65" s="770"/>
      <c r="C65" s="771"/>
      <c r="D65" s="772"/>
      <c r="E65" s="773"/>
      <c r="F65" s="771"/>
      <c r="G65" s="774"/>
      <c r="H65" s="773"/>
      <c r="I65" s="771"/>
      <c r="J65" s="601"/>
      <c r="K65" s="426" t="str">
        <f t="shared" si="225"/>
        <v/>
      </c>
      <c r="L65" s="327"/>
      <c r="M65" s="173" t="str">
        <f t="shared" si="242"/>
        <v/>
      </c>
      <c r="N65" s="21" t="str">
        <f t="shared" si="243"/>
        <v/>
      </c>
      <c r="O65" s="5" t="str">
        <f t="shared" si="244"/>
        <v/>
      </c>
      <c r="P65" s="10" t="str">
        <f t="shared" si="245"/>
        <v/>
      </c>
      <c r="Q65" s="624" t="str">
        <f t="shared" si="116"/>
        <v/>
      </c>
      <c r="R65" s="5" t="str">
        <f t="shared" si="83"/>
        <v/>
      </c>
      <c r="S65" s="6" t="str">
        <f t="shared" si="84"/>
        <v/>
      </c>
      <c r="T65" s="4" t="str">
        <f t="shared" si="85"/>
        <v/>
      </c>
      <c r="U65" s="5" t="str">
        <f t="shared" si="86"/>
        <v/>
      </c>
      <c r="V65" s="8" t="str">
        <f t="shared" si="117"/>
        <v/>
      </c>
      <c r="W65" s="624" t="str">
        <f t="shared" si="227"/>
        <v/>
      </c>
      <c r="X65" s="5" t="str">
        <f t="shared" si="87"/>
        <v/>
      </c>
      <c r="Y65" s="7" t="str">
        <f t="shared" si="226"/>
        <v/>
      </c>
      <c r="Z65" s="21" t="str">
        <f t="shared" si="246"/>
        <v/>
      </c>
      <c r="AA65" s="5" t="str">
        <f t="shared" si="247"/>
        <v/>
      </c>
      <c r="AB65" s="5" t="str">
        <f t="shared" si="248"/>
        <v/>
      </c>
      <c r="AC65" s="8" t="str">
        <f t="shared" si="88"/>
        <v/>
      </c>
      <c r="AD65" s="9" t="str">
        <f t="shared" si="118"/>
        <v/>
      </c>
      <c r="AE65" s="5" t="str">
        <f t="shared" si="89"/>
        <v/>
      </c>
      <c r="AF65" s="10" t="str">
        <f t="shared" si="90"/>
        <v/>
      </c>
      <c r="AG65" s="622" t="str">
        <f t="shared" si="91"/>
        <v/>
      </c>
      <c r="AH65" s="623" t="str">
        <f t="shared" si="92"/>
        <v/>
      </c>
      <c r="AI65" s="624" t="str">
        <f t="shared" si="93"/>
        <v/>
      </c>
      <c r="AJ65" s="625" t="str">
        <f t="shared" si="94"/>
        <v/>
      </c>
      <c r="AK65" s="4" t="str">
        <f t="shared" si="213"/>
        <v/>
      </c>
      <c r="AL65" s="5" t="str">
        <f t="shared" si="95"/>
        <v/>
      </c>
      <c r="AM65" s="6" t="str">
        <f t="shared" si="96"/>
        <v/>
      </c>
      <c r="AN65" s="612" t="str">
        <f t="shared" si="97"/>
        <v/>
      </c>
      <c r="AO65" s="613" t="str">
        <f t="shared" si="466"/>
        <v/>
      </c>
      <c r="AP65" s="624" t="str">
        <f t="shared" si="99"/>
        <v/>
      </c>
      <c r="AQ65" s="625" t="str">
        <f t="shared" si="249"/>
        <v/>
      </c>
      <c r="AS65" s="56" t="str">
        <f t="shared" si="411"/>
        <v/>
      </c>
      <c r="AT65" s="77" t="str">
        <f t="shared" si="250"/>
        <v/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 t="str">
        <f>IFERROR(IF((((($IW65*COS(RADIANS(180-$IY65)))*COS(RADIANS($IY65)))-(($IX65*SIN(RADIANS(180-$IY65)))*SIN(RADIANS($IY65))))+$IU65)&lt;(((Settings!$C$19/2)*-1)+$IF$8),1,""),"")</f>
        <v/>
      </c>
      <c r="IG65" s="836" t="str">
        <f t="shared" si="385"/>
        <v/>
      </c>
      <c r="IH65" s="797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800" t="str" cm="1">
        <f t="array" ref="II65">IFERROR(IF($IH65&lt;1,$IH65+LARGE((IF($M$9:$M$150="",0,$M$9:$M$150)-MOD(IF($M$9:$M$150="",0,$M$9:$M$150),1)),1),$IH65),"")</f>
        <v/>
      </c>
      <c r="IJ65" s="839" t="str">
        <f t="shared" si="386"/>
        <v/>
      </c>
      <c r="IK65" s="839" t="str">
        <f t="shared" si="387"/>
        <v/>
      </c>
      <c r="IL65" s="791" t="str">
        <f t="shared" si="228"/>
        <v/>
      </c>
      <c r="IM65" s="830"/>
      <c r="IN65" s="5" t="str">
        <f t="shared" si="229"/>
        <v/>
      </c>
      <c r="IO65" s="852"/>
      <c r="IP65" s="9" t="str">
        <f t="shared" si="230"/>
        <v/>
      </c>
      <c r="IQ65" s="5" t="str">
        <f t="shared" si="231"/>
        <v/>
      </c>
      <c r="IR65" s="5" t="str">
        <f t="shared" si="388"/>
        <v/>
      </c>
      <c r="IS65" s="5" t="str">
        <f t="shared" si="232"/>
        <v/>
      </c>
      <c r="IT65" s="791" t="str">
        <f t="shared" si="233"/>
        <v/>
      </c>
      <c r="IU65" s="9" t="str">
        <f t="shared" si="234"/>
        <v/>
      </c>
      <c r="IV65" s="5" t="str">
        <f t="shared" si="235"/>
        <v/>
      </c>
      <c r="IW65" s="5" t="str">
        <f t="shared" si="389"/>
        <v/>
      </c>
      <c r="IX65" s="5" t="str">
        <f t="shared" si="236"/>
        <v/>
      </c>
      <c r="IY65" s="833" t="str">
        <f t="shared" si="237"/>
        <v/>
      </c>
    </row>
    <row r="66" spans="1:259" ht="15" customHeight="1" x14ac:dyDescent="0.25">
      <c r="A66" s="84">
        <f t="shared" si="82"/>
        <v>0</v>
      </c>
      <c r="B66" s="770"/>
      <c r="C66" s="771"/>
      <c r="D66" s="772"/>
      <c r="E66" s="773"/>
      <c r="F66" s="771"/>
      <c r="G66" s="774"/>
      <c r="H66" s="773"/>
      <c r="I66" s="771"/>
      <c r="J66" s="601"/>
      <c r="K66" s="426" t="str">
        <f t="shared" si="225"/>
        <v/>
      </c>
      <c r="L66" s="327"/>
      <c r="M66" s="173" t="str">
        <f t="shared" si="242"/>
        <v/>
      </c>
      <c r="N66" s="21" t="str">
        <f t="shared" si="243"/>
        <v/>
      </c>
      <c r="O66" s="5" t="str">
        <f t="shared" si="244"/>
        <v/>
      </c>
      <c r="P66" s="10" t="str">
        <f t="shared" si="245"/>
        <v/>
      </c>
      <c r="Q66" s="624" t="str">
        <f t="shared" si="116"/>
        <v/>
      </c>
      <c r="R66" s="5" t="str">
        <f t="shared" si="83"/>
        <v/>
      </c>
      <c r="S66" s="6" t="str">
        <f t="shared" si="84"/>
        <v/>
      </c>
      <c r="T66" s="4" t="str">
        <f t="shared" si="85"/>
        <v/>
      </c>
      <c r="U66" s="5" t="str">
        <f t="shared" si="86"/>
        <v/>
      </c>
      <c r="V66" s="8" t="str">
        <f t="shared" si="117"/>
        <v/>
      </c>
      <c r="W66" s="624" t="str">
        <f t="shared" si="227"/>
        <v/>
      </c>
      <c r="X66" s="5" t="str">
        <f t="shared" si="87"/>
        <v/>
      </c>
      <c r="Y66" s="7" t="str">
        <f t="shared" si="226"/>
        <v/>
      </c>
      <c r="Z66" s="21" t="str">
        <f t="shared" si="246"/>
        <v/>
      </c>
      <c r="AA66" s="5" t="str">
        <f t="shared" si="247"/>
        <v/>
      </c>
      <c r="AB66" s="5" t="str">
        <f t="shared" si="248"/>
        <v/>
      </c>
      <c r="AC66" s="8" t="str">
        <f t="shared" si="88"/>
        <v/>
      </c>
      <c r="AD66" s="9" t="str">
        <f t="shared" si="118"/>
        <v/>
      </c>
      <c r="AE66" s="5" t="str">
        <f t="shared" si="89"/>
        <v/>
      </c>
      <c r="AF66" s="10" t="str">
        <f t="shared" si="90"/>
        <v/>
      </c>
      <c r="AG66" s="622" t="str">
        <f t="shared" si="91"/>
        <v/>
      </c>
      <c r="AH66" s="623" t="str">
        <f t="shared" si="92"/>
        <v/>
      </c>
      <c r="AI66" s="624" t="str">
        <f t="shared" si="93"/>
        <v/>
      </c>
      <c r="AJ66" s="625" t="str">
        <f t="shared" si="94"/>
        <v/>
      </c>
      <c r="AK66" s="4" t="str">
        <f t="shared" si="213"/>
        <v/>
      </c>
      <c r="AL66" s="5" t="str">
        <f t="shared" si="95"/>
        <v/>
      </c>
      <c r="AM66" s="6" t="str">
        <f t="shared" si="96"/>
        <v/>
      </c>
      <c r="AN66" s="612" t="str">
        <f t="shared" si="97"/>
        <v/>
      </c>
      <c r="AO66" s="613" t="str">
        <f t="shared" si="466"/>
        <v/>
      </c>
      <c r="AP66" s="624" t="str">
        <f t="shared" si="99"/>
        <v/>
      </c>
      <c r="AQ66" s="625" t="str">
        <f t="shared" si="249"/>
        <v/>
      </c>
      <c r="AS66" s="56" t="str">
        <f t="shared" si="411"/>
        <v/>
      </c>
      <c r="AT66" s="77" t="str">
        <f t="shared" si="250"/>
        <v/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 t="str">
        <f t="shared" si="385"/>
        <v/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</v>
      </c>
      <c r="B67" s="770"/>
      <c r="C67" s="771"/>
      <c r="D67" s="772"/>
      <c r="E67" s="773"/>
      <c r="F67" s="771"/>
      <c r="G67" s="774"/>
      <c r="H67" s="773"/>
      <c r="I67" s="771"/>
      <c r="J67" s="601"/>
      <c r="K67" s="426" t="str">
        <f t="shared" si="225"/>
        <v/>
      </c>
      <c r="L67" s="327"/>
      <c r="M67" s="173" t="str">
        <f t="shared" si="242"/>
        <v/>
      </c>
      <c r="N67" s="21" t="str">
        <f t="shared" si="243"/>
        <v/>
      </c>
      <c r="O67" s="5" t="str">
        <f t="shared" si="244"/>
        <v/>
      </c>
      <c r="P67" s="10" t="str">
        <f t="shared" si="245"/>
        <v/>
      </c>
      <c r="Q67" s="624" t="str">
        <f t="shared" si="116"/>
        <v/>
      </c>
      <c r="R67" s="5" t="str">
        <f>IF(M67="","",SQRT(N67^2+O67^2))</f>
        <v/>
      </c>
      <c r="S67" s="6" t="str">
        <f>IF(M67="","",P67)</f>
        <v/>
      </c>
      <c r="T67" s="4" t="str">
        <f>IF(M67="","",X67*COS(RADIANS(W67)))</f>
        <v/>
      </c>
      <c r="U67" s="5" t="str">
        <f>IF(M67="","",X67*SIN(RADIANS(W67)))</f>
        <v/>
      </c>
      <c r="V67" s="8" t="str">
        <f>IF(M67="","",Y67)</f>
        <v/>
      </c>
      <c r="W67" s="624" t="str">
        <f t="shared" si="227"/>
        <v/>
      </c>
      <c r="X67" s="5" t="str">
        <f>IF(M67="","",R67)</f>
        <v/>
      </c>
      <c r="Y67" s="7" t="str">
        <f t="shared" si="226"/>
        <v/>
      </c>
      <c r="Z67" s="21" t="str">
        <f t="shared" si="246"/>
        <v/>
      </c>
      <c r="AA67" s="5" t="str">
        <f t="shared" si="247"/>
        <v/>
      </c>
      <c r="AB67" s="5" t="str">
        <f t="shared" si="248"/>
        <v/>
      </c>
      <c r="AC67" s="8" t="str">
        <f>IF(M67="","",SQRT(Z67^2+AA67^2+AB67^2))</f>
        <v/>
      </c>
      <c r="AD67" s="9" t="str">
        <f>IF(M67="","",Z67*(1/SQRT(Z67^2+AA67^2+AB67^2)))</f>
        <v/>
      </c>
      <c r="AE67" s="5" t="str">
        <f>IF(M67="","",AA67*(1/SQRT(Z67^2+AA67^2+AB67^2)))</f>
        <v/>
      </c>
      <c r="AF67" s="10" t="str">
        <f>IF(M67="","",AB67*(1/SQRT(Z67^2+AA67^2+AB67^2)))</f>
        <v/>
      </c>
      <c r="AG67" s="622" t="str">
        <f>IF(M67="","",DEGREES(ATAN2(-AF67,AE67)))</f>
        <v/>
      </c>
      <c r="AH67" s="623" t="str">
        <f>IF(M67="","",DEGREES(ACOS(AD67)))</f>
        <v/>
      </c>
      <c r="AI67" s="624" t="str">
        <f>IF(M67="","",DEGREES(-ACOS(-AF67)))</f>
        <v/>
      </c>
      <c r="AJ67" s="625" t="str">
        <f>IF(M67="","",DEGREES(ATAN2(-AE67,AD67)))</f>
        <v/>
      </c>
      <c r="AK67" s="4" t="str">
        <f>IF(M67="","",(COS(RADIANS((90-$Q$8)-W67))*AD67)+(-SIN(RADIANS((90-$Q$8)-W67))*AE67))</f>
        <v/>
      </c>
      <c r="AL67" s="5" t="str">
        <f>IF(M67="","",(SIN(RADIANS((90-$Q$8)-W67))*AD67)+(COS(RADIANS((90-$Q$8)-W67))*AE67))</f>
        <v/>
      </c>
      <c r="AM67" s="6" t="str">
        <f>IF(M67="","",AF67)</f>
        <v/>
      </c>
      <c r="AN67" s="612" t="str">
        <f>IF(M67="","",DEGREES(ATAN2(-AM67,AL67)))</f>
        <v/>
      </c>
      <c r="AO67" s="613" t="str">
        <f t="shared" si="466"/>
        <v/>
      </c>
      <c r="AP67" s="624" t="str">
        <f>IF(M67="","",DEGREES(ATAN2(AK67,AL67)))</f>
        <v/>
      </c>
      <c r="AQ67" s="625" t="str">
        <f t="shared" si="249"/>
        <v/>
      </c>
      <c r="AS67" s="56" t="str">
        <f t="shared" si="411"/>
        <v/>
      </c>
      <c r="AT67" s="77" t="str">
        <f t="shared" si="250"/>
        <v/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 t="str">
        <f t="shared" si="385"/>
        <v/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</v>
      </c>
      <c r="B68" s="770"/>
      <c r="C68" s="771"/>
      <c r="D68" s="772"/>
      <c r="E68" s="773"/>
      <c r="F68" s="771"/>
      <c r="G68" s="774"/>
      <c r="H68" s="773"/>
      <c r="I68" s="771"/>
      <c r="J68" s="601"/>
      <c r="K68" s="426" t="str">
        <f t="shared" si="225"/>
        <v/>
      </c>
      <c r="L68" s="327"/>
      <c r="M68" s="173" t="str">
        <f t="shared" si="242"/>
        <v/>
      </c>
      <c r="N68" s="21" t="str">
        <f t="shared" si="243"/>
        <v/>
      </c>
      <c r="O68" s="5" t="str">
        <f t="shared" si="244"/>
        <v/>
      </c>
      <c r="P68" s="10" t="str">
        <f t="shared" si="245"/>
        <v/>
      </c>
      <c r="Q68" s="624" t="str">
        <f t="shared" si="116"/>
        <v/>
      </c>
      <c r="R68" s="5" t="str">
        <f>IF(M68="","",SQRT(N68^2+O68^2))</f>
        <v/>
      </c>
      <c r="S68" s="6" t="str">
        <f>IF(M68="","",P68)</f>
        <v/>
      </c>
      <c r="T68" s="4" t="str">
        <f>IF(M68="","",X68*COS(RADIANS(W68)))</f>
        <v/>
      </c>
      <c r="U68" s="5" t="str">
        <f>IF(M68="","",X68*SIN(RADIANS(W68)))</f>
        <v/>
      </c>
      <c r="V68" s="8" t="str">
        <f>IF(M68="","",Y68)</f>
        <v/>
      </c>
      <c r="W68" s="624" t="str">
        <f t="shared" si="227"/>
        <v/>
      </c>
      <c r="X68" s="5" t="str">
        <f>IF(M68="","",R68)</f>
        <v/>
      </c>
      <c r="Y68" s="7" t="str">
        <f t="shared" si="226"/>
        <v/>
      </c>
      <c r="Z68" s="21" t="str">
        <f t="shared" si="246"/>
        <v/>
      </c>
      <c r="AA68" s="5" t="str">
        <f t="shared" si="247"/>
        <v/>
      </c>
      <c r="AB68" s="5" t="str">
        <f t="shared" si="248"/>
        <v/>
      </c>
      <c r="AC68" s="8" t="str">
        <f>IF(M68="","",SQRT(Z68^2+AA68^2+AB68^2))</f>
        <v/>
      </c>
      <c r="AD68" s="9" t="str">
        <f>IF(M68="","",Z68*(1/SQRT(Z68^2+AA68^2+AB68^2)))</f>
        <v/>
      </c>
      <c r="AE68" s="5" t="str">
        <f>IF(M68="","",AA68*(1/SQRT(Z68^2+AA68^2+AB68^2)))</f>
        <v/>
      </c>
      <c r="AF68" s="10" t="str">
        <f>IF(M68="","",AB68*(1/SQRT(Z68^2+AA68^2+AB68^2)))</f>
        <v/>
      </c>
      <c r="AG68" s="622" t="str">
        <f>IF(M68="","",DEGREES(ATAN2(-AF68,AE68)))</f>
        <v/>
      </c>
      <c r="AH68" s="623" t="str">
        <f>IF(M68="","",DEGREES(ACOS(AD68)))</f>
        <v/>
      </c>
      <c r="AI68" s="624" t="str">
        <f>IF(M68="","",DEGREES(-ACOS(-AF68)))</f>
        <v/>
      </c>
      <c r="AJ68" s="625" t="str">
        <f>IF(M68="","",DEGREES(ATAN2(-AE68,AD68)))</f>
        <v/>
      </c>
      <c r="AK68" s="4" t="str">
        <f>IF(M68="","",(COS(RADIANS((90-$Q$8)-W68))*AD68)+(-SIN(RADIANS((90-$Q$8)-W68))*AE68))</f>
        <v/>
      </c>
      <c r="AL68" s="5" t="str">
        <f>IF(M68="","",(SIN(RADIANS((90-$Q$8)-W68))*AD68)+(COS(RADIANS((90-$Q$8)-W68))*AE68))</f>
        <v/>
      </c>
      <c r="AM68" s="6" t="str">
        <f>IF(M68="","",AF68)</f>
        <v/>
      </c>
      <c r="AN68" s="612" t="str">
        <f>IF(M68="","",DEGREES(ATAN2(-AM68,AL68)))</f>
        <v/>
      </c>
      <c r="AO68" s="613" t="str">
        <f t="shared" si="466"/>
        <v/>
      </c>
      <c r="AP68" s="624" t="str">
        <f>IF(M68="","",DEGREES(ATAN2(AK68,AL68)))</f>
        <v/>
      </c>
      <c r="AQ68" s="625" t="str">
        <f t="shared" si="249"/>
        <v/>
      </c>
      <c r="AS68" s="56" t="str">
        <f t="shared" si="411"/>
        <v/>
      </c>
      <c r="AT68" s="77" t="str">
        <f t="shared" si="250"/>
        <v/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 t="str">
        <f t="shared" si="385"/>
        <v/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6"/>
        <v/>
      </c>
      <c r="IK68" s="839" t="str">
        <f t="shared" si="387"/>
        <v/>
      </c>
      <c r="IL68" s="791" t="str">
        <f t="shared" si="228"/>
        <v/>
      </c>
      <c r="IM68" s="830"/>
      <c r="IN68" s="5" t="str">
        <f t="shared" si="229"/>
        <v/>
      </c>
      <c r="IO68" s="852"/>
      <c r="IP68" s="9" t="str">
        <f t="shared" si="230"/>
        <v/>
      </c>
      <c r="IQ68" s="5" t="str">
        <f t="shared" si="231"/>
        <v/>
      </c>
      <c r="IR68" s="5" t="str">
        <f t="shared" si="388"/>
        <v/>
      </c>
      <c r="IS68" s="5" t="str">
        <f t="shared" si="232"/>
        <v/>
      </c>
      <c r="IT68" s="791" t="str">
        <f t="shared" si="233"/>
        <v/>
      </c>
      <c r="IU68" s="9" t="str">
        <f t="shared" si="234"/>
        <v/>
      </c>
      <c r="IV68" s="5" t="str">
        <f t="shared" si="235"/>
        <v/>
      </c>
      <c r="IW68" s="5" t="str">
        <f t="shared" si="389"/>
        <v/>
      </c>
      <c r="IX68" s="5" t="str">
        <f t="shared" si="236"/>
        <v/>
      </c>
      <c r="IY68" s="833" t="str">
        <f t="shared" si="237"/>
        <v/>
      </c>
    </row>
    <row r="69" spans="1:259" ht="15" customHeight="1" x14ac:dyDescent="0.25">
      <c r="A69" s="84">
        <f t="shared" si="82"/>
        <v>0</v>
      </c>
      <c r="B69" s="770"/>
      <c r="C69" s="771"/>
      <c r="D69" s="772"/>
      <c r="E69" s="773"/>
      <c r="F69" s="771"/>
      <c r="G69" s="774"/>
      <c r="H69" s="773"/>
      <c r="I69" s="771"/>
      <c r="J69" s="601"/>
      <c r="K69" s="426" t="str">
        <f t="shared" si="225"/>
        <v/>
      </c>
      <c r="L69" s="327"/>
      <c r="M69" s="173" t="str">
        <f t="shared" si="242"/>
        <v/>
      </c>
      <c r="N69" s="21" t="str">
        <f t="shared" si="243"/>
        <v/>
      </c>
      <c r="O69" s="5" t="str">
        <f t="shared" si="244"/>
        <v/>
      </c>
      <c r="P69" s="10" t="str">
        <f t="shared" si="245"/>
        <v/>
      </c>
      <c r="Q69" s="624" t="str">
        <f t="shared" si="116"/>
        <v/>
      </c>
      <c r="R69" s="5" t="str">
        <f t="shared" si="83"/>
        <v/>
      </c>
      <c r="S69" s="6" t="str">
        <f t="shared" si="84"/>
        <v/>
      </c>
      <c r="T69" s="4" t="str">
        <f t="shared" si="85"/>
        <v/>
      </c>
      <c r="U69" s="5" t="str">
        <f t="shared" si="86"/>
        <v/>
      </c>
      <c r="V69" s="8" t="str">
        <f t="shared" si="117"/>
        <v/>
      </c>
      <c r="W69" s="624" t="str">
        <f t="shared" si="227"/>
        <v/>
      </c>
      <c r="X69" s="5" t="str">
        <f t="shared" si="87"/>
        <v/>
      </c>
      <c r="Y69" s="7" t="str">
        <f t="shared" si="226"/>
        <v/>
      </c>
      <c r="Z69" s="21" t="str">
        <f t="shared" si="246"/>
        <v/>
      </c>
      <c r="AA69" s="5" t="str">
        <f t="shared" si="247"/>
        <v/>
      </c>
      <c r="AB69" s="5" t="str">
        <f t="shared" si="248"/>
        <v/>
      </c>
      <c r="AC69" s="8" t="str">
        <f t="shared" si="88"/>
        <v/>
      </c>
      <c r="AD69" s="9" t="str">
        <f t="shared" si="118"/>
        <v/>
      </c>
      <c r="AE69" s="5" t="str">
        <f t="shared" si="89"/>
        <v/>
      </c>
      <c r="AF69" s="10" t="str">
        <f t="shared" si="90"/>
        <v/>
      </c>
      <c r="AG69" s="622" t="str">
        <f t="shared" si="91"/>
        <v/>
      </c>
      <c r="AH69" s="623" t="str">
        <f t="shared" si="92"/>
        <v/>
      </c>
      <c r="AI69" s="624" t="str">
        <f t="shared" si="93"/>
        <v/>
      </c>
      <c r="AJ69" s="625" t="str">
        <f t="shared" si="94"/>
        <v/>
      </c>
      <c r="AK69" s="4" t="str">
        <f t="shared" si="213"/>
        <v/>
      </c>
      <c r="AL69" s="5" t="str">
        <f t="shared" si="95"/>
        <v/>
      </c>
      <c r="AM69" s="6" t="str">
        <f t="shared" si="96"/>
        <v/>
      </c>
      <c r="AN69" s="612" t="str">
        <f t="shared" si="97"/>
        <v/>
      </c>
      <c r="AO69" s="613" t="str">
        <f t="shared" si="466"/>
        <v/>
      </c>
      <c r="AP69" s="624" t="str">
        <f t="shared" si="99"/>
        <v/>
      </c>
      <c r="AQ69" s="625" t="str">
        <f t="shared" si="249"/>
        <v/>
      </c>
      <c r="AS69" s="56" t="str">
        <f t="shared" si="411"/>
        <v/>
      </c>
      <c r="AT69" s="77" t="str">
        <f t="shared" si="250"/>
        <v/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 t="str">
        <f t="shared" si="385"/>
        <v/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6"/>
        <v/>
      </c>
      <c r="IK69" s="839" t="str">
        <f t="shared" si="387"/>
        <v/>
      </c>
      <c r="IL69" s="791" t="str">
        <f t="shared" si="228"/>
        <v/>
      </c>
      <c r="IM69" s="830"/>
      <c r="IN69" s="5" t="str">
        <f t="shared" si="229"/>
        <v/>
      </c>
      <c r="IO69" s="852"/>
      <c r="IP69" s="9" t="str">
        <f t="shared" si="230"/>
        <v/>
      </c>
      <c r="IQ69" s="5" t="str">
        <f t="shared" si="231"/>
        <v/>
      </c>
      <c r="IR69" s="5" t="str">
        <f t="shared" si="388"/>
        <v/>
      </c>
      <c r="IS69" s="5" t="str">
        <f t="shared" si="232"/>
        <v/>
      </c>
      <c r="IT69" s="791" t="str">
        <f t="shared" si="233"/>
        <v/>
      </c>
      <c r="IU69" s="9" t="str">
        <f t="shared" si="234"/>
        <v/>
      </c>
      <c r="IV69" s="5" t="str">
        <f t="shared" si="235"/>
        <v/>
      </c>
      <c r="IW69" s="5" t="str">
        <f t="shared" si="389"/>
        <v/>
      </c>
      <c r="IX69" s="5" t="str">
        <f t="shared" si="236"/>
        <v/>
      </c>
      <c r="IY69" s="833" t="str">
        <f t="shared" si="237"/>
        <v/>
      </c>
    </row>
    <row r="70" spans="1:259" ht="15" customHeight="1" x14ac:dyDescent="0.25">
      <c r="A70" s="84">
        <f t="shared" si="82"/>
        <v>0</v>
      </c>
      <c r="B70" s="770"/>
      <c r="C70" s="771"/>
      <c r="D70" s="772"/>
      <c r="E70" s="773"/>
      <c r="F70" s="771"/>
      <c r="G70" s="774"/>
      <c r="H70" s="773"/>
      <c r="I70" s="771"/>
      <c r="J70" s="601"/>
      <c r="K70" s="426" t="str">
        <f t="shared" si="225"/>
        <v/>
      </c>
      <c r="L70" s="327"/>
      <c r="M70" s="173" t="str">
        <f t="shared" si="242"/>
        <v/>
      </c>
      <c r="N70" s="21" t="str">
        <f t="shared" si="243"/>
        <v/>
      </c>
      <c r="O70" s="5" t="str">
        <f t="shared" si="244"/>
        <v/>
      </c>
      <c r="P70" s="10" t="str">
        <f t="shared" si="245"/>
        <v/>
      </c>
      <c r="Q70" s="624" t="str">
        <f t="shared" si="116"/>
        <v/>
      </c>
      <c r="R70" s="5" t="str">
        <f t="shared" si="83"/>
        <v/>
      </c>
      <c r="S70" s="6" t="str">
        <f t="shared" si="84"/>
        <v/>
      </c>
      <c r="T70" s="4" t="str">
        <f t="shared" si="85"/>
        <v/>
      </c>
      <c r="U70" s="5" t="str">
        <f t="shared" si="86"/>
        <v/>
      </c>
      <c r="V70" s="8" t="str">
        <f t="shared" si="117"/>
        <v/>
      </c>
      <c r="W70" s="624" t="str">
        <f t="shared" si="227"/>
        <v/>
      </c>
      <c r="X70" s="5" t="str">
        <f t="shared" si="87"/>
        <v/>
      </c>
      <c r="Y70" s="7" t="str">
        <f t="shared" si="226"/>
        <v/>
      </c>
      <c r="Z70" s="21" t="str">
        <f t="shared" si="246"/>
        <v/>
      </c>
      <c r="AA70" s="5" t="str">
        <f t="shared" si="247"/>
        <v/>
      </c>
      <c r="AB70" s="5" t="str">
        <f t="shared" si="248"/>
        <v/>
      </c>
      <c r="AC70" s="8" t="str">
        <f t="shared" si="88"/>
        <v/>
      </c>
      <c r="AD70" s="9" t="str">
        <f t="shared" si="118"/>
        <v/>
      </c>
      <c r="AE70" s="5" t="str">
        <f t="shared" si="89"/>
        <v/>
      </c>
      <c r="AF70" s="10" t="str">
        <f t="shared" si="90"/>
        <v/>
      </c>
      <c r="AG70" s="622" t="str">
        <f t="shared" si="91"/>
        <v/>
      </c>
      <c r="AH70" s="623" t="str">
        <f t="shared" si="92"/>
        <v/>
      </c>
      <c r="AI70" s="624" t="str">
        <f t="shared" si="93"/>
        <v/>
      </c>
      <c r="AJ70" s="625" t="str">
        <f t="shared" si="94"/>
        <v/>
      </c>
      <c r="AK70" s="4" t="str">
        <f t="shared" si="213"/>
        <v/>
      </c>
      <c r="AL70" s="5" t="str">
        <f t="shared" si="95"/>
        <v/>
      </c>
      <c r="AM70" s="6" t="str">
        <f t="shared" si="96"/>
        <v/>
      </c>
      <c r="AN70" s="612" t="str">
        <f t="shared" si="97"/>
        <v/>
      </c>
      <c r="AO70" s="613" t="str">
        <f t="shared" si="466"/>
        <v/>
      </c>
      <c r="AP70" s="624" t="str">
        <f t="shared" si="99"/>
        <v/>
      </c>
      <c r="AQ70" s="625" t="str">
        <f t="shared" si="249"/>
        <v/>
      </c>
      <c r="AS70" s="56" t="str">
        <f t="shared" si="411"/>
        <v/>
      </c>
      <c r="AT70" s="77" t="str">
        <f t="shared" si="250"/>
        <v/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 t="str">
        <f t="shared" si="385"/>
        <v/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</v>
      </c>
      <c r="B71" s="770"/>
      <c r="C71" s="771"/>
      <c r="D71" s="772"/>
      <c r="E71" s="773"/>
      <c r="F71" s="771"/>
      <c r="G71" s="774"/>
      <c r="H71" s="773"/>
      <c r="I71" s="771"/>
      <c r="J71" s="601"/>
      <c r="K71" s="426" t="str">
        <f t="shared" si="225"/>
        <v/>
      </c>
      <c r="L71" s="327"/>
      <c r="M71" s="173" t="str">
        <f t="shared" si="242"/>
        <v/>
      </c>
      <c r="N71" s="21" t="str">
        <f t="shared" si="243"/>
        <v/>
      </c>
      <c r="O71" s="5" t="str">
        <f t="shared" si="244"/>
        <v/>
      </c>
      <c r="P71" s="10" t="str">
        <f t="shared" si="245"/>
        <v/>
      </c>
      <c r="Q71" s="624" t="str">
        <f t="shared" si="116"/>
        <v/>
      </c>
      <c r="R71" s="5" t="str">
        <f t="shared" si="83"/>
        <v/>
      </c>
      <c r="S71" s="6" t="str">
        <f t="shared" si="84"/>
        <v/>
      </c>
      <c r="T71" s="4" t="str">
        <f t="shared" si="85"/>
        <v/>
      </c>
      <c r="U71" s="5" t="str">
        <f t="shared" si="86"/>
        <v/>
      </c>
      <c r="V71" s="8" t="str">
        <f t="shared" si="117"/>
        <v/>
      </c>
      <c r="W71" s="624" t="str">
        <f t="shared" si="227"/>
        <v/>
      </c>
      <c r="X71" s="5" t="str">
        <f t="shared" si="87"/>
        <v/>
      </c>
      <c r="Y71" s="7" t="str">
        <f t="shared" si="226"/>
        <v/>
      </c>
      <c r="Z71" s="21" t="str">
        <f t="shared" si="246"/>
        <v/>
      </c>
      <c r="AA71" s="5" t="str">
        <f t="shared" si="247"/>
        <v/>
      </c>
      <c r="AB71" s="5" t="str">
        <f t="shared" si="248"/>
        <v/>
      </c>
      <c r="AC71" s="8" t="str">
        <f t="shared" si="88"/>
        <v/>
      </c>
      <c r="AD71" s="9" t="str">
        <f t="shared" si="118"/>
        <v/>
      </c>
      <c r="AE71" s="5" t="str">
        <f t="shared" si="89"/>
        <v/>
      </c>
      <c r="AF71" s="10" t="str">
        <f t="shared" si="90"/>
        <v/>
      </c>
      <c r="AG71" s="622" t="str">
        <f t="shared" si="91"/>
        <v/>
      </c>
      <c r="AH71" s="623" t="str">
        <f t="shared" si="92"/>
        <v/>
      </c>
      <c r="AI71" s="624" t="str">
        <f t="shared" si="93"/>
        <v/>
      </c>
      <c r="AJ71" s="625" t="str">
        <f t="shared" si="94"/>
        <v/>
      </c>
      <c r="AK71" s="4" t="str">
        <f t="shared" si="213"/>
        <v/>
      </c>
      <c r="AL71" s="5" t="str">
        <f t="shared" si="95"/>
        <v/>
      </c>
      <c r="AM71" s="6" t="str">
        <f t="shared" si="96"/>
        <v/>
      </c>
      <c r="AN71" s="612" t="str">
        <f t="shared" si="97"/>
        <v/>
      </c>
      <c r="AO71" s="613" t="str">
        <f t="shared" si="466"/>
        <v/>
      </c>
      <c r="AP71" s="624" t="str">
        <f t="shared" si="99"/>
        <v/>
      </c>
      <c r="AQ71" s="625" t="str">
        <f t="shared" si="249"/>
        <v/>
      </c>
      <c r="AS71" s="56" t="str">
        <f t="shared" si="411"/>
        <v/>
      </c>
      <c r="AT71" s="77" t="str">
        <f t="shared" si="250"/>
        <v/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 t="str">
        <f t="shared" si="385"/>
        <v/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</v>
      </c>
      <c r="B72" s="770"/>
      <c r="C72" s="771"/>
      <c r="D72" s="772"/>
      <c r="E72" s="773"/>
      <c r="F72" s="771"/>
      <c r="G72" s="774"/>
      <c r="H72" s="773"/>
      <c r="I72" s="771"/>
      <c r="J72" s="601"/>
      <c r="K72" s="426" t="str">
        <f t="shared" si="225"/>
        <v/>
      </c>
      <c r="L72" s="327"/>
      <c r="M72" s="173" t="str">
        <f t="shared" si="242"/>
        <v/>
      </c>
      <c r="N72" s="21" t="str">
        <f t="shared" si="243"/>
        <v/>
      </c>
      <c r="O72" s="5" t="str">
        <f t="shared" si="244"/>
        <v/>
      </c>
      <c r="P72" s="10" t="str">
        <f t="shared" si="245"/>
        <v/>
      </c>
      <c r="Q72" s="624" t="str">
        <f t="shared" si="116"/>
        <v/>
      </c>
      <c r="R72" s="5" t="str">
        <f t="shared" si="83"/>
        <v/>
      </c>
      <c r="S72" s="6" t="str">
        <f t="shared" si="84"/>
        <v/>
      </c>
      <c r="T72" s="4" t="str">
        <f t="shared" si="85"/>
        <v/>
      </c>
      <c r="U72" s="5" t="str">
        <f t="shared" si="86"/>
        <v/>
      </c>
      <c r="V72" s="8" t="str">
        <f t="shared" si="117"/>
        <v/>
      </c>
      <c r="W72" s="624" t="str">
        <f t="shared" si="227"/>
        <v/>
      </c>
      <c r="X72" s="5" t="str">
        <f t="shared" si="87"/>
        <v/>
      </c>
      <c r="Y72" s="7" t="str">
        <f t="shared" si="226"/>
        <v/>
      </c>
      <c r="Z72" s="21" t="str">
        <f t="shared" si="246"/>
        <v/>
      </c>
      <c r="AA72" s="5" t="str">
        <f t="shared" si="247"/>
        <v/>
      </c>
      <c r="AB72" s="5" t="str">
        <f t="shared" si="248"/>
        <v/>
      </c>
      <c r="AC72" s="8" t="str">
        <f t="shared" si="88"/>
        <v/>
      </c>
      <c r="AD72" s="9" t="str">
        <f t="shared" si="118"/>
        <v/>
      </c>
      <c r="AE72" s="5" t="str">
        <f t="shared" si="89"/>
        <v/>
      </c>
      <c r="AF72" s="10" t="str">
        <f t="shared" si="90"/>
        <v/>
      </c>
      <c r="AG72" s="622" t="str">
        <f t="shared" si="91"/>
        <v/>
      </c>
      <c r="AH72" s="623" t="str">
        <f t="shared" si="92"/>
        <v/>
      </c>
      <c r="AI72" s="624" t="str">
        <f t="shared" si="93"/>
        <v/>
      </c>
      <c r="AJ72" s="625" t="str">
        <f t="shared" si="94"/>
        <v/>
      </c>
      <c r="AK72" s="4" t="str">
        <f t="shared" si="213"/>
        <v/>
      </c>
      <c r="AL72" s="5" t="str">
        <f t="shared" si="95"/>
        <v/>
      </c>
      <c r="AM72" s="6" t="str">
        <f t="shared" si="96"/>
        <v/>
      </c>
      <c r="AN72" s="612" t="str">
        <f t="shared" si="97"/>
        <v/>
      </c>
      <c r="AO72" s="613" t="str">
        <f t="shared" si="466"/>
        <v/>
      </c>
      <c r="AP72" s="624" t="str">
        <f t="shared" si="99"/>
        <v/>
      </c>
      <c r="AQ72" s="625" t="str">
        <f t="shared" si="249"/>
        <v/>
      </c>
      <c r="AS72" s="56" t="str">
        <f t="shared" si="411"/>
        <v/>
      </c>
      <c r="AT72" s="77" t="str">
        <f t="shared" si="250"/>
        <v/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 t="str">
        <f t="shared" si="385"/>
        <v/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</v>
      </c>
      <c r="B73" s="770"/>
      <c r="C73" s="771"/>
      <c r="D73" s="772"/>
      <c r="E73" s="773"/>
      <c r="F73" s="771"/>
      <c r="G73" s="774"/>
      <c r="H73" s="773"/>
      <c r="I73" s="771"/>
      <c r="J73" s="601"/>
      <c r="K73" s="426" t="str">
        <f t="shared" si="225"/>
        <v/>
      </c>
      <c r="L73" s="327"/>
      <c r="M73" s="173" t="str">
        <f t="shared" ref="M73:M104" si="469">IF(J73="","",VALUE(J73))</f>
        <v/>
      </c>
      <c r="N73" s="21" t="str">
        <f t="shared" ref="N73:N104" si="470">IF(M73="","",B73)</f>
        <v/>
      </c>
      <c r="O73" s="5" t="str">
        <f t="shared" ref="O73:O104" si="471">IF(M73="","",C73)</f>
        <v/>
      </c>
      <c r="P73" s="10" t="str">
        <f t="shared" ref="P73:P104" si="472">IF(M73="","",D73)</f>
        <v/>
      </c>
      <c r="Q73" s="624" t="str">
        <f t="shared" si="116"/>
        <v/>
      </c>
      <c r="R73" s="5" t="str">
        <f>IF(M73="","",SQRT(N73^2+O73^2))</f>
        <v/>
      </c>
      <c r="S73" s="6" t="str">
        <f>IF(M73="","",P73)</f>
        <v/>
      </c>
      <c r="T73" s="4" t="str">
        <f>IF(M73="","",X73*COS(RADIANS(W73)))</f>
        <v/>
      </c>
      <c r="U73" s="5" t="str">
        <f>IF(M73="","",X73*SIN(RADIANS(W73)))</f>
        <v/>
      </c>
      <c r="V73" s="8" t="str">
        <f>IF(M73="","",Y73)</f>
        <v/>
      </c>
      <c r="W73" s="624" t="str">
        <f t="shared" si="227"/>
        <v/>
      </c>
      <c r="X73" s="5" t="str">
        <f>IF(M73="","",R73)</f>
        <v/>
      </c>
      <c r="Y73" s="7" t="str">
        <f t="shared" si="226"/>
        <v/>
      </c>
      <c r="Z73" s="21" t="str">
        <f t="shared" ref="Z73:Z104" si="473">IF(M73="","",-E73)</f>
        <v/>
      </c>
      <c r="AA73" s="5" t="str">
        <f t="shared" ref="AA73:AA104" si="474">IF(M73="","",-F73)</f>
        <v/>
      </c>
      <c r="AB73" s="5" t="str">
        <f t="shared" ref="AB73:AB104" si="475">IF(M73="","",-G73)</f>
        <v/>
      </c>
      <c r="AC73" s="8" t="str">
        <f>IF(M73="","",SQRT(Z73^2+AA73^2+AB73^2))</f>
        <v/>
      </c>
      <c r="AD73" s="9" t="str">
        <f>IF(M73="","",Z73*(1/SQRT(Z73^2+AA73^2+AB73^2)))</f>
        <v/>
      </c>
      <c r="AE73" s="5" t="str">
        <f>IF(M73="","",AA73*(1/SQRT(Z73^2+AA73^2+AB73^2)))</f>
        <v/>
      </c>
      <c r="AF73" s="10" t="str">
        <f>IF(M73="","",AB73*(1/SQRT(Z73^2+AA73^2+AB73^2)))</f>
        <v/>
      </c>
      <c r="AG73" s="622" t="str">
        <f>IF(M73="","",DEGREES(ATAN2(-AF73,AE73)))</f>
        <v/>
      </c>
      <c r="AH73" s="623" t="str">
        <f>IF(M73="","",DEGREES(ACOS(AD73)))</f>
        <v/>
      </c>
      <c r="AI73" s="624" t="str">
        <f>IF(M73="","",DEGREES(-ACOS(-AF73)))</f>
        <v/>
      </c>
      <c r="AJ73" s="625" t="str">
        <f>IF(M73="","",DEGREES(ATAN2(-AE73,AD73)))</f>
        <v/>
      </c>
      <c r="AK73" s="4" t="str">
        <f>IF(M73="","",(COS(RADIANS((90-$Q$8)-W73))*AD73)+(-SIN(RADIANS((90-$Q$8)-W73))*AE73))</f>
        <v/>
      </c>
      <c r="AL73" s="5" t="str">
        <f>IF(M73="","",(SIN(RADIANS((90-$Q$8)-W73))*AD73)+(COS(RADIANS((90-$Q$8)-W73))*AE73))</f>
        <v/>
      </c>
      <c r="AM73" s="6" t="str">
        <f>IF(M73="","",AF73)</f>
        <v/>
      </c>
      <c r="AN73" s="612" t="str">
        <f>IF(M73="","",DEGREES(ATAN2(-AM73,AL73)))</f>
        <v/>
      </c>
      <c r="AO73" s="613" t="str">
        <f t="shared" si="466"/>
        <v/>
      </c>
      <c r="AP73" s="624" t="str">
        <f>IF(M73="","",DEGREES(ATAN2(AK73,AL73)))</f>
        <v/>
      </c>
      <c r="AQ73" s="625" t="str">
        <f t="shared" ref="AQ73:AQ104" si="476">IF(M73="","",DEGREES(ATAN(($AS$5*SIN(RADIANS(90)))/(($X73*2*PI())-($AS$5*COS(RADIANS(90)))))))</f>
        <v/>
      </c>
      <c r="AS73" s="56" t="str">
        <f t="shared" si="411"/>
        <v/>
      </c>
      <c r="AT73" s="77" t="str">
        <f t="shared" ref="AT73:AT104" si="477">IF(M73="","",Y73+(((AS73-$AS$9)*$AS$6)*-1))</f>
        <v/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 t="str">
        <f t="shared" ref="IG73:IG104" si="522">M73</f>
        <v/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</v>
      </c>
      <c r="B74" s="770"/>
      <c r="C74" s="771"/>
      <c r="D74" s="772"/>
      <c r="E74" s="773"/>
      <c r="F74" s="771"/>
      <c r="G74" s="774"/>
      <c r="H74" s="773"/>
      <c r="I74" s="771"/>
      <c r="J74" s="601"/>
      <c r="K74" s="426" t="str">
        <f t="shared" si="225"/>
        <v/>
      </c>
      <c r="L74" s="327"/>
      <c r="M74" s="173" t="str">
        <f t="shared" si="469"/>
        <v/>
      </c>
      <c r="N74" s="21" t="str">
        <f t="shared" si="470"/>
        <v/>
      </c>
      <c r="O74" s="5" t="str">
        <f t="shared" si="471"/>
        <v/>
      </c>
      <c r="P74" s="10" t="str">
        <f t="shared" si="472"/>
        <v/>
      </c>
      <c r="Q74" s="624" t="str">
        <f t="shared" ref="Q74:Q129" si="528">IF(M74="","",IF(DEGREES(ATAN2(N74,O74))&lt;0,DEGREES(ATAN2(N74,O74))+360,IF(DEGREES(ATAN2(N74,O74))&gt;360,DEGREES(ATAN2(N74,O74))-360,DEGREES(ATAN2(N74,O74)))))</f>
        <v/>
      </c>
      <c r="R74" s="5" t="str">
        <f>IF(M74="","",SQRT(N74^2+O74^2))</f>
        <v/>
      </c>
      <c r="S74" s="6" t="str">
        <f>IF(M74="","",P74)</f>
        <v/>
      </c>
      <c r="T74" s="4" t="str">
        <f>IF(M74="","",X74*COS(RADIANS(W74)))</f>
        <v/>
      </c>
      <c r="U74" s="5" t="str">
        <f>IF(M74="","",X74*SIN(RADIANS(W74)))</f>
        <v/>
      </c>
      <c r="V74" s="8" t="str">
        <f>IF(M74="","",Y74)</f>
        <v/>
      </c>
      <c r="W74" s="624" t="str">
        <f t="shared" si="227"/>
        <v/>
      </c>
      <c r="X74" s="5" t="str">
        <f>IF(M74="","",R74)</f>
        <v/>
      </c>
      <c r="Y74" s="7" t="str">
        <f t="shared" si="226"/>
        <v/>
      </c>
      <c r="Z74" s="21" t="str">
        <f t="shared" si="473"/>
        <v/>
      </c>
      <c r="AA74" s="5" t="str">
        <f t="shared" si="474"/>
        <v/>
      </c>
      <c r="AB74" s="5" t="str">
        <f t="shared" si="475"/>
        <v/>
      </c>
      <c r="AC74" s="8" t="str">
        <f>IF(M74="","",SQRT(Z74^2+AA74^2+AB74^2))</f>
        <v/>
      </c>
      <c r="AD74" s="9" t="str">
        <f>IF(M74="","",Z74*(1/SQRT(Z74^2+AA74^2+AB74^2)))</f>
        <v/>
      </c>
      <c r="AE74" s="5" t="str">
        <f>IF(M74="","",AA74*(1/SQRT(Z74^2+AA74^2+AB74^2)))</f>
        <v/>
      </c>
      <c r="AF74" s="10" t="str">
        <f>IF(M74="","",AB74*(1/SQRT(Z74^2+AA74^2+AB74^2)))</f>
        <v/>
      </c>
      <c r="AG74" s="622" t="str">
        <f>IF(M74="","",DEGREES(ATAN2(-AF74,AE74)))</f>
        <v/>
      </c>
      <c r="AH74" s="623" t="str">
        <f>IF(M74="","",DEGREES(ACOS(AD74)))</f>
        <v/>
      </c>
      <c r="AI74" s="624" t="str">
        <f>IF(M74="","",DEGREES(-ACOS(-AF74)))</f>
        <v/>
      </c>
      <c r="AJ74" s="625" t="str">
        <f>IF(M74="","",DEGREES(ATAN2(-AE74,AD74)))</f>
        <v/>
      </c>
      <c r="AK74" s="4" t="str">
        <f>IF(M74="","",(COS(RADIANS((90-$Q$8)-W74))*AD74)+(-SIN(RADIANS((90-$Q$8)-W74))*AE74))</f>
        <v/>
      </c>
      <c r="AL74" s="5" t="str">
        <f>IF(M74="","",(SIN(RADIANS((90-$Q$8)-W74))*AD74)+(COS(RADIANS((90-$Q$8)-W74))*AE74))</f>
        <v/>
      </c>
      <c r="AM74" s="6" t="str">
        <f>IF(M74="","",AF74)</f>
        <v/>
      </c>
      <c r="AN74" s="612" t="str">
        <f>IF(M74="","",DEGREES(ATAN2(-AM74,AL74)))</f>
        <v/>
      </c>
      <c r="AO74" s="613" t="str">
        <f t="shared" si="466"/>
        <v/>
      </c>
      <c r="AP74" s="624" t="str">
        <f>IF(M74="","",DEGREES(ATAN2(AK74,AL74)))</f>
        <v/>
      </c>
      <c r="AQ74" s="625" t="str">
        <f t="shared" si="476"/>
        <v/>
      </c>
      <c r="AS74" s="56" t="str">
        <f t="shared" si="411"/>
        <v/>
      </c>
      <c r="AT74" s="77" t="str">
        <f t="shared" si="477"/>
        <v/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 t="str">
        <f t="shared" si="522"/>
        <v/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</v>
      </c>
      <c r="B75" s="770"/>
      <c r="C75" s="771"/>
      <c r="D75" s="772"/>
      <c r="E75" s="773"/>
      <c r="F75" s="771"/>
      <c r="G75" s="774"/>
      <c r="H75" s="773"/>
      <c r="I75" s="771"/>
      <c r="J75" s="601"/>
      <c r="K75" s="426" t="str">
        <f t="shared" si="225"/>
        <v/>
      </c>
      <c r="L75" s="327"/>
      <c r="M75" s="173" t="str">
        <f t="shared" si="469"/>
        <v/>
      </c>
      <c r="N75" s="21" t="str">
        <f t="shared" si="470"/>
        <v/>
      </c>
      <c r="O75" s="5" t="str">
        <f t="shared" si="471"/>
        <v/>
      </c>
      <c r="P75" s="10" t="str">
        <f t="shared" si="472"/>
        <v/>
      </c>
      <c r="Q75" s="624" t="str">
        <f t="shared" si="528"/>
        <v/>
      </c>
      <c r="R75" s="5" t="str">
        <f>IF(M75="","",SQRT(N75^2+O75^2))</f>
        <v/>
      </c>
      <c r="S75" s="6" t="str">
        <f>IF(M75="","",P75)</f>
        <v/>
      </c>
      <c r="T75" s="4" t="str">
        <f>IF(M75="","",X75*COS(RADIANS(W75)))</f>
        <v/>
      </c>
      <c r="U75" s="5" t="str">
        <f>IF(M75="","",X75*SIN(RADIANS(W75)))</f>
        <v/>
      </c>
      <c r="V75" s="8" t="str">
        <f>IF(M75="","",Y75)</f>
        <v/>
      </c>
      <c r="W75" s="624" t="str">
        <f t="shared" si="227"/>
        <v/>
      </c>
      <c r="X75" s="5" t="str">
        <f>IF(M75="","",R75)</f>
        <v/>
      </c>
      <c r="Y75" s="7" t="str">
        <f t="shared" si="226"/>
        <v/>
      </c>
      <c r="Z75" s="21" t="str">
        <f t="shared" si="473"/>
        <v/>
      </c>
      <c r="AA75" s="5" t="str">
        <f t="shared" si="474"/>
        <v/>
      </c>
      <c r="AB75" s="5" t="str">
        <f t="shared" si="475"/>
        <v/>
      </c>
      <c r="AC75" s="8" t="str">
        <f>IF(M75="","",SQRT(Z75^2+AA75^2+AB75^2))</f>
        <v/>
      </c>
      <c r="AD75" s="9" t="str">
        <f>IF(M75="","",Z75*(1/SQRT(Z75^2+AA75^2+AB75^2)))</f>
        <v/>
      </c>
      <c r="AE75" s="5" t="str">
        <f>IF(M75="","",AA75*(1/SQRT(Z75^2+AA75^2+AB75^2)))</f>
        <v/>
      </c>
      <c r="AF75" s="10" t="str">
        <f>IF(M75="","",AB75*(1/SQRT(Z75^2+AA75^2+AB75^2)))</f>
        <v/>
      </c>
      <c r="AG75" s="622" t="str">
        <f>IF(M75="","",DEGREES(ATAN2(-AF75,AE75)))</f>
        <v/>
      </c>
      <c r="AH75" s="623" t="str">
        <f>IF(M75="","",DEGREES(ACOS(AD75)))</f>
        <v/>
      </c>
      <c r="AI75" s="624" t="str">
        <f>IF(M75="","",DEGREES(-ACOS(-AF75)))</f>
        <v/>
      </c>
      <c r="AJ75" s="625" t="str">
        <f>IF(M75="","",DEGREES(ATAN2(-AE75,AD75)))</f>
        <v/>
      </c>
      <c r="AK75" s="4" t="str">
        <f>IF(M75="","",(COS(RADIANS((90-$Q$8)-W75))*AD75)+(-SIN(RADIANS((90-$Q$8)-W75))*AE75))</f>
        <v/>
      </c>
      <c r="AL75" s="5" t="str">
        <f>IF(M75="","",(SIN(RADIANS((90-$Q$8)-W75))*AD75)+(COS(RADIANS((90-$Q$8)-W75))*AE75))</f>
        <v/>
      </c>
      <c r="AM75" s="6" t="str">
        <f>IF(M75="","",AF75)</f>
        <v/>
      </c>
      <c r="AN75" s="612" t="str">
        <f>IF(M75="","",DEGREES(ATAN2(-AM75,AL75)))</f>
        <v/>
      </c>
      <c r="AO75" s="613" t="str">
        <f t="shared" si="466"/>
        <v/>
      </c>
      <c r="AP75" s="624" t="str">
        <f>IF(M75="","",DEGREES(ATAN2(AK75,AL75)))</f>
        <v/>
      </c>
      <c r="AQ75" s="625" t="str">
        <f t="shared" si="476"/>
        <v/>
      </c>
      <c r="AS75" s="56" t="str">
        <f t="shared" ref="AS75:AS106" si="550">IF(G75="","",IF(AND(W75&lt;(AS74+180),W75&gt;(AS74-180)),W75,IF(W75&gt;(AS74+180),W75-360,IF(W75&lt;(AS74-180),W75+360,"Error"))))</f>
        <v/>
      </c>
      <c r="AT75" s="77" t="str">
        <f t="shared" si="477"/>
        <v/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 t="str">
        <f t="shared" si="522"/>
        <v/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</v>
      </c>
      <c r="B76" s="770"/>
      <c r="C76" s="771"/>
      <c r="D76" s="772"/>
      <c r="E76" s="773"/>
      <c r="F76" s="771"/>
      <c r="G76" s="774"/>
      <c r="H76" s="773"/>
      <c r="I76" s="771"/>
      <c r="J76" s="601"/>
      <c r="K76" s="426" t="str">
        <f t="shared" si="225"/>
        <v/>
      </c>
      <c r="L76" s="327"/>
      <c r="M76" s="173" t="str">
        <f t="shared" si="469"/>
        <v/>
      </c>
      <c r="N76" s="21" t="str">
        <f t="shared" si="470"/>
        <v/>
      </c>
      <c r="O76" s="5" t="str">
        <f t="shared" si="471"/>
        <v/>
      </c>
      <c r="P76" s="10" t="str">
        <f t="shared" si="472"/>
        <v/>
      </c>
      <c r="Q76" s="624" t="str">
        <f t="shared" si="528"/>
        <v/>
      </c>
      <c r="R76" s="5" t="str">
        <f t="shared" si="83"/>
        <v/>
      </c>
      <c r="S76" s="6" t="str">
        <f t="shared" si="84"/>
        <v/>
      </c>
      <c r="T76" s="4" t="str">
        <f t="shared" si="85"/>
        <v/>
      </c>
      <c r="U76" s="5" t="str">
        <f t="shared" si="86"/>
        <v/>
      </c>
      <c r="V76" s="8" t="str">
        <f t="shared" si="117"/>
        <v/>
      </c>
      <c r="W76" s="624" t="str">
        <f t="shared" si="227"/>
        <v/>
      </c>
      <c r="X76" s="5" t="str">
        <f t="shared" si="87"/>
        <v/>
      </c>
      <c r="Y76" s="7" t="str">
        <f t="shared" ref="Y76:Y129" si="650">IF(M76="","",S76)</f>
        <v/>
      </c>
      <c r="Z76" s="21" t="str">
        <f t="shared" si="473"/>
        <v/>
      </c>
      <c r="AA76" s="5" t="str">
        <f t="shared" si="474"/>
        <v/>
      </c>
      <c r="AB76" s="5" t="str">
        <f t="shared" si="475"/>
        <v/>
      </c>
      <c r="AC76" s="8" t="str">
        <f t="shared" si="88"/>
        <v/>
      </c>
      <c r="AD76" s="9" t="str">
        <f t="shared" si="118"/>
        <v/>
      </c>
      <c r="AE76" s="5" t="str">
        <f t="shared" si="89"/>
        <v/>
      </c>
      <c r="AF76" s="10" t="str">
        <f t="shared" si="90"/>
        <v/>
      </c>
      <c r="AG76" s="622" t="str">
        <f t="shared" si="91"/>
        <v/>
      </c>
      <c r="AH76" s="623" t="str">
        <f t="shared" si="92"/>
        <v/>
      </c>
      <c r="AI76" s="624" t="str">
        <f t="shared" si="93"/>
        <v/>
      </c>
      <c r="AJ76" s="625" t="str">
        <f t="shared" si="94"/>
        <v/>
      </c>
      <c r="AK76" s="4" t="str">
        <f t="shared" si="213"/>
        <v/>
      </c>
      <c r="AL76" s="5" t="str">
        <f t="shared" si="95"/>
        <v/>
      </c>
      <c r="AM76" s="6" t="str">
        <f t="shared" si="96"/>
        <v/>
      </c>
      <c r="AN76" s="612" t="str">
        <f t="shared" si="97"/>
        <v/>
      </c>
      <c r="AO76" s="613" t="str">
        <f t="shared" si="466"/>
        <v/>
      </c>
      <c r="AP76" s="624" t="str">
        <f t="shared" si="99"/>
        <v/>
      </c>
      <c r="AQ76" s="625" t="str">
        <f t="shared" si="476"/>
        <v/>
      </c>
      <c r="AS76" s="56" t="str">
        <f t="shared" si="550"/>
        <v/>
      </c>
      <c r="AT76" s="77" t="str">
        <f t="shared" si="477"/>
        <v/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 t="str">
        <f>IFERROR(IF($IU76="","",IF($IU76&lt;(((Settings!$C$19/2)*-1)*$IE$8),"",1)),"")</f>
        <v/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 t="str">
        <f t="shared" si="522"/>
        <v/>
      </c>
      <c r="IH76" s="797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800" t="str" cm="1">
        <f t="array" ref="II76">IFERROR(IF($IH76&lt;1,$IH76+LARGE((IF($M$9:$M$150="",0,$M$9:$M$150)-MOD(IF($M$9:$M$150="",0,$M$9:$M$150),1)),1),$IH76),"")</f>
        <v/>
      </c>
      <c r="IJ76" s="839" t="str">
        <f t="shared" si="523"/>
        <v/>
      </c>
      <c r="IK76" s="839" t="str">
        <f t="shared" si="524"/>
        <v/>
      </c>
      <c r="IL76" s="791" t="str">
        <f t="shared" si="228"/>
        <v/>
      </c>
      <c r="IM76" s="830"/>
      <c r="IN76" s="5" t="str">
        <f t="shared" si="229"/>
        <v/>
      </c>
      <c r="IO76" s="852"/>
      <c r="IP76" s="9" t="str">
        <f t="shared" si="230"/>
        <v/>
      </c>
      <c r="IQ76" s="5" t="str">
        <f t="shared" si="231"/>
        <v/>
      </c>
      <c r="IR76" s="5" t="str">
        <f t="shared" si="525"/>
        <v/>
      </c>
      <c r="IS76" s="5" t="str">
        <f t="shared" si="232"/>
        <v/>
      </c>
      <c r="IT76" s="791" t="str">
        <f t="shared" si="233"/>
        <v/>
      </c>
      <c r="IU76" s="9" t="str">
        <f t="shared" si="234"/>
        <v/>
      </c>
      <c r="IV76" s="5" t="str">
        <f t="shared" si="235"/>
        <v/>
      </c>
      <c r="IW76" s="5" t="str">
        <f t="shared" si="526"/>
        <v/>
      </c>
      <c r="IX76" s="5" t="str">
        <f t="shared" si="236"/>
        <v/>
      </c>
      <c r="IY76" s="833" t="str">
        <f t="shared" si="237"/>
        <v/>
      </c>
    </row>
    <row r="77" spans="1:259" ht="15" customHeight="1" x14ac:dyDescent="0.25">
      <c r="A77" s="84">
        <f t="shared" si="527"/>
        <v>0</v>
      </c>
      <c r="B77" s="770"/>
      <c r="C77" s="771"/>
      <c r="D77" s="772"/>
      <c r="E77" s="773"/>
      <c r="F77" s="771"/>
      <c r="G77" s="774"/>
      <c r="H77" s="773"/>
      <c r="I77" s="771"/>
      <c r="J77" s="601"/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/>
      </c>
      <c r="L77" s="327"/>
      <c r="M77" s="173" t="str">
        <f t="shared" si="469"/>
        <v/>
      </c>
      <c r="N77" s="21" t="str">
        <f t="shared" si="470"/>
        <v/>
      </c>
      <c r="O77" s="5" t="str">
        <f t="shared" si="471"/>
        <v/>
      </c>
      <c r="P77" s="10" t="str">
        <f t="shared" si="472"/>
        <v/>
      </c>
      <c r="Q77" s="624" t="str">
        <f t="shared" si="528"/>
        <v/>
      </c>
      <c r="R77" s="5" t="str">
        <f t="shared" si="83"/>
        <v/>
      </c>
      <c r="S77" s="6" t="str">
        <f t="shared" si="84"/>
        <v/>
      </c>
      <c r="T77" s="4" t="str">
        <f t="shared" si="85"/>
        <v/>
      </c>
      <c r="U77" s="5" t="str">
        <f t="shared" si="86"/>
        <v/>
      </c>
      <c r="V77" s="8" t="str">
        <f t="shared" si="117"/>
        <v/>
      </c>
      <c r="W77" s="624" t="str">
        <f t="shared" si="227"/>
        <v/>
      </c>
      <c r="X77" s="5" t="str">
        <f t="shared" si="87"/>
        <v/>
      </c>
      <c r="Y77" s="7" t="str">
        <f t="shared" si="650"/>
        <v/>
      </c>
      <c r="Z77" s="21" t="str">
        <f t="shared" si="473"/>
        <v/>
      </c>
      <c r="AA77" s="5" t="str">
        <f t="shared" si="474"/>
        <v/>
      </c>
      <c r="AB77" s="5" t="str">
        <f t="shared" si="475"/>
        <v/>
      </c>
      <c r="AC77" s="8" t="str">
        <f t="shared" si="88"/>
        <v/>
      </c>
      <c r="AD77" s="9" t="str">
        <f t="shared" si="118"/>
        <v/>
      </c>
      <c r="AE77" s="5" t="str">
        <f t="shared" si="89"/>
        <v/>
      </c>
      <c r="AF77" s="10" t="str">
        <f t="shared" si="90"/>
        <v/>
      </c>
      <c r="AG77" s="622" t="str">
        <f t="shared" si="91"/>
        <v/>
      </c>
      <c r="AH77" s="623" t="str">
        <f t="shared" si="92"/>
        <v/>
      </c>
      <c r="AI77" s="624" t="str">
        <f t="shared" si="93"/>
        <v/>
      </c>
      <c r="AJ77" s="625" t="str">
        <f t="shared" si="94"/>
        <v/>
      </c>
      <c r="AK77" s="4" t="str">
        <f t="shared" si="213"/>
        <v/>
      </c>
      <c r="AL77" s="5" t="str">
        <f t="shared" si="95"/>
        <v/>
      </c>
      <c r="AM77" s="6" t="str">
        <f t="shared" si="96"/>
        <v/>
      </c>
      <c r="AN77" s="612" t="str">
        <f t="shared" si="97"/>
        <v/>
      </c>
      <c r="AO77" s="613" t="str">
        <f t="shared" si="466"/>
        <v/>
      </c>
      <c r="AP77" s="624" t="str">
        <f t="shared" si="99"/>
        <v/>
      </c>
      <c r="AQ77" s="625" t="str">
        <f t="shared" si="476"/>
        <v/>
      </c>
      <c r="AS77" s="56" t="str">
        <f t="shared" si="550"/>
        <v/>
      </c>
      <c r="AT77" s="77" t="str">
        <f t="shared" si="477"/>
        <v/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 t="str">
        <f>IFERROR(IF($IU77="","",IF($IU77&lt;(((Settings!$C$19/2)*-1)*$IE$8),"",1)),"")</f>
        <v/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 t="str">
        <f t="shared" si="522"/>
        <v/>
      </c>
      <c r="IH77" s="797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800" t="str" cm="1">
        <f t="array" ref="II77">IFERROR(IF($IH77&lt;1,$IH77+LARGE((IF($M$9:$M$150="",0,$M$9:$M$150)-MOD(IF($M$9:$M$150="",0,$M$9:$M$150),1)),1),$IH77),"")</f>
        <v/>
      </c>
      <c r="IJ77" s="839" t="str">
        <f t="shared" si="523"/>
        <v/>
      </c>
      <c r="IK77" s="839" t="str">
        <f t="shared" si="524"/>
        <v/>
      </c>
      <c r="IL77" s="791" t="str">
        <f t="shared" si="228"/>
        <v/>
      </c>
      <c r="IM77" s="830"/>
      <c r="IN77" s="5" t="str">
        <f t="shared" si="229"/>
        <v/>
      </c>
      <c r="IO77" s="852"/>
      <c r="IP77" s="9" t="str">
        <f t="shared" si="230"/>
        <v/>
      </c>
      <c r="IQ77" s="5" t="str">
        <f t="shared" si="231"/>
        <v/>
      </c>
      <c r="IR77" s="5" t="str">
        <f t="shared" si="525"/>
        <v/>
      </c>
      <c r="IS77" s="5" t="str">
        <f t="shared" si="232"/>
        <v/>
      </c>
      <c r="IT77" s="791" t="str">
        <f t="shared" si="233"/>
        <v/>
      </c>
      <c r="IU77" s="9" t="str">
        <f t="shared" si="234"/>
        <v/>
      </c>
      <c r="IV77" s="5" t="str">
        <f t="shared" si="235"/>
        <v/>
      </c>
      <c r="IW77" s="5" t="str">
        <f t="shared" si="526"/>
        <v/>
      </c>
      <c r="IX77" s="5" t="str">
        <f t="shared" si="236"/>
        <v/>
      </c>
      <c r="IY77" s="833" t="str">
        <f t="shared" si="237"/>
        <v/>
      </c>
    </row>
    <row r="78" spans="1:259" ht="15" customHeight="1" x14ac:dyDescent="0.25">
      <c r="A78" s="84">
        <f t="shared" si="527"/>
        <v>0</v>
      </c>
      <c r="B78" s="770"/>
      <c r="C78" s="771"/>
      <c r="D78" s="772"/>
      <c r="E78" s="773"/>
      <c r="F78" s="771"/>
      <c r="G78" s="774"/>
      <c r="H78" s="773"/>
      <c r="I78" s="771"/>
      <c r="J78" s="601"/>
      <c r="K78" s="426" t="str">
        <f t="shared" si="651"/>
        <v/>
      </c>
      <c r="L78" s="327"/>
      <c r="M78" s="173" t="str">
        <f t="shared" si="469"/>
        <v/>
      </c>
      <c r="N78" s="21" t="str">
        <f t="shared" si="470"/>
        <v/>
      </c>
      <c r="O78" s="5" t="str">
        <f t="shared" si="471"/>
        <v/>
      </c>
      <c r="P78" s="10" t="str">
        <f t="shared" si="472"/>
        <v/>
      </c>
      <c r="Q78" s="624" t="str">
        <f t="shared" si="528"/>
        <v/>
      </c>
      <c r="R78" s="5" t="str">
        <f>IF(M78="","",SQRT(N78^2+O78^2))</f>
        <v/>
      </c>
      <c r="S78" s="6" t="str">
        <f>IF(M78="","",P78)</f>
        <v/>
      </c>
      <c r="T78" s="4" t="str">
        <f>IF(M78="","",X78*COS(RADIANS(W78)))</f>
        <v/>
      </c>
      <c r="U78" s="5" t="str">
        <f>IF(M78="","",X78*SIN(RADIANS(W78)))</f>
        <v/>
      </c>
      <c r="V78" s="8" t="str">
        <f>IF(M78="","",Y78)</f>
        <v/>
      </c>
      <c r="W78" s="624" t="str">
        <f t="shared" si="227"/>
        <v/>
      </c>
      <c r="X78" s="5" t="str">
        <f>IF(M78="","",R78)</f>
        <v/>
      </c>
      <c r="Y78" s="7" t="str">
        <f t="shared" si="650"/>
        <v/>
      </c>
      <c r="Z78" s="21" t="str">
        <f t="shared" si="473"/>
        <v/>
      </c>
      <c r="AA78" s="5" t="str">
        <f t="shared" si="474"/>
        <v/>
      </c>
      <c r="AB78" s="5" t="str">
        <f t="shared" si="475"/>
        <v/>
      </c>
      <c r="AC78" s="8" t="str">
        <f>IF(M78="","",SQRT(Z78^2+AA78^2+AB78^2))</f>
        <v/>
      </c>
      <c r="AD78" s="9" t="str">
        <f>IF(M78="","",Z78*(1/SQRT(Z78^2+AA78^2+AB78^2)))</f>
        <v/>
      </c>
      <c r="AE78" s="5" t="str">
        <f>IF(M78="","",AA78*(1/SQRT(Z78^2+AA78^2+AB78^2)))</f>
        <v/>
      </c>
      <c r="AF78" s="10" t="str">
        <f>IF(M78="","",AB78*(1/SQRT(Z78^2+AA78^2+AB78^2)))</f>
        <v/>
      </c>
      <c r="AG78" s="622" t="str">
        <f>IF(M78="","",DEGREES(ATAN2(-AF78,AE78)))</f>
        <v/>
      </c>
      <c r="AH78" s="623" t="str">
        <f>IF(M78="","",DEGREES(ACOS(AD78)))</f>
        <v/>
      </c>
      <c r="AI78" s="624" t="str">
        <f>IF(M78="","",DEGREES(-ACOS(-AF78)))</f>
        <v/>
      </c>
      <c r="AJ78" s="625" t="str">
        <f>IF(M78="","",DEGREES(ATAN2(-AE78,AD78)))</f>
        <v/>
      </c>
      <c r="AK78" s="4" t="str">
        <f>IF(M78="","",(COS(RADIANS((90-$Q$8)-W78))*AD78)+(-SIN(RADIANS((90-$Q$8)-W78))*AE78))</f>
        <v/>
      </c>
      <c r="AL78" s="5" t="str">
        <f>IF(M78="","",(SIN(RADIANS((90-$Q$8)-W78))*AD78)+(COS(RADIANS((90-$Q$8)-W78))*AE78))</f>
        <v/>
      </c>
      <c r="AM78" s="6" t="str">
        <f>IF(M78="","",AF78)</f>
        <v/>
      </c>
      <c r="AN78" s="612" t="str">
        <f>IF(M78="","",DEGREES(ATAN2(-AM78,AL78)))</f>
        <v/>
      </c>
      <c r="AO78" s="613" t="str">
        <f t="shared" si="466"/>
        <v/>
      </c>
      <c r="AP78" s="624" t="str">
        <f>IF(M78="","",DEGREES(ATAN2(AK78,AL78)))</f>
        <v/>
      </c>
      <c r="AQ78" s="625" t="str">
        <f t="shared" si="476"/>
        <v/>
      </c>
      <c r="AS78" s="56" t="str">
        <f t="shared" si="550"/>
        <v/>
      </c>
      <c r="AT78" s="77" t="str">
        <f t="shared" si="477"/>
        <v/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 t="str">
        <f t="shared" si="522"/>
        <v/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</v>
      </c>
      <c r="B79" s="770"/>
      <c r="C79" s="771"/>
      <c r="D79" s="772"/>
      <c r="E79" s="773"/>
      <c r="F79" s="771"/>
      <c r="G79" s="774"/>
      <c r="H79" s="773"/>
      <c r="I79" s="771"/>
      <c r="J79" s="601"/>
      <c r="K79" s="426" t="str">
        <f t="shared" si="651"/>
        <v/>
      </c>
      <c r="L79" s="327"/>
      <c r="M79" s="173" t="str">
        <f t="shared" si="469"/>
        <v/>
      </c>
      <c r="N79" s="21" t="str">
        <f t="shared" si="470"/>
        <v/>
      </c>
      <c r="O79" s="5" t="str">
        <f t="shared" si="471"/>
        <v/>
      </c>
      <c r="P79" s="10" t="str">
        <f t="shared" si="472"/>
        <v/>
      </c>
      <c r="Q79" s="624" t="str">
        <f t="shared" si="528"/>
        <v/>
      </c>
      <c r="R79" s="5" t="str">
        <f>IF(M79="","",SQRT(N79^2+O79^2))</f>
        <v/>
      </c>
      <c r="S79" s="6" t="str">
        <f>IF(M79="","",P79)</f>
        <v/>
      </c>
      <c r="T79" s="4" t="str">
        <f>IF(M79="","",X79*COS(RADIANS(W79)))</f>
        <v/>
      </c>
      <c r="U79" s="5" t="str">
        <f>IF(M79="","",X79*SIN(RADIANS(W79)))</f>
        <v/>
      </c>
      <c r="V79" s="8" t="str">
        <f>IF(M79="","",Y79)</f>
        <v/>
      </c>
      <c r="W79" s="624" t="str">
        <f t="shared" ref="W79:W129" si="652">IF(M79="","",IF(Q79-$Q$8&lt;0,360+Q79-$Q$8,Q79-$Q$8))</f>
        <v/>
      </c>
      <c r="X79" s="5" t="str">
        <f>IF(M79="","",R79)</f>
        <v/>
      </c>
      <c r="Y79" s="7" t="str">
        <f t="shared" si="650"/>
        <v/>
      </c>
      <c r="Z79" s="21" t="str">
        <f t="shared" si="473"/>
        <v/>
      </c>
      <c r="AA79" s="5" t="str">
        <f t="shared" si="474"/>
        <v/>
      </c>
      <c r="AB79" s="5" t="str">
        <f t="shared" si="475"/>
        <v/>
      </c>
      <c r="AC79" s="8" t="str">
        <f>IF(M79="","",SQRT(Z79^2+AA79^2+AB79^2))</f>
        <v/>
      </c>
      <c r="AD79" s="9" t="str">
        <f>IF(M79="","",Z79*(1/SQRT(Z79^2+AA79^2+AB79^2)))</f>
        <v/>
      </c>
      <c r="AE79" s="5" t="str">
        <f>IF(M79="","",AA79*(1/SQRT(Z79^2+AA79^2+AB79^2)))</f>
        <v/>
      </c>
      <c r="AF79" s="10" t="str">
        <f>IF(M79="","",AB79*(1/SQRT(Z79^2+AA79^2+AB79^2)))</f>
        <v/>
      </c>
      <c r="AG79" s="622" t="str">
        <f>IF(M79="","",DEGREES(ATAN2(-AF79,AE79)))</f>
        <v/>
      </c>
      <c r="AH79" s="623" t="str">
        <f>IF(M79="","",DEGREES(ACOS(AD79)))</f>
        <v/>
      </c>
      <c r="AI79" s="624" t="str">
        <f>IF(M79="","",DEGREES(-ACOS(-AF79)))</f>
        <v/>
      </c>
      <c r="AJ79" s="625" t="str">
        <f>IF(M79="","",DEGREES(ATAN2(-AE79,AD79)))</f>
        <v/>
      </c>
      <c r="AK79" s="4" t="str">
        <f>IF(M79="","",(COS(RADIANS((90-$Q$8)-W79))*AD79)+(-SIN(RADIANS((90-$Q$8)-W79))*AE79))</f>
        <v/>
      </c>
      <c r="AL79" s="5" t="str">
        <f>IF(M79="","",(SIN(RADIANS((90-$Q$8)-W79))*AD79)+(COS(RADIANS((90-$Q$8)-W79))*AE79))</f>
        <v/>
      </c>
      <c r="AM79" s="6" t="str">
        <f>IF(M79="","",AF79)</f>
        <v/>
      </c>
      <c r="AN79" s="612" t="str">
        <f>IF(M79="","",DEGREES(ATAN2(-AM79,AL79)))</f>
        <v/>
      </c>
      <c r="AO79" s="613" t="str">
        <f t="shared" si="466"/>
        <v/>
      </c>
      <c r="AP79" s="624" t="str">
        <f>IF(M79="","",DEGREES(ATAN2(AK79,AL79)))</f>
        <v/>
      </c>
      <c r="AQ79" s="625" t="str">
        <f t="shared" si="476"/>
        <v/>
      </c>
      <c r="AS79" s="56" t="str">
        <f t="shared" si="550"/>
        <v/>
      </c>
      <c r="AT79" s="77" t="str">
        <f t="shared" si="477"/>
        <v/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 t="str">
        <f t="shared" si="522"/>
        <v/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</v>
      </c>
      <c r="B80" s="770"/>
      <c r="C80" s="771"/>
      <c r="D80" s="772"/>
      <c r="E80" s="773"/>
      <c r="F80" s="771"/>
      <c r="G80" s="774"/>
      <c r="H80" s="773"/>
      <c r="I80" s="771"/>
      <c r="J80" s="601"/>
      <c r="K80" s="426" t="str">
        <f t="shared" si="651"/>
        <v/>
      </c>
      <c r="L80" s="327"/>
      <c r="M80" s="173" t="str">
        <f t="shared" si="469"/>
        <v/>
      </c>
      <c r="N80" s="21" t="str">
        <f t="shared" si="470"/>
        <v/>
      </c>
      <c r="O80" s="5" t="str">
        <f t="shared" si="471"/>
        <v/>
      </c>
      <c r="P80" s="10" t="str">
        <f t="shared" si="472"/>
        <v/>
      </c>
      <c r="Q80" s="624" t="str">
        <f t="shared" si="528"/>
        <v/>
      </c>
      <c r="R80" s="5" t="str">
        <f t="shared" si="83"/>
        <v/>
      </c>
      <c r="S80" s="6" t="str">
        <f t="shared" si="84"/>
        <v/>
      </c>
      <c r="T80" s="4" t="str">
        <f t="shared" si="85"/>
        <v/>
      </c>
      <c r="U80" s="5" t="str">
        <f t="shared" si="86"/>
        <v/>
      </c>
      <c r="V80" s="8" t="str">
        <f t="shared" si="117"/>
        <v/>
      </c>
      <c r="W80" s="624" t="str">
        <f t="shared" si="652"/>
        <v/>
      </c>
      <c r="X80" s="5" t="str">
        <f t="shared" si="87"/>
        <v/>
      </c>
      <c r="Y80" s="7" t="str">
        <f t="shared" si="650"/>
        <v/>
      </c>
      <c r="Z80" s="21" t="str">
        <f t="shared" si="473"/>
        <v/>
      </c>
      <c r="AA80" s="5" t="str">
        <f t="shared" si="474"/>
        <v/>
      </c>
      <c r="AB80" s="5" t="str">
        <f t="shared" si="475"/>
        <v/>
      </c>
      <c r="AC80" s="8" t="str">
        <f t="shared" si="88"/>
        <v/>
      </c>
      <c r="AD80" s="9" t="str">
        <f t="shared" si="118"/>
        <v/>
      </c>
      <c r="AE80" s="5" t="str">
        <f t="shared" si="89"/>
        <v/>
      </c>
      <c r="AF80" s="10" t="str">
        <f t="shared" si="90"/>
        <v/>
      </c>
      <c r="AG80" s="622" t="str">
        <f t="shared" si="91"/>
        <v/>
      </c>
      <c r="AH80" s="623" t="str">
        <f t="shared" si="92"/>
        <v/>
      </c>
      <c r="AI80" s="624" t="str">
        <f t="shared" si="93"/>
        <v/>
      </c>
      <c r="AJ80" s="625" t="str">
        <f t="shared" si="94"/>
        <v/>
      </c>
      <c r="AK80" s="4" t="str">
        <f t="shared" si="213"/>
        <v/>
      </c>
      <c r="AL80" s="5" t="str">
        <f t="shared" si="95"/>
        <v/>
      </c>
      <c r="AM80" s="6" t="str">
        <f t="shared" si="96"/>
        <v/>
      </c>
      <c r="AN80" s="612" t="str">
        <f t="shared" si="97"/>
        <v/>
      </c>
      <c r="AO80" s="613" t="str">
        <f t="shared" si="466"/>
        <v/>
      </c>
      <c r="AP80" s="624" t="str">
        <f t="shared" si="99"/>
        <v/>
      </c>
      <c r="AQ80" s="625" t="str">
        <f t="shared" si="476"/>
        <v/>
      </c>
      <c r="AS80" s="56" t="str">
        <f t="shared" si="550"/>
        <v/>
      </c>
      <c r="AT80" s="77" t="str">
        <f t="shared" si="477"/>
        <v/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 t="str">
        <f t="shared" si="522"/>
        <v/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</v>
      </c>
      <c r="B81" s="770"/>
      <c r="C81" s="771"/>
      <c r="D81" s="772"/>
      <c r="E81" s="773"/>
      <c r="F81" s="771"/>
      <c r="G81" s="774"/>
      <c r="H81" s="773"/>
      <c r="I81" s="771"/>
      <c r="J81" s="601"/>
      <c r="K81" s="426" t="str">
        <f t="shared" si="651"/>
        <v/>
      </c>
      <c r="L81" s="327"/>
      <c r="M81" s="173" t="str">
        <f t="shared" si="469"/>
        <v/>
      </c>
      <c r="N81" s="21" t="str">
        <f t="shared" si="470"/>
        <v/>
      </c>
      <c r="O81" s="5" t="str">
        <f t="shared" si="471"/>
        <v/>
      </c>
      <c r="P81" s="10" t="str">
        <f t="shared" si="472"/>
        <v/>
      </c>
      <c r="Q81" s="624" t="str">
        <f t="shared" si="528"/>
        <v/>
      </c>
      <c r="R81" s="5" t="str">
        <f t="shared" si="83"/>
        <v/>
      </c>
      <c r="S81" s="6" t="str">
        <f t="shared" si="84"/>
        <v/>
      </c>
      <c r="T81" s="4" t="str">
        <f t="shared" si="85"/>
        <v/>
      </c>
      <c r="U81" s="5" t="str">
        <f t="shared" si="86"/>
        <v/>
      </c>
      <c r="V81" s="8" t="str">
        <f t="shared" si="117"/>
        <v/>
      </c>
      <c r="W81" s="624" t="str">
        <f t="shared" si="652"/>
        <v/>
      </c>
      <c r="X81" s="5" t="str">
        <f t="shared" si="87"/>
        <v/>
      </c>
      <c r="Y81" s="7" t="str">
        <f t="shared" si="650"/>
        <v/>
      </c>
      <c r="Z81" s="21" t="str">
        <f t="shared" si="473"/>
        <v/>
      </c>
      <c r="AA81" s="5" t="str">
        <f t="shared" si="474"/>
        <v/>
      </c>
      <c r="AB81" s="5" t="str">
        <f t="shared" si="475"/>
        <v/>
      </c>
      <c r="AC81" s="8" t="str">
        <f t="shared" si="88"/>
        <v/>
      </c>
      <c r="AD81" s="9" t="str">
        <f t="shared" si="118"/>
        <v/>
      </c>
      <c r="AE81" s="5" t="str">
        <f t="shared" si="89"/>
        <v/>
      </c>
      <c r="AF81" s="10" t="str">
        <f t="shared" si="90"/>
        <v/>
      </c>
      <c r="AG81" s="622" t="str">
        <f t="shared" si="91"/>
        <v/>
      </c>
      <c r="AH81" s="623" t="str">
        <f t="shared" si="92"/>
        <v/>
      </c>
      <c r="AI81" s="624" t="str">
        <f t="shared" si="93"/>
        <v/>
      </c>
      <c r="AJ81" s="625" t="str">
        <f t="shared" si="94"/>
        <v/>
      </c>
      <c r="AK81" s="4" t="str">
        <f t="shared" si="213"/>
        <v/>
      </c>
      <c r="AL81" s="5" t="str">
        <f t="shared" si="95"/>
        <v/>
      </c>
      <c r="AM81" s="6" t="str">
        <f t="shared" si="96"/>
        <v/>
      </c>
      <c r="AN81" s="612" t="str">
        <f t="shared" si="97"/>
        <v/>
      </c>
      <c r="AO81" s="613" t="str">
        <f t="shared" si="466"/>
        <v/>
      </c>
      <c r="AP81" s="624" t="str">
        <f t="shared" si="99"/>
        <v/>
      </c>
      <c r="AQ81" s="625" t="str">
        <f t="shared" si="476"/>
        <v/>
      </c>
      <c r="AS81" s="56" t="str">
        <f t="shared" si="550"/>
        <v/>
      </c>
      <c r="AT81" s="77" t="str">
        <f t="shared" si="477"/>
        <v/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 t="str">
        <f t="shared" si="522"/>
        <v/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</v>
      </c>
      <c r="B82" s="770"/>
      <c r="C82" s="771"/>
      <c r="D82" s="772"/>
      <c r="E82" s="773"/>
      <c r="F82" s="771"/>
      <c r="G82" s="774"/>
      <c r="H82" s="773"/>
      <c r="I82" s="771"/>
      <c r="J82" s="601"/>
      <c r="K82" s="426" t="str">
        <f t="shared" si="651"/>
        <v/>
      </c>
      <c r="L82" s="327"/>
      <c r="M82" s="173" t="str">
        <f t="shared" si="469"/>
        <v/>
      </c>
      <c r="N82" s="21" t="str">
        <f t="shared" si="470"/>
        <v/>
      </c>
      <c r="O82" s="5" t="str">
        <f t="shared" si="471"/>
        <v/>
      </c>
      <c r="P82" s="10" t="str">
        <f t="shared" si="472"/>
        <v/>
      </c>
      <c r="Q82" s="624" t="str">
        <f t="shared" si="528"/>
        <v/>
      </c>
      <c r="R82" s="5" t="str">
        <f t="shared" si="83"/>
        <v/>
      </c>
      <c r="S82" s="6" t="str">
        <f t="shared" si="84"/>
        <v/>
      </c>
      <c r="T82" s="4" t="str">
        <f t="shared" si="85"/>
        <v/>
      </c>
      <c r="U82" s="5" t="str">
        <f t="shared" si="86"/>
        <v/>
      </c>
      <c r="V82" s="8" t="str">
        <f t="shared" si="117"/>
        <v/>
      </c>
      <c r="W82" s="624" t="str">
        <f t="shared" si="652"/>
        <v/>
      </c>
      <c r="X82" s="5" t="str">
        <f t="shared" si="87"/>
        <v/>
      </c>
      <c r="Y82" s="7" t="str">
        <f t="shared" si="650"/>
        <v/>
      </c>
      <c r="Z82" s="21" t="str">
        <f t="shared" si="473"/>
        <v/>
      </c>
      <c r="AA82" s="5" t="str">
        <f t="shared" si="474"/>
        <v/>
      </c>
      <c r="AB82" s="5" t="str">
        <f t="shared" si="475"/>
        <v/>
      </c>
      <c r="AC82" s="8" t="str">
        <f t="shared" si="88"/>
        <v/>
      </c>
      <c r="AD82" s="9" t="str">
        <f t="shared" si="118"/>
        <v/>
      </c>
      <c r="AE82" s="5" t="str">
        <f t="shared" si="89"/>
        <v/>
      </c>
      <c r="AF82" s="10" t="str">
        <f t="shared" si="90"/>
        <v/>
      </c>
      <c r="AG82" s="622" t="str">
        <f t="shared" si="91"/>
        <v/>
      </c>
      <c r="AH82" s="623" t="str">
        <f t="shared" si="92"/>
        <v/>
      </c>
      <c r="AI82" s="624" t="str">
        <f t="shared" si="93"/>
        <v/>
      </c>
      <c r="AJ82" s="625" t="str">
        <f t="shared" si="94"/>
        <v/>
      </c>
      <c r="AK82" s="4" t="str">
        <f t="shared" si="213"/>
        <v/>
      </c>
      <c r="AL82" s="5" t="str">
        <f t="shared" si="95"/>
        <v/>
      </c>
      <c r="AM82" s="6" t="str">
        <f t="shared" si="96"/>
        <v/>
      </c>
      <c r="AN82" s="612" t="str">
        <f t="shared" si="97"/>
        <v/>
      </c>
      <c r="AO82" s="613" t="str">
        <f t="shared" si="466"/>
        <v/>
      </c>
      <c r="AP82" s="624" t="str">
        <f t="shared" si="99"/>
        <v/>
      </c>
      <c r="AQ82" s="625" t="str">
        <f t="shared" si="476"/>
        <v/>
      </c>
      <c r="AS82" s="56" t="str">
        <f t="shared" si="550"/>
        <v/>
      </c>
      <c r="AT82" s="77" t="str">
        <f t="shared" si="477"/>
        <v/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 t="str">
        <f t="shared" si="522"/>
        <v/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</v>
      </c>
      <c r="B83" s="770"/>
      <c r="C83" s="771"/>
      <c r="D83" s="772"/>
      <c r="E83" s="773"/>
      <c r="F83" s="771"/>
      <c r="G83" s="774"/>
      <c r="H83" s="773"/>
      <c r="I83" s="771"/>
      <c r="J83" s="601"/>
      <c r="K83" s="426" t="str">
        <f t="shared" si="651"/>
        <v/>
      </c>
      <c r="L83" s="327"/>
      <c r="M83" s="173" t="str">
        <f t="shared" si="469"/>
        <v/>
      </c>
      <c r="N83" s="21" t="str">
        <f t="shared" si="470"/>
        <v/>
      </c>
      <c r="O83" s="5" t="str">
        <f t="shared" si="471"/>
        <v/>
      </c>
      <c r="P83" s="10" t="str">
        <f t="shared" si="472"/>
        <v/>
      </c>
      <c r="Q83" s="624" t="str">
        <f t="shared" si="528"/>
        <v/>
      </c>
      <c r="R83" s="5" t="str">
        <f t="shared" si="83"/>
        <v/>
      </c>
      <c r="S83" s="6" t="str">
        <f t="shared" si="84"/>
        <v/>
      </c>
      <c r="T83" s="4" t="str">
        <f t="shared" si="85"/>
        <v/>
      </c>
      <c r="U83" s="5" t="str">
        <f t="shared" si="86"/>
        <v/>
      </c>
      <c r="V83" s="8" t="str">
        <f t="shared" si="117"/>
        <v/>
      </c>
      <c r="W83" s="624" t="str">
        <f t="shared" si="652"/>
        <v/>
      </c>
      <c r="X83" s="5" t="str">
        <f t="shared" si="87"/>
        <v/>
      </c>
      <c r="Y83" s="7" t="str">
        <f t="shared" si="650"/>
        <v/>
      </c>
      <c r="Z83" s="21" t="str">
        <f t="shared" si="473"/>
        <v/>
      </c>
      <c r="AA83" s="5" t="str">
        <f t="shared" si="474"/>
        <v/>
      </c>
      <c r="AB83" s="5" t="str">
        <f t="shared" si="475"/>
        <v/>
      </c>
      <c r="AC83" s="8" t="str">
        <f t="shared" si="88"/>
        <v/>
      </c>
      <c r="AD83" s="9" t="str">
        <f t="shared" si="118"/>
        <v/>
      </c>
      <c r="AE83" s="5" t="str">
        <f t="shared" si="89"/>
        <v/>
      </c>
      <c r="AF83" s="10" t="str">
        <f t="shared" si="90"/>
        <v/>
      </c>
      <c r="AG83" s="622" t="str">
        <f t="shared" si="91"/>
        <v/>
      </c>
      <c r="AH83" s="623" t="str">
        <f t="shared" si="92"/>
        <v/>
      </c>
      <c r="AI83" s="624" t="str">
        <f t="shared" si="93"/>
        <v/>
      </c>
      <c r="AJ83" s="625" t="str">
        <f t="shared" si="94"/>
        <v/>
      </c>
      <c r="AK83" s="4" t="str">
        <f t="shared" si="213"/>
        <v/>
      </c>
      <c r="AL83" s="5" t="str">
        <f t="shared" si="95"/>
        <v/>
      </c>
      <c r="AM83" s="6" t="str">
        <f t="shared" si="96"/>
        <v/>
      </c>
      <c r="AN83" s="612" t="str">
        <f t="shared" si="97"/>
        <v/>
      </c>
      <c r="AO83" s="613" t="str">
        <f t="shared" si="466"/>
        <v/>
      </c>
      <c r="AP83" s="624" t="str">
        <f t="shared" si="99"/>
        <v/>
      </c>
      <c r="AQ83" s="625" t="str">
        <f t="shared" si="476"/>
        <v/>
      </c>
      <c r="AS83" s="56" t="str">
        <f t="shared" si="550"/>
        <v/>
      </c>
      <c r="AT83" s="77" t="str">
        <f t="shared" si="477"/>
        <v/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 t="str">
        <f t="shared" si="522"/>
        <v/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</v>
      </c>
      <c r="B84" s="770"/>
      <c r="C84" s="771"/>
      <c r="D84" s="772"/>
      <c r="E84" s="773"/>
      <c r="F84" s="771"/>
      <c r="G84" s="774"/>
      <c r="H84" s="773"/>
      <c r="I84" s="771"/>
      <c r="J84" s="601"/>
      <c r="K84" s="426" t="str">
        <f t="shared" si="651"/>
        <v/>
      </c>
      <c r="L84" s="327"/>
      <c r="M84" s="173" t="str">
        <f t="shared" si="469"/>
        <v/>
      </c>
      <c r="N84" s="21" t="str">
        <f t="shared" si="470"/>
        <v/>
      </c>
      <c r="O84" s="5" t="str">
        <f t="shared" si="471"/>
        <v/>
      </c>
      <c r="P84" s="10" t="str">
        <f t="shared" si="472"/>
        <v/>
      </c>
      <c r="Q84" s="624" t="str">
        <f t="shared" si="528"/>
        <v/>
      </c>
      <c r="R84" s="5" t="str">
        <f t="shared" si="83"/>
        <v/>
      </c>
      <c r="S84" s="6" t="str">
        <f t="shared" si="84"/>
        <v/>
      </c>
      <c r="T84" s="4" t="str">
        <f t="shared" si="85"/>
        <v/>
      </c>
      <c r="U84" s="5" t="str">
        <f t="shared" si="86"/>
        <v/>
      </c>
      <c r="V84" s="8" t="str">
        <f t="shared" si="117"/>
        <v/>
      </c>
      <c r="W84" s="624" t="str">
        <f t="shared" si="652"/>
        <v/>
      </c>
      <c r="X84" s="5" t="str">
        <f t="shared" si="87"/>
        <v/>
      </c>
      <c r="Y84" s="7" t="str">
        <f t="shared" si="650"/>
        <v/>
      </c>
      <c r="Z84" s="21" t="str">
        <f t="shared" si="473"/>
        <v/>
      </c>
      <c r="AA84" s="5" t="str">
        <f t="shared" si="474"/>
        <v/>
      </c>
      <c r="AB84" s="5" t="str">
        <f t="shared" si="475"/>
        <v/>
      </c>
      <c r="AC84" s="8" t="str">
        <f t="shared" si="88"/>
        <v/>
      </c>
      <c r="AD84" s="9" t="str">
        <f t="shared" si="118"/>
        <v/>
      </c>
      <c r="AE84" s="5" t="str">
        <f t="shared" si="89"/>
        <v/>
      </c>
      <c r="AF84" s="10" t="str">
        <f t="shared" si="90"/>
        <v/>
      </c>
      <c r="AG84" s="622" t="str">
        <f t="shared" si="91"/>
        <v/>
      </c>
      <c r="AH84" s="623" t="str">
        <f t="shared" si="92"/>
        <v/>
      </c>
      <c r="AI84" s="624" t="str">
        <f t="shared" si="93"/>
        <v/>
      </c>
      <c r="AJ84" s="625" t="str">
        <f t="shared" si="94"/>
        <v/>
      </c>
      <c r="AK84" s="4" t="str">
        <f t="shared" si="213"/>
        <v/>
      </c>
      <c r="AL84" s="5" t="str">
        <f t="shared" si="95"/>
        <v/>
      </c>
      <c r="AM84" s="6" t="str">
        <f t="shared" si="96"/>
        <v/>
      </c>
      <c r="AN84" s="612" t="str">
        <f t="shared" si="97"/>
        <v/>
      </c>
      <c r="AO84" s="613" t="str">
        <f t="shared" si="466"/>
        <v/>
      </c>
      <c r="AP84" s="624" t="str">
        <f t="shared" si="99"/>
        <v/>
      </c>
      <c r="AQ84" s="625" t="str">
        <f t="shared" si="476"/>
        <v/>
      </c>
      <c r="AS84" s="56" t="str">
        <f t="shared" si="550"/>
        <v/>
      </c>
      <c r="AT84" s="77" t="str">
        <f t="shared" si="477"/>
        <v/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 t="str">
        <f t="shared" si="522"/>
        <v/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</v>
      </c>
      <c r="B85" s="770"/>
      <c r="C85" s="771"/>
      <c r="D85" s="772"/>
      <c r="E85" s="773"/>
      <c r="F85" s="771"/>
      <c r="G85" s="774"/>
      <c r="H85" s="773"/>
      <c r="I85" s="771"/>
      <c r="J85" s="601"/>
      <c r="K85" s="426" t="str">
        <f t="shared" si="651"/>
        <v/>
      </c>
      <c r="L85" s="327"/>
      <c r="M85" s="173" t="str">
        <f t="shared" si="469"/>
        <v/>
      </c>
      <c r="N85" s="21" t="str">
        <f t="shared" si="470"/>
        <v/>
      </c>
      <c r="O85" s="5" t="str">
        <f t="shared" si="471"/>
        <v/>
      </c>
      <c r="P85" s="10" t="str">
        <f t="shared" si="472"/>
        <v/>
      </c>
      <c r="Q85" s="624" t="str">
        <f t="shared" si="528"/>
        <v/>
      </c>
      <c r="R85" s="5" t="str">
        <f t="shared" si="83"/>
        <v/>
      </c>
      <c r="S85" s="6" t="str">
        <f t="shared" si="84"/>
        <v/>
      </c>
      <c r="T85" s="4" t="str">
        <f t="shared" si="85"/>
        <v/>
      </c>
      <c r="U85" s="5" t="str">
        <f t="shared" si="86"/>
        <v/>
      </c>
      <c r="V85" s="8" t="str">
        <f t="shared" si="117"/>
        <v/>
      </c>
      <c r="W85" s="624" t="str">
        <f t="shared" si="652"/>
        <v/>
      </c>
      <c r="X85" s="5" t="str">
        <f t="shared" si="87"/>
        <v/>
      </c>
      <c r="Y85" s="7" t="str">
        <f t="shared" si="650"/>
        <v/>
      </c>
      <c r="Z85" s="21" t="str">
        <f t="shared" si="473"/>
        <v/>
      </c>
      <c r="AA85" s="5" t="str">
        <f t="shared" si="474"/>
        <v/>
      </c>
      <c r="AB85" s="5" t="str">
        <f t="shared" si="475"/>
        <v/>
      </c>
      <c r="AC85" s="8" t="str">
        <f t="shared" si="88"/>
        <v/>
      </c>
      <c r="AD85" s="9" t="str">
        <f t="shared" si="118"/>
        <v/>
      </c>
      <c r="AE85" s="5" t="str">
        <f t="shared" si="89"/>
        <v/>
      </c>
      <c r="AF85" s="10" t="str">
        <f t="shared" si="90"/>
        <v/>
      </c>
      <c r="AG85" s="622" t="str">
        <f t="shared" si="91"/>
        <v/>
      </c>
      <c r="AH85" s="623" t="str">
        <f t="shared" si="92"/>
        <v/>
      </c>
      <c r="AI85" s="624" t="str">
        <f t="shared" si="93"/>
        <v/>
      </c>
      <c r="AJ85" s="625" t="str">
        <f t="shared" si="94"/>
        <v/>
      </c>
      <c r="AK85" s="4" t="str">
        <f t="shared" si="213"/>
        <v/>
      </c>
      <c r="AL85" s="5" t="str">
        <f t="shared" si="95"/>
        <v/>
      </c>
      <c r="AM85" s="6" t="str">
        <f t="shared" si="96"/>
        <v/>
      </c>
      <c r="AN85" s="612" t="str">
        <f t="shared" si="97"/>
        <v/>
      </c>
      <c r="AO85" s="613" t="str">
        <f t="shared" si="466"/>
        <v/>
      </c>
      <c r="AP85" s="624" t="str">
        <f t="shared" si="99"/>
        <v/>
      </c>
      <c r="AQ85" s="625" t="str">
        <f t="shared" si="476"/>
        <v/>
      </c>
      <c r="AS85" s="56" t="str">
        <f t="shared" si="550"/>
        <v/>
      </c>
      <c r="AT85" s="77" t="str">
        <f t="shared" si="477"/>
        <v/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 t="str">
        <f t="shared" si="522"/>
        <v/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3"/>
        <v/>
      </c>
      <c r="IK85" s="839" t="str">
        <f t="shared" si="524"/>
        <v/>
      </c>
      <c r="IL85" s="791" t="str">
        <f t="shared" si="654"/>
        <v/>
      </c>
      <c r="IM85" s="830"/>
      <c r="IN85" s="5" t="str">
        <f t="shared" si="655"/>
        <v/>
      </c>
      <c r="IO85" s="852"/>
      <c r="IP85" s="9" t="str">
        <f t="shared" si="656"/>
        <v/>
      </c>
      <c r="IQ85" s="5" t="str">
        <f t="shared" si="657"/>
        <v/>
      </c>
      <c r="IR85" s="5" t="str">
        <f t="shared" si="525"/>
        <v/>
      </c>
      <c r="IS85" s="5" t="str">
        <f t="shared" si="658"/>
        <v/>
      </c>
      <c r="IT85" s="791" t="str">
        <f t="shared" si="659"/>
        <v/>
      </c>
      <c r="IU85" s="9" t="str">
        <f t="shared" si="660"/>
        <v/>
      </c>
      <c r="IV85" s="5" t="str">
        <f t="shared" si="661"/>
        <v/>
      </c>
      <c r="IW85" s="5" t="str">
        <f t="shared" si="526"/>
        <v/>
      </c>
      <c r="IX85" s="5" t="str">
        <f t="shared" si="662"/>
        <v/>
      </c>
      <c r="IY85" s="833" t="str">
        <f t="shared" si="663"/>
        <v/>
      </c>
    </row>
    <row r="86" spans="1:259" ht="15" customHeight="1" x14ac:dyDescent="0.25">
      <c r="A86" s="84">
        <f t="shared" si="527"/>
        <v>0</v>
      </c>
      <c r="B86" s="770"/>
      <c r="C86" s="771"/>
      <c r="D86" s="772"/>
      <c r="E86" s="773"/>
      <c r="F86" s="771"/>
      <c r="G86" s="774"/>
      <c r="H86" s="773"/>
      <c r="I86" s="771"/>
      <c r="J86" s="601"/>
      <c r="K86" s="426" t="str">
        <f t="shared" si="651"/>
        <v/>
      </c>
      <c r="L86" s="327"/>
      <c r="M86" s="173" t="str">
        <f t="shared" si="469"/>
        <v/>
      </c>
      <c r="N86" s="21" t="str">
        <f t="shared" si="470"/>
        <v/>
      </c>
      <c r="O86" s="5" t="str">
        <f t="shared" si="471"/>
        <v/>
      </c>
      <c r="P86" s="10" t="str">
        <f t="shared" si="472"/>
        <v/>
      </c>
      <c r="Q86" s="624" t="str">
        <f t="shared" si="528"/>
        <v/>
      </c>
      <c r="R86" s="5" t="str">
        <f t="shared" si="83"/>
        <v/>
      </c>
      <c r="S86" s="6" t="str">
        <f t="shared" si="84"/>
        <v/>
      </c>
      <c r="T86" s="4" t="str">
        <f t="shared" si="85"/>
        <v/>
      </c>
      <c r="U86" s="5" t="str">
        <f t="shared" si="86"/>
        <v/>
      </c>
      <c r="V86" s="8" t="str">
        <f t="shared" si="117"/>
        <v/>
      </c>
      <c r="W86" s="624" t="str">
        <f t="shared" si="652"/>
        <v/>
      </c>
      <c r="X86" s="5" t="str">
        <f t="shared" si="87"/>
        <v/>
      </c>
      <c r="Y86" s="7" t="str">
        <f t="shared" si="650"/>
        <v/>
      </c>
      <c r="Z86" s="21" t="str">
        <f t="shared" si="473"/>
        <v/>
      </c>
      <c r="AA86" s="5" t="str">
        <f t="shared" si="474"/>
        <v/>
      </c>
      <c r="AB86" s="5" t="str">
        <f t="shared" si="475"/>
        <v/>
      </c>
      <c r="AC86" s="8" t="str">
        <f t="shared" si="88"/>
        <v/>
      </c>
      <c r="AD86" s="9" t="str">
        <f t="shared" si="118"/>
        <v/>
      </c>
      <c r="AE86" s="5" t="str">
        <f t="shared" si="89"/>
        <v/>
      </c>
      <c r="AF86" s="10" t="str">
        <f t="shared" si="90"/>
        <v/>
      </c>
      <c r="AG86" s="622" t="str">
        <f t="shared" si="91"/>
        <v/>
      </c>
      <c r="AH86" s="623" t="str">
        <f t="shared" si="92"/>
        <v/>
      </c>
      <c r="AI86" s="624" t="str">
        <f t="shared" si="93"/>
        <v/>
      </c>
      <c r="AJ86" s="625" t="str">
        <f t="shared" si="94"/>
        <v/>
      </c>
      <c r="AK86" s="4" t="str">
        <f t="shared" si="213"/>
        <v/>
      </c>
      <c r="AL86" s="5" t="str">
        <f t="shared" si="95"/>
        <v/>
      </c>
      <c r="AM86" s="6" t="str">
        <f t="shared" si="96"/>
        <v/>
      </c>
      <c r="AN86" s="612" t="str">
        <f t="shared" si="97"/>
        <v/>
      </c>
      <c r="AO86" s="613" t="str">
        <f t="shared" si="466"/>
        <v/>
      </c>
      <c r="AP86" s="624" t="str">
        <f t="shared" si="99"/>
        <v/>
      </c>
      <c r="AQ86" s="625" t="str">
        <f t="shared" si="476"/>
        <v/>
      </c>
      <c r="AS86" s="56" t="str">
        <f t="shared" si="550"/>
        <v/>
      </c>
      <c r="AT86" s="77" t="str">
        <f t="shared" si="477"/>
        <v/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 t="str">
        <f t="shared" si="522"/>
        <v/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3"/>
        <v/>
      </c>
      <c r="IK86" s="839" t="str">
        <f t="shared" si="524"/>
        <v/>
      </c>
      <c r="IL86" s="791" t="str">
        <f t="shared" si="654"/>
        <v/>
      </c>
      <c r="IM86" s="830"/>
      <c r="IN86" s="5" t="str">
        <f t="shared" si="655"/>
        <v/>
      </c>
      <c r="IO86" s="852"/>
      <c r="IP86" s="9" t="str">
        <f t="shared" si="656"/>
        <v/>
      </c>
      <c r="IQ86" s="5" t="str">
        <f t="shared" si="657"/>
        <v/>
      </c>
      <c r="IR86" s="5" t="str">
        <f t="shared" si="525"/>
        <v/>
      </c>
      <c r="IS86" s="5" t="str">
        <f t="shared" si="658"/>
        <v/>
      </c>
      <c r="IT86" s="791" t="str">
        <f t="shared" si="659"/>
        <v/>
      </c>
      <c r="IU86" s="9" t="str">
        <f t="shared" si="660"/>
        <v/>
      </c>
      <c r="IV86" s="5" t="str">
        <f t="shared" si="661"/>
        <v/>
      </c>
      <c r="IW86" s="5" t="str">
        <f t="shared" si="526"/>
        <v/>
      </c>
      <c r="IX86" s="5" t="str">
        <f t="shared" si="662"/>
        <v/>
      </c>
      <c r="IY86" s="833" t="str">
        <f t="shared" si="663"/>
        <v/>
      </c>
    </row>
    <row r="87" spans="1:259" ht="15" customHeight="1" x14ac:dyDescent="0.25">
      <c r="A87" s="84">
        <f t="shared" si="527"/>
        <v>0</v>
      </c>
      <c r="B87" s="770"/>
      <c r="C87" s="771"/>
      <c r="D87" s="772"/>
      <c r="E87" s="773"/>
      <c r="F87" s="771"/>
      <c r="G87" s="774"/>
      <c r="H87" s="773"/>
      <c r="I87" s="771"/>
      <c r="J87" s="601"/>
      <c r="K87" s="426" t="str">
        <f t="shared" si="651"/>
        <v/>
      </c>
      <c r="L87" s="327"/>
      <c r="M87" s="173" t="str">
        <f t="shared" si="469"/>
        <v/>
      </c>
      <c r="N87" s="21" t="str">
        <f t="shared" si="470"/>
        <v/>
      </c>
      <c r="O87" s="5" t="str">
        <f t="shared" si="471"/>
        <v/>
      </c>
      <c r="P87" s="10" t="str">
        <f t="shared" si="472"/>
        <v/>
      </c>
      <c r="Q87" s="624" t="str">
        <f t="shared" si="528"/>
        <v/>
      </c>
      <c r="R87" s="5" t="str">
        <f t="shared" si="83"/>
        <v/>
      </c>
      <c r="S87" s="6" t="str">
        <f t="shared" si="84"/>
        <v/>
      </c>
      <c r="T87" s="4" t="str">
        <f t="shared" si="85"/>
        <v/>
      </c>
      <c r="U87" s="5" t="str">
        <f t="shared" si="86"/>
        <v/>
      </c>
      <c r="V87" s="8" t="str">
        <f t="shared" si="117"/>
        <v/>
      </c>
      <c r="W87" s="624" t="str">
        <f t="shared" si="652"/>
        <v/>
      </c>
      <c r="X87" s="5" t="str">
        <f t="shared" si="87"/>
        <v/>
      </c>
      <c r="Y87" s="7" t="str">
        <f t="shared" si="650"/>
        <v/>
      </c>
      <c r="Z87" s="21" t="str">
        <f t="shared" si="473"/>
        <v/>
      </c>
      <c r="AA87" s="5" t="str">
        <f t="shared" si="474"/>
        <v/>
      </c>
      <c r="AB87" s="5" t="str">
        <f t="shared" si="475"/>
        <v/>
      </c>
      <c r="AC87" s="8" t="str">
        <f t="shared" si="88"/>
        <v/>
      </c>
      <c r="AD87" s="9" t="str">
        <f t="shared" si="118"/>
        <v/>
      </c>
      <c r="AE87" s="5" t="str">
        <f t="shared" si="89"/>
        <v/>
      </c>
      <c r="AF87" s="10" t="str">
        <f t="shared" si="90"/>
        <v/>
      </c>
      <c r="AG87" s="622" t="str">
        <f t="shared" si="91"/>
        <v/>
      </c>
      <c r="AH87" s="623" t="str">
        <f t="shared" si="92"/>
        <v/>
      </c>
      <c r="AI87" s="624" t="str">
        <f t="shared" si="93"/>
        <v/>
      </c>
      <c r="AJ87" s="625" t="str">
        <f t="shared" si="94"/>
        <v/>
      </c>
      <c r="AK87" s="4" t="str">
        <f t="shared" si="213"/>
        <v/>
      </c>
      <c r="AL87" s="5" t="str">
        <f t="shared" si="95"/>
        <v/>
      </c>
      <c r="AM87" s="6" t="str">
        <f t="shared" si="96"/>
        <v/>
      </c>
      <c r="AN87" s="612" t="str">
        <f t="shared" si="97"/>
        <v/>
      </c>
      <c r="AO87" s="613" t="str">
        <f t="shared" si="466"/>
        <v/>
      </c>
      <c r="AP87" s="624" t="str">
        <f t="shared" si="99"/>
        <v/>
      </c>
      <c r="AQ87" s="625" t="str">
        <f t="shared" si="476"/>
        <v/>
      </c>
      <c r="AS87" s="56" t="str">
        <f t="shared" si="550"/>
        <v/>
      </c>
      <c r="AT87" s="77" t="str">
        <f t="shared" si="477"/>
        <v/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 t="str">
        <f t="shared" si="522"/>
        <v/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</v>
      </c>
      <c r="B88" s="770"/>
      <c r="C88" s="771"/>
      <c r="D88" s="772"/>
      <c r="E88" s="773"/>
      <c r="F88" s="771"/>
      <c r="G88" s="774"/>
      <c r="H88" s="773"/>
      <c r="I88" s="771"/>
      <c r="J88" s="601"/>
      <c r="K88" s="426" t="str">
        <f t="shared" si="651"/>
        <v/>
      </c>
      <c r="L88" s="327"/>
      <c r="M88" s="173" t="str">
        <f t="shared" si="469"/>
        <v/>
      </c>
      <c r="N88" s="21" t="str">
        <f t="shared" si="470"/>
        <v/>
      </c>
      <c r="O88" s="5" t="str">
        <f t="shared" si="471"/>
        <v/>
      </c>
      <c r="P88" s="10" t="str">
        <f t="shared" si="472"/>
        <v/>
      </c>
      <c r="Q88" s="624" t="str">
        <f t="shared" si="528"/>
        <v/>
      </c>
      <c r="R88" s="5" t="str">
        <f t="shared" si="83"/>
        <v/>
      </c>
      <c r="S88" s="6" t="str">
        <f t="shared" si="84"/>
        <v/>
      </c>
      <c r="T88" s="4" t="str">
        <f t="shared" si="85"/>
        <v/>
      </c>
      <c r="U88" s="5" t="str">
        <f t="shared" si="86"/>
        <v/>
      </c>
      <c r="V88" s="8" t="str">
        <f t="shared" si="117"/>
        <v/>
      </c>
      <c r="W88" s="624" t="str">
        <f t="shared" si="652"/>
        <v/>
      </c>
      <c r="X88" s="5" t="str">
        <f t="shared" si="87"/>
        <v/>
      </c>
      <c r="Y88" s="7" t="str">
        <f t="shared" si="650"/>
        <v/>
      </c>
      <c r="Z88" s="21" t="str">
        <f t="shared" si="473"/>
        <v/>
      </c>
      <c r="AA88" s="5" t="str">
        <f t="shared" si="474"/>
        <v/>
      </c>
      <c r="AB88" s="5" t="str">
        <f t="shared" si="475"/>
        <v/>
      </c>
      <c r="AC88" s="8" t="str">
        <f t="shared" si="88"/>
        <v/>
      </c>
      <c r="AD88" s="9" t="str">
        <f t="shared" si="118"/>
        <v/>
      </c>
      <c r="AE88" s="5" t="str">
        <f t="shared" si="89"/>
        <v/>
      </c>
      <c r="AF88" s="10" t="str">
        <f t="shared" si="90"/>
        <v/>
      </c>
      <c r="AG88" s="622" t="str">
        <f t="shared" si="91"/>
        <v/>
      </c>
      <c r="AH88" s="623" t="str">
        <f t="shared" si="92"/>
        <v/>
      </c>
      <c r="AI88" s="624" t="str">
        <f t="shared" si="93"/>
        <v/>
      </c>
      <c r="AJ88" s="625" t="str">
        <f t="shared" si="94"/>
        <v/>
      </c>
      <c r="AK88" s="4" t="str">
        <f t="shared" si="213"/>
        <v/>
      </c>
      <c r="AL88" s="5" t="str">
        <f t="shared" si="95"/>
        <v/>
      </c>
      <c r="AM88" s="6" t="str">
        <f t="shared" si="96"/>
        <v/>
      </c>
      <c r="AN88" s="612" t="str">
        <f t="shared" si="97"/>
        <v/>
      </c>
      <c r="AO88" s="613" t="str">
        <f t="shared" si="466"/>
        <v/>
      </c>
      <c r="AP88" s="624" t="str">
        <f t="shared" si="99"/>
        <v/>
      </c>
      <c r="AQ88" s="625" t="str">
        <f t="shared" si="476"/>
        <v/>
      </c>
      <c r="AS88" s="56" t="str">
        <f t="shared" si="550"/>
        <v/>
      </c>
      <c r="AT88" s="77" t="str">
        <f t="shared" si="477"/>
        <v/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 t="str">
        <f t="shared" si="522"/>
        <v/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3"/>
        <v/>
      </c>
      <c r="IK88" s="839" t="str">
        <f t="shared" si="524"/>
        <v/>
      </c>
      <c r="IL88" s="791" t="str">
        <f t="shared" si="654"/>
        <v/>
      </c>
      <c r="IM88" s="830"/>
      <c r="IN88" s="5" t="str">
        <f t="shared" si="655"/>
        <v/>
      </c>
      <c r="IO88" s="852"/>
      <c r="IP88" s="9" t="str">
        <f t="shared" si="656"/>
        <v/>
      </c>
      <c r="IQ88" s="5" t="str">
        <f t="shared" si="657"/>
        <v/>
      </c>
      <c r="IR88" s="5" t="str">
        <f t="shared" si="525"/>
        <v/>
      </c>
      <c r="IS88" s="5" t="str">
        <f t="shared" si="658"/>
        <v/>
      </c>
      <c r="IT88" s="791" t="str">
        <f t="shared" si="659"/>
        <v/>
      </c>
      <c r="IU88" s="9" t="str">
        <f t="shared" si="660"/>
        <v/>
      </c>
      <c r="IV88" s="5" t="str">
        <f t="shared" si="661"/>
        <v/>
      </c>
      <c r="IW88" s="5" t="str">
        <f t="shared" si="526"/>
        <v/>
      </c>
      <c r="IX88" s="5" t="str">
        <f t="shared" si="662"/>
        <v/>
      </c>
      <c r="IY88" s="833" t="str">
        <f t="shared" si="663"/>
        <v/>
      </c>
    </row>
    <row r="89" spans="1:259" ht="15" customHeight="1" x14ac:dyDescent="0.25">
      <c r="A89" s="84">
        <f t="shared" si="527"/>
        <v>0</v>
      </c>
      <c r="B89" s="770"/>
      <c r="C89" s="771"/>
      <c r="D89" s="772"/>
      <c r="E89" s="773"/>
      <c r="F89" s="771"/>
      <c r="G89" s="774"/>
      <c r="H89" s="773"/>
      <c r="I89" s="771"/>
      <c r="J89" s="601"/>
      <c r="K89" s="426" t="str">
        <f t="shared" si="651"/>
        <v/>
      </c>
      <c r="L89" s="327"/>
      <c r="M89" s="173" t="str">
        <f t="shared" si="469"/>
        <v/>
      </c>
      <c r="N89" s="21" t="str">
        <f t="shared" si="470"/>
        <v/>
      </c>
      <c r="O89" s="5" t="str">
        <f t="shared" si="471"/>
        <v/>
      </c>
      <c r="P89" s="10" t="str">
        <f t="shared" si="472"/>
        <v/>
      </c>
      <c r="Q89" s="624" t="str">
        <f t="shared" si="528"/>
        <v/>
      </c>
      <c r="R89" s="5" t="str">
        <f t="shared" si="83"/>
        <v/>
      </c>
      <c r="S89" s="6" t="str">
        <f t="shared" si="84"/>
        <v/>
      </c>
      <c r="T89" s="4" t="str">
        <f t="shared" si="85"/>
        <v/>
      </c>
      <c r="U89" s="5" t="str">
        <f t="shared" si="86"/>
        <v/>
      </c>
      <c r="V89" s="8" t="str">
        <f t="shared" si="117"/>
        <v/>
      </c>
      <c r="W89" s="624" t="str">
        <f t="shared" si="652"/>
        <v/>
      </c>
      <c r="X89" s="5" t="str">
        <f t="shared" si="87"/>
        <v/>
      </c>
      <c r="Y89" s="7" t="str">
        <f t="shared" si="650"/>
        <v/>
      </c>
      <c r="Z89" s="21" t="str">
        <f t="shared" si="473"/>
        <v/>
      </c>
      <c r="AA89" s="5" t="str">
        <f t="shared" si="474"/>
        <v/>
      </c>
      <c r="AB89" s="5" t="str">
        <f t="shared" si="475"/>
        <v/>
      </c>
      <c r="AC89" s="8" t="str">
        <f t="shared" si="88"/>
        <v/>
      </c>
      <c r="AD89" s="9" t="str">
        <f t="shared" si="118"/>
        <v/>
      </c>
      <c r="AE89" s="5" t="str">
        <f t="shared" si="89"/>
        <v/>
      </c>
      <c r="AF89" s="10" t="str">
        <f t="shared" si="90"/>
        <v/>
      </c>
      <c r="AG89" s="622" t="str">
        <f t="shared" si="91"/>
        <v/>
      </c>
      <c r="AH89" s="623" t="str">
        <f t="shared" si="92"/>
        <v/>
      </c>
      <c r="AI89" s="624" t="str">
        <f t="shared" si="93"/>
        <v/>
      </c>
      <c r="AJ89" s="625" t="str">
        <f t="shared" si="94"/>
        <v/>
      </c>
      <c r="AK89" s="4" t="str">
        <f t="shared" si="213"/>
        <v/>
      </c>
      <c r="AL89" s="5" t="str">
        <f t="shared" si="95"/>
        <v/>
      </c>
      <c r="AM89" s="6" t="str">
        <f t="shared" si="96"/>
        <v/>
      </c>
      <c r="AN89" s="612" t="str">
        <f t="shared" si="97"/>
        <v/>
      </c>
      <c r="AO89" s="613" t="str">
        <f t="shared" si="466"/>
        <v/>
      </c>
      <c r="AP89" s="624" t="str">
        <f t="shared" si="99"/>
        <v/>
      </c>
      <c r="AQ89" s="625" t="str">
        <f t="shared" si="476"/>
        <v/>
      </c>
      <c r="AS89" s="56" t="str">
        <f t="shared" si="550"/>
        <v/>
      </c>
      <c r="AT89" s="77" t="str">
        <f t="shared" si="477"/>
        <v/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 t="str">
        <f t="shared" si="522"/>
        <v/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3"/>
        <v/>
      </c>
      <c r="IK89" s="839" t="str">
        <f t="shared" si="524"/>
        <v/>
      </c>
      <c r="IL89" s="791" t="str">
        <f t="shared" si="654"/>
        <v/>
      </c>
      <c r="IM89" s="830"/>
      <c r="IN89" s="5" t="str">
        <f t="shared" si="655"/>
        <v/>
      </c>
      <c r="IO89" s="852"/>
      <c r="IP89" s="9" t="str">
        <f t="shared" si="656"/>
        <v/>
      </c>
      <c r="IQ89" s="5" t="str">
        <f t="shared" si="657"/>
        <v/>
      </c>
      <c r="IR89" s="5" t="str">
        <f t="shared" si="525"/>
        <v/>
      </c>
      <c r="IS89" s="5" t="str">
        <f t="shared" si="658"/>
        <v/>
      </c>
      <c r="IT89" s="791" t="str">
        <f t="shared" si="659"/>
        <v/>
      </c>
      <c r="IU89" s="9" t="str">
        <f t="shared" si="660"/>
        <v/>
      </c>
      <c r="IV89" s="5" t="str">
        <f t="shared" si="661"/>
        <v/>
      </c>
      <c r="IW89" s="5" t="str">
        <f t="shared" si="526"/>
        <v/>
      </c>
      <c r="IX89" s="5" t="str">
        <f t="shared" si="662"/>
        <v/>
      </c>
      <c r="IY89" s="833" t="str">
        <f t="shared" si="663"/>
        <v/>
      </c>
    </row>
    <row r="90" spans="1:259" ht="15" customHeight="1" x14ac:dyDescent="0.25">
      <c r="A90" s="84">
        <f t="shared" si="527"/>
        <v>0</v>
      </c>
      <c r="B90" s="770"/>
      <c r="C90" s="771"/>
      <c r="D90" s="772"/>
      <c r="E90" s="773"/>
      <c r="F90" s="771"/>
      <c r="G90" s="774"/>
      <c r="H90" s="773"/>
      <c r="I90" s="771"/>
      <c r="J90" s="601"/>
      <c r="K90" s="426" t="str">
        <f t="shared" si="651"/>
        <v/>
      </c>
      <c r="L90" s="327"/>
      <c r="M90" s="173" t="str">
        <f t="shared" si="469"/>
        <v/>
      </c>
      <c r="N90" s="21" t="str">
        <f t="shared" si="470"/>
        <v/>
      </c>
      <c r="O90" s="5" t="str">
        <f t="shared" si="471"/>
        <v/>
      </c>
      <c r="P90" s="10" t="str">
        <f t="shared" si="472"/>
        <v/>
      </c>
      <c r="Q90" s="624" t="str">
        <f t="shared" si="528"/>
        <v/>
      </c>
      <c r="R90" s="5" t="str">
        <f t="shared" si="83"/>
        <v/>
      </c>
      <c r="S90" s="6" t="str">
        <f t="shared" si="84"/>
        <v/>
      </c>
      <c r="T90" s="4" t="str">
        <f t="shared" si="85"/>
        <v/>
      </c>
      <c r="U90" s="5" t="str">
        <f t="shared" si="86"/>
        <v/>
      </c>
      <c r="V90" s="8" t="str">
        <f t="shared" si="117"/>
        <v/>
      </c>
      <c r="W90" s="624" t="str">
        <f t="shared" si="652"/>
        <v/>
      </c>
      <c r="X90" s="5" t="str">
        <f t="shared" si="87"/>
        <v/>
      </c>
      <c r="Y90" s="7" t="str">
        <f t="shared" si="650"/>
        <v/>
      </c>
      <c r="Z90" s="21" t="str">
        <f t="shared" si="473"/>
        <v/>
      </c>
      <c r="AA90" s="5" t="str">
        <f t="shared" si="474"/>
        <v/>
      </c>
      <c r="AB90" s="5" t="str">
        <f t="shared" si="475"/>
        <v/>
      </c>
      <c r="AC90" s="8" t="str">
        <f t="shared" si="88"/>
        <v/>
      </c>
      <c r="AD90" s="9" t="str">
        <f t="shared" si="118"/>
        <v/>
      </c>
      <c r="AE90" s="5" t="str">
        <f t="shared" si="89"/>
        <v/>
      </c>
      <c r="AF90" s="10" t="str">
        <f t="shared" si="90"/>
        <v/>
      </c>
      <c r="AG90" s="622" t="str">
        <f t="shared" si="91"/>
        <v/>
      </c>
      <c r="AH90" s="623" t="str">
        <f t="shared" si="92"/>
        <v/>
      </c>
      <c r="AI90" s="624" t="str">
        <f t="shared" si="93"/>
        <v/>
      </c>
      <c r="AJ90" s="625" t="str">
        <f t="shared" si="94"/>
        <v/>
      </c>
      <c r="AK90" s="4" t="str">
        <f t="shared" si="213"/>
        <v/>
      </c>
      <c r="AL90" s="5" t="str">
        <f t="shared" si="95"/>
        <v/>
      </c>
      <c r="AM90" s="6" t="str">
        <f t="shared" si="96"/>
        <v/>
      </c>
      <c r="AN90" s="612" t="str">
        <f t="shared" si="97"/>
        <v/>
      </c>
      <c r="AO90" s="613" t="str">
        <f t="shared" si="466"/>
        <v/>
      </c>
      <c r="AP90" s="624" t="str">
        <f t="shared" si="99"/>
        <v/>
      </c>
      <c r="AQ90" s="625" t="str">
        <f t="shared" si="476"/>
        <v/>
      </c>
      <c r="AS90" s="56" t="str">
        <f t="shared" si="550"/>
        <v/>
      </c>
      <c r="AT90" s="77" t="str">
        <f t="shared" si="477"/>
        <v/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 t="str">
        <f t="shared" si="522"/>
        <v/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3"/>
        <v/>
      </c>
      <c r="IK90" s="839" t="str">
        <f t="shared" si="524"/>
        <v/>
      </c>
      <c r="IL90" s="791" t="str">
        <f t="shared" si="654"/>
        <v/>
      </c>
      <c r="IM90" s="830"/>
      <c r="IN90" s="5" t="str">
        <f t="shared" si="655"/>
        <v/>
      </c>
      <c r="IO90" s="852"/>
      <c r="IP90" s="9" t="str">
        <f t="shared" si="656"/>
        <v/>
      </c>
      <c r="IQ90" s="5" t="str">
        <f t="shared" si="657"/>
        <v/>
      </c>
      <c r="IR90" s="5" t="str">
        <f t="shared" si="525"/>
        <v/>
      </c>
      <c r="IS90" s="5" t="str">
        <f t="shared" si="658"/>
        <v/>
      </c>
      <c r="IT90" s="791" t="str">
        <f t="shared" si="659"/>
        <v/>
      </c>
      <c r="IU90" s="9" t="str">
        <f t="shared" si="660"/>
        <v/>
      </c>
      <c r="IV90" s="5" t="str">
        <f t="shared" si="661"/>
        <v/>
      </c>
      <c r="IW90" s="5" t="str">
        <f t="shared" si="526"/>
        <v/>
      </c>
      <c r="IX90" s="5" t="str">
        <f t="shared" si="662"/>
        <v/>
      </c>
      <c r="IY90" s="833" t="str">
        <f t="shared" si="663"/>
        <v/>
      </c>
    </row>
    <row r="91" spans="1:259" ht="15" customHeight="1" x14ac:dyDescent="0.25">
      <c r="A91" s="84">
        <f t="shared" si="527"/>
        <v>0</v>
      </c>
      <c r="B91" s="770"/>
      <c r="C91" s="771"/>
      <c r="D91" s="772"/>
      <c r="E91" s="773"/>
      <c r="F91" s="771"/>
      <c r="G91" s="774"/>
      <c r="H91" s="773"/>
      <c r="I91" s="771"/>
      <c r="J91" s="601"/>
      <c r="K91" s="426" t="str">
        <f t="shared" si="651"/>
        <v/>
      </c>
      <c r="L91" s="327"/>
      <c r="M91" s="173" t="str">
        <f t="shared" si="469"/>
        <v/>
      </c>
      <c r="N91" s="21" t="str">
        <f t="shared" si="470"/>
        <v/>
      </c>
      <c r="O91" s="5" t="str">
        <f t="shared" si="471"/>
        <v/>
      </c>
      <c r="P91" s="10" t="str">
        <f t="shared" si="472"/>
        <v/>
      </c>
      <c r="Q91" s="624" t="str">
        <f t="shared" si="528"/>
        <v/>
      </c>
      <c r="R91" s="5" t="str">
        <f t="shared" si="83"/>
        <v/>
      </c>
      <c r="S91" s="6" t="str">
        <f t="shared" si="84"/>
        <v/>
      </c>
      <c r="T91" s="4" t="str">
        <f t="shared" si="85"/>
        <v/>
      </c>
      <c r="U91" s="5" t="str">
        <f t="shared" si="86"/>
        <v/>
      </c>
      <c r="V91" s="8" t="str">
        <f t="shared" si="117"/>
        <v/>
      </c>
      <c r="W91" s="624" t="str">
        <f t="shared" si="652"/>
        <v/>
      </c>
      <c r="X91" s="5" t="str">
        <f t="shared" si="87"/>
        <v/>
      </c>
      <c r="Y91" s="7" t="str">
        <f t="shared" si="650"/>
        <v/>
      </c>
      <c r="Z91" s="21" t="str">
        <f t="shared" si="473"/>
        <v/>
      </c>
      <c r="AA91" s="5" t="str">
        <f t="shared" si="474"/>
        <v/>
      </c>
      <c r="AB91" s="5" t="str">
        <f t="shared" si="475"/>
        <v/>
      </c>
      <c r="AC91" s="8" t="str">
        <f t="shared" si="88"/>
        <v/>
      </c>
      <c r="AD91" s="9" t="str">
        <f t="shared" si="118"/>
        <v/>
      </c>
      <c r="AE91" s="5" t="str">
        <f t="shared" si="89"/>
        <v/>
      </c>
      <c r="AF91" s="10" t="str">
        <f t="shared" si="90"/>
        <v/>
      </c>
      <c r="AG91" s="622" t="str">
        <f t="shared" si="91"/>
        <v/>
      </c>
      <c r="AH91" s="623" t="str">
        <f t="shared" si="92"/>
        <v/>
      </c>
      <c r="AI91" s="624" t="str">
        <f t="shared" si="93"/>
        <v/>
      </c>
      <c r="AJ91" s="625" t="str">
        <f t="shared" si="94"/>
        <v/>
      </c>
      <c r="AK91" s="4" t="str">
        <f t="shared" si="213"/>
        <v/>
      </c>
      <c r="AL91" s="5" t="str">
        <f t="shared" si="95"/>
        <v/>
      </c>
      <c r="AM91" s="6" t="str">
        <f t="shared" si="96"/>
        <v/>
      </c>
      <c r="AN91" s="612" t="str">
        <f t="shared" si="97"/>
        <v/>
      </c>
      <c r="AO91" s="613" t="str">
        <f t="shared" si="466"/>
        <v/>
      </c>
      <c r="AP91" s="624" t="str">
        <f t="shared" si="99"/>
        <v/>
      </c>
      <c r="AQ91" s="625" t="str">
        <f t="shared" si="476"/>
        <v/>
      </c>
      <c r="AS91" s="56" t="str">
        <f t="shared" si="550"/>
        <v/>
      </c>
      <c r="AT91" s="77" t="str">
        <f t="shared" si="477"/>
        <v/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 t="str">
        <f t="shared" si="522"/>
        <v/>
      </c>
      <c r="IH91" s="797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800" t="str" cm="1">
        <f t="array" ref="II91">IFERROR(IF($IH91&lt;1,$IH91+LARGE((IF($M$9:$M$150="",0,$M$9:$M$150)-MOD(IF($M$9:$M$150="",0,$M$9:$M$150),1)),1),$IH91),"")</f>
        <v/>
      </c>
      <c r="IJ91" s="839" t="str">
        <f t="shared" si="523"/>
        <v/>
      </c>
      <c r="IK91" s="839" t="str">
        <f t="shared" si="524"/>
        <v/>
      </c>
      <c r="IL91" s="791" t="str">
        <f t="shared" si="654"/>
        <v/>
      </c>
      <c r="IM91" s="830"/>
      <c r="IN91" s="5" t="str">
        <f t="shared" si="655"/>
        <v/>
      </c>
      <c r="IO91" s="852"/>
      <c r="IP91" s="9" t="str">
        <f t="shared" si="656"/>
        <v/>
      </c>
      <c r="IQ91" s="5" t="str">
        <f t="shared" si="657"/>
        <v/>
      </c>
      <c r="IR91" s="5" t="str">
        <f t="shared" si="525"/>
        <v/>
      </c>
      <c r="IS91" s="5" t="str">
        <f t="shared" si="658"/>
        <v/>
      </c>
      <c r="IT91" s="791" t="str">
        <f t="shared" si="659"/>
        <v/>
      </c>
      <c r="IU91" s="9" t="str">
        <f t="shared" si="660"/>
        <v/>
      </c>
      <c r="IV91" s="5" t="str">
        <f t="shared" si="661"/>
        <v/>
      </c>
      <c r="IW91" s="5" t="str">
        <f t="shared" si="526"/>
        <v/>
      </c>
      <c r="IX91" s="5" t="str">
        <f t="shared" si="662"/>
        <v/>
      </c>
      <c r="IY91" s="833" t="str">
        <f t="shared" si="663"/>
        <v/>
      </c>
    </row>
    <row r="92" spans="1:259" ht="15" customHeight="1" x14ac:dyDescent="0.25">
      <c r="A92" s="84">
        <f t="shared" si="527"/>
        <v>0</v>
      </c>
      <c r="B92" s="770"/>
      <c r="C92" s="771"/>
      <c r="D92" s="772"/>
      <c r="E92" s="773"/>
      <c r="F92" s="771"/>
      <c r="G92" s="774"/>
      <c r="H92" s="773"/>
      <c r="I92" s="771"/>
      <c r="J92" s="601"/>
      <c r="K92" s="426" t="str">
        <f t="shared" si="651"/>
        <v/>
      </c>
      <c r="L92" s="327"/>
      <c r="M92" s="173" t="str">
        <f t="shared" si="469"/>
        <v/>
      </c>
      <c r="N92" s="21" t="str">
        <f t="shared" si="470"/>
        <v/>
      </c>
      <c r="O92" s="5" t="str">
        <f t="shared" si="471"/>
        <v/>
      </c>
      <c r="P92" s="10" t="str">
        <f t="shared" si="472"/>
        <v/>
      </c>
      <c r="Q92" s="624" t="str">
        <f t="shared" si="528"/>
        <v/>
      </c>
      <c r="R92" s="5" t="str">
        <f t="shared" si="83"/>
        <v/>
      </c>
      <c r="S92" s="6" t="str">
        <f t="shared" si="84"/>
        <v/>
      </c>
      <c r="T92" s="4" t="str">
        <f t="shared" si="85"/>
        <v/>
      </c>
      <c r="U92" s="5" t="str">
        <f t="shared" si="86"/>
        <v/>
      </c>
      <c r="V92" s="8" t="str">
        <f t="shared" si="117"/>
        <v/>
      </c>
      <c r="W92" s="624" t="str">
        <f t="shared" si="652"/>
        <v/>
      </c>
      <c r="X92" s="5" t="str">
        <f t="shared" si="87"/>
        <v/>
      </c>
      <c r="Y92" s="7" t="str">
        <f t="shared" si="650"/>
        <v/>
      </c>
      <c r="Z92" s="21" t="str">
        <f t="shared" si="473"/>
        <v/>
      </c>
      <c r="AA92" s="5" t="str">
        <f t="shared" si="474"/>
        <v/>
      </c>
      <c r="AB92" s="5" t="str">
        <f t="shared" si="475"/>
        <v/>
      </c>
      <c r="AC92" s="8" t="str">
        <f t="shared" si="88"/>
        <v/>
      </c>
      <c r="AD92" s="9" t="str">
        <f t="shared" si="118"/>
        <v/>
      </c>
      <c r="AE92" s="5" t="str">
        <f t="shared" si="89"/>
        <v/>
      </c>
      <c r="AF92" s="10" t="str">
        <f t="shared" si="90"/>
        <v/>
      </c>
      <c r="AG92" s="622" t="str">
        <f t="shared" si="91"/>
        <v/>
      </c>
      <c r="AH92" s="623" t="str">
        <f t="shared" si="92"/>
        <v/>
      </c>
      <c r="AI92" s="624" t="str">
        <f t="shared" si="93"/>
        <v/>
      </c>
      <c r="AJ92" s="625" t="str">
        <f t="shared" si="94"/>
        <v/>
      </c>
      <c r="AK92" s="4" t="str">
        <f t="shared" si="213"/>
        <v/>
      </c>
      <c r="AL92" s="5" t="str">
        <f t="shared" si="95"/>
        <v/>
      </c>
      <c r="AM92" s="6" t="str">
        <f t="shared" si="96"/>
        <v/>
      </c>
      <c r="AN92" s="612" t="str">
        <f t="shared" si="97"/>
        <v/>
      </c>
      <c r="AO92" s="613" t="str">
        <f t="shared" si="466"/>
        <v/>
      </c>
      <c r="AP92" s="624" t="str">
        <f t="shared" si="99"/>
        <v/>
      </c>
      <c r="AQ92" s="625" t="str">
        <f t="shared" si="476"/>
        <v/>
      </c>
      <c r="AS92" s="56" t="str">
        <f t="shared" si="550"/>
        <v/>
      </c>
      <c r="AT92" s="78" t="str">
        <f t="shared" si="477"/>
        <v/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 t="str">
        <f t="shared" si="522"/>
        <v/>
      </c>
      <c r="IH92" s="797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800" t="str" cm="1">
        <f t="array" ref="II92">IFERROR(IF($IH92&lt;1,$IH92+LARGE((IF($M$9:$M$150="",0,$M$9:$M$150)-MOD(IF($M$9:$M$150="",0,$M$9:$M$150),1)),1),$IH92),"")</f>
        <v/>
      </c>
      <c r="IJ92" s="839" t="str">
        <f t="shared" si="523"/>
        <v/>
      </c>
      <c r="IK92" s="839" t="str">
        <f t="shared" si="524"/>
        <v/>
      </c>
      <c r="IL92" s="791" t="str">
        <f t="shared" si="654"/>
        <v/>
      </c>
      <c r="IM92" s="830"/>
      <c r="IN92" s="5" t="str">
        <f t="shared" si="655"/>
        <v/>
      </c>
      <c r="IO92" s="852"/>
      <c r="IP92" s="9" t="str">
        <f t="shared" si="656"/>
        <v/>
      </c>
      <c r="IQ92" s="5" t="str">
        <f t="shared" si="657"/>
        <v/>
      </c>
      <c r="IR92" s="5" t="str">
        <f t="shared" si="525"/>
        <v/>
      </c>
      <c r="IS92" s="5" t="str">
        <f t="shared" si="658"/>
        <v/>
      </c>
      <c r="IT92" s="791" t="str">
        <f t="shared" si="659"/>
        <v/>
      </c>
      <c r="IU92" s="9" t="str">
        <f t="shared" si="660"/>
        <v/>
      </c>
      <c r="IV92" s="5" t="str">
        <f t="shared" si="661"/>
        <v/>
      </c>
      <c r="IW92" s="5" t="str">
        <f t="shared" si="526"/>
        <v/>
      </c>
      <c r="IX92" s="5" t="str">
        <f t="shared" si="662"/>
        <v/>
      </c>
      <c r="IY92" s="833" t="str">
        <f t="shared" si="663"/>
        <v/>
      </c>
    </row>
    <row r="93" spans="1:259" ht="15" customHeight="1" x14ac:dyDescent="0.25">
      <c r="A93" s="84">
        <f t="shared" si="527"/>
        <v>0</v>
      </c>
      <c r="B93" s="770"/>
      <c r="C93" s="771"/>
      <c r="D93" s="772"/>
      <c r="E93" s="773"/>
      <c r="F93" s="771"/>
      <c r="G93" s="774"/>
      <c r="H93" s="773"/>
      <c r="I93" s="771"/>
      <c r="J93" s="601"/>
      <c r="K93" s="426" t="str">
        <f t="shared" si="651"/>
        <v/>
      </c>
      <c r="L93" s="327"/>
      <c r="M93" s="173" t="str">
        <f t="shared" si="469"/>
        <v/>
      </c>
      <c r="N93" s="21" t="str">
        <f t="shared" si="470"/>
        <v/>
      </c>
      <c r="O93" s="5" t="str">
        <f t="shared" si="471"/>
        <v/>
      </c>
      <c r="P93" s="10" t="str">
        <f t="shared" si="472"/>
        <v/>
      </c>
      <c r="Q93" s="624" t="str">
        <f t="shared" si="528"/>
        <v/>
      </c>
      <c r="R93" s="5" t="str">
        <f t="shared" si="83"/>
        <v/>
      </c>
      <c r="S93" s="6" t="str">
        <f t="shared" si="84"/>
        <v/>
      </c>
      <c r="T93" s="4" t="str">
        <f t="shared" si="85"/>
        <v/>
      </c>
      <c r="U93" s="5" t="str">
        <f t="shared" si="86"/>
        <v/>
      </c>
      <c r="V93" s="8" t="str">
        <f t="shared" si="117"/>
        <v/>
      </c>
      <c r="W93" s="624" t="str">
        <f t="shared" si="652"/>
        <v/>
      </c>
      <c r="X93" s="5" t="str">
        <f t="shared" si="87"/>
        <v/>
      </c>
      <c r="Y93" s="7" t="str">
        <f t="shared" si="650"/>
        <v/>
      </c>
      <c r="Z93" s="21" t="str">
        <f t="shared" si="473"/>
        <v/>
      </c>
      <c r="AA93" s="5" t="str">
        <f t="shared" si="474"/>
        <v/>
      </c>
      <c r="AB93" s="5" t="str">
        <f t="shared" si="475"/>
        <v/>
      </c>
      <c r="AC93" s="8" t="str">
        <f t="shared" si="88"/>
        <v/>
      </c>
      <c r="AD93" s="9" t="str">
        <f t="shared" si="118"/>
        <v/>
      </c>
      <c r="AE93" s="5" t="str">
        <f t="shared" si="89"/>
        <v/>
      </c>
      <c r="AF93" s="10" t="str">
        <f t="shared" si="90"/>
        <v/>
      </c>
      <c r="AG93" s="622" t="str">
        <f t="shared" si="91"/>
        <v/>
      </c>
      <c r="AH93" s="623" t="str">
        <f t="shared" si="92"/>
        <v/>
      </c>
      <c r="AI93" s="624" t="str">
        <f t="shared" si="93"/>
        <v/>
      </c>
      <c r="AJ93" s="625" t="str">
        <f t="shared" si="94"/>
        <v/>
      </c>
      <c r="AK93" s="4" t="str">
        <f t="shared" si="213"/>
        <v/>
      </c>
      <c r="AL93" s="5" t="str">
        <f t="shared" si="95"/>
        <v/>
      </c>
      <c r="AM93" s="6" t="str">
        <f t="shared" si="96"/>
        <v/>
      </c>
      <c r="AN93" s="612" t="str">
        <f t="shared" si="97"/>
        <v/>
      </c>
      <c r="AO93" s="613" t="str">
        <f t="shared" si="466"/>
        <v/>
      </c>
      <c r="AP93" s="624" t="str">
        <f t="shared" si="99"/>
        <v/>
      </c>
      <c r="AQ93" s="625" t="str">
        <f t="shared" si="476"/>
        <v/>
      </c>
      <c r="AS93" s="56" t="str">
        <f t="shared" si="550"/>
        <v/>
      </c>
      <c r="AT93" s="78" t="str">
        <f t="shared" si="477"/>
        <v/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 t="str">
        <f t="shared" si="522"/>
        <v/>
      </c>
      <c r="IH93" s="797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800" t="str" cm="1">
        <f t="array" ref="II93">IFERROR(IF($IH93&lt;1,$IH93+LARGE((IF($M$9:$M$150="",0,$M$9:$M$150)-MOD(IF($M$9:$M$150="",0,$M$9:$M$150),1)),1),$IH93),"")</f>
        <v/>
      </c>
      <c r="IJ93" s="839" t="str">
        <f t="shared" si="523"/>
        <v/>
      </c>
      <c r="IK93" s="839" t="str">
        <f t="shared" si="524"/>
        <v/>
      </c>
      <c r="IL93" s="791" t="str">
        <f t="shared" si="654"/>
        <v/>
      </c>
      <c r="IM93" s="830"/>
      <c r="IN93" s="5" t="str">
        <f t="shared" si="655"/>
        <v/>
      </c>
      <c r="IO93" s="852"/>
      <c r="IP93" s="9" t="str">
        <f t="shared" si="656"/>
        <v/>
      </c>
      <c r="IQ93" s="5" t="str">
        <f t="shared" si="657"/>
        <v/>
      </c>
      <c r="IR93" s="5" t="str">
        <f t="shared" si="525"/>
        <v/>
      </c>
      <c r="IS93" s="5" t="str">
        <f t="shared" si="658"/>
        <v/>
      </c>
      <c r="IT93" s="791" t="str">
        <f t="shared" si="659"/>
        <v/>
      </c>
      <c r="IU93" s="9" t="str">
        <f t="shared" si="660"/>
        <v/>
      </c>
      <c r="IV93" s="5" t="str">
        <f t="shared" si="661"/>
        <v/>
      </c>
      <c r="IW93" s="5" t="str">
        <f t="shared" si="526"/>
        <v/>
      </c>
      <c r="IX93" s="5" t="str">
        <f t="shared" si="662"/>
        <v/>
      </c>
      <c r="IY93" s="833" t="str">
        <f t="shared" si="663"/>
        <v/>
      </c>
    </row>
    <row r="94" spans="1:259" ht="15" customHeight="1" x14ac:dyDescent="0.25">
      <c r="A94" s="84">
        <f t="shared" si="527"/>
        <v>0</v>
      </c>
      <c r="B94" s="770"/>
      <c r="C94" s="771"/>
      <c r="D94" s="772"/>
      <c r="E94" s="773"/>
      <c r="F94" s="771"/>
      <c r="G94" s="774"/>
      <c r="H94" s="773"/>
      <c r="I94" s="771"/>
      <c r="J94" s="601"/>
      <c r="K94" s="426" t="str">
        <f t="shared" si="651"/>
        <v/>
      </c>
      <c r="L94" s="327"/>
      <c r="M94" s="173" t="str">
        <f t="shared" si="469"/>
        <v/>
      </c>
      <c r="N94" s="21" t="str">
        <f t="shared" si="470"/>
        <v/>
      </c>
      <c r="O94" s="5" t="str">
        <f t="shared" si="471"/>
        <v/>
      </c>
      <c r="P94" s="10" t="str">
        <f t="shared" si="472"/>
        <v/>
      </c>
      <c r="Q94" s="624" t="str">
        <f t="shared" si="528"/>
        <v/>
      </c>
      <c r="R94" s="5" t="str">
        <f t="shared" si="83"/>
        <v/>
      </c>
      <c r="S94" s="6" t="str">
        <f t="shared" si="84"/>
        <v/>
      </c>
      <c r="T94" s="4" t="str">
        <f t="shared" si="85"/>
        <v/>
      </c>
      <c r="U94" s="5" t="str">
        <f t="shared" si="86"/>
        <v/>
      </c>
      <c r="V94" s="8" t="str">
        <f t="shared" si="117"/>
        <v/>
      </c>
      <c r="W94" s="624" t="str">
        <f t="shared" si="652"/>
        <v/>
      </c>
      <c r="X94" s="5" t="str">
        <f t="shared" si="87"/>
        <v/>
      </c>
      <c r="Y94" s="7" t="str">
        <f t="shared" si="650"/>
        <v/>
      </c>
      <c r="Z94" s="21" t="str">
        <f t="shared" si="473"/>
        <v/>
      </c>
      <c r="AA94" s="5" t="str">
        <f t="shared" si="474"/>
        <v/>
      </c>
      <c r="AB94" s="5" t="str">
        <f t="shared" si="475"/>
        <v/>
      </c>
      <c r="AC94" s="8" t="str">
        <f t="shared" si="88"/>
        <v/>
      </c>
      <c r="AD94" s="9" t="str">
        <f t="shared" si="118"/>
        <v/>
      </c>
      <c r="AE94" s="5" t="str">
        <f t="shared" si="89"/>
        <v/>
      </c>
      <c r="AF94" s="10" t="str">
        <f t="shared" si="90"/>
        <v/>
      </c>
      <c r="AG94" s="622" t="str">
        <f t="shared" si="91"/>
        <v/>
      </c>
      <c r="AH94" s="623" t="str">
        <f t="shared" si="92"/>
        <v/>
      </c>
      <c r="AI94" s="624" t="str">
        <f t="shared" si="93"/>
        <v/>
      </c>
      <c r="AJ94" s="625" t="str">
        <f t="shared" si="94"/>
        <v/>
      </c>
      <c r="AK94" s="4" t="str">
        <f t="shared" si="213"/>
        <v/>
      </c>
      <c r="AL94" s="5" t="str">
        <f t="shared" si="95"/>
        <v/>
      </c>
      <c r="AM94" s="6" t="str">
        <f t="shared" si="96"/>
        <v/>
      </c>
      <c r="AN94" s="612" t="str">
        <f t="shared" si="97"/>
        <v/>
      </c>
      <c r="AO94" s="613" t="str">
        <f t="shared" si="466"/>
        <v/>
      </c>
      <c r="AP94" s="624" t="str">
        <f t="shared" si="99"/>
        <v/>
      </c>
      <c r="AQ94" s="625" t="str">
        <f t="shared" si="476"/>
        <v/>
      </c>
      <c r="AS94" s="56" t="str">
        <f t="shared" si="550"/>
        <v/>
      </c>
      <c r="AT94" s="78" t="str">
        <f t="shared" si="477"/>
        <v/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 t="str">
        <f>IFERROR(IF((((($IW94*COS(RADIANS(180-$IY94)))*COS(RADIANS($IY94)))-(($IX94*SIN(RADIANS(180-$IY94)))*SIN(RADIANS($IY94))))+$IU94)&lt;(((Settings!$C$19/2)*-1)+$IF$8),1,""),"")</f>
        <v/>
      </c>
      <c r="IG94" s="836" t="str">
        <f t="shared" si="522"/>
        <v/>
      </c>
      <c r="IH94" s="797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800" t="str" cm="1">
        <f t="array" ref="II94">IFERROR(IF($IH94&lt;1,$IH94+LARGE((IF($M$9:$M$150="",0,$M$9:$M$150)-MOD(IF($M$9:$M$150="",0,$M$9:$M$150),1)),1),$IH94),"")</f>
        <v/>
      </c>
      <c r="IJ94" s="839" t="str">
        <f t="shared" si="523"/>
        <v/>
      </c>
      <c r="IK94" s="839" t="str">
        <f t="shared" si="524"/>
        <v/>
      </c>
      <c r="IL94" s="791" t="str">
        <f t="shared" si="654"/>
        <v/>
      </c>
      <c r="IM94" s="830"/>
      <c r="IN94" s="5" t="str">
        <f t="shared" si="655"/>
        <v/>
      </c>
      <c r="IO94" s="852"/>
      <c r="IP94" s="9" t="str">
        <f t="shared" si="656"/>
        <v/>
      </c>
      <c r="IQ94" s="5" t="str">
        <f t="shared" si="657"/>
        <v/>
      </c>
      <c r="IR94" s="5" t="str">
        <f t="shared" si="525"/>
        <v/>
      </c>
      <c r="IS94" s="5" t="str">
        <f t="shared" si="658"/>
        <v/>
      </c>
      <c r="IT94" s="791" t="str">
        <f t="shared" si="659"/>
        <v/>
      </c>
      <c r="IU94" s="9" t="str">
        <f t="shared" si="660"/>
        <v/>
      </c>
      <c r="IV94" s="5" t="str">
        <f t="shared" si="661"/>
        <v/>
      </c>
      <c r="IW94" s="5" t="str">
        <f t="shared" si="526"/>
        <v/>
      </c>
      <c r="IX94" s="5" t="str">
        <f t="shared" si="662"/>
        <v/>
      </c>
      <c r="IY94" s="833" t="str">
        <f t="shared" si="663"/>
        <v/>
      </c>
    </row>
    <row r="95" spans="1:259" ht="15" customHeight="1" x14ac:dyDescent="0.25">
      <c r="A95" s="84">
        <f t="shared" si="527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51"/>
        <v/>
      </c>
      <c r="L95" s="327"/>
      <c r="M95" s="173" t="str">
        <f t="shared" si="469"/>
        <v/>
      </c>
      <c r="N95" s="21" t="str">
        <f t="shared" si="470"/>
        <v/>
      </c>
      <c r="O95" s="5" t="str">
        <f t="shared" si="471"/>
        <v/>
      </c>
      <c r="P95" s="10" t="str">
        <f t="shared" si="472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2"/>
        <v/>
      </c>
      <c r="X95" s="5" t="str">
        <f t="shared" si="87"/>
        <v/>
      </c>
      <c r="Y95" s="7" t="str">
        <f t="shared" si="650"/>
        <v/>
      </c>
      <c r="Z95" s="21" t="str">
        <f t="shared" si="473"/>
        <v/>
      </c>
      <c r="AA95" s="5" t="str">
        <f t="shared" si="474"/>
        <v/>
      </c>
      <c r="AB95" s="5" t="str">
        <f t="shared" si="475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6"/>
        <v/>
      </c>
      <c r="AP95" s="624" t="str">
        <f t="shared" si="99"/>
        <v/>
      </c>
      <c r="AQ95" s="625" t="str">
        <f t="shared" si="476"/>
        <v/>
      </c>
      <c r="AS95" s="56" t="str">
        <f t="shared" si="550"/>
        <v/>
      </c>
      <c r="AT95" s="78" t="str">
        <f t="shared" si="477"/>
        <v/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2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51"/>
        <v/>
      </c>
      <c r="L96" s="327"/>
      <c r="M96" s="173" t="str">
        <f t="shared" si="469"/>
        <v/>
      </c>
      <c r="N96" s="21" t="str">
        <f t="shared" si="470"/>
        <v/>
      </c>
      <c r="O96" s="5" t="str">
        <f t="shared" si="471"/>
        <v/>
      </c>
      <c r="P96" s="10" t="str">
        <f t="shared" si="472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2"/>
        <v/>
      </c>
      <c r="X96" s="5" t="str">
        <f t="shared" si="87"/>
        <v/>
      </c>
      <c r="Y96" s="7" t="str">
        <f t="shared" si="650"/>
        <v/>
      </c>
      <c r="Z96" s="21" t="str">
        <f t="shared" si="473"/>
        <v/>
      </c>
      <c r="AA96" s="5" t="str">
        <f t="shared" si="474"/>
        <v/>
      </c>
      <c r="AB96" s="5" t="str">
        <f t="shared" si="475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6"/>
        <v/>
      </c>
      <c r="AP96" s="624" t="str">
        <f t="shared" si="99"/>
        <v/>
      </c>
      <c r="AQ96" s="625" t="str">
        <f t="shared" si="476"/>
        <v/>
      </c>
      <c r="AS96" s="56" t="str">
        <f t="shared" si="550"/>
        <v/>
      </c>
      <c r="AT96" s="78" t="str">
        <f t="shared" si="477"/>
        <v/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2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51"/>
        <v/>
      </c>
      <c r="L97" s="327"/>
      <c r="M97" s="173" t="str">
        <f t="shared" si="469"/>
        <v/>
      </c>
      <c r="N97" s="21" t="str">
        <f t="shared" si="470"/>
        <v/>
      </c>
      <c r="O97" s="5" t="str">
        <f t="shared" si="471"/>
        <v/>
      </c>
      <c r="P97" s="10" t="str">
        <f t="shared" si="472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2"/>
        <v/>
      </c>
      <c r="X97" s="5" t="str">
        <f t="shared" si="87"/>
        <v/>
      </c>
      <c r="Y97" s="7" t="str">
        <f t="shared" si="650"/>
        <v/>
      </c>
      <c r="Z97" s="21" t="str">
        <f t="shared" si="473"/>
        <v/>
      </c>
      <c r="AA97" s="5" t="str">
        <f t="shared" si="474"/>
        <v/>
      </c>
      <c r="AB97" s="5" t="str">
        <f t="shared" si="475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6"/>
        <v/>
      </c>
      <c r="AP97" s="624" t="str">
        <f t="shared" si="99"/>
        <v/>
      </c>
      <c r="AQ97" s="625" t="str">
        <f t="shared" si="476"/>
        <v/>
      </c>
      <c r="AS97" s="56" t="str">
        <f t="shared" si="550"/>
        <v/>
      </c>
      <c r="AT97" s="78" t="str">
        <f t="shared" si="477"/>
        <v/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2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51"/>
        <v/>
      </c>
      <c r="L98" s="327"/>
      <c r="M98" s="173" t="str">
        <f t="shared" si="469"/>
        <v/>
      </c>
      <c r="N98" s="21" t="str">
        <f t="shared" si="470"/>
        <v/>
      </c>
      <c r="O98" s="5" t="str">
        <f t="shared" si="471"/>
        <v/>
      </c>
      <c r="P98" s="10" t="str">
        <f t="shared" si="472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2"/>
        <v/>
      </c>
      <c r="X98" s="5" t="str">
        <f t="shared" si="87"/>
        <v/>
      </c>
      <c r="Y98" s="7" t="str">
        <f t="shared" si="650"/>
        <v/>
      </c>
      <c r="Z98" s="21" t="str">
        <f t="shared" si="473"/>
        <v/>
      </c>
      <c r="AA98" s="5" t="str">
        <f t="shared" si="474"/>
        <v/>
      </c>
      <c r="AB98" s="5" t="str">
        <f t="shared" si="475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6"/>
        <v/>
      </c>
      <c r="AP98" s="624" t="str">
        <f t="shared" si="99"/>
        <v/>
      </c>
      <c r="AQ98" s="625" t="str">
        <f t="shared" si="476"/>
        <v/>
      </c>
      <c r="AS98" s="56" t="str">
        <f t="shared" si="550"/>
        <v/>
      </c>
      <c r="AT98" s="78" t="str">
        <f t="shared" si="477"/>
        <v/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2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51"/>
        <v/>
      </c>
      <c r="L99" s="327"/>
      <c r="M99" s="173" t="str">
        <f t="shared" si="469"/>
        <v/>
      </c>
      <c r="N99" s="21" t="str">
        <f t="shared" si="470"/>
        <v/>
      </c>
      <c r="O99" s="5" t="str">
        <f t="shared" si="471"/>
        <v/>
      </c>
      <c r="P99" s="10" t="str">
        <f t="shared" si="472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2"/>
        <v/>
      </c>
      <c r="X99" s="5" t="str">
        <f t="shared" si="87"/>
        <v/>
      </c>
      <c r="Y99" s="7" t="str">
        <f t="shared" si="650"/>
        <v/>
      </c>
      <c r="Z99" s="21" t="str">
        <f t="shared" si="473"/>
        <v/>
      </c>
      <c r="AA99" s="5" t="str">
        <f t="shared" si="474"/>
        <v/>
      </c>
      <c r="AB99" s="5" t="str">
        <f t="shared" si="475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6"/>
        <v/>
      </c>
      <c r="AP99" s="624" t="str">
        <f t="shared" si="99"/>
        <v/>
      </c>
      <c r="AQ99" s="625" t="str">
        <f t="shared" si="476"/>
        <v/>
      </c>
      <c r="AS99" s="56" t="str">
        <f t="shared" si="550"/>
        <v/>
      </c>
      <c r="AT99" s="78" t="str">
        <f t="shared" si="477"/>
        <v/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2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51"/>
        <v/>
      </c>
      <c r="L100" s="327"/>
      <c r="M100" s="173" t="str">
        <f t="shared" si="469"/>
        <v/>
      </c>
      <c r="N100" s="21" t="str">
        <f t="shared" si="470"/>
        <v/>
      </c>
      <c r="O100" s="5" t="str">
        <f t="shared" si="471"/>
        <v/>
      </c>
      <c r="P100" s="10" t="str">
        <f t="shared" si="472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2"/>
        <v/>
      </c>
      <c r="X100" s="5" t="str">
        <f t="shared" si="87"/>
        <v/>
      </c>
      <c r="Y100" s="7" t="str">
        <f t="shared" si="650"/>
        <v/>
      </c>
      <c r="Z100" s="21" t="str">
        <f t="shared" si="473"/>
        <v/>
      </c>
      <c r="AA100" s="5" t="str">
        <f t="shared" si="474"/>
        <v/>
      </c>
      <c r="AB100" s="5" t="str">
        <f t="shared" si="475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6"/>
        <v/>
      </c>
      <c r="AP100" s="624" t="str">
        <f t="shared" si="99"/>
        <v/>
      </c>
      <c r="AQ100" s="625" t="str">
        <f t="shared" si="476"/>
        <v/>
      </c>
      <c r="AS100" s="56" t="str">
        <f t="shared" si="550"/>
        <v/>
      </c>
      <c r="AT100" s="78" t="str">
        <f t="shared" si="477"/>
        <v/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2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51"/>
        <v/>
      </c>
      <c r="L101" s="327"/>
      <c r="M101" s="173" t="str">
        <f t="shared" si="469"/>
        <v/>
      </c>
      <c r="N101" s="21" t="str">
        <f t="shared" si="470"/>
        <v/>
      </c>
      <c r="O101" s="5" t="str">
        <f t="shared" si="471"/>
        <v/>
      </c>
      <c r="P101" s="10" t="str">
        <f t="shared" si="472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2"/>
        <v/>
      </c>
      <c r="X101" s="5" t="str">
        <f t="shared" si="87"/>
        <v/>
      </c>
      <c r="Y101" s="7" t="str">
        <f t="shared" si="650"/>
        <v/>
      </c>
      <c r="Z101" s="21" t="str">
        <f t="shared" si="473"/>
        <v/>
      </c>
      <c r="AA101" s="5" t="str">
        <f t="shared" si="474"/>
        <v/>
      </c>
      <c r="AB101" s="5" t="str">
        <f t="shared" si="475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6"/>
        <v/>
      </c>
      <c r="AP101" s="624" t="str">
        <f t="shared" si="99"/>
        <v/>
      </c>
      <c r="AQ101" s="625" t="str">
        <f t="shared" si="476"/>
        <v/>
      </c>
      <c r="AS101" s="56" t="str">
        <f t="shared" si="550"/>
        <v/>
      </c>
      <c r="AT101" s="78" t="str">
        <f t="shared" si="477"/>
        <v/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2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51"/>
        <v/>
      </c>
      <c r="L102" s="327"/>
      <c r="M102" s="173" t="str">
        <f t="shared" si="469"/>
        <v/>
      </c>
      <c r="N102" s="21" t="str">
        <f t="shared" si="470"/>
        <v/>
      </c>
      <c r="O102" s="5" t="str">
        <f t="shared" si="471"/>
        <v/>
      </c>
      <c r="P102" s="10" t="str">
        <f t="shared" si="472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2"/>
        <v/>
      </c>
      <c r="X102" s="5" t="str">
        <f t="shared" si="87"/>
        <v/>
      </c>
      <c r="Y102" s="7" t="str">
        <f t="shared" si="650"/>
        <v/>
      </c>
      <c r="Z102" s="21" t="str">
        <f t="shared" si="473"/>
        <v/>
      </c>
      <c r="AA102" s="5" t="str">
        <f t="shared" si="474"/>
        <v/>
      </c>
      <c r="AB102" s="5" t="str">
        <f t="shared" si="475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6"/>
        <v/>
      </c>
      <c r="AP102" s="624" t="str">
        <f t="shared" si="99"/>
        <v/>
      </c>
      <c r="AQ102" s="625" t="str">
        <f t="shared" si="476"/>
        <v/>
      </c>
      <c r="AS102" s="56" t="str">
        <f t="shared" si="550"/>
        <v/>
      </c>
      <c r="AT102" s="78" t="str">
        <f t="shared" si="477"/>
        <v/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2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51"/>
        <v/>
      </c>
      <c r="L103" s="327"/>
      <c r="M103" s="173" t="str">
        <f t="shared" si="469"/>
        <v/>
      </c>
      <c r="N103" s="21" t="str">
        <f t="shared" si="470"/>
        <v/>
      </c>
      <c r="O103" s="5" t="str">
        <f t="shared" si="471"/>
        <v/>
      </c>
      <c r="P103" s="10" t="str">
        <f t="shared" si="472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2"/>
        <v/>
      </c>
      <c r="X103" s="5" t="str">
        <f t="shared" si="87"/>
        <v/>
      </c>
      <c r="Y103" s="7" t="str">
        <f t="shared" si="650"/>
        <v/>
      </c>
      <c r="Z103" s="21" t="str">
        <f t="shared" si="473"/>
        <v/>
      </c>
      <c r="AA103" s="5" t="str">
        <f t="shared" si="474"/>
        <v/>
      </c>
      <c r="AB103" s="5" t="str">
        <f t="shared" si="475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6"/>
        <v/>
      </c>
      <c r="AP103" s="624" t="str">
        <f t="shared" si="99"/>
        <v/>
      </c>
      <c r="AQ103" s="625" t="str">
        <f t="shared" si="476"/>
        <v/>
      </c>
      <c r="AS103" s="56" t="str">
        <f t="shared" si="550"/>
        <v/>
      </c>
      <c r="AT103" s="78" t="str">
        <f t="shared" si="477"/>
        <v/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2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51"/>
        <v/>
      </c>
      <c r="L104" s="327"/>
      <c r="M104" s="173" t="str">
        <f t="shared" si="469"/>
        <v/>
      </c>
      <c r="N104" s="21" t="str">
        <f t="shared" si="470"/>
        <v/>
      </c>
      <c r="O104" s="5" t="str">
        <f t="shared" si="471"/>
        <v/>
      </c>
      <c r="P104" s="10" t="str">
        <f t="shared" si="472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2"/>
        <v/>
      </c>
      <c r="X104" s="5" t="str">
        <f t="shared" si="87"/>
        <v/>
      </c>
      <c r="Y104" s="7" t="str">
        <f t="shared" si="650"/>
        <v/>
      </c>
      <c r="Z104" s="21" t="str">
        <f t="shared" si="473"/>
        <v/>
      </c>
      <c r="AA104" s="5" t="str">
        <f t="shared" si="474"/>
        <v/>
      </c>
      <c r="AB104" s="5" t="str">
        <f t="shared" si="475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6"/>
        <v/>
      </c>
      <c r="AP104" s="624" t="str">
        <f t="shared" si="99"/>
        <v/>
      </c>
      <c r="AQ104" s="625" t="str">
        <f t="shared" si="476"/>
        <v/>
      </c>
      <c r="AS104" s="56" t="str">
        <f t="shared" si="550"/>
        <v/>
      </c>
      <c r="AT104" s="78" t="str">
        <f t="shared" si="477"/>
        <v/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2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51"/>
        <v/>
      </c>
      <c r="L105" s="327"/>
      <c r="M105" s="173" t="str">
        <f t="shared" ref="M105:M136" si="667">IF(J105="","",VALUE(J105))</f>
        <v/>
      </c>
      <c r="N105" s="21" t="str">
        <f t="shared" ref="N105:N136" si="668">IF(M105="","",B105)</f>
        <v/>
      </c>
      <c r="O105" s="5" t="str">
        <f t="shared" ref="O105:O136" si="669">IF(M105="","",C105)</f>
        <v/>
      </c>
      <c r="P105" s="10" t="str">
        <f t="shared" ref="P105:P136" si="670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2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1">IF(M105="","",-E105)</f>
        <v/>
      </c>
      <c r="AA105" s="5" t="str">
        <f t="shared" ref="AA105:AA136" si="672">IF(M105="","",-F105)</f>
        <v/>
      </c>
      <c r="AB105" s="5" t="str">
        <f t="shared" ref="AB105:AB136" si="673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6"/>
        <v/>
      </c>
      <c r="AP105" s="624" t="str">
        <f t="shared" si="99"/>
        <v/>
      </c>
      <c r="AQ105" s="625" t="str">
        <f t="shared" ref="AQ105:AQ136" si="674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5">IF(M105="","",Y105+(((AS105-$AS$9)*$AS$6)*-1))</f>
        <v/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20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51"/>
        <v/>
      </c>
      <c r="L106" s="327"/>
      <c r="M106" s="173" t="str">
        <f t="shared" si="667"/>
        <v/>
      </c>
      <c r="N106" s="21" t="str">
        <f t="shared" si="668"/>
        <v/>
      </c>
      <c r="O106" s="5" t="str">
        <f t="shared" si="669"/>
        <v/>
      </c>
      <c r="P106" s="10" t="str">
        <f t="shared" si="670"/>
        <v/>
      </c>
      <c r="Q106" s="624" t="str">
        <f t="shared" si="528"/>
        <v/>
      </c>
      <c r="R106" s="5" t="str">
        <f t="shared" ref="R106:R129" si="725">IF(M106="","",SQRT(N106^2+O106^2))</f>
        <v/>
      </c>
      <c r="S106" s="6" t="str">
        <f t="shared" ref="S106:S129" si="726">IF(M106="","",P106)</f>
        <v/>
      </c>
      <c r="T106" s="4" t="str">
        <f t="shared" ref="T106:T129" si="727">IF(M106="","",X106*COS(RADIANS(W106)))</f>
        <v/>
      </c>
      <c r="U106" s="5" t="str">
        <f t="shared" ref="U106:U129" si="728">IF(M106="","",X106*SIN(RADIANS(W106)))</f>
        <v/>
      </c>
      <c r="V106" s="8" t="str">
        <f t="shared" ref="V106:V129" si="729">IF(M106="","",Y106)</f>
        <v/>
      </c>
      <c r="W106" s="624" t="str">
        <f t="shared" si="652"/>
        <v/>
      </c>
      <c r="X106" s="5" t="str">
        <f t="shared" ref="X106:X129" si="730">IF(M106="","",R106)</f>
        <v/>
      </c>
      <c r="Y106" s="7" t="str">
        <f t="shared" si="650"/>
        <v/>
      </c>
      <c r="Z106" s="21" t="str">
        <f t="shared" si="671"/>
        <v/>
      </c>
      <c r="AA106" s="5" t="str">
        <f t="shared" si="672"/>
        <v/>
      </c>
      <c r="AB106" s="5" t="str">
        <f t="shared" si="673"/>
        <v/>
      </c>
      <c r="AC106" s="8" t="str">
        <f t="shared" ref="AC106:AC129" si="731">IF(M106="","",SQRT(Z106^2+AA106^2+AB106^2))</f>
        <v/>
      </c>
      <c r="AD106" s="9" t="str">
        <f t="shared" ref="AD106:AD129" si="732">IF(M106="","",Z106*(1/SQRT(Z106^2+AA106^2+AB106^2)))</f>
        <v/>
      </c>
      <c r="AE106" s="5" t="str">
        <f t="shared" ref="AE106:AE129" si="733">IF(M106="","",AA106*(1/SQRT(Z106^2+AA106^2+AB106^2)))</f>
        <v/>
      </c>
      <c r="AF106" s="10" t="str">
        <f t="shared" ref="AF106:AF129" si="734">IF(M106="","",AB106*(1/SQRT(Z106^2+AA106^2+AB106^2)))</f>
        <v/>
      </c>
      <c r="AG106" s="622" t="str">
        <f t="shared" ref="AG106:AG129" si="735">IF(M106="","",DEGREES(ATAN2(-AF106,AE106)))</f>
        <v/>
      </c>
      <c r="AH106" s="623" t="str">
        <f t="shared" ref="AH106:AH129" si="736">IF(M106="","",DEGREES(ACOS(AD106)))</f>
        <v/>
      </c>
      <c r="AI106" s="624" t="str">
        <f t="shared" ref="AI106:AI129" si="737">IF(M106="","",DEGREES(-ACOS(-AF106)))</f>
        <v/>
      </c>
      <c r="AJ106" s="625" t="str">
        <f t="shared" ref="AJ106:AJ129" si="738">IF(M106="","",DEGREES(ATAN2(-AE106,AD106)))</f>
        <v/>
      </c>
      <c r="AK106" s="4" t="str">
        <f t="shared" ref="AK106:AK129" si="739">IF(M106="","",(COS(RADIANS((90-$Q$8)-W106))*AD106)+(-SIN(RADIANS((90-$Q$8)-W106))*AE106))</f>
        <v/>
      </c>
      <c r="AL106" s="5" t="str">
        <f t="shared" ref="AL106:AL129" si="740">IF(M106="","",(SIN(RADIANS((90-$Q$8)-W106))*AD106)+(COS(RADIANS((90-$Q$8)-W106))*AE106))</f>
        <v/>
      </c>
      <c r="AM106" s="6" t="str">
        <f t="shared" ref="AM106:AM129" si="741">IF(M106="","",AF106)</f>
        <v/>
      </c>
      <c r="AN106" s="612" t="str">
        <f t="shared" ref="AN106:AN129" si="742">IF(M106="","",DEGREES(ATAN2(-AM106,AL106)))</f>
        <v/>
      </c>
      <c r="AO106" s="613" t="str">
        <f t="shared" si="466"/>
        <v/>
      </c>
      <c r="AP106" s="624" t="str">
        <f t="shared" ref="AP106:AP129" si="743">IF(M106="","",DEGREES(ATAN2(AK106,AL106)))</f>
        <v/>
      </c>
      <c r="AQ106" s="625" t="str">
        <f t="shared" si="674"/>
        <v/>
      </c>
      <c r="AS106" s="56" t="str">
        <f t="shared" si="550"/>
        <v/>
      </c>
      <c r="AT106" s="78" t="str">
        <f t="shared" si="675"/>
        <v/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20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51"/>
        <v/>
      </c>
      <c r="L107" s="327"/>
      <c r="M107" s="173" t="str">
        <f t="shared" si="667"/>
        <v/>
      </c>
      <c r="N107" s="21" t="str">
        <f t="shared" si="668"/>
        <v/>
      </c>
      <c r="O107" s="5" t="str">
        <f t="shared" si="669"/>
        <v/>
      </c>
      <c r="P107" s="10" t="str">
        <f t="shared" si="670"/>
        <v/>
      </c>
      <c r="Q107" s="624" t="str">
        <f t="shared" si="528"/>
        <v/>
      </c>
      <c r="R107" s="5" t="str">
        <f t="shared" si="725"/>
        <v/>
      </c>
      <c r="S107" s="6" t="str">
        <f t="shared" si="726"/>
        <v/>
      </c>
      <c r="T107" s="4" t="str">
        <f t="shared" si="727"/>
        <v/>
      </c>
      <c r="U107" s="5" t="str">
        <f t="shared" si="728"/>
        <v/>
      </c>
      <c r="V107" s="8" t="str">
        <f t="shared" si="729"/>
        <v/>
      </c>
      <c r="W107" s="624" t="str">
        <f t="shared" si="652"/>
        <v/>
      </c>
      <c r="X107" s="5" t="str">
        <f t="shared" si="730"/>
        <v/>
      </c>
      <c r="Y107" s="7" t="str">
        <f t="shared" si="650"/>
        <v/>
      </c>
      <c r="Z107" s="21" t="str">
        <f t="shared" si="671"/>
        <v/>
      </c>
      <c r="AA107" s="5" t="str">
        <f t="shared" si="672"/>
        <v/>
      </c>
      <c r="AB107" s="5" t="str">
        <f t="shared" si="673"/>
        <v/>
      </c>
      <c r="AC107" s="8" t="str">
        <f t="shared" si="731"/>
        <v/>
      </c>
      <c r="AD107" s="9" t="str">
        <f t="shared" si="732"/>
        <v/>
      </c>
      <c r="AE107" s="5" t="str">
        <f t="shared" si="733"/>
        <v/>
      </c>
      <c r="AF107" s="10" t="str">
        <f t="shared" si="734"/>
        <v/>
      </c>
      <c r="AG107" s="622" t="str">
        <f t="shared" si="735"/>
        <v/>
      </c>
      <c r="AH107" s="623" t="str">
        <f t="shared" si="736"/>
        <v/>
      </c>
      <c r="AI107" s="624" t="str">
        <f t="shared" si="737"/>
        <v/>
      </c>
      <c r="AJ107" s="625" t="str">
        <f t="shared" si="738"/>
        <v/>
      </c>
      <c r="AK107" s="4" t="str">
        <f t="shared" si="739"/>
        <v/>
      </c>
      <c r="AL107" s="5" t="str">
        <f t="shared" si="740"/>
        <v/>
      </c>
      <c r="AM107" s="6" t="str">
        <f t="shared" si="741"/>
        <v/>
      </c>
      <c r="AN107" s="612" t="str">
        <f t="shared" si="742"/>
        <v/>
      </c>
      <c r="AO107" s="613" t="str">
        <f t="shared" si="466"/>
        <v/>
      </c>
      <c r="AP107" s="624" t="str">
        <f t="shared" si="743"/>
        <v/>
      </c>
      <c r="AQ107" s="625" t="str">
        <f t="shared" si="674"/>
        <v/>
      </c>
      <c r="AS107" s="56" t="str">
        <f t="shared" ref="AS107:AS138" si="746">IF(G107="","",IF(AND(W107&lt;(AS106+180),W107&gt;(AS106-180)),W107,IF(W107&gt;(AS106+180),W107-360,IF(W107&lt;(AS106-180),W107+360,"Error"))))</f>
        <v/>
      </c>
      <c r="AT107" s="78" t="str">
        <f t="shared" si="675"/>
        <v/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20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51"/>
        <v/>
      </c>
      <c r="L108" s="327"/>
      <c r="M108" s="173" t="str">
        <f t="shared" si="667"/>
        <v/>
      </c>
      <c r="N108" s="21" t="str">
        <f t="shared" si="668"/>
        <v/>
      </c>
      <c r="O108" s="5" t="str">
        <f t="shared" si="669"/>
        <v/>
      </c>
      <c r="P108" s="10" t="str">
        <f t="shared" si="670"/>
        <v/>
      </c>
      <c r="Q108" s="624" t="str">
        <f t="shared" si="528"/>
        <v/>
      </c>
      <c r="R108" s="5" t="str">
        <f t="shared" si="725"/>
        <v/>
      </c>
      <c r="S108" s="6" t="str">
        <f t="shared" si="726"/>
        <v/>
      </c>
      <c r="T108" s="4" t="str">
        <f t="shared" si="727"/>
        <v/>
      </c>
      <c r="U108" s="5" t="str">
        <f t="shared" si="728"/>
        <v/>
      </c>
      <c r="V108" s="8" t="str">
        <f t="shared" si="729"/>
        <v/>
      </c>
      <c r="W108" s="624" t="str">
        <f t="shared" si="652"/>
        <v/>
      </c>
      <c r="X108" s="5" t="str">
        <f t="shared" si="730"/>
        <v/>
      </c>
      <c r="Y108" s="7" t="str">
        <f t="shared" si="650"/>
        <v/>
      </c>
      <c r="Z108" s="21" t="str">
        <f t="shared" si="671"/>
        <v/>
      </c>
      <c r="AA108" s="5" t="str">
        <f t="shared" si="672"/>
        <v/>
      </c>
      <c r="AB108" s="5" t="str">
        <f t="shared" si="673"/>
        <v/>
      </c>
      <c r="AC108" s="8" t="str">
        <f t="shared" si="731"/>
        <v/>
      </c>
      <c r="AD108" s="9" t="str">
        <f t="shared" si="732"/>
        <v/>
      </c>
      <c r="AE108" s="5" t="str">
        <f t="shared" si="733"/>
        <v/>
      </c>
      <c r="AF108" s="10" t="str">
        <f t="shared" si="734"/>
        <v/>
      </c>
      <c r="AG108" s="622" t="str">
        <f t="shared" si="735"/>
        <v/>
      </c>
      <c r="AH108" s="623" t="str">
        <f t="shared" si="736"/>
        <v/>
      </c>
      <c r="AI108" s="624" t="str">
        <f t="shared" si="737"/>
        <v/>
      </c>
      <c r="AJ108" s="625" t="str">
        <f t="shared" si="738"/>
        <v/>
      </c>
      <c r="AK108" s="4" t="str">
        <f t="shared" si="739"/>
        <v/>
      </c>
      <c r="AL108" s="5" t="str">
        <f t="shared" si="740"/>
        <v/>
      </c>
      <c r="AM108" s="6" t="str">
        <f t="shared" si="741"/>
        <v/>
      </c>
      <c r="AN108" s="612" t="str">
        <f t="shared" si="742"/>
        <v/>
      </c>
      <c r="AO108" s="613" t="str">
        <f t="shared" si="466"/>
        <v/>
      </c>
      <c r="AP108" s="624" t="str">
        <f t="shared" si="743"/>
        <v/>
      </c>
      <c r="AQ108" s="625" t="str">
        <f t="shared" si="674"/>
        <v/>
      </c>
      <c r="AS108" s="56" t="str">
        <f t="shared" si="746"/>
        <v/>
      </c>
      <c r="AT108" s="78" t="str">
        <f t="shared" si="675"/>
        <v/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20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51"/>
        <v/>
      </c>
      <c r="L109" s="327"/>
      <c r="M109" s="173" t="str">
        <f t="shared" si="667"/>
        <v/>
      </c>
      <c r="N109" s="21" t="str">
        <f t="shared" si="668"/>
        <v/>
      </c>
      <c r="O109" s="5" t="str">
        <f t="shared" si="669"/>
        <v/>
      </c>
      <c r="P109" s="10" t="str">
        <f t="shared" si="670"/>
        <v/>
      </c>
      <c r="Q109" s="624" t="str">
        <f t="shared" si="528"/>
        <v/>
      </c>
      <c r="R109" s="5" t="str">
        <f t="shared" si="725"/>
        <v/>
      </c>
      <c r="S109" s="6" t="str">
        <f t="shared" si="726"/>
        <v/>
      </c>
      <c r="T109" s="4" t="str">
        <f t="shared" si="727"/>
        <v/>
      </c>
      <c r="U109" s="5" t="str">
        <f t="shared" si="728"/>
        <v/>
      </c>
      <c r="V109" s="8" t="str">
        <f t="shared" si="729"/>
        <v/>
      </c>
      <c r="W109" s="624" t="str">
        <f t="shared" si="652"/>
        <v/>
      </c>
      <c r="X109" s="5" t="str">
        <f t="shared" si="730"/>
        <v/>
      </c>
      <c r="Y109" s="7" t="str">
        <f t="shared" si="650"/>
        <v/>
      </c>
      <c r="Z109" s="21" t="str">
        <f t="shared" si="671"/>
        <v/>
      </c>
      <c r="AA109" s="5" t="str">
        <f t="shared" si="672"/>
        <v/>
      </c>
      <c r="AB109" s="5" t="str">
        <f t="shared" si="673"/>
        <v/>
      </c>
      <c r="AC109" s="8" t="str">
        <f t="shared" si="731"/>
        <v/>
      </c>
      <c r="AD109" s="9" t="str">
        <f t="shared" si="732"/>
        <v/>
      </c>
      <c r="AE109" s="5" t="str">
        <f t="shared" si="733"/>
        <v/>
      </c>
      <c r="AF109" s="10" t="str">
        <f t="shared" si="734"/>
        <v/>
      </c>
      <c r="AG109" s="622" t="str">
        <f t="shared" si="735"/>
        <v/>
      </c>
      <c r="AH109" s="623" t="str">
        <f t="shared" si="736"/>
        <v/>
      </c>
      <c r="AI109" s="624" t="str">
        <f t="shared" si="737"/>
        <v/>
      </c>
      <c r="AJ109" s="625" t="str">
        <f t="shared" si="738"/>
        <v/>
      </c>
      <c r="AK109" s="4" t="str">
        <f t="shared" si="739"/>
        <v/>
      </c>
      <c r="AL109" s="5" t="str">
        <f t="shared" si="740"/>
        <v/>
      </c>
      <c r="AM109" s="6" t="str">
        <f t="shared" si="741"/>
        <v/>
      </c>
      <c r="AN109" s="612" t="str">
        <f t="shared" si="742"/>
        <v/>
      </c>
      <c r="AO109" s="613" t="str">
        <f t="shared" si="466"/>
        <v/>
      </c>
      <c r="AP109" s="624" t="str">
        <f t="shared" si="743"/>
        <v/>
      </c>
      <c r="AQ109" s="625" t="str">
        <f t="shared" si="674"/>
        <v/>
      </c>
      <c r="AS109" s="56" t="str">
        <f t="shared" si="746"/>
        <v/>
      </c>
      <c r="AT109" s="78" t="str">
        <f t="shared" si="675"/>
        <v/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20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51"/>
        <v/>
      </c>
      <c r="L110" s="327"/>
      <c r="M110" s="173" t="str">
        <f t="shared" si="667"/>
        <v/>
      </c>
      <c r="N110" s="21" t="str">
        <f t="shared" si="668"/>
        <v/>
      </c>
      <c r="O110" s="5" t="str">
        <f t="shared" si="669"/>
        <v/>
      </c>
      <c r="P110" s="10" t="str">
        <f t="shared" si="670"/>
        <v/>
      </c>
      <c r="Q110" s="624" t="str">
        <f t="shared" si="528"/>
        <v/>
      </c>
      <c r="R110" s="5" t="str">
        <f t="shared" si="725"/>
        <v/>
      </c>
      <c r="S110" s="6" t="str">
        <f t="shared" si="726"/>
        <v/>
      </c>
      <c r="T110" s="4" t="str">
        <f t="shared" si="727"/>
        <v/>
      </c>
      <c r="U110" s="5" t="str">
        <f t="shared" si="728"/>
        <v/>
      </c>
      <c r="V110" s="8" t="str">
        <f t="shared" si="729"/>
        <v/>
      </c>
      <c r="W110" s="624" t="str">
        <f t="shared" si="652"/>
        <v/>
      </c>
      <c r="X110" s="5" t="str">
        <f t="shared" si="730"/>
        <v/>
      </c>
      <c r="Y110" s="7" t="str">
        <f t="shared" si="650"/>
        <v/>
      </c>
      <c r="Z110" s="21" t="str">
        <f t="shared" si="671"/>
        <v/>
      </c>
      <c r="AA110" s="5" t="str">
        <f t="shared" si="672"/>
        <v/>
      </c>
      <c r="AB110" s="5" t="str">
        <f t="shared" si="673"/>
        <v/>
      </c>
      <c r="AC110" s="8" t="str">
        <f t="shared" si="731"/>
        <v/>
      </c>
      <c r="AD110" s="9" t="str">
        <f t="shared" si="732"/>
        <v/>
      </c>
      <c r="AE110" s="5" t="str">
        <f t="shared" si="733"/>
        <v/>
      </c>
      <c r="AF110" s="10" t="str">
        <f t="shared" si="734"/>
        <v/>
      </c>
      <c r="AG110" s="622" t="str">
        <f t="shared" si="735"/>
        <v/>
      </c>
      <c r="AH110" s="623" t="str">
        <f t="shared" si="736"/>
        <v/>
      </c>
      <c r="AI110" s="624" t="str">
        <f t="shared" si="737"/>
        <v/>
      </c>
      <c r="AJ110" s="625" t="str">
        <f t="shared" si="738"/>
        <v/>
      </c>
      <c r="AK110" s="4" t="str">
        <f t="shared" si="739"/>
        <v/>
      </c>
      <c r="AL110" s="5" t="str">
        <f t="shared" si="740"/>
        <v/>
      </c>
      <c r="AM110" s="6" t="str">
        <f t="shared" si="741"/>
        <v/>
      </c>
      <c r="AN110" s="612" t="str">
        <f t="shared" si="742"/>
        <v/>
      </c>
      <c r="AO110" s="613" t="str">
        <f t="shared" si="466"/>
        <v/>
      </c>
      <c r="AP110" s="624" t="str">
        <f t="shared" si="743"/>
        <v/>
      </c>
      <c r="AQ110" s="625" t="str">
        <f t="shared" si="674"/>
        <v/>
      </c>
      <c r="AS110" s="56" t="str">
        <f t="shared" si="746"/>
        <v/>
      </c>
      <c r="AT110" s="78" t="str">
        <f t="shared" si="675"/>
        <v/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20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51"/>
        <v/>
      </c>
      <c r="L111" s="327"/>
      <c r="M111" s="173" t="str">
        <f t="shared" si="667"/>
        <v/>
      </c>
      <c r="N111" s="21" t="str">
        <f t="shared" si="668"/>
        <v/>
      </c>
      <c r="O111" s="5" t="str">
        <f t="shared" si="669"/>
        <v/>
      </c>
      <c r="P111" s="10" t="str">
        <f t="shared" si="670"/>
        <v/>
      </c>
      <c r="Q111" s="624" t="str">
        <f t="shared" si="528"/>
        <v/>
      </c>
      <c r="R111" s="5" t="str">
        <f t="shared" si="725"/>
        <v/>
      </c>
      <c r="S111" s="6" t="str">
        <f t="shared" si="726"/>
        <v/>
      </c>
      <c r="T111" s="4" t="str">
        <f t="shared" si="727"/>
        <v/>
      </c>
      <c r="U111" s="5" t="str">
        <f t="shared" si="728"/>
        <v/>
      </c>
      <c r="V111" s="8" t="str">
        <f t="shared" si="729"/>
        <v/>
      </c>
      <c r="W111" s="624" t="str">
        <f t="shared" si="652"/>
        <v/>
      </c>
      <c r="X111" s="5" t="str">
        <f t="shared" si="730"/>
        <v/>
      </c>
      <c r="Y111" s="7" t="str">
        <f t="shared" si="650"/>
        <v/>
      </c>
      <c r="Z111" s="21" t="str">
        <f t="shared" si="671"/>
        <v/>
      </c>
      <c r="AA111" s="5" t="str">
        <f t="shared" si="672"/>
        <v/>
      </c>
      <c r="AB111" s="5" t="str">
        <f t="shared" si="673"/>
        <v/>
      </c>
      <c r="AC111" s="8" t="str">
        <f t="shared" si="731"/>
        <v/>
      </c>
      <c r="AD111" s="9" t="str">
        <f t="shared" si="732"/>
        <v/>
      </c>
      <c r="AE111" s="5" t="str">
        <f t="shared" si="733"/>
        <v/>
      </c>
      <c r="AF111" s="10" t="str">
        <f t="shared" si="734"/>
        <v/>
      </c>
      <c r="AG111" s="622" t="str">
        <f t="shared" si="735"/>
        <v/>
      </c>
      <c r="AH111" s="623" t="str">
        <f t="shared" si="736"/>
        <v/>
      </c>
      <c r="AI111" s="624" t="str">
        <f t="shared" si="737"/>
        <v/>
      </c>
      <c r="AJ111" s="625" t="str">
        <f t="shared" si="738"/>
        <v/>
      </c>
      <c r="AK111" s="4" t="str">
        <f t="shared" si="739"/>
        <v/>
      </c>
      <c r="AL111" s="5" t="str">
        <f t="shared" si="740"/>
        <v/>
      </c>
      <c r="AM111" s="6" t="str">
        <f t="shared" si="741"/>
        <v/>
      </c>
      <c r="AN111" s="612" t="str">
        <f t="shared" si="742"/>
        <v/>
      </c>
      <c r="AO111" s="613" t="str">
        <f t="shared" si="466"/>
        <v/>
      </c>
      <c r="AP111" s="624" t="str">
        <f t="shared" si="743"/>
        <v/>
      </c>
      <c r="AQ111" s="625" t="str">
        <f t="shared" si="674"/>
        <v/>
      </c>
      <c r="AS111" s="56" t="str">
        <f t="shared" si="746"/>
        <v/>
      </c>
      <c r="AT111" s="78" t="str">
        <f t="shared" si="675"/>
        <v/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20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51"/>
        <v/>
      </c>
      <c r="L112" s="327"/>
      <c r="M112" s="173" t="str">
        <f t="shared" si="667"/>
        <v/>
      </c>
      <c r="N112" s="21" t="str">
        <f t="shared" si="668"/>
        <v/>
      </c>
      <c r="O112" s="5" t="str">
        <f t="shared" si="669"/>
        <v/>
      </c>
      <c r="P112" s="10" t="str">
        <f t="shared" si="670"/>
        <v/>
      </c>
      <c r="Q112" s="624" t="str">
        <f t="shared" si="528"/>
        <v/>
      </c>
      <c r="R112" s="5" t="str">
        <f t="shared" si="725"/>
        <v/>
      </c>
      <c r="S112" s="6" t="str">
        <f t="shared" si="726"/>
        <v/>
      </c>
      <c r="T112" s="4" t="str">
        <f t="shared" si="727"/>
        <v/>
      </c>
      <c r="U112" s="5" t="str">
        <f t="shared" si="728"/>
        <v/>
      </c>
      <c r="V112" s="8" t="str">
        <f t="shared" si="729"/>
        <v/>
      </c>
      <c r="W112" s="624" t="str">
        <f t="shared" si="652"/>
        <v/>
      </c>
      <c r="X112" s="5" t="str">
        <f t="shared" si="730"/>
        <v/>
      </c>
      <c r="Y112" s="7" t="str">
        <f t="shared" si="650"/>
        <v/>
      </c>
      <c r="Z112" s="21" t="str">
        <f t="shared" si="671"/>
        <v/>
      </c>
      <c r="AA112" s="5" t="str">
        <f t="shared" si="672"/>
        <v/>
      </c>
      <c r="AB112" s="5" t="str">
        <f t="shared" si="673"/>
        <v/>
      </c>
      <c r="AC112" s="8" t="str">
        <f t="shared" si="731"/>
        <v/>
      </c>
      <c r="AD112" s="9" t="str">
        <f t="shared" si="732"/>
        <v/>
      </c>
      <c r="AE112" s="5" t="str">
        <f t="shared" si="733"/>
        <v/>
      </c>
      <c r="AF112" s="10" t="str">
        <f t="shared" si="734"/>
        <v/>
      </c>
      <c r="AG112" s="622" t="str">
        <f t="shared" si="735"/>
        <v/>
      </c>
      <c r="AH112" s="623" t="str">
        <f t="shared" si="736"/>
        <v/>
      </c>
      <c r="AI112" s="624" t="str">
        <f t="shared" si="737"/>
        <v/>
      </c>
      <c r="AJ112" s="625" t="str">
        <f t="shared" si="738"/>
        <v/>
      </c>
      <c r="AK112" s="4" t="str">
        <f t="shared" si="739"/>
        <v/>
      </c>
      <c r="AL112" s="5" t="str">
        <f t="shared" si="740"/>
        <v/>
      </c>
      <c r="AM112" s="6" t="str">
        <f t="shared" si="741"/>
        <v/>
      </c>
      <c r="AN112" s="612" t="str">
        <f t="shared" si="742"/>
        <v/>
      </c>
      <c r="AO112" s="613" t="str">
        <f t="shared" si="466"/>
        <v/>
      </c>
      <c r="AP112" s="624" t="str">
        <f t="shared" si="743"/>
        <v/>
      </c>
      <c r="AQ112" s="625" t="str">
        <f t="shared" si="674"/>
        <v/>
      </c>
      <c r="AS112" s="56" t="str">
        <f t="shared" si="746"/>
        <v/>
      </c>
      <c r="AT112" s="78" t="str">
        <f t="shared" si="675"/>
        <v/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20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0.93969263802333458</v>
      </c>
      <c r="F154" s="175">
        <f>F9*-1</f>
        <v>8.852130215629557E-2</v>
      </c>
      <c r="G154" s="175">
        <f>G9*-1</f>
        <v>-0.33036604714967344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0.96592583607220739</v>
      </c>
      <c r="F155" s="175">
        <f t="shared" si="940"/>
        <v>6.6987279208207184E-2</v>
      </c>
      <c r="G155" s="175">
        <f t="shared" si="940"/>
        <v>-0.24999996726497564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0.96592583607220739</v>
      </c>
      <c r="F156" s="175">
        <f t="shared" si="942"/>
        <v>5.0271535051510788E-2</v>
      </c>
      <c r="G156" s="175">
        <f t="shared" si="942"/>
        <v>-0.2538898421988795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0.96115222939803513</v>
      </c>
      <c r="F157" s="175">
        <f t="shared" si="943"/>
        <v>-0.12713249436304336</v>
      </c>
      <c r="G157" s="175">
        <f t="shared" si="943"/>
        <v>-0.24499738937429033</v>
      </c>
      <c r="H157" s="144"/>
      <c r="I157" s="91"/>
      <c r="J157" s="84">
        <f t="shared" si="941"/>
        <v>1.1120000000000001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0.93431531721094707</v>
      </c>
      <c r="F158" s="175">
        <f t="shared" si="946"/>
        <v>-0.29514909530410416</v>
      </c>
      <c r="G158" s="175">
        <f t="shared" si="946"/>
        <v>-0.1998546961324057</v>
      </c>
      <c r="H158" s="144"/>
      <c r="I158" s="91"/>
      <c r="J158" s="84">
        <f t="shared" si="941"/>
        <v>1.1180000000000001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0.88476121279145259</v>
      </c>
      <c r="F159" s="175">
        <f t="shared" si="947"/>
        <v>-0.45069575733765771</v>
      </c>
      <c r="G159" s="175">
        <f t="shared" si="947"/>
        <v>-0.11862095370394438</v>
      </c>
      <c r="H159" s="144"/>
      <c r="I159" s="91"/>
      <c r="J159" s="84">
        <f t="shared" si="941"/>
        <v>1.1240000000000001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0.84278140031771642</v>
      </c>
      <c r="F160" s="175">
        <f t="shared" si="948"/>
        <v>-0.53825599047153783</v>
      </c>
      <c r="G160" s="175">
        <f t="shared" si="948"/>
        <v>-1.1339743348047648E-7</v>
      </c>
      <c r="H160" s="144"/>
      <c r="I160" s="91"/>
      <c r="J160" s="84">
        <f t="shared" si="941"/>
        <v>1.1299999999999999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0.83436064895461359</v>
      </c>
      <c r="F161" s="175">
        <f t="shared" si="949"/>
        <v>-0.44852539122902285</v>
      </c>
      <c r="G161" s="175">
        <f t="shared" si="949"/>
        <v>-0.32041735424113377</v>
      </c>
      <c r="H161" s="144"/>
      <c r="I161" s="91"/>
      <c r="J161" s="84">
        <f t="shared" si="941"/>
        <v>1.212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0.76658652147053274</v>
      </c>
      <c r="F162" s="175">
        <f t="shared" si="950"/>
        <v>-0.59200780553881116</v>
      </c>
      <c r="G162" s="175">
        <f t="shared" si="950"/>
        <v>-0.24874055415398127</v>
      </c>
      <c r="H162" s="144"/>
      <c r="I162" s="91"/>
      <c r="J162" s="84">
        <f t="shared" si="941"/>
        <v>1.218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-0.28325273916114929</v>
      </c>
      <c r="F163" s="175">
        <f t="shared" si="951"/>
        <v>-0.75340678371732617</v>
      </c>
      <c r="G163" s="175">
        <f t="shared" si="951"/>
        <v>-0.59341899531984998</v>
      </c>
      <c r="H163" s="144"/>
      <c r="I163" s="91"/>
      <c r="J163" s="84">
        <f t="shared" si="941"/>
        <v>1.224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-0.3599900336721219</v>
      </c>
      <c r="F164" s="175">
        <f t="shared" si="952"/>
        <v>-0.93295614883910449</v>
      </c>
      <c r="G164" s="175">
        <f t="shared" si="952"/>
        <v>-2.2679489633423987E-7</v>
      </c>
      <c r="H164" s="144"/>
      <c r="I164" s="91"/>
      <c r="J164" s="84">
        <f t="shared" si="941"/>
        <v>1.23</v>
      </c>
    </row>
    <row r="165" spans="5:16" x14ac:dyDescent="0.25">
      <c r="E165" s="175">
        <f t="shared" ref="E165:G165" si="953">E20*-1</f>
        <v>0.45733358446225991</v>
      </c>
      <c r="F165" s="175">
        <f t="shared" si="953"/>
        <v>-0.8525782579904051</v>
      </c>
      <c r="G165" s="175">
        <f t="shared" si="953"/>
        <v>-0.25289584125672615</v>
      </c>
      <c r="H165" s="144"/>
      <c r="I165" s="91"/>
      <c r="J165" s="84">
        <f t="shared" si="941"/>
        <v>2.1110000000000002</v>
      </c>
    </row>
    <row r="166" spans="5:16" x14ac:dyDescent="0.25">
      <c r="E166" s="175">
        <f t="shared" ref="E166:G166" si="954">E21*-1</f>
        <v>0.30634558908872223</v>
      </c>
      <c r="F166" s="175">
        <f t="shared" si="954"/>
        <v>-0.92949528969156847</v>
      </c>
      <c r="G166" s="175">
        <f t="shared" si="954"/>
        <v>-0.2054042027006043</v>
      </c>
      <c r="H166" s="144"/>
      <c r="I166" s="91"/>
      <c r="J166" s="84">
        <f t="shared" si="941"/>
        <v>2.117</v>
      </c>
    </row>
    <row r="167" spans="5:16" x14ac:dyDescent="0.25">
      <c r="E167" s="175">
        <f t="shared" ref="E167:G167" si="955">E22*-1</f>
        <v>0.14428291619969261</v>
      </c>
      <c r="F167" s="175">
        <f t="shared" si="955"/>
        <v>-0.98001765418559605</v>
      </c>
      <c r="G167" s="175">
        <f t="shared" si="955"/>
        <v>-0.13692274309797517</v>
      </c>
      <c r="H167" s="144"/>
      <c r="I167" s="91"/>
      <c r="J167" s="84">
        <f t="shared" si="941"/>
        <v>2.1230000000000002</v>
      </c>
    </row>
    <row r="168" spans="5:16" x14ac:dyDescent="0.25">
      <c r="E168" s="175">
        <f t="shared" ref="E168:G168" si="956">E23*-1</f>
        <v>2.5042172658557578E-2</v>
      </c>
      <c r="F168" s="175">
        <f t="shared" si="956"/>
        <v>-0.99968639562040962</v>
      </c>
      <c r="G168" s="175">
        <f t="shared" si="956"/>
        <v>-1.1339743353153852E-7</v>
      </c>
      <c r="H168" s="144"/>
      <c r="I168" s="91"/>
      <c r="J168" s="84">
        <f t="shared" si="941"/>
        <v>2.129</v>
      </c>
    </row>
    <row r="169" spans="5:16" x14ac:dyDescent="0.25">
      <c r="E169" s="175">
        <f t="shared" ref="E169:G169" si="957">E24*-1</f>
        <v>-0.4421770833238059</v>
      </c>
      <c r="F169" s="175">
        <f t="shared" si="957"/>
        <v>-9.5794250726952232E-2</v>
      </c>
      <c r="G169" s="175">
        <f t="shared" si="957"/>
        <v>-0.89179756027414303</v>
      </c>
      <c r="H169" s="144"/>
      <c r="I169" s="91"/>
      <c r="J169" s="84">
        <f t="shared" si="941"/>
        <v>2.2170000000000001</v>
      </c>
    </row>
    <row r="170" spans="5:16" x14ac:dyDescent="0.25">
      <c r="E170" s="175">
        <f t="shared" ref="E170:G170" si="958">E25*-1</f>
        <v>-0.74331137929035329</v>
      </c>
      <c r="F170" s="175">
        <f t="shared" si="958"/>
        <v>-0.17570555779419242</v>
      </c>
      <c r="G170" s="175">
        <f t="shared" si="958"/>
        <v>-0.64545778357511852</v>
      </c>
      <c r="H170" s="144"/>
      <c r="I170" s="91"/>
      <c r="J170" s="84">
        <f t="shared" si="941"/>
        <v>2.2229999999999999</v>
      </c>
    </row>
    <row r="171" spans="5:16" x14ac:dyDescent="0.25">
      <c r="E171" s="175">
        <f t="shared" ref="E171:G171" si="959">E26*-1</f>
        <v>-0.97475974411225386</v>
      </c>
      <c r="F171" s="175">
        <f t="shared" si="959"/>
        <v>-0.22325644729360483</v>
      </c>
      <c r="G171" s="175">
        <f t="shared" si="959"/>
        <v>-2.2679489701100133E-7</v>
      </c>
      <c r="H171" s="144"/>
      <c r="I171" s="91"/>
      <c r="J171" s="84">
        <f t="shared" si="941"/>
        <v>2.2290000000000001</v>
      </c>
    </row>
    <row r="172" spans="5:16" x14ac:dyDescent="0.25">
      <c r="E172" s="175">
        <f t="shared" ref="E172:G172" si="960">E27*-1</f>
        <v>-0.42495075868149662</v>
      </c>
      <c r="F172" s="175">
        <f t="shared" si="960"/>
        <v>-0.87000969481008184</v>
      </c>
      <c r="G172" s="175">
        <f t="shared" si="960"/>
        <v>-0.2499999672649757</v>
      </c>
      <c r="H172" s="144"/>
      <c r="I172" s="91"/>
      <c r="J172" s="84">
        <f t="shared" si="941"/>
        <v>3.1030000000000002</v>
      </c>
    </row>
    <row r="173" spans="5:16" x14ac:dyDescent="0.25">
      <c r="E173" s="175">
        <f t="shared" ref="E173:G173" si="961">E28*-1</f>
        <v>-0.42495075868149673</v>
      </c>
      <c r="F173" s="175">
        <f t="shared" si="961"/>
        <v>-0.87000969481008172</v>
      </c>
      <c r="G173" s="175">
        <f t="shared" si="961"/>
        <v>-0.2499999672649757</v>
      </c>
      <c r="H173" s="144"/>
      <c r="I173" s="91"/>
      <c r="J173" s="84">
        <f t="shared" si="941"/>
        <v>3.1059999999999999</v>
      </c>
    </row>
    <row r="174" spans="5:16" x14ac:dyDescent="0.25">
      <c r="E174" s="175">
        <f t="shared" ref="E174:G174" si="962">E29*-1</f>
        <v>-0.54072642560476181</v>
      </c>
      <c r="F174" s="175">
        <f t="shared" si="962"/>
        <v>-0.80059624759117443</v>
      </c>
      <c r="G174" s="175">
        <f t="shared" si="962"/>
        <v>-0.25818710462691369</v>
      </c>
      <c r="H174" s="144"/>
      <c r="I174" s="91"/>
      <c r="J174" s="84">
        <f t="shared" si="941"/>
        <v>3.11</v>
      </c>
    </row>
    <row r="175" spans="5:16" x14ac:dyDescent="0.25">
      <c r="E175" s="175">
        <f t="shared" ref="E175:G175" si="963">E30*-1</f>
        <v>-0.67904308753029707</v>
      </c>
      <c r="F175" s="175">
        <f t="shared" si="963"/>
        <v>-0.70389054562942599</v>
      </c>
      <c r="G175" s="175">
        <f t="shared" si="963"/>
        <v>-0.20841925307137604</v>
      </c>
      <c r="H175" s="144"/>
      <c r="I175" s="91"/>
      <c r="J175" s="84">
        <f t="shared" si="941"/>
        <v>3.1160000000000001</v>
      </c>
    </row>
    <row r="176" spans="5:16" x14ac:dyDescent="0.25">
      <c r="E176" s="175">
        <f t="shared" ref="E176:G176" si="964">E31*-1</f>
        <v>-0.80096711722681257</v>
      </c>
      <c r="F176" s="175">
        <f t="shared" si="964"/>
        <v>-0.57866545935251423</v>
      </c>
      <c r="G176" s="175">
        <f t="shared" si="964"/>
        <v>-0.1536162858349121</v>
      </c>
      <c r="H176" s="144"/>
      <c r="I176" s="91"/>
      <c r="J176" s="84">
        <f t="shared" si="941"/>
        <v>3.1219999999999999</v>
      </c>
    </row>
    <row r="177" spans="5:10" x14ac:dyDescent="0.25">
      <c r="E177" s="175">
        <f t="shared" ref="E177:G177" si="965">E32*-1</f>
        <v>-0.88753434029675882</v>
      </c>
      <c r="F177" s="175">
        <f t="shared" si="965"/>
        <v>-0.46074157050778952</v>
      </c>
      <c r="G177" s="175">
        <f t="shared" si="965"/>
        <v>-1.1339743404472288E-7</v>
      </c>
      <c r="H177" s="144"/>
      <c r="I177" s="91"/>
      <c r="J177" s="84">
        <f t="shared" si="941"/>
        <v>3.1280000000000001</v>
      </c>
    </row>
    <row r="178" spans="5:10" x14ac:dyDescent="0.25">
      <c r="E178" s="175">
        <f t="shared" ref="E178:G178" si="966">E33*-1</f>
        <v>-0.74818930669042416</v>
      </c>
      <c r="F178" s="175">
        <f t="shared" si="966"/>
        <v>-0.57023965739964944</v>
      </c>
      <c r="G178" s="175">
        <f t="shared" si="966"/>
        <v>-0.33917472559557421</v>
      </c>
      <c r="H178" s="144"/>
      <c r="I178" s="91"/>
      <c r="J178" s="84">
        <f t="shared" si="941"/>
        <v>3.21</v>
      </c>
    </row>
    <row r="179" spans="5:10" x14ac:dyDescent="0.25">
      <c r="E179" s="175">
        <f t="shared" ref="E179:G179" si="967">E34*-1</f>
        <v>-0.87138991561834622</v>
      </c>
      <c r="F179" s="175">
        <f t="shared" si="967"/>
        <v>-0.41199987442480035</v>
      </c>
      <c r="G179" s="175">
        <f t="shared" si="967"/>
        <v>-0.26633760236324189</v>
      </c>
      <c r="H179" s="144"/>
      <c r="I179" s="91"/>
      <c r="J179" s="84">
        <f t="shared" si="941"/>
        <v>3.2160000000000002</v>
      </c>
    </row>
    <row r="180" spans="5:10" x14ac:dyDescent="0.25">
      <c r="E180" s="175">
        <f t="shared" ref="E180:G180" si="968">E35*-1</f>
        <v>-0.45431179937053406</v>
      </c>
      <c r="F180" s="175">
        <f t="shared" si="968"/>
        <v>0.5577189448613028</v>
      </c>
      <c r="G180" s="175">
        <f t="shared" si="968"/>
        <v>-0.69465845384296798</v>
      </c>
      <c r="H180" s="144"/>
      <c r="I180" s="91"/>
      <c r="J180" s="84">
        <f t="shared" si="941"/>
        <v>3.222</v>
      </c>
    </row>
    <row r="181" spans="5:10" x14ac:dyDescent="0.25">
      <c r="E181" s="175">
        <f t="shared" ref="E181:G181" si="969">E36*-1</f>
        <v>-0.62796823800727708</v>
      </c>
      <c r="F181" s="175">
        <f t="shared" si="969"/>
        <v>0.77823896847561203</v>
      </c>
      <c r="G181" s="175">
        <f t="shared" si="969"/>
        <v>-2.2679489709822973E-7</v>
      </c>
      <c r="H181" s="144"/>
      <c r="I181" s="91"/>
      <c r="J181" s="84">
        <f t="shared" si="941"/>
        <v>3.2280000000000002</v>
      </c>
    </row>
    <row r="182" spans="5:10" x14ac:dyDescent="0.25">
      <c r="E182" s="175">
        <f t="shared" ref="E182:G182" si="970">E37*-1</f>
        <v>-0.96458042631082186</v>
      </c>
      <c r="F182" s="175">
        <f t="shared" si="970"/>
        <v>3.8218014805665335E-2</v>
      </c>
      <c r="G182" s="175">
        <f t="shared" si="970"/>
        <v>-0.26100571741313866</v>
      </c>
      <c r="H182" s="144"/>
      <c r="I182" s="91"/>
      <c r="J182" s="84">
        <f t="shared" si="941"/>
        <v>4.109</v>
      </c>
    </row>
    <row r="183" spans="5:10" x14ac:dyDescent="0.25">
      <c r="E183" s="175">
        <f t="shared" ref="E183:G183" si="971">E38*-1</f>
        <v>-0.95591107028923383</v>
      </c>
      <c r="F183" s="175">
        <f t="shared" si="971"/>
        <v>0.20643048737301925</v>
      </c>
      <c r="G183" s="175">
        <f t="shared" si="971"/>
        <v>-0.20885516412439833</v>
      </c>
      <c r="H183" s="144"/>
      <c r="I183" s="91"/>
      <c r="J183" s="84">
        <f t="shared" si="941"/>
        <v>4.1150000000000002</v>
      </c>
    </row>
    <row r="184" spans="5:10" x14ac:dyDescent="0.25">
      <c r="E184" s="175">
        <f t="shared" ref="E184:G184" si="972">E39*-1</f>
        <v>-0.91004607594236597</v>
      </c>
      <c r="F184" s="175">
        <f t="shared" si="972"/>
        <v>0.37851231018471132</v>
      </c>
      <c r="G184" s="175">
        <f t="shared" si="972"/>
        <v>-0.16895138561294609</v>
      </c>
      <c r="H184" s="144"/>
      <c r="I184" s="91"/>
      <c r="J184" s="84">
        <f t="shared" si="941"/>
        <v>4.1210000000000004</v>
      </c>
    </row>
    <row r="185" spans="5:10" x14ac:dyDescent="0.25">
      <c r="E185" s="175">
        <f t="shared" ref="E185:G185" si="973">E40*-1</f>
        <v>-0.84278115617020621</v>
      </c>
      <c r="F185" s="175">
        <f t="shared" si="973"/>
        <v>0.53825637274852378</v>
      </c>
      <c r="G185" s="175">
        <f t="shared" si="973"/>
        <v>-1.1339743345366201E-7</v>
      </c>
      <c r="H185" s="144"/>
      <c r="I185" s="91"/>
      <c r="J185" s="84">
        <f t="shared" si="941"/>
        <v>4.1269999999999998</v>
      </c>
    </row>
    <row r="186" spans="5:10" x14ac:dyDescent="0.25">
      <c r="E186" s="175">
        <f t="shared" ref="E186:G186" si="974">E41*-1</f>
        <v>0.12865506397876553</v>
      </c>
      <c r="F186" s="175">
        <f t="shared" si="974"/>
        <v>0.30444639587443434</v>
      </c>
      <c r="G186" s="175">
        <f t="shared" si="974"/>
        <v>-0.94380096765774035</v>
      </c>
      <c r="H186" s="144"/>
      <c r="I186" s="91"/>
      <c r="J186" s="84">
        <f t="shared" si="941"/>
        <v>4.2149999999999999</v>
      </c>
    </row>
    <row r="187" spans="5:10" x14ac:dyDescent="0.25">
      <c r="E187" s="175">
        <f t="shared" ref="E187:G187" si="975">E42*-1</f>
        <v>0.24044184357329543</v>
      </c>
      <c r="F187" s="175">
        <f t="shared" si="975"/>
        <v>0.62582702540008761</v>
      </c>
      <c r="G187" s="175">
        <f t="shared" si="975"/>
        <v>-0.74197591210089364</v>
      </c>
      <c r="H187" s="144"/>
      <c r="I187" s="91"/>
      <c r="J187" s="84">
        <f t="shared" si="941"/>
        <v>4.2210000000000001</v>
      </c>
    </row>
    <row r="188" spans="5:10" x14ac:dyDescent="0.25">
      <c r="E188" s="175">
        <f t="shared" ref="E188:G188" si="976">E43*-1</f>
        <v>0.35999045685147152</v>
      </c>
      <c r="F188" s="175">
        <f t="shared" si="976"/>
        <v>0.93295598555120351</v>
      </c>
      <c r="G188" s="175">
        <f t="shared" si="976"/>
        <v>-2.2679489705657792E-7</v>
      </c>
      <c r="H188" s="144"/>
      <c r="I188" s="91"/>
      <c r="J188" s="84">
        <f t="shared" si="941"/>
        <v>4.2270000000000003</v>
      </c>
    </row>
    <row r="189" spans="5:10" x14ac:dyDescent="0.25">
      <c r="E189" s="175">
        <f t="shared" ref="E189:G189" si="977">E44*-1</f>
        <v>-0.4880334306401819</v>
      </c>
      <c r="F189" s="175">
        <f t="shared" si="977"/>
        <v>0.82307756169972091</v>
      </c>
      <c r="G189" s="175">
        <f t="shared" si="977"/>
        <v>-0.29045946017304536</v>
      </c>
      <c r="H189" s="144"/>
      <c r="I189" s="91"/>
      <c r="J189" s="84">
        <f t="shared" si="941"/>
        <v>5.1020000000000003</v>
      </c>
    </row>
    <row r="190" spans="5:10" x14ac:dyDescent="0.25">
      <c r="E190" s="175">
        <f t="shared" ref="E190:G190" si="978">E45*-1</f>
        <v>-0.48364153900886331</v>
      </c>
      <c r="F190" s="175">
        <f t="shared" si="978"/>
        <v>0.8388032415964124</v>
      </c>
      <c r="G190" s="175">
        <f t="shared" si="978"/>
        <v>-0.24999996726497556</v>
      </c>
      <c r="H190" s="144"/>
      <c r="I190" s="91"/>
      <c r="J190" s="84">
        <f t="shared" si="941"/>
        <v>5.1050000000000004</v>
      </c>
    </row>
    <row r="191" spans="5:10" x14ac:dyDescent="0.25">
      <c r="E191" s="175">
        <f t="shared" ref="E191:G191" si="979">E46*-1</f>
        <v>-0.41529835988587444</v>
      </c>
      <c r="F191" s="175">
        <f t="shared" si="979"/>
        <v>0.87133832506999065</v>
      </c>
      <c r="G191" s="175">
        <f t="shared" si="979"/>
        <v>-0.26133655607343975</v>
      </c>
      <c r="H191" s="144"/>
      <c r="I191" s="91"/>
      <c r="J191" s="84">
        <f t="shared" si="941"/>
        <v>5.1079999999999997</v>
      </c>
    </row>
    <row r="192" spans="5:10" x14ac:dyDescent="0.25">
      <c r="E192" s="175">
        <f t="shared" ref="E192:G192" si="980">E47*-1</f>
        <v>-0.25684651212439569</v>
      </c>
      <c r="F192" s="175">
        <f t="shared" si="980"/>
        <v>0.94039273221789854</v>
      </c>
      <c r="G192" s="175">
        <f t="shared" si="980"/>
        <v>-0.22291563067961079</v>
      </c>
      <c r="H192" s="144"/>
      <c r="I192" s="91"/>
      <c r="J192" s="84">
        <f t="shared" si="941"/>
        <v>5.1139999999999999</v>
      </c>
    </row>
    <row r="193" spans="5:10" x14ac:dyDescent="0.25">
      <c r="E193" s="175">
        <f t="shared" ref="E193:G193" si="981">E48*-1</f>
        <v>-8.6412929204772476E-2</v>
      </c>
      <c r="F193" s="175">
        <f t="shared" si="981"/>
        <v>0.97958502357756672</v>
      </c>
      <c r="G193" s="175">
        <f t="shared" si="981"/>
        <v>-0.18151029515922523</v>
      </c>
      <c r="H193" s="144"/>
      <c r="I193" s="91"/>
      <c r="J193" s="84">
        <f t="shared" si="941"/>
        <v>5.12</v>
      </c>
    </row>
    <row r="194" spans="5:10" x14ac:dyDescent="0.25">
      <c r="E194" s="175">
        <f t="shared" ref="E194:G194" si="982">E49*-1</f>
        <v>9.1781355511733484E-2</v>
      </c>
      <c r="F194" s="175">
        <f t="shared" si="982"/>
        <v>0.99158836716850862</v>
      </c>
      <c r="G194" s="175">
        <f t="shared" si="982"/>
        <v>-9.126167254943178E-2</v>
      </c>
      <c r="H194" s="144"/>
      <c r="I194" s="91"/>
      <c r="J194" s="84">
        <f t="shared" si="941"/>
        <v>5.1260000000000003</v>
      </c>
    </row>
    <row r="195" spans="5:10" x14ac:dyDescent="0.25">
      <c r="E195" s="175">
        <f t="shared" ref="E195:G195" si="983">E50*-1</f>
        <v>0.11433052106755759</v>
      </c>
      <c r="F195" s="175">
        <f t="shared" si="983"/>
        <v>0.99344276732603376</v>
      </c>
      <c r="G195" s="175">
        <f t="shared" si="983"/>
        <v>-1.1339743362162163E-7</v>
      </c>
      <c r="H195" s="144"/>
      <c r="I195" s="91"/>
      <c r="J195" s="84">
        <f t="shared" si="941"/>
        <v>5.1319999999999997</v>
      </c>
    </row>
    <row r="196" spans="5:10" x14ac:dyDescent="0.25">
      <c r="E196" s="175">
        <f t="shared" ref="E196:G196" si="984">E51*-1</f>
        <v>8.1022787033921975E-2</v>
      </c>
      <c r="F196" s="175">
        <f t="shared" si="984"/>
        <v>0.95355867626698099</v>
      </c>
      <c r="G196" s="175">
        <f t="shared" si="984"/>
        <v>-0.29010542721089988</v>
      </c>
      <c r="H196" s="144"/>
      <c r="I196" s="91"/>
      <c r="J196" s="84">
        <f t="shared" si="941"/>
        <v>5.2140000000000004</v>
      </c>
    </row>
    <row r="197" spans="5:10" x14ac:dyDescent="0.25">
      <c r="E197" s="175">
        <f t="shared" ref="E197:G197" si="985">E52*-1</f>
        <v>0.2478951663567488</v>
      </c>
      <c r="F197" s="175">
        <f t="shared" si="985"/>
        <v>0.94320795414322234</v>
      </c>
      <c r="G197" s="175">
        <f t="shared" si="985"/>
        <v>-0.22114868694594839</v>
      </c>
      <c r="H197" s="144"/>
      <c r="I197" s="91"/>
      <c r="J197" s="84">
        <f t="shared" si="941"/>
        <v>5.22</v>
      </c>
    </row>
    <row r="198" spans="5:10" x14ac:dyDescent="0.25">
      <c r="E198" s="175">
        <f t="shared" ref="E198:G198" si="986">E53*-1</f>
        <v>0.87250952424857997</v>
      </c>
      <c r="F198" s="175">
        <f t="shared" si="986"/>
        <v>8.1488633393343154E-2</v>
      </c>
      <c r="G198" s="175">
        <f t="shared" si="986"/>
        <v>-0.48175380924617722</v>
      </c>
      <c r="H198" s="144"/>
      <c r="I198" s="91"/>
      <c r="J198" s="84">
        <f t="shared" si="941"/>
        <v>5.226</v>
      </c>
    </row>
    <row r="199" spans="5:10" x14ac:dyDescent="0.25">
      <c r="E199" s="175">
        <f t="shared" ref="E199:G199" si="987">E54*-1</f>
        <v>0.99634470089885852</v>
      </c>
      <c r="F199" s="175">
        <f t="shared" si="987"/>
        <v>8.5423866634054185E-2</v>
      </c>
      <c r="G199" s="175">
        <f t="shared" si="987"/>
        <v>-2.2679489568523886E-7</v>
      </c>
      <c r="H199" s="144"/>
      <c r="I199" s="91"/>
      <c r="J199" s="84">
        <f t="shared" si="941"/>
        <v>5.2320000000000002</v>
      </c>
    </row>
    <row r="200" spans="5:10" x14ac:dyDescent="0.25">
      <c r="E200" s="175">
        <f t="shared" ref="E200:G200" si="988">E55*-1</f>
        <v>0.61390791293990643</v>
      </c>
      <c r="F200" s="175">
        <f t="shared" si="988"/>
        <v>0.75358065056281187</v>
      </c>
      <c r="G200" s="175">
        <f t="shared" si="988"/>
        <v>-0.23501761109988684</v>
      </c>
      <c r="H200" s="144"/>
      <c r="I200" s="91"/>
      <c r="J200" s="84">
        <f t="shared" si="941"/>
        <v>6.1130000000000004</v>
      </c>
    </row>
    <row r="201" spans="5:10" x14ac:dyDescent="0.25">
      <c r="E201" s="175">
        <f t="shared" ref="E201:G201" si="989">E56*-1</f>
        <v>0.74367053331530897</v>
      </c>
      <c r="F201" s="175">
        <f t="shared" si="989"/>
        <v>0.64041723636767811</v>
      </c>
      <c r="G201" s="175">
        <f t="shared" si="989"/>
        <v>-0.19188512511841424</v>
      </c>
      <c r="H201" s="144"/>
      <c r="I201" s="91"/>
      <c r="J201" s="84">
        <f t="shared" si="941"/>
        <v>6.1189999999999998</v>
      </c>
    </row>
    <row r="202" spans="5:10" x14ac:dyDescent="0.25">
      <c r="E202" s="175">
        <f t="shared" ref="E202:G202" si="990">E57*-1</f>
        <v>0.8539031684263314</v>
      </c>
      <c r="F202" s="175">
        <f t="shared" si="990"/>
        <v>0.50944198785948935</v>
      </c>
      <c r="G202" s="175">
        <f t="shared" si="990"/>
        <v>-0.10638721707632147</v>
      </c>
      <c r="H202" s="144"/>
      <c r="I202" s="91"/>
      <c r="J202" s="84">
        <f t="shared" si="941"/>
        <v>6.125</v>
      </c>
    </row>
    <row r="203" spans="5:10" x14ac:dyDescent="0.25">
      <c r="E203" s="175">
        <f t="shared" ref="E203:G203" si="991">E58*-1</f>
        <v>0.88753413130899372</v>
      </c>
      <c r="F203" s="175">
        <f t="shared" si="991"/>
        <v>0.46074197308426018</v>
      </c>
      <c r="G203" s="175">
        <f t="shared" si="991"/>
        <v>-1.1339743381742591E-7</v>
      </c>
      <c r="H203" s="144"/>
      <c r="I203" s="91"/>
      <c r="J203" s="84">
        <f t="shared" si="941"/>
        <v>6.1310000000000002</v>
      </c>
    </row>
    <row r="204" spans="5:10" x14ac:dyDescent="0.25">
      <c r="E204" s="175">
        <f t="shared" ref="E204:G204" si="992">E59*-1</f>
        <v>0.35645108241790358</v>
      </c>
      <c r="F204" s="175">
        <f t="shared" si="992"/>
        <v>-0.44018015619384376</v>
      </c>
      <c r="G204" s="175">
        <f t="shared" si="992"/>
        <v>-0.82412623786424155</v>
      </c>
      <c r="H204" s="144"/>
      <c r="I204" s="91"/>
      <c r="J204" s="84">
        <f t="shared" si="941"/>
        <v>6.2190000000000003</v>
      </c>
    </row>
    <row r="205" spans="5:10" x14ac:dyDescent="0.25">
      <c r="E205" s="175">
        <f t="shared" ref="E205:G205" si="993">E60*-1</f>
        <v>0.53433139916927197</v>
      </c>
      <c r="F205" s="175">
        <f t="shared" si="993"/>
        <v>-0.65131855936988392</v>
      </c>
      <c r="G205" s="175">
        <f t="shared" si="993"/>
        <v>-0.53877090686315565</v>
      </c>
      <c r="H205" s="144"/>
      <c r="I205" s="91"/>
      <c r="J205" s="84">
        <f t="shared" si="941"/>
        <v>6.2249999999999996</v>
      </c>
    </row>
    <row r="206" spans="5:10" x14ac:dyDescent="0.25">
      <c r="E206" s="175">
        <f t="shared" ref="E206:G206" si="994">E61*-1</f>
        <v>0.62796859100846547</v>
      </c>
      <c r="F206" s="175">
        <f t="shared" si="994"/>
        <v>-0.77823868363554849</v>
      </c>
      <c r="G206" s="175">
        <f t="shared" si="994"/>
        <v>-2.2679489724587369E-7</v>
      </c>
      <c r="H206" s="144"/>
      <c r="I206" s="91"/>
      <c r="J206" s="84">
        <f t="shared" si="941"/>
        <v>6.2309999999999999</v>
      </c>
    </row>
    <row r="207" spans="5:10" x14ac:dyDescent="0.25">
      <c r="E207" s="175">
        <f t="shared" ref="E207:G207" si="995">E62*-1</f>
        <v>0</v>
      </c>
      <c r="F207" s="175">
        <f t="shared" si="995"/>
        <v>0</v>
      </c>
      <c r="G207" s="175">
        <f t="shared" si="995"/>
        <v>0</v>
      </c>
      <c r="H207" s="144"/>
      <c r="I207" s="91"/>
      <c r="J207" s="84">
        <f t="shared" si="941"/>
        <v>0</v>
      </c>
    </row>
    <row r="208" spans="5:10" x14ac:dyDescent="0.25">
      <c r="E208" s="175">
        <f t="shared" ref="E208:G208" si="996">E63*-1</f>
        <v>0</v>
      </c>
      <c r="F208" s="175">
        <f t="shared" si="996"/>
        <v>0</v>
      </c>
      <c r="G208" s="175">
        <f t="shared" si="996"/>
        <v>0</v>
      </c>
      <c r="H208" s="144"/>
      <c r="I208" s="91"/>
      <c r="J208" s="84">
        <f t="shared" si="941"/>
        <v>0</v>
      </c>
    </row>
    <row r="209" spans="5:10" x14ac:dyDescent="0.25">
      <c r="E209" s="175">
        <f t="shared" ref="E209:G209" si="997">E64*-1</f>
        <v>0</v>
      </c>
      <c r="F209" s="175">
        <f t="shared" si="997"/>
        <v>0</v>
      </c>
      <c r="G209" s="175">
        <f t="shared" si="997"/>
        <v>0</v>
      </c>
      <c r="H209" s="144"/>
      <c r="I209" s="91"/>
      <c r="J209" s="84">
        <f t="shared" si="941"/>
        <v>0</v>
      </c>
    </row>
    <row r="210" spans="5:10" x14ac:dyDescent="0.25">
      <c r="E210" s="175">
        <f t="shared" ref="E210:G210" si="998">E65*-1</f>
        <v>0</v>
      </c>
      <c r="F210" s="175">
        <f t="shared" si="998"/>
        <v>0</v>
      </c>
      <c r="G210" s="175">
        <f t="shared" si="998"/>
        <v>0</v>
      </c>
      <c r="H210" s="144"/>
      <c r="I210" s="91"/>
      <c r="J210" s="84">
        <f t="shared" si="941"/>
        <v>0</v>
      </c>
    </row>
    <row r="211" spans="5:10" x14ac:dyDescent="0.25">
      <c r="E211" s="175">
        <f t="shared" ref="E211:G211" si="999">E66*-1</f>
        <v>0</v>
      </c>
      <c r="F211" s="175">
        <f t="shared" si="999"/>
        <v>0</v>
      </c>
      <c r="G211" s="175">
        <f t="shared" si="999"/>
        <v>0</v>
      </c>
      <c r="H211" s="144"/>
      <c r="I211" s="91"/>
      <c r="J211" s="84">
        <f t="shared" si="941"/>
        <v>0</v>
      </c>
    </row>
    <row r="212" spans="5:10" x14ac:dyDescent="0.25">
      <c r="E212" s="175">
        <f t="shared" ref="E212:G212" si="1000">E67*-1</f>
        <v>0</v>
      </c>
      <c r="F212" s="175">
        <f t="shared" si="1000"/>
        <v>0</v>
      </c>
      <c r="G212" s="175">
        <f t="shared" si="1000"/>
        <v>0</v>
      </c>
      <c r="H212" s="144"/>
      <c r="I212" s="91"/>
      <c r="J212" s="84">
        <f t="shared" si="941"/>
        <v>0</v>
      </c>
    </row>
    <row r="213" spans="5:10" x14ac:dyDescent="0.25">
      <c r="E213" s="175">
        <f t="shared" ref="E213:G213" si="1001">E68*-1</f>
        <v>0</v>
      </c>
      <c r="F213" s="175">
        <f t="shared" si="1001"/>
        <v>0</v>
      </c>
      <c r="G213" s="175">
        <f t="shared" si="1001"/>
        <v>0</v>
      </c>
      <c r="H213" s="144"/>
      <c r="I213" s="91"/>
      <c r="J213" s="84">
        <f t="shared" si="941"/>
        <v>0</v>
      </c>
    </row>
    <row r="214" spans="5:10" x14ac:dyDescent="0.25">
      <c r="E214" s="175">
        <f t="shared" ref="E214:G214" si="1002">E69*-1</f>
        <v>0</v>
      </c>
      <c r="F214" s="175">
        <f t="shared" si="1002"/>
        <v>0</v>
      </c>
      <c r="G214" s="175">
        <f t="shared" si="1002"/>
        <v>0</v>
      </c>
      <c r="H214" s="144"/>
      <c r="I214" s="91"/>
      <c r="J214" s="84">
        <f t="shared" si="941"/>
        <v>0</v>
      </c>
    </row>
    <row r="215" spans="5:10" x14ac:dyDescent="0.25">
      <c r="E215" s="175">
        <f t="shared" ref="E215:G215" si="1003">E70*-1</f>
        <v>0</v>
      </c>
      <c r="F215" s="175">
        <f t="shared" si="1003"/>
        <v>0</v>
      </c>
      <c r="G215" s="175">
        <f t="shared" si="1003"/>
        <v>0</v>
      </c>
      <c r="H215" s="144"/>
      <c r="I215" s="91"/>
      <c r="J215" s="84">
        <f t="shared" si="941"/>
        <v>0</v>
      </c>
    </row>
    <row r="216" spans="5:10" x14ac:dyDescent="0.25">
      <c r="E216" s="175">
        <f t="shared" ref="E216:G216" si="1004">E71*-1</f>
        <v>0</v>
      </c>
      <c r="F216" s="175">
        <f t="shared" si="1004"/>
        <v>0</v>
      </c>
      <c r="G216" s="175">
        <f t="shared" si="1004"/>
        <v>0</v>
      </c>
      <c r="H216" s="144"/>
      <c r="I216" s="91"/>
      <c r="J216" s="84">
        <f t="shared" si="941"/>
        <v>0</v>
      </c>
    </row>
    <row r="217" spans="5:10" x14ac:dyDescent="0.25">
      <c r="E217" s="175">
        <f t="shared" ref="E217:G217" si="1005">E72*-1</f>
        <v>0</v>
      </c>
      <c r="F217" s="175">
        <f t="shared" si="1005"/>
        <v>0</v>
      </c>
      <c r="G217" s="175">
        <f t="shared" si="1005"/>
        <v>0</v>
      </c>
      <c r="H217" s="144"/>
      <c r="I217" s="91"/>
      <c r="J217" s="84">
        <f t="shared" si="941"/>
        <v>0</v>
      </c>
    </row>
    <row r="218" spans="5:10" x14ac:dyDescent="0.25">
      <c r="E218" s="175">
        <f t="shared" ref="E218:G218" si="1006">E73*-1</f>
        <v>0</v>
      </c>
      <c r="F218" s="175">
        <f t="shared" si="1006"/>
        <v>0</v>
      </c>
      <c r="G218" s="175">
        <f t="shared" si="1006"/>
        <v>0</v>
      </c>
      <c r="H218" s="144"/>
      <c r="I218" s="91"/>
      <c r="J218" s="84">
        <f t="shared" si="941"/>
        <v>0</v>
      </c>
    </row>
    <row r="219" spans="5:10" x14ac:dyDescent="0.25">
      <c r="E219" s="175">
        <f t="shared" ref="E219:G219" si="1007">E74*-1</f>
        <v>0</v>
      </c>
      <c r="F219" s="175">
        <f t="shared" si="1007"/>
        <v>0</v>
      </c>
      <c r="G219" s="175">
        <f t="shared" si="1007"/>
        <v>0</v>
      </c>
      <c r="H219" s="144"/>
      <c r="I219" s="91"/>
      <c r="J219" s="84">
        <f t="shared" ref="J219:J282" si="1008">J74</f>
        <v>0</v>
      </c>
    </row>
    <row r="220" spans="5:10" x14ac:dyDescent="0.25">
      <c r="E220" s="175">
        <f t="shared" ref="E220:G220" si="1009">E75*-1</f>
        <v>0</v>
      </c>
      <c r="F220" s="175">
        <f t="shared" si="1009"/>
        <v>0</v>
      </c>
      <c r="G220" s="175">
        <f t="shared" si="1009"/>
        <v>0</v>
      </c>
      <c r="H220" s="144"/>
      <c r="I220" s="91"/>
      <c r="J220" s="84">
        <f t="shared" si="1008"/>
        <v>0</v>
      </c>
    </row>
    <row r="221" spans="5:10" x14ac:dyDescent="0.25">
      <c r="E221" s="175">
        <f t="shared" ref="E221:G221" si="1010">E76*-1</f>
        <v>0</v>
      </c>
      <c r="F221" s="175">
        <f t="shared" si="1010"/>
        <v>0</v>
      </c>
      <c r="G221" s="175">
        <f t="shared" si="1010"/>
        <v>0</v>
      </c>
      <c r="H221" s="144"/>
      <c r="I221" s="91"/>
      <c r="J221" s="84">
        <f t="shared" si="1008"/>
        <v>0</v>
      </c>
    </row>
    <row r="222" spans="5:10" x14ac:dyDescent="0.25">
      <c r="E222" s="175">
        <f t="shared" ref="E222:G222" si="1011">E77*-1</f>
        <v>0</v>
      </c>
      <c r="F222" s="175">
        <f t="shared" si="1011"/>
        <v>0</v>
      </c>
      <c r="G222" s="175">
        <f t="shared" si="1011"/>
        <v>0</v>
      </c>
      <c r="H222" s="144"/>
      <c r="I222" s="91"/>
      <c r="J222" s="84">
        <f t="shared" si="1008"/>
        <v>0</v>
      </c>
    </row>
    <row r="223" spans="5:10" x14ac:dyDescent="0.25">
      <c r="E223" s="175">
        <f t="shared" ref="E223:G223" si="1012">E78*-1</f>
        <v>0</v>
      </c>
      <c r="F223" s="175">
        <f t="shared" si="1012"/>
        <v>0</v>
      </c>
      <c r="G223" s="175">
        <f t="shared" si="1012"/>
        <v>0</v>
      </c>
      <c r="H223" s="144"/>
      <c r="I223" s="91"/>
      <c r="J223" s="84">
        <f t="shared" si="1008"/>
        <v>0</v>
      </c>
    </row>
    <row r="224" spans="5:10" x14ac:dyDescent="0.25">
      <c r="E224" s="175">
        <f t="shared" ref="E224:G224" si="1013">E79*-1</f>
        <v>0</v>
      </c>
      <c r="F224" s="175">
        <f t="shared" si="1013"/>
        <v>0</v>
      </c>
      <c r="G224" s="175">
        <f t="shared" si="1013"/>
        <v>0</v>
      </c>
      <c r="H224" s="144"/>
      <c r="I224" s="91"/>
      <c r="J224" s="84">
        <f t="shared" si="1008"/>
        <v>0</v>
      </c>
    </row>
    <row r="225" spans="5:10" x14ac:dyDescent="0.25">
      <c r="E225" s="175">
        <f t="shared" ref="E225:G225" si="1014">E80*-1</f>
        <v>0</v>
      </c>
      <c r="F225" s="175">
        <f t="shared" si="1014"/>
        <v>0</v>
      </c>
      <c r="G225" s="175">
        <f t="shared" si="1014"/>
        <v>0</v>
      </c>
      <c r="H225" s="144"/>
      <c r="I225" s="91"/>
      <c r="J225" s="84">
        <f t="shared" si="1008"/>
        <v>0</v>
      </c>
    </row>
    <row r="226" spans="5:10" x14ac:dyDescent="0.25">
      <c r="E226" s="175">
        <f t="shared" ref="E226:G226" si="1015">E81*-1</f>
        <v>0</v>
      </c>
      <c r="F226" s="175">
        <f t="shared" si="1015"/>
        <v>0</v>
      </c>
      <c r="G226" s="175">
        <f t="shared" si="1015"/>
        <v>0</v>
      </c>
      <c r="H226" s="144"/>
      <c r="I226" s="91"/>
      <c r="J226" s="84">
        <f t="shared" si="1008"/>
        <v>0</v>
      </c>
    </row>
    <row r="227" spans="5:10" x14ac:dyDescent="0.25">
      <c r="E227" s="175">
        <f t="shared" ref="E227:G227" si="1016">E82*-1</f>
        <v>0</v>
      </c>
      <c r="F227" s="175">
        <f t="shared" si="1016"/>
        <v>0</v>
      </c>
      <c r="G227" s="175">
        <f t="shared" si="1016"/>
        <v>0</v>
      </c>
      <c r="H227" s="144"/>
      <c r="I227" s="91"/>
      <c r="J227" s="84">
        <f t="shared" si="1008"/>
        <v>0</v>
      </c>
    </row>
    <row r="228" spans="5:10" x14ac:dyDescent="0.25">
      <c r="E228" s="175">
        <f t="shared" ref="E228:G228" si="1017">E83*-1</f>
        <v>0</v>
      </c>
      <c r="F228" s="175">
        <f t="shared" si="1017"/>
        <v>0</v>
      </c>
      <c r="G228" s="175">
        <f t="shared" si="1017"/>
        <v>0</v>
      </c>
      <c r="H228" s="144"/>
      <c r="I228" s="91"/>
      <c r="J228" s="84">
        <f t="shared" si="1008"/>
        <v>0</v>
      </c>
    </row>
    <row r="229" spans="5:10" x14ac:dyDescent="0.25">
      <c r="E229" s="175">
        <f t="shared" ref="E229:G229" si="1018">E84*-1</f>
        <v>0</v>
      </c>
      <c r="F229" s="175">
        <f t="shared" si="1018"/>
        <v>0</v>
      </c>
      <c r="G229" s="175">
        <f t="shared" si="1018"/>
        <v>0</v>
      </c>
      <c r="H229" s="144"/>
      <c r="I229" s="91"/>
      <c r="J229" s="84">
        <f t="shared" si="1008"/>
        <v>0</v>
      </c>
    </row>
    <row r="230" spans="5:10" x14ac:dyDescent="0.25">
      <c r="E230" s="175">
        <f t="shared" ref="E230:G230" si="1019">E85*-1</f>
        <v>0</v>
      </c>
      <c r="F230" s="175">
        <f t="shared" si="1019"/>
        <v>0</v>
      </c>
      <c r="G230" s="175">
        <f t="shared" si="1019"/>
        <v>0</v>
      </c>
      <c r="H230" s="144"/>
      <c r="I230" s="91"/>
      <c r="J230" s="84">
        <f t="shared" si="1008"/>
        <v>0</v>
      </c>
    </row>
    <row r="231" spans="5:10" x14ac:dyDescent="0.25">
      <c r="E231" s="175">
        <f t="shared" ref="E231:G231" si="1020">E86*-1</f>
        <v>0</v>
      </c>
      <c r="F231" s="175">
        <f t="shared" si="1020"/>
        <v>0</v>
      </c>
      <c r="G231" s="175">
        <f t="shared" si="1020"/>
        <v>0</v>
      </c>
      <c r="H231" s="144"/>
      <c r="I231" s="91"/>
      <c r="J231" s="84">
        <f t="shared" si="1008"/>
        <v>0</v>
      </c>
    </row>
    <row r="232" spans="5:10" x14ac:dyDescent="0.25">
      <c r="E232" s="175">
        <f t="shared" ref="E232:G232" si="1021">E87*-1</f>
        <v>0</v>
      </c>
      <c r="F232" s="175">
        <f t="shared" si="1021"/>
        <v>0</v>
      </c>
      <c r="G232" s="175">
        <f t="shared" si="1021"/>
        <v>0</v>
      </c>
      <c r="H232" s="144"/>
      <c r="I232" s="91"/>
      <c r="J232" s="84">
        <f t="shared" si="1008"/>
        <v>0</v>
      </c>
    </row>
    <row r="233" spans="5:10" x14ac:dyDescent="0.25">
      <c r="E233" s="175">
        <f t="shared" ref="E233:G233" si="1022">E88*-1</f>
        <v>0</v>
      </c>
      <c r="F233" s="175">
        <f t="shared" si="1022"/>
        <v>0</v>
      </c>
      <c r="G233" s="175">
        <f t="shared" si="1022"/>
        <v>0</v>
      </c>
      <c r="H233" s="144"/>
      <c r="I233" s="91"/>
      <c r="J233" s="84">
        <f t="shared" si="1008"/>
        <v>0</v>
      </c>
    </row>
    <row r="234" spans="5:10" x14ac:dyDescent="0.25">
      <c r="E234" s="175">
        <f t="shared" ref="E234:G234" si="1023">E89*-1</f>
        <v>0</v>
      </c>
      <c r="F234" s="175">
        <f t="shared" si="1023"/>
        <v>0</v>
      </c>
      <c r="G234" s="175">
        <f t="shared" si="1023"/>
        <v>0</v>
      </c>
      <c r="H234" s="144"/>
      <c r="I234" s="91"/>
      <c r="J234" s="84">
        <f t="shared" si="1008"/>
        <v>0</v>
      </c>
    </row>
    <row r="235" spans="5:10" x14ac:dyDescent="0.25">
      <c r="E235" s="175">
        <f t="shared" ref="E235:G235" si="1024">E90*-1</f>
        <v>0</v>
      </c>
      <c r="F235" s="175">
        <f t="shared" si="1024"/>
        <v>0</v>
      </c>
      <c r="G235" s="175">
        <f t="shared" si="1024"/>
        <v>0</v>
      </c>
      <c r="H235" s="144"/>
      <c r="I235" s="91"/>
      <c r="J235" s="84">
        <f t="shared" si="1008"/>
        <v>0</v>
      </c>
    </row>
    <row r="236" spans="5:10" x14ac:dyDescent="0.25">
      <c r="E236" s="175">
        <f t="shared" ref="E236:G236" si="1025">E91*-1</f>
        <v>0</v>
      </c>
      <c r="F236" s="175">
        <f t="shared" si="1025"/>
        <v>0</v>
      </c>
      <c r="G236" s="175">
        <f t="shared" si="1025"/>
        <v>0</v>
      </c>
      <c r="H236" s="144"/>
      <c r="I236" s="91"/>
      <c r="J236" s="84">
        <f t="shared" si="1008"/>
        <v>0</v>
      </c>
    </row>
    <row r="237" spans="5:10" x14ac:dyDescent="0.25">
      <c r="E237" s="175">
        <f t="shared" ref="E237:G237" si="1026">E92*-1</f>
        <v>0</v>
      </c>
      <c r="F237" s="175">
        <f t="shared" si="1026"/>
        <v>0</v>
      </c>
      <c r="G237" s="175">
        <f t="shared" si="1026"/>
        <v>0</v>
      </c>
      <c r="H237" s="144"/>
      <c r="I237" s="91"/>
      <c r="J237" s="84">
        <f t="shared" si="1008"/>
        <v>0</v>
      </c>
    </row>
    <row r="238" spans="5:10" x14ac:dyDescent="0.25">
      <c r="E238" s="175">
        <f t="shared" ref="E238:G238" si="1027">E93*-1</f>
        <v>0</v>
      </c>
      <c r="F238" s="175">
        <f t="shared" si="1027"/>
        <v>0</v>
      </c>
      <c r="G238" s="175">
        <f t="shared" si="1027"/>
        <v>0</v>
      </c>
      <c r="H238" s="144"/>
      <c r="I238" s="91"/>
      <c r="J238" s="84">
        <f t="shared" si="1008"/>
        <v>0</v>
      </c>
    </row>
    <row r="239" spans="5:10" x14ac:dyDescent="0.25">
      <c r="E239" s="175">
        <f t="shared" ref="E239:G239" si="1028">E94*-1</f>
        <v>0</v>
      </c>
      <c r="F239" s="175">
        <f t="shared" si="1028"/>
        <v>0</v>
      </c>
      <c r="G239" s="175">
        <f t="shared" si="1028"/>
        <v>0</v>
      </c>
      <c r="H239" s="144"/>
      <c r="I239" s="91"/>
      <c r="J239" s="84">
        <f t="shared" si="1008"/>
        <v>0</v>
      </c>
    </row>
    <row r="240" spans="5:10" x14ac:dyDescent="0.25">
      <c r="E240" s="175">
        <f t="shared" ref="E240:G240" si="1029">E95*-1</f>
        <v>0</v>
      </c>
      <c r="F240" s="175">
        <f t="shared" si="1029"/>
        <v>0</v>
      </c>
      <c r="G240" s="175">
        <f t="shared" si="1029"/>
        <v>0</v>
      </c>
      <c r="H240" s="144"/>
      <c r="I240" s="91"/>
      <c r="J240" s="84">
        <f t="shared" si="1008"/>
        <v>0</v>
      </c>
    </row>
    <row r="241" spans="5:10" x14ac:dyDescent="0.25">
      <c r="E241" s="175">
        <f t="shared" ref="E241:G241" si="1030">E96*-1</f>
        <v>0</v>
      </c>
      <c r="F241" s="175">
        <f t="shared" si="1030"/>
        <v>0</v>
      </c>
      <c r="G241" s="175">
        <f t="shared" si="1030"/>
        <v>0</v>
      </c>
      <c r="H241" s="144"/>
      <c r="I241" s="91"/>
      <c r="J241" s="84">
        <f t="shared" si="1008"/>
        <v>0</v>
      </c>
    </row>
    <row r="242" spans="5:10" x14ac:dyDescent="0.25">
      <c r="E242" s="175">
        <f t="shared" ref="E242:G242" si="1031">E97*-1</f>
        <v>0</v>
      </c>
      <c r="F242" s="175">
        <f t="shared" si="1031"/>
        <v>0</v>
      </c>
      <c r="G242" s="175">
        <f t="shared" si="1031"/>
        <v>0</v>
      </c>
      <c r="H242" s="144"/>
      <c r="I242" s="91"/>
      <c r="J242" s="84">
        <f t="shared" si="1008"/>
        <v>0</v>
      </c>
    </row>
    <row r="243" spans="5:10" x14ac:dyDescent="0.25">
      <c r="E243" s="175">
        <f t="shared" ref="E243:G243" si="1032">E98*-1</f>
        <v>0</v>
      </c>
      <c r="F243" s="175">
        <f t="shared" si="1032"/>
        <v>0</v>
      </c>
      <c r="G243" s="175">
        <f t="shared" si="1032"/>
        <v>0</v>
      </c>
      <c r="H243" s="144"/>
      <c r="I243" s="91"/>
      <c r="J243" s="84">
        <f t="shared" si="1008"/>
        <v>0</v>
      </c>
    </row>
    <row r="244" spans="5:10" x14ac:dyDescent="0.25">
      <c r="E244" s="175">
        <f t="shared" ref="E244:G244" si="1033">E99*-1</f>
        <v>0</v>
      </c>
      <c r="F244" s="175">
        <f t="shared" si="1033"/>
        <v>0</v>
      </c>
      <c r="G244" s="175">
        <f t="shared" si="1033"/>
        <v>0</v>
      </c>
      <c r="H244" s="144"/>
      <c r="I244" s="91"/>
      <c r="J244" s="84">
        <f t="shared" si="1008"/>
        <v>0</v>
      </c>
    </row>
    <row r="245" spans="5:10" x14ac:dyDescent="0.25">
      <c r="E245" s="175">
        <f t="shared" ref="E245:G245" si="1034">E100*-1</f>
        <v>0</v>
      </c>
      <c r="F245" s="175">
        <f t="shared" si="1034"/>
        <v>0</v>
      </c>
      <c r="G245" s="175">
        <f t="shared" si="1034"/>
        <v>0</v>
      </c>
      <c r="H245" s="144"/>
      <c r="I245" s="91"/>
      <c r="J245" s="84">
        <f t="shared" si="1008"/>
        <v>0</v>
      </c>
    </row>
    <row r="246" spans="5:10" x14ac:dyDescent="0.25">
      <c r="E246" s="175">
        <f t="shared" ref="E246:G246" si="1035">E101*-1</f>
        <v>0</v>
      </c>
      <c r="F246" s="175">
        <f t="shared" si="1035"/>
        <v>0</v>
      </c>
      <c r="G246" s="175">
        <f t="shared" si="1035"/>
        <v>0</v>
      </c>
      <c r="H246" s="144"/>
      <c r="I246" s="91"/>
      <c r="J246" s="84">
        <f t="shared" si="1008"/>
        <v>0</v>
      </c>
    </row>
    <row r="247" spans="5:10" x14ac:dyDescent="0.25">
      <c r="E247" s="175">
        <f t="shared" ref="E247:G247" si="1036">E102*-1</f>
        <v>0</v>
      </c>
      <c r="F247" s="175">
        <f t="shared" si="1036"/>
        <v>0</v>
      </c>
      <c r="G247" s="175">
        <f t="shared" si="1036"/>
        <v>0</v>
      </c>
      <c r="H247" s="144"/>
      <c r="I247" s="91"/>
      <c r="J247" s="84">
        <f t="shared" si="1008"/>
        <v>0</v>
      </c>
    </row>
    <row r="248" spans="5:10" x14ac:dyDescent="0.25">
      <c r="E248" s="175">
        <f t="shared" ref="E248:G248" si="1037">E103*-1</f>
        <v>0</v>
      </c>
      <c r="F248" s="175">
        <f t="shared" si="1037"/>
        <v>0</v>
      </c>
      <c r="G248" s="175">
        <f t="shared" si="1037"/>
        <v>0</v>
      </c>
      <c r="H248" s="144"/>
      <c r="I248" s="91"/>
      <c r="J248" s="84">
        <f t="shared" si="1008"/>
        <v>0</v>
      </c>
    </row>
    <row r="249" spans="5:10" x14ac:dyDescent="0.25">
      <c r="E249" s="175">
        <f t="shared" ref="E249:G249" si="1038">E104*-1</f>
        <v>0</v>
      </c>
      <c r="F249" s="175">
        <f t="shared" si="1038"/>
        <v>0</v>
      </c>
      <c r="G249" s="175">
        <f t="shared" si="1038"/>
        <v>0</v>
      </c>
      <c r="H249" s="144"/>
      <c r="I249" s="91"/>
      <c r="J249" s="84">
        <f t="shared" si="1008"/>
        <v>0</v>
      </c>
    </row>
    <row r="250" spans="5:10" x14ac:dyDescent="0.25">
      <c r="E250" s="175">
        <f t="shared" ref="E250:G250" si="1039">E105*-1</f>
        <v>0</v>
      </c>
      <c r="F250" s="175">
        <f t="shared" si="1039"/>
        <v>0</v>
      </c>
      <c r="G250" s="175">
        <f t="shared" si="1039"/>
        <v>0</v>
      </c>
      <c r="H250" s="144"/>
      <c r="I250" s="91"/>
      <c r="J250" s="84">
        <f t="shared" si="1008"/>
        <v>0</v>
      </c>
    </row>
    <row r="251" spans="5:10" x14ac:dyDescent="0.25">
      <c r="E251" s="175">
        <f t="shared" ref="E251:G251" si="1040">E106*-1</f>
        <v>0</v>
      </c>
      <c r="F251" s="175">
        <f t="shared" si="1040"/>
        <v>0</v>
      </c>
      <c r="G251" s="175">
        <f t="shared" si="1040"/>
        <v>0</v>
      </c>
      <c r="H251" s="144"/>
      <c r="I251" s="91"/>
      <c r="J251" s="84">
        <f t="shared" si="1008"/>
        <v>0</v>
      </c>
    </row>
    <row r="252" spans="5:10" x14ac:dyDescent="0.25">
      <c r="E252" s="175">
        <f t="shared" ref="E252:G252" si="1041">E107*-1</f>
        <v>0</v>
      </c>
      <c r="F252" s="175">
        <f t="shared" si="1041"/>
        <v>0</v>
      </c>
      <c r="G252" s="175">
        <f t="shared" si="1041"/>
        <v>0</v>
      </c>
      <c r="H252" s="144"/>
      <c r="I252" s="91"/>
      <c r="J252" s="84">
        <f t="shared" si="1008"/>
        <v>0</v>
      </c>
    </row>
    <row r="253" spans="5:10" x14ac:dyDescent="0.25">
      <c r="E253" s="175">
        <f t="shared" ref="E253:G253" si="1042">E108*-1</f>
        <v>0</v>
      </c>
      <c r="F253" s="175">
        <f t="shared" si="1042"/>
        <v>0</v>
      </c>
      <c r="G253" s="175">
        <f t="shared" si="1042"/>
        <v>0</v>
      </c>
      <c r="H253" s="144"/>
      <c r="I253" s="91"/>
      <c r="J253" s="84">
        <f t="shared" si="1008"/>
        <v>0</v>
      </c>
    </row>
    <row r="254" spans="5:10" x14ac:dyDescent="0.25">
      <c r="E254" s="175">
        <f t="shared" ref="E254:G254" si="1043">E109*-1</f>
        <v>0</v>
      </c>
      <c r="F254" s="175">
        <f t="shared" si="1043"/>
        <v>0</v>
      </c>
      <c r="G254" s="175">
        <f t="shared" si="1043"/>
        <v>0</v>
      </c>
      <c r="H254" s="144"/>
      <c r="I254" s="91"/>
      <c r="J254" s="84">
        <f t="shared" si="1008"/>
        <v>0</v>
      </c>
    </row>
    <row r="255" spans="5:10" x14ac:dyDescent="0.25">
      <c r="E255" s="175">
        <f t="shared" ref="E255:G255" si="1044">E110*-1</f>
        <v>0</v>
      </c>
      <c r="F255" s="175">
        <f t="shared" si="1044"/>
        <v>0</v>
      </c>
      <c r="G255" s="175">
        <f t="shared" si="1044"/>
        <v>0</v>
      </c>
      <c r="H255" s="144"/>
      <c r="I255" s="91"/>
      <c r="J255" s="84">
        <f t="shared" si="1008"/>
        <v>0</v>
      </c>
    </row>
    <row r="256" spans="5:10" x14ac:dyDescent="0.25">
      <c r="E256" s="175">
        <f t="shared" ref="E256:G256" si="1045">E111*-1</f>
        <v>0</v>
      </c>
      <c r="F256" s="175">
        <f t="shared" si="1045"/>
        <v>0</v>
      </c>
      <c r="G256" s="175">
        <f t="shared" si="1045"/>
        <v>0</v>
      </c>
      <c r="H256" s="144"/>
      <c r="I256" s="91"/>
      <c r="J256" s="84">
        <f t="shared" si="1008"/>
        <v>0</v>
      </c>
    </row>
    <row r="257" spans="5:10" x14ac:dyDescent="0.25">
      <c r="E257" s="175">
        <f t="shared" ref="E257:G257" si="1046">E112*-1</f>
        <v>0</v>
      </c>
      <c r="F257" s="175">
        <f t="shared" si="1046"/>
        <v>0</v>
      </c>
      <c r="G257" s="175">
        <f t="shared" si="1046"/>
        <v>0</v>
      </c>
      <c r="H257" s="144"/>
      <c r="I257" s="91"/>
      <c r="J257" s="84">
        <f t="shared" si="1008"/>
        <v>0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69"/>
      <c r="AA3" s="1070"/>
      <c r="AB3" s="1070"/>
      <c r="AC3" s="1070"/>
      <c r="AD3" s="1070"/>
      <c r="AE3" s="1070"/>
      <c r="AF3" s="1070"/>
      <c r="AG3" s="1070"/>
      <c r="AH3" s="1070"/>
      <c r="AI3" s="1070"/>
      <c r="AJ3" s="1070"/>
      <c r="AK3" s="1070"/>
      <c r="AL3" s="1070"/>
      <c r="AM3" s="1070"/>
      <c r="AN3" s="1070"/>
      <c r="AO3" s="1070"/>
      <c r="AP3" s="1070"/>
      <c r="AQ3" s="1071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68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&amp; Z; Z Axis")</f>
        <v>Relative to 's θ &amp; Z; Z Axis</v>
      </c>
      <c r="U5" s="991"/>
      <c r="V5" s="1044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5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Q6</f>
        <v>Projected XY</v>
      </c>
      <c r="X6" s="988"/>
      <c r="Y6" s="1038" t="str">
        <f>S6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5"/>
      <c r="AN6" s="37" t="s">
        <v>15</v>
      </c>
      <c r="AO6" s="38" t="s">
        <v>16</v>
      </c>
      <c r="AP6" s="189" t="s">
        <v>17</v>
      </c>
      <c r="AQ6" s="1030" t="s">
        <v>108</v>
      </c>
      <c r="AS6" s="177">
        <f>AS5/360</f>
        <v>6.9444444444444447E-4</v>
      </c>
      <c r="AT6" s="487" t="s">
        <v>48</v>
      </c>
      <c r="AV6" s="1265"/>
      <c r="AW6" s="1017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18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Q7</f>
        <v>&lt; θ°</v>
      </c>
      <c r="X7" s="30" t="str">
        <f>R7</f>
        <v>r</v>
      </c>
      <c r="Y7" s="103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1"/>
      <c r="AS7" s="1036" t="s">
        <v>54</v>
      </c>
      <c r="AT7" s="1034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7"/>
      <c r="AT8" s="1035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1513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1.1120000000000001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1.1180000000000001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1.1240000000000001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1.1299999999999999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1.212</v>
      </c>
      <c r="N171" s="594" t="str">
        <f>Assy.Model!K16</f>
        <v>1313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1.218</v>
      </c>
      <c r="N172" s="594" t="str">
        <f>Assy.Model!K17</f>
        <v>1313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1.224</v>
      </c>
      <c r="N173" s="594" t="str">
        <f>Assy.Model!K18</f>
        <v>Knuckle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1.23</v>
      </c>
      <c r="N174" s="594" t="str">
        <f>Assy.Model!K19</f>
        <v>Knuckle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2.1110000000000002</v>
      </c>
      <c r="N175" s="594" t="str">
        <f>Assy.Model!K20</f>
        <v>1613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2.117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2.1230000000000002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2.129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2.2170000000000001</v>
      </c>
      <c r="N179" s="594" t="str">
        <f>Assy.Model!K24</f>
        <v>Knuckle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2.2229999999999999</v>
      </c>
      <c r="N180" s="594" t="str">
        <f>Assy.Model!K25</f>
        <v>Knuckle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2.2290000000000001</v>
      </c>
      <c r="N181" s="594" t="str">
        <f>Assy.Model!K26</f>
        <v>Knuckle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3.1030000000000002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3.1059999999999999</v>
      </c>
      <c r="N183" s="594" t="str">
        <f>Assy.Model!K28</f>
        <v>1513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3.11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3.1160000000000001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3.1219999999999999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3.1280000000000001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3.21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3.2160000000000002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3.222</v>
      </c>
      <c r="N190" s="594" t="str">
        <f>Assy.Model!K35</f>
        <v>Knuckle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3.2280000000000002</v>
      </c>
      <c r="N191" s="594" t="str">
        <f>Assy.Model!K36</f>
        <v>Knuckle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4.109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4.1150000000000002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4.1210000000000004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4.1269999999999998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4.2149999999999999</v>
      </c>
      <c r="N196" s="594" t="str">
        <f>Assy.Model!K41</f>
        <v>Knuckle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4.2210000000000001</v>
      </c>
      <c r="N197" s="594" t="str">
        <f>Assy.Model!K42</f>
        <v>Knuckle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4.2270000000000003</v>
      </c>
      <c r="N198" s="594" t="str">
        <f>Assy.Model!K43</f>
        <v>Knuckle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5.1020000000000003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5.1050000000000004</v>
      </c>
      <c r="N200" s="594" t="str">
        <f>Assy.Model!K45</f>
        <v>1513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5.1079999999999997</v>
      </c>
      <c r="N201" s="594" t="str">
        <f>Assy.Model!K46</f>
        <v>1513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5.1139999999999999</v>
      </c>
      <c r="N202" s="594" t="str">
        <f>Assy.Model!K47</f>
        <v>1613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5.12</v>
      </c>
      <c r="N203" s="594" t="str">
        <f>Assy.Model!K48</f>
        <v>1613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5.1260000000000003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5.1319999999999997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5.2140000000000004</v>
      </c>
      <c r="N206" s="594" t="str">
        <f>Assy.Model!K51</f>
        <v>1313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5.22</v>
      </c>
      <c r="N207" s="594" t="str">
        <f>Assy.Model!K52</f>
        <v>1313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5.226</v>
      </c>
      <c r="N208" s="594" t="str">
        <f>Assy.Model!K53</f>
        <v>Knuckle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5.2320000000000002</v>
      </c>
      <c r="N209" s="594" t="str">
        <f>Assy.Model!K54</f>
        <v>Knuckle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6.1130000000000004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6.1189999999999998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6.125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6.1310000000000002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6.2190000000000003</v>
      </c>
      <c r="N214" s="594" t="str">
        <f>Assy.Model!K59</f>
        <v>Knuckle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6.2249999999999996</v>
      </c>
      <c r="N215" s="594" t="str">
        <f>Assy.Model!K60</f>
        <v>Knuckle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6.2309999999999999</v>
      </c>
      <c r="N216" s="594" t="str">
        <f>Assy.Model!K61</f>
        <v>Knuckle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 t="str">
        <f>Assy.Model!$M62</f>
        <v/>
      </c>
      <c r="N217" s="594" t="str">
        <f>Assy.Model!K62</f>
        <v/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 t="str">
        <f>Assy.Model!$M63</f>
        <v/>
      </c>
      <c r="N218" s="594" t="str">
        <f>Assy.Model!K63</f>
        <v/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 t="str">
        <f>Assy.Model!$M64</f>
        <v/>
      </c>
      <c r="N219" s="594" t="str">
        <f>Assy.Model!K64</f>
        <v/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 t="str">
        <f>Assy.Model!$M65</f>
        <v/>
      </c>
      <c r="N220" s="594" t="str">
        <f>Assy.Model!K65</f>
        <v/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 t="str">
        <f>Assy.Model!$M66</f>
        <v/>
      </c>
      <c r="N221" s="594" t="str">
        <f>Assy.Model!K66</f>
        <v/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 t="str">
        <f>Assy.Model!$M67</f>
        <v/>
      </c>
      <c r="N222" s="594" t="str">
        <f>Assy.Model!K67</f>
        <v/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 t="str">
        <f>Assy.Model!$M68</f>
        <v/>
      </c>
      <c r="N223" s="594" t="str">
        <f>Assy.Model!K68</f>
        <v/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 t="str">
        <f>Assy.Model!$M69</f>
        <v/>
      </c>
      <c r="N224" s="594" t="str">
        <f>Assy.Model!K69</f>
        <v/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 t="str">
        <f>Assy.Model!$M70</f>
        <v/>
      </c>
      <c r="N225" s="594" t="str">
        <f>Assy.Model!K70</f>
        <v/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 t="str">
        <f>Assy.Model!$M71</f>
        <v/>
      </c>
      <c r="N226" s="594" t="str">
        <f>Assy.Model!K71</f>
        <v/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 t="str">
        <f>Assy.Model!$M72</f>
        <v/>
      </c>
      <c r="N227" s="594" t="str">
        <f>Assy.Model!K72</f>
        <v/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 t="str">
        <f>Assy.Model!$M73</f>
        <v/>
      </c>
      <c r="N228" s="594" t="str">
        <f>Assy.Model!K73</f>
        <v/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 t="str">
        <f>Assy.Model!$M74</f>
        <v/>
      </c>
      <c r="N229" s="594" t="str">
        <f>Assy.Model!K74</f>
        <v/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 t="str">
        <f>Assy.Model!$M75</f>
        <v/>
      </c>
      <c r="N230" s="594" t="str">
        <f>Assy.Model!K75</f>
        <v/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 t="str">
        <f>Assy.Model!$M76</f>
        <v/>
      </c>
      <c r="N231" s="594" t="str">
        <f>Assy.Model!K76</f>
        <v/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 t="str">
        <f>Assy.Model!$M77</f>
        <v/>
      </c>
      <c r="N232" s="594" t="str">
        <f>Assy.Model!K77</f>
        <v/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 t="str">
        <f>Assy.Model!$M78</f>
        <v/>
      </c>
      <c r="N233" s="594" t="str">
        <f>Assy.Model!K78</f>
        <v/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 t="str">
        <f>Assy.Model!$M79</f>
        <v/>
      </c>
      <c r="N234" s="594" t="str">
        <f>Assy.Model!K79</f>
        <v/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 t="str">
        <f>Assy.Model!$M80</f>
        <v/>
      </c>
      <c r="N235" s="594" t="str">
        <f>Assy.Model!K80</f>
        <v/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 t="str">
        <f>Assy.Model!$M81</f>
        <v/>
      </c>
      <c r="N236" s="594" t="str">
        <f>Assy.Model!K81</f>
        <v/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 t="str">
        <f>Assy.Model!$M82</f>
        <v/>
      </c>
      <c r="N237" s="594" t="str">
        <f>Assy.Model!K82</f>
        <v/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 t="str">
        <f>Assy.Model!$M83</f>
        <v/>
      </c>
      <c r="N238" s="594" t="str">
        <f>Assy.Model!K83</f>
        <v/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 t="str">
        <f>Assy.Model!$M84</f>
        <v/>
      </c>
      <c r="N239" s="594" t="str">
        <f>Assy.Model!K84</f>
        <v/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 t="str">
        <f>Assy.Model!$M85</f>
        <v/>
      </c>
      <c r="N240" s="594" t="str">
        <f>Assy.Model!K85</f>
        <v/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 t="str">
        <f>Assy.Model!$M86</f>
        <v/>
      </c>
      <c r="N241" s="594" t="str">
        <f>Assy.Model!K86</f>
        <v/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 t="str">
        <f>Assy.Model!$M87</f>
        <v/>
      </c>
      <c r="N242" s="594" t="str">
        <f>Assy.Model!K87</f>
        <v/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 t="str">
        <f>Assy.Model!$M88</f>
        <v/>
      </c>
      <c r="N243" s="594" t="str">
        <f>Assy.Model!K88</f>
        <v/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 t="str">
        <f>Assy.Model!$M89</f>
        <v/>
      </c>
      <c r="N244" s="594" t="str">
        <f>Assy.Model!K89</f>
        <v/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 t="str">
        <f>Assy.Model!$M90</f>
        <v/>
      </c>
      <c r="N245" s="594" t="str">
        <f>Assy.Model!K90</f>
        <v/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 t="str">
        <f>Assy.Model!$M91</f>
        <v/>
      </c>
      <c r="N246" s="594" t="str">
        <f>Assy.Model!K91</f>
        <v/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 t="str">
        <f>Assy.Model!$M92</f>
        <v/>
      </c>
      <c r="N247" s="594" t="str">
        <f>Assy.Model!K92</f>
        <v/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 t="str">
        <f>Assy.Model!$M93</f>
        <v/>
      </c>
      <c r="N248" s="594" t="str">
        <f>Assy.Model!K93</f>
        <v/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 t="str">
        <f>Assy.Model!$M94</f>
        <v/>
      </c>
      <c r="N249" s="594" t="str">
        <f>Assy.Model!K94</f>
        <v/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2023-03-17T18:34:23Z</dcterms:modified>
</cp:coreProperties>
</file>