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51\"/>
    </mc:Choice>
  </mc:AlternateContent>
  <xr:revisionPtr revIDLastSave="0" documentId="13_ncr:1_{FF801571-9CDD-467F-99C2-FD2D5940A1C4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R84" i="1"/>
  <c r="IW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W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N83" i="1"/>
  <c r="IR83" i="1"/>
  <c r="IW83" i="1"/>
  <c r="IW118" i="1"/>
  <c r="IR118" i="1"/>
  <c r="IK118" i="1"/>
  <c r="IN118" i="1"/>
  <c r="IR38" i="1"/>
  <c r="IN38" i="1"/>
  <c r="IW38" i="1"/>
  <c r="IK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 a="1"/>
  <c r="JA9" i="1" s="1"/>
  <c r="JB10" i="1" a="1"/>
  <c r="JB10" i="1" s="1"/>
  <c r="JA23" i="1" a="1"/>
  <c r="JA23" i="1" s="1"/>
  <c r="IF129" i="1"/>
  <c r="IF73" i="1"/>
  <c r="IF49" i="1"/>
  <c r="IF138" i="1"/>
  <c r="IF10" i="1"/>
  <c r="IF150" i="1"/>
  <c r="IF48" i="1"/>
  <c r="IF148" i="1"/>
  <c r="IF127" i="1"/>
  <c r="IF15" i="1"/>
  <c r="IF128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72" i="1"/>
  <c r="IF144" i="1"/>
  <c r="IF120" i="1"/>
  <c r="IF70" i="1"/>
  <c r="IF139" i="1"/>
  <c r="IF126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75" i="1" l="1"/>
  <c r="IV69" i="1"/>
  <c r="IV62" i="1"/>
  <c r="IQ69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8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IQ99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6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IQ37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IV83" i="1" s="1"/>
  <c r="AA117" i="1"/>
  <c r="P61" i="1"/>
  <c r="S61" i="1" s="1"/>
  <c r="Y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V76" i="1" l="1"/>
  <c r="IQ83" i="1"/>
  <c r="IV61" i="1"/>
  <c r="IQ68" i="1"/>
  <c r="IQ52" i="1"/>
  <c r="IQ55" i="1"/>
  <c r="IV78" i="1"/>
  <c r="IQ85" i="1"/>
  <c r="IV75" i="1"/>
  <c r="IQ82" i="1"/>
  <c r="IV77" i="1"/>
  <c r="IQ84" i="1"/>
  <c r="IQ96" i="1"/>
  <c r="Q98" i="1"/>
  <c r="IQ64" i="1"/>
  <c r="IV55" i="1"/>
  <c r="R90" i="1"/>
  <c r="X90" i="1" s="1"/>
  <c r="IQ93" i="1"/>
  <c r="IV84" i="1"/>
  <c r="AE69" i="1"/>
  <c r="IQ54" i="1"/>
  <c r="AD86" i="1"/>
  <c r="AH86" i="1" s="1"/>
  <c r="IQ95" i="1"/>
  <c r="IV86" i="1"/>
  <c r="IQ98" i="1"/>
  <c r="V97" i="1"/>
  <c r="IQ94" i="1"/>
  <c r="IV85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IP69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AG97" i="1" s="1"/>
  <c r="R75" i="1"/>
  <c r="X75" i="1" s="1"/>
  <c r="IP82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8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7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6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IU86" i="1" s="1"/>
  <c r="IE86" i="1" s="1"/>
  <c r="R84" i="1"/>
  <c r="X84" i="1" s="1"/>
  <c r="IU84" i="1" s="1"/>
  <c r="IE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IP85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4" i="1" s="1"/>
  <c r="V76" i="1"/>
  <c r="R76" i="1"/>
  <c r="X76" i="1" s="1"/>
  <c r="IP83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54" i="1" l="1"/>
  <c r="IP99" i="1"/>
  <c r="IP52" i="1"/>
  <c r="IP55" i="1"/>
  <c r="AQ37" i="1"/>
  <c r="IU37" i="1"/>
  <c r="IE37" i="1" s="1"/>
  <c r="IU61" i="1"/>
  <c r="IE61" i="1" s="1"/>
  <c r="IP68" i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IL16" i="1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IL84" i="1" s="1"/>
  <c r="W78" i="1"/>
  <c r="IL85" i="1" s="1"/>
  <c r="W75" i="1"/>
  <c r="W76" i="1"/>
  <c r="IL83" i="1" s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IL69" i="1" s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IL55" i="1" s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46" i="1" l="1"/>
  <c r="IL37" i="1"/>
  <c r="IL23" i="1"/>
  <c r="IL38" i="1"/>
  <c r="IL86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IX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IT86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IT85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IY55" i="1" s="1"/>
  <c r="IF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IT55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IY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IT38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62" i="1" l="1"/>
  <c r="IT69" i="1"/>
  <c r="IY77" i="1"/>
  <c r="IT84" i="1"/>
  <c r="IT95" i="1"/>
  <c r="IY86" i="1"/>
  <c r="IT93" i="1"/>
  <c r="IY84" i="1"/>
  <c r="IY76" i="1"/>
  <c r="IT83" i="1"/>
  <c r="IT94" i="1"/>
  <c r="IY85" i="1"/>
  <c r="IS94" i="1"/>
  <c r="IX85" i="1"/>
  <c r="IY78" i="1"/>
  <c r="IT82" i="1"/>
  <c r="IT75" i="1"/>
  <c r="IT76" i="1"/>
  <c r="IT74" i="1"/>
  <c r="IY61" i="1"/>
  <c r="IT68" i="1"/>
  <c r="IS6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AP103" i="1"/>
  <c r="AP91" i="1"/>
  <c r="AO91" i="1"/>
  <c r="IS98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IS96" i="1" s="1"/>
  <c r="AP87" i="1"/>
  <c r="AO88" i="1"/>
  <c r="IS97" i="1" s="1"/>
  <c r="AP88" i="1"/>
  <c r="AP86" i="1"/>
  <c r="AO86" i="1"/>
  <c r="AP85" i="1"/>
  <c r="AP84" i="1"/>
  <c r="AO84" i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IS86" i="1" s="1"/>
  <c r="AP79" i="1"/>
  <c r="AP80" i="1"/>
  <c r="AO80" i="1"/>
  <c r="AO77" i="1"/>
  <c r="AP77" i="1"/>
  <c r="AP78" i="1"/>
  <c r="AO78" i="1"/>
  <c r="IS85" i="1" s="1"/>
  <c r="AO75" i="1"/>
  <c r="IX75" i="1" s="1"/>
  <c r="IF75" i="1" s="1"/>
  <c r="AP75" i="1"/>
  <c r="AO76" i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AP48" i="1"/>
  <c r="AP45" i="1"/>
  <c r="AO45" i="1"/>
  <c r="IX45" i="1" s="1"/>
  <c r="IF45" i="1" s="1"/>
  <c r="AP46" i="1"/>
  <c r="AO46" i="1"/>
  <c r="AP43" i="1"/>
  <c r="AO44" i="1"/>
  <c r="IS51" i="1" s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IX38" i="1" s="1"/>
  <c r="IF38" i="1" s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IS38" i="1" s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75" i="1" l="1"/>
  <c r="IX69" i="1"/>
  <c r="IF69" i="1" s="1"/>
  <c r="IF85" i="1"/>
  <c r="IX76" i="1"/>
  <c r="IF76" i="1" s="1"/>
  <c r="IS83" i="1"/>
  <c r="IS93" i="1"/>
  <c r="IX84" i="1"/>
  <c r="IS34" i="1"/>
  <c r="IS52" i="1"/>
  <c r="IS55" i="1"/>
  <c r="IS99" i="1"/>
  <c r="IF84" i="1"/>
  <c r="IS95" i="1"/>
  <c r="IX86" i="1"/>
  <c r="IT54" i="1"/>
  <c r="IX62" i="1"/>
  <c r="IF62" i="1" s="1"/>
  <c r="IS69" i="1"/>
  <c r="IX77" i="1"/>
  <c r="IF77" i="1" s="1"/>
  <c r="IS84" i="1"/>
  <c r="IF8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<sst xmlns="http://schemas.openxmlformats.org/spreadsheetml/2006/main" count="734" uniqueCount="391">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</sst>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12.25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6.125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12.25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63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1.11's θ about Z Axis</v>
      </c>
      <c r="U5" s="1021"/>
      <c r="V5" s="1072"/>
      <c r="W5" s="1021" t="str">
        <f>CONCATENATE("Relative to ",M8,"'s θ about Z Axis")</f>
        <v>Relative to 1.11's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-0.19810059747140196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0.29580089213549071</v>
      </c>
      <c r="D9" s="704">
        <v>-0.69200208707829458</v>
      </c>
      <c r="E9" s="705">
        <v>-0.93969263802333458</v>
      </c>
      <c r="F9" s="703">
        <v>-8.8521302156295598E-2</v>
      </c>
      <c r="G9" s="706">
        <v>0.33036604714967338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0.29580089213549071</v>
      </c>
      <c r="P9" s="625">
        <f t="shared" ref="P9:P40" si="4">IF(M9="","",D9)</f>
        <v>-0.69200208707829458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0.29580089213549071</v>
      </c>
      <c r="S9" s="626">
        <f>IF(M9="","",P9)</f>
        <v>-0.69200208707829458</v>
      </c>
      <c r="T9" s="627">
        <f>IF(M9="","",X9*COS(RADIANS(W9)))</f>
        <v>0.29580089213549071</v>
      </c>
      <c r="U9" s="624">
        <f>IF(M9="","",X9*SIN(RADIANS(W9)))</f>
        <v>0</v>
      </c>
      <c r="V9" s="628">
        <f>IF(M9="","",Y9)</f>
        <v>-0.69200208707829458</v>
      </c>
      <c r="W9" s="583">
        <f t="shared" ref="W9:W14" si="5">IF(M9="","",IF(Q9-$Q$8&lt;0,360+Q9-$Q$8,Q9-$Q$8))</f>
        <v>0</v>
      </c>
      <c r="X9" s="629">
        <f>IF(M9="","",R9)</f>
        <v>0.29580089213549071</v>
      </c>
      <c r="Y9" s="630">
        <f>IF(M9="","",S9)</f>
        <v>-0.69200208707829458</v>
      </c>
      <c r="Z9" s="623">
        <f t="shared" ref="Z9:Z40" si="6">IF(M9="","",-E9)</f>
        <v>0.93969263802333458</v>
      </c>
      <c r="AA9" s="624">
        <f t="shared" ref="AA9:AA40" si="7">IF(M9="","",-F9)</f>
        <v>8.8521302156295598E-2</v>
      </c>
      <c r="AB9" s="624">
        <f t="shared" ref="AB9:AB40" si="8">IF(M9="","",-G9)</f>
        <v>-0.33036604714967338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8.8521302156295598E-2</v>
      </c>
      <c r="AF9" s="625">
        <f>IF(M9="","",AB9*(1/SQRT(Z9^2+AA9^2+AB9^2)))</f>
        <v>-0.33036604714967338</v>
      </c>
      <c r="AG9" s="599">
        <f>IF(M9="","",DEGREES(ATAN2(-AF9,AE9)))</f>
        <v>14.999997834268267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8.8521302156295598E-2</v>
      </c>
      <c r="AM9" s="626">
        <f>IF(M9="","",AF9)</f>
        <v>-0.33036604714967338</v>
      </c>
      <c r="AN9" s="581">
        <f>IF(M9="","",DEGREES(ATAN2(-AM9,AL9)))</f>
        <v>14.999997834268267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5.3815187622394802</v>
      </c>
      <c r="AQ9" s="584">
        <f t="shared" ref="AQ9:AQ40" si="9">IF(M9="","",DEGREES(ATAN(($AS$5*SIN(RADIANS(90)))/(($X9*2*PI())-($AS$5*COS(RADIANS(90)))))))</f>
        <v>7.6609796748877619</v>
      </c>
      <c r="AS9" s="51">
        <f>IF(M9="","",W9)</f>
        <v>0</v>
      </c>
      <c r="AT9" s="71">
        <f t="shared" ref="AT9:AT40" si="10">IF(M9="","",Y9+(((AS9-$AS$9)*$AS$6)*-1))</f>
        <v>-0.69200208707829458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62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0.95530288119348972</v>
      </c>
      <c r="D10" s="709">
        <v>-0.57010171942678589</v>
      </c>
      <c r="E10" s="710">
        <v>-0.96592583607220739</v>
      </c>
      <c r="F10" s="708">
        <v>-6.6987279208207198E-2</v>
      </c>
      <c r="G10" s="711">
        <v>0.24999996726497561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0.95530288119348972</v>
      </c>
      <c r="P10" s="633">
        <f t="shared" si="4"/>
        <v>-0.57010171942678589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0.95530288119348972</v>
      </c>
      <c r="S10" s="634">
        <f t="shared" ref="S10:S105" si="80">IF(M10="","",P10)</f>
        <v>-0.57010171942678589</v>
      </c>
      <c r="T10" s="635">
        <f t="shared" ref="T10:T105" si="81">IF(M10="","",X10*COS(RADIANS(W10)))</f>
        <v>0.95530288119348972</v>
      </c>
      <c r="U10" s="629">
        <f t="shared" ref="U10:U105" si="82">IF(M10="","",X10*SIN(RADIANS(W10)))</f>
        <v>0</v>
      </c>
      <c r="V10" s="636">
        <f>IF(M10="","",Y10)</f>
        <v>-0.57010171942678589</v>
      </c>
      <c r="W10" s="585">
        <f t="shared" si="5"/>
        <v>0</v>
      </c>
      <c r="X10" s="629">
        <f t="shared" ref="X10:X105" si="83">IF(M10="","",R10)</f>
        <v>0.95530288119348972</v>
      </c>
      <c r="Y10" s="630">
        <f>IF(M10="","",S10)</f>
        <v>-0.57010171942678589</v>
      </c>
      <c r="Z10" s="632">
        <f t="shared" si="6"/>
        <v>0.96592583607220739</v>
      </c>
      <c r="AA10" s="629">
        <f t="shared" si="7"/>
        <v>6.6987279208207198E-2</v>
      </c>
      <c r="AB10" s="629">
        <f t="shared" si="8"/>
        <v>-0.24999996726497561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6.6987279208207198E-2</v>
      </c>
      <c r="AF10" s="633">
        <f t="shared" ref="AF10:AF105" si="86">IF(M10="","",AB10*(1/SQRT(Z10^2+AA10^2+AB10^2)))</f>
        <v>-0.24999996726497561</v>
      </c>
      <c r="AG10" s="602">
        <f t="shared" ref="AG10:AG105" si="87">IF(M10="","",DEGREES(ATAN2(-AF10,AE10)))</f>
        <v>14.999997834268267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6.6987279208207198E-2</v>
      </c>
      <c r="AM10" s="634">
        <f t="shared" ref="AM10:AM105" si="92">IF(M10="","",AF10)</f>
        <v>-0.24999996726497561</v>
      </c>
      <c r="AN10" s="581">
        <f t="shared" ref="AN10:AN105" si="93">IF(M10="","",DEGREES(ATAN2(-AM10,AL10)))</f>
        <v>14.999997834268267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3.9671296450865712</v>
      </c>
      <c r="AQ10" s="586">
        <f t="shared" si="9"/>
        <v>2.3850129541352585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-0.57010171942678589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1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1.6496049752086053</v>
      </c>
      <c r="D11" s="709">
        <v>-0.38410115844909393</v>
      </c>
      <c r="E11" s="710">
        <v>-0.96592583607220739</v>
      </c>
      <c r="F11" s="708">
        <v>-6.6987279208207212E-2</v>
      </c>
      <c r="G11" s="711">
        <v>0.24999996726497564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1.6496049752086053</v>
      </c>
      <c r="P11" s="633">
        <f t="shared" si="4"/>
        <v>-0.38410115844909393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1.6496049752086053</v>
      </c>
      <c r="S11" s="634">
        <f t="shared" si="80"/>
        <v>-0.38410115844909393</v>
      </c>
      <c r="T11" s="635">
        <f t="shared" si="81"/>
        <v>1.6496049752086053</v>
      </c>
      <c r="U11" s="629">
        <f t="shared" si="82"/>
        <v>0</v>
      </c>
      <c r="V11" s="636">
        <f t="shared" ref="V11:V105" si="114">IF(M11="","",Y11)</f>
        <v>-0.38410115844909393</v>
      </c>
      <c r="W11" s="585">
        <f t="shared" si="5"/>
        <v>0</v>
      </c>
      <c r="X11" s="629">
        <f>IF(M11="","",R11)</f>
        <v>1.6496049752086053</v>
      </c>
      <c r="Y11" s="630">
        <f>IF(M11="","",S11)</f>
        <v>-0.38410115844909393</v>
      </c>
      <c r="Z11" s="632">
        <f t="shared" si="6"/>
        <v>0.96592583607220739</v>
      </c>
      <c r="AA11" s="629">
        <f t="shared" si="7"/>
        <v>6.6987279208207212E-2</v>
      </c>
      <c r="AB11" s="629">
        <f t="shared" si="8"/>
        <v>-0.24999996726497564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6.6987279208207212E-2</v>
      </c>
      <c r="AF11" s="633">
        <f t="shared" si="86"/>
        <v>-0.24999996726497564</v>
      </c>
      <c r="AG11" s="602">
        <f>IF(M11="","",DEGREES(ATAN2(-AF11,AE11)))</f>
        <v>14.999997834268271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6.6987279208207212E-2</v>
      </c>
      <c r="AM11" s="634">
        <f t="shared" si="92"/>
        <v>-0.24999996726497564</v>
      </c>
      <c r="AN11" s="581">
        <f>IF(M11="","",DEGREES(ATAN2(-AM11,AL11)))</f>
        <v>14.999997834268271</v>
      </c>
      <c r="AO11" s="582">
        <f>IF(ROUND(IF(M11="",0,DEGREES(ACOS(AK11))),4)=90,0,IF(M11="","",DEGREES(ACOS(AK11))))</f>
        <v>14.999997834268255</v>
      </c>
      <c r="AP11" s="585">
        <f t="shared" si="95"/>
        <v>3.9671296450865721</v>
      </c>
      <c r="AQ11" s="586">
        <f t="shared" si="9"/>
        <v>1.3817154525322066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-0.38410115844909393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0</v>
      </c>
      <c r="C12" s="708">
        <v>2.3439070692237212</v>
      </c>
      <c r="D12" s="709">
        <v>-0.19810059747140196</v>
      </c>
      <c r="E12" s="710">
        <v>-0.96592583607220739</v>
      </c>
      <c r="F12" s="708">
        <v>-5.6018678339987631E-2</v>
      </c>
      <c r="G12" s="711">
        <v>0.25268396641901958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0</v>
      </c>
      <c r="O12" s="629">
        <f t="shared" si="3"/>
        <v>2.3439070692237212</v>
      </c>
      <c r="P12" s="633">
        <f t="shared" si="4"/>
        <v>-0.19810059747140196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2.3439070692237212</v>
      </c>
      <c r="S12" s="634">
        <f t="shared" si="80"/>
        <v>-0.19810059747140196</v>
      </c>
      <c r="T12" s="635">
        <f>IF(M12="","",X12*COS(RADIANS(W12)))</f>
        <v>2.3439070692237212</v>
      </c>
      <c r="U12" s="629">
        <f t="shared" si="82"/>
        <v>0</v>
      </c>
      <c r="V12" s="636">
        <f t="shared" si="114"/>
        <v>-0.19810059747140196</v>
      </c>
      <c r="W12" s="585">
        <f>IF(M12="","",IF(Q12-$Q$8&lt;0,360+Q12-$Q$8,Q12-$Q$8))</f>
        <v>0</v>
      </c>
      <c r="X12" s="629">
        <f t="shared" si="83"/>
        <v>2.3439070692237212</v>
      </c>
      <c r="Y12" s="630">
        <f>IF(M12="","",S12)</f>
        <v>-0.19810059747140196</v>
      </c>
      <c r="Z12" s="632">
        <f t="shared" si="6"/>
        <v>0.96592583607220739</v>
      </c>
      <c r="AA12" s="629">
        <f t="shared" si="7"/>
        <v>5.6018678339987631E-2</v>
      </c>
      <c r="AB12" s="629">
        <f t="shared" si="8"/>
        <v>-0.25268396641901958</v>
      </c>
      <c r="AC12" s="636">
        <f t="shared" si="84"/>
        <v>1</v>
      </c>
      <c r="AD12" s="637">
        <f t="shared" si="115"/>
        <v>0.96592583607220739</v>
      </c>
      <c r="AE12" s="629">
        <f t="shared" si="85"/>
        <v>5.6018678339987631E-2</v>
      </c>
      <c r="AF12" s="633">
        <f t="shared" si="86"/>
        <v>-0.25268396641901958</v>
      </c>
      <c r="AG12" s="602">
        <f t="shared" si="87"/>
        <v>12.499998195223554</v>
      </c>
      <c r="AH12" s="603">
        <f t="shared" si="88"/>
        <v>14.999997834268255</v>
      </c>
      <c r="AI12" s="585">
        <f t="shared" si="89"/>
        <v>-75.363607485266854</v>
      </c>
      <c r="AJ12" s="586">
        <f t="shared" si="90"/>
        <v>93.31913956845878</v>
      </c>
      <c r="AK12" s="635">
        <f t="shared" ref="AK12:AK105" si="211">IF(M12="","",(COS(RADIANS((90-$Q$8)-W12))*AD12)+(-SIN(RADIANS((90-$Q$8)-W12))*AE12))</f>
        <v>0.96592583607220739</v>
      </c>
      <c r="AL12" s="629">
        <f>IF(M12="","",(SIN(RADIANS((90-$Q$8)-W12))*AD12)+(COS(RADIANS((90-$Q$8)-W12))*AE12))</f>
        <v>5.6018678339987631E-2</v>
      </c>
      <c r="AM12" s="634">
        <f t="shared" si="92"/>
        <v>-0.25268396641901958</v>
      </c>
      <c r="AN12" s="581">
        <f>IF(M12="","",DEGREES(ATAN2(-AM12,AL12)))</f>
        <v>12.499998195223554</v>
      </c>
      <c r="AO12" s="582">
        <f t="shared" si="94"/>
        <v>14.999997834268255</v>
      </c>
      <c r="AP12" s="585">
        <f t="shared" si="95"/>
        <v>3.3191395684587901</v>
      </c>
      <c r="AQ12" s="586">
        <f t="shared" si="9"/>
        <v>0.97252477347170041</v>
      </c>
      <c r="AS12" s="52">
        <f t="shared" si="116"/>
        <v>0</v>
      </c>
      <c r="AT12" s="72">
        <f>IF(M12="","",Y12+(((AS12-$AS$9)*$AS$6)*-1))</f>
        <v>-0.19810059747140196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1.9954311332655926E-2</v>
      </c>
      <c r="C13" s="708">
        <v>3.1067452885343974</v>
      </c>
      <c r="D13" s="709">
        <v>-8.7200262995993205E-2</v>
      </c>
      <c r="E13" s="710">
        <v>-0.97288244340146346</v>
      </c>
      <c r="F13" s="708">
        <v>6.6329039540511475E-2</v>
      </c>
      <c r="G13" s="711">
        <v>0.22158567154676639</v>
      </c>
      <c r="H13" s="710">
        <v>0.314</v>
      </c>
      <c r="I13" s="708">
        <v>0.52</v>
      </c>
      <c r="J13" s="570">
        <v>1.1160000000000001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0</v>
      </c>
      <c r="M13" s="168">
        <f t="shared" si="1"/>
        <v>1.1160000000000001</v>
      </c>
      <c r="N13" s="632">
        <f t="shared" si="2"/>
        <v>1.9954311332655926E-2</v>
      </c>
      <c r="O13" s="629">
        <f t="shared" si="3"/>
        <v>3.1067452885343974</v>
      </c>
      <c r="P13" s="633">
        <f t="shared" si="4"/>
        <v>-8.7200262995993205E-2</v>
      </c>
      <c r="Q13" s="585">
        <f t="shared" si="113"/>
        <v>89.632000053132614</v>
      </c>
      <c r="R13" s="629">
        <f t="shared" si="79"/>
        <v>3.1068093701370603</v>
      </c>
      <c r="S13" s="634">
        <f t="shared" si="80"/>
        <v>-8.7200262995993205E-2</v>
      </c>
      <c r="T13" s="635">
        <f>IF(M13="","",X13*COS(RADIANS(W13)))</f>
        <v>3.1067452885343974</v>
      </c>
      <c r="U13" s="629">
        <f t="shared" si="82"/>
        <v>-1.9954311332654458E-2</v>
      </c>
      <c r="V13" s="636">
        <f t="shared" si="114"/>
        <v>-8.7200262995993205E-2</v>
      </c>
      <c r="W13" s="585">
        <f t="shared" si="5"/>
        <v>359.63200005313263</v>
      </c>
      <c r="X13" s="629">
        <f t="shared" si="83"/>
        <v>3.1068093701370603</v>
      </c>
      <c r="Y13" s="630">
        <f>IF(M13="","",S13)</f>
        <v>-8.7200262995993205E-2</v>
      </c>
      <c r="Z13" s="632">
        <f t="shared" si="6"/>
        <v>0.97288244340146346</v>
      </c>
      <c r="AA13" s="629">
        <f t="shared" si="7"/>
        <v>-6.6329039540511475E-2</v>
      </c>
      <c r="AB13" s="629">
        <f t="shared" si="8"/>
        <v>-0.22158567154676639</v>
      </c>
      <c r="AC13" s="636">
        <f t="shared" si="84"/>
        <v>1</v>
      </c>
      <c r="AD13" s="637">
        <f>IF(M13="","",Z13*(1/SQRT(Z13^2+AA13^2+AB13^2)))</f>
        <v>0.97288244340146346</v>
      </c>
      <c r="AE13" s="629">
        <f t="shared" si="85"/>
        <v>-6.6329039540511475E-2</v>
      </c>
      <c r="AF13" s="633">
        <f t="shared" si="86"/>
        <v>-0.22158567154676639</v>
      </c>
      <c r="AG13" s="602">
        <f>IF(M13="","",DEGREES(ATAN2(-AF13,AE13)))</f>
        <v>-16.664446504711602</v>
      </c>
      <c r="AH13" s="603">
        <f t="shared" si="88"/>
        <v>13.373628068082523</v>
      </c>
      <c r="AI13" s="585">
        <f t="shared" si="89"/>
        <v>-77.197815802926129</v>
      </c>
      <c r="AJ13" s="586">
        <f t="shared" si="90"/>
        <v>86.099732199516993</v>
      </c>
      <c r="AK13" s="635">
        <f t="shared" si="211"/>
        <v>0.97328839249230059</v>
      </c>
      <c r="AL13" s="629">
        <f t="shared" si="91"/>
        <v>-6.0079074601076962E-2</v>
      </c>
      <c r="AM13" s="634">
        <f t="shared" si="92"/>
        <v>-0.22158567154676639</v>
      </c>
      <c r="AN13" s="581">
        <f t="shared" si="93"/>
        <v>-15.170035850539113</v>
      </c>
      <c r="AO13" s="582">
        <f t="shared" si="94"/>
        <v>13.272695690903392</v>
      </c>
      <c r="AP13" s="585">
        <f t="shared" si="95"/>
        <v>-3.5322678536156595</v>
      </c>
      <c r="AQ13" s="586">
        <f t="shared" si="9"/>
        <v>0.73374376539540476</v>
      </c>
      <c r="AS13" s="52">
        <f t="shared" si="116"/>
        <v>-0.36799994686737136</v>
      </c>
      <c r="AT13" s="72">
        <f t="shared" si="10"/>
        <v>-8.6944707477335306E-2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1.1160000000000001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8.1944333075938958E-2</v>
      </c>
      <c r="C14" s="708">
        <v>3.8700442270560975</v>
      </c>
      <c r="D14" s="709">
        <v>-0.25000075400227406</v>
      </c>
      <c r="E14" s="710">
        <v>-0.96685369878168859</v>
      </c>
      <c r="F14" s="708">
        <v>0.18944566199388257</v>
      </c>
      <c r="G14" s="711">
        <v>0.17118488923928829</v>
      </c>
      <c r="H14" s="710">
        <v>0.314</v>
      </c>
      <c r="I14" s="708">
        <v>0.52</v>
      </c>
      <c r="J14" s="570">
        <v>1.1220000000000001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1.1220000000000001</v>
      </c>
      <c r="N14" s="632">
        <f t="shared" si="2"/>
        <v>8.1944333075938958E-2</v>
      </c>
      <c r="O14" s="629">
        <f t="shared" si="3"/>
        <v>3.8700442270560975</v>
      </c>
      <c r="P14" s="633">
        <f t="shared" si="4"/>
        <v>-0.25000075400227406</v>
      </c>
      <c r="Q14" s="585">
        <f t="shared" si="113"/>
        <v>88.787000175135503</v>
      </c>
      <c r="R14" s="629">
        <f t="shared" si="79"/>
        <v>3.8709116746696104</v>
      </c>
      <c r="S14" s="634">
        <f t="shared" si="80"/>
        <v>-0.25000075400227406</v>
      </c>
      <c r="T14" s="635">
        <f t="shared" si="81"/>
        <v>3.8700442270560975</v>
      </c>
      <c r="U14" s="629">
        <f t="shared" si="82"/>
        <v>-8.1944333075939818E-2</v>
      </c>
      <c r="V14" s="636">
        <f t="shared" si="114"/>
        <v>-0.25000075400227406</v>
      </c>
      <c r="W14" s="585">
        <f t="shared" si="5"/>
        <v>358.78700017513552</v>
      </c>
      <c r="X14" s="629">
        <f t="shared" si="83"/>
        <v>3.8709116746696104</v>
      </c>
      <c r="Y14" s="630">
        <f t="shared" ref="Y14:Y75" si="223">IF(M14="","",S14)</f>
        <v>-0.25000075400227406</v>
      </c>
      <c r="Z14" s="632">
        <f t="shared" si="6"/>
        <v>0.96685369878168859</v>
      </c>
      <c r="AA14" s="629">
        <f t="shared" si="7"/>
        <v>-0.18944566199388257</v>
      </c>
      <c r="AB14" s="629">
        <f t="shared" si="8"/>
        <v>-0.17118488923928829</v>
      </c>
      <c r="AC14" s="636">
        <f t="shared" si="84"/>
        <v>1</v>
      </c>
      <c r="AD14" s="637">
        <f>IF(M14="","",Z14*(1/SQRT(Z14^2+AA14^2+AB14^2)))</f>
        <v>0.96685369878168859</v>
      </c>
      <c r="AE14" s="629">
        <f t="shared" si="85"/>
        <v>-0.18944566199388257</v>
      </c>
      <c r="AF14" s="633">
        <f t="shared" si="86"/>
        <v>-0.17118488923928829</v>
      </c>
      <c r="AG14" s="602">
        <f t="shared" si="87"/>
        <v>-47.898734954079806</v>
      </c>
      <c r="AH14" s="603">
        <f t="shared" si="88"/>
        <v>14.793199983494629</v>
      </c>
      <c r="AI14" s="585">
        <f t="shared" si="89"/>
        <v>-80.143281840837247</v>
      </c>
      <c r="AJ14" s="586">
        <f t="shared" si="90"/>
        <v>78.91389519516396</v>
      </c>
      <c r="AK14" s="635">
        <f>IF(M14="","",(COS(RADIANS((90-$Q$8)-W14))*AD14)+(-SIN(RADIANS((90-$Q$8)-W14))*AE14))</f>
        <v>0.9706474571329039</v>
      </c>
      <c r="AL14" s="629">
        <f t="shared" si="91"/>
        <v>-0.16893563169905951</v>
      </c>
      <c r="AM14" s="634">
        <f t="shared" si="92"/>
        <v>-0.17118488923928829</v>
      </c>
      <c r="AN14" s="581">
        <f t="shared" si="93"/>
        <v>-44.621101705051792</v>
      </c>
      <c r="AO14" s="582">
        <f t="shared" si="94"/>
        <v>13.91645318433072</v>
      </c>
      <c r="AP14" s="585">
        <f>IF(M14="","",DEGREES(ATAN2(AK14,AL14)))</f>
        <v>-9.8731049799715329</v>
      </c>
      <c r="AQ14" s="586">
        <f t="shared" si="9"/>
        <v>0.58891716984982434</v>
      </c>
      <c r="AS14" s="52">
        <f t="shared" si="116"/>
        <v>-1.2129998248644824</v>
      </c>
      <c r="AT14" s="72">
        <f t="shared" si="10"/>
        <v>-0.24915839301278483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1.1220000000000001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0.16792369526393902</v>
      </c>
      <c r="C15" s="708">
        <v>4.5170934150408453</v>
      </c>
      <c r="D15" s="709">
        <v>-0.66140199478841633</v>
      </c>
      <c r="E15" s="710">
        <v>-0.95418797225421526</v>
      </c>
      <c r="F15" s="708">
        <v>0.2684536867007612</v>
      </c>
      <c r="G15" s="711">
        <v>0.13212846666089276</v>
      </c>
      <c r="H15" s="710">
        <v>0.314</v>
      </c>
      <c r="I15" s="708">
        <v>0.52</v>
      </c>
      <c r="J15" s="570">
        <v>1.1279999999999999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0</v>
      </c>
      <c r="M15" s="168">
        <f t="shared" si="1"/>
        <v>1.1279999999999999</v>
      </c>
      <c r="N15" s="632">
        <f t="shared" si="2"/>
        <v>0.16792369526393902</v>
      </c>
      <c r="O15" s="629">
        <f t="shared" si="3"/>
        <v>4.5170934150408453</v>
      </c>
      <c r="P15" s="633">
        <f t="shared" si="4"/>
        <v>-0.66140199478841633</v>
      </c>
      <c r="Q15" s="585">
        <f t="shared" si="113"/>
        <v>87.871000307389536</v>
      </c>
      <c r="R15" s="629">
        <f t="shared" si="79"/>
        <v>4.5202136329643166</v>
      </c>
      <c r="S15" s="634">
        <f t="shared" si="80"/>
        <v>-0.66140199478841633</v>
      </c>
      <c r="T15" s="635">
        <f t="shared" si="81"/>
        <v>4.5170934150408462</v>
      </c>
      <c r="U15" s="629">
        <f t="shared" si="82"/>
        <v>-0.16792369526393983</v>
      </c>
      <c r="V15" s="636">
        <f t="shared" si="114"/>
        <v>-0.66140199478841633</v>
      </c>
      <c r="W15" s="585">
        <f t="shared" ref="W15:W78" si="224">IF(M15="","",IF(Q15-$Q$8&lt;0,360+Q15-$Q$8,Q15-$Q$8))</f>
        <v>357.87100030738952</v>
      </c>
      <c r="X15" s="629">
        <f>IF(M15="","",R15)</f>
        <v>4.5202136329643166</v>
      </c>
      <c r="Y15" s="630">
        <f>IF(M15="","",S15)</f>
        <v>-0.66140199478841633</v>
      </c>
      <c r="Z15" s="632">
        <f t="shared" si="6"/>
        <v>0.95418797225421526</v>
      </c>
      <c r="AA15" s="629">
        <f t="shared" si="7"/>
        <v>-0.2684536867007612</v>
      </c>
      <c r="AB15" s="629">
        <f t="shared" si="8"/>
        <v>-0.13212846666089276</v>
      </c>
      <c r="AC15" s="636">
        <f t="shared" si="84"/>
        <v>1</v>
      </c>
      <c r="AD15" s="637">
        <f t="shared" si="115"/>
        <v>0.95418797225421526</v>
      </c>
      <c r="AE15" s="629">
        <f t="shared" si="85"/>
        <v>-0.2684536867007612</v>
      </c>
      <c r="AF15" s="633">
        <f t="shared" si="86"/>
        <v>-0.13212846666089276</v>
      </c>
      <c r="AG15" s="602">
        <f t="shared" si="87"/>
        <v>-63.794351246655594</v>
      </c>
      <c r="AH15" s="603">
        <f t="shared" si="88"/>
        <v>17.410028582859706</v>
      </c>
      <c r="AI15" s="585">
        <f t="shared" si="89"/>
        <v>-82.407394374665586</v>
      </c>
      <c r="AJ15" s="586">
        <f t="shared" si="90"/>
        <v>74.286447748176144</v>
      </c>
      <c r="AK15" s="635">
        <f t="shared" si="211"/>
        <v>0.96350223571238314</v>
      </c>
      <c r="AL15" s="629">
        <f t="shared" si="91"/>
        <v>-0.23282076813523495</v>
      </c>
      <c r="AM15" s="634">
        <f t="shared" si="92"/>
        <v>-0.13212846666089276</v>
      </c>
      <c r="AN15" s="581">
        <f>IF(M15="","",DEGREES(ATAN2(-AM15,AL15)))</f>
        <v>-60.424590498698954</v>
      </c>
      <c r="AO15" s="582">
        <f t="shared" si="94"/>
        <v>15.52746603230962</v>
      </c>
      <c r="AP15" s="585">
        <f t="shared" si="95"/>
        <v>-13.584552559213373</v>
      </c>
      <c r="AQ15" s="586">
        <f t="shared" si="9"/>
        <v>0.5043274367824</v>
      </c>
      <c r="AS15" s="52">
        <f t="shared" si="116"/>
        <v>-2.1289996926104777</v>
      </c>
      <c r="AT15" s="72">
        <f t="shared" si="10"/>
        <v>-0.65992352277965904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1.1279999999999999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63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0.25537628618947433</v>
      </c>
      <c r="C16" s="708">
        <v>5.0152174384491683</v>
      </c>
      <c r="D16" s="709">
        <v>-1.237403732009656</v>
      </c>
      <c r="E16" s="710">
        <v>-0.94118483009344212</v>
      </c>
      <c r="F16" s="708">
        <v>0.32180368101964618</v>
      </c>
      <c r="G16" s="711">
        <v>0.10302187381417803</v>
      </c>
      <c r="H16" s="710">
        <v>0.314</v>
      </c>
      <c r="I16" s="708">
        <v>0.52</v>
      </c>
      <c r="J16" s="570">
        <v>1.1339999999999999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1.1339999999999999</v>
      </c>
      <c r="N16" s="632">
        <f t="shared" si="2"/>
        <v>0.25537628618947433</v>
      </c>
      <c r="O16" s="629">
        <f t="shared" si="3"/>
        <v>5.0152174384491683</v>
      </c>
      <c r="P16" s="633">
        <f t="shared" si="4"/>
        <v>-1.237403732009656</v>
      </c>
      <c r="Q16" s="585">
        <f>IF(M16="","",IF(DEGREES(ATAN2(N16,O16))&lt;0,DEGREES(ATAN2(N16,O16))+360,IF(DEGREES(ATAN2(N16,O16))&gt;360,DEGREES(ATAN2(N16,O16))-360,DEGREES(ATAN2(N16,O16)))))</f>
        <v>87.085000420873868</v>
      </c>
      <c r="R16" s="629">
        <f t="shared" si="79"/>
        <v>5.0217151454928795</v>
      </c>
      <c r="S16" s="634">
        <f t="shared" si="80"/>
        <v>-1.237403732009656</v>
      </c>
      <c r="T16" s="635">
        <f t="shared" si="81"/>
        <v>5.0152174384491692</v>
      </c>
      <c r="U16" s="629">
        <f t="shared" si="82"/>
        <v>-0.25537628618947278</v>
      </c>
      <c r="V16" s="636">
        <f t="shared" si="114"/>
        <v>-1.237403732009656</v>
      </c>
      <c r="W16" s="585">
        <f>IF(M16="","",IF(Q16-$Q$8&lt;0,360+Q16-$Q$8,Q16-$Q$8))</f>
        <v>357.08500042087388</v>
      </c>
      <c r="X16" s="629">
        <f t="shared" si="83"/>
        <v>5.0217151454928795</v>
      </c>
      <c r="Y16" s="630">
        <f t="shared" si="223"/>
        <v>-1.237403732009656</v>
      </c>
      <c r="Z16" s="632">
        <f t="shared" si="6"/>
        <v>0.94118483009344212</v>
      </c>
      <c r="AA16" s="629">
        <f t="shared" si="7"/>
        <v>-0.32180368101964618</v>
      </c>
      <c r="AB16" s="629">
        <f t="shared" si="8"/>
        <v>-0.10302187381417803</v>
      </c>
      <c r="AC16" s="636">
        <f t="shared" si="84"/>
        <v>1</v>
      </c>
      <c r="AD16" s="637">
        <f t="shared" si="115"/>
        <v>0.94118483009344212</v>
      </c>
      <c r="AE16" s="629">
        <f t="shared" si="85"/>
        <v>-0.32180368101964618</v>
      </c>
      <c r="AF16" s="633">
        <f t="shared" si="86"/>
        <v>-0.10302187381417803</v>
      </c>
      <c r="AG16" s="602">
        <f t="shared" si="87"/>
        <v>-72.248109949453152</v>
      </c>
      <c r="AH16" s="603">
        <f t="shared" si="88"/>
        <v>19.748505337903996</v>
      </c>
      <c r="AI16" s="585">
        <f t="shared" si="89"/>
        <v>-84.086789822889955</v>
      </c>
      <c r="AJ16" s="586">
        <f t="shared" si="90"/>
        <v>71.123755708185257</v>
      </c>
      <c r="AK16" s="635">
        <f t="shared" si="211"/>
        <v>0.95633214200523742</v>
      </c>
      <c r="AL16" s="629">
        <f t="shared" si="91"/>
        <v>-0.27352390696882428</v>
      </c>
      <c r="AM16" s="634">
        <f t="shared" si="92"/>
        <v>-0.10302187381417803</v>
      </c>
      <c r="AN16" s="581">
        <f t="shared" si="93"/>
        <v>-69.361283270113191</v>
      </c>
      <c r="AO16" s="582">
        <f t="shared" si="94"/>
        <v>16.994632363342795</v>
      </c>
      <c r="AP16" s="585">
        <f t="shared" si="95"/>
        <v>-15.961244712688634</v>
      </c>
      <c r="AQ16" s="586">
        <f t="shared" si="9"/>
        <v>0.45396420569277424</v>
      </c>
      <c r="AS16" s="52">
        <f t="shared" si="116"/>
        <v>-2.9149995791261176</v>
      </c>
      <c r="AT16" s="72">
        <f t="shared" si="10"/>
        <v>-1.235379426746374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1.1339999999999999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0.33184167396411657</v>
      </c>
      <c r="C17" s="708">
        <v>5.3823964249753216</v>
      </c>
      <c r="D17" s="709">
        <v>-1.9060057485133375</v>
      </c>
      <c r="E17" s="710">
        <v>-0.93411112415302155</v>
      </c>
      <c r="F17" s="708">
        <v>0.35192055389683213</v>
      </c>
      <c r="G17" s="711">
        <v>5.9902683400040957E-2</v>
      </c>
      <c r="H17" s="710">
        <v>0.314</v>
      </c>
      <c r="I17" s="708">
        <v>0.52</v>
      </c>
      <c r="J17" s="570">
        <v>1.1399999999999999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1.1399999999999999</v>
      </c>
      <c r="N17" s="632">
        <f t="shared" si="2"/>
        <v>0.33184167396411657</v>
      </c>
      <c r="O17" s="629">
        <f t="shared" si="3"/>
        <v>5.3823964249753216</v>
      </c>
      <c r="P17" s="633">
        <f t="shared" si="4"/>
        <v>-1.9060057485133375</v>
      </c>
      <c r="Q17" s="585">
        <f>IF(M17="","",IF(DEGREES(ATAN2(N17,O17))&lt;0,DEGREES(ATAN2(N17,O17))+360,IF(DEGREES(ATAN2(N17,O17))&gt;360,DEGREES(ATAN2(N17,O17))-360,DEGREES(ATAN2(N17,O17)))))</f>
        <v>86.472000509380109</v>
      </c>
      <c r="R17" s="629">
        <f>IF(M17="","",SQRT(N17^2+O17^2))</f>
        <v>5.3926162641306519</v>
      </c>
      <c r="S17" s="634">
        <f>IF(M17="","",P17)</f>
        <v>-1.9060057485133375</v>
      </c>
      <c r="T17" s="635">
        <f>IF(M17="","",X17*COS(RADIANS(W17)))</f>
        <v>5.3823964249753216</v>
      </c>
      <c r="U17" s="629">
        <f>IF(M17="","",X17*SIN(RADIANS(W17)))</f>
        <v>-0.33184167396411646</v>
      </c>
      <c r="V17" s="636">
        <f>IF(M17="","",Y17)</f>
        <v>-1.9060057485133375</v>
      </c>
      <c r="W17" s="585">
        <f t="shared" si="224"/>
        <v>356.47200050938011</v>
      </c>
      <c r="X17" s="629">
        <f>IF(M17="","",R17)</f>
        <v>5.3926162641306519</v>
      </c>
      <c r="Y17" s="630">
        <f t="shared" si="223"/>
        <v>-1.9060057485133375</v>
      </c>
      <c r="Z17" s="632">
        <f t="shared" si="6"/>
        <v>0.93411112415302155</v>
      </c>
      <c r="AA17" s="629">
        <f t="shared" si="7"/>
        <v>-0.35192055389683213</v>
      </c>
      <c r="AB17" s="629">
        <f t="shared" si="8"/>
        <v>-5.9902683400040957E-2</v>
      </c>
      <c r="AC17" s="636">
        <f>IF(M17="","",SQRT(Z17^2+AA17^2+AB17^2))</f>
        <v>1</v>
      </c>
      <c r="AD17" s="637">
        <f>IF(M17="","",Z17*(1/SQRT(Z17^2+AA17^2+AB17^2)))</f>
        <v>0.93411112415302155</v>
      </c>
      <c r="AE17" s="629">
        <f>IF(M17="","",AA17*(1/SQRT(Z17^2+AA17^2+AB17^2)))</f>
        <v>-0.35192055389683213</v>
      </c>
      <c r="AF17" s="633">
        <f>IF(M17="","",AB17*(1/SQRT(Z17^2+AA17^2+AB17^2)))</f>
        <v>-5.9902683400040957E-2</v>
      </c>
      <c r="AG17" s="602">
        <f>IF(M17="","",DEGREES(ATAN2(-AF17,AE17)))</f>
        <v>-80.339899247972525</v>
      </c>
      <c r="AH17" s="603">
        <f>IF(M17="","",DEGREES(ACOS(AD17)))</f>
        <v>20.914987860492833</v>
      </c>
      <c r="AI17" s="585">
        <f>IF(M17="","",DEGREES(-ACOS(-AF17)))</f>
        <v>-86.565773110255932</v>
      </c>
      <c r="AJ17" s="586">
        <f>IF(M17="","",DEGREES(ATAN2(-AE17,AD17)))</f>
        <v>69.356411730971047</v>
      </c>
      <c r="AK17" s="635">
        <f>IF(M17="","",(COS(RADIANS((90-$Q$8)-W17))*AD17)+(-SIN(RADIANS((90-$Q$8)-W17))*AE17))</f>
        <v>0.95399672976874816</v>
      </c>
      <c r="AL17" s="629">
        <f>IF(M17="","",(SIN(RADIANS((90-$Q$8)-W17))*AD17)+(COS(RADIANS((90-$Q$8)-W17))*AE17))</f>
        <v>-0.29377186405782441</v>
      </c>
      <c r="AM17" s="634">
        <f>IF(M17="","",AF17)</f>
        <v>-5.9902683400040957E-2</v>
      </c>
      <c r="AN17" s="581">
        <f>IF(M17="","",DEGREES(ATAN2(-AM17,AL17)))</f>
        <v>-78.474883472506747</v>
      </c>
      <c r="AO17" s="582">
        <f t="shared" si="94"/>
        <v>17.446612665983796</v>
      </c>
      <c r="AP17" s="585">
        <f>IF(M17="","",DEGREES(ATAN2(AK17,AL17)))</f>
        <v>-17.115588778409052</v>
      </c>
      <c r="AQ17" s="586">
        <f t="shared" si="9"/>
        <v>0.42274197753137616</v>
      </c>
      <c r="AS17" s="52">
        <f t="shared" si="116"/>
        <v>-3.5279994906198908</v>
      </c>
      <c r="AT17" s="72">
        <f t="shared" si="10"/>
        <v>-1.9035557488670736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1.1399999999999999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0.39101878937303619</v>
      </c>
      <c r="C18" s="708">
        <v>5.637071692345919</v>
      </c>
      <c r="D18" s="709">
        <v>-2.6261079203414881</v>
      </c>
      <c r="E18" s="710">
        <v>-0.92337485968264299</v>
      </c>
      <c r="F18" s="708">
        <v>0.38289056061683269</v>
      </c>
      <c r="G18" s="711">
        <v>2.781523137755848E-2</v>
      </c>
      <c r="H18" s="710">
        <v>0.314</v>
      </c>
      <c r="I18" s="708">
        <v>0.52</v>
      </c>
      <c r="J18" s="570">
        <v>1.1459999999999999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1.1459999999999999</v>
      </c>
      <c r="N18" s="632">
        <f t="shared" si="2"/>
        <v>0.39101878937303619</v>
      </c>
      <c r="O18" s="629">
        <f t="shared" si="3"/>
        <v>5.637071692345919</v>
      </c>
      <c r="P18" s="633">
        <f t="shared" si="4"/>
        <v>-2.6261079203414881</v>
      </c>
      <c r="Q18" s="585">
        <f t="shared" si="113"/>
        <v>86.032000572908245</v>
      </c>
      <c r="R18" s="629">
        <f>IF(M18="","",SQRT(N18^2+O18^2))</f>
        <v>5.6506170422609987</v>
      </c>
      <c r="S18" s="634">
        <f>IF(M18="","",P18)</f>
        <v>-2.6261079203414881</v>
      </c>
      <c r="T18" s="635">
        <f>IF(M18="","",X18*COS(RADIANS(W18)))</f>
        <v>5.6370716923459199</v>
      </c>
      <c r="U18" s="629">
        <f>IF(M18="","",X18*SIN(RADIANS(W18)))</f>
        <v>-0.39101878937303208</v>
      </c>
      <c r="V18" s="636">
        <f>IF(M18="","",Y18)</f>
        <v>-2.6261079203414881</v>
      </c>
      <c r="W18" s="585">
        <f t="shared" si="224"/>
        <v>356.03200057290826</v>
      </c>
      <c r="X18" s="629">
        <f>IF(M18="","",R18)</f>
        <v>5.6506170422609987</v>
      </c>
      <c r="Y18" s="630">
        <f t="shared" si="223"/>
        <v>-2.6261079203414881</v>
      </c>
      <c r="Z18" s="632">
        <f t="shared" si="6"/>
        <v>0.92337485968264299</v>
      </c>
      <c r="AA18" s="629">
        <f t="shared" si="7"/>
        <v>-0.38289056061683269</v>
      </c>
      <c r="AB18" s="629">
        <f t="shared" si="8"/>
        <v>-2.781523137755848E-2</v>
      </c>
      <c r="AC18" s="636">
        <f>IF(M18="","",SQRT(Z18^2+AA18^2+AB18^2))</f>
        <v>1</v>
      </c>
      <c r="AD18" s="637">
        <f>IF(M18="","",Z18*(1/SQRT(Z18^2+AA18^2+AB18^2)))</f>
        <v>0.92337485968264299</v>
      </c>
      <c r="AE18" s="629">
        <f>IF(M18="","",AA18*(1/SQRT(Z18^2+AA18^2+AB18^2)))</f>
        <v>-0.38289056061683269</v>
      </c>
      <c r="AF18" s="633">
        <f>IF(M18="","",AB18*(1/SQRT(Z18^2+AA18^2+AB18^2)))</f>
        <v>-2.781523137755848E-2</v>
      </c>
      <c r="AG18" s="602">
        <f>IF(M18="","",DEGREES(ATAN2(-AF18,AE18)))</f>
        <v>-85.845024990185507</v>
      </c>
      <c r="AH18" s="603">
        <f>IF(M18="","",DEGREES(ACOS(AD18)))</f>
        <v>22.575440283456992</v>
      </c>
      <c r="AI18" s="585">
        <f>IF(M18="","",DEGREES(-ACOS(-AF18)))</f>
        <v>-88.406099060715249</v>
      </c>
      <c r="AJ18" s="586">
        <f>IF(M18="","",DEGREES(ATAN2(-AE18,AD18)))</f>
        <v>67.477961733229733</v>
      </c>
      <c r="AK18" s="635">
        <f>IF(M18="","",(COS(RADIANS((90-$Q$8)-W18))*AD18)+(-SIN(RADIANS((90-$Q$8)-W18))*AE18))</f>
        <v>0.94765715785846572</v>
      </c>
      <c r="AL18" s="629">
        <f>IF(M18="","",(SIN(RADIANS((90-$Q$8)-W18))*AD18)+(COS(RADIANS((90-$Q$8)-W18))*AE18))</f>
        <v>-0.31807581496088039</v>
      </c>
      <c r="AM18" s="634">
        <f>IF(M18="","",AF18)</f>
        <v>-2.781523137755848E-2</v>
      </c>
      <c r="AN18" s="581">
        <f>IF(M18="","",DEGREES(ATAN2(-AM18,AL18)))</f>
        <v>-85.002287576576322</v>
      </c>
      <c r="AO18" s="582">
        <f t="shared" si="94"/>
        <v>18.619974268929141</v>
      </c>
      <c r="AP18" s="585">
        <f>IF(M18="","",DEGREES(ATAN2(AK18,AL18)))</f>
        <v>-18.554038839678547</v>
      </c>
      <c r="AQ18" s="586">
        <f t="shared" si="9"/>
        <v>0.40344071060420417</v>
      </c>
      <c r="AS18" s="52">
        <f t="shared" si="116"/>
        <v>-3.9679994270917405</v>
      </c>
      <c r="AT18" s="72">
        <f t="shared" si="10"/>
        <v>-2.6233523651837856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1.1459999999999999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0.42978230027171371</v>
      </c>
      <c r="C19" s="708">
        <v>5.7929966273937588</v>
      </c>
      <c r="D19" s="709">
        <v>-3.3747101781258975</v>
      </c>
      <c r="E19" s="710">
        <v>-0.92010480915012727</v>
      </c>
      <c r="F19" s="708">
        <v>0.39143714981548933</v>
      </c>
      <c r="G19" s="711">
        <v>-1.35682689807608E-2</v>
      </c>
      <c r="H19" s="710">
        <v>0.314</v>
      </c>
      <c r="I19" s="708">
        <v>0.52</v>
      </c>
      <c r="J19" s="570">
        <v>1.1519999999999999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1.1519999999999999</v>
      </c>
      <c r="N19" s="632">
        <f t="shared" si="2"/>
        <v>0.42978230027171371</v>
      </c>
      <c r="O19" s="629">
        <f t="shared" si="3"/>
        <v>5.7929966273937588</v>
      </c>
      <c r="P19" s="633">
        <f t="shared" si="4"/>
        <v>-3.3747101781258975</v>
      </c>
      <c r="Q19" s="585">
        <f t="shared" si="113"/>
        <v>85.757000612613325</v>
      </c>
      <c r="R19" s="629">
        <f>IF(M19="","",SQRT(N19^2+O19^2))</f>
        <v>5.8089175196952407</v>
      </c>
      <c r="S19" s="634">
        <f>IF(M19="","",P19)</f>
        <v>-3.3747101781258975</v>
      </c>
      <c r="T19" s="635">
        <f>IF(M19="","",X19*COS(RADIANS(W19)))</f>
        <v>5.7929966273937579</v>
      </c>
      <c r="U19" s="629">
        <f>IF(M19="","",X19*SIN(RADIANS(W19)))</f>
        <v>-0.42978230027171588</v>
      </c>
      <c r="V19" s="636">
        <f>IF(M19="","",Y19)</f>
        <v>-3.3747101781258975</v>
      </c>
      <c r="W19" s="585">
        <f t="shared" si="224"/>
        <v>355.7570006126133</v>
      </c>
      <c r="X19" s="629">
        <f>IF(M19="","",R19)</f>
        <v>5.8089175196952407</v>
      </c>
      <c r="Y19" s="630">
        <f t="shared" si="223"/>
        <v>-3.3747101781258975</v>
      </c>
      <c r="Z19" s="632">
        <f t="shared" si="6"/>
        <v>0.92010480915012727</v>
      </c>
      <c r="AA19" s="629">
        <f t="shared" si="7"/>
        <v>-0.39143714981548933</v>
      </c>
      <c r="AB19" s="629">
        <f t="shared" si="8"/>
        <v>1.35682689807608E-2</v>
      </c>
      <c r="AC19" s="636">
        <f>IF(M19="","",SQRT(Z19^2+AA19^2+AB19^2))</f>
        <v>1</v>
      </c>
      <c r="AD19" s="637">
        <f>IF(M19="","",Z19*(1/SQRT(Z19^2+AA19^2+AB19^2)))</f>
        <v>0.92010480915012727</v>
      </c>
      <c r="AE19" s="629">
        <f>IF(M19="","",AA19*(1/SQRT(Z19^2+AA19^2+AB19^2)))</f>
        <v>-0.39143714981548933</v>
      </c>
      <c r="AF19" s="633">
        <f>IF(M19="","",AB19*(1/SQRT(Z19^2+AA19^2+AB19^2)))</f>
        <v>1.35682689807608E-2</v>
      </c>
      <c r="AG19" s="602">
        <f>IF(M19="","",DEGREES(ATAN2(-AF19,AE19)))</f>
        <v>-91.98523165535363</v>
      </c>
      <c r="AH19" s="603">
        <f>IF(M19="","",DEGREES(ACOS(AD19)))</f>
        <v>23.058590873183732</v>
      </c>
      <c r="AI19" s="585">
        <f>IF(M19="","",DEGREES(-ACOS(-AF19)))</f>
        <v>-90.777428402965953</v>
      </c>
      <c r="AJ19" s="586">
        <f>IF(M19="","",DEGREES(ATAN2(-AE19,AD19)))</f>
        <v>66.953803551610406</v>
      </c>
      <c r="AK19" s="635">
        <f>IF(M19="","",(COS(RADIANS((90-$Q$8)-W19))*AD19)+(-SIN(RADIANS((90-$Q$8)-W19))*AE19))</f>
        <v>0.94654413602406218</v>
      </c>
      <c r="AL19" s="629">
        <f>IF(M19="","",(SIN(RADIANS((90-$Q$8)-W19))*AD19)+(COS(RADIANS((90-$Q$8)-W19))*AE19))</f>
        <v>-0.32228884658847168</v>
      </c>
      <c r="AM19" s="634">
        <f>IF(M19="","",AF19)</f>
        <v>1.35682689807608E-2</v>
      </c>
      <c r="AN19" s="581">
        <f>IF(M19="","",DEGREES(ATAN2(-AM19,AL19)))</f>
        <v>-92.410712492587351</v>
      </c>
      <c r="AO19" s="582">
        <f t="shared" si="94"/>
        <v>18.818681119298127</v>
      </c>
      <c r="AP19" s="585">
        <f>IF(M19="","",DEGREES(ATAN2(AK19,AL19)))</f>
        <v>-18.803197061002894</v>
      </c>
      <c r="AQ19" s="586">
        <f t="shared" si="9"/>
        <v>0.39244678076642442</v>
      </c>
      <c r="AS19" s="52">
        <f t="shared" si="116"/>
        <v>-4.2429993873867033</v>
      </c>
      <c r="AT19" s="72">
        <f t="shared" si="10"/>
        <v>-3.3717636507735458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1.1519999999999999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0.45828889190768352</v>
      </c>
      <c r="C20" s="708">
        <v>5.8821740276494738</v>
      </c>
      <c r="D20" s="709">
        <v>-4.1370124772296304</v>
      </c>
      <c r="E20" s="710">
        <v>-0.77212392714796607</v>
      </c>
      <c r="F20" s="708">
        <v>0.63547198295881024</v>
      </c>
      <c r="G20" s="711">
        <v>4.4641803200832661E-17</v>
      </c>
      <c r="H20" s="710">
        <v>0.314</v>
      </c>
      <c r="I20" s="708">
        <v>0.52</v>
      </c>
      <c r="J20" s="570">
        <v>1.1579999999999999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 t="str">
        <f>IF($L19=$JH$22,$JH$30,IF($L19=$JI$22,$JI$30,""))</f>
        <v/>
      </c>
      <c r="M20" s="168">
        <f t="shared" si="1"/>
        <v>1.1579999999999999</v>
      </c>
      <c r="N20" s="632">
        <f t="shared" si="2"/>
        <v>0.45828889190768352</v>
      </c>
      <c r="O20" s="629">
        <f t="shared" si="3"/>
        <v>5.8821740276494738</v>
      </c>
      <c r="P20" s="633">
        <f t="shared" si="4"/>
        <v>-4.1370124772296304</v>
      </c>
      <c r="Q20" s="585">
        <f t="shared" si="113"/>
        <v>85.545000643222338</v>
      </c>
      <c r="R20" s="629">
        <f>IF(M20="","",SQRT(N20^2+O20^2))</f>
        <v>5.9</v>
      </c>
      <c r="S20" s="634">
        <f>IF(M20="","",P20)</f>
        <v>-4.1370124772296304</v>
      </c>
      <c r="T20" s="635">
        <f>IF(M20="","",X20*COS(RADIANS(W20)))</f>
        <v>5.8821740276494738</v>
      </c>
      <c r="U20" s="629">
        <f>IF(M20="","",X20*SIN(RADIANS(W20)))</f>
        <v>-0.45828889190768268</v>
      </c>
      <c r="V20" s="636">
        <f>IF(M20="","",Y20)</f>
        <v>-4.1370124772296304</v>
      </c>
      <c r="W20" s="585">
        <f t="shared" si="224"/>
        <v>355.54500064322235</v>
      </c>
      <c r="X20" s="629">
        <f>IF(M20="","",R20)</f>
        <v>5.9</v>
      </c>
      <c r="Y20" s="630">
        <f t="shared" si="223"/>
        <v>-4.1370124772296304</v>
      </c>
      <c r="Z20" s="632">
        <f t="shared" si="6"/>
        <v>0.77212392714796607</v>
      </c>
      <c r="AA20" s="629">
        <f t="shared" si="7"/>
        <v>-0.63547198295881024</v>
      </c>
      <c r="AB20" s="629">
        <f t="shared" si="8"/>
        <v>-4.4641803200832661E-17</v>
      </c>
      <c r="AC20" s="636">
        <f>IF(M20="","",SQRT(Z20^2+AA20^2+AB20^2))</f>
        <v>1</v>
      </c>
      <c r="AD20" s="637">
        <f>IF(M20="","",Z20*(1/SQRT(Z20^2+AA20^2+AB20^2)))</f>
        <v>0.77212392714796607</v>
      </c>
      <c r="AE20" s="629">
        <f>IF(M20="","",AA20*(1/SQRT(Z20^2+AA20^2+AB20^2)))</f>
        <v>-0.63547198295881024</v>
      </c>
      <c r="AF20" s="633">
        <f>IF(M20="","",AB20*(1/SQRT(Z20^2+AA20^2+AB20^2)))</f>
        <v>-4.4641803200832661E-17</v>
      </c>
      <c r="AG20" s="602">
        <f>IF(M20="","",DEGREES(ATAN2(-AF20,AE20)))</f>
        <v>-90</v>
      </c>
      <c r="AH20" s="603">
        <f>IF(M20="","",DEGREES(ACOS(AD20)))</f>
        <v>39.45499935677767</v>
      </c>
      <c r="AI20" s="585">
        <f>IF(M20="","",DEGREES(-ACOS(-AF20)))</f>
        <v>-90</v>
      </c>
      <c r="AJ20" s="586">
        <f>IF(M20="","",DEGREES(ATAN2(-AE20,AD20)))</f>
        <v>50.54500064322233</v>
      </c>
      <c r="AK20" s="635">
        <f>IF(M20="","",(COS(RADIANS((90-$Q$8)-W20))*AD20)+(-SIN(RADIANS((90-$Q$8)-W20))*AE20))</f>
        <v>0.81915204428899169</v>
      </c>
      <c r="AL20" s="629">
        <f>IF(M20="","",(SIN(RADIANS((90-$Q$8)-W20))*AD20)+(COS(RADIANS((90-$Q$8)-W20))*AE20))</f>
        <v>-0.57357643635104616</v>
      </c>
      <c r="AM20" s="634">
        <f>IF(M20="","",AF20)</f>
        <v>-4.4641803200832661E-17</v>
      </c>
      <c r="AN20" s="581">
        <f>IF(M20="","",DEGREES(ATAN2(-AM20,AL20)))</f>
        <v>-90</v>
      </c>
      <c r="AO20" s="582">
        <f t="shared" si="94"/>
        <v>35.000000000000014</v>
      </c>
      <c r="AP20" s="585">
        <f>IF(M20="","",DEGREES(ATAN2(AK20,AL20)))</f>
        <v>-35.000000000000007</v>
      </c>
      <c r="AQ20" s="586">
        <f t="shared" si="9"/>
        <v>0.38638848687695354</v>
      </c>
      <c r="AS20" s="52">
        <f t="shared" si="116"/>
        <v>-4.4549993567776482</v>
      </c>
      <c r="AT20" s="72">
        <f t="shared" si="10"/>
        <v>-4.1339187276763125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1.1579999999999999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1.1367272622597724</v>
      </c>
      <c r="C21" s="708">
        <v>4.3749494190072502</v>
      </c>
      <c r="D21" s="709">
        <v>-0.66140199478841633</v>
      </c>
      <c r="E21" s="710">
        <v>-0.87398964331408813</v>
      </c>
      <c r="F21" s="708">
        <v>0.46763679834452487</v>
      </c>
      <c r="G21" s="711">
        <v>0.1321284534602418</v>
      </c>
      <c r="H21" s="710">
        <v>0.314</v>
      </c>
      <c r="I21" s="708">
        <v>0.52</v>
      </c>
      <c r="J21" s="570">
        <v>1.228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1.228</v>
      </c>
      <c r="N21" s="632">
        <f t="shared" si="2"/>
        <v>1.1367272622597724</v>
      </c>
      <c r="O21" s="629">
        <f t="shared" si="3"/>
        <v>4.3749494190072502</v>
      </c>
      <c r="P21" s="633">
        <f t="shared" si="4"/>
        <v>-0.66140199478841633</v>
      </c>
      <c r="Q21" s="585">
        <f t="shared" si="113"/>
        <v>75.435102102911088</v>
      </c>
      <c r="R21" s="629">
        <f>IF(M21="","",SQRT(N21^2+O21^2))</f>
        <v>4.5202136329643174</v>
      </c>
      <c r="S21" s="634">
        <f>IF(M21="","",P21)</f>
        <v>-0.66140199478841633</v>
      </c>
      <c r="T21" s="635">
        <f>IF(M21="","",X21*COS(RADIANS(W21)))</f>
        <v>4.3749494190072493</v>
      </c>
      <c r="U21" s="629">
        <f>IF(M21="","",X21*SIN(RADIANS(W21)))</f>
        <v>-1.1367272622597746</v>
      </c>
      <c r="V21" s="636">
        <f>IF(M21="","",Y21)</f>
        <v>-0.66140199478841633</v>
      </c>
      <c r="W21" s="585">
        <f t="shared" si="224"/>
        <v>345.43510210291106</v>
      </c>
      <c r="X21" s="629">
        <f>IF(M21="","",R21)</f>
        <v>4.5202136329643174</v>
      </c>
      <c r="Y21" s="630">
        <f t="shared" si="223"/>
        <v>-0.66140199478841633</v>
      </c>
      <c r="Z21" s="632">
        <f t="shared" si="6"/>
        <v>0.87398964331408813</v>
      </c>
      <c r="AA21" s="629">
        <f t="shared" si="7"/>
        <v>-0.46763679834452487</v>
      </c>
      <c r="AB21" s="629">
        <f t="shared" si="8"/>
        <v>-0.1321284534602418</v>
      </c>
      <c r="AC21" s="636">
        <f>IF(M21="","",SQRT(Z21^2+AA21^2+AB21^2))</f>
        <v>1</v>
      </c>
      <c r="AD21" s="637">
        <f>IF(M21="","",Z21*(1/SQRT(Z21^2+AA21^2+AB21^2)))</f>
        <v>0.87398964331408813</v>
      </c>
      <c r="AE21" s="629">
        <f>IF(M21="","",AA21*(1/SQRT(Z21^2+AA21^2+AB21^2)))</f>
        <v>-0.46763679834452487</v>
      </c>
      <c r="AF21" s="633">
        <f>IF(M21="","",AB21*(1/SQRT(Z21^2+AA21^2+AB21^2)))</f>
        <v>-0.1321284534602418</v>
      </c>
      <c r="AG21" s="602">
        <f>IF(M21="","",DEGREES(ATAN2(-AF21,AE21)))</f>
        <v>-74.222624700837017</v>
      </c>
      <c r="AH21" s="603">
        <f>IF(M21="","",DEGREES(ACOS(AD21)))</f>
        <v>29.074375149011171</v>
      </c>
      <c r="AI21" s="585">
        <f>IF(M21="","",DEGREES(-ACOS(-AF21)))</f>
        <v>-82.40739513769698</v>
      </c>
      <c r="AJ21" s="586">
        <f>IF(M21="","",DEGREES(ATAN2(-AE21,AD21)))</f>
        <v>61.850551218332114</v>
      </c>
      <c r="AK21" s="635">
        <f>IF(M21="","",(COS(RADIANS((90-$Q$8)-W21))*AD21)+(-SIN(RADIANS((90-$Q$8)-W21))*AE21))</f>
        <v>0.96350224422762398</v>
      </c>
      <c r="AL21" s="629">
        <f>IF(M21="","",(SIN(RADIANS((90-$Q$8)-W21))*AD21)+(COS(RADIANS((90-$Q$8)-W21))*AE21))</f>
        <v>-0.23282074038739947</v>
      </c>
      <c r="AM21" s="634">
        <f>IF(M21="","",AF21)</f>
        <v>-0.1321284534602418</v>
      </c>
      <c r="AN21" s="581">
        <f>IF(M21="","",DEGREES(ATAN2(-AM21,AL21)))</f>
        <v>-60.424590024673641</v>
      </c>
      <c r="AO21" s="582">
        <f>IF(ROUND(IF(M21="",0,DEGREES(ACOS(AK21))),4)=90,0,IF(M21="","",DEGREES(ACOS(AK21))))</f>
        <v>15.52746420979609</v>
      </c>
      <c r="AP21" s="585">
        <f>IF(M21="","",DEGREES(ATAN2(AK21,AL21)))</f>
        <v>-13.584550884578931</v>
      </c>
      <c r="AQ21" s="586">
        <f t="shared" si="9"/>
        <v>0.50432743678239988</v>
      </c>
      <c r="AS21" s="52">
        <f t="shared" si="116"/>
        <v>-14.56489789708894</v>
      </c>
      <c r="AT21" s="72">
        <f t="shared" si="10"/>
        <v>-0.65128748235988232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Nose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1.228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1.1279999999999999</v>
      </c>
      <c r="II21" s="734" cm="1">
        <f t="array" ref="II21">IFERROR(ROUND(VALUE(IF($IH21&lt;1,$IH21+LARGE((IF($M$9:$M$150="",0,$M$9:$M$150)-MOD(IF($M$9:$M$150="",0,$M$9:$M$150),1)),1),$IH21)),4),"")</f>
        <v>1.1279999999999999</v>
      </c>
      <c r="IJ21" s="533">
        <f t="shared" si="112"/>
        <v>1613</v>
      </c>
      <c r="IK21" s="533">
        <f t="shared" si="66"/>
        <v>1613</v>
      </c>
      <c r="IL21" s="727">
        <f t="shared" si="225"/>
        <v>12.435898204478463</v>
      </c>
      <c r="IM21" s="759">
        <v>1.54188021204768E-9</v>
      </c>
      <c r="IN21" s="5">
        <f t="shared" si="226"/>
        <v>0</v>
      </c>
      <c r="IO21" s="771">
        <v>0</v>
      </c>
      <c r="IP21" s="9">
        <f t="shared" si="227"/>
        <v>-4.5202136329643166</v>
      </c>
      <c r="IQ21" s="5">
        <f t="shared" si="228"/>
        <v>-0.66140199478841633</v>
      </c>
      <c r="IR21" s="5">
        <f t="shared" si="71"/>
        <v>0.314</v>
      </c>
      <c r="IS21" s="5">
        <f t="shared" si="229"/>
        <v>0.30253970201368829</v>
      </c>
      <c r="IT21" s="727">
        <f t="shared" si="230"/>
        <v>60.424590498698954</v>
      </c>
      <c r="IU21" s="9">
        <f t="shared" si="231"/>
        <v>-4.5202136329643174</v>
      </c>
      <c r="IV21" s="5">
        <f t="shared" si="232"/>
        <v>-0.66140199478841633</v>
      </c>
      <c r="IW21" s="5">
        <f t="shared" si="76"/>
        <v>0.314</v>
      </c>
      <c r="IX21" s="5">
        <f t="shared" si="233"/>
        <v>0.30253970468747393</v>
      </c>
      <c r="IY21" s="762">
        <f t="shared" si="234"/>
        <v>60.424590024673641</v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1.2217923674518125</v>
      </c>
      <c r="C22" s="708">
        <v>4.8708157851954397</v>
      </c>
      <c r="D22" s="709">
        <v>-1.237403732009656</v>
      </c>
      <c r="E22" s="710">
        <v>-0.86104610784310309</v>
      </c>
      <c r="F22" s="708">
        <v>0.49798201748766935</v>
      </c>
      <c r="G22" s="711">
        <v>0.10302189295074139</v>
      </c>
      <c r="H22" s="710">
        <v>0.314</v>
      </c>
      <c r="I22" s="708">
        <v>0.52</v>
      </c>
      <c r="J22" s="570">
        <v>1.234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1313" t="str">
        <f>IF($L21=$JH$22,$JH$30,IF($L21=$JI$22,$JI$30,""))</f>
        <v/>
      </c>
      <c r="M22" s="168">
        <f t="shared" si="1"/>
        <v>1.234</v>
      </c>
      <c r="N22" s="632">
        <f t="shared" si="2"/>
        <v>1.2217923674518125</v>
      </c>
      <c r="O22" s="629">
        <f t="shared" si="3"/>
        <v>4.8708157851954397</v>
      </c>
      <c r="P22" s="633">
        <f t="shared" si="4"/>
        <v>-1.237403732009656</v>
      </c>
      <c r="Q22" s="585">
        <f t="shared" si="113"/>
        <v>75.918502033116766</v>
      </c>
      <c r="R22" s="629">
        <f t="shared" si="79"/>
        <v>5.0217151454928795</v>
      </c>
      <c r="S22" s="634">
        <f t="shared" si="80"/>
        <v>-1.237403732009656</v>
      </c>
      <c r="T22" s="635">
        <f t="shared" si="81"/>
        <v>4.8708157851954388</v>
      </c>
      <c r="U22" s="629">
        <f t="shared" si="82"/>
        <v>-1.2217923674518152</v>
      </c>
      <c r="V22" s="636">
        <f t="shared" si="114"/>
        <v>-1.237403732009656</v>
      </c>
      <c r="W22" s="585">
        <f t="shared" si="224"/>
        <v>345.91850203311674</v>
      </c>
      <c r="X22" s="629">
        <f t="shared" si="83"/>
        <v>5.0217151454928795</v>
      </c>
      <c r="Y22" s="630">
        <f t="shared" si="223"/>
        <v>-1.237403732009656</v>
      </c>
      <c r="Z22" s="632">
        <f t="shared" si="6"/>
        <v>0.86104610784310309</v>
      </c>
      <c r="AA22" s="629">
        <f t="shared" si="7"/>
        <v>-0.49798201748766935</v>
      </c>
      <c r="AB22" s="629">
        <f t="shared" si="8"/>
        <v>-0.10302189295074139</v>
      </c>
      <c r="AC22" s="636">
        <f t="shared" si="84"/>
        <v>1</v>
      </c>
      <c r="AD22" s="637">
        <f t="shared" si="115"/>
        <v>0.86104610784310309</v>
      </c>
      <c r="AE22" s="629">
        <f t="shared" si="85"/>
        <v>-0.49798201748766935</v>
      </c>
      <c r="AF22" s="633">
        <f t="shared" si="86"/>
        <v>-0.10302189295074139</v>
      </c>
      <c r="AG22" s="602">
        <f t="shared" si="87"/>
        <v>-78.311609403062903</v>
      </c>
      <c r="AH22" s="603">
        <f t="shared" si="88"/>
        <v>30.565756503895436</v>
      </c>
      <c r="AI22" s="585">
        <f t="shared" si="89"/>
        <v>-84.086788720580344</v>
      </c>
      <c r="AJ22" s="586">
        <f t="shared" si="90"/>
        <v>59.957257733311287</v>
      </c>
      <c r="AK22" s="635">
        <f t="shared" si="211"/>
        <v>0.95633214207067796</v>
      </c>
      <c r="AL22" s="629">
        <f t="shared" si="91"/>
        <v>-0.27352389953229828</v>
      </c>
      <c r="AM22" s="634">
        <f t="shared" si="92"/>
        <v>-0.10302189295074139</v>
      </c>
      <c r="AN22" s="581">
        <f t="shared" si="93"/>
        <v>-69.361279245717256</v>
      </c>
      <c r="AO22" s="582">
        <f t="shared" si="94"/>
        <v>16.99463235051455</v>
      </c>
      <c r="AP22" s="585">
        <f t="shared" si="95"/>
        <v>-15.96124429980544</v>
      </c>
      <c r="AQ22" s="586">
        <f t="shared" si="9"/>
        <v>0.45396420569277424</v>
      </c>
      <c r="AS22" s="52">
        <f t="shared" si="116"/>
        <v>-14.081497966883262</v>
      </c>
      <c r="AT22" s="72">
        <f t="shared" si="10"/>
        <v>-1.2276249139770983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Taper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1.234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1.1339999999999999</v>
      </c>
      <c r="II22" s="734" cm="1">
        <f t="array" ref="II22">IFERROR(ROUND(VALUE(IF($IH22&lt;1,$IH22+LARGE((IF($M$9:$M$150="",0,$M$9:$M$150)-MOD(IF($M$9:$M$150="",0,$M$9:$M$150),1)),1),$IH22)),4),"")</f>
        <v>1.1339999999999999</v>
      </c>
      <c r="IJ22" s="533">
        <f t="shared" si="112"/>
        <v>1613</v>
      </c>
      <c r="IK22" s="533">
        <f t="shared" si="66"/>
        <v>1613</v>
      </c>
      <c r="IL22" s="727">
        <f t="shared" si="225"/>
        <v>11.166498387757144</v>
      </c>
      <c r="IM22" s="759">
        <v>2.1091834750342702E-8</v>
      </c>
      <c r="IN22" s="5">
        <f t="shared" si="226"/>
        <v>0</v>
      </c>
      <c r="IO22" s="771">
        <v>0</v>
      </c>
      <c r="IP22" s="9">
        <f t="shared" si="227"/>
        <v>-5.0217151454928795</v>
      </c>
      <c r="IQ22" s="5">
        <f t="shared" si="228"/>
        <v>-1.237403732009656</v>
      </c>
      <c r="IR22" s="5">
        <f t="shared" si="71"/>
        <v>0.314</v>
      </c>
      <c r="IS22" s="5">
        <f t="shared" si="229"/>
        <v>0.30028829258964457</v>
      </c>
      <c r="IT22" s="727">
        <f t="shared" si="230"/>
        <v>69.361283270113191</v>
      </c>
      <c r="IU22" s="9">
        <f t="shared" si="231"/>
        <v>-5.0217151454928795</v>
      </c>
      <c r="IV22" s="5">
        <f t="shared" si="232"/>
        <v>-1.237403732009656</v>
      </c>
      <c r="IW22" s="5">
        <f t="shared" si="76"/>
        <v>0.314</v>
      </c>
      <c r="IX22" s="5">
        <f t="shared" si="233"/>
        <v>0.30028829261019285</v>
      </c>
      <c r="IY22" s="762">
        <f t="shared" si="234"/>
        <v>69.361279245717256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1.2954117841748873</v>
      </c>
      <c r="C23" s="708">
        <v>5.2347128365925926</v>
      </c>
      <c r="D23" s="709">
        <v>-1.9060057485133375</v>
      </c>
      <c r="E23" s="710">
        <v>-0.855492632575795</v>
      </c>
      <c r="F23" s="708">
        <v>0.51433843369887722</v>
      </c>
      <c r="G23" s="711">
        <v>5.9902681314958156E-2</v>
      </c>
      <c r="H23" s="710">
        <v>0.314</v>
      </c>
      <c r="I23" s="708">
        <v>0.52</v>
      </c>
      <c r="J23" s="570">
        <v>1.24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1.24</v>
      </c>
      <c r="N23" s="632">
        <f t="shared" si="2"/>
        <v>1.2954117841748873</v>
      </c>
      <c r="O23" s="629">
        <f t="shared" si="3"/>
        <v>5.2347128365925926</v>
      </c>
      <c r="P23" s="633">
        <f t="shared" si="4"/>
        <v>-1.9060057485133375</v>
      </c>
      <c r="Q23" s="585">
        <f t="shared" si="113"/>
        <v>76.100502006839207</v>
      </c>
      <c r="R23" s="629">
        <f t="shared" si="79"/>
        <v>5.3926162641306519</v>
      </c>
      <c r="S23" s="634">
        <f t="shared" si="80"/>
        <v>-1.9060057485133375</v>
      </c>
      <c r="T23" s="635">
        <f t="shared" si="81"/>
        <v>5.2347128365925917</v>
      </c>
      <c r="U23" s="629">
        <f t="shared" si="82"/>
        <v>-1.2954117841748889</v>
      </c>
      <c r="V23" s="636">
        <f t="shared" si="114"/>
        <v>-1.9060057485133375</v>
      </c>
      <c r="W23" s="585">
        <f t="shared" si="224"/>
        <v>346.10050200683918</v>
      </c>
      <c r="X23" s="629">
        <f t="shared" si="83"/>
        <v>5.3926162641306519</v>
      </c>
      <c r="Y23" s="630">
        <f t="shared" si="223"/>
        <v>-1.9060057485133375</v>
      </c>
      <c r="Z23" s="632">
        <f t="shared" si="6"/>
        <v>0.855492632575795</v>
      </c>
      <c r="AA23" s="629">
        <f t="shared" si="7"/>
        <v>-0.51433843369887722</v>
      </c>
      <c r="AB23" s="629">
        <f t="shared" si="8"/>
        <v>-5.9902681314958156E-2</v>
      </c>
      <c r="AC23" s="636">
        <f t="shared" si="84"/>
        <v>1</v>
      </c>
      <c r="AD23" s="637">
        <f t="shared" si="115"/>
        <v>0.855492632575795</v>
      </c>
      <c r="AE23" s="629">
        <f t="shared" si="85"/>
        <v>-0.51433843369887722</v>
      </c>
      <c r="AF23" s="633">
        <f t="shared" si="86"/>
        <v>-5.9902681314958156E-2</v>
      </c>
      <c r="AG23" s="602">
        <f t="shared" si="87"/>
        <v>-83.356946611807487</v>
      </c>
      <c r="AH23" s="603">
        <f t="shared" si="88"/>
        <v>31.185798610936114</v>
      </c>
      <c r="AI23" s="585">
        <f t="shared" si="89"/>
        <v>-86.565773229937307</v>
      </c>
      <c r="AJ23" s="586">
        <f t="shared" si="90"/>
        <v>58.984915105470542</v>
      </c>
      <c r="AK23" s="635">
        <f t="shared" si="211"/>
        <v>0.95399673951245623</v>
      </c>
      <c r="AL23" s="629">
        <f t="shared" si="91"/>
        <v>-0.29377183284120573</v>
      </c>
      <c r="AM23" s="634">
        <f t="shared" si="92"/>
        <v>-5.9902681314958156E-2</v>
      </c>
      <c r="AN23" s="581">
        <f t="shared" si="93"/>
        <v>-78.474882671030429</v>
      </c>
      <c r="AO23" s="582">
        <f t="shared" si="94"/>
        <v>17.446610803936746</v>
      </c>
      <c r="AP23" s="585">
        <f t="shared" si="95"/>
        <v>-17.115586901368658</v>
      </c>
      <c r="AQ23" s="586">
        <f t="shared" si="9"/>
        <v>0.42274197753137616</v>
      </c>
      <c r="AS23" s="52">
        <f t="shared" si="116"/>
        <v>-13.899497993160821</v>
      </c>
      <c r="AT23" s="72">
        <f t="shared" si="10"/>
        <v>-1.8963533193514202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Taper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1.24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1.1399999999999999</v>
      </c>
      <c r="II23" s="734" cm="1">
        <f t="array" ref="II23">IFERROR(ROUND(VALUE(IF($IH23&lt;1,$IH23+LARGE((IF($M$9:$M$150="",0,$M$9:$M$150)-MOD(IF($M$9:$M$150="",0,$M$9:$M$150),1)),1),$IH23)),4),"")</f>
        <v>1.1399999999999999</v>
      </c>
      <c r="IJ23" s="533">
        <f t="shared" si="112"/>
        <v>1613</v>
      </c>
      <c r="IK23" s="533">
        <f t="shared" si="66"/>
        <v>1613</v>
      </c>
      <c r="IL23" s="727">
        <f t="shared" si="225"/>
        <v>10.371498502540931</v>
      </c>
      <c r="IM23" s="759">
        <v>3.0227510478152399E-9</v>
      </c>
      <c r="IN23" s="5">
        <f t="shared" si="226"/>
        <v>0</v>
      </c>
      <c r="IO23" s="771">
        <v>0</v>
      </c>
      <c r="IP23" s="9">
        <f t="shared" si="227"/>
        <v>-5.3926162641306519</v>
      </c>
      <c r="IQ23" s="5">
        <f t="shared" si="228"/>
        <v>-1.9060057485133375</v>
      </c>
      <c r="IR23" s="5">
        <f t="shared" si="71"/>
        <v>0.314</v>
      </c>
      <c r="IS23" s="5">
        <f t="shared" si="229"/>
        <v>0.29955497314738694</v>
      </c>
      <c r="IT23" s="727">
        <f t="shared" si="230"/>
        <v>78.474883472506747</v>
      </c>
      <c r="IU23" s="9">
        <f t="shared" si="231"/>
        <v>-5.3926162641306519</v>
      </c>
      <c r="IV23" s="5">
        <f t="shared" si="232"/>
        <v>-1.9060057485133375</v>
      </c>
      <c r="IW23" s="5">
        <f t="shared" si="76"/>
        <v>0.314</v>
      </c>
      <c r="IX23" s="5">
        <f t="shared" si="233"/>
        <v>0.29955497620691124</v>
      </c>
      <c r="IY23" s="762">
        <f t="shared" si="234"/>
        <v>78.474882671030429</v>
      </c>
      <c r="JA23" s="855" cm="1">
        <f t="array" ref="JA23">IFERROR(_xlfn._xlws.SORT(_xlfn.UNIQUE(_xlfn._xlws.FILTER($IK$9:$IK$150,$IK$9:$IK$150&lt;&gt;"")),,1),"")</f>
        <v>1613</v>
      </c>
      <c r="JB23" s="859" cm="1">
        <f t="array" ref="JB23">IF($JA23="","",COUNT(IF(IF($II$9:$II$150&lt;&gt;"",$IK$9:$IK$150,"")=$JA23,$IG$9:$IG$150,"")))</f>
        <v>29</v>
      </c>
      <c r="JC23" s="199"/>
      <c r="JD23" s="199"/>
      <c r="JE23" s="871"/>
      <c r="JF23" s="796" cm="1">
        <f t="array" ref="JF23:JG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6</v>
      </c>
      <c r="JG23" s="801">
        <v>23</v>
      </c>
      <c r="JH23" s="800" cm="1">
        <f t="array" ref="JH23:JI23">IF(_xlfn.ANCHORARRAY($JF$23)="","",_xlfn.MINIFS($IO$9:$IO$150,$IK$9:$IK$150,_xlfn.ANCHORARRAY($JA$23),$IE$9:$IE$150,_xlfn.ANCHORARRAY($JH$22),$II$9:$II$150,"&lt;&gt;"&amp;"",$IF$9:$IF$150,"&lt;&gt;"&amp;"Gage"))</f>
        <v>0</v>
      </c>
      <c r="JI23" s="801">
        <v>0</v>
      </c>
    </row>
    <row r="24" spans="1:269" ht="15" customHeight="1" x14ac:dyDescent="0.25">
      <c r="A24" s="79"/>
      <c r="B24" s="707">
        <v>1.356584430961014</v>
      </c>
      <c r="C24" s="708">
        <v>5.4853579318003147</v>
      </c>
      <c r="D24" s="709">
        <v>-2.6261079203414881</v>
      </c>
      <c r="E24" s="710">
        <v>-0.84357904260312666</v>
      </c>
      <c r="F24" s="708">
        <v>0.53628417065450407</v>
      </c>
      <c r="G24" s="711">
        <v>2.7815232988474558E-2</v>
      </c>
      <c r="H24" s="710">
        <v>0.314</v>
      </c>
      <c r="I24" s="708">
        <v>0.52</v>
      </c>
      <c r="J24" s="570">
        <v>1.246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1.246</v>
      </c>
      <c r="N24" s="632">
        <f t="shared" si="2"/>
        <v>1.356584430961014</v>
      </c>
      <c r="O24" s="629">
        <f t="shared" si="3"/>
        <v>5.4853579318003147</v>
      </c>
      <c r="P24" s="633">
        <f t="shared" si="4"/>
        <v>-2.6261079203414881</v>
      </c>
      <c r="Q24" s="585">
        <f t="shared" si="113"/>
        <v>76.108902005626405</v>
      </c>
      <c r="R24" s="629">
        <f t="shared" si="79"/>
        <v>5.6506170422609996</v>
      </c>
      <c r="S24" s="634">
        <f t="shared" si="80"/>
        <v>-2.6261079203414881</v>
      </c>
      <c r="T24" s="635">
        <f t="shared" si="81"/>
        <v>5.4853579318003147</v>
      </c>
      <c r="U24" s="629">
        <f t="shared" si="82"/>
        <v>-1.3565844309610149</v>
      </c>
      <c r="V24" s="636">
        <f t="shared" si="114"/>
        <v>-2.6261079203414881</v>
      </c>
      <c r="W24" s="585">
        <f t="shared" si="224"/>
        <v>346.10890200562642</v>
      </c>
      <c r="X24" s="629">
        <f t="shared" si="83"/>
        <v>5.6506170422609996</v>
      </c>
      <c r="Y24" s="630">
        <f t="shared" si="223"/>
        <v>-2.6261079203414881</v>
      </c>
      <c r="Z24" s="632">
        <f t="shared" si="6"/>
        <v>0.84357904260312666</v>
      </c>
      <c r="AA24" s="629">
        <f t="shared" si="7"/>
        <v>-0.53628417065450407</v>
      </c>
      <c r="AB24" s="629">
        <f t="shared" si="8"/>
        <v>-2.7815232988474558E-2</v>
      </c>
      <c r="AC24" s="636">
        <f t="shared" si="84"/>
        <v>1</v>
      </c>
      <c r="AD24" s="637">
        <f t="shared" si="115"/>
        <v>0.84357904260312666</v>
      </c>
      <c r="AE24" s="629">
        <f t="shared" si="85"/>
        <v>-0.53628417065450407</v>
      </c>
      <c r="AF24" s="633">
        <f t="shared" si="86"/>
        <v>-2.7815232988474558E-2</v>
      </c>
      <c r="AG24" s="602">
        <f t="shared" si="87"/>
        <v>-87.03092361108844</v>
      </c>
      <c r="AH24" s="603">
        <f t="shared" si="88"/>
        <v>32.479989839251473</v>
      </c>
      <c r="AI24" s="585">
        <f t="shared" si="89"/>
        <v>-88.406098968380832</v>
      </c>
      <c r="AJ24" s="586">
        <f t="shared" si="90"/>
        <v>57.554865166276606</v>
      </c>
      <c r="AK24" s="635">
        <f>IF(M24="","",(COS(RADIANS((90-$Q$8)-W24))*AD24)+(-SIN(RADIANS((90-$Q$8)-W24))*AE24))</f>
        <v>0.94765716892073515</v>
      </c>
      <c r="AL24" s="629">
        <f t="shared" si="91"/>
        <v>-0.31807578186170404</v>
      </c>
      <c r="AM24" s="634">
        <f t="shared" si="92"/>
        <v>-2.7815232988474558E-2</v>
      </c>
      <c r="AN24" s="581">
        <f t="shared" si="93"/>
        <v>-85.002286771168897</v>
      </c>
      <c r="AO24" s="582">
        <f t="shared" si="94"/>
        <v>18.619972283831011</v>
      </c>
      <c r="AP24" s="585">
        <f t="shared" si="95"/>
        <v>-18.554036839349788</v>
      </c>
      <c r="AQ24" s="586">
        <f t="shared" si="9"/>
        <v>0.40344071060420411</v>
      </c>
      <c r="AS24" s="52">
        <f t="shared" si="116"/>
        <v>-13.891097994373581</v>
      </c>
      <c r="AT24" s="72">
        <f t="shared" si="10"/>
        <v>-2.6164613245120618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1.246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1.1459999999999999</v>
      </c>
      <c r="II24" s="734" cm="1">
        <f t="array" ref="II24">IFERROR(ROUND(VALUE(IF($IH24&lt;1,$IH24+LARGE((IF($M$9:$M$150="",0,$M$9:$M$150)-MOD(IF($M$9:$M$150="",0,$M$9:$M$150),1)),1),$IH24)),4),"")</f>
        <v>1.1459999999999999</v>
      </c>
      <c r="IJ24" s="533">
        <f t="shared" si="112"/>
        <v>1613</v>
      </c>
      <c r="IK24" s="533">
        <f t="shared" si="66"/>
        <v>1613</v>
      </c>
      <c r="IL24" s="727">
        <f t="shared" si="225"/>
        <v>9.9230985672818406</v>
      </c>
      <c r="IM24" s="759">
        <v>2.8954016401627399E-9</v>
      </c>
      <c r="IN24" s="5">
        <f t="shared" si="226"/>
        <v>0</v>
      </c>
      <c r="IO24" s="771">
        <v>0</v>
      </c>
      <c r="IP24" s="9">
        <f t="shared" si="227"/>
        <v>-5.6506170422609987</v>
      </c>
      <c r="IQ24" s="5">
        <f t="shared" si="228"/>
        <v>-2.6261079203414881</v>
      </c>
      <c r="IR24" s="5">
        <f t="shared" si="71"/>
        <v>0.314</v>
      </c>
      <c r="IS24" s="5">
        <f t="shared" si="229"/>
        <v>0.29756434756755823</v>
      </c>
      <c r="IT24" s="727">
        <f t="shared" si="230"/>
        <v>85.002287576576322</v>
      </c>
      <c r="IU24" s="9">
        <f t="shared" si="231"/>
        <v>-5.6506170422609996</v>
      </c>
      <c r="IV24" s="5">
        <f t="shared" si="232"/>
        <v>-2.6261079203414881</v>
      </c>
      <c r="IW24" s="5">
        <f t="shared" si="76"/>
        <v>0.314</v>
      </c>
      <c r="IX24" s="5">
        <f t="shared" si="233"/>
        <v>0.29756435104111084</v>
      </c>
      <c r="IY24" s="762">
        <f t="shared" si="234"/>
        <v>85.002286771168897</v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2.702791491380756</v>
      </c>
      <c r="C25" s="708">
        <v>1.2453723875362377</v>
      </c>
      <c r="D25" s="709">
        <v>-8.7400263599195019E-2</v>
      </c>
      <c r="E25" s="710">
        <v>-0.36981015774937781</v>
      </c>
      <c r="F25" s="708">
        <v>0.89710970320776595</v>
      </c>
      <c r="G25" s="711">
        <v>0.24173255394310156</v>
      </c>
      <c r="H25" s="710">
        <v>0.314</v>
      </c>
      <c r="I25" s="708">
        <v>0.52</v>
      </c>
      <c r="J25" s="570">
        <v>2.1150000000000002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2.1150000000000002</v>
      </c>
      <c r="N25" s="632">
        <f t="shared" si="2"/>
        <v>2.702791491380756</v>
      </c>
      <c r="O25" s="629">
        <f t="shared" si="3"/>
        <v>1.2453723875362377</v>
      </c>
      <c r="P25" s="633">
        <f t="shared" si="4"/>
        <v>-8.7400263599195019E-2</v>
      </c>
      <c r="Q25" s="585">
        <f t="shared" si="113"/>
        <v>24.738957444959681</v>
      </c>
      <c r="R25" s="629">
        <f>IF(M25="","",SQRT(N25^2+O25^2))</f>
        <v>2.9759089753414703</v>
      </c>
      <c r="S25" s="634">
        <f>IF(M25="","",P25)</f>
        <v>-8.7400263599195019E-2</v>
      </c>
      <c r="T25" s="635">
        <f>IF(M25="","",X25*COS(RADIANS(W25)))</f>
        <v>1.2453723875362361</v>
      </c>
      <c r="U25" s="629">
        <f>IF(M25="","",X25*SIN(RADIANS(W25)))</f>
        <v>-2.7027914913807565</v>
      </c>
      <c r="V25" s="636">
        <f>IF(M25="","",Y25)</f>
        <v>-8.7400263599195019E-2</v>
      </c>
      <c r="W25" s="585">
        <f t="shared" si="224"/>
        <v>294.73895744495968</v>
      </c>
      <c r="X25" s="629">
        <f>IF(M25="","",R25)</f>
        <v>2.9759089753414703</v>
      </c>
      <c r="Y25" s="630">
        <f t="shared" si="223"/>
        <v>-8.7400263599195019E-2</v>
      </c>
      <c r="Z25" s="632">
        <f t="shared" si="6"/>
        <v>0.36981015774937781</v>
      </c>
      <c r="AA25" s="629">
        <f t="shared" si="7"/>
        <v>-0.89710970320776595</v>
      </c>
      <c r="AB25" s="629">
        <f t="shared" si="8"/>
        <v>-0.24173255394310156</v>
      </c>
      <c r="AC25" s="636">
        <f>IF(M25="","",SQRT(Z25^2+AA25^2+AB25^2))</f>
        <v>1</v>
      </c>
      <c r="AD25" s="637">
        <f>IF(M25="","",Z25*(1/SQRT(Z25^2+AA25^2+AB25^2)))</f>
        <v>0.36981015774937781</v>
      </c>
      <c r="AE25" s="629">
        <f>IF(M25="","",AA25*(1/SQRT(Z25^2+AA25^2+AB25^2)))</f>
        <v>-0.89710970320776595</v>
      </c>
      <c r="AF25" s="633">
        <f>IF(M25="","",AB25*(1/SQRT(Z25^2+AA25^2+AB25^2)))</f>
        <v>-0.24173255394310156</v>
      </c>
      <c r="AG25" s="602">
        <f>IF(M25="","",DEGREES(ATAN2(-AF25,AE25)))</f>
        <v>-74.91942266653048</v>
      </c>
      <c r="AH25" s="603">
        <f>IF(M25="","",DEGREES(ACOS(AD25)))</f>
        <v>68.296090300669775</v>
      </c>
      <c r="AI25" s="585">
        <f>IF(M25="","",DEGREES(-ACOS(-AF25)))</f>
        <v>-76.011180317183261</v>
      </c>
      <c r="AJ25" s="586">
        <f>IF(M25="","",DEGREES(ATAN2(-AE25,AD25)))</f>
        <v>22.402632448842027</v>
      </c>
      <c r="AK25" s="635">
        <f>IF(M25="","",(COS(RADIANS((90-$Q$8)-W25))*AD25)+(-SIN(RADIANS((90-$Q$8)-W25))*AE25))</f>
        <v>0.96953631836991683</v>
      </c>
      <c r="AL25" s="629">
        <f>IF(M25="","",(SIN(RADIANS((90-$Q$8)-W25))*AD25)+(COS(RADIANS((90-$Q$8)-W25))*AE25))</f>
        <v>-3.9556285541656633E-2</v>
      </c>
      <c r="AM25" s="634">
        <f>IF(M25="","",AF25)</f>
        <v>-0.24173255394310156</v>
      </c>
      <c r="AN25" s="581">
        <f>IF(M25="","",DEGREES(ATAN2(-AM25,AL25)))</f>
        <v>-9.2933200125687883</v>
      </c>
      <c r="AO25" s="582">
        <f>IF(ROUND(IF(M25="",0,DEGREES(ACOS(AK25))),4)=90,0,IF(M25="","",DEGREES(ACOS(AK25))))</f>
        <v>14.178737148012916</v>
      </c>
      <c r="AP25" s="585">
        <f>IF(M25="","",DEGREES(ATAN2(AK25,AL25)))</f>
        <v>-2.3363249961176216</v>
      </c>
      <c r="AQ25" s="586">
        <f t="shared" si="9"/>
        <v>0.76601496240930145</v>
      </c>
      <c r="AS25" s="52">
        <f t="shared" si="116"/>
        <v>-65.261042555040319</v>
      </c>
      <c r="AT25" s="72">
        <f t="shared" si="10"/>
        <v>-4.2080095158194795E-2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2.1150000000000002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3.4258602989122062</v>
      </c>
      <c r="C26" s="708">
        <v>1.5212062731109279</v>
      </c>
      <c r="D26" s="709">
        <v>-0.20370061436105291</v>
      </c>
      <c r="E26" s="710">
        <v>-0.25425981487487809</v>
      </c>
      <c r="F26" s="708">
        <v>0.94968401965424165</v>
      </c>
      <c r="G26" s="711">
        <v>0.18289945148401787</v>
      </c>
      <c r="H26" s="710">
        <v>0.314</v>
      </c>
      <c r="I26" s="708">
        <v>0.52</v>
      </c>
      <c r="J26" s="570">
        <v>2.121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843"/>
      <c r="M26" s="168">
        <f t="shared" si="1"/>
        <v>2.121</v>
      </c>
      <c r="N26" s="632">
        <f t="shared" si="2"/>
        <v>3.4258602989122062</v>
      </c>
      <c r="O26" s="629">
        <f t="shared" si="3"/>
        <v>1.5212062731109279</v>
      </c>
      <c r="P26" s="633">
        <f t="shared" si="4"/>
        <v>-0.20370061436105291</v>
      </c>
      <c r="Q26" s="585">
        <f t="shared" si="113"/>
        <v>23.942957559887841</v>
      </c>
      <c r="R26" s="629">
        <f>IF(M26="","",SQRT(N26^2+O26^2))</f>
        <v>3.7484113052084971</v>
      </c>
      <c r="S26" s="634">
        <f>IF(M26="","",P26)</f>
        <v>-0.20370061436105291</v>
      </c>
      <c r="T26" s="635">
        <f>IF(M26="","",X26*COS(RADIANS(W26)))</f>
        <v>1.5212062731109244</v>
      </c>
      <c r="U26" s="629">
        <f>IF(M26="","",X26*SIN(RADIANS(W26)))</f>
        <v>-3.4258602989122076</v>
      </c>
      <c r="V26" s="636">
        <f>IF(M26="","",Y26)</f>
        <v>-0.20370061436105291</v>
      </c>
      <c r="W26" s="585">
        <f t="shared" si="224"/>
        <v>293.94295755988782</v>
      </c>
      <c r="X26" s="629">
        <f>IF(M26="","",R26)</f>
        <v>3.7484113052084971</v>
      </c>
      <c r="Y26" s="630">
        <f t="shared" si="223"/>
        <v>-0.20370061436105291</v>
      </c>
      <c r="Z26" s="632">
        <f t="shared" si="6"/>
        <v>0.25425981487487809</v>
      </c>
      <c r="AA26" s="629">
        <f t="shared" si="7"/>
        <v>-0.94968401965424165</v>
      </c>
      <c r="AB26" s="629">
        <f t="shared" si="8"/>
        <v>-0.18289945148401787</v>
      </c>
      <c r="AC26" s="636">
        <f>IF(M26="","",SQRT(Z26^2+AA26^2+AB26^2))</f>
        <v>1</v>
      </c>
      <c r="AD26" s="637">
        <f>IF(M26="","",Z26*(1/SQRT(Z26^2+AA26^2+AB26^2)))</f>
        <v>0.25425981487487809</v>
      </c>
      <c r="AE26" s="629">
        <f>IF(M26="","",AA26*(1/SQRT(Z26^2+AA26^2+AB26^2)))</f>
        <v>-0.94968401965424165</v>
      </c>
      <c r="AF26" s="633">
        <f>IF(M26="","",AB26*(1/SQRT(Z26^2+AA26^2+AB26^2)))</f>
        <v>-0.18289945148401787</v>
      </c>
      <c r="AG26" s="602">
        <f>IF(M26="","",DEGREES(ATAN2(-AF26,AE26)))</f>
        <v>-79.09888685653226</v>
      </c>
      <c r="AH26" s="603">
        <f>IF(M26="","",DEGREES(ACOS(AD26)))</f>
        <v>75.270269857536064</v>
      </c>
      <c r="AI26" s="585">
        <f>IF(M26="","",DEGREES(-ACOS(-AF26)))</f>
        <v>-79.461309584680535</v>
      </c>
      <c r="AJ26" s="586">
        <f>IF(M26="","",DEGREES(ATAN2(-AE26,AD26)))</f>
        <v>14.988333195541836</v>
      </c>
      <c r="AK26" s="635">
        <f>IF(M26="","",(COS(RADIANS((90-$Q$8)-W26))*AD26)+(-SIN(RADIANS((90-$Q$8)-W26))*AE26))</f>
        <v>0.97114913717560469</v>
      </c>
      <c r="AL26" s="629">
        <f>IF(M26="","",(SIN(RADIANS((90-$Q$8)-W26))*AD26)+(COS(RADIANS((90-$Q$8)-W26))*AE26))</f>
        <v>-0.15302661209712493</v>
      </c>
      <c r="AM26" s="634">
        <f>IF(M26="","",AF26)</f>
        <v>-0.18289945148401787</v>
      </c>
      <c r="AN26" s="581">
        <f>IF(M26="","",DEGREES(ATAN2(-AM26,AL26)))</f>
        <v>-39.918235418300576</v>
      </c>
      <c r="AO26" s="582">
        <f t="shared" si="94"/>
        <v>13.796430829436257</v>
      </c>
      <c r="AP26" s="585">
        <f>IF(M26="","",DEGREES(ATAN2(AK26,AL26)))</f>
        <v>-8.9546243643459533</v>
      </c>
      <c r="AQ26" s="586">
        <f t="shared" si="9"/>
        <v>0.60816191974132305</v>
      </c>
      <c r="AS26" s="52">
        <f t="shared" si="116"/>
        <v>-66.057042440112184</v>
      </c>
      <c r="AT26" s="72">
        <f t="shared" si="10"/>
        <v>-0.1578276682220861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2.121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4.0706174564361897</v>
      </c>
      <c r="C27" s="708">
        <v>1.7292966204417597</v>
      </c>
      <c r="D27" s="709">
        <v>-0.5790017462692667</v>
      </c>
      <c r="E27" s="710">
        <v>-0.1683270804006135</v>
      </c>
      <c r="F27" s="708">
        <v>0.97588504087775507</v>
      </c>
      <c r="G27" s="711">
        <v>0.13897618858936875</v>
      </c>
      <c r="H27" s="710">
        <v>0.314</v>
      </c>
      <c r="I27" s="708">
        <v>0.52</v>
      </c>
      <c r="J27" s="570">
        <v>2.1269999999999998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843"/>
      <c r="M27" s="168">
        <f t="shared" si="1"/>
        <v>2.1269999999999998</v>
      </c>
      <c r="N27" s="632">
        <f t="shared" si="2"/>
        <v>4.0706174564361897</v>
      </c>
      <c r="O27" s="629">
        <f t="shared" si="3"/>
        <v>1.7292966204417597</v>
      </c>
      <c r="P27" s="633">
        <f t="shared" si="4"/>
        <v>-0.5790017462692667</v>
      </c>
      <c r="Q27" s="585">
        <f t="shared" si="113"/>
        <v>23.016957693585688</v>
      </c>
      <c r="R27" s="629">
        <f t="shared" si="79"/>
        <v>4.4227133389034297</v>
      </c>
      <c r="S27" s="634">
        <f t="shared" si="80"/>
        <v>-0.5790017462692667</v>
      </c>
      <c r="T27" s="635">
        <f t="shared" si="81"/>
        <v>1.7292966204417592</v>
      </c>
      <c r="U27" s="629">
        <f t="shared" si="82"/>
        <v>-4.0706174564361897</v>
      </c>
      <c r="V27" s="636">
        <f t="shared" si="114"/>
        <v>-0.5790017462692667</v>
      </c>
      <c r="W27" s="585">
        <f t="shared" si="224"/>
        <v>293.01695769358571</v>
      </c>
      <c r="X27" s="629">
        <f t="shared" si="83"/>
        <v>4.4227133389034297</v>
      </c>
      <c r="Y27" s="630">
        <f t="shared" si="223"/>
        <v>-0.5790017462692667</v>
      </c>
      <c r="Z27" s="632">
        <f t="shared" si="6"/>
        <v>0.1683270804006135</v>
      </c>
      <c r="AA27" s="629">
        <f t="shared" si="7"/>
        <v>-0.97588504087775507</v>
      </c>
      <c r="AB27" s="629">
        <f t="shared" si="8"/>
        <v>-0.13897618858936875</v>
      </c>
      <c r="AC27" s="636">
        <f t="shared" si="84"/>
        <v>1</v>
      </c>
      <c r="AD27" s="637">
        <f t="shared" si="115"/>
        <v>0.1683270804006135</v>
      </c>
      <c r="AE27" s="629">
        <f t="shared" si="85"/>
        <v>-0.97588504087775507</v>
      </c>
      <c r="AF27" s="633">
        <f t="shared" si="86"/>
        <v>-0.13897618858936875</v>
      </c>
      <c r="AG27" s="602">
        <f t="shared" si="87"/>
        <v>-81.894983213510955</v>
      </c>
      <c r="AH27" s="603">
        <f t="shared" si="88"/>
        <v>80.309433796893103</v>
      </c>
      <c r="AI27" s="585">
        <f t="shared" si="89"/>
        <v>-82.011392965765268</v>
      </c>
      <c r="AJ27" s="586">
        <f t="shared" si="90"/>
        <v>9.7864573843483083</v>
      </c>
      <c r="AK27" s="635">
        <f t="shared" si="211"/>
        <v>0.96401050835337398</v>
      </c>
      <c r="AL27" s="629">
        <f t="shared" si="91"/>
        <v>-0.22664809460801055</v>
      </c>
      <c r="AM27" s="634">
        <f t="shared" si="92"/>
        <v>-0.13897618858936875</v>
      </c>
      <c r="AN27" s="581">
        <f t="shared" si="93"/>
        <v>-58.484186871137048</v>
      </c>
      <c r="AO27" s="582">
        <f t="shared" si="94"/>
        <v>15.418306323758561</v>
      </c>
      <c r="AP27" s="585">
        <f t="shared" si="95"/>
        <v>-13.230500309237376</v>
      </c>
      <c r="AQ27" s="586">
        <f t="shared" si="9"/>
        <v>0.51544492173290368</v>
      </c>
      <c r="AS27" s="52">
        <f t="shared" si="116"/>
        <v>-66.983042306414291</v>
      </c>
      <c r="AT27" s="72">
        <f t="shared" si="10"/>
        <v>-0.53248574466759013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2.1269999999999998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4.5807819278332449</v>
      </c>
      <c r="C28" s="708">
        <v>1.869844881819783</v>
      </c>
      <c r="D28" s="709">
        <v>-1.1334034183447097</v>
      </c>
      <c r="E28" s="710">
        <v>-0.1131220208522625</v>
      </c>
      <c r="F28" s="708">
        <v>0.98723698670682269</v>
      </c>
      <c r="G28" s="711">
        <v>0.11210058196250898</v>
      </c>
      <c r="H28" s="710">
        <v>0.314</v>
      </c>
      <c r="I28" s="708">
        <v>0.52</v>
      </c>
      <c r="J28" s="570">
        <v>2.133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843"/>
      <c r="M28" s="168">
        <f t="shared" si="1"/>
        <v>2.133</v>
      </c>
      <c r="N28" s="632">
        <f t="shared" si="2"/>
        <v>4.5807819278332449</v>
      </c>
      <c r="O28" s="629">
        <f t="shared" si="3"/>
        <v>1.869844881819783</v>
      </c>
      <c r="P28" s="633">
        <f t="shared" si="4"/>
        <v>-1.1334034183447097</v>
      </c>
      <c r="Q28" s="585">
        <f t="shared" si="113"/>
        <v>22.204957810823963</v>
      </c>
      <c r="R28" s="629">
        <f t="shared" si="79"/>
        <v>4.9477149223082062</v>
      </c>
      <c r="S28" s="634">
        <f t="shared" si="80"/>
        <v>-1.1334034183447097</v>
      </c>
      <c r="T28" s="635">
        <f t="shared" si="81"/>
        <v>1.869844881819783</v>
      </c>
      <c r="U28" s="629">
        <f t="shared" si="82"/>
        <v>-4.5807819278332449</v>
      </c>
      <c r="V28" s="636">
        <f t="shared" si="114"/>
        <v>-1.1334034183447097</v>
      </c>
      <c r="W28" s="585">
        <f t="shared" si="224"/>
        <v>292.20495781082394</v>
      </c>
      <c r="X28" s="629">
        <f t="shared" si="83"/>
        <v>4.9477149223082062</v>
      </c>
      <c r="Y28" s="630">
        <f t="shared" si="223"/>
        <v>-1.1334034183447097</v>
      </c>
      <c r="Z28" s="632">
        <f t="shared" si="6"/>
        <v>0.1131220208522625</v>
      </c>
      <c r="AA28" s="629">
        <f t="shared" si="7"/>
        <v>-0.98723698670682269</v>
      </c>
      <c r="AB28" s="629">
        <f t="shared" si="8"/>
        <v>-0.11210058196250898</v>
      </c>
      <c r="AC28" s="636">
        <f t="shared" si="84"/>
        <v>1</v>
      </c>
      <c r="AD28" s="637">
        <f t="shared" si="115"/>
        <v>0.1131220208522625</v>
      </c>
      <c r="AE28" s="629">
        <f t="shared" si="85"/>
        <v>-0.98723698670682269</v>
      </c>
      <c r="AF28" s="633">
        <f t="shared" si="86"/>
        <v>-0.11210058196250898</v>
      </c>
      <c r="AG28" s="602">
        <f t="shared" si="87"/>
        <v>-83.521821734771592</v>
      </c>
      <c r="AH28" s="603">
        <f t="shared" si="88"/>
        <v>83.504682086871767</v>
      </c>
      <c r="AI28" s="585">
        <f t="shared" si="89"/>
        <v>-83.563580875264222</v>
      </c>
      <c r="AJ28" s="586">
        <f t="shared" si="90"/>
        <v>6.5366975853581142</v>
      </c>
      <c r="AK28" s="635">
        <f t="shared" si="211"/>
        <v>0.95677258153314293</v>
      </c>
      <c r="AL28" s="629">
        <f t="shared" si="91"/>
        <v>-0.26836483888555906</v>
      </c>
      <c r="AM28" s="634">
        <f t="shared" si="92"/>
        <v>-0.11210058196250898</v>
      </c>
      <c r="AN28" s="581">
        <f t="shared" si="93"/>
        <v>-67.328872002638192</v>
      </c>
      <c r="AO28" s="582">
        <f t="shared" si="94"/>
        <v>16.908079493730522</v>
      </c>
      <c r="AP28" s="585">
        <f t="shared" si="95"/>
        <v>-15.668260225465849</v>
      </c>
      <c r="AQ28" s="586">
        <f t="shared" si="9"/>
        <v>0.46075360554003147</v>
      </c>
      <c r="AS28" s="52">
        <f t="shared" si="116"/>
        <v>-67.795042189176058</v>
      </c>
      <c r="AT28" s="72">
        <f t="shared" si="10"/>
        <v>-1.0863235279355596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2.133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4.9654884997957121</v>
      </c>
      <c r="C29" s="708">
        <v>1.9621632748828346</v>
      </c>
      <c r="D29" s="709">
        <v>-1.7901053989578832</v>
      </c>
      <c r="E29" s="710">
        <v>-8.0013625239384947E-2</v>
      </c>
      <c r="F29" s="708">
        <v>0.994536871187363</v>
      </c>
      <c r="G29" s="711">
        <v>6.7039030608308195E-2</v>
      </c>
      <c r="H29" s="710">
        <v>0.314</v>
      </c>
      <c r="I29" s="708">
        <v>0.52</v>
      </c>
      <c r="J29" s="570">
        <v>2.1389999999999998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843"/>
      <c r="M29" s="168">
        <f t="shared" si="1"/>
        <v>2.1389999999999998</v>
      </c>
      <c r="N29" s="632">
        <f t="shared" si="2"/>
        <v>4.9654884997957121</v>
      </c>
      <c r="O29" s="629">
        <f t="shared" si="3"/>
        <v>1.9621632748828346</v>
      </c>
      <c r="P29" s="633">
        <f t="shared" si="4"/>
        <v>-1.7901053989578832</v>
      </c>
      <c r="Q29" s="585">
        <f t="shared" si="113"/>
        <v>21.561957903661664</v>
      </c>
      <c r="R29" s="629">
        <f>IF(M29="","",SQRT(N29^2+O29^2))</f>
        <v>5.3391161027741658</v>
      </c>
      <c r="S29" s="634">
        <f>IF(M29="","",P29)</f>
        <v>-1.7901053989578832</v>
      </c>
      <c r="T29" s="635">
        <f>IF(M29="","",X29*COS(RADIANS(W29)))</f>
        <v>1.9621632748828322</v>
      </c>
      <c r="U29" s="629">
        <f>IF(M29="","",X29*SIN(RADIANS(W29)))</f>
        <v>-4.9654884997957121</v>
      </c>
      <c r="V29" s="636">
        <f>IF(M29="","",Y29)</f>
        <v>-1.7901053989578832</v>
      </c>
      <c r="W29" s="585">
        <f t="shared" si="224"/>
        <v>291.56195790366166</v>
      </c>
      <c r="X29" s="629">
        <f>IF(M29="","",R29)</f>
        <v>5.3391161027741658</v>
      </c>
      <c r="Y29" s="630">
        <f t="shared" si="223"/>
        <v>-1.7901053989578832</v>
      </c>
      <c r="Z29" s="632">
        <f t="shared" si="6"/>
        <v>8.0013625239384947E-2</v>
      </c>
      <c r="AA29" s="629">
        <f t="shared" si="7"/>
        <v>-0.994536871187363</v>
      </c>
      <c r="AB29" s="629">
        <f t="shared" si="8"/>
        <v>-6.7039030608308195E-2</v>
      </c>
      <c r="AC29" s="636">
        <f>IF(M29="","",SQRT(Z29^2+AA29^2+AB29^2))</f>
        <v>1</v>
      </c>
      <c r="AD29" s="637">
        <f>IF(M29="","",Z29*(1/SQRT(Z29^2+AA29^2+AB29^2)))</f>
        <v>8.0013625239384947E-2</v>
      </c>
      <c r="AE29" s="629">
        <f>IF(M29="","",AA29*(1/SQRT(Z29^2+AA29^2+AB29^2)))</f>
        <v>-0.994536871187363</v>
      </c>
      <c r="AF29" s="633">
        <f>IF(M29="","",AB29*(1/SQRT(Z29^2+AA29^2+AB29^2)))</f>
        <v>-6.7039030608308195E-2</v>
      </c>
      <c r="AG29" s="602">
        <f>IF(M29="","",DEGREES(ATAN2(-AF29,AE29)))</f>
        <v>-86.143680691033353</v>
      </c>
      <c r="AH29" s="603">
        <f>IF(M29="","",DEGREES(ACOS(AD29)))</f>
        <v>85.410651084877685</v>
      </c>
      <c r="AI29" s="585">
        <f>IF(M29="","",DEGREES(-ACOS(-AF29)))</f>
        <v>-86.156063551863767</v>
      </c>
      <c r="AJ29" s="586">
        <f>IF(M29="","",DEGREES(ATAN2(-AE29,AD29)))</f>
        <v>4.5997188676243086</v>
      </c>
      <c r="AK29" s="635">
        <f>IF(M29="","",(COS(RADIANS((90-$Q$8)-W29))*AD29)+(-SIN(RADIANS((90-$Q$8)-W29))*AE29))</f>
        <v>0.95434545631834211</v>
      </c>
      <c r="AL29" s="629">
        <f>IF(M29="","",(SIN(RADIANS((90-$Q$8)-W29))*AD29)+(COS(RADIANS((90-$Q$8)-W29))*AE29))</f>
        <v>-0.29108507069177114</v>
      </c>
      <c r="AM29" s="634">
        <f>IF(M29="","",AF29)</f>
        <v>-6.7039030608308195E-2</v>
      </c>
      <c r="AN29" s="581">
        <f>IF(M29="","",DEGREES(ATAN2(-AM29,AL29)))</f>
        <v>-77.030511630876234</v>
      </c>
      <c r="AO29" s="582">
        <f t="shared" si="94"/>
        <v>17.379846355582007</v>
      </c>
      <c r="AP29" s="585">
        <f>IF(M29="","",DEGREES(ATAN2(AK29,AL29)))</f>
        <v>-16.962239036037332</v>
      </c>
      <c r="AQ29" s="586">
        <f t="shared" si="9"/>
        <v>0.42697787171159907</v>
      </c>
      <c r="AS29" s="52">
        <f t="shared" si="116"/>
        <v>-68.438042096338336</v>
      </c>
      <c r="AT29" s="72">
        <f t="shared" si="10"/>
        <v>-1.742578980835426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2.1389999999999998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29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0</v>
      </c>
    </row>
    <row r="30" spans="1:269" ht="15" customHeight="1" x14ac:dyDescent="0.25">
      <c r="A30" s="79"/>
      <c r="B30" s="707">
        <v>5.2386116997450429</v>
      </c>
      <c r="C30" s="708">
        <v>2.0206723299090936</v>
      </c>
      <c r="D30" s="709">
        <v>-2.5036075508803739</v>
      </c>
      <c r="E30" s="710">
        <v>-4.5702632504021914E-2</v>
      </c>
      <c r="F30" s="708">
        <v>0.99834450769800598</v>
      </c>
      <c r="G30" s="711">
        <v>3.4921531057907879E-2</v>
      </c>
      <c r="H30" s="710">
        <v>0.314</v>
      </c>
      <c r="I30" s="708">
        <v>0.52</v>
      </c>
      <c r="J30" s="570">
        <v>2.145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2.145</v>
      </c>
      <c r="N30" s="632">
        <f t="shared" si="2"/>
        <v>5.2386116997450429</v>
      </c>
      <c r="O30" s="629">
        <f t="shared" si="3"/>
        <v>2.0206723299090936</v>
      </c>
      <c r="P30" s="633">
        <f t="shared" si="4"/>
        <v>-2.5036075508803739</v>
      </c>
      <c r="Q30" s="585">
        <f t="shared" si="113"/>
        <v>21.092957971376872</v>
      </c>
      <c r="R30" s="629">
        <f>IF(M30="","",SQRT(N30^2+O30^2))</f>
        <v>5.6148169342878749</v>
      </c>
      <c r="S30" s="634">
        <f>IF(M30="","",P30)</f>
        <v>-2.5036075508803739</v>
      </c>
      <c r="T30" s="635">
        <f>IF(M30="","",X30*COS(RADIANS(W30)))</f>
        <v>2.0206723299090901</v>
      </c>
      <c r="U30" s="629">
        <f>IF(M30="","",X30*SIN(RADIANS(W30)))</f>
        <v>-5.2386116997450447</v>
      </c>
      <c r="V30" s="636">
        <f>IF(M30="","",Y30)</f>
        <v>-2.5036075508803739</v>
      </c>
      <c r="W30" s="585">
        <f t="shared" si="224"/>
        <v>291.09295797137685</v>
      </c>
      <c r="X30" s="629">
        <f>IF(M30="","",R30)</f>
        <v>5.6148169342878749</v>
      </c>
      <c r="Y30" s="630">
        <f t="shared" si="223"/>
        <v>-2.5036075508803739</v>
      </c>
      <c r="Z30" s="632">
        <f t="shared" si="6"/>
        <v>4.5702632504021914E-2</v>
      </c>
      <c r="AA30" s="629">
        <f t="shared" si="7"/>
        <v>-0.99834450769800598</v>
      </c>
      <c r="AB30" s="629">
        <f t="shared" si="8"/>
        <v>-3.4921531057907879E-2</v>
      </c>
      <c r="AC30" s="636">
        <f>IF(M30="","",SQRT(Z30^2+AA30^2+AB30^2))</f>
        <v>1</v>
      </c>
      <c r="AD30" s="637">
        <f>IF(M30="","",Z30*(1/SQRT(Z30^2+AA30^2+AB30^2)))</f>
        <v>4.5702632504021914E-2</v>
      </c>
      <c r="AE30" s="629">
        <f>IF(M30="","",AA30*(1/SQRT(Z30^2+AA30^2+AB30^2)))</f>
        <v>-0.99834450769800598</v>
      </c>
      <c r="AF30" s="633">
        <f>IF(M30="","",AB30*(1/SQRT(Z30^2+AA30^2+AB30^2)))</f>
        <v>-3.4921531057907879E-2</v>
      </c>
      <c r="AG30" s="602">
        <f>IF(M30="","",DEGREES(ATAN2(-AF30,AE30)))</f>
        <v>-87.996642571581717</v>
      </c>
      <c r="AH30" s="603">
        <f>IF(M30="","",DEGREES(ACOS(AD30)))</f>
        <v>87.380519606484143</v>
      </c>
      <c r="AI30" s="585">
        <f>IF(M30="","",DEGREES(-ACOS(-AF30)))</f>
        <v>-87.998736754409705</v>
      </c>
      <c r="AJ30" s="586">
        <f>IF(M30="","",DEGREES(ATAN2(-AE30,AD30)))</f>
        <v>2.6210802173495997</v>
      </c>
      <c r="AK30" s="635">
        <f>IF(M30="","",(COS(RADIANS((90-$Q$8)-W30))*AD30)+(-SIN(RADIANS((90-$Q$8)-W30))*AE30))</f>
        <v>0.94790076428072989</v>
      </c>
      <c r="AL30" s="629">
        <f>IF(M30="","",(SIN(RADIANS((90-$Q$8)-W30))*AD30)+(COS(RADIANS((90-$Q$8)-W30))*AE30))</f>
        <v>-0.31664590277560806</v>
      </c>
      <c r="AM30" s="634">
        <f>IF(M30="","",AF30)</f>
        <v>-3.4921531057907879E-2</v>
      </c>
      <c r="AN30" s="581">
        <f>IF(M30="","",DEGREES(ATAN2(-AM30,AL30)))</f>
        <v>-83.706525447030614</v>
      </c>
      <c r="AO30" s="582">
        <f>IF(ROUND(IF(M30="",0,DEGREES(ACOS(AK30))),4)=90,0,IF(M30="","",DEGREES(ACOS(AK30))))</f>
        <v>18.576210061572286</v>
      </c>
      <c r="AP30" s="585">
        <f>IF(M30="","",DEGREES(ATAN2(AK30,AL30)))</f>
        <v>-18.471877754027236</v>
      </c>
      <c r="AQ30" s="586">
        <f t="shared" si="9"/>
        <v>0.40601296526428571</v>
      </c>
      <c r="AS30" s="52">
        <f t="shared" si="116"/>
        <v>-68.907042028623152</v>
      </c>
      <c r="AT30" s="72">
        <f t="shared" si="10"/>
        <v>-2.4557554383604967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2.145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5.4121041360413074</v>
      </c>
      <c r="C31" s="708">
        <v>2.0549962983104662</v>
      </c>
      <c r="D31" s="709">
        <v>-3.2486097978071506</v>
      </c>
      <c r="E31" s="710">
        <v>-3.494492686785259E-2</v>
      </c>
      <c r="F31" s="708">
        <v>0.99936567239319474</v>
      </c>
      <c r="G31" s="711">
        <v>-6.8633030166424074E-3</v>
      </c>
      <c r="H31" s="710">
        <v>0.314</v>
      </c>
      <c r="I31" s="708">
        <v>0.52</v>
      </c>
      <c r="J31" s="570">
        <v>2.1509999999999998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2.1509999999999998</v>
      </c>
      <c r="N31" s="632">
        <f t="shared" si="2"/>
        <v>5.4121041360413074</v>
      </c>
      <c r="O31" s="629">
        <f t="shared" si="3"/>
        <v>2.0549962983104662</v>
      </c>
      <c r="P31" s="633">
        <f t="shared" si="4"/>
        <v>-3.2486097978071506</v>
      </c>
      <c r="Q31" s="585">
        <f t="shared" si="113"/>
        <v>20.791958014835888</v>
      </c>
      <c r="R31" s="629">
        <f>IF(M31="","",SQRT(N31^2+O31^2))</f>
        <v>5.78911745997826</v>
      </c>
      <c r="S31" s="634">
        <f>IF(M31="","",P31)</f>
        <v>-3.2486097978071506</v>
      </c>
      <c r="T31" s="635">
        <f>IF(M31="","",X31*COS(RADIANS(W31)))</f>
        <v>2.0549962983104635</v>
      </c>
      <c r="U31" s="629">
        <f>IF(M31="","",X31*SIN(RADIANS(W31)))</f>
        <v>-5.4121041360413082</v>
      </c>
      <c r="V31" s="636">
        <f>IF(M31="","",Y31)</f>
        <v>-3.2486097978071506</v>
      </c>
      <c r="W31" s="585">
        <f t="shared" si="224"/>
        <v>290.79195801483587</v>
      </c>
      <c r="X31" s="629">
        <f>IF(M31="","",R31)</f>
        <v>5.78911745997826</v>
      </c>
      <c r="Y31" s="630">
        <f t="shared" si="223"/>
        <v>-3.2486097978071506</v>
      </c>
      <c r="Z31" s="632">
        <f t="shared" si="6"/>
        <v>3.494492686785259E-2</v>
      </c>
      <c r="AA31" s="629">
        <f t="shared" si="7"/>
        <v>-0.99936567239319474</v>
      </c>
      <c r="AB31" s="629">
        <f t="shared" si="8"/>
        <v>6.8633030166424074E-3</v>
      </c>
      <c r="AC31" s="636">
        <f>IF(M31="","",SQRT(Z31^2+AA31^2+AB31^2))</f>
        <v>1</v>
      </c>
      <c r="AD31" s="637">
        <f>IF(M31="","",Z31*(1/SQRT(Z31^2+AA31^2+AB31^2)))</f>
        <v>3.494492686785259E-2</v>
      </c>
      <c r="AE31" s="629">
        <f>IF(M31="","",AA31*(1/SQRT(Z31^2+AA31^2+AB31^2)))</f>
        <v>-0.99936567239319474</v>
      </c>
      <c r="AF31" s="633">
        <f>IF(M31="","",AB31*(1/SQRT(Z31^2+AA31^2+AB31^2)))</f>
        <v>6.8633030166424074E-3</v>
      </c>
      <c r="AG31" s="602">
        <f>IF(M31="","",DEGREES(ATAN2(-AF31,AE31)))</f>
        <v>-90.393481710531717</v>
      </c>
      <c r="AH31" s="603">
        <f>IF(M31="","",DEGREES(ACOS(AD31)))</f>
        <v>87.997395454577173</v>
      </c>
      <c r="AI31" s="585">
        <f>IF(M31="","",DEGREES(-ACOS(-AF31)))</f>
        <v>-90.393241383682081</v>
      </c>
      <c r="AJ31" s="586">
        <f>IF(M31="","",DEGREES(ATAN2(-AE31,AD31)))</f>
        <v>2.0026517325785411</v>
      </c>
      <c r="AK31" s="635">
        <f>IF(M31="","",(COS(RADIANS((90-$Q$8)-W31))*AD31)+(-SIN(RADIANS((90-$Q$8)-W31))*AE31))</f>
        <v>0.94668709388315986</v>
      </c>
      <c r="AL31" s="629">
        <f>IF(M31="","",(SIN(RADIANS((90-$Q$8)-W31))*AD31)+(COS(RADIANS((90-$Q$8)-W31))*AE31))</f>
        <v>-0.32208142036876181</v>
      </c>
      <c r="AM31" s="634">
        <f>IF(M31="","",AF31)</f>
        <v>6.8633030166424074E-3</v>
      </c>
      <c r="AN31" s="581">
        <f>IF(M31="","",DEGREES(ATAN2(-AM31,AL31)))</f>
        <v>-91.220743472955917</v>
      </c>
      <c r="AO31" s="582">
        <f t="shared" si="94"/>
        <v>18.793272355258633</v>
      </c>
      <c r="AP31" s="585">
        <f>IF(M31="","",DEGREES(ATAN2(AK31,AL31)))</f>
        <v>-18.789306282257321</v>
      </c>
      <c r="AQ31" s="586">
        <f t="shared" si="9"/>
        <v>0.39378899319616811</v>
      </c>
      <c r="AS31" s="52">
        <f t="shared" si="116"/>
        <v>-69.20804198516413</v>
      </c>
      <c r="AT31" s="72">
        <f t="shared" si="10"/>
        <v>-3.2005486575396755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2.1509999999999998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5.4657657067951888</v>
      </c>
      <c r="C32" s="708">
        <v>2.0597782012686894</v>
      </c>
      <c r="D32" s="709">
        <v>-4.0095120926884711</v>
      </c>
      <c r="E32" s="710">
        <v>0.18672544645577671</v>
      </c>
      <c r="F32" s="708">
        <v>0.9812548513367163</v>
      </c>
      <c r="G32" s="711">
        <v>4.7671001395500838E-2</v>
      </c>
      <c r="H32" s="710">
        <v>0.314</v>
      </c>
      <c r="I32" s="708">
        <v>0.52</v>
      </c>
      <c r="J32" s="570">
        <v>2.157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2.157</v>
      </c>
      <c r="N32" s="632">
        <f t="shared" si="2"/>
        <v>5.4657657067951888</v>
      </c>
      <c r="O32" s="629">
        <f t="shared" si="3"/>
        <v>2.0597782012686894</v>
      </c>
      <c r="P32" s="633">
        <f t="shared" si="4"/>
        <v>-4.0095120926884711</v>
      </c>
      <c r="Q32" s="585">
        <f t="shared" si="113"/>
        <v>20.648958035482536</v>
      </c>
      <c r="R32" s="629">
        <f t="shared" si="79"/>
        <v>5.8409999999999984</v>
      </c>
      <c r="S32" s="634">
        <f t="shared" si="80"/>
        <v>-4.0095120926884711</v>
      </c>
      <c r="T32" s="635">
        <f t="shared" si="81"/>
        <v>2.0597782012686907</v>
      </c>
      <c r="U32" s="629">
        <f t="shared" si="82"/>
        <v>-5.4657657067951879</v>
      </c>
      <c r="V32" s="636">
        <f t="shared" si="114"/>
        <v>-4.0095120926884711</v>
      </c>
      <c r="W32" s="585">
        <f t="shared" si="224"/>
        <v>290.64895803548256</v>
      </c>
      <c r="X32" s="629">
        <f t="shared" si="83"/>
        <v>5.8409999999999984</v>
      </c>
      <c r="Y32" s="630">
        <f t="shared" si="223"/>
        <v>-4.0095120926884711</v>
      </c>
      <c r="Z32" s="632">
        <f t="shared" si="6"/>
        <v>-0.18672544645577671</v>
      </c>
      <c r="AA32" s="629">
        <f t="shared" si="7"/>
        <v>-0.9812548513367163</v>
      </c>
      <c r="AB32" s="629">
        <f t="shared" si="8"/>
        <v>-4.7671001395500838E-2</v>
      </c>
      <c r="AC32" s="636">
        <f t="shared" si="84"/>
        <v>1</v>
      </c>
      <c r="AD32" s="637">
        <f t="shared" si="115"/>
        <v>-0.18672544645577671</v>
      </c>
      <c r="AE32" s="629">
        <f t="shared" si="85"/>
        <v>-0.9812548513367163</v>
      </c>
      <c r="AF32" s="633">
        <f t="shared" si="86"/>
        <v>-4.7671001395500838E-2</v>
      </c>
      <c r="AG32" s="602">
        <f t="shared" si="87"/>
        <v>-87.218662005471117</v>
      </c>
      <c r="AH32" s="603">
        <f t="shared" si="88"/>
        <v>100.761746336773</v>
      </c>
      <c r="AI32" s="585">
        <f t="shared" si="89"/>
        <v>-87.267617246674305</v>
      </c>
      <c r="AJ32" s="586">
        <f t="shared" si="90"/>
        <v>-10.774141746504293</v>
      </c>
      <c r="AK32" s="635">
        <f t="shared" si="211"/>
        <v>0.85237050365191958</v>
      </c>
      <c r="AL32" s="629">
        <f t="shared" si="91"/>
        <v>-0.52076098176622565</v>
      </c>
      <c r="AM32" s="634">
        <f t="shared" si="92"/>
        <v>-4.7671001395500838E-2</v>
      </c>
      <c r="AN32" s="581">
        <f t="shared" si="93"/>
        <v>-84.769661965207163</v>
      </c>
      <c r="AO32" s="582">
        <f t="shared" si="94"/>
        <v>31.529557823110263</v>
      </c>
      <c r="AP32" s="585">
        <f t="shared" si="95"/>
        <v>-31.423099781986849</v>
      </c>
      <c r="AQ32" s="586">
        <f t="shared" si="9"/>
        <v>0.39029128075640995</v>
      </c>
      <c r="AS32" s="52">
        <f t="shared" si="116"/>
        <v>-69.351041964517435</v>
      </c>
      <c r="AT32" s="72">
        <f t="shared" si="10"/>
        <v>-3.9613516468797783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2.157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5.5247429200571965</v>
      </c>
      <c r="C33" s="708">
        <v>2.0705592643722808</v>
      </c>
      <c r="D33" s="709">
        <v>-4.8025144843836838</v>
      </c>
      <c r="E33" s="710">
        <v>0.24962025451017206</v>
      </c>
      <c r="F33" s="708">
        <v>0.96834380699123446</v>
      </c>
      <c r="G33" s="711">
        <v>2.2394650466084381E-16</v>
      </c>
      <c r="H33" s="710">
        <v>0.314</v>
      </c>
      <c r="I33" s="708">
        <v>0.52</v>
      </c>
      <c r="J33" s="570">
        <v>2.1629999999999998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2.1629999999999998</v>
      </c>
      <c r="N33" s="632">
        <f t="shared" si="2"/>
        <v>5.5247429200571965</v>
      </c>
      <c r="O33" s="629">
        <f t="shared" si="3"/>
        <v>2.0705592643722808</v>
      </c>
      <c r="P33" s="633">
        <f t="shared" si="4"/>
        <v>-4.8025144843836838</v>
      </c>
      <c r="Q33" s="585">
        <f t="shared" si="113"/>
        <v>20.544958050498273</v>
      </c>
      <c r="R33" s="629">
        <f t="shared" si="79"/>
        <v>5.9</v>
      </c>
      <c r="S33" s="634">
        <f t="shared" si="80"/>
        <v>-4.8025144843836838</v>
      </c>
      <c r="T33" s="635">
        <f t="shared" si="81"/>
        <v>2.0705592643722834</v>
      </c>
      <c r="U33" s="629">
        <f t="shared" si="82"/>
        <v>-5.5247429200571965</v>
      </c>
      <c r="V33" s="636">
        <f t="shared" si="114"/>
        <v>-4.8025144843836838</v>
      </c>
      <c r="W33" s="585">
        <f t="shared" si="224"/>
        <v>290.54495805049828</v>
      </c>
      <c r="X33" s="629">
        <f t="shared" si="83"/>
        <v>5.9</v>
      </c>
      <c r="Y33" s="630">
        <f t="shared" si="223"/>
        <v>-4.8025144843836838</v>
      </c>
      <c r="Z33" s="632">
        <f t="shared" si="6"/>
        <v>-0.24962025451017206</v>
      </c>
      <c r="AA33" s="629">
        <f t="shared" si="7"/>
        <v>-0.96834380699123446</v>
      </c>
      <c r="AB33" s="629">
        <f t="shared" si="8"/>
        <v>-2.2394650466084381E-16</v>
      </c>
      <c r="AC33" s="636">
        <f t="shared" si="84"/>
        <v>1</v>
      </c>
      <c r="AD33" s="637">
        <f t="shared" si="115"/>
        <v>-0.24962025451017206</v>
      </c>
      <c r="AE33" s="629">
        <f t="shared" si="85"/>
        <v>-0.96834380699123446</v>
      </c>
      <c r="AF33" s="633">
        <f t="shared" si="86"/>
        <v>-2.2394650466084381E-16</v>
      </c>
      <c r="AG33" s="602">
        <f t="shared" si="87"/>
        <v>-89.999999999999986</v>
      </c>
      <c r="AH33" s="603">
        <f t="shared" si="88"/>
        <v>104.45504194950173</v>
      </c>
      <c r="AI33" s="585">
        <f t="shared" si="89"/>
        <v>-89.999999999999986</v>
      </c>
      <c r="AJ33" s="586">
        <f t="shared" si="90"/>
        <v>-14.455041949501734</v>
      </c>
      <c r="AK33" s="635">
        <f t="shared" si="211"/>
        <v>0.81915204428899158</v>
      </c>
      <c r="AL33" s="629">
        <f t="shared" si="91"/>
        <v>-0.5735764363510466</v>
      </c>
      <c r="AM33" s="634">
        <f t="shared" si="92"/>
        <v>-2.2394650466084381E-16</v>
      </c>
      <c r="AN33" s="581">
        <f t="shared" si="93"/>
        <v>-89.999999999999986</v>
      </c>
      <c r="AO33" s="582">
        <f t="shared" si="94"/>
        <v>35.000000000000014</v>
      </c>
      <c r="AP33" s="585">
        <f t="shared" si="95"/>
        <v>-35.000000000000028</v>
      </c>
      <c r="AQ33" s="586">
        <f t="shared" si="9"/>
        <v>0.38638848687695354</v>
      </c>
      <c r="AS33" s="52">
        <f t="shared" si="116"/>
        <v>-69.45504194950172</v>
      </c>
      <c r="AT33" s="72">
        <f t="shared" si="10"/>
        <v>-4.7542818163631964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2.1629999999999998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4.3516006734059847</v>
      </c>
      <c r="C34" s="708">
        <v>0.78991446203174986</v>
      </c>
      <c r="D34" s="709">
        <v>-0.5790017462692667</v>
      </c>
      <c r="E34" s="710">
        <v>5.0827629100275391E-2</v>
      </c>
      <c r="F34" s="708">
        <v>0.98899048283607494</v>
      </c>
      <c r="G34" s="711">
        <v>0.13897617414403202</v>
      </c>
      <c r="H34" s="710">
        <v>0.314</v>
      </c>
      <c r="I34" s="708">
        <v>0.52</v>
      </c>
      <c r="J34" s="570">
        <v>2.2269999999999999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2.2269999999999999</v>
      </c>
      <c r="N34" s="632">
        <f t="shared" si="2"/>
        <v>4.3516006734059847</v>
      </c>
      <c r="O34" s="629">
        <f t="shared" si="3"/>
        <v>0.78991446203174986</v>
      </c>
      <c r="P34" s="633">
        <f t="shared" si="4"/>
        <v>-0.5790017462692667</v>
      </c>
      <c r="Q34" s="585">
        <f t="shared" si="113"/>
        <v>10.288459531353439</v>
      </c>
      <c r="R34" s="629">
        <f>IF(M34="","",SQRT(N34^2+O34^2))</f>
        <v>4.4227133389034297</v>
      </c>
      <c r="S34" s="634">
        <f>IF(M34="","",P34)</f>
        <v>-0.5790017462692667</v>
      </c>
      <c r="T34" s="635">
        <f>IF(M34="","",X34*COS(RADIANS(W34)))</f>
        <v>0.78991446203174975</v>
      </c>
      <c r="U34" s="629">
        <f>IF(M34="","",X34*SIN(RADIANS(W34)))</f>
        <v>-4.3516006734059838</v>
      </c>
      <c r="V34" s="636">
        <f>IF(M34="","",Y34)</f>
        <v>-0.5790017462692667</v>
      </c>
      <c r="W34" s="585">
        <f t="shared" si="224"/>
        <v>280.28845953135345</v>
      </c>
      <c r="X34" s="629">
        <f>IF(M34="","",R34)</f>
        <v>4.4227133389034297</v>
      </c>
      <c r="Y34" s="630">
        <f t="shared" si="223"/>
        <v>-0.5790017462692667</v>
      </c>
      <c r="Z34" s="632">
        <f t="shared" si="6"/>
        <v>-5.0827629100275391E-2</v>
      </c>
      <c r="AA34" s="629">
        <f t="shared" si="7"/>
        <v>-0.98899048283607494</v>
      </c>
      <c r="AB34" s="629">
        <f t="shared" si="8"/>
        <v>-0.13897617414403202</v>
      </c>
      <c r="AC34" s="636">
        <f>IF(M34="","",SQRT(Z34^2+AA34^2+AB34^2))</f>
        <v>1</v>
      </c>
      <c r="AD34" s="637">
        <f>IF(M34="","",Z34*(1/SQRT(Z34^2+AA34^2+AB34^2)))</f>
        <v>-5.0827629100275391E-2</v>
      </c>
      <c r="AE34" s="629">
        <f>IF(M34="","",AA34*(1/SQRT(Z34^2+AA34^2+AB34^2)))</f>
        <v>-0.98899048283607494</v>
      </c>
      <c r="AF34" s="633">
        <f>IF(M34="","",AB34*(1/SQRT(Z34^2+AA34^2+AB34^2)))</f>
        <v>-0.13897617414403202</v>
      </c>
      <c r="AG34" s="602">
        <f>IF(M34="","",DEGREES(ATAN2(-AF34,AE34)))</f>
        <v>-82.000987035111152</v>
      </c>
      <c r="AH34" s="603">
        <f>IF(M34="","",DEGREES(ACOS(AD34)))</f>
        <v>92.913464013299986</v>
      </c>
      <c r="AI34" s="585">
        <f>IF(M34="","",DEGREES(-ACOS(-AF34)))</f>
        <v>-82.01139380153262</v>
      </c>
      <c r="AJ34" s="586">
        <f>IF(M34="","",DEGREES(ATAN2(-AE34,AD34)))</f>
        <v>-2.9420391237672212</v>
      </c>
      <c r="AK34" s="635">
        <f>IF(M34="","",(COS(RADIANS((90-$Q$8)-W34))*AD34)+(-SIN(RADIANS((90-$Q$8)-W34))*AE34))</f>
        <v>0.96401051687007711</v>
      </c>
      <c r="AL34" s="629">
        <f>IF(M34="","",(SIN(RADIANS((90-$Q$8)-W34))*AD34)+(COS(RADIANS((90-$Q$8)-W34))*AE34))</f>
        <v>-0.22664806724120676</v>
      </c>
      <c r="AM34" s="634">
        <f>IF(M34="","",AF34)</f>
        <v>-0.13897617414403202</v>
      </c>
      <c r="AN34" s="581">
        <f>IF(M34="","",DEGREES(ATAN2(-AM34,AL34)))</f>
        <v>-58.484186442068747</v>
      </c>
      <c r="AO34" s="582">
        <f t="shared" si="94"/>
        <v>15.418304488343008</v>
      </c>
      <c r="AP34" s="585">
        <f>IF(M34="","",DEGREES(ATAN2(AK34,AL34)))</f>
        <v>-13.230498655120661</v>
      </c>
      <c r="AQ34" s="586">
        <f t="shared" si="9"/>
        <v>0.51544492173290368</v>
      </c>
      <c r="AS34" s="52">
        <f t="shared" si="116"/>
        <v>-79.711540468646547</v>
      </c>
      <c r="AT34" s="72">
        <f t="shared" si="10"/>
        <v>-0.52364650983270655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>Nose</v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2.2269999999999999</v>
      </c>
      <c r="IH34" s="731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2.1269999999999998</v>
      </c>
      <c r="II34" s="734" cm="1">
        <f t="array" ref="II34">IFERROR(ROUND(VALUE(IF($IH34&lt;1,$IH34+LARGE((IF($M$9:$M$150="",0,$M$9:$M$150)-MOD(IF($M$9:$M$150="",0,$M$9:$M$150),1)),1),$IH34)),4),"")</f>
        <v>2.1269999999999998</v>
      </c>
      <c r="IJ34" s="533">
        <f t="shared" si="112"/>
        <v>1613</v>
      </c>
      <c r="IK34" s="533">
        <f t="shared" si="66"/>
        <v>1613</v>
      </c>
      <c r="IL34" s="727">
        <f t="shared" si="225"/>
        <v>12.728498162232256</v>
      </c>
      <c r="IM34" s="759">
        <v>1.33055946580189E-9</v>
      </c>
      <c r="IN34" s="5">
        <f t="shared" si="226"/>
        <v>0</v>
      </c>
      <c r="IO34" s="771">
        <v>0</v>
      </c>
      <c r="IP34" s="9">
        <f t="shared" si="227"/>
        <v>-4.4227133389034297</v>
      </c>
      <c r="IQ34" s="5">
        <f t="shared" si="228"/>
        <v>-0.5790017462692667</v>
      </c>
      <c r="IR34" s="5">
        <f t="shared" si="71"/>
        <v>0.314</v>
      </c>
      <c r="IS34" s="5">
        <f t="shared" si="229"/>
        <v>0.30269929962295944</v>
      </c>
      <c r="IT34" s="727">
        <f t="shared" si="230"/>
        <v>58.484186871137048</v>
      </c>
      <c r="IU34" s="9">
        <f t="shared" si="231"/>
        <v>-4.4227133389034297</v>
      </c>
      <c r="IV34" s="5">
        <f t="shared" si="232"/>
        <v>-0.5790017462692667</v>
      </c>
      <c r="IW34" s="5">
        <f t="shared" si="76"/>
        <v>0.314</v>
      </c>
      <c r="IX34" s="5">
        <f t="shared" si="233"/>
        <v>0.30269930229720421</v>
      </c>
      <c r="IY34" s="762">
        <f t="shared" si="234"/>
        <v>58.484186442068747</v>
      </c>
      <c r="JG34" s="470"/>
    </row>
    <row r="35" spans="1:267" ht="15" customHeight="1" x14ac:dyDescent="0.25">
      <c r="A35" s="79"/>
      <c r="B35" s="707">
        <v>4.8590621102558327</v>
      </c>
      <c r="C35" s="708">
        <v>0.93241533723305059</v>
      </c>
      <c r="D35" s="709">
        <v>-1.1334034183447097</v>
      </c>
      <c r="E35" s="710">
        <v>8.3248925830854165E-2</v>
      </c>
      <c r="F35" s="708">
        <v>0.99020355066326071</v>
      </c>
      <c r="G35" s="711">
        <v>0.11210060036360346</v>
      </c>
      <c r="H35" s="710">
        <v>0.314</v>
      </c>
      <c r="I35" s="708">
        <v>0.52</v>
      </c>
      <c r="J35" s="570">
        <v>2.2330000000000001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2.2330000000000001</v>
      </c>
      <c r="N35" s="632">
        <f t="shared" si="2"/>
        <v>4.8590621102558327</v>
      </c>
      <c r="O35" s="629">
        <f t="shared" si="3"/>
        <v>0.93241533723305059</v>
      </c>
      <c r="P35" s="633">
        <f t="shared" si="4"/>
        <v>-1.1334034183447097</v>
      </c>
      <c r="Q35" s="585">
        <f t="shared" si="113"/>
        <v>10.862559448463671</v>
      </c>
      <c r="R35" s="629">
        <f>IF(M35="","",SQRT(N35^2+O35^2))</f>
        <v>4.9477149223082053</v>
      </c>
      <c r="S35" s="634">
        <f>IF(M35="","",P35)</f>
        <v>-1.1334034183447097</v>
      </c>
      <c r="T35" s="635">
        <f>IF(M35="","",X35*COS(RADIANS(W35)))</f>
        <v>0.93241533723305292</v>
      </c>
      <c r="U35" s="629">
        <f>IF(M35="","",X35*SIN(RADIANS(W35)))</f>
        <v>-4.8590621102558327</v>
      </c>
      <c r="V35" s="636">
        <f>IF(M35="","",Y35)</f>
        <v>-1.1334034183447097</v>
      </c>
      <c r="W35" s="585">
        <f t="shared" si="224"/>
        <v>280.86255944846368</v>
      </c>
      <c r="X35" s="629">
        <f>IF(M35="","",R35)</f>
        <v>4.9477149223082053</v>
      </c>
      <c r="Y35" s="630">
        <f t="shared" si="223"/>
        <v>-1.1334034183447097</v>
      </c>
      <c r="Z35" s="632">
        <f t="shared" si="6"/>
        <v>-8.3248925830854165E-2</v>
      </c>
      <c r="AA35" s="629">
        <f t="shared" si="7"/>
        <v>-0.99020355066326071</v>
      </c>
      <c r="AB35" s="629">
        <f t="shared" si="8"/>
        <v>-0.11210060036360346</v>
      </c>
      <c r="AC35" s="636">
        <f>IF(M35="","",SQRT(Z35^2+AA35^2+AB35^2))</f>
        <v>1</v>
      </c>
      <c r="AD35" s="637">
        <f>IF(M35="","",Z35*(1/SQRT(Z35^2+AA35^2+AB35^2)))</f>
        <v>-8.3248925830854165E-2</v>
      </c>
      <c r="AE35" s="629">
        <f>IF(M35="","",AA35*(1/SQRT(Z35^2+AA35^2+AB35^2)))</f>
        <v>-0.99020355066326071</v>
      </c>
      <c r="AF35" s="633">
        <f>IF(M35="","",AB35*(1/SQRT(Z35^2+AA35^2+AB35^2)))</f>
        <v>-0.11210060036360346</v>
      </c>
      <c r="AG35" s="602">
        <f>IF(M35="","",DEGREES(ATAN2(-AF35,AE35)))</f>
        <v>-83.54106449323406</v>
      </c>
      <c r="AH35" s="603">
        <f>IF(M35="","",DEGREES(ACOS(AD35)))</f>
        <v>94.77533879042106</v>
      </c>
      <c r="AI35" s="585">
        <f>IF(M35="","",DEGREES(-ACOS(-AF35)))</f>
        <v>-83.563579814271606</v>
      </c>
      <c r="AJ35" s="586">
        <f>IF(M35="","",DEGREES(ATAN2(-AE35,AD35)))</f>
        <v>-4.805700336946388</v>
      </c>
      <c r="AK35" s="635">
        <f>IF(M35="","",(COS(RADIANS((90-$Q$8)-W35))*AD35)+(-SIN(RADIANS((90-$Q$8)-W35))*AE35))</f>
        <v>0.9567725815955761</v>
      </c>
      <c r="AL35" s="629">
        <f>IF(M35="","",(SIN(RADIANS((90-$Q$8)-W35))*AD35)+(COS(RADIANS((90-$Q$8)-W35))*AE35))</f>
        <v>-0.26836483097652097</v>
      </c>
      <c r="AM35" s="634">
        <f>IF(M35="","",AF35)</f>
        <v>-0.11210060036360346</v>
      </c>
      <c r="AN35" s="581">
        <f>IF(M35="","",DEGREES(ATAN2(-AM35,AL35)))</f>
        <v>-67.328868057110654</v>
      </c>
      <c r="AO35" s="582">
        <f t="shared" si="94"/>
        <v>16.908079481430999</v>
      </c>
      <c r="AP35" s="585">
        <f>IF(M35="","",DEGREES(ATAN2(AK35,AL35)))</f>
        <v>-15.668259785410086</v>
      </c>
      <c r="AQ35" s="586">
        <f t="shared" si="9"/>
        <v>0.46075360554003159</v>
      </c>
      <c r="AS35" s="52">
        <f t="shared" si="116"/>
        <v>-79.137440551536315</v>
      </c>
      <c r="AT35" s="72">
        <f t="shared" si="10"/>
        <v>-1.0784468624061427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>Taper</v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2.2330000000000001</v>
      </c>
      <c r="IH35" s="731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2.133</v>
      </c>
      <c r="II35" s="734" cm="1">
        <f t="array" ref="II35">IFERROR(ROUND(VALUE(IF($IH35&lt;1,$IH35+LARGE((IF($M$9:$M$150="",0,$M$9:$M$150)-MOD(IF($M$9:$M$150="",0,$M$9:$M$150),1)),1),$IH35)),4),"")</f>
        <v>2.133</v>
      </c>
      <c r="IJ35" s="533">
        <f t="shared" si="112"/>
        <v>1613</v>
      </c>
      <c r="IK35" s="533">
        <f t="shared" si="66"/>
        <v>1613</v>
      </c>
      <c r="IL35" s="727">
        <f t="shared" si="225"/>
        <v>11.342398362360257</v>
      </c>
      <c r="IM35" s="759">
        <v>2.0688013134672201E-8</v>
      </c>
      <c r="IN35" s="5">
        <f t="shared" si="226"/>
        <v>0</v>
      </c>
      <c r="IO35" s="771">
        <v>0</v>
      </c>
      <c r="IP35" s="9">
        <f t="shared" si="227"/>
        <v>-4.9477149223082062</v>
      </c>
      <c r="IQ35" s="5">
        <f t="shared" si="228"/>
        <v>-1.1334034183447097</v>
      </c>
      <c r="IR35" s="5">
        <f t="shared" si="71"/>
        <v>0.314</v>
      </c>
      <c r="IS35" s="5">
        <f t="shared" si="229"/>
        <v>0.30042659060140686</v>
      </c>
      <c r="IT35" s="727">
        <f t="shared" si="230"/>
        <v>67.328872002638192</v>
      </c>
      <c r="IU35" s="9">
        <f t="shared" si="231"/>
        <v>-4.9477149223082053</v>
      </c>
      <c r="IV35" s="5">
        <f t="shared" si="232"/>
        <v>-1.1334034183447097</v>
      </c>
      <c r="IW35" s="5">
        <f t="shared" si="76"/>
        <v>0.314</v>
      </c>
      <c r="IX35" s="5">
        <f t="shared" si="233"/>
        <v>0.3004265906210109</v>
      </c>
      <c r="IY35" s="762">
        <f t="shared" si="234"/>
        <v>67.328868057110654</v>
      </c>
    </row>
    <row r="36" spans="1:267" ht="15" customHeight="1" x14ac:dyDescent="0.25">
      <c r="A36" s="79"/>
      <c r="B36" s="707">
        <v>5.2395355694544667</v>
      </c>
      <c r="C36" s="708">
        <v>1.0263662968569536</v>
      </c>
      <c r="D36" s="709">
        <v>-1.7901053989578832</v>
      </c>
      <c r="E36" s="710">
        <v>0.10219714002973668</v>
      </c>
      <c r="F36" s="708">
        <v>0.99250265156052442</v>
      </c>
      <c r="G36" s="711">
        <v>6.7039027551648964E-2</v>
      </c>
      <c r="H36" s="710">
        <v>0.314</v>
      </c>
      <c r="I36" s="708">
        <v>0.52</v>
      </c>
      <c r="J36" s="570">
        <v>2.2389999999999999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2.2389999999999999</v>
      </c>
      <c r="N36" s="632">
        <f t="shared" si="2"/>
        <v>5.2395355694544667</v>
      </c>
      <c r="O36" s="629">
        <f t="shared" si="3"/>
        <v>1.0263662968569536</v>
      </c>
      <c r="P36" s="633">
        <f t="shared" si="4"/>
        <v>-1.7901053989578832</v>
      </c>
      <c r="Q36" s="585">
        <f t="shared" si="113"/>
        <v>11.083259416598535</v>
      </c>
      <c r="R36" s="629">
        <f>IF(M36="","",SQRT(N36^2+O36^2))</f>
        <v>5.3391161027741658</v>
      </c>
      <c r="S36" s="634">
        <f>IF(M36="","",P36)</f>
        <v>-1.7901053989578832</v>
      </c>
      <c r="T36" s="635">
        <f>IF(M36="","",X36*COS(RADIANS(W36)))</f>
        <v>1.0263662968569518</v>
      </c>
      <c r="U36" s="629">
        <f>IF(M36="","",X36*SIN(RADIANS(W36)))</f>
        <v>-5.2395355694544667</v>
      </c>
      <c r="V36" s="636">
        <f>IF(M36="","",Y36)</f>
        <v>-1.7901053989578832</v>
      </c>
      <c r="W36" s="585">
        <f t="shared" si="224"/>
        <v>281.08325941659854</v>
      </c>
      <c r="X36" s="629">
        <f>IF(M36="","",R36)</f>
        <v>5.3391161027741658</v>
      </c>
      <c r="Y36" s="630">
        <f t="shared" si="223"/>
        <v>-1.7901053989578832</v>
      </c>
      <c r="Z36" s="632">
        <f t="shared" si="6"/>
        <v>-0.10219714002973668</v>
      </c>
      <c r="AA36" s="629">
        <f t="shared" si="7"/>
        <v>-0.99250265156052442</v>
      </c>
      <c r="AB36" s="629">
        <f t="shared" si="8"/>
        <v>-6.7039027551648964E-2</v>
      </c>
      <c r="AC36" s="636">
        <f>IF(M36="","",SQRT(Z36^2+AA36^2+AB36^2))</f>
        <v>1</v>
      </c>
      <c r="AD36" s="637">
        <f>IF(M36="","",Z36*(1/SQRT(Z36^2+AA36^2+AB36^2)))</f>
        <v>-0.10219714002973668</v>
      </c>
      <c r="AE36" s="629">
        <f>IF(M36="","",AA36*(1/SQRT(Z36^2+AA36^2+AB36^2)))</f>
        <v>-0.99250265156052442</v>
      </c>
      <c r="AF36" s="633">
        <f>IF(M36="","",AB36*(1/SQRT(Z36^2+AA36^2+AB36^2)))</f>
        <v>-6.7039027551648964E-2</v>
      </c>
      <c r="AG36" s="602">
        <f>IF(M36="","",DEGREES(ATAN2(-AF36,AE36)))</f>
        <v>-86.135800929557732</v>
      </c>
      <c r="AH36" s="603">
        <f>IF(M36="","",DEGREES(ACOS(AD36)))</f>
        <v>95.865705668277883</v>
      </c>
      <c r="AI36" s="585">
        <f>IF(M36="","",DEGREES(-ACOS(-AF36)))</f>
        <v>-86.156063727392322</v>
      </c>
      <c r="AJ36" s="586">
        <f>IF(M36="","",DEGREES(ATAN2(-AE36,AD36)))</f>
        <v>-5.8789777399748413</v>
      </c>
      <c r="AK36" s="635">
        <f>IF(M36="","",(COS(RADIANS((90-$Q$8)-W36))*AD36)+(-SIN(RADIANS((90-$Q$8)-W36))*AE36))</f>
        <v>0.95434546606320025</v>
      </c>
      <c r="AL36" s="629">
        <f>IF(M36="","",(SIN(RADIANS((90-$Q$8)-W36))*AD36)+(COS(RADIANS((90-$Q$8)-W36))*AE36))</f>
        <v>-0.29108503944645203</v>
      </c>
      <c r="AM36" s="634">
        <f>IF(M36="","",AF36)</f>
        <v>-6.7039027551648964E-2</v>
      </c>
      <c r="AN36" s="581">
        <f>IF(M36="","",DEGREES(ATAN2(-AM36,AL36)))</f>
        <v>-77.030510857143028</v>
      </c>
      <c r="AO36" s="582">
        <f t="shared" si="94"/>
        <v>17.379844486383163</v>
      </c>
      <c r="AP36" s="585">
        <f>IF(M36="","",DEGREES(ATAN2(AK36,AL36)))</f>
        <v>-16.962237156573355</v>
      </c>
      <c r="AQ36" s="586">
        <f t="shared" si="9"/>
        <v>0.42697787171159907</v>
      </c>
      <c r="AS36" s="52">
        <f t="shared" si="116"/>
        <v>-78.916740583401463</v>
      </c>
      <c r="AT36" s="72">
        <f t="shared" si="10"/>
        <v>-1.7353021068860766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Taper</v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2.2389999999999999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2.1389999999999998</v>
      </c>
      <c r="II36" s="734" cm="1">
        <f t="array" ref="II36">IFERROR(ROUND(VALUE(IF($IH36&lt;1,$IH36+LARGE((IF($M$9:$M$150="",0,$M$9:$M$150)-MOD(IF($M$9:$M$150="",0,$M$9:$M$150),1)),1),$IH36)),4),"")</f>
        <v>2.1389999999999998</v>
      </c>
      <c r="IJ36" s="533">
        <f t="shared" si="112"/>
        <v>1613</v>
      </c>
      <c r="IK36" s="533">
        <f t="shared" si="66"/>
        <v>1613</v>
      </c>
      <c r="IL36" s="727">
        <f t="shared" si="225"/>
        <v>10.478698487063127</v>
      </c>
      <c r="IM36" s="759">
        <v>2.8839984327558401E-9</v>
      </c>
      <c r="IN36" s="5">
        <f t="shared" si="226"/>
        <v>0</v>
      </c>
      <c r="IO36" s="771">
        <v>0</v>
      </c>
      <c r="IP36" s="9">
        <f t="shared" si="227"/>
        <v>-5.3391161027741658</v>
      </c>
      <c r="IQ36" s="5">
        <f t="shared" si="228"/>
        <v>-1.7901053989578832</v>
      </c>
      <c r="IR36" s="5">
        <f t="shared" si="71"/>
        <v>0.314</v>
      </c>
      <c r="IS36" s="5">
        <f t="shared" si="229"/>
        <v>0.2996644732839594</v>
      </c>
      <c r="IT36" s="727">
        <f t="shared" si="230"/>
        <v>77.030511630876234</v>
      </c>
      <c r="IU36" s="9">
        <f t="shared" si="231"/>
        <v>-5.3391161027741658</v>
      </c>
      <c r="IV36" s="5">
        <f t="shared" si="232"/>
        <v>-1.7901053989578832</v>
      </c>
      <c r="IW36" s="5">
        <f t="shared" si="76"/>
        <v>0.314</v>
      </c>
      <c r="IX36" s="5">
        <f t="shared" si="233"/>
        <v>0.29966447634384485</v>
      </c>
      <c r="IY36" s="762">
        <f t="shared" si="234"/>
        <v>77.030510857143028</v>
      </c>
    </row>
    <row r="37" spans="1:267" ht="15" customHeight="1" x14ac:dyDescent="0.25">
      <c r="A37" s="79"/>
      <c r="B37" s="707">
        <v>5.5096680913548459</v>
      </c>
      <c r="C37" s="708">
        <v>1.0815390555463713</v>
      </c>
      <c r="D37" s="709">
        <v>-2.5036075508803739</v>
      </c>
      <c r="E37" s="710">
        <v>0.1281291879962623</v>
      </c>
      <c r="F37" s="708">
        <v>0.99114247098978381</v>
      </c>
      <c r="G37" s="711">
        <v>3.4921531806095037E-2</v>
      </c>
      <c r="H37" s="710">
        <v>0.314</v>
      </c>
      <c r="I37" s="708">
        <v>0.52</v>
      </c>
      <c r="J37" s="570">
        <v>2.2450000000000001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2.2450000000000001</v>
      </c>
      <c r="N37" s="632">
        <f t="shared" si="2"/>
        <v>5.5096680913548459</v>
      </c>
      <c r="O37" s="629">
        <f t="shared" si="3"/>
        <v>1.0815390555463713</v>
      </c>
      <c r="P37" s="633">
        <f t="shared" si="4"/>
        <v>-2.5036075508803739</v>
      </c>
      <c r="Q37" s="585">
        <f t="shared" si="113"/>
        <v>11.1058594133355</v>
      </c>
      <c r="R37" s="629">
        <f t="shared" si="79"/>
        <v>5.6148169342878749</v>
      </c>
      <c r="S37" s="634">
        <f t="shared" si="80"/>
        <v>-2.5036075508803739</v>
      </c>
      <c r="T37" s="635">
        <f t="shared" si="81"/>
        <v>1.0815390555463733</v>
      </c>
      <c r="U37" s="629">
        <f t="shared" si="82"/>
        <v>-5.5096680913548459</v>
      </c>
      <c r="V37" s="636">
        <f t="shared" si="114"/>
        <v>-2.5036075508803739</v>
      </c>
      <c r="W37" s="585">
        <f t="shared" si="224"/>
        <v>281.10585941333551</v>
      </c>
      <c r="X37" s="629">
        <f t="shared" si="83"/>
        <v>5.6148169342878749</v>
      </c>
      <c r="Y37" s="630">
        <f t="shared" si="223"/>
        <v>-2.5036075508803739</v>
      </c>
      <c r="Z37" s="632">
        <f t="shared" si="6"/>
        <v>-0.1281291879962623</v>
      </c>
      <c r="AA37" s="629">
        <f t="shared" si="7"/>
        <v>-0.99114247098978381</v>
      </c>
      <c r="AB37" s="629">
        <f t="shared" si="8"/>
        <v>-3.4921531806095037E-2</v>
      </c>
      <c r="AC37" s="636">
        <f t="shared" si="84"/>
        <v>1</v>
      </c>
      <c r="AD37" s="637">
        <f t="shared" si="115"/>
        <v>-0.1281291879962623</v>
      </c>
      <c r="AE37" s="629">
        <f t="shared" si="85"/>
        <v>-0.99114247098978381</v>
      </c>
      <c r="AF37" s="633">
        <f t="shared" si="86"/>
        <v>-3.4921531806095037E-2</v>
      </c>
      <c r="AG37" s="602">
        <f t="shared" si="87"/>
        <v>-87.982097325180803</v>
      </c>
      <c r="AH37" s="603">
        <f t="shared" si="88"/>
        <v>97.361498592114472</v>
      </c>
      <c r="AI37" s="585">
        <f t="shared" si="89"/>
        <v>-87.998736711515576</v>
      </c>
      <c r="AJ37" s="586">
        <f t="shared" si="90"/>
        <v>-7.3660163343671261</v>
      </c>
      <c r="AK37" s="635">
        <f t="shared" si="211"/>
        <v>0.94790077534391259</v>
      </c>
      <c r="AL37" s="629">
        <f t="shared" si="91"/>
        <v>-0.31664586957471186</v>
      </c>
      <c r="AM37" s="634">
        <f t="shared" si="92"/>
        <v>-3.4921531806095037E-2</v>
      </c>
      <c r="AN37" s="581">
        <f t="shared" si="93"/>
        <v>-83.706524658688735</v>
      </c>
      <c r="AO37" s="582">
        <f t="shared" si="94"/>
        <v>18.576208071798764</v>
      </c>
      <c r="AP37" s="585">
        <f t="shared" si="95"/>
        <v>-18.471875747702644</v>
      </c>
      <c r="AQ37" s="586">
        <f t="shared" si="9"/>
        <v>0.40601296526428571</v>
      </c>
      <c r="AS37" s="52">
        <f t="shared" si="116"/>
        <v>-78.894140586664491</v>
      </c>
      <c r="AT37" s="72">
        <f t="shared" si="10"/>
        <v>-2.4488199532507458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Taper</v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2.2450000000000001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2.145</v>
      </c>
      <c r="II37" s="734" cm="1">
        <f t="array" ref="II37">IFERROR(ROUND(VALUE(IF($IH37&lt;1,$IH37+LARGE((IF($M$9:$M$150="",0,$M$9:$M$150)-MOD(IF($M$9:$M$150="",0,$M$9:$M$150),1)),1),$IH37)),4),"")</f>
        <v>2.145</v>
      </c>
      <c r="IJ37" s="533">
        <f t="shared" si="112"/>
        <v>1613</v>
      </c>
      <c r="IK37" s="533">
        <f t="shared" si="66"/>
        <v>1613</v>
      </c>
      <c r="IL37" s="727">
        <f t="shared" si="225"/>
        <v>9.9870985580413389</v>
      </c>
      <c r="IM37" s="759">
        <v>2.8116947103267702E-9</v>
      </c>
      <c r="IN37" s="5">
        <f t="shared" si="226"/>
        <v>0</v>
      </c>
      <c r="IO37" s="771">
        <v>0</v>
      </c>
      <c r="IP37" s="9">
        <f t="shared" si="227"/>
        <v>-5.6148169342878749</v>
      </c>
      <c r="IQ37" s="5">
        <f t="shared" si="228"/>
        <v>-2.5036075508803739</v>
      </c>
      <c r="IR37" s="5">
        <f t="shared" si="71"/>
        <v>0.314</v>
      </c>
      <c r="IS37" s="5">
        <f t="shared" si="229"/>
        <v>0.2976408399841492</v>
      </c>
      <c r="IT37" s="727">
        <f t="shared" si="230"/>
        <v>83.706525447030614</v>
      </c>
      <c r="IU37" s="9">
        <f t="shared" si="231"/>
        <v>-5.6148169342878749</v>
      </c>
      <c r="IV37" s="5">
        <f t="shared" si="232"/>
        <v>-2.5036075508803739</v>
      </c>
      <c r="IW37" s="5">
        <f t="shared" si="76"/>
        <v>0.314</v>
      </c>
      <c r="IX37" s="5">
        <f t="shared" si="233"/>
        <v>0.29764084345798858</v>
      </c>
      <c r="IY37" s="762">
        <f t="shared" si="234"/>
        <v>83.706524658688735</v>
      </c>
    </row>
    <row r="38" spans="1:267" ht="15" customHeight="1" x14ac:dyDescent="0.25">
      <c r="A38" s="79"/>
      <c r="B38" s="707">
        <v>5.6806383037978243</v>
      </c>
      <c r="C38" s="708">
        <v>1.1154503246895904</v>
      </c>
      <c r="D38" s="709">
        <v>-3.2486097978071506</v>
      </c>
      <c r="E38" s="710">
        <v>0.13363788803428955</v>
      </c>
      <c r="F38" s="708">
        <v>0.99100646316274088</v>
      </c>
      <c r="G38" s="711">
        <v>-6.8632974152303197E-3</v>
      </c>
      <c r="H38" s="710">
        <v>0.314</v>
      </c>
      <c r="I38" s="708">
        <v>0.52</v>
      </c>
      <c r="J38" s="570">
        <v>2.2509999999999999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2.2509999999999999</v>
      </c>
      <c r="N38" s="632">
        <f t="shared" si="2"/>
        <v>5.6806383037978243</v>
      </c>
      <c r="O38" s="629">
        <f t="shared" si="3"/>
        <v>1.1154503246895904</v>
      </c>
      <c r="P38" s="633">
        <f t="shared" si="4"/>
        <v>-3.2486097978071506</v>
      </c>
      <c r="Q38" s="585">
        <f t="shared" si="113"/>
        <v>11.109259412844599</v>
      </c>
      <c r="R38" s="629">
        <f t="shared" si="79"/>
        <v>5.7891174599782591</v>
      </c>
      <c r="S38" s="634">
        <f t="shared" si="80"/>
        <v>-3.2486097978071506</v>
      </c>
      <c r="T38" s="635">
        <f t="shared" si="81"/>
        <v>1.1154503246895908</v>
      </c>
      <c r="U38" s="629">
        <f t="shared" si="82"/>
        <v>-5.6806383037978243</v>
      </c>
      <c r="V38" s="636">
        <f t="shared" si="114"/>
        <v>-3.2486097978071506</v>
      </c>
      <c r="W38" s="585">
        <f t="shared" si="224"/>
        <v>281.10925941284461</v>
      </c>
      <c r="X38" s="629">
        <f t="shared" si="83"/>
        <v>5.7891174599782591</v>
      </c>
      <c r="Y38" s="630">
        <f t="shared" si="223"/>
        <v>-3.2486097978071506</v>
      </c>
      <c r="Z38" s="632">
        <f t="shared" si="6"/>
        <v>-0.13363788803428955</v>
      </c>
      <c r="AA38" s="629">
        <f t="shared" si="7"/>
        <v>-0.99100646316274088</v>
      </c>
      <c r="AB38" s="629">
        <f t="shared" si="8"/>
        <v>6.8632974152303197E-3</v>
      </c>
      <c r="AC38" s="636">
        <f t="shared" si="84"/>
        <v>1</v>
      </c>
      <c r="AD38" s="637">
        <f t="shared" si="115"/>
        <v>-0.13363788803428955</v>
      </c>
      <c r="AE38" s="629">
        <f t="shared" si="85"/>
        <v>-0.99100646316274088</v>
      </c>
      <c r="AF38" s="633">
        <f t="shared" si="86"/>
        <v>6.8632974152303197E-3</v>
      </c>
      <c r="AG38" s="602">
        <f t="shared" si="87"/>
        <v>-90.396800326924662</v>
      </c>
      <c r="AH38" s="603">
        <f t="shared" si="88"/>
        <v>97.679862931679679</v>
      </c>
      <c r="AI38" s="585">
        <f t="shared" si="89"/>
        <v>-90.393241062737246</v>
      </c>
      <c r="AJ38" s="586">
        <f t="shared" si="90"/>
        <v>-7.6800449086427598</v>
      </c>
      <c r="AK38" s="635">
        <f t="shared" si="211"/>
        <v>0.9466871049417912</v>
      </c>
      <c r="AL38" s="629">
        <f t="shared" si="91"/>
        <v>-0.32208138798372121</v>
      </c>
      <c r="AM38" s="634">
        <f t="shared" si="92"/>
        <v>6.8632974152303197E-3</v>
      </c>
      <c r="AN38" s="581">
        <f t="shared" si="93"/>
        <v>-91.220742599668128</v>
      </c>
      <c r="AO38" s="582">
        <f t="shared" si="94"/>
        <v>18.793270388460524</v>
      </c>
      <c r="AP38" s="585">
        <f t="shared" si="95"/>
        <v>-18.789304321487361</v>
      </c>
      <c r="AQ38" s="586">
        <f t="shared" si="9"/>
        <v>0.39378899319616822</v>
      </c>
      <c r="AS38" s="52">
        <f t="shared" si="116"/>
        <v>-78.890740587155392</v>
      </c>
      <c r="AT38" s="72">
        <f t="shared" si="10"/>
        <v>-3.1938245612882925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>Taper</v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2.2509999999999999</v>
      </c>
      <c r="IH38" s="731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2.1509999999999998</v>
      </c>
      <c r="II38" s="734" cm="1">
        <f t="array" ref="II38">IFERROR(ROUND(VALUE(IF($IH38&lt;1,$IH38+LARGE((IF($M$9:$M$150="",0,$M$9:$M$150)-MOD(IF($M$9:$M$150="",0,$M$9:$M$150),1)),1),$IH38)),4),"")</f>
        <v>2.1509999999999998</v>
      </c>
      <c r="IJ38" s="533">
        <f t="shared" si="112"/>
        <v>1613</v>
      </c>
      <c r="IK38" s="533">
        <f t="shared" si="66"/>
        <v>1613</v>
      </c>
      <c r="IL38" s="727">
        <f t="shared" si="225"/>
        <v>9.6826986019912624</v>
      </c>
      <c r="IM38" s="759">
        <v>3.2305032582547899E-9</v>
      </c>
      <c r="IN38" s="5">
        <f t="shared" si="226"/>
        <v>0</v>
      </c>
      <c r="IO38" s="771">
        <v>0</v>
      </c>
      <c r="IP38" s="9">
        <f t="shared" si="227"/>
        <v>-5.78911745997826</v>
      </c>
      <c r="IQ38" s="5">
        <f t="shared" si="228"/>
        <v>-3.2486097978071506</v>
      </c>
      <c r="IR38" s="5">
        <f t="shared" si="71"/>
        <v>0.314</v>
      </c>
      <c r="IS38" s="5">
        <f t="shared" si="229"/>
        <v>0.29725974747931222</v>
      </c>
      <c r="IT38" s="727">
        <f t="shared" si="230"/>
        <v>91.220743472955917</v>
      </c>
      <c r="IU38" s="9">
        <f t="shared" si="231"/>
        <v>-5.7891174599782591</v>
      </c>
      <c r="IV38" s="5">
        <f t="shared" si="232"/>
        <v>-3.2486097978071506</v>
      </c>
      <c r="IW38" s="5">
        <f t="shared" si="76"/>
        <v>0.314</v>
      </c>
      <c r="IX38" s="5">
        <f t="shared" si="233"/>
        <v>0.29725975095172247</v>
      </c>
      <c r="IY38" s="762">
        <f t="shared" si="234"/>
        <v>91.220742599668128</v>
      </c>
    </row>
    <row r="39" spans="1:267" ht="15" customHeight="1" x14ac:dyDescent="0.25">
      <c r="A39" s="79"/>
      <c r="B39" s="707">
        <v>0.60379854253514231</v>
      </c>
      <c r="C39" s="708">
        <v>-0.42278482391383154</v>
      </c>
      <c r="D39" s="709">
        <v>-0.62860189586331794</v>
      </c>
      <c r="E39" s="710">
        <v>0.49916002344389943</v>
      </c>
      <c r="F39" s="708">
        <v>0.82966215254342957</v>
      </c>
      <c r="G39" s="711">
        <v>0.24999996726497561</v>
      </c>
      <c r="H39" s="710">
        <v>0.314</v>
      </c>
      <c r="I39" s="708">
        <v>0.52</v>
      </c>
      <c r="J39" s="570">
        <v>3.1030000000000002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3.1030000000000002</v>
      </c>
      <c r="N39" s="632">
        <f t="shared" si="2"/>
        <v>0.60379854253514231</v>
      </c>
      <c r="O39" s="629">
        <f t="shared" si="3"/>
        <v>-0.42278482391383154</v>
      </c>
      <c r="P39" s="633">
        <f t="shared" si="4"/>
        <v>-0.62860189586331794</v>
      </c>
      <c r="Q39" s="585">
        <f t="shared" si="113"/>
        <v>324.9999660702029</v>
      </c>
      <c r="R39" s="629">
        <f t="shared" si="79"/>
        <v>0.73710222310030482</v>
      </c>
      <c r="S39" s="634">
        <f t="shared" si="80"/>
        <v>-0.62860189586331794</v>
      </c>
      <c r="T39" s="635">
        <f t="shared" si="81"/>
        <v>-0.42278482391383154</v>
      </c>
      <c r="U39" s="629">
        <f t="shared" si="82"/>
        <v>-0.60379854253514231</v>
      </c>
      <c r="V39" s="636">
        <f t="shared" si="114"/>
        <v>-0.62860189586331794</v>
      </c>
      <c r="W39" s="585">
        <f t="shared" si="224"/>
        <v>234.9999660702029</v>
      </c>
      <c r="X39" s="629">
        <f t="shared" si="83"/>
        <v>0.73710222310030482</v>
      </c>
      <c r="Y39" s="630">
        <f t="shared" si="223"/>
        <v>-0.62860189586331794</v>
      </c>
      <c r="Z39" s="632">
        <f t="shared" si="6"/>
        <v>-0.49916002344389943</v>
      </c>
      <c r="AA39" s="629">
        <f t="shared" si="7"/>
        <v>-0.82966215254342957</v>
      </c>
      <c r="AB39" s="629">
        <f t="shared" si="8"/>
        <v>-0.24999996726497561</v>
      </c>
      <c r="AC39" s="636">
        <f t="shared" si="84"/>
        <v>1</v>
      </c>
      <c r="AD39" s="637">
        <f t="shared" si="115"/>
        <v>-0.49916002344389943</v>
      </c>
      <c r="AE39" s="629">
        <f t="shared" si="85"/>
        <v>-0.82966215254342957</v>
      </c>
      <c r="AF39" s="633">
        <f t="shared" si="86"/>
        <v>-0.24999996726497561</v>
      </c>
      <c r="AG39" s="602">
        <f t="shared" si="87"/>
        <v>-73.231004817230954</v>
      </c>
      <c r="AH39" s="603">
        <f t="shared" si="88"/>
        <v>119.94444314080609</v>
      </c>
      <c r="AI39" s="585">
        <f t="shared" si="89"/>
        <v>-75.522489751159469</v>
      </c>
      <c r="AJ39" s="586">
        <f t="shared" si="90"/>
        <v>-31.032904284710551</v>
      </c>
      <c r="AK39" s="635">
        <f t="shared" si="211"/>
        <v>0.9659258360722075</v>
      </c>
      <c r="AL39" s="629">
        <f t="shared" si="91"/>
        <v>6.698727920820724E-2</v>
      </c>
      <c r="AM39" s="634">
        <f t="shared" si="92"/>
        <v>-0.24999996726497561</v>
      </c>
      <c r="AN39" s="581">
        <f t="shared" si="93"/>
        <v>14.999997834268278</v>
      </c>
      <c r="AO39" s="582">
        <f t="shared" si="94"/>
        <v>14.99999783426823</v>
      </c>
      <c r="AP39" s="585">
        <f t="shared" si="95"/>
        <v>3.9671296450865734</v>
      </c>
      <c r="AQ39" s="586">
        <f t="shared" si="9"/>
        <v>3.0898241454479347</v>
      </c>
      <c r="AS39" s="52">
        <f t="shared" si="116"/>
        <v>-125.0000339297971</v>
      </c>
      <c r="AT39" s="72">
        <f t="shared" si="10"/>
        <v>-0.54179631674540329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3.1030000000000002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1.1617244512594476</v>
      </c>
      <c r="C40" s="708">
        <v>-0.81344924335177837</v>
      </c>
      <c r="D40" s="709">
        <v>-0.44610134544165786</v>
      </c>
      <c r="E40" s="710">
        <v>0.49916002344389943</v>
      </c>
      <c r="F40" s="708">
        <v>0.82966215254342957</v>
      </c>
      <c r="G40" s="711">
        <v>0.24999996726497567</v>
      </c>
      <c r="H40" s="710">
        <v>0.314</v>
      </c>
      <c r="I40" s="708">
        <v>0.52</v>
      </c>
      <c r="J40" s="570">
        <v>3.1059999999999999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3.1059999999999999</v>
      </c>
      <c r="N40" s="632">
        <f t="shared" si="2"/>
        <v>1.1617244512594476</v>
      </c>
      <c r="O40" s="629">
        <f t="shared" si="3"/>
        <v>-0.81344924335177837</v>
      </c>
      <c r="P40" s="633">
        <f t="shared" si="4"/>
        <v>-0.44610134544165786</v>
      </c>
      <c r="Q40" s="585">
        <f t="shared" si="113"/>
        <v>324.9999660702029</v>
      </c>
      <c r="R40" s="629">
        <f t="shared" si="79"/>
        <v>1.4182042773041004</v>
      </c>
      <c r="S40" s="634">
        <f t="shared" si="80"/>
        <v>-0.44610134544165786</v>
      </c>
      <c r="T40" s="635">
        <f t="shared" si="81"/>
        <v>-0.81344924335177848</v>
      </c>
      <c r="U40" s="629">
        <f t="shared" si="82"/>
        <v>-1.1617244512594476</v>
      </c>
      <c r="V40" s="636">
        <f t="shared" si="114"/>
        <v>-0.44610134544165786</v>
      </c>
      <c r="W40" s="585">
        <f t="shared" si="224"/>
        <v>234.9999660702029</v>
      </c>
      <c r="X40" s="629">
        <f t="shared" si="83"/>
        <v>1.4182042773041004</v>
      </c>
      <c r="Y40" s="630">
        <f t="shared" si="223"/>
        <v>-0.44610134544165786</v>
      </c>
      <c r="Z40" s="632">
        <f t="shared" si="6"/>
        <v>-0.49916002344389943</v>
      </c>
      <c r="AA40" s="629">
        <f t="shared" si="7"/>
        <v>-0.82966215254342957</v>
      </c>
      <c r="AB40" s="629">
        <f t="shared" si="8"/>
        <v>-0.24999996726497567</v>
      </c>
      <c r="AC40" s="636">
        <f t="shared" si="84"/>
        <v>1</v>
      </c>
      <c r="AD40" s="637">
        <f t="shared" si="115"/>
        <v>-0.49916002344389943</v>
      </c>
      <c r="AE40" s="629">
        <f t="shared" si="85"/>
        <v>-0.82966215254342957</v>
      </c>
      <c r="AF40" s="633">
        <f t="shared" si="86"/>
        <v>-0.24999996726497567</v>
      </c>
      <c r="AG40" s="602">
        <f t="shared" si="87"/>
        <v>-73.231004817230939</v>
      </c>
      <c r="AH40" s="603">
        <f t="shared" si="88"/>
        <v>119.94444314080609</v>
      </c>
      <c r="AI40" s="585">
        <f t="shared" si="89"/>
        <v>-75.522489751159455</v>
      </c>
      <c r="AJ40" s="586">
        <f t="shared" si="90"/>
        <v>-31.032904284710551</v>
      </c>
      <c r="AK40" s="635">
        <f t="shared" si="211"/>
        <v>0.9659258360722075</v>
      </c>
      <c r="AL40" s="629">
        <f t="shared" si="91"/>
        <v>6.698727920820724E-2</v>
      </c>
      <c r="AM40" s="634">
        <f t="shared" si="92"/>
        <v>-0.24999996726497567</v>
      </c>
      <c r="AN40" s="581">
        <f t="shared" si="93"/>
        <v>14.999997834268274</v>
      </c>
      <c r="AO40" s="582">
        <f t="shared" si="94"/>
        <v>14.99999783426823</v>
      </c>
      <c r="AP40" s="585">
        <f t="shared" si="95"/>
        <v>3.9671296450865734</v>
      </c>
      <c r="AQ40" s="586">
        <f t="shared" si="9"/>
        <v>1.6070525303488554</v>
      </c>
      <c r="AS40" s="52">
        <f t="shared" si="116"/>
        <v>-125.0000339297971</v>
      </c>
      <c r="AT40" s="72">
        <f t="shared" si="10"/>
        <v>-0.35929576632374322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3.1059999999999999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1.7303812796787881</v>
      </c>
      <c r="C41" s="708">
        <v>-1.211627543122477</v>
      </c>
      <c r="D41" s="709">
        <v>-0.26010078446396595</v>
      </c>
      <c r="E41" s="710">
        <v>0.49916002344389948</v>
      </c>
      <c r="F41" s="708">
        <v>0.82966215254342957</v>
      </c>
      <c r="G41" s="711">
        <v>0.24999996726497567</v>
      </c>
      <c r="H41" s="710">
        <v>0.314</v>
      </c>
      <c r="I41" s="708">
        <v>0.52</v>
      </c>
      <c r="J41" s="570">
        <v>3.109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3.109</v>
      </c>
      <c r="N41" s="632">
        <f t="shared" ref="N41:N72" si="240">IF(M41="","",B41)</f>
        <v>1.7303812796787881</v>
      </c>
      <c r="O41" s="629">
        <f t="shared" ref="O41:O72" si="241">IF(M41="","",C41)</f>
        <v>-1.211627543122477</v>
      </c>
      <c r="P41" s="633">
        <f t="shared" ref="P41:P72" si="242">IF(M41="","",D41)</f>
        <v>-0.26010078446396595</v>
      </c>
      <c r="Q41" s="585">
        <f t="shared" si="113"/>
        <v>324.9999660702029</v>
      </c>
      <c r="R41" s="629">
        <f t="shared" si="79"/>
        <v>2.1124063710176153</v>
      </c>
      <c r="S41" s="634">
        <f t="shared" si="80"/>
        <v>-0.26010078446396595</v>
      </c>
      <c r="T41" s="635">
        <f t="shared" si="81"/>
        <v>-1.2116275431224772</v>
      </c>
      <c r="U41" s="629">
        <f t="shared" si="82"/>
        <v>-1.7303812796787883</v>
      </c>
      <c r="V41" s="636">
        <f t="shared" si="114"/>
        <v>-0.26010078446396595</v>
      </c>
      <c r="W41" s="585">
        <f t="shared" si="224"/>
        <v>234.9999660702029</v>
      </c>
      <c r="X41" s="629">
        <f t="shared" si="83"/>
        <v>2.1124063710176153</v>
      </c>
      <c r="Y41" s="630">
        <f t="shared" si="223"/>
        <v>-0.26010078446396595</v>
      </c>
      <c r="Z41" s="632">
        <f t="shared" ref="Z41:Z72" si="243">IF(M41="","",-E41)</f>
        <v>-0.49916002344389948</v>
      </c>
      <c r="AA41" s="629">
        <f t="shared" ref="AA41:AA72" si="244">IF(M41="","",-F41)</f>
        <v>-0.82966215254342957</v>
      </c>
      <c r="AB41" s="629">
        <f t="shared" ref="AB41:AB72" si="245">IF(M41="","",-G41)</f>
        <v>-0.24999996726497567</v>
      </c>
      <c r="AC41" s="636">
        <f t="shared" si="84"/>
        <v>1</v>
      </c>
      <c r="AD41" s="637">
        <f t="shared" si="115"/>
        <v>-0.49916002344389948</v>
      </c>
      <c r="AE41" s="629">
        <f t="shared" si="85"/>
        <v>-0.82966215254342957</v>
      </c>
      <c r="AF41" s="633">
        <f t="shared" si="86"/>
        <v>-0.24999996726497567</v>
      </c>
      <c r="AG41" s="602">
        <f t="shared" si="87"/>
        <v>-73.231004817230939</v>
      </c>
      <c r="AH41" s="603">
        <f t="shared" si="88"/>
        <v>119.94444314080609</v>
      </c>
      <c r="AI41" s="585">
        <f t="shared" si="89"/>
        <v>-75.522489751159455</v>
      </c>
      <c r="AJ41" s="586">
        <f t="shared" si="90"/>
        <v>-31.032904284710551</v>
      </c>
      <c r="AK41" s="635">
        <f t="shared" si="211"/>
        <v>0.9659258360722075</v>
      </c>
      <c r="AL41" s="629">
        <f t="shared" si="91"/>
        <v>6.6987279208207184E-2</v>
      </c>
      <c r="AM41" s="634">
        <f t="shared" si="92"/>
        <v>-0.24999996726497567</v>
      </c>
      <c r="AN41" s="581">
        <f t="shared" si="93"/>
        <v>14.999997834268262</v>
      </c>
      <c r="AO41" s="582">
        <f t="shared" si="94"/>
        <v>14.99999783426823</v>
      </c>
      <c r="AP41" s="585">
        <f t="shared" si="95"/>
        <v>3.9671296450865703</v>
      </c>
      <c r="AQ41" s="586">
        <f t="shared" ref="AQ41:AQ72" si="246">IF(M41="","",DEGREES(ATAN(($AS$5*SIN(RADIANS(90)))/(($X41*2*PI())-($AS$5*COS(RADIANS(90)))))))</f>
        <v>1.0790807660279513</v>
      </c>
      <c r="AS41" s="52">
        <f t="shared" si="116"/>
        <v>-125.0000339297971</v>
      </c>
      <c r="AT41" s="72">
        <f t="shared" ref="AT41:AT72" si="247">IF(M41="","",Y41+(((AS41-$AS$9)*$AS$6)*-1))</f>
        <v>-0.17329520534605131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3.109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2.3258337300160394</v>
      </c>
      <c r="C42" s="708">
        <v>-1.6388133910131584</v>
      </c>
      <c r="D42" s="709">
        <v>-9.5600288330469588E-2</v>
      </c>
      <c r="E42" s="710">
        <v>0.57591485000837839</v>
      </c>
      <c r="F42" s="708">
        <v>0.7805734615175185</v>
      </c>
      <c r="G42" s="711">
        <v>0.24295505081061031</v>
      </c>
      <c r="H42" s="710">
        <v>0.314</v>
      </c>
      <c r="I42" s="708">
        <v>0.52</v>
      </c>
      <c r="J42" s="570">
        <v>3.1139999999999999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3.1139999999999999</v>
      </c>
      <c r="N42" s="632">
        <f t="shared" si="240"/>
        <v>2.3258337300160394</v>
      </c>
      <c r="O42" s="629">
        <f t="shared" si="241"/>
        <v>-1.6388133910131584</v>
      </c>
      <c r="P42" s="633">
        <f t="shared" si="242"/>
        <v>-9.5600288330469588E-2</v>
      </c>
      <c r="Q42" s="585">
        <f t="shared" si="113"/>
        <v>324.83096609460347</v>
      </c>
      <c r="R42" s="629">
        <f t="shared" ref="R42:R47" si="385">IF(M42="","",SQRT(N42^2+O42^2))</f>
        <v>2.8452085811490817</v>
      </c>
      <c r="S42" s="634">
        <f t="shared" ref="S42:S47" si="386">IF(M42="","",P42)</f>
        <v>-9.5600288330469588E-2</v>
      </c>
      <c r="T42" s="635">
        <f t="shared" ref="T42:T47" si="387">IF(M42="","",X42*COS(RADIANS(W42)))</f>
        <v>-1.6388133910131577</v>
      </c>
      <c r="U42" s="629">
        <f t="shared" ref="U42:U47" si="388">IF(M42="","",X42*SIN(RADIANS(W42)))</f>
        <v>-2.3258337300160399</v>
      </c>
      <c r="V42" s="636">
        <f t="shared" ref="V42:V47" si="389">IF(M42="","",Y42)</f>
        <v>-9.5600288330469588E-2</v>
      </c>
      <c r="W42" s="585">
        <f t="shared" si="224"/>
        <v>234.83096609460347</v>
      </c>
      <c r="X42" s="629">
        <f t="shared" ref="X42:X47" si="390">IF(M42="","",R42)</f>
        <v>2.8452085811490817</v>
      </c>
      <c r="Y42" s="630">
        <f t="shared" si="223"/>
        <v>-9.5600288330469588E-2</v>
      </c>
      <c r="Z42" s="632">
        <f t="shared" si="243"/>
        <v>-0.57591485000837839</v>
      </c>
      <c r="AA42" s="629">
        <f t="shared" si="244"/>
        <v>-0.7805734615175185</v>
      </c>
      <c r="AB42" s="629">
        <f t="shared" si="245"/>
        <v>-0.24295505081061031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-0.57591485000837839</v>
      </c>
      <c r="AE42" s="629">
        <f t="shared" ref="AE42:AE47" si="393">IF(M42="","",AA42*(1/SQRT(Z42^2+AA42^2+AB42^2)))</f>
        <v>-0.7805734615175185</v>
      </c>
      <c r="AF42" s="633">
        <f t="shared" ref="AF42:AF47" si="394">IF(M42="","",AB42*(1/SQRT(Z42^2+AA42^2+AB42^2)))</f>
        <v>-0.24295505081061031</v>
      </c>
      <c r="AG42" s="602">
        <f t="shared" ref="AG42:AG47" si="395">IF(M42="","",DEGREES(ATAN2(-AF42,AE42)))</f>
        <v>-72.711141971346223</v>
      </c>
      <c r="AH42" s="603">
        <f t="shared" ref="AH42:AH47" si="396">IF(M42="","",DEGREES(ACOS(AD42)))</f>
        <v>125.16372490384626</v>
      </c>
      <c r="AI42" s="585">
        <f t="shared" ref="AI42:AI47" si="397">IF(M42="","",DEGREES(-ACOS(-AF42)))</f>
        <v>-75.93898426793065</v>
      </c>
      <c r="AJ42" s="586">
        <f t="shared" ref="AJ42:AJ47" si="398">IF(M42="","",DEGREES(ATAN2(-AE42,AD42)))</f>
        <v>-36.420274604884945</v>
      </c>
      <c r="AK42" s="635">
        <f t="shared" ref="AK42:AK47" si="399">IF(M42="","",(COS(RADIANS((90-$Q$8)-W42))*AD42)+(-SIN(RADIANS((90-$Q$8)-W42))*AE42))</f>
        <v>0.96980624623151535</v>
      </c>
      <c r="AL42" s="629">
        <f t="shared" ref="AL42:AL47" si="400">IF(M42="","",(SIN(RADIANS((90-$Q$8)-W42))*AD42)+(COS(RADIANS((90-$Q$8)-W42))*AE42))</f>
        <v>-2.1182258046568814E-2</v>
      </c>
      <c r="AM42" s="634">
        <f t="shared" ref="AM42:AM47" si="401">IF(M42="","",AF42)</f>
        <v>-0.24295505081061031</v>
      </c>
      <c r="AN42" s="581">
        <f t="shared" ref="AN42:AN47" si="402">IF(M42="","",DEGREES(ATAN2(-AM42,AL42)))</f>
        <v>-4.9827850144158994</v>
      </c>
      <c r="AO42" s="582">
        <f t="shared" si="94"/>
        <v>14.11545991063757</v>
      </c>
      <c r="AP42" s="585">
        <f t="shared" ref="AP42:AP47" si="403">IF(M42="","",DEGREES(ATAN2(AK42,AL42)))</f>
        <v>-1.2512406994884238</v>
      </c>
      <c r="AQ42" s="586">
        <f t="shared" si="246"/>
        <v>0.80119891827761258</v>
      </c>
      <c r="AS42" s="52">
        <f t="shared" si="116"/>
        <v>-125.16903390539653</v>
      </c>
      <c r="AT42" s="72">
        <f t="shared" si="247"/>
        <v>-8.6773481183886614E-3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3.1139999999999999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2.9349270553511611</v>
      </c>
      <c r="C43" s="708">
        <v>-2.1249258656292644</v>
      </c>
      <c r="D43" s="709">
        <v>-0.16500049764150101</v>
      </c>
      <c r="E43" s="710">
        <v>0.6800416422046518</v>
      </c>
      <c r="F43" s="708">
        <v>0.70720331688598526</v>
      </c>
      <c r="G43" s="711">
        <v>0.19340846272348405</v>
      </c>
      <c r="H43" s="710">
        <v>0.314</v>
      </c>
      <c r="I43" s="708">
        <v>0.52</v>
      </c>
      <c r="J43" s="570">
        <v>3.12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3.12</v>
      </c>
      <c r="N43" s="632">
        <f t="shared" si="240"/>
        <v>2.9349270553511611</v>
      </c>
      <c r="O43" s="629">
        <f t="shared" si="241"/>
        <v>-2.1249258656292644</v>
      </c>
      <c r="P43" s="633">
        <f t="shared" si="242"/>
        <v>-0.16500049764150101</v>
      </c>
      <c r="Q43" s="585">
        <f t="shared" si="113"/>
        <v>324.09496620086873</v>
      </c>
      <c r="R43" s="629">
        <f t="shared" si="385"/>
        <v>3.6234109282073588</v>
      </c>
      <c r="S43" s="634">
        <f t="shared" si="386"/>
        <v>-0.16500049764150101</v>
      </c>
      <c r="T43" s="635">
        <f t="shared" si="387"/>
        <v>-2.1249258656292644</v>
      </c>
      <c r="U43" s="629">
        <f t="shared" si="388"/>
        <v>-2.9349270553511602</v>
      </c>
      <c r="V43" s="636">
        <f t="shared" si="389"/>
        <v>-0.16500049764150101</v>
      </c>
      <c r="W43" s="585">
        <f t="shared" si="224"/>
        <v>234.09496620086873</v>
      </c>
      <c r="X43" s="629">
        <f t="shared" si="390"/>
        <v>3.6234109282073588</v>
      </c>
      <c r="Y43" s="630">
        <f t="shared" si="223"/>
        <v>-0.16500049764150101</v>
      </c>
      <c r="Z43" s="632">
        <f t="shared" si="243"/>
        <v>-0.6800416422046518</v>
      </c>
      <c r="AA43" s="629">
        <f t="shared" si="244"/>
        <v>-0.70720331688598526</v>
      </c>
      <c r="AB43" s="629">
        <f t="shared" si="245"/>
        <v>-0.19340846272348405</v>
      </c>
      <c r="AC43" s="636">
        <f t="shared" si="391"/>
        <v>1</v>
      </c>
      <c r="AD43" s="637">
        <f t="shared" si="392"/>
        <v>-0.6800416422046518</v>
      </c>
      <c r="AE43" s="629">
        <f t="shared" si="393"/>
        <v>-0.70720331688598526</v>
      </c>
      <c r="AF43" s="633">
        <f t="shared" si="394"/>
        <v>-0.19340846272348405</v>
      </c>
      <c r="AG43" s="602">
        <f t="shared" si="395"/>
        <v>-74.704558247249324</v>
      </c>
      <c r="AH43" s="603">
        <f t="shared" si="396"/>
        <v>132.84689719799519</v>
      </c>
      <c r="AI43" s="585">
        <f t="shared" si="397"/>
        <v>-78.848234607816636</v>
      </c>
      <c r="AJ43" s="586">
        <f t="shared" si="398"/>
        <v>-43.878315980622602</v>
      </c>
      <c r="AK43" s="635">
        <f t="shared" si="399"/>
        <v>0.97163371567414658</v>
      </c>
      <c r="AL43" s="629">
        <f t="shared" si="400"/>
        <v>-0.13609220812445672</v>
      </c>
      <c r="AM43" s="634">
        <f t="shared" si="401"/>
        <v>-0.19340846272348405</v>
      </c>
      <c r="AN43" s="581">
        <f t="shared" si="402"/>
        <v>-35.132203114533411</v>
      </c>
      <c r="AO43" s="582">
        <f t="shared" si="94"/>
        <v>13.679519635569054</v>
      </c>
      <c r="AP43" s="585">
        <f t="shared" si="403"/>
        <v>-7.9732821814912942</v>
      </c>
      <c r="AQ43" s="586">
        <f t="shared" si="246"/>
        <v>0.62914062243134905</v>
      </c>
      <c r="AS43" s="52">
        <f t="shared" ref="AS43:AS74" si="406">IF(G43="","",IF(AND(W43&lt;(AS42+180),W43&gt;(AS42-180)),W43,IF(W43&gt;(AS42+180),W43-360,IF(W43&lt;(AS42-180),W43+360,"Error"))))</f>
        <v>-125.90503379913127</v>
      </c>
      <c r="AT43" s="72">
        <f t="shared" si="247"/>
        <v>-7.7566446392104291E-2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3.12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3.4585926527296844</v>
      </c>
      <c r="C44" s="708">
        <v>-2.5905634400915694</v>
      </c>
      <c r="D44" s="709">
        <v>-0.5017015131317637</v>
      </c>
      <c r="E44" s="710">
        <v>0.75441231573825906</v>
      </c>
      <c r="F44" s="708">
        <v>0.64001431132313769</v>
      </c>
      <c r="G44" s="711">
        <v>0.14575232129886398</v>
      </c>
      <c r="H44" s="710">
        <v>0.314</v>
      </c>
      <c r="I44" s="708">
        <v>0.52</v>
      </c>
      <c r="J44" s="570">
        <v>3.1259999999999999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3.1259999999999999</v>
      </c>
      <c r="N44" s="632">
        <f t="shared" si="240"/>
        <v>3.4585926527296844</v>
      </c>
      <c r="O44" s="629">
        <f t="shared" si="241"/>
        <v>-2.5905634400915694</v>
      </c>
      <c r="P44" s="633">
        <f t="shared" si="242"/>
        <v>-0.5017015131317637</v>
      </c>
      <c r="Q44" s="585">
        <f t="shared" si="113"/>
        <v>323.16596633499967</v>
      </c>
      <c r="R44" s="629">
        <f t="shared" si="385"/>
        <v>4.3212130327785072</v>
      </c>
      <c r="S44" s="634">
        <f t="shared" si="386"/>
        <v>-0.5017015131317637</v>
      </c>
      <c r="T44" s="635">
        <f t="shared" si="387"/>
        <v>-2.5905634400915711</v>
      </c>
      <c r="U44" s="629">
        <f t="shared" si="388"/>
        <v>-3.4585926527296835</v>
      </c>
      <c r="V44" s="636">
        <f t="shared" si="389"/>
        <v>-0.5017015131317637</v>
      </c>
      <c r="W44" s="585">
        <f t="shared" si="224"/>
        <v>233.16596633499967</v>
      </c>
      <c r="X44" s="629">
        <f t="shared" si="390"/>
        <v>4.3212130327785072</v>
      </c>
      <c r="Y44" s="630">
        <f t="shared" si="223"/>
        <v>-0.5017015131317637</v>
      </c>
      <c r="Z44" s="632">
        <f t="shared" si="243"/>
        <v>-0.75441231573825906</v>
      </c>
      <c r="AA44" s="629">
        <f t="shared" si="244"/>
        <v>-0.64001431132313769</v>
      </c>
      <c r="AB44" s="629">
        <f t="shared" si="245"/>
        <v>-0.14575232129886398</v>
      </c>
      <c r="AC44" s="636">
        <f t="shared" si="391"/>
        <v>1</v>
      </c>
      <c r="AD44" s="637">
        <f t="shared" si="392"/>
        <v>-0.75441231573825906</v>
      </c>
      <c r="AE44" s="629">
        <f t="shared" si="393"/>
        <v>-0.64001431132313769</v>
      </c>
      <c r="AF44" s="633">
        <f t="shared" si="394"/>
        <v>-0.14575232129886398</v>
      </c>
      <c r="AG44" s="602">
        <f t="shared" si="395"/>
        <v>-77.170664939627969</v>
      </c>
      <c r="AH44" s="603">
        <f t="shared" si="396"/>
        <v>138.97404568243002</v>
      </c>
      <c r="AI44" s="585">
        <f t="shared" si="397"/>
        <v>-81.619153131570471</v>
      </c>
      <c r="AJ44" s="586">
        <f t="shared" si="398"/>
        <v>-49.690011505519337</v>
      </c>
      <c r="AK44" s="635">
        <f t="shared" si="399"/>
        <v>0.96452124139097961</v>
      </c>
      <c r="AL44" s="629">
        <f t="shared" si="400"/>
        <v>-0.22012504569357111</v>
      </c>
      <c r="AM44" s="634">
        <f t="shared" si="401"/>
        <v>-0.14575232129886398</v>
      </c>
      <c r="AN44" s="581">
        <f t="shared" si="402"/>
        <v>-56.490094939074901</v>
      </c>
      <c r="AO44" s="582">
        <f t="shared" si="94"/>
        <v>15.307853299593289</v>
      </c>
      <c r="AP44" s="585">
        <f t="shared" si="403"/>
        <v>-12.855977840518991</v>
      </c>
      <c r="AQ44" s="586">
        <f t="shared" si="246"/>
        <v>0.52755145153951111</v>
      </c>
      <c r="AS44" s="52">
        <f t="shared" si="406"/>
        <v>-126.83403366500033</v>
      </c>
      <c r="AT44" s="72">
        <f t="shared" si="247"/>
        <v>-0.41362232308662455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3.1259999999999999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3.8547753659248061</v>
      </c>
      <c r="C45" s="708">
        <v>-2.9761972278811246</v>
      </c>
      <c r="D45" s="709">
        <v>-1.0322031131245892</v>
      </c>
      <c r="E45" s="710">
        <v>0.79428281975914816</v>
      </c>
      <c r="F45" s="708">
        <v>0.5960840068452774</v>
      </c>
      <c r="G45" s="711">
        <v>0.11746769351075192</v>
      </c>
      <c r="H45" s="710">
        <v>0.314</v>
      </c>
      <c r="I45" s="708">
        <v>0.52</v>
      </c>
      <c r="J45" s="570">
        <v>3.1320000000000001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3.1320000000000001</v>
      </c>
      <c r="N45" s="632">
        <f t="shared" si="240"/>
        <v>3.8547753659248061</v>
      </c>
      <c r="O45" s="629">
        <f t="shared" si="241"/>
        <v>-2.9761972278811246</v>
      </c>
      <c r="P45" s="633">
        <f t="shared" si="242"/>
        <v>-1.0322031131245892</v>
      </c>
      <c r="Q45" s="585">
        <f t="shared" si="113"/>
        <v>322.32896645584754</v>
      </c>
      <c r="R45" s="629">
        <f t="shared" si="385"/>
        <v>4.8700146879643</v>
      </c>
      <c r="S45" s="634">
        <f t="shared" si="386"/>
        <v>-1.0322031131245892</v>
      </c>
      <c r="T45" s="635">
        <f t="shared" si="387"/>
        <v>-2.9761972278811224</v>
      </c>
      <c r="U45" s="629">
        <f t="shared" si="388"/>
        <v>-3.8547753659248087</v>
      </c>
      <c r="V45" s="636">
        <f t="shared" si="389"/>
        <v>-1.0322031131245892</v>
      </c>
      <c r="W45" s="585">
        <f t="shared" si="224"/>
        <v>232.32896645584754</v>
      </c>
      <c r="X45" s="629">
        <f t="shared" si="390"/>
        <v>4.8700146879643</v>
      </c>
      <c r="Y45" s="630">
        <f t="shared" si="223"/>
        <v>-1.0322031131245892</v>
      </c>
      <c r="Z45" s="632">
        <f t="shared" si="243"/>
        <v>-0.79428281975914816</v>
      </c>
      <c r="AA45" s="629">
        <f t="shared" si="244"/>
        <v>-0.5960840068452774</v>
      </c>
      <c r="AB45" s="629">
        <f t="shared" si="245"/>
        <v>-0.11746769351075192</v>
      </c>
      <c r="AC45" s="636">
        <f t="shared" si="391"/>
        <v>1</v>
      </c>
      <c r="AD45" s="637">
        <f t="shared" si="392"/>
        <v>-0.79428281975914816</v>
      </c>
      <c r="AE45" s="629">
        <f t="shared" si="393"/>
        <v>-0.5960840068452774</v>
      </c>
      <c r="AF45" s="633">
        <f t="shared" si="394"/>
        <v>-0.11746769351075192</v>
      </c>
      <c r="AG45" s="602">
        <f t="shared" si="395"/>
        <v>-78.851816822228031</v>
      </c>
      <c r="AH45" s="603">
        <f t="shared" si="396"/>
        <v>142.58756855900907</v>
      </c>
      <c r="AI45" s="585">
        <f t="shared" si="397"/>
        <v>-83.254021601300167</v>
      </c>
      <c r="AJ45" s="586">
        <f t="shared" si="398"/>
        <v>-53.112937239926886</v>
      </c>
      <c r="AK45" s="635">
        <f t="shared" si="399"/>
        <v>0.95722755897443434</v>
      </c>
      <c r="AL45" s="629">
        <f t="shared" si="400"/>
        <v>-0.26441774017851022</v>
      </c>
      <c r="AM45" s="634">
        <f t="shared" si="401"/>
        <v>-0.11746769351075192</v>
      </c>
      <c r="AN45" s="581">
        <f t="shared" si="402"/>
        <v>-66.046794529759026</v>
      </c>
      <c r="AO45" s="582">
        <f t="shared" si="94"/>
        <v>16.818215710003084</v>
      </c>
      <c r="AP45" s="585">
        <f t="shared" si="403"/>
        <v>-15.441903695774446</v>
      </c>
      <c r="AQ45" s="586">
        <f t="shared" si="246"/>
        <v>0.46810452434802369</v>
      </c>
      <c r="AS45" s="52">
        <f t="shared" si="406"/>
        <v>-127.67103354415246</v>
      </c>
      <c r="AT45" s="72">
        <f t="shared" si="247"/>
        <v>-0.94354267316337226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3.1320000000000001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4.1429766336705454</v>
      </c>
      <c r="C46" s="708">
        <v>-3.2769812652298214</v>
      </c>
      <c r="D46" s="709">
        <v>-1.6758050542280436</v>
      </c>
      <c r="E46" s="710">
        <v>0.81825499776326438</v>
      </c>
      <c r="F46" s="708">
        <v>0.57004537361240182</v>
      </c>
      <c r="G46" s="711">
        <v>7.4209370422727877E-2</v>
      </c>
      <c r="H46" s="710">
        <v>0.314</v>
      </c>
      <c r="I46" s="708">
        <v>0.52</v>
      </c>
      <c r="J46" s="570">
        <v>3.1379999999999999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3.1379999999999999</v>
      </c>
      <c r="N46" s="632">
        <f t="shared" si="240"/>
        <v>4.1429766336705454</v>
      </c>
      <c r="O46" s="629">
        <f t="shared" si="241"/>
        <v>-3.2769812652298214</v>
      </c>
      <c r="P46" s="633">
        <f t="shared" si="242"/>
        <v>-1.6758050542280436</v>
      </c>
      <c r="Q46" s="585">
        <f t="shared" si="113"/>
        <v>321.65696655287229</v>
      </c>
      <c r="R46" s="629">
        <f t="shared" si="385"/>
        <v>5.2823159314648498</v>
      </c>
      <c r="S46" s="634">
        <f t="shared" si="386"/>
        <v>-1.6758050542280436</v>
      </c>
      <c r="T46" s="635">
        <f t="shared" si="387"/>
        <v>-3.2769812652298205</v>
      </c>
      <c r="U46" s="629">
        <f t="shared" si="388"/>
        <v>-4.1429766336705462</v>
      </c>
      <c r="V46" s="636">
        <f t="shared" si="389"/>
        <v>-1.6758050542280436</v>
      </c>
      <c r="W46" s="585">
        <f t="shared" si="224"/>
        <v>231.65696655287229</v>
      </c>
      <c r="X46" s="629">
        <f t="shared" si="390"/>
        <v>5.2823159314648498</v>
      </c>
      <c r="Y46" s="630">
        <f t="shared" si="223"/>
        <v>-1.6758050542280436</v>
      </c>
      <c r="Z46" s="632">
        <f t="shared" si="243"/>
        <v>-0.81825499776326438</v>
      </c>
      <c r="AA46" s="629">
        <f t="shared" si="244"/>
        <v>-0.57004537361240182</v>
      </c>
      <c r="AB46" s="629">
        <f t="shared" si="245"/>
        <v>-7.4209370422727877E-2</v>
      </c>
      <c r="AC46" s="636">
        <f t="shared" si="391"/>
        <v>1</v>
      </c>
      <c r="AD46" s="637">
        <f t="shared" si="392"/>
        <v>-0.81825499776326438</v>
      </c>
      <c r="AE46" s="629">
        <f t="shared" si="393"/>
        <v>-0.57004537361240182</v>
      </c>
      <c r="AF46" s="633">
        <f t="shared" si="394"/>
        <v>-7.4209370422727877E-2</v>
      </c>
      <c r="AG46" s="602">
        <f t="shared" si="395"/>
        <v>-82.582860898617497</v>
      </c>
      <c r="AH46" s="603">
        <f t="shared" si="396"/>
        <v>144.91049191289892</v>
      </c>
      <c r="AI46" s="585">
        <f t="shared" si="397"/>
        <v>-85.744204029155497</v>
      </c>
      <c r="AJ46" s="586">
        <f t="shared" si="398"/>
        <v>-55.136623486125735</v>
      </c>
      <c r="AK46" s="635">
        <f t="shared" si="399"/>
        <v>0.95471210474541868</v>
      </c>
      <c r="AL46" s="629">
        <f t="shared" si="400"/>
        <v>-0.28812803819488897</v>
      </c>
      <c r="AM46" s="634">
        <f t="shared" si="401"/>
        <v>-7.4209370422727877E-2</v>
      </c>
      <c r="AN46" s="581">
        <f t="shared" si="402"/>
        <v>-75.556976378242055</v>
      </c>
      <c r="AO46" s="582">
        <f t="shared" si="94"/>
        <v>17.309379646094715</v>
      </c>
      <c r="AP46" s="585">
        <f t="shared" si="403"/>
        <v>-16.79359003899804</v>
      </c>
      <c r="AQ46" s="586">
        <f t="shared" si="246"/>
        <v>0.43156894580615718</v>
      </c>
      <c r="AS46" s="52">
        <f t="shared" si="406"/>
        <v>-128.34303344712771</v>
      </c>
      <c r="AT46" s="72">
        <f t="shared" si="247"/>
        <v>-1.5866779476675383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3.1379999999999999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4.3433150438019403</v>
      </c>
      <c r="C47" s="708">
        <v>-3.4971143004167189</v>
      </c>
      <c r="D47" s="709">
        <v>-2.3820071841336676</v>
      </c>
      <c r="E47" s="710">
        <v>0.83997754061886432</v>
      </c>
      <c r="F47" s="708">
        <v>0.54098587913865759</v>
      </c>
      <c r="G47" s="711">
        <v>4.2095247100568917E-2</v>
      </c>
      <c r="H47" s="710">
        <v>0.314</v>
      </c>
      <c r="I47" s="708">
        <v>0.52</v>
      </c>
      <c r="J47" s="570">
        <v>3.1440000000000001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3.1440000000000001</v>
      </c>
      <c r="N47" s="632">
        <f t="shared" si="240"/>
        <v>4.3433150438019403</v>
      </c>
      <c r="O47" s="629">
        <f t="shared" si="241"/>
        <v>-3.4971143004167189</v>
      </c>
      <c r="P47" s="633">
        <f t="shared" si="242"/>
        <v>-2.3820071841336676</v>
      </c>
      <c r="Q47" s="585">
        <f t="shared" si="113"/>
        <v>321.15996662463021</v>
      </c>
      <c r="R47" s="629">
        <f t="shared" si="385"/>
        <v>5.5762168178699225</v>
      </c>
      <c r="S47" s="634">
        <f t="shared" si="386"/>
        <v>-2.3820071841336676</v>
      </c>
      <c r="T47" s="635">
        <f t="shared" si="387"/>
        <v>-3.4971143004167167</v>
      </c>
      <c r="U47" s="629">
        <f t="shared" si="388"/>
        <v>-4.3433150438019421</v>
      </c>
      <c r="V47" s="636">
        <f t="shared" si="389"/>
        <v>-2.3820071841336676</v>
      </c>
      <c r="W47" s="585">
        <f t="shared" si="224"/>
        <v>231.15996662463021</v>
      </c>
      <c r="X47" s="629">
        <f t="shared" si="390"/>
        <v>5.5762168178699225</v>
      </c>
      <c r="Y47" s="630">
        <f t="shared" si="223"/>
        <v>-2.3820071841336676</v>
      </c>
      <c r="Z47" s="632">
        <f t="shared" si="243"/>
        <v>-0.83997754061886432</v>
      </c>
      <c r="AA47" s="629">
        <f t="shared" si="244"/>
        <v>-0.54098587913865759</v>
      </c>
      <c r="AB47" s="629">
        <f t="shared" si="245"/>
        <v>-4.2095247100568917E-2</v>
      </c>
      <c r="AC47" s="636">
        <f t="shared" si="391"/>
        <v>1</v>
      </c>
      <c r="AD47" s="637">
        <f t="shared" si="392"/>
        <v>-0.83997754061886432</v>
      </c>
      <c r="AE47" s="629">
        <f t="shared" si="393"/>
        <v>-0.54098587913865759</v>
      </c>
      <c r="AF47" s="633">
        <f t="shared" si="394"/>
        <v>-4.2095247100568917E-2</v>
      </c>
      <c r="AG47" s="602">
        <f t="shared" si="395"/>
        <v>-85.550660485055786</v>
      </c>
      <c r="AH47" s="603">
        <f t="shared" si="396"/>
        <v>147.13774804208828</v>
      </c>
      <c r="AI47" s="585">
        <f t="shared" si="397"/>
        <v>-87.587407122466317</v>
      </c>
      <c r="AJ47" s="586">
        <f t="shared" si="398"/>
        <v>-57.21651968028339</v>
      </c>
      <c r="AK47" s="635">
        <f t="shared" si="399"/>
        <v>0.94816427505666967</v>
      </c>
      <c r="AL47" s="629">
        <f t="shared" si="400"/>
        <v>-0.31498015441897637</v>
      </c>
      <c r="AM47" s="634">
        <f t="shared" si="401"/>
        <v>-4.2095247100568917E-2</v>
      </c>
      <c r="AN47" s="581">
        <f t="shared" si="402"/>
        <v>-82.387861338859551</v>
      </c>
      <c r="AO47" s="582">
        <f t="shared" si="94"/>
        <v>18.528757744485041</v>
      </c>
      <c r="AP47" s="585">
        <f t="shared" si="403"/>
        <v>-18.376486304913623</v>
      </c>
      <c r="AQ47" s="586">
        <f t="shared" si="246"/>
        <v>0.4088234043363293</v>
      </c>
      <c r="AS47" s="52">
        <f t="shared" si="406"/>
        <v>-128.84003337536979</v>
      </c>
      <c r="AT47" s="72">
        <f t="shared" si="247"/>
        <v>-2.2925349387341054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3.1440000000000001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4.4708550793720461</v>
      </c>
      <c r="C48" s="708">
        <v>-3.6423185395141568</v>
      </c>
      <c r="D48" s="709">
        <v>-3.1230094189964079</v>
      </c>
      <c r="E48" s="710">
        <v>0.84744088553389929</v>
      </c>
      <c r="F48" s="708">
        <v>0.53088975907049529</v>
      </c>
      <c r="G48" s="711">
        <v>-9.6122797247494285E-5</v>
      </c>
      <c r="H48" s="710">
        <v>0.314</v>
      </c>
      <c r="I48" s="708">
        <v>0.52</v>
      </c>
      <c r="J48" s="570">
        <v>3.15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3.15</v>
      </c>
      <c r="N48" s="632">
        <f t="shared" si="240"/>
        <v>4.4708550793720461</v>
      </c>
      <c r="O48" s="629">
        <f t="shared" si="241"/>
        <v>-3.6423185395141568</v>
      </c>
      <c r="P48" s="633">
        <f t="shared" si="242"/>
        <v>-3.1230094189964079</v>
      </c>
      <c r="Q48" s="585">
        <f t="shared" si="113"/>
        <v>320.83096667213192</v>
      </c>
      <c r="R48" s="629">
        <f t="shared" si="79"/>
        <v>5.7667173924196566</v>
      </c>
      <c r="S48" s="634">
        <f t="shared" si="80"/>
        <v>-3.1230094189964079</v>
      </c>
      <c r="T48" s="635">
        <f t="shared" si="81"/>
        <v>-3.6423185395141582</v>
      </c>
      <c r="U48" s="629">
        <f t="shared" si="82"/>
        <v>-4.4708550793720443</v>
      </c>
      <c r="V48" s="636">
        <f t="shared" si="114"/>
        <v>-3.1230094189964079</v>
      </c>
      <c r="W48" s="585">
        <f t="shared" si="224"/>
        <v>230.83096667213192</v>
      </c>
      <c r="X48" s="629">
        <f t="shared" si="83"/>
        <v>5.7667173924196566</v>
      </c>
      <c r="Y48" s="630">
        <f t="shared" si="223"/>
        <v>-3.1230094189964079</v>
      </c>
      <c r="Z48" s="632">
        <f t="shared" si="243"/>
        <v>-0.84744088553389929</v>
      </c>
      <c r="AA48" s="629">
        <f t="shared" si="244"/>
        <v>-0.53088975907049529</v>
      </c>
      <c r="AB48" s="629">
        <f t="shared" si="245"/>
        <v>9.6122797247494285E-5</v>
      </c>
      <c r="AC48" s="636">
        <f t="shared" si="84"/>
        <v>1</v>
      </c>
      <c r="AD48" s="637">
        <f t="shared" si="115"/>
        <v>-0.84744088553389929</v>
      </c>
      <c r="AE48" s="629">
        <f t="shared" si="85"/>
        <v>-0.53088975907049529</v>
      </c>
      <c r="AF48" s="633">
        <f t="shared" si="86"/>
        <v>9.6122797247494285E-5</v>
      </c>
      <c r="AG48" s="602">
        <f t="shared" si="87"/>
        <v>-90.010373962659841</v>
      </c>
      <c r="AH48" s="603">
        <f t="shared" si="88"/>
        <v>147.93440741717509</v>
      </c>
      <c r="AI48" s="585">
        <f t="shared" si="89"/>
        <v>-90.005507430605746</v>
      </c>
      <c r="AJ48" s="586">
        <f t="shared" si="90"/>
        <v>-57.934407839698224</v>
      </c>
      <c r="AK48" s="635">
        <f t="shared" si="211"/>
        <v>0.94684383729758337</v>
      </c>
      <c r="AL48" s="629">
        <f t="shared" si="91"/>
        <v>-0.32169354754485713</v>
      </c>
      <c r="AM48" s="634">
        <f t="shared" si="92"/>
        <v>9.6122797247494285E-5</v>
      </c>
      <c r="AN48" s="581">
        <f t="shared" si="93"/>
        <v>-90.017120114703573</v>
      </c>
      <c r="AO48" s="582">
        <f t="shared" si="94"/>
        <v>18.765375290909013</v>
      </c>
      <c r="AP48" s="585">
        <f t="shared" si="95"/>
        <v>-18.765374511830121</v>
      </c>
      <c r="AQ48" s="586">
        <f t="shared" si="246"/>
        <v>0.39531856713774682</v>
      </c>
      <c r="AS48" s="52">
        <f t="shared" si="406"/>
        <v>-129.16903332786808</v>
      </c>
      <c r="AT48" s="72">
        <f t="shared" si="247"/>
        <v>-3.0333087014076106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3.15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4.5175438661171459</v>
      </c>
      <c r="C49" s="708">
        <v>-3.7025772669462746</v>
      </c>
      <c r="D49" s="709">
        <v>-3.8821117084489121</v>
      </c>
      <c r="E49" s="710">
        <v>0.91449079222673713</v>
      </c>
      <c r="F49" s="708">
        <v>0.40388773396380656</v>
      </c>
      <c r="G49" s="711">
        <v>2.4109941644398367E-2</v>
      </c>
      <c r="H49" s="710">
        <v>0.314</v>
      </c>
      <c r="I49" s="708">
        <v>0.52</v>
      </c>
      <c r="J49" s="570">
        <v>3.1560000000000001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3.1560000000000001</v>
      </c>
      <c r="N49" s="632">
        <f t="shared" si="240"/>
        <v>4.5175438661171459</v>
      </c>
      <c r="O49" s="629">
        <f t="shared" si="241"/>
        <v>-3.7025772669462746</v>
      </c>
      <c r="P49" s="633">
        <f t="shared" si="242"/>
        <v>-3.8821117084489121</v>
      </c>
      <c r="Q49" s="585">
        <f t="shared" si="113"/>
        <v>320.66196669653249</v>
      </c>
      <c r="R49" s="629">
        <f t="shared" si="79"/>
        <v>5.8409999999999993</v>
      </c>
      <c r="S49" s="634">
        <f t="shared" si="80"/>
        <v>-3.8821117084489121</v>
      </c>
      <c r="T49" s="635">
        <f t="shared" si="81"/>
        <v>-3.7025772669462742</v>
      </c>
      <c r="U49" s="629">
        <f t="shared" si="82"/>
        <v>-4.5175438661171459</v>
      </c>
      <c r="V49" s="636">
        <f t="shared" si="114"/>
        <v>-3.8821117084489121</v>
      </c>
      <c r="W49" s="585">
        <f t="shared" si="224"/>
        <v>230.66196669653249</v>
      </c>
      <c r="X49" s="629">
        <f t="shared" si="83"/>
        <v>5.8409999999999993</v>
      </c>
      <c r="Y49" s="630">
        <f t="shared" si="223"/>
        <v>-3.8821117084489121</v>
      </c>
      <c r="Z49" s="632">
        <f t="shared" si="243"/>
        <v>-0.91449079222673713</v>
      </c>
      <c r="AA49" s="629">
        <f t="shared" si="244"/>
        <v>-0.40388773396380656</v>
      </c>
      <c r="AB49" s="629">
        <f t="shared" si="245"/>
        <v>-2.4109941644398367E-2</v>
      </c>
      <c r="AC49" s="636">
        <f t="shared" si="84"/>
        <v>1</v>
      </c>
      <c r="AD49" s="637">
        <f t="shared" si="115"/>
        <v>-0.91449079222673713</v>
      </c>
      <c r="AE49" s="629">
        <f t="shared" si="85"/>
        <v>-0.40388773396380656</v>
      </c>
      <c r="AF49" s="633">
        <f t="shared" si="86"/>
        <v>-2.4109941644398367E-2</v>
      </c>
      <c r="AG49" s="602">
        <f t="shared" si="87"/>
        <v>-86.583801796421653</v>
      </c>
      <c r="AH49" s="603">
        <f t="shared" si="88"/>
        <v>156.13351599440068</v>
      </c>
      <c r="AI49" s="585">
        <f t="shared" si="89"/>
        <v>-88.618468232482797</v>
      </c>
      <c r="AJ49" s="586">
        <f t="shared" si="90"/>
        <v>-66.171198826973111</v>
      </c>
      <c r="AK49" s="635">
        <f t="shared" si="211"/>
        <v>0.89206529246679578</v>
      </c>
      <c r="AL49" s="629">
        <f t="shared" si="91"/>
        <v>-0.45126292190920581</v>
      </c>
      <c r="AM49" s="634">
        <f t="shared" si="92"/>
        <v>-2.4109941644398367E-2</v>
      </c>
      <c r="AN49" s="581">
        <f t="shared" si="93"/>
        <v>-86.941725829748947</v>
      </c>
      <c r="AO49" s="582">
        <f t="shared" si="94"/>
        <v>26.86607103441937</v>
      </c>
      <c r="AP49" s="585">
        <f t="shared" si="95"/>
        <v>-26.83316552350561</v>
      </c>
      <c r="AQ49" s="586">
        <f t="shared" si="246"/>
        <v>0.3902912807564099</v>
      </c>
      <c r="AS49" s="52">
        <f t="shared" si="406"/>
        <v>-129.33803330346751</v>
      </c>
      <c r="AT49" s="72">
        <f t="shared" si="247"/>
        <v>-3.7922936297659486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3.1560000000000001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4.5555289498957636</v>
      </c>
      <c r="C50" s="708">
        <v>-3.7492873971811758</v>
      </c>
      <c r="D50" s="709">
        <v>-4.6730140938105071</v>
      </c>
      <c r="E50" s="710">
        <v>0.96342042318697441</v>
      </c>
      <c r="F50" s="708">
        <v>0.26799456745656464</v>
      </c>
      <c r="G50" s="711">
        <v>0</v>
      </c>
      <c r="H50" s="710">
        <v>0.314</v>
      </c>
      <c r="I50" s="708">
        <v>0.52</v>
      </c>
      <c r="J50" s="570">
        <v>3.1619999999999999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3.1619999999999999</v>
      </c>
      <c r="N50" s="632">
        <f t="shared" si="240"/>
        <v>4.5555289498957636</v>
      </c>
      <c r="O50" s="629">
        <f t="shared" si="241"/>
        <v>-3.7492873971811758</v>
      </c>
      <c r="P50" s="633">
        <f t="shared" si="242"/>
        <v>-4.6730140938105071</v>
      </c>
      <c r="Q50" s="585">
        <f t="shared" si="113"/>
        <v>320.5449667134252</v>
      </c>
      <c r="R50" s="629">
        <f t="shared" si="79"/>
        <v>5.8999999999999995</v>
      </c>
      <c r="S50" s="634">
        <f t="shared" si="80"/>
        <v>-4.6730140938105071</v>
      </c>
      <c r="T50" s="635">
        <f t="shared" si="81"/>
        <v>-3.7492873971811784</v>
      </c>
      <c r="U50" s="629">
        <f t="shared" si="82"/>
        <v>-4.5555289498957618</v>
      </c>
      <c r="V50" s="636">
        <f t="shared" si="114"/>
        <v>-4.6730140938105071</v>
      </c>
      <c r="W50" s="585">
        <f t="shared" si="224"/>
        <v>230.5449667134252</v>
      </c>
      <c r="X50" s="629">
        <f t="shared" si="83"/>
        <v>5.8999999999999995</v>
      </c>
      <c r="Y50" s="630">
        <f t="shared" si="223"/>
        <v>-4.6730140938105071</v>
      </c>
      <c r="Z50" s="632">
        <f t="shared" si="243"/>
        <v>-0.96342042318697441</v>
      </c>
      <c r="AA50" s="629">
        <f t="shared" si="244"/>
        <v>-0.26799456745656464</v>
      </c>
      <c r="AB50" s="629">
        <f t="shared" si="245"/>
        <v>0</v>
      </c>
      <c r="AC50" s="636">
        <f t="shared" si="84"/>
        <v>1</v>
      </c>
      <c r="AD50" s="637">
        <f t="shared" si="115"/>
        <v>-0.96342042318697441</v>
      </c>
      <c r="AE50" s="629">
        <f t="shared" si="85"/>
        <v>-0.26799456745656464</v>
      </c>
      <c r="AF50" s="633">
        <f t="shared" si="86"/>
        <v>0</v>
      </c>
      <c r="AG50" s="602">
        <f t="shared" si="87"/>
        <v>-90</v>
      </c>
      <c r="AH50" s="603">
        <f t="shared" si="88"/>
        <v>164.45503328657483</v>
      </c>
      <c r="AI50" s="585">
        <f t="shared" si="89"/>
        <v>-90</v>
      </c>
      <c r="AJ50" s="586">
        <f t="shared" si="90"/>
        <v>-74.455033286574789</v>
      </c>
      <c r="AK50" s="635">
        <f t="shared" si="211"/>
        <v>0.81915204428899213</v>
      </c>
      <c r="AL50" s="629">
        <f t="shared" si="91"/>
        <v>-0.5735764363510456</v>
      </c>
      <c r="AM50" s="634">
        <f t="shared" si="92"/>
        <v>0</v>
      </c>
      <c r="AN50" s="581">
        <f t="shared" si="93"/>
        <v>-90</v>
      </c>
      <c r="AO50" s="582">
        <f t="shared" si="94"/>
        <v>34.999999999999957</v>
      </c>
      <c r="AP50" s="585">
        <f t="shared" si="95"/>
        <v>-34.999999999999964</v>
      </c>
      <c r="AQ50" s="586">
        <f t="shared" si="246"/>
        <v>0.38638848687695354</v>
      </c>
      <c r="AS50" s="52">
        <f t="shared" si="406"/>
        <v>-129.4550332865748</v>
      </c>
      <c r="AT50" s="72">
        <f t="shared" si="247"/>
        <v>-4.5831147651392747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3.1619999999999999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2.7844088017443371</v>
      </c>
      <c r="C51" s="708">
        <v>-3.3045347175394437</v>
      </c>
      <c r="D51" s="709">
        <v>-0.5017015131317637</v>
      </c>
      <c r="E51" s="710">
        <v>0.87943176303591586</v>
      </c>
      <c r="F51" s="708">
        <v>0.45316226627701756</v>
      </c>
      <c r="G51" s="711">
        <v>0.14575230559486282</v>
      </c>
      <c r="H51" s="710">
        <v>0.314</v>
      </c>
      <c r="I51" s="708">
        <v>0.52</v>
      </c>
      <c r="J51" s="570">
        <v>3.226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3.226</v>
      </c>
      <c r="N51" s="632">
        <f t="shared" si="240"/>
        <v>2.7844088017443371</v>
      </c>
      <c r="O51" s="629">
        <f t="shared" si="241"/>
        <v>-3.3045347175394437</v>
      </c>
      <c r="P51" s="633">
        <f t="shared" si="242"/>
        <v>-0.5017015131317637</v>
      </c>
      <c r="Q51" s="585">
        <f t="shared" si="113"/>
        <v>310.11756821895528</v>
      </c>
      <c r="R51" s="629">
        <f t="shared" si="79"/>
        <v>4.3212130327785072</v>
      </c>
      <c r="S51" s="634">
        <f t="shared" si="80"/>
        <v>-0.5017015131317637</v>
      </c>
      <c r="T51" s="635">
        <f t="shared" si="81"/>
        <v>-3.3045347175394433</v>
      </c>
      <c r="U51" s="629">
        <f t="shared" si="82"/>
        <v>-2.7844088017443371</v>
      </c>
      <c r="V51" s="636">
        <f t="shared" si="114"/>
        <v>-0.5017015131317637</v>
      </c>
      <c r="W51" s="585">
        <f t="shared" si="224"/>
        <v>220.11756821895528</v>
      </c>
      <c r="X51" s="629">
        <f t="shared" si="83"/>
        <v>4.3212130327785072</v>
      </c>
      <c r="Y51" s="630">
        <f t="shared" si="223"/>
        <v>-0.5017015131317637</v>
      </c>
      <c r="Z51" s="632">
        <f t="shared" si="243"/>
        <v>-0.87943176303591586</v>
      </c>
      <c r="AA51" s="629">
        <f t="shared" si="244"/>
        <v>-0.45316226627701756</v>
      </c>
      <c r="AB51" s="629">
        <f t="shared" si="245"/>
        <v>-0.14575230559486282</v>
      </c>
      <c r="AC51" s="636">
        <f t="shared" si="84"/>
        <v>1</v>
      </c>
      <c r="AD51" s="637">
        <f t="shared" si="115"/>
        <v>-0.87943176303591586</v>
      </c>
      <c r="AE51" s="629">
        <f t="shared" si="85"/>
        <v>-0.45316226627701756</v>
      </c>
      <c r="AF51" s="633">
        <f t="shared" si="86"/>
        <v>-0.14575230559486282</v>
      </c>
      <c r="AG51" s="602">
        <f t="shared" si="87"/>
        <v>-72.170453654322557</v>
      </c>
      <c r="AH51" s="603">
        <f t="shared" si="88"/>
        <v>151.57389313565213</v>
      </c>
      <c r="AI51" s="585">
        <f t="shared" si="89"/>
        <v>-81.619154041055751</v>
      </c>
      <c r="AJ51" s="586">
        <f t="shared" si="90"/>
        <v>-62.738407991496018</v>
      </c>
      <c r="AK51" s="635">
        <f t="shared" si="211"/>
        <v>0.964521249909152</v>
      </c>
      <c r="AL51" s="629">
        <f t="shared" si="91"/>
        <v>-0.22012501876767399</v>
      </c>
      <c r="AM51" s="634">
        <f t="shared" si="92"/>
        <v>-0.14575230559486282</v>
      </c>
      <c r="AN51" s="581">
        <f t="shared" si="93"/>
        <v>-56.490094554629003</v>
      </c>
      <c r="AO51" s="582">
        <f t="shared" si="94"/>
        <v>15.30785145093556</v>
      </c>
      <c r="AP51" s="585">
        <f t="shared" si="95"/>
        <v>-12.855976210451304</v>
      </c>
      <c r="AQ51" s="586">
        <f t="shared" si="246"/>
        <v>0.52755145153951111</v>
      </c>
      <c r="AS51" s="52">
        <f t="shared" si="406"/>
        <v>-139.88243178104472</v>
      </c>
      <c r="AT51" s="72">
        <f t="shared" si="247"/>
        <v>-0.40456093550603822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>Nose</v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3.226</v>
      </c>
      <c r="IH51" s="731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3.1259999999999999</v>
      </c>
      <c r="II51" s="734" cm="1">
        <f t="array" ref="II51">IFERROR(ROUND(VALUE(IF($IH51&lt;1,$IH51+LARGE((IF($M$9:$M$150="",0,$M$9:$M$150)-MOD(IF($M$9:$M$150="",0,$M$9:$M$150),1)),1),$IH51)),4),"")</f>
        <v>3.1259999999999999</v>
      </c>
      <c r="IJ51" s="533">
        <f t="shared" si="112"/>
        <v>1613</v>
      </c>
      <c r="IK51" s="533">
        <f t="shared" si="382"/>
        <v>1613</v>
      </c>
      <c r="IL51" s="727">
        <f t="shared" si="225"/>
        <v>13.048398116044382</v>
      </c>
      <c r="IM51" s="759">
        <v>1.1268676132556201E-9</v>
      </c>
      <c r="IN51" s="5">
        <f t="shared" si="226"/>
        <v>0</v>
      </c>
      <c r="IO51" s="771">
        <v>0</v>
      </c>
      <c r="IP51" s="9">
        <f t="shared" si="227"/>
        <v>-4.3212130327785072</v>
      </c>
      <c r="IQ51" s="5">
        <f t="shared" si="228"/>
        <v>-0.5017015131317637</v>
      </c>
      <c r="IR51" s="5">
        <f t="shared" si="383"/>
        <v>0.314</v>
      </c>
      <c r="IS51" s="5">
        <f t="shared" si="229"/>
        <v>0.30285966979676759</v>
      </c>
      <c r="IT51" s="727">
        <f t="shared" si="230"/>
        <v>56.490094939074901</v>
      </c>
      <c r="IU51" s="9">
        <f t="shared" si="231"/>
        <v>-4.3212130327785072</v>
      </c>
      <c r="IV51" s="5">
        <f t="shared" si="232"/>
        <v>-0.5017015131317637</v>
      </c>
      <c r="IW51" s="5">
        <f t="shared" si="384"/>
        <v>0.314</v>
      </c>
      <c r="IX51" s="5">
        <f t="shared" si="233"/>
        <v>0.30285967247147372</v>
      </c>
      <c r="IY51" s="762">
        <f t="shared" si="234"/>
        <v>56.490094554629003</v>
      </c>
    </row>
    <row r="52" spans="1:259" ht="15" customHeight="1" x14ac:dyDescent="0.25">
      <c r="A52" s="79"/>
      <c r="B52" s="707">
        <v>3.1820307653370854</v>
      </c>
      <c r="C52" s="708">
        <v>-3.686695440287453</v>
      </c>
      <c r="D52" s="709">
        <v>-1.0322031131245892</v>
      </c>
      <c r="E52" s="710">
        <v>0.89740834057423979</v>
      </c>
      <c r="F52" s="708">
        <v>0.42527592658875146</v>
      </c>
      <c r="G52" s="711">
        <v>0.11746768292542518</v>
      </c>
      <c r="H52" s="710">
        <v>0.314</v>
      </c>
      <c r="I52" s="708">
        <v>0.52</v>
      </c>
      <c r="J52" s="570">
        <v>3.2320000000000002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3.2320000000000002</v>
      </c>
      <c r="N52" s="632">
        <f t="shared" si="240"/>
        <v>3.1820307653370854</v>
      </c>
      <c r="O52" s="629">
        <f t="shared" si="241"/>
        <v>-3.686695440287453</v>
      </c>
      <c r="P52" s="633">
        <f t="shared" si="242"/>
        <v>-1.0322031131245892</v>
      </c>
      <c r="Q52" s="585">
        <f t="shared" si="113"/>
        <v>310.79786812073212</v>
      </c>
      <c r="R52" s="629">
        <f t="shared" si="79"/>
        <v>4.8700146879643</v>
      </c>
      <c r="S52" s="634">
        <f t="shared" si="80"/>
        <v>-1.0322031131245892</v>
      </c>
      <c r="T52" s="635">
        <f t="shared" si="81"/>
        <v>-3.6866954402874539</v>
      </c>
      <c r="U52" s="629">
        <f t="shared" si="82"/>
        <v>-3.182030765337085</v>
      </c>
      <c r="V52" s="636">
        <f t="shared" si="114"/>
        <v>-1.0322031131245892</v>
      </c>
      <c r="W52" s="585">
        <f t="shared" si="224"/>
        <v>220.79786812073212</v>
      </c>
      <c r="X52" s="629">
        <f t="shared" si="83"/>
        <v>4.8700146879643</v>
      </c>
      <c r="Y52" s="630">
        <f t="shared" si="223"/>
        <v>-1.0322031131245892</v>
      </c>
      <c r="Z52" s="632">
        <f t="shared" si="243"/>
        <v>-0.89740834057423979</v>
      </c>
      <c r="AA52" s="629">
        <f t="shared" si="244"/>
        <v>-0.42527592658875146</v>
      </c>
      <c r="AB52" s="629">
        <f t="shared" si="245"/>
        <v>-0.11746768292542518</v>
      </c>
      <c r="AC52" s="636">
        <f t="shared" si="84"/>
        <v>1</v>
      </c>
      <c r="AD52" s="637">
        <f t="shared" si="115"/>
        <v>-0.89740834057423979</v>
      </c>
      <c r="AE52" s="629">
        <f t="shared" si="85"/>
        <v>-0.42527592658875146</v>
      </c>
      <c r="AF52" s="633">
        <f t="shared" si="86"/>
        <v>-0.11746768292542518</v>
      </c>
      <c r="AG52" s="602">
        <f t="shared" si="87"/>
        <v>-74.559037324844326</v>
      </c>
      <c r="AH52" s="603">
        <f t="shared" si="88"/>
        <v>153.81946897790579</v>
      </c>
      <c r="AI52" s="585">
        <f t="shared" si="89"/>
        <v>-83.254022212022932</v>
      </c>
      <c r="AJ52" s="586">
        <f t="shared" si="90"/>
        <v>-64.644033722921122</v>
      </c>
      <c r="AK52" s="635">
        <f t="shared" si="211"/>
        <v>0.95722756872880221</v>
      </c>
      <c r="AL52" s="629">
        <f t="shared" si="91"/>
        <v>-0.26441770956892841</v>
      </c>
      <c r="AM52" s="634">
        <f t="shared" si="92"/>
        <v>-0.11746768292542518</v>
      </c>
      <c r="AN52" s="581">
        <f t="shared" si="93"/>
        <v>-66.04679398449602</v>
      </c>
      <c r="AO52" s="582">
        <f t="shared" si="94"/>
        <v>16.818213778394583</v>
      </c>
      <c r="AP52" s="585">
        <f t="shared" si="95"/>
        <v>-15.441901843653234</v>
      </c>
      <c r="AQ52" s="586">
        <f t="shared" si="246"/>
        <v>0.46810452434802369</v>
      </c>
      <c r="AS52" s="52">
        <f t="shared" si="406"/>
        <v>-139.20213187926788</v>
      </c>
      <c r="AT52" s="72">
        <f t="shared" si="247"/>
        <v>-0.93553496598620878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Taper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3.2320000000000002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3.1320000000000001</v>
      </c>
      <c r="II52" s="734" cm="1">
        <f t="array" ref="II52">IFERROR(ROUND(VALUE(IF($IH52&lt;1,$IH52+LARGE((IF($M$9:$M$150="",0,$M$9:$M$150)-MOD(IF($M$9:$M$150="",0,$M$9:$M$150),1)),1),$IH52)),4),"")</f>
        <v>3.1320000000000001</v>
      </c>
      <c r="IJ52" s="533">
        <f t="shared" si="112"/>
        <v>1613</v>
      </c>
      <c r="IK52" s="533">
        <f t="shared" si="382"/>
        <v>1613</v>
      </c>
      <c r="IL52" s="727">
        <f t="shared" si="225"/>
        <v>11.531098335115416</v>
      </c>
      <c r="IM52" s="759">
        <v>1.7683070395687001E-9</v>
      </c>
      <c r="IN52" s="5">
        <f t="shared" si="226"/>
        <v>0</v>
      </c>
      <c r="IO52" s="771">
        <v>0</v>
      </c>
      <c r="IP52" s="9">
        <f t="shared" si="227"/>
        <v>-4.8700146879643</v>
      </c>
      <c r="IQ52" s="5">
        <f t="shared" si="228"/>
        <v>-1.0322031131245892</v>
      </c>
      <c r="IR52" s="5">
        <f t="shared" si="383"/>
        <v>0.314</v>
      </c>
      <c r="IS52" s="5">
        <f t="shared" si="229"/>
        <v>0.30056945351797237</v>
      </c>
      <c r="IT52" s="727">
        <f t="shared" si="230"/>
        <v>66.046794529759026</v>
      </c>
      <c r="IU52" s="9">
        <f t="shared" si="231"/>
        <v>-4.8700146879643</v>
      </c>
      <c r="IV52" s="5">
        <f t="shared" si="232"/>
        <v>-1.0322031131245892</v>
      </c>
      <c r="IW52" s="5">
        <f t="shared" si="384"/>
        <v>0.314</v>
      </c>
      <c r="IX52" s="5">
        <f t="shared" si="233"/>
        <v>0.30056945658084389</v>
      </c>
      <c r="IY52" s="762">
        <f t="shared" si="234"/>
        <v>66.04679398449602</v>
      </c>
    </row>
    <row r="53" spans="1:259" ht="15" customHeight="1" x14ac:dyDescent="0.25">
      <c r="A53" s="79"/>
      <c r="B53" s="707">
        <v>3.4698555011811272</v>
      </c>
      <c r="C53" s="708">
        <v>-3.9828337149233879</v>
      </c>
      <c r="D53" s="709">
        <v>-1.6758050542280436</v>
      </c>
      <c r="E53" s="710">
        <v>0.90911301215115825</v>
      </c>
      <c r="F53" s="708">
        <v>0.40988596106827857</v>
      </c>
      <c r="G53" s="711">
        <v>7.4209366366932109E-2</v>
      </c>
      <c r="H53" s="710">
        <v>0.314</v>
      </c>
      <c r="I53" s="708">
        <v>0.52</v>
      </c>
      <c r="J53" s="570">
        <v>3.238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39"/>
        <v>3.238</v>
      </c>
      <c r="N53" s="632">
        <f t="shared" si="240"/>
        <v>3.4698555011811272</v>
      </c>
      <c r="O53" s="629">
        <f t="shared" si="241"/>
        <v>-3.9828337149233879</v>
      </c>
      <c r="P53" s="633">
        <f t="shared" si="242"/>
        <v>-1.6758050542280436</v>
      </c>
      <c r="Q53" s="585">
        <f t="shared" si="113"/>
        <v>311.0624680825286</v>
      </c>
      <c r="R53" s="629">
        <f t="shared" ref="R53:R58" si="410">IF(M53="","",SQRT(N53^2+O53^2))</f>
        <v>5.2823159314648498</v>
      </c>
      <c r="S53" s="634">
        <f t="shared" ref="S53:S58" si="411">IF(M53="","",P53)</f>
        <v>-1.6758050542280436</v>
      </c>
      <c r="T53" s="635">
        <f t="shared" ref="T53:T58" si="412">IF(M53="","",X53*COS(RADIANS(W53)))</f>
        <v>-3.9828337149233888</v>
      </c>
      <c r="U53" s="629">
        <f t="shared" ref="U53:U58" si="413">IF(M53="","",X53*SIN(RADIANS(W53)))</f>
        <v>-3.4698555011811254</v>
      </c>
      <c r="V53" s="636">
        <f t="shared" ref="V53:V58" si="414">IF(M53="","",Y53)</f>
        <v>-1.6758050542280436</v>
      </c>
      <c r="W53" s="585">
        <f t="shared" si="224"/>
        <v>221.0624680825286</v>
      </c>
      <c r="X53" s="629">
        <f t="shared" ref="X53:X58" si="415">IF(M53="","",R53)</f>
        <v>5.2823159314648498</v>
      </c>
      <c r="Y53" s="630">
        <f t="shared" si="223"/>
        <v>-1.6758050542280436</v>
      </c>
      <c r="Z53" s="632">
        <f t="shared" si="243"/>
        <v>-0.90911301215115825</v>
      </c>
      <c r="AA53" s="629">
        <f t="shared" si="244"/>
        <v>-0.40988596106827857</v>
      </c>
      <c r="AB53" s="629">
        <f t="shared" si="245"/>
        <v>-7.4209366366932109E-2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-0.90911301215115825</v>
      </c>
      <c r="AE53" s="629">
        <f t="shared" ref="AE53:AE58" si="418">IF(M53="","",AA53*(1/SQRT(Z53^2+AA53^2+AB53^2)))</f>
        <v>-0.40988596106827857</v>
      </c>
      <c r="AF53" s="633">
        <f t="shared" ref="AF53:AF58" si="419">IF(M53="","",AB53*(1/SQRT(Z53^2+AA53^2+AB53^2)))</f>
        <v>-7.4209366366932109E-2</v>
      </c>
      <c r="AG53" s="602">
        <f t="shared" ref="AG53:AG58" si="420">IF(M53="","",DEGREES(ATAN2(-AF53,AE53)))</f>
        <v>-79.737830324918505</v>
      </c>
      <c r="AH53" s="603">
        <f t="shared" ref="AH53:AH58" si="421">IF(M53="","",DEGREES(ACOS(AD53)))</f>
        <v>155.38306273880366</v>
      </c>
      <c r="AI53" s="585">
        <f t="shared" ref="AI53:AI58" si="422">IF(M53="","",DEGREES(-ACOS(-AF53)))</f>
        <v>-85.744204262178002</v>
      </c>
      <c r="AJ53" s="586">
        <f t="shared" ref="AJ53:AJ58" si="423">IF(M53="","",DEGREES(ATAN2(-AE53,AD53)))</f>
        <v>-65.731120075869441</v>
      </c>
      <c r="AK53" s="635">
        <f t="shared" ref="AK53:AK58" si="424">IF(M53="","",(COS(RADIANS((90-$Q$8)-W53))*AD53)+(-SIN(RADIANS((90-$Q$8)-W53))*AE53))</f>
        <v>0.95471211449148563</v>
      </c>
      <c r="AL53" s="629">
        <f t="shared" ref="AL53:AL58" si="425">IF(M53="","",(SIN(RADIANS((90-$Q$8)-W53))*AD53)+(COS(RADIANS((90-$Q$8)-W53))*AE53))</f>
        <v>-0.28812800694589652</v>
      </c>
      <c r="AM53" s="634">
        <f t="shared" ref="AM53:AM58" si="426">IF(M53="","",AF53)</f>
        <v>-7.4209366366932109E-2</v>
      </c>
      <c r="AN53" s="581">
        <f t="shared" ref="AN53:AN58" si="427">IF(M53="","",DEGREES(ATAN2(-AM53,AL53)))</f>
        <v>-75.556975633683422</v>
      </c>
      <c r="AO53" s="582">
        <f t="shared" si="94"/>
        <v>17.309377769287881</v>
      </c>
      <c r="AP53" s="585">
        <f t="shared" ref="AP53:AP58" si="428">IF(M53="","",DEGREES(ATAN2(AK53,AL53)))</f>
        <v>-16.793588158398038</v>
      </c>
      <c r="AQ53" s="586">
        <f t="shared" si="246"/>
        <v>0.43156894580615718</v>
      </c>
      <c r="AS53" s="52">
        <f t="shared" si="406"/>
        <v>-138.9375319174714</v>
      </c>
      <c r="AT53" s="72">
        <f t="shared" si="247"/>
        <v>-1.5793206570631328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Taper</v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3.238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3.1379999999999999</v>
      </c>
      <c r="II53" s="734" cm="1">
        <f t="array" ref="II53">IFERROR(ROUND(VALUE(IF($IH53&lt;1,$IH53+LARGE((IF($M$9:$M$150="",0,$M$9:$M$150)-MOD(IF($M$9:$M$150="",0,$M$9:$M$150),1)),1),$IH53)),4),"")</f>
        <v>3.1379999999999999</v>
      </c>
      <c r="IJ53" s="533">
        <f t="shared" si="112"/>
        <v>1613</v>
      </c>
      <c r="IK53" s="533">
        <f t="shared" si="382"/>
        <v>1613</v>
      </c>
      <c r="IL53" s="727">
        <f t="shared" si="225"/>
        <v>10.594498470343694</v>
      </c>
      <c r="IM53" s="759">
        <v>2.7386587783252298E-9</v>
      </c>
      <c r="IN53" s="5">
        <f t="shared" si="226"/>
        <v>0</v>
      </c>
      <c r="IO53" s="771">
        <v>0</v>
      </c>
      <c r="IP53" s="9">
        <f t="shared" si="227"/>
        <v>-5.2823159314648498</v>
      </c>
      <c r="IQ53" s="5">
        <f t="shared" si="228"/>
        <v>-1.6758050542280436</v>
      </c>
      <c r="IR53" s="5">
        <f t="shared" si="383"/>
        <v>0.314</v>
      </c>
      <c r="IS53" s="5">
        <f t="shared" si="229"/>
        <v>0.29977960089006145</v>
      </c>
      <c r="IT53" s="727">
        <f t="shared" si="230"/>
        <v>75.556976378242055</v>
      </c>
      <c r="IU53" s="9">
        <f t="shared" si="231"/>
        <v>-5.2823159314648498</v>
      </c>
      <c r="IV53" s="5">
        <f t="shared" si="232"/>
        <v>-1.6758050542280436</v>
      </c>
      <c r="IW53" s="5">
        <f t="shared" si="384"/>
        <v>0.314</v>
      </c>
      <c r="IX53" s="5">
        <f t="shared" si="233"/>
        <v>0.29977960395032649</v>
      </c>
      <c r="IY53" s="762">
        <f t="shared" si="234"/>
        <v>75.556975633683422</v>
      </c>
    </row>
    <row r="54" spans="1:259" ht="15" customHeight="1" x14ac:dyDescent="0.25">
      <c r="A54" s="79"/>
      <c r="B54" s="707">
        <v>3.6658259038774874</v>
      </c>
      <c r="C54" s="708">
        <v>-4.2018941493517161</v>
      </c>
      <c r="D54" s="709">
        <v>-2.3820071841336676</v>
      </c>
      <c r="E54" s="710">
        <v>0.9215474257133689</v>
      </c>
      <c r="F54" s="708">
        <v>0.38597711375734045</v>
      </c>
      <c r="G54" s="711">
        <v>4.2095246959912354E-2</v>
      </c>
      <c r="H54" s="710">
        <v>0.314</v>
      </c>
      <c r="I54" s="708">
        <v>0.52</v>
      </c>
      <c r="J54" s="570">
        <v>3.2440000000000002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1613</v>
      </c>
      <c r="L54" s="320"/>
      <c r="M54" s="168">
        <f t="shared" si="239"/>
        <v>3.2440000000000002</v>
      </c>
      <c r="N54" s="632">
        <f t="shared" si="240"/>
        <v>3.6658259038774874</v>
      </c>
      <c r="O54" s="629">
        <f t="shared" si="241"/>
        <v>-4.2018941493517161</v>
      </c>
      <c r="P54" s="633">
        <f t="shared" si="242"/>
        <v>-2.3820071841336676</v>
      </c>
      <c r="Q54" s="585">
        <f t="shared" si="113"/>
        <v>311.10216807679666</v>
      </c>
      <c r="R54" s="629">
        <f t="shared" si="410"/>
        <v>5.5762168178699243</v>
      </c>
      <c r="S54" s="634">
        <f t="shared" si="411"/>
        <v>-2.3820071841336676</v>
      </c>
      <c r="T54" s="635">
        <f t="shared" si="412"/>
        <v>-4.2018941493517152</v>
      </c>
      <c r="U54" s="629">
        <f t="shared" si="413"/>
        <v>-3.6658259038774887</v>
      </c>
      <c r="V54" s="636">
        <f t="shared" si="414"/>
        <v>-2.3820071841336676</v>
      </c>
      <c r="W54" s="585">
        <f t="shared" si="224"/>
        <v>221.10216807679666</v>
      </c>
      <c r="X54" s="629">
        <f t="shared" si="415"/>
        <v>5.5762168178699243</v>
      </c>
      <c r="Y54" s="630">
        <f t="shared" si="223"/>
        <v>-2.3820071841336676</v>
      </c>
      <c r="Z54" s="632">
        <f t="shared" si="243"/>
        <v>-0.9215474257133689</v>
      </c>
      <c r="AA54" s="629">
        <f t="shared" si="244"/>
        <v>-0.38597711375734045</v>
      </c>
      <c r="AB54" s="629">
        <f t="shared" si="245"/>
        <v>-4.2095246959912354E-2</v>
      </c>
      <c r="AC54" s="636">
        <f t="shared" si="416"/>
        <v>1</v>
      </c>
      <c r="AD54" s="637">
        <f t="shared" si="417"/>
        <v>-0.9215474257133689</v>
      </c>
      <c r="AE54" s="629">
        <f t="shared" si="418"/>
        <v>-0.38597711375734045</v>
      </c>
      <c r="AF54" s="633">
        <f t="shared" si="419"/>
        <v>-4.2095246959912354E-2</v>
      </c>
      <c r="AG54" s="602">
        <f t="shared" si="420"/>
        <v>-83.77583555831076</v>
      </c>
      <c r="AH54" s="603">
        <f t="shared" si="421"/>
        <v>157.15336377200165</v>
      </c>
      <c r="AI54" s="585">
        <f t="shared" si="422"/>
        <v>-87.587407130532497</v>
      </c>
      <c r="AJ54" s="586">
        <f t="shared" si="423"/>
        <v>-67.274316216535823</v>
      </c>
      <c r="AK54" s="635">
        <f t="shared" si="424"/>
        <v>0.94816428612084125</v>
      </c>
      <c r="AL54" s="629">
        <f t="shared" si="425"/>
        <v>-0.3149801211320159</v>
      </c>
      <c r="AM54" s="634">
        <f t="shared" si="426"/>
        <v>-4.2095246959912354E-2</v>
      </c>
      <c r="AN54" s="581">
        <f t="shared" si="427"/>
        <v>-82.38786056898175</v>
      </c>
      <c r="AO54" s="582">
        <f t="shared" si="94"/>
        <v>18.528755749616963</v>
      </c>
      <c r="AP54" s="585">
        <f t="shared" si="428"/>
        <v>-18.376484293332474</v>
      </c>
      <c r="AQ54" s="586">
        <f t="shared" si="246"/>
        <v>0.40882340433632924</v>
      </c>
      <c r="AS54" s="52">
        <f t="shared" si="406"/>
        <v>-138.89783192320334</v>
      </c>
      <c r="AT54" s="72">
        <f t="shared" si="247"/>
        <v>-2.285550356409221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Taper</v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3.2440000000000002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3.1440000000000001</v>
      </c>
      <c r="II54" s="734" cm="1">
        <f t="array" ref="II54">IFERROR(ROUND(VALUE(IF($IH54&lt;1,$IH54+LARGE((IF($M$9:$M$150="",0,$M$9:$M$150)-MOD(IF($M$9:$M$150="",0,$M$9:$M$150),1)),1),$IH54)),4),"")</f>
        <v>3.1440000000000001</v>
      </c>
      <c r="IJ54" s="533">
        <f t="shared" si="112"/>
        <v>1613</v>
      </c>
      <c r="IK54" s="533">
        <f t="shared" si="382"/>
        <v>1613</v>
      </c>
      <c r="IL54" s="727">
        <f t="shared" si="225"/>
        <v>10.057798547833556</v>
      </c>
      <c r="IM54" s="759">
        <v>2.7213861312848702E-9</v>
      </c>
      <c r="IN54" s="5">
        <f t="shared" si="226"/>
        <v>0</v>
      </c>
      <c r="IO54" s="771">
        <v>0</v>
      </c>
      <c r="IP54" s="9">
        <f t="shared" si="227"/>
        <v>-5.5762168178699225</v>
      </c>
      <c r="IQ54" s="5">
        <f t="shared" si="228"/>
        <v>-2.3820071841336676</v>
      </c>
      <c r="IR54" s="5">
        <f t="shared" si="383"/>
        <v>0.314</v>
      </c>
      <c r="IS54" s="5">
        <f t="shared" si="229"/>
        <v>0.29772358236779428</v>
      </c>
      <c r="IT54" s="727">
        <f t="shared" si="230"/>
        <v>82.387861338859551</v>
      </c>
      <c r="IU54" s="9">
        <f t="shared" si="231"/>
        <v>-5.5762168178699243</v>
      </c>
      <c r="IV54" s="5">
        <f t="shared" si="232"/>
        <v>-2.3820071841336676</v>
      </c>
      <c r="IW54" s="5">
        <f t="shared" si="384"/>
        <v>0.314</v>
      </c>
      <c r="IX54" s="5">
        <f t="shared" si="233"/>
        <v>0.29772358584194414</v>
      </c>
      <c r="IY54" s="762">
        <f t="shared" si="234"/>
        <v>82.38786056898175</v>
      </c>
    </row>
    <row r="55" spans="1:259" ht="15" customHeight="1" x14ac:dyDescent="0.25">
      <c r="A55" s="79"/>
      <c r="B55" s="707">
        <v>3.7916608159521803</v>
      </c>
      <c r="C55" s="708">
        <v>-4.344920913067142</v>
      </c>
      <c r="D55" s="709">
        <v>-3.1230094189964079</v>
      </c>
      <c r="E55" s="710">
        <v>0.9249134248715446</v>
      </c>
      <c r="F55" s="708">
        <v>0.38017778374561834</v>
      </c>
      <c r="G55" s="711">
        <v>-9.6117945870066612E-5</v>
      </c>
      <c r="H55" s="710">
        <v>0.314</v>
      </c>
      <c r="I55" s="708">
        <v>0.52</v>
      </c>
      <c r="J55" s="570">
        <v>3.25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3.25</v>
      </c>
      <c r="N55" s="632">
        <f t="shared" si="240"/>
        <v>3.7916608159521803</v>
      </c>
      <c r="O55" s="629">
        <f t="shared" si="241"/>
        <v>-4.344920913067142</v>
      </c>
      <c r="P55" s="633">
        <f t="shared" si="242"/>
        <v>-3.1230094189964079</v>
      </c>
      <c r="Q55" s="585">
        <f t="shared" si="113"/>
        <v>311.11006807565605</v>
      </c>
      <c r="R55" s="629">
        <f t="shared" si="410"/>
        <v>5.7667173924196566</v>
      </c>
      <c r="S55" s="634">
        <f t="shared" si="411"/>
        <v>-3.1230094189964079</v>
      </c>
      <c r="T55" s="635">
        <f t="shared" si="412"/>
        <v>-4.3449209130671411</v>
      </c>
      <c r="U55" s="629">
        <f t="shared" si="413"/>
        <v>-3.7916608159521821</v>
      </c>
      <c r="V55" s="636">
        <f t="shared" si="414"/>
        <v>-3.1230094189964079</v>
      </c>
      <c r="W55" s="585">
        <f t="shared" si="224"/>
        <v>221.11006807565605</v>
      </c>
      <c r="X55" s="629">
        <f t="shared" si="415"/>
        <v>5.7667173924196566</v>
      </c>
      <c r="Y55" s="630">
        <f t="shared" si="223"/>
        <v>-3.1230094189964079</v>
      </c>
      <c r="Z55" s="632">
        <f t="shared" si="243"/>
        <v>-0.9249134248715446</v>
      </c>
      <c r="AA55" s="629">
        <f t="shared" si="244"/>
        <v>-0.38017778374561834</v>
      </c>
      <c r="AB55" s="629">
        <f t="shared" si="245"/>
        <v>9.6117945870066612E-5</v>
      </c>
      <c r="AC55" s="636">
        <f t="shared" si="416"/>
        <v>1</v>
      </c>
      <c r="AD55" s="637">
        <f t="shared" si="417"/>
        <v>-0.9249134248715446</v>
      </c>
      <c r="AE55" s="629">
        <f t="shared" si="418"/>
        <v>-0.38017778374561834</v>
      </c>
      <c r="AF55" s="633">
        <f t="shared" si="419"/>
        <v>9.6117945870066612E-5</v>
      </c>
      <c r="AG55" s="602">
        <f t="shared" si="420"/>
        <v>-90.014485729445383</v>
      </c>
      <c r="AH55" s="603">
        <f t="shared" si="421"/>
        <v>157.65530382263523</v>
      </c>
      <c r="AI55" s="585">
        <f t="shared" si="422"/>
        <v>-90.005507152642309</v>
      </c>
      <c r="AJ55" s="586">
        <f t="shared" si="423"/>
        <v>-67.655304466531533</v>
      </c>
      <c r="AK55" s="635">
        <f t="shared" si="424"/>
        <v>0.94684384835680224</v>
      </c>
      <c r="AL55" s="629">
        <f t="shared" si="425"/>
        <v>-0.32169351499559545</v>
      </c>
      <c r="AM55" s="634">
        <f t="shared" si="426"/>
        <v>9.6117945870066612E-5</v>
      </c>
      <c r="AN55" s="581">
        <f t="shared" si="427"/>
        <v>-90.017119252372908</v>
      </c>
      <c r="AO55" s="582">
        <f>IF(ROUND(IF(M55="",0,DEGREES(ACOS(AK55))),4)=90,0,IF(M55="","",DEGREES(ACOS(AK55))))</f>
        <v>18.765373321187909</v>
      </c>
      <c r="AP55" s="585">
        <f t="shared" si="428"/>
        <v>-18.765372542187578</v>
      </c>
      <c r="AQ55" s="586">
        <f t="shared" si="246"/>
        <v>0.39531856713774682</v>
      </c>
      <c r="AS55" s="52">
        <f t="shared" si="406"/>
        <v>-138.88993192434395</v>
      </c>
      <c r="AT55" s="72">
        <f t="shared" si="247"/>
        <v>-3.0265580773822802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>Taper</v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3.25</v>
      </c>
      <c r="IH55" s="731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3.15</v>
      </c>
      <c r="II55" s="734" cm="1">
        <f t="array" ref="II55">IFERROR(ROUND(VALUE(IF($IH55&lt;1,$IH55+LARGE((IF($M$9:$M$150="",0,$M$9:$M$150)-MOD(IF($M$9:$M$150="",0,$M$9:$M$150),1)),1),$IH55)),4),"")</f>
        <v>3.15</v>
      </c>
      <c r="IJ55" s="533">
        <f t="shared" si="112"/>
        <v>1613</v>
      </c>
      <c r="IK55" s="533">
        <f t="shared" si="382"/>
        <v>1613</v>
      </c>
      <c r="IL55" s="727">
        <f t="shared" si="225"/>
        <v>9.7208985964758767</v>
      </c>
      <c r="IM55" s="759">
        <v>3.1762716837708098E-9</v>
      </c>
      <c r="IN55" s="5">
        <f t="shared" si="226"/>
        <v>0</v>
      </c>
      <c r="IO55" s="771">
        <v>0</v>
      </c>
      <c r="IP55" s="9">
        <f t="shared" si="227"/>
        <v>-5.7667173924196566</v>
      </c>
      <c r="IQ55" s="5">
        <f t="shared" si="228"/>
        <v>-3.1230094189964079</v>
      </c>
      <c r="IR55" s="5">
        <f t="shared" si="383"/>
        <v>0.314</v>
      </c>
      <c r="IS55" s="5">
        <f t="shared" si="229"/>
        <v>0.29730896491144115</v>
      </c>
      <c r="IT55" s="727">
        <f t="shared" si="230"/>
        <v>90.017120114703573</v>
      </c>
      <c r="IU55" s="9">
        <f t="shared" si="231"/>
        <v>-5.7667173924196566</v>
      </c>
      <c r="IV55" s="5">
        <f t="shared" si="232"/>
        <v>-3.1230094189964079</v>
      </c>
      <c r="IW55" s="5">
        <f t="shared" si="384"/>
        <v>0.314</v>
      </c>
      <c r="IX55" s="5">
        <f t="shared" si="233"/>
        <v>0.29730896838403592</v>
      </c>
      <c r="IY55" s="762">
        <f t="shared" si="234"/>
        <v>90.017119252372908</v>
      </c>
    </row>
    <row r="56" spans="1:259" ht="15" customHeight="1" x14ac:dyDescent="0.25">
      <c r="A56" s="79"/>
      <c r="B56" s="707">
        <v>-0.47589590952038574</v>
      </c>
      <c r="C56" s="708">
        <v>-2.6732791935297056</v>
      </c>
      <c r="D56" s="709">
        <v>-0.11160033658661513</v>
      </c>
      <c r="E56" s="710">
        <v>0.95456176336181231</v>
      </c>
      <c r="F56" s="708">
        <v>-0.17251828989379003</v>
      </c>
      <c r="G56" s="711">
        <v>0.24300057526621169</v>
      </c>
      <c r="H56" s="710">
        <v>0.314</v>
      </c>
      <c r="I56" s="708">
        <v>0.52</v>
      </c>
      <c r="J56" s="570">
        <v>4.1130000000000004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39"/>
        <v>4.1130000000000004</v>
      </c>
      <c r="N56" s="632">
        <f t="shared" si="240"/>
        <v>-0.47589590952038574</v>
      </c>
      <c r="O56" s="629">
        <f t="shared" si="241"/>
        <v>-2.6732791935297056</v>
      </c>
      <c r="P56" s="633">
        <f t="shared" si="242"/>
        <v>-0.11160033658661513</v>
      </c>
      <c r="Q56" s="585">
        <f t="shared" si="113"/>
        <v>259.90597546861227</v>
      </c>
      <c r="R56" s="629">
        <f t="shared" si="410"/>
        <v>2.7153081893694995</v>
      </c>
      <c r="S56" s="634">
        <f t="shared" si="411"/>
        <v>-0.11160033658661513</v>
      </c>
      <c r="T56" s="635">
        <f t="shared" si="412"/>
        <v>-2.6732791935297056</v>
      </c>
      <c r="U56" s="629">
        <f t="shared" si="413"/>
        <v>0.47589590952038652</v>
      </c>
      <c r="V56" s="636">
        <f t="shared" si="414"/>
        <v>-0.11160033658661513</v>
      </c>
      <c r="W56" s="585">
        <f t="shared" si="224"/>
        <v>169.90597546861227</v>
      </c>
      <c r="X56" s="629">
        <f t="shared" si="415"/>
        <v>2.7153081893694995</v>
      </c>
      <c r="Y56" s="630">
        <f t="shared" si="223"/>
        <v>-0.11160033658661513</v>
      </c>
      <c r="Z56" s="632">
        <f t="shared" si="243"/>
        <v>-0.95456176336181231</v>
      </c>
      <c r="AA56" s="629">
        <f t="shared" si="244"/>
        <v>0.17251828989379003</v>
      </c>
      <c r="AB56" s="629">
        <f t="shared" si="245"/>
        <v>-0.24300057526621169</v>
      </c>
      <c r="AC56" s="636">
        <f t="shared" si="416"/>
        <v>1</v>
      </c>
      <c r="AD56" s="637">
        <f t="shared" si="417"/>
        <v>-0.95456176336181231</v>
      </c>
      <c r="AE56" s="629">
        <f t="shared" si="418"/>
        <v>0.17251828989379003</v>
      </c>
      <c r="AF56" s="633">
        <f t="shared" si="419"/>
        <v>-0.24300057526621169</v>
      </c>
      <c r="AG56" s="602">
        <f t="shared" si="420"/>
        <v>35.372852081288073</v>
      </c>
      <c r="AH56" s="603">
        <f t="shared" si="421"/>
        <v>162.66169244295367</v>
      </c>
      <c r="AI56" s="585">
        <f t="shared" si="422"/>
        <v>-75.936295326138207</v>
      </c>
      <c r="AJ56" s="586">
        <f t="shared" si="423"/>
        <v>-100.24450174969391</v>
      </c>
      <c r="AK56" s="635">
        <f t="shared" si="424"/>
        <v>0.97002279878353925</v>
      </c>
      <c r="AL56" s="629">
        <f t="shared" si="425"/>
        <v>-2.5475989558104706E-3</v>
      </c>
      <c r="AM56" s="634">
        <f t="shared" si="426"/>
        <v>-0.24300057526621169</v>
      </c>
      <c r="AN56" s="581">
        <f t="shared" si="427"/>
        <v>-0.60066244861135654</v>
      </c>
      <c r="AO56" s="582">
        <f t="shared" ref="AO56:AO119" si="461">IF(ROUND(IF(M56="",0,DEGREES(ACOS(AK56))),4)=90,0,IF(M56="","",DEGREES(ACOS(AK56))))</f>
        <v>14.064493448313897</v>
      </c>
      <c r="AP56" s="585">
        <f t="shared" si="428"/>
        <v>-0.15047721830617686</v>
      </c>
      <c r="AQ56" s="586">
        <f t="shared" si="246"/>
        <v>0.83952292807274365</v>
      </c>
      <c r="AS56" s="52">
        <f t="shared" si="406"/>
        <v>-190.09402453138773</v>
      </c>
      <c r="AT56" s="72">
        <f t="shared" si="247"/>
        <v>2.0409402671293028E-2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4.1130000000000004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-0.65260835602438527</v>
      </c>
      <c r="C57" s="708">
        <v>-3.434762074091394</v>
      </c>
      <c r="D57" s="709">
        <v>-0.13380040354201708</v>
      </c>
      <c r="E57" s="710">
        <v>0.93294265663518272</v>
      </c>
      <c r="F57" s="708">
        <v>-0.29758920781319226</v>
      </c>
      <c r="G57" s="711">
        <v>0.20262937305238934</v>
      </c>
      <c r="H57" s="710">
        <v>0.314</v>
      </c>
      <c r="I57" s="708">
        <v>0.52</v>
      </c>
      <c r="J57" s="570">
        <v>4.1189999999999998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1613</v>
      </c>
      <c r="L57" s="320"/>
      <c r="M57" s="168">
        <f t="shared" si="239"/>
        <v>4.1189999999999998</v>
      </c>
      <c r="N57" s="632">
        <f t="shared" si="240"/>
        <v>-0.65260835602438527</v>
      </c>
      <c r="O57" s="629">
        <f t="shared" si="241"/>
        <v>-3.434762074091394</v>
      </c>
      <c r="P57" s="633">
        <f t="shared" si="242"/>
        <v>-0.13380040354201708</v>
      </c>
      <c r="Q57" s="585">
        <f t="shared" si="113"/>
        <v>259.241975564482</v>
      </c>
      <c r="R57" s="629">
        <f t="shared" si="410"/>
        <v>3.4962105445710026</v>
      </c>
      <c r="S57" s="634">
        <f t="shared" si="411"/>
        <v>-0.13380040354201708</v>
      </c>
      <c r="T57" s="635">
        <f t="shared" si="412"/>
        <v>-3.434762074091394</v>
      </c>
      <c r="U57" s="629">
        <f t="shared" si="413"/>
        <v>0.65260835602438594</v>
      </c>
      <c r="V57" s="636">
        <f t="shared" si="414"/>
        <v>-0.13380040354201708</v>
      </c>
      <c r="W57" s="585">
        <f t="shared" si="224"/>
        <v>169.241975564482</v>
      </c>
      <c r="X57" s="629">
        <f t="shared" si="415"/>
        <v>3.4962105445710026</v>
      </c>
      <c r="Y57" s="630">
        <f t="shared" si="223"/>
        <v>-0.13380040354201708</v>
      </c>
      <c r="Z57" s="632">
        <f t="shared" si="243"/>
        <v>-0.93294265663518272</v>
      </c>
      <c r="AA57" s="629">
        <f t="shared" si="244"/>
        <v>0.29758920781319226</v>
      </c>
      <c r="AB57" s="629">
        <f t="shared" si="245"/>
        <v>-0.20262937305238934</v>
      </c>
      <c r="AC57" s="636">
        <f t="shared" si="416"/>
        <v>1</v>
      </c>
      <c r="AD57" s="637">
        <f t="shared" si="417"/>
        <v>-0.93294265663518272</v>
      </c>
      <c r="AE57" s="629">
        <f t="shared" si="418"/>
        <v>0.29758920781319226</v>
      </c>
      <c r="AF57" s="633">
        <f t="shared" si="419"/>
        <v>-0.20262937305238934</v>
      </c>
      <c r="AG57" s="602">
        <f t="shared" si="420"/>
        <v>55.748935319239024</v>
      </c>
      <c r="AH57" s="603">
        <f t="shared" si="421"/>
        <v>158.89826873467541</v>
      </c>
      <c r="AI57" s="585">
        <f t="shared" si="422"/>
        <v>-78.309240114063783</v>
      </c>
      <c r="AJ57" s="586">
        <f t="shared" si="423"/>
        <v>-107.69159592246901</v>
      </c>
      <c r="AK57" s="635">
        <f t="shared" si="424"/>
        <v>0.97209398995482643</v>
      </c>
      <c r="AL57" s="629">
        <f t="shared" si="425"/>
        <v>-0.11821426254941378</v>
      </c>
      <c r="AM57" s="634">
        <f t="shared" si="426"/>
        <v>-0.20262937305238934</v>
      </c>
      <c r="AN57" s="581">
        <f t="shared" si="427"/>
        <v>-30.25934742641677</v>
      </c>
      <c r="AO57" s="582">
        <f t="shared" si="461"/>
        <v>13.567557245170912</v>
      </c>
      <c r="AP57" s="585">
        <f t="shared" si="428"/>
        <v>-6.9335714869510046</v>
      </c>
      <c r="AQ57" s="586">
        <f t="shared" si="246"/>
        <v>0.65202830029684644</v>
      </c>
      <c r="AS57" s="52">
        <f t="shared" si="406"/>
        <v>-190.758024435518</v>
      </c>
      <c r="AT57" s="72">
        <f t="shared" si="247"/>
        <v>-1.3295532395740384E-3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4.1189999999999998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1613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-0.85366985435735243</v>
      </c>
      <c r="C58" s="708">
        <v>-4.1283751612121531</v>
      </c>
      <c r="D58" s="709">
        <v>-0.43000129688391142</v>
      </c>
      <c r="E58" s="710">
        <v>0.90187048104759593</v>
      </c>
      <c r="F58" s="708">
        <v>-0.40420589740059154</v>
      </c>
      <c r="G58" s="711">
        <v>0.15247041654550686</v>
      </c>
      <c r="H58" s="710">
        <v>0.314</v>
      </c>
      <c r="I58" s="708">
        <v>0.52</v>
      </c>
      <c r="J58" s="570">
        <v>4.125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4.125</v>
      </c>
      <c r="N58" s="632">
        <f t="shared" si="240"/>
        <v>-0.85366985435735243</v>
      </c>
      <c r="O58" s="629">
        <f t="shared" si="241"/>
        <v>-4.1283751612121531</v>
      </c>
      <c r="P58" s="633">
        <f t="shared" si="242"/>
        <v>-0.43000129688391142</v>
      </c>
      <c r="Q58" s="585">
        <f t="shared" si="113"/>
        <v>258.31697569803549</v>
      </c>
      <c r="R58" s="629">
        <f t="shared" si="410"/>
        <v>4.2157127145895474</v>
      </c>
      <c r="S58" s="634">
        <f t="shared" si="411"/>
        <v>-0.43000129688391142</v>
      </c>
      <c r="T58" s="635">
        <f t="shared" si="412"/>
        <v>-4.1283751612121531</v>
      </c>
      <c r="U58" s="629">
        <f t="shared" si="413"/>
        <v>0.85366985435735143</v>
      </c>
      <c r="V58" s="636">
        <f t="shared" si="414"/>
        <v>-0.43000129688391142</v>
      </c>
      <c r="W58" s="585">
        <f t="shared" si="224"/>
        <v>168.31697569803549</v>
      </c>
      <c r="X58" s="629">
        <f t="shared" si="415"/>
        <v>4.2157127145895474</v>
      </c>
      <c r="Y58" s="630">
        <f t="shared" si="223"/>
        <v>-0.43000129688391142</v>
      </c>
      <c r="Z58" s="632">
        <f t="shared" si="243"/>
        <v>-0.90187048104759593</v>
      </c>
      <c r="AA58" s="629">
        <f t="shared" si="244"/>
        <v>0.40420589740059154</v>
      </c>
      <c r="AB58" s="629">
        <f t="shared" si="245"/>
        <v>-0.15247041654550686</v>
      </c>
      <c r="AC58" s="636">
        <f t="shared" si="416"/>
        <v>1</v>
      </c>
      <c r="AD58" s="637">
        <f t="shared" si="417"/>
        <v>-0.90187048104759593</v>
      </c>
      <c r="AE58" s="629">
        <f t="shared" si="418"/>
        <v>0.40420589740059154</v>
      </c>
      <c r="AF58" s="633">
        <f t="shared" si="419"/>
        <v>-0.15247041654550686</v>
      </c>
      <c r="AG58" s="602">
        <f t="shared" si="420"/>
        <v>69.333034154358003</v>
      </c>
      <c r="AH58" s="603">
        <f t="shared" si="421"/>
        <v>154.40503335326139</v>
      </c>
      <c r="AI58" s="585">
        <f t="shared" si="422"/>
        <v>-81.22988194376812</v>
      </c>
      <c r="AJ58" s="586">
        <f t="shared" si="423"/>
        <v>-114.14126382157144</v>
      </c>
      <c r="AK58" s="635">
        <f t="shared" si="424"/>
        <v>0.96503684135596934</v>
      </c>
      <c r="AL58" s="629">
        <f t="shared" si="425"/>
        <v>-0.21320569153785074</v>
      </c>
      <c r="AM58" s="634">
        <f t="shared" si="426"/>
        <v>-0.15247041654550686</v>
      </c>
      <c r="AN58" s="581">
        <f t="shared" si="427"/>
        <v>-54.430191479761874</v>
      </c>
      <c r="AO58" s="582">
        <f t="shared" si="461"/>
        <v>15.195552993045954</v>
      </c>
      <c r="AP58" s="585">
        <f t="shared" si="428"/>
        <v>-12.458239519606913</v>
      </c>
      <c r="AQ58" s="586">
        <f t="shared" si="246"/>
        <v>0.54075291594256303</v>
      </c>
      <c r="AS58" s="52">
        <f t="shared" si="406"/>
        <v>-191.68302430196451</v>
      </c>
      <c r="AT58" s="72">
        <f t="shared" si="247"/>
        <v>-0.29688808556310275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4.125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-1.0398311547701735</v>
      </c>
      <c r="C59" s="708">
        <v>-4.6741484825113515</v>
      </c>
      <c r="D59" s="709">
        <v>-0.93410281725409694</v>
      </c>
      <c r="E59" s="710">
        <v>0.87851365883325183</v>
      </c>
      <c r="F59" s="708">
        <v>-0.46116921351387186</v>
      </c>
      <c r="G59" s="711">
        <v>0.12464633067366968</v>
      </c>
      <c r="H59" s="710">
        <v>0.314</v>
      </c>
      <c r="I59" s="708">
        <v>0.52</v>
      </c>
      <c r="J59" s="570">
        <v>4.1310000000000002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4.1310000000000002</v>
      </c>
      <c r="N59" s="632">
        <f t="shared" si="240"/>
        <v>-1.0398311547701735</v>
      </c>
      <c r="O59" s="629">
        <f t="shared" si="241"/>
        <v>-4.6741484825113515</v>
      </c>
      <c r="P59" s="633">
        <f t="shared" si="242"/>
        <v>-0.93410281725409694</v>
      </c>
      <c r="Q59" s="585">
        <f t="shared" si="113"/>
        <v>257.45797582205967</v>
      </c>
      <c r="R59" s="629">
        <f t="shared" si="79"/>
        <v>4.7884144418579568</v>
      </c>
      <c r="S59" s="634">
        <f t="shared" si="80"/>
        <v>-0.93410281725409694</v>
      </c>
      <c r="T59" s="635">
        <f t="shared" si="81"/>
        <v>-4.6741484825113515</v>
      </c>
      <c r="U59" s="629">
        <f t="shared" si="82"/>
        <v>1.0398311547701764</v>
      </c>
      <c r="V59" s="636">
        <f t="shared" si="114"/>
        <v>-0.93410281725409694</v>
      </c>
      <c r="W59" s="585">
        <f t="shared" si="224"/>
        <v>167.45797582205967</v>
      </c>
      <c r="X59" s="629">
        <f t="shared" si="83"/>
        <v>4.7884144418579568</v>
      </c>
      <c r="Y59" s="630">
        <f t="shared" si="223"/>
        <v>-0.93410281725409694</v>
      </c>
      <c r="Z59" s="632">
        <f t="shared" si="243"/>
        <v>-0.87851365883325183</v>
      </c>
      <c r="AA59" s="629">
        <f t="shared" si="244"/>
        <v>0.46116921351387186</v>
      </c>
      <c r="AB59" s="629">
        <f t="shared" si="245"/>
        <v>-0.12464633067366968</v>
      </c>
      <c r="AC59" s="636">
        <f t="shared" si="84"/>
        <v>1</v>
      </c>
      <c r="AD59" s="637">
        <f t="shared" si="115"/>
        <v>-0.87851365883325183</v>
      </c>
      <c r="AE59" s="629">
        <f t="shared" si="85"/>
        <v>0.46116921351387186</v>
      </c>
      <c r="AF59" s="633">
        <f t="shared" si="86"/>
        <v>-0.12464633067366968</v>
      </c>
      <c r="AG59" s="602">
        <f t="shared" si="87"/>
        <v>74.875297685020584</v>
      </c>
      <c r="AH59" s="603">
        <f t="shared" si="88"/>
        <v>151.4635834951014</v>
      </c>
      <c r="AI59" s="585">
        <f t="shared" si="89"/>
        <v>-82.839667710429836</v>
      </c>
      <c r="AJ59" s="586">
        <f t="shared" si="90"/>
        <v>-117.69689300829076</v>
      </c>
      <c r="AK59" s="635">
        <f t="shared" si="211"/>
        <v>0.95769517380249281</v>
      </c>
      <c r="AL59" s="629">
        <f t="shared" si="91"/>
        <v>-0.25939014307603014</v>
      </c>
      <c r="AM59" s="634">
        <f t="shared" si="92"/>
        <v>-0.12464633067366968</v>
      </c>
      <c r="AN59" s="581">
        <f t="shared" si="93"/>
        <v>-64.334034412850414</v>
      </c>
      <c r="AO59" s="582">
        <f t="shared" si="461"/>
        <v>16.725367367327173</v>
      </c>
      <c r="AP59" s="585">
        <f t="shared" si="95"/>
        <v>-15.154868830350415</v>
      </c>
      <c r="AQ59" s="586">
        <f t="shared" si="246"/>
        <v>0.47608121505445561</v>
      </c>
      <c r="AS59" s="52">
        <f t="shared" si="406"/>
        <v>-192.54202417794033</v>
      </c>
      <c r="AT59" s="72">
        <f t="shared" si="247"/>
        <v>-0.80039307824163841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4.1310000000000002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-1.196426619820681</v>
      </c>
      <c r="C60" s="708">
        <v>-5.083418647067127</v>
      </c>
      <c r="D60" s="709">
        <v>-1.5632047146254193</v>
      </c>
      <c r="E60" s="710">
        <v>0.86441843167729537</v>
      </c>
      <c r="F60" s="708">
        <v>-0.49614129582960048</v>
      </c>
      <c r="G60" s="711">
        <v>8.1391581561547355E-2</v>
      </c>
      <c r="H60" s="710">
        <v>0.314</v>
      </c>
      <c r="I60" s="708">
        <v>0.52</v>
      </c>
      <c r="J60" s="570">
        <v>4.1369999999999996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1613</v>
      </c>
      <c r="L60" s="320"/>
      <c r="M60" s="168">
        <f t="shared" si="239"/>
        <v>4.1369999999999996</v>
      </c>
      <c r="N60" s="632">
        <f t="shared" si="240"/>
        <v>-1.196426619820681</v>
      </c>
      <c r="O60" s="629">
        <f t="shared" si="241"/>
        <v>-5.083418647067127</v>
      </c>
      <c r="P60" s="633">
        <f t="shared" si="242"/>
        <v>-1.5632047146254193</v>
      </c>
      <c r="Q60" s="585">
        <f t="shared" si="113"/>
        <v>256.75597592341592</v>
      </c>
      <c r="R60" s="629">
        <f t="shared" si="79"/>
        <v>5.2223157505043032</v>
      </c>
      <c r="S60" s="634">
        <f t="shared" si="80"/>
        <v>-1.5632047146254193</v>
      </c>
      <c r="T60" s="635">
        <f t="shared" si="81"/>
        <v>-5.0834186470671261</v>
      </c>
      <c r="U60" s="629">
        <f t="shared" si="82"/>
        <v>1.1964266198206848</v>
      </c>
      <c r="V60" s="636">
        <f t="shared" si="114"/>
        <v>-1.5632047146254193</v>
      </c>
      <c r="W60" s="585">
        <f t="shared" si="224"/>
        <v>166.75597592341592</v>
      </c>
      <c r="X60" s="629">
        <f t="shared" si="83"/>
        <v>5.2223157505043032</v>
      </c>
      <c r="Y60" s="630">
        <f t="shared" si="223"/>
        <v>-1.5632047146254193</v>
      </c>
      <c r="Z60" s="632">
        <f t="shared" si="243"/>
        <v>-0.86441843167729537</v>
      </c>
      <c r="AA60" s="629">
        <f t="shared" si="244"/>
        <v>0.49614129582960048</v>
      </c>
      <c r="AB60" s="629">
        <f t="shared" si="245"/>
        <v>-8.1391581561547355E-2</v>
      </c>
      <c r="AC60" s="636">
        <f t="shared" si="84"/>
        <v>1</v>
      </c>
      <c r="AD60" s="637">
        <f t="shared" si="115"/>
        <v>-0.86441843167729537</v>
      </c>
      <c r="AE60" s="629">
        <f t="shared" si="85"/>
        <v>0.49614129582960048</v>
      </c>
      <c r="AF60" s="633">
        <f t="shared" si="86"/>
        <v>-8.1391581561547355E-2</v>
      </c>
      <c r="AG60" s="602">
        <f t="shared" si="87"/>
        <v>80.683656117057893</v>
      </c>
      <c r="AH60" s="603">
        <f t="shared" si="88"/>
        <v>149.81636395691723</v>
      </c>
      <c r="AI60" s="585">
        <f t="shared" si="89"/>
        <v>-85.331441633470163</v>
      </c>
      <c r="AJ60" s="586">
        <f t="shared" si="90"/>
        <v>-119.85408472533742</v>
      </c>
      <c r="AK60" s="635">
        <f t="shared" si="211"/>
        <v>0.95509304038119314</v>
      </c>
      <c r="AL60" s="629">
        <f t="shared" si="91"/>
        <v>-0.28490822147898553</v>
      </c>
      <c r="AM60" s="634">
        <f t="shared" si="92"/>
        <v>-8.1391581561547355E-2</v>
      </c>
      <c r="AN60" s="581">
        <f t="shared" si="93"/>
        <v>-74.05660605426705</v>
      </c>
      <c r="AO60" s="582">
        <f t="shared" si="461"/>
        <v>17.235871284151791</v>
      </c>
      <c r="AP60" s="585">
        <f t="shared" si="95"/>
        <v>-16.610060648753318</v>
      </c>
      <c r="AQ60" s="586">
        <f t="shared" si="246"/>
        <v>0.43652713288946288</v>
      </c>
      <c r="AS60" s="52">
        <f t="shared" si="406"/>
        <v>-193.24402407658408</v>
      </c>
      <c r="AT60" s="72">
        <f t="shared" si="247"/>
        <v>-1.4290074756833471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4.1369999999999996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1613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-1.3173328395752451</v>
      </c>
      <c r="C61" s="708">
        <v>-5.3757632030221707</v>
      </c>
      <c r="D61" s="709">
        <v>-2.2613068201013693</v>
      </c>
      <c r="E61" s="710">
        <v>0.85417937449496173</v>
      </c>
      <c r="F61" s="708">
        <v>-0.51853666139614596</v>
      </c>
      <c r="G61" s="711">
        <v>3.8695309477180084E-2</v>
      </c>
      <c r="H61" s="710">
        <v>0.314</v>
      </c>
      <c r="I61" s="708">
        <v>0.52</v>
      </c>
      <c r="J61" s="570">
        <v>4.1429999999999998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4.1429999999999998</v>
      </c>
      <c r="N61" s="632">
        <f t="shared" si="240"/>
        <v>-1.3173328395752451</v>
      </c>
      <c r="O61" s="629">
        <f t="shared" si="241"/>
        <v>-5.3757632030221707</v>
      </c>
      <c r="P61" s="633">
        <f t="shared" si="242"/>
        <v>-2.2613068201013693</v>
      </c>
      <c r="Q61" s="585">
        <f t="shared" si="113"/>
        <v>256.23097599921658</v>
      </c>
      <c r="R61" s="629">
        <f t="shared" si="79"/>
        <v>5.534816693007147</v>
      </c>
      <c r="S61" s="634">
        <f t="shared" si="80"/>
        <v>-2.2613068201013693</v>
      </c>
      <c r="T61" s="635">
        <f t="shared" si="81"/>
        <v>-5.3757632030221716</v>
      </c>
      <c r="U61" s="629">
        <f t="shared" si="82"/>
        <v>1.3173328395752439</v>
      </c>
      <c r="V61" s="636">
        <f t="shared" si="114"/>
        <v>-2.2613068201013693</v>
      </c>
      <c r="W61" s="585">
        <f t="shared" si="224"/>
        <v>166.23097599921658</v>
      </c>
      <c r="X61" s="629">
        <f t="shared" si="83"/>
        <v>5.534816693007147</v>
      </c>
      <c r="Y61" s="630">
        <f t="shared" si="223"/>
        <v>-2.2613068201013693</v>
      </c>
      <c r="Z61" s="632">
        <f t="shared" si="243"/>
        <v>-0.85417937449496173</v>
      </c>
      <c r="AA61" s="629">
        <f t="shared" si="244"/>
        <v>0.51853666139614596</v>
      </c>
      <c r="AB61" s="629">
        <f t="shared" si="245"/>
        <v>-3.8695309477180084E-2</v>
      </c>
      <c r="AC61" s="636">
        <f t="shared" si="84"/>
        <v>1</v>
      </c>
      <c r="AD61" s="637">
        <f t="shared" si="115"/>
        <v>-0.85417937449496173</v>
      </c>
      <c r="AE61" s="629">
        <f t="shared" si="85"/>
        <v>0.51853666139614596</v>
      </c>
      <c r="AF61" s="633">
        <f t="shared" si="86"/>
        <v>-3.8695309477180084E-2</v>
      </c>
      <c r="AG61" s="602">
        <f t="shared" si="87"/>
        <v>85.732266722468168</v>
      </c>
      <c r="AH61" s="603">
        <f t="shared" si="88"/>
        <v>148.66919352445501</v>
      </c>
      <c r="AI61" s="585">
        <f t="shared" si="89"/>
        <v>-87.782368425109979</v>
      </c>
      <c r="AJ61" s="586">
        <f t="shared" si="90"/>
        <v>-121.2601908139544</v>
      </c>
      <c r="AK61" s="635">
        <f t="shared" si="211"/>
        <v>0.95304898343533107</v>
      </c>
      <c r="AL61" s="629">
        <f t="shared" si="91"/>
        <v>-0.30033366144564538</v>
      </c>
      <c r="AM61" s="634">
        <f t="shared" si="92"/>
        <v>-3.8695309477180084E-2</v>
      </c>
      <c r="AN61" s="581">
        <f t="shared" si="93"/>
        <v>-82.658395930229076</v>
      </c>
      <c r="AO61" s="582">
        <f t="shared" si="461"/>
        <v>17.626827833753385</v>
      </c>
      <c r="AP61" s="585">
        <f t="shared" si="95"/>
        <v>-17.491166813170974</v>
      </c>
      <c r="AQ61" s="586">
        <f t="shared" si="246"/>
        <v>0.41188127598646312</v>
      </c>
      <c r="AS61" s="52">
        <f t="shared" si="406"/>
        <v>-193.76902400078342</v>
      </c>
      <c r="AT61" s="72">
        <f t="shared" si="247"/>
        <v>-2.1267449978786028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4.1429999999999998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-1.4012733194979361</v>
      </c>
      <c r="C62" s="708">
        <v>-5.5679980689379969</v>
      </c>
      <c r="D62" s="709">
        <v>-2.9979090416936698</v>
      </c>
      <c r="E62" s="710">
        <v>0.84002098431553618</v>
      </c>
      <c r="F62" s="708">
        <v>-0.54251164026096121</v>
      </c>
      <c r="G62" s="711">
        <v>6.7724508798045757E-3</v>
      </c>
      <c r="H62" s="710">
        <v>0.314</v>
      </c>
      <c r="I62" s="708">
        <v>0.52</v>
      </c>
      <c r="J62" s="570">
        <v>4.149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4.149</v>
      </c>
      <c r="N62" s="632">
        <f t="shared" si="240"/>
        <v>-1.4012733194979361</v>
      </c>
      <c r="O62" s="629">
        <f t="shared" si="241"/>
        <v>-5.5679980689379969</v>
      </c>
      <c r="P62" s="633">
        <f t="shared" si="242"/>
        <v>-2.9979090416936698</v>
      </c>
      <c r="Q62" s="585">
        <f t="shared" si="113"/>
        <v>255.87397605076097</v>
      </c>
      <c r="R62" s="629">
        <f t="shared" si="79"/>
        <v>5.7416173167178277</v>
      </c>
      <c r="S62" s="634">
        <f t="shared" si="80"/>
        <v>-2.9979090416936698</v>
      </c>
      <c r="T62" s="635">
        <f t="shared" si="81"/>
        <v>-5.5679980689379969</v>
      </c>
      <c r="U62" s="629">
        <f t="shared" si="82"/>
        <v>1.4012733194979361</v>
      </c>
      <c r="V62" s="636">
        <f t="shared" si="114"/>
        <v>-2.9979090416936698</v>
      </c>
      <c r="W62" s="585">
        <f t="shared" si="224"/>
        <v>165.87397605076097</v>
      </c>
      <c r="X62" s="629">
        <f t="shared" si="83"/>
        <v>5.7416173167178277</v>
      </c>
      <c r="Y62" s="630">
        <f t="shared" si="223"/>
        <v>-2.9979090416936698</v>
      </c>
      <c r="Z62" s="632">
        <f t="shared" si="243"/>
        <v>-0.84002098431553618</v>
      </c>
      <c r="AA62" s="629">
        <f t="shared" si="244"/>
        <v>0.54251164026096121</v>
      </c>
      <c r="AB62" s="629">
        <f t="shared" si="245"/>
        <v>-6.7724508798045757E-3</v>
      </c>
      <c r="AC62" s="636">
        <f t="shared" si="84"/>
        <v>1</v>
      </c>
      <c r="AD62" s="637">
        <f t="shared" si="115"/>
        <v>-0.84002098431553618</v>
      </c>
      <c r="AE62" s="629">
        <f t="shared" si="85"/>
        <v>0.54251164026096121</v>
      </c>
      <c r="AF62" s="633">
        <f t="shared" si="86"/>
        <v>-6.7724508798045757E-3</v>
      </c>
      <c r="AG62" s="602">
        <f t="shared" si="87"/>
        <v>89.284784567378779</v>
      </c>
      <c r="AH62" s="603">
        <f t="shared" si="88"/>
        <v>147.14233557918709</v>
      </c>
      <c r="AI62" s="585">
        <f t="shared" si="89"/>
        <v>-89.611964181307968</v>
      </c>
      <c r="AJ62" s="586">
        <f t="shared" si="90"/>
        <v>-122.85562991713319</v>
      </c>
      <c r="AK62" s="635">
        <f t="shared" si="211"/>
        <v>0.9470227647737659</v>
      </c>
      <c r="AL62" s="629">
        <f t="shared" si="91"/>
        <v>-0.32109502784897398</v>
      </c>
      <c r="AM62" s="634">
        <f t="shared" si="92"/>
        <v>-6.7724508798045757E-3</v>
      </c>
      <c r="AN62" s="581">
        <f t="shared" si="93"/>
        <v>-88.791711817941589</v>
      </c>
      <c r="AO62" s="582">
        <f t="shared" si="461"/>
        <v>18.73348097827871</v>
      </c>
      <c r="AP62" s="585">
        <f t="shared" si="95"/>
        <v>-18.729605967894166</v>
      </c>
      <c r="AQ62" s="586">
        <f t="shared" si="246"/>
        <v>0.39704668805627336</v>
      </c>
      <c r="AS62" s="52">
        <f t="shared" si="406"/>
        <v>-194.12602394923903</v>
      </c>
      <c r="AT62" s="72">
        <f t="shared" si="247"/>
        <v>-2.8630993028400313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4.149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-1.4448023627377851</v>
      </c>
      <c r="C63" s="708">
        <v>-5.6595081879079698</v>
      </c>
      <c r="D63" s="709">
        <v>-3.75541132632056</v>
      </c>
      <c r="E63" s="710">
        <v>0.80226463882335941</v>
      </c>
      <c r="F63" s="708">
        <v>-0.59695925474283207</v>
      </c>
      <c r="G63" s="711">
        <v>-3.331286614395218E-3</v>
      </c>
      <c r="H63" s="710">
        <v>0.314</v>
      </c>
      <c r="I63" s="708">
        <v>0.52</v>
      </c>
      <c r="J63" s="570">
        <v>4.1550000000000002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4.1550000000000002</v>
      </c>
      <c r="N63" s="632">
        <f t="shared" si="240"/>
        <v>-1.4448023627377851</v>
      </c>
      <c r="O63" s="629">
        <f t="shared" si="241"/>
        <v>-5.6595081879079698</v>
      </c>
      <c r="P63" s="633">
        <f t="shared" si="242"/>
        <v>-3.75541132632056</v>
      </c>
      <c r="Q63" s="585">
        <f t="shared" si="113"/>
        <v>255.67897607891547</v>
      </c>
      <c r="R63" s="629">
        <f t="shared" si="79"/>
        <v>5.8410176165091334</v>
      </c>
      <c r="S63" s="634">
        <f t="shared" si="80"/>
        <v>-3.75541132632056</v>
      </c>
      <c r="T63" s="635">
        <f t="shared" si="81"/>
        <v>-5.6595081879079689</v>
      </c>
      <c r="U63" s="629">
        <f t="shared" si="82"/>
        <v>1.4448023627377884</v>
      </c>
      <c r="V63" s="636">
        <f t="shared" si="114"/>
        <v>-3.75541132632056</v>
      </c>
      <c r="W63" s="585">
        <f t="shared" si="224"/>
        <v>165.67897607891547</v>
      </c>
      <c r="X63" s="629">
        <f t="shared" si="83"/>
        <v>5.8410176165091334</v>
      </c>
      <c r="Y63" s="630">
        <f t="shared" si="223"/>
        <v>-3.75541132632056</v>
      </c>
      <c r="Z63" s="632">
        <f t="shared" si="243"/>
        <v>-0.80226463882335941</v>
      </c>
      <c r="AA63" s="629">
        <f t="shared" si="244"/>
        <v>0.59695925474283207</v>
      </c>
      <c r="AB63" s="629">
        <f t="shared" si="245"/>
        <v>3.331286614395218E-3</v>
      </c>
      <c r="AC63" s="636">
        <f t="shared" si="84"/>
        <v>1</v>
      </c>
      <c r="AD63" s="637">
        <f t="shared" si="115"/>
        <v>-0.80226463882335941</v>
      </c>
      <c r="AE63" s="629">
        <f t="shared" si="85"/>
        <v>0.59695925474283207</v>
      </c>
      <c r="AF63" s="633">
        <f t="shared" si="86"/>
        <v>3.331286614395218E-3</v>
      </c>
      <c r="AG63" s="602">
        <f t="shared" si="87"/>
        <v>90.319731506939675</v>
      </c>
      <c r="AH63" s="603">
        <f t="shared" si="88"/>
        <v>143.34690686738097</v>
      </c>
      <c r="AI63" s="585">
        <f t="shared" si="89"/>
        <v>-90.190869016381583</v>
      </c>
      <c r="AJ63" s="586">
        <f t="shared" si="90"/>
        <v>-126.65266587617087</v>
      </c>
      <c r="AK63" s="635">
        <f t="shared" si="211"/>
        <v>0.92499488765957527</v>
      </c>
      <c r="AL63" s="629">
        <f t="shared" si="91"/>
        <v>-0.37996494618996479</v>
      </c>
      <c r="AM63" s="634">
        <f t="shared" si="92"/>
        <v>3.331286614395218E-3</v>
      </c>
      <c r="AN63" s="581">
        <f t="shared" si="93"/>
        <v>-90.502319424530853</v>
      </c>
      <c r="AO63" s="582">
        <f t="shared" si="461"/>
        <v>22.332415893673989</v>
      </c>
      <c r="AP63" s="585">
        <f t="shared" si="95"/>
        <v>-22.331641955086322</v>
      </c>
      <c r="AQ63" s="586">
        <f t="shared" si="246"/>
        <v>0.39029010367431982</v>
      </c>
      <c r="AS63" s="52">
        <f t="shared" si="406"/>
        <v>-194.32102392108453</v>
      </c>
      <c r="AT63" s="72">
        <f t="shared" si="247"/>
        <v>-3.6204661708198067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4.1550000000000002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-1.4727577019834741</v>
      </c>
      <c r="C64" s="708">
        <v>-5.7132289251568027</v>
      </c>
      <c r="D64" s="709">
        <v>-4.5306136643308115</v>
      </c>
      <c r="E64" s="710">
        <v>0.65004475241033177</v>
      </c>
      <c r="F64" s="708">
        <v>-0.75989592699513164</v>
      </c>
      <c r="G64" s="711">
        <v>0</v>
      </c>
      <c r="H64" s="710">
        <v>0.314</v>
      </c>
      <c r="I64" s="708">
        <v>0.52</v>
      </c>
      <c r="J64" s="570">
        <v>4.1609999999999996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4.1609999999999996</v>
      </c>
      <c r="N64" s="632">
        <f t="shared" si="240"/>
        <v>-1.4727577019834741</v>
      </c>
      <c r="O64" s="629">
        <f t="shared" si="241"/>
        <v>-5.7132289251568027</v>
      </c>
      <c r="P64" s="633">
        <f t="shared" si="242"/>
        <v>-4.5306136643308115</v>
      </c>
      <c r="Q64" s="585">
        <f t="shared" si="113"/>
        <v>255.54497609826268</v>
      </c>
      <c r="R64" s="629">
        <f t="shared" si="79"/>
        <v>5.8999999999999995</v>
      </c>
      <c r="S64" s="634">
        <f t="shared" si="80"/>
        <v>-4.5306136643308115</v>
      </c>
      <c r="T64" s="635">
        <f t="shared" si="81"/>
        <v>-5.7132289251568027</v>
      </c>
      <c r="U64" s="629">
        <f t="shared" si="82"/>
        <v>1.4727577019834734</v>
      </c>
      <c r="V64" s="636">
        <f t="shared" si="114"/>
        <v>-4.5306136643308115</v>
      </c>
      <c r="W64" s="585">
        <f t="shared" si="224"/>
        <v>165.54497609826268</v>
      </c>
      <c r="X64" s="629">
        <f t="shared" si="83"/>
        <v>5.8999999999999995</v>
      </c>
      <c r="Y64" s="630">
        <f t="shared" si="223"/>
        <v>-4.5306136643308115</v>
      </c>
      <c r="Z64" s="632">
        <f t="shared" si="243"/>
        <v>-0.65004475241033177</v>
      </c>
      <c r="AA64" s="629">
        <f t="shared" si="244"/>
        <v>0.75989592699513164</v>
      </c>
      <c r="AB64" s="629">
        <f t="shared" si="245"/>
        <v>0</v>
      </c>
      <c r="AC64" s="636">
        <f t="shared" si="84"/>
        <v>1</v>
      </c>
      <c r="AD64" s="637">
        <f t="shared" si="115"/>
        <v>-0.65004475241033177</v>
      </c>
      <c r="AE64" s="629">
        <f t="shared" si="85"/>
        <v>0.75989592699513164</v>
      </c>
      <c r="AF64" s="633">
        <f t="shared" si="86"/>
        <v>0</v>
      </c>
      <c r="AG64" s="602">
        <f t="shared" si="87"/>
        <v>90</v>
      </c>
      <c r="AH64" s="603">
        <f t="shared" si="88"/>
        <v>130.54497609826268</v>
      </c>
      <c r="AI64" s="585">
        <f t="shared" si="89"/>
        <v>-90</v>
      </c>
      <c r="AJ64" s="586">
        <f t="shared" si="90"/>
        <v>-139.45502390173732</v>
      </c>
      <c r="AK64" s="635">
        <f t="shared" si="211"/>
        <v>0.8191520442889918</v>
      </c>
      <c r="AL64" s="629">
        <f t="shared" si="91"/>
        <v>-0.57357643635104616</v>
      </c>
      <c r="AM64" s="634">
        <f t="shared" si="92"/>
        <v>0</v>
      </c>
      <c r="AN64" s="581">
        <f t="shared" si="93"/>
        <v>-90</v>
      </c>
      <c r="AO64" s="582">
        <f t="shared" si="461"/>
        <v>35</v>
      </c>
      <c r="AP64" s="585">
        <f t="shared" si="95"/>
        <v>-35.000000000000007</v>
      </c>
      <c r="AQ64" s="586">
        <f t="shared" si="246"/>
        <v>0.38638848687695354</v>
      </c>
      <c r="AS64" s="52">
        <f t="shared" si="406"/>
        <v>-194.45502390173732</v>
      </c>
      <c r="AT64" s="72">
        <f t="shared" si="247"/>
        <v>-4.3955754532879387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4.1609999999999996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-1.7871915935402036</v>
      </c>
      <c r="C65" s="708">
        <v>-3.8181382766907745</v>
      </c>
      <c r="D65" s="709">
        <v>-0.43000129688391142</v>
      </c>
      <c r="E65" s="710">
        <v>0.78364086601519811</v>
      </c>
      <c r="F65" s="708">
        <v>-0.60221239639138702</v>
      </c>
      <c r="G65" s="711">
        <v>0.15247039956494315</v>
      </c>
      <c r="H65" s="710">
        <v>0.314</v>
      </c>
      <c r="I65" s="708">
        <v>0.52</v>
      </c>
      <c r="J65" s="570">
        <v>4.2249999999999996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1613</v>
      </c>
      <c r="L65" s="320"/>
      <c r="M65" s="168">
        <f t="shared" si="239"/>
        <v>4.2249999999999996</v>
      </c>
      <c r="N65" s="632">
        <f t="shared" si="240"/>
        <v>-1.7871915935402036</v>
      </c>
      <c r="O65" s="629">
        <f t="shared" si="241"/>
        <v>-3.8181382766907745</v>
      </c>
      <c r="P65" s="633">
        <f t="shared" si="242"/>
        <v>-0.43000129688391142</v>
      </c>
      <c r="Q65" s="585">
        <f t="shared" si="113"/>
        <v>244.91667763279912</v>
      </c>
      <c r="R65" s="629">
        <f t="shared" si="79"/>
        <v>4.2157127145895474</v>
      </c>
      <c r="S65" s="634">
        <f t="shared" si="80"/>
        <v>-0.43000129688391142</v>
      </c>
      <c r="T65" s="635">
        <f t="shared" si="81"/>
        <v>-3.818138276690775</v>
      </c>
      <c r="U65" s="629">
        <f t="shared" si="82"/>
        <v>1.787191593540203</v>
      </c>
      <c r="V65" s="636">
        <f t="shared" si="114"/>
        <v>-0.43000129688391142</v>
      </c>
      <c r="W65" s="585">
        <f t="shared" si="224"/>
        <v>154.91667763279912</v>
      </c>
      <c r="X65" s="629">
        <f t="shared" si="83"/>
        <v>4.2157127145895474</v>
      </c>
      <c r="Y65" s="630">
        <f t="shared" si="223"/>
        <v>-0.43000129688391142</v>
      </c>
      <c r="Z65" s="632">
        <f t="shared" si="243"/>
        <v>-0.78364086601519811</v>
      </c>
      <c r="AA65" s="629">
        <f t="shared" si="244"/>
        <v>0.60221239639138702</v>
      </c>
      <c r="AB65" s="629">
        <f t="shared" si="245"/>
        <v>-0.15247039956494315</v>
      </c>
      <c r="AC65" s="636">
        <f t="shared" si="84"/>
        <v>1</v>
      </c>
      <c r="AD65" s="637">
        <f t="shared" si="115"/>
        <v>-0.78364086601519811</v>
      </c>
      <c r="AE65" s="629">
        <f t="shared" si="85"/>
        <v>0.60221239639138702</v>
      </c>
      <c r="AF65" s="633">
        <f t="shared" si="86"/>
        <v>-0.15247039956494315</v>
      </c>
      <c r="AG65" s="602">
        <f t="shared" si="87"/>
        <v>75.792199839168887</v>
      </c>
      <c r="AH65" s="603">
        <f t="shared" si="88"/>
        <v>141.59514914274754</v>
      </c>
      <c r="AI65" s="585">
        <f t="shared" si="89"/>
        <v>-81.229882928192595</v>
      </c>
      <c r="AJ65" s="586">
        <f t="shared" si="90"/>
        <v>-127.54156028469752</v>
      </c>
      <c r="AK65" s="635">
        <f t="shared" si="211"/>
        <v>0.96503684987562632</v>
      </c>
      <c r="AL65" s="629">
        <f t="shared" si="91"/>
        <v>-0.21320566511852945</v>
      </c>
      <c r="AM65" s="634">
        <f t="shared" si="92"/>
        <v>-0.15247039956494315</v>
      </c>
      <c r="AN65" s="581">
        <f t="shared" si="93"/>
        <v>-54.430191139665951</v>
      </c>
      <c r="AO65" s="582">
        <f t="shared" si="461"/>
        <v>15.195551130726891</v>
      </c>
      <c r="AP65" s="585">
        <f t="shared" si="95"/>
        <v>-12.458237917496659</v>
      </c>
      <c r="AQ65" s="586">
        <f t="shared" si="246"/>
        <v>0.54075291594256303</v>
      </c>
      <c r="AS65" s="52">
        <f t="shared" si="406"/>
        <v>-205.08332236720088</v>
      </c>
      <c r="AT65" s="72">
        <f t="shared" si="247"/>
        <v>-0.28758232301779973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>Nose</v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4.2249999999999996</v>
      </c>
      <c r="IH65" s="731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4.125</v>
      </c>
      <c r="II65" s="734" cm="1">
        <f t="array" ref="II65">IFERROR(ROUND(VALUE(IF($IH65&lt;1,$IH65+LARGE((IF($M$9:$M$150="",0,$M$9:$M$150)-MOD(IF($M$9:$M$150="",0,$M$9:$M$150),1)),1),$IH65)),4),"")</f>
        <v>4.125</v>
      </c>
      <c r="IJ65" s="533">
        <f t="shared" si="112"/>
        <v>1613</v>
      </c>
      <c r="IK65" s="533">
        <f t="shared" si="382"/>
        <v>1613</v>
      </c>
      <c r="IL65" s="727">
        <f t="shared" si="225"/>
        <v>13.40029806523637</v>
      </c>
      <c r="IM65" s="759">
        <v>9.4089530886711796E-10</v>
      </c>
      <c r="IN65" s="5">
        <f t="shared" si="226"/>
        <v>0</v>
      </c>
      <c r="IO65" s="771">
        <v>0</v>
      </c>
      <c r="IP65" s="9">
        <f t="shared" si="227"/>
        <v>-4.2157127145895474</v>
      </c>
      <c r="IQ65" s="5">
        <f t="shared" si="228"/>
        <v>-0.43000129688391142</v>
      </c>
      <c r="IR65" s="5">
        <f t="shared" si="383"/>
        <v>0.314</v>
      </c>
      <c r="IS65" s="5">
        <f t="shared" si="229"/>
        <v>0.30302156818577436</v>
      </c>
      <c r="IT65" s="727">
        <f t="shared" si="230"/>
        <v>54.430191479761874</v>
      </c>
      <c r="IU65" s="9">
        <f t="shared" si="231"/>
        <v>-4.2157127145895474</v>
      </c>
      <c r="IV65" s="5">
        <f t="shared" si="232"/>
        <v>-0.43000129688391142</v>
      </c>
      <c r="IW65" s="5">
        <f t="shared" si="384"/>
        <v>0.314</v>
      </c>
      <c r="IX65" s="5">
        <f t="shared" si="233"/>
        <v>0.30302157086094667</v>
      </c>
      <c r="IY65" s="762">
        <f t="shared" si="234"/>
        <v>54.430191139665951</v>
      </c>
    </row>
    <row r="66" spans="1:259" ht="15" customHeight="1" x14ac:dyDescent="0.25">
      <c r="A66" s="79"/>
      <c r="B66" s="707">
        <v>-1.969009977976957</v>
      </c>
      <c r="C66" s="708">
        <v>-4.3648496622015553</v>
      </c>
      <c r="D66" s="709">
        <v>-0.93410281725409694</v>
      </c>
      <c r="E66" s="710">
        <v>0.76631916950672307</v>
      </c>
      <c r="F66" s="708">
        <v>-0.63025250941790678</v>
      </c>
      <c r="G66" s="711">
        <v>0.12464631891459065</v>
      </c>
      <c r="H66" s="710">
        <v>0.314</v>
      </c>
      <c r="I66" s="708">
        <v>0.52</v>
      </c>
      <c r="J66" s="570">
        <v>4.2309999999999999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1613</v>
      </c>
      <c r="L66" s="320"/>
      <c r="M66" s="168">
        <f t="shared" si="239"/>
        <v>4.2309999999999999</v>
      </c>
      <c r="N66" s="632">
        <f t="shared" si="240"/>
        <v>-1.969009977976957</v>
      </c>
      <c r="O66" s="629">
        <f t="shared" si="241"/>
        <v>-4.3648496622015553</v>
      </c>
      <c r="P66" s="633">
        <f t="shared" si="242"/>
        <v>-0.93410281725409694</v>
      </c>
      <c r="Q66" s="585">
        <f t="shared" si="113"/>
        <v>245.71957751687472</v>
      </c>
      <c r="R66" s="629">
        <f t="shared" si="79"/>
        <v>4.7884144418579568</v>
      </c>
      <c r="S66" s="634">
        <f t="shared" si="80"/>
        <v>-0.93410281725409694</v>
      </c>
      <c r="T66" s="635">
        <f t="shared" si="81"/>
        <v>-4.3648496622015553</v>
      </c>
      <c r="U66" s="629">
        <f t="shared" si="82"/>
        <v>1.9690099779769568</v>
      </c>
      <c r="V66" s="636">
        <f t="shared" si="114"/>
        <v>-0.93410281725409694</v>
      </c>
      <c r="W66" s="585">
        <f t="shared" si="224"/>
        <v>155.71957751687472</v>
      </c>
      <c r="X66" s="629">
        <f t="shared" si="83"/>
        <v>4.7884144418579568</v>
      </c>
      <c r="Y66" s="630">
        <f t="shared" si="223"/>
        <v>-0.93410281725409694</v>
      </c>
      <c r="Z66" s="632">
        <f t="shared" si="243"/>
        <v>-0.76631916950672307</v>
      </c>
      <c r="AA66" s="629">
        <f t="shared" si="244"/>
        <v>0.63025250941790678</v>
      </c>
      <c r="AB66" s="629">
        <f t="shared" si="245"/>
        <v>-0.12464631891459065</v>
      </c>
      <c r="AC66" s="636">
        <f t="shared" si="84"/>
        <v>1</v>
      </c>
      <c r="AD66" s="637">
        <f t="shared" si="115"/>
        <v>-0.76631916950672307</v>
      </c>
      <c r="AE66" s="629">
        <f t="shared" si="85"/>
        <v>0.63025250941790678</v>
      </c>
      <c r="AF66" s="633">
        <f t="shared" si="86"/>
        <v>-0.12464631891459065</v>
      </c>
      <c r="AG66" s="602">
        <f t="shared" si="87"/>
        <v>78.812863424608267</v>
      </c>
      <c r="AH66" s="603">
        <f t="shared" si="88"/>
        <v>140.02449436424357</v>
      </c>
      <c r="AI66" s="585">
        <f t="shared" si="89"/>
        <v>-82.839668389471115</v>
      </c>
      <c r="AJ66" s="586">
        <f t="shared" si="90"/>
        <v>-129.43528947348236</v>
      </c>
      <c r="AK66" s="635">
        <f t="shared" si="211"/>
        <v>0.95769518355840444</v>
      </c>
      <c r="AL66" s="629">
        <f t="shared" si="91"/>
        <v>-0.25939011270685763</v>
      </c>
      <c r="AM66" s="634">
        <f t="shared" si="92"/>
        <v>-0.12464631891459065</v>
      </c>
      <c r="AN66" s="581">
        <f t="shared" si="93"/>
        <v>-64.334033904219126</v>
      </c>
      <c r="AO66" s="582">
        <f t="shared" si="461"/>
        <v>16.72536542499715</v>
      </c>
      <c r="AP66" s="585">
        <f t="shared" si="95"/>
        <v>-15.154866990357068</v>
      </c>
      <c r="AQ66" s="586">
        <f t="shared" si="246"/>
        <v>0.47608121505445561</v>
      </c>
      <c r="AS66" s="52">
        <f t="shared" si="406"/>
        <v>-204.28042248312528</v>
      </c>
      <c r="AT66" s="72">
        <f t="shared" si="247"/>
        <v>-0.79224141275192661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>Taper</v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4.2309999999999999</v>
      </c>
      <c r="IH66" s="731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4.1310000000000002</v>
      </c>
      <c r="II66" s="734" cm="1">
        <f t="array" ref="II66">IFERROR(ROUND(VALUE(IF($IH66&lt;1,$IH66+LARGE((IF($M$9:$M$150="",0,$M$9:$M$150)-MOD(IF($M$9:$M$150="",0,$M$9:$M$150),1)),1),$IH66)),4),"")</f>
        <v>4.1310000000000002</v>
      </c>
      <c r="IJ66" s="533">
        <f t="shared" si="112"/>
        <v>1613</v>
      </c>
      <c r="IK66" s="533">
        <f t="shared" si="382"/>
        <v>1613</v>
      </c>
      <c r="IL66" s="727">
        <f t="shared" si="225"/>
        <v>11.738398305184944</v>
      </c>
      <c r="IM66" s="759">
        <v>1.59621610972279E-9</v>
      </c>
      <c r="IN66" s="5">
        <f t="shared" si="226"/>
        <v>0</v>
      </c>
      <c r="IO66" s="771">
        <v>0</v>
      </c>
      <c r="IP66" s="9">
        <f t="shared" si="227"/>
        <v>-4.7884144418579568</v>
      </c>
      <c r="IQ66" s="5">
        <f t="shared" si="228"/>
        <v>-0.93410281725409694</v>
      </c>
      <c r="IR66" s="5">
        <f t="shared" si="383"/>
        <v>0.314</v>
      </c>
      <c r="IS66" s="5">
        <f t="shared" si="229"/>
        <v>0.30071628457398275</v>
      </c>
      <c r="IT66" s="727">
        <f t="shared" si="230"/>
        <v>64.334034412850414</v>
      </c>
      <c r="IU66" s="9">
        <f t="shared" si="231"/>
        <v>-4.7884144418579568</v>
      </c>
      <c r="IV66" s="5">
        <f t="shared" si="232"/>
        <v>-0.93410281725409694</v>
      </c>
      <c r="IW66" s="5">
        <f t="shared" si="384"/>
        <v>0.314</v>
      </c>
      <c r="IX66" s="5">
        <f t="shared" si="233"/>
        <v>0.30071628763733899</v>
      </c>
      <c r="IY66" s="762">
        <f t="shared" si="234"/>
        <v>64.334033904219126</v>
      </c>
    </row>
    <row r="67" spans="1:259" ht="15" customHeight="1" x14ac:dyDescent="0.25">
      <c r="A67" s="79"/>
      <c r="B67" s="707">
        <v>-2.1211443542607897</v>
      </c>
      <c r="C67" s="708">
        <v>-4.7721408640517842</v>
      </c>
      <c r="D67" s="709">
        <v>-1.5632047146254195</v>
      </c>
      <c r="E67" s="710">
        <v>0.75704100692653864</v>
      </c>
      <c r="F67" s="708">
        <v>-0.64827796901428569</v>
      </c>
      <c r="G67" s="711">
        <v>8.1391576482860592E-2</v>
      </c>
      <c r="H67" s="710">
        <v>0.314</v>
      </c>
      <c r="I67" s="708">
        <v>0.52</v>
      </c>
      <c r="J67" s="570">
        <v>4.2370000000000001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1613</v>
      </c>
      <c r="L67" s="320"/>
      <c r="M67" s="168">
        <f t="shared" si="239"/>
        <v>4.2370000000000001</v>
      </c>
      <c r="N67" s="632">
        <f t="shared" si="240"/>
        <v>-2.1211443542607897</v>
      </c>
      <c r="O67" s="629">
        <f t="shared" si="241"/>
        <v>-4.7721408640517842</v>
      </c>
      <c r="P67" s="633">
        <f t="shared" si="242"/>
        <v>-1.5632047146254195</v>
      </c>
      <c r="Q67" s="585">
        <f t="shared" si="113"/>
        <v>246.03557747124998</v>
      </c>
      <c r="R67" s="629">
        <f>IF(M67="","",SQRT(N67^2+O67^2))</f>
        <v>5.2223157505043041</v>
      </c>
      <c r="S67" s="634">
        <f>IF(M67="","",P67)</f>
        <v>-1.5632047146254195</v>
      </c>
      <c r="T67" s="635">
        <f>IF(M67="","",X67*COS(RADIANS(W67)))</f>
        <v>-4.7721408640517851</v>
      </c>
      <c r="U67" s="629">
        <f>IF(M67="","",X67*SIN(RADIANS(W67)))</f>
        <v>2.1211443542607884</v>
      </c>
      <c r="V67" s="636">
        <f>IF(M67="","",Y67)</f>
        <v>-1.5632047146254195</v>
      </c>
      <c r="W67" s="585">
        <f t="shared" si="224"/>
        <v>156.03557747124998</v>
      </c>
      <c r="X67" s="629">
        <f>IF(M67="","",R67)</f>
        <v>5.2223157505043041</v>
      </c>
      <c r="Y67" s="630">
        <f t="shared" si="223"/>
        <v>-1.5632047146254195</v>
      </c>
      <c r="Z67" s="632">
        <f t="shared" si="243"/>
        <v>-0.75704100692653864</v>
      </c>
      <c r="AA67" s="629">
        <f t="shared" si="244"/>
        <v>0.64827796901428569</v>
      </c>
      <c r="AB67" s="629">
        <f t="shared" si="245"/>
        <v>-8.1391576482860592E-2</v>
      </c>
      <c r="AC67" s="636">
        <f>IF(M67="","",SQRT(Z67^2+AA67^2+AB67^2))</f>
        <v>1</v>
      </c>
      <c r="AD67" s="637">
        <f>IF(M67="","",Z67*(1/SQRT(Z67^2+AA67^2+AB67^2)))</f>
        <v>-0.75704100692653864</v>
      </c>
      <c r="AE67" s="629">
        <f>IF(M67="","",AA67*(1/SQRT(Z67^2+AA67^2+AB67^2)))</f>
        <v>0.64827796901428569</v>
      </c>
      <c r="AF67" s="633">
        <f>IF(M67="","",AB67*(1/SQRT(Z67^2+AA67^2+AB67^2)))</f>
        <v>-8.1391576482860592E-2</v>
      </c>
      <c r="AG67" s="602">
        <f>IF(M67="","",DEGREES(ATAN2(-AF67,AE67)))</f>
        <v>82.843933743117518</v>
      </c>
      <c r="AH67" s="603">
        <f>IF(M67="","",DEGREES(ACOS(AD67)))</f>
        <v>139.2040294434436</v>
      </c>
      <c r="AI67" s="585">
        <f>IF(M67="","",DEGREES(-ACOS(-AF67)))</f>
        <v>-85.331441925426148</v>
      </c>
      <c r="AJ67" s="586">
        <f>IF(M67="","",DEGREES(ATAN2(-AE67,AD67)))</f>
        <v>-130.57448129721598</v>
      </c>
      <c r="AK67" s="635">
        <f>IF(M67="","",(COS(RADIANS((90-$Q$8)-W67))*AD67)+(-SIN(RADIANS((90-$Q$8)-W67))*AE67))</f>
        <v>0.95509305012851642</v>
      </c>
      <c r="AL67" s="629">
        <f>IF(M67="","",(SIN(RADIANS((90-$Q$8)-W67))*AD67)+(COS(RADIANS((90-$Q$8)-W67))*AE67))</f>
        <v>-0.28490819025405723</v>
      </c>
      <c r="AM67" s="634">
        <f>IF(M67="","",AF67)</f>
        <v>-8.1391576482860592E-2</v>
      </c>
      <c r="AN67" s="581">
        <f>IF(M67="","",DEGREES(ATAN2(-AM67,AL67)))</f>
        <v>-74.056605340014045</v>
      </c>
      <c r="AO67" s="582">
        <f t="shared" si="461"/>
        <v>17.235869399342185</v>
      </c>
      <c r="AP67" s="585">
        <f>IF(M67="","",DEGREES(ATAN2(AK67,AL67)))</f>
        <v>-16.610058768465993</v>
      </c>
      <c r="AQ67" s="586">
        <f t="shared" si="246"/>
        <v>0.43652713288946288</v>
      </c>
      <c r="AS67" s="52">
        <f t="shared" si="406"/>
        <v>-203.96442252875002</v>
      </c>
      <c r="AT67" s="72">
        <f t="shared" si="247"/>
        <v>-1.4215627545360099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>Taper</v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4.2370000000000001</v>
      </c>
      <c r="IH67" s="731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4.1369999999999996</v>
      </c>
      <c r="II67" s="734" cm="1">
        <f t="array" ref="II67">IFERROR(ROUND(VALUE(IF($IH67&lt;1,$IH67+LARGE((IF($M$9:$M$150="",0,$M$9:$M$150)-MOD(IF($M$9:$M$150="",0,$M$9:$M$150),1)),1),$IH67)),4),"")</f>
        <v>4.1369999999999996</v>
      </c>
      <c r="IJ67" s="533">
        <f t="shared" si="112"/>
        <v>1613</v>
      </c>
      <c r="IK67" s="533">
        <f t="shared" si="382"/>
        <v>1613</v>
      </c>
      <c r="IL67" s="727">
        <f t="shared" si="225"/>
        <v>10.720398452165938</v>
      </c>
      <c r="IM67" s="759">
        <v>2.5883620985549E-9</v>
      </c>
      <c r="IN67" s="5">
        <f t="shared" si="226"/>
        <v>0</v>
      </c>
      <c r="IO67" s="771">
        <v>0</v>
      </c>
      <c r="IP67" s="9">
        <f t="shared" si="227"/>
        <v>-5.2223157505043032</v>
      </c>
      <c r="IQ67" s="5">
        <f t="shared" si="228"/>
        <v>-1.5632047146254193</v>
      </c>
      <c r="IR67" s="5">
        <f t="shared" si="383"/>
        <v>0.314</v>
      </c>
      <c r="IS67" s="5">
        <f t="shared" si="229"/>
        <v>0.29989921467969466</v>
      </c>
      <c r="IT67" s="727">
        <f t="shared" si="230"/>
        <v>74.05660605426705</v>
      </c>
      <c r="IU67" s="9">
        <f t="shared" si="231"/>
        <v>-5.2223157505043041</v>
      </c>
      <c r="IV67" s="5">
        <f t="shared" si="232"/>
        <v>-1.5632047146254195</v>
      </c>
      <c r="IW67" s="5">
        <f t="shared" si="384"/>
        <v>0.314</v>
      </c>
      <c r="IX67" s="5">
        <f t="shared" si="233"/>
        <v>0.29989921774035416</v>
      </c>
      <c r="IY67" s="762">
        <f t="shared" si="234"/>
        <v>74.056605340014045</v>
      </c>
    </row>
    <row r="68" spans="1:259" ht="15" customHeight="1" x14ac:dyDescent="0.25">
      <c r="A68" s="79"/>
      <c r="B68" s="707">
        <v>-2.2394803890825066</v>
      </c>
      <c r="C68" s="708">
        <v>-5.0615139446716366</v>
      </c>
      <c r="D68" s="709">
        <v>-2.2613068201013693</v>
      </c>
      <c r="E68" s="710">
        <v>0.75003016786243415</v>
      </c>
      <c r="F68" s="708">
        <v>-0.66027071740931098</v>
      </c>
      <c r="G68" s="711">
        <v>3.8695310155661113E-2</v>
      </c>
      <c r="H68" s="710">
        <v>0.314</v>
      </c>
      <c r="I68" s="708">
        <v>0.52</v>
      </c>
      <c r="J68" s="570">
        <v>4.2430000000000003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1613</v>
      </c>
      <c r="L68" s="320"/>
      <c r="M68" s="168">
        <f t="shared" si="239"/>
        <v>4.2430000000000003</v>
      </c>
      <c r="N68" s="632">
        <f t="shared" si="240"/>
        <v>-2.2394803890825066</v>
      </c>
      <c r="O68" s="629">
        <f t="shared" si="241"/>
        <v>-5.0615139446716366</v>
      </c>
      <c r="P68" s="633">
        <f t="shared" si="242"/>
        <v>-2.2613068201013693</v>
      </c>
      <c r="Q68" s="585">
        <f t="shared" si="113"/>
        <v>246.1328774572016</v>
      </c>
      <c r="R68" s="629">
        <f>IF(M68="","",SQRT(N68^2+O68^2))</f>
        <v>5.534816693007147</v>
      </c>
      <c r="S68" s="634">
        <f>IF(M68="","",P68)</f>
        <v>-2.2613068201013693</v>
      </c>
      <c r="T68" s="635">
        <f>IF(M68="","",X68*COS(RADIANS(W68)))</f>
        <v>-5.0615139446716375</v>
      </c>
      <c r="U68" s="629">
        <f>IF(M68="","",X68*SIN(RADIANS(W68)))</f>
        <v>2.2394803890825057</v>
      </c>
      <c r="V68" s="636">
        <f>IF(M68="","",Y68)</f>
        <v>-2.2613068201013693</v>
      </c>
      <c r="W68" s="585">
        <f t="shared" si="224"/>
        <v>156.1328774572016</v>
      </c>
      <c r="X68" s="629">
        <f>IF(M68="","",R68)</f>
        <v>5.534816693007147</v>
      </c>
      <c r="Y68" s="630">
        <f t="shared" si="223"/>
        <v>-2.2613068201013693</v>
      </c>
      <c r="Z68" s="632">
        <f t="shared" si="243"/>
        <v>-0.75003016786243415</v>
      </c>
      <c r="AA68" s="629">
        <f t="shared" si="244"/>
        <v>0.66027071740931098</v>
      </c>
      <c r="AB68" s="629">
        <f t="shared" si="245"/>
        <v>-3.8695310155661113E-2</v>
      </c>
      <c r="AC68" s="636">
        <f>IF(M68="","",SQRT(Z68^2+AA68^2+AB68^2))</f>
        <v>1</v>
      </c>
      <c r="AD68" s="637">
        <f>IF(M68="","",Z68*(1/SQRT(Z68^2+AA68^2+AB68^2)))</f>
        <v>-0.75003016786243415</v>
      </c>
      <c r="AE68" s="629">
        <f>IF(M68="","",AA68*(1/SQRT(Z68^2+AA68^2+AB68^2)))</f>
        <v>0.66027071740931098</v>
      </c>
      <c r="AF68" s="633">
        <f>IF(M68="","",AB68*(1/SQRT(Z68^2+AA68^2+AB68^2)))</f>
        <v>-3.8695310155661113E-2</v>
      </c>
      <c r="AG68" s="602">
        <f>IF(M68="","",DEGREES(ATAN2(-AF68,AE68)))</f>
        <v>86.646004615105426</v>
      </c>
      <c r="AH68" s="603">
        <f>IF(M68="","",DEGREES(ACOS(AD68)))</f>
        <v>138.59299119136054</v>
      </c>
      <c r="AI68" s="585">
        <f>IF(M68="","",DEGREES(-ACOS(-AF68)))</f>
        <v>-87.782368386206755</v>
      </c>
      <c r="AJ68" s="586">
        <f>IF(M68="","",DEGREES(ATAN2(-AE68,AD68)))</f>
        <v>-131.35828749294095</v>
      </c>
      <c r="AK68" s="635">
        <f>IF(M68="","",(COS(RADIANS((90-$Q$8)-W68))*AD68)+(-SIN(RADIANS((90-$Q$8)-W68))*AE68))</f>
        <v>0.95304899317591496</v>
      </c>
      <c r="AL68" s="629">
        <f>IF(M68="","",(SIN(RADIANS((90-$Q$8)-W68))*AD68)+(COS(RADIANS((90-$Q$8)-W68))*AE68))</f>
        <v>-0.30033363044842687</v>
      </c>
      <c r="AM68" s="634">
        <f>IF(M68="","",AF68)</f>
        <v>-3.8695310155661113E-2</v>
      </c>
      <c r="AN68" s="581">
        <f>IF(M68="","",DEGREES(ATAN2(-AM68,AL68)))</f>
        <v>-82.658395053451201</v>
      </c>
      <c r="AO68" s="582">
        <f t="shared" si="461"/>
        <v>17.626825990739629</v>
      </c>
      <c r="AP68" s="585">
        <f>IF(M68="","",DEGREES(ATAN2(AK68,AL68)))</f>
        <v>-17.491164950142561</v>
      </c>
      <c r="AQ68" s="586">
        <f t="shared" si="246"/>
        <v>0.41188127598646312</v>
      </c>
      <c r="AS68" s="52">
        <f t="shared" si="406"/>
        <v>-203.8671225427984</v>
      </c>
      <c r="AT68" s="72">
        <f t="shared" si="247"/>
        <v>-2.119732429446648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>Taper</v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4.2430000000000003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4.1429999999999998</v>
      </c>
      <c r="II68" s="734" cm="1">
        <f t="array" ref="II68">IFERROR(ROUND(VALUE(IF($IH68&lt;1,$IH68+LARGE((IF($M$9:$M$150="",0,$M$9:$M$150)-MOD(IF($M$9:$M$150="",0,$M$9:$M$150),1)),1),$IH68)),4),"")</f>
        <v>4.1429999999999998</v>
      </c>
      <c r="IJ68" s="533">
        <f t="shared" si="112"/>
        <v>1613</v>
      </c>
      <c r="IK68" s="533">
        <f t="shared" si="382"/>
        <v>1613</v>
      </c>
      <c r="IL68" s="727">
        <f t="shared" si="225"/>
        <v>10.098098542014981</v>
      </c>
      <c r="IM68" s="759">
        <v>3.4017367170021901E-9</v>
      </c>
      <c r="IN68" s="5">
        <f t="shared" si="226"/>
        <v>0</v>
      </c>
      <c r="IO68" s="771">
        <v>0</v>
      </c>
      <c r="IP68" s="9">
        <f t="shared" si="227"/>
        <v>-5.534816693007147</v>
      </c>
      <c r="IQ68" s="5">
        <f t="shared" si="228"/>
        <v>-2.2613068201013693</v>
      </c>
      <c r="IR68" s="5">
        <f t="shared" si="383"/>
        <v>0.314</v>
      </c>
      <c r="IS68" s="5">
        <f t="shared" si="229"/>
        <v>0.29925738079869396</v>
      </c>
      <c r="IT68" s="727">
        <f t="shared" si="230"/>
        <v>82.658395930229076</v>
      </c>
      <c r="IU68" s="9">
        <f t="shared" si="231"/>
        <v>-5.534816693007147</v>
      </c>
      <c r="IV68" s="5">
        <f t="shared" si="232"/>
        <v>-2.2613068201013693</v>
      </c>
      <c r="IW68" s="5">
        <f t="shared" si="384"/>
        <v>0.314</v>
      </c>
      <c r="IX68" s="5">
        <f t="shared" si="233"/>
        <v>0.29925738385723732</v>
      </c>
      <c r="IY68" s="762">
        <f t="shared" si="234"/>
        <v>82.658395053451201</v>
      </c>
    </row>
    <row r="69" spans="1:259" ht="15" customHeight="1" x14ac:dyDescent="0.25">
      <c r="A69" s="79"/>
      <c r="B69" s="707">
        <v>-2.3252171551981049</v>
      </c>
      <c r="C69" s="708">
        <v>-5.2497175726705985</v>
      </c>
      <c r="D69" s="709">
        <v>-2.9979090416936702</v>
      </c>
      <c r="E69" s="710">
        <v>0.73585303300438443</v>
      </c>
      <c r="F69" s="708">
        <v>-0.67710741221178194</v>
      </c>
      <c r="G69" s="711">
        <v>6.7724549546219056E-3</v>
      </c>
      <c r="H69" s="710">
        <v>0.314</v>
      </c>
      <c r="I69" s="708">
        <v>0.52</v>
      </c>
      <c r="J69" s="570">
        <v>4.2489999999999997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1613</v>
      </c>
      <c r="L69" s="320"/>
      <c r="M69" s="168">
        <f t="shared" si="239"/>
        <v>4.2489999999999997</v>
      </c>
      <c r="N69" s="632">
        <f t="shared" si="240"/>
        <v>-2.3252171551981049</v>
      </c>
      <c r="O69" s="629">
        <f t="shared" si="241"/>
        <v>-5.2497175726705985</v>
      </c>
      <c r="P69" s="633">
        <f t="shared" si="242"/>
        <v>-2.9979090416936702</v>
      </c>
      <c r="Q69" s="585">
        <f t="shared" si="113"/>
        <v>246.1103774604502</v>
      </c>
      <c r="R69" s="629">
        <f t="shared" si="79"/>
        <v>5.7416173167178295</v>
      </c>
      <c r="S69" s="634">
        <f t="shared" si="80"/>
        <v>-2.9979090416936702</v>
      </c>
      <c r="T69" s="635">
        <f t="shared" si="81"/>
        <v>-5.2497175726705985</v>
      </c>
      <c r="U69" s="629">
        <f t="shared" si="82"/>
        <v>2.3252171551981049</v>
      </c>
      <c r="V69" s="636">
        <f t="shared" si="114"/>
        <v>-2.9979090416936702</v>
      </c>
      <c r="W69" s="585">
        <f t="shared" si="224"/>
        <v>156.1103774604502</v>
      </c>
      <c r="X69" s="629">
        <f t="shared" si="83"/>
        <v>5.7416173167178295</v>
      </c>
      <c r="Y69" s="630">
        <f t="shared" si="223"/>
        <v>-2.9979090416936702</v>
      </c>
      <c r="Z69" s="632">
        <f t="shared" si="243"/>
        <v>-0.73585303300438443</v>
      </c>
      <c r="AA69" s="629">
        <f t="shared" si="244"/>
        <v>0.67710741221178194</v>
      </c>
      <c r="AB69" s="629">
        <f t="shared" si="245"/>
        <v>-6.7724549546219056E-3</v>
      </c>
      <c r="AC69" s="636">
        <f t="shared" si="84"/>
        <v>1</v>
      </c>
      <c r="AD69" s="637">
        <f t="shared" si="115"/>
        <v>-0.73585303300438443</v>
      </c>
      <c r="AE69" s="629">
        <f t="shared" si="85"/>
        <v>0.67710741221178194</v>
      </c>
      <c r="AF69" s="633">
        <f t="shared" si="86"/>
        <v>-6.7724549546219056E-3</v>
      </c>
      <c r="AG69" s="602">
        <f t="shared" si="87"/>
        <v>89.426944470096316</v>
      </c>
      <c r="AH69" s="603">
        <f t="shared" si="88"/>
        <v>137.37934550593269</v>
      </c>
      <c r="AI69" s="585">
        <f t="shared" si="89"/>
        <v>-89.611963947832777</v>
      </c>
      <c r="AJ69" s="586">
        <f t="shared" si="90"/>
        <v>-132.61922652926785</v>
      </c>
      <c r="AK69" s="635">
        <f t="shared" si="211"/>
        <v>0.94702277583365579</v>
      </c>
      <c r="AL69" s="629">
        <f t="shared" si="91"/>
        <v>-0.32109499514350132</v>
      </c>
      <c r="AM69" s="634">
        <f t="shared" si="92"/>
        <v>-6.7724549546219056E-3</v>
      </c>
      <c r="AN69" s="581">
        <f t="shared" si="93"/>
        <v>-88.791710968124733</v>
      </c>
      <c r="AO69" s="582">
        <f t="shared" si="461"/>
        <v>18.733479005205051</v>
      </c>
      <c r="AP69" s="585">
        <f t="shared" si="95"/>
        <v>-18.729603989718054</v>
      </c>
      <c r="AQ69" s="586">
        <f t="shared" si="246"/>
        <v>0.39704668805627319</v>
      </c>
      <c r="AS69" s="52">
        <f t="shared" si="406"/>
        <v>-203.8896225395498</v>
      </c>
      <c r="AT69" s="72">
        <f t="shared" si="247"/>
        <v>-2.8563190260412052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>Taper</v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4.2489999999999997</v>
      </c>
      <c r="IH69" s="731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4.149</v>
      </c>
      <c r="II69" s="734" cm="1">
        <f t="array" ref="II69">IFERROR(ROUND(VALUE(IF($IH69&lt;1,$IH69+LARGE((IF($M$9:$M$150="",0,$M$9:$M$150)-MOD(IF($M$9:$M$150="",0,$M$9:$M$150),1)),1),$IH69)),4),"")</f>
        <v>4.149</v>
      </c>
      <c r="IJ69" s="533">
        <f t="shared" si="112"/>
        <v>1613</v>
      </c>
      <c r="IK69" s="533">
        <f t="shared" si="382"/>
        <v>1613</v>
      </c>
      <c r="IL69" s="727">
        <f t="shared" si="225"/>
        <v>9.763598590310778</v>
      </c>
      <c r="IM69" s="759">
        <v>3.1142723493102399E-9</v>
      </c>
      <c r="IN69" s="5">
        <f t="shared" si="226"/>
        <v>0</v>
      </c>
      <c r="IO69" s="771">
        <v>0</v>
      </c>
      <c r="IP69" s="9">
        <f t="shared" si="227"/>
        <v>-5.7416173167178277</v>
      </c>
      <c r="IQ69" s="5">
        <f t="shared" si="228"/>
        <v>-2.9979090416936698</v>
      </c>
      <c r="IR69" s="5">
        <f t="shared" si="383"/>
        <v>0.314</v>
      </c>
      <c r="IS69" s="5">
        <f t="shared" si="229"/>
        <v>0.29736514813896248</v>
      </c>
      <c r="IT69" s="727">
        <f t="shared" si="230"/>
        <v>88.791711817941589</v>
      </c>
      <c r="IU69" s="9">
        <f t="shared" si="231"/>
        <v>-5.7416173167178295</v>
      </c>
      <c r="IV69" s="5">
        <f t="shared" si="232"/>
        <v>-2.9979090416936702</v>
      </c>
      <c r="IW69" s="5">
        <f t="shared" si="384"/>
        <v>0.314</v>
      </c>
      <c r="IX69" s="5">
        <f t="shared" si="233"/>
        <v>0.29736515161176791</v>
      </c>
      <c r="IY69" s="762">
        <f t="shared" si="234"/>
        <v>88.791710968124733</v>
      </c>
    </row>
    <row r="70" spans="1:259" ht="15" customHeight="1" x14ac:dyDescent="0.25">
      <c r="A70" s="79"/>
      <c r="B70" s="707">
        <v>-0.4584119231998246</v>
      </c>
      <c r="C70" s="708">
        <v>-0.21376082864672855</v>
      </c>
      <c r="D70" s="709">
        <v>-0.69060208285588198</v>
      </c>
      <c r="E70" s="710">
        <v>0.47359441874391661</v>
      </c>
      <c r="F70" s="708">
        <v>-0.83146955959349167</v>
      </c>
      <c r="G70" s="711">
        <v>0.29045946017304541</v>
      </c>
      <c r="H70" s="710">
        <v>0.314</v>
      </c>
      <c r="I70" s="708">
        <v>0.52</v>
      </c>
      <c r="J70" s="570">
        <v>5.1020000000000003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1613</v>
      </c>
      <c r="L70" s="320"/>
      <c r="M70" s="168">
        <f t="shared" si="239"/>
        <v>5.1020000000000003</v>
      </c>
      <c r="N70" s="632">
        <f t="shared" si="240"/>
        <v>-0.4584119231998246</v>
      </c>
      <c r="O70" s="629">
        <f t="shared" si="241"/>
        <v>-0.21376082864672855</v>
      </c>
      <c r="P70" s="633">
        <f t="shared" si="242"/>
        <v>-0.69060208285588198</v>
      </c>
      <c r="Q70" s="585">
        <f t="shared" si="113"/>
        <v>204.99998339605673</v>
      </c>
      <c r="R70" s="629">
        <f t="shared" si="79"/>
        <v>0.50580152549740087</v>
      </c>
      <c r="S70" s="634">
        <f t="shared" si="80"/>
        <v>-0.69060208285588198</v>
      </c>
      <c r="T70" s="635">
        <f t="shared" si="81"/>
        <v>-0.21376082864672871</v>
      </c>
      <c r="U70" s="629">
        <f t="shared" si="82"/>
        <v>0.45841192319982449</v>
      </c>
      <c r="V70" s="636">
        <f t="shared" si="114"/>
        <v>-0.69060208285588198</v>
      </c>
      <c r="W70" s="585">
        <f t="shared" si="224"/>
        <v>114.99998339605673</v>
      </c>
      <c r="X70" s="629">
        <f t="shared" si="83"/>
        <v>0.50580152549740087</v>
      </c>
      <c r="Y70" s="630">
        <f t="shared" si="223"/>
        <v>-0.69060208285588198</v>
      </c>
      <c r="Z70" s="632">
        <f t="shared" si="243"/>
        <v>-0.47359441874391661</v>
      </c>
      <c r="AA70" s="629">
        <f t="shared" si="244"/>
        <v>0.83146955959349167</v>
      </c>
      <c r="AB70" s="629">
        <f t="shared" si="245"/>
        <v>-0.29045946017304541</v>
      </c>
      <c r="AC70" s="636">
        <f t="shared" si="84"/>
        <v>1</v>
      </c>
      <c r="AD70" s="637">
        <f t="shared" si="115"/>
        <v>-0.47359441874391661</v>
      </c>
      <c r="AE70" s="629">
        <f t="shared" si="85"/>
        <v>0.83146955959349167</v>
      </c>
      <c r="AF70" s="633">
        <f t="shared" si="86"/>
        <v>-0.29045946017304541</v>
      </c>
      <c r="AG70" s="602">
        <f t="shared" si="87"/>
        <v>70.744024694262023</v>
      </c>
      <c r="AH70" s="603">
        <f t="shared" si="88"/>
        <v>118.26787216468571</v>
      </c>
      <c r="AI70" s="585">
        <f t="shared" si="89"/>
        <v>-73.114534769632428</v>
      </c>
      <c r="AJ70" s="586">
        <f t="shared" si="90"/>
        <v>-150.33471465516058</v>
      </c>
      <c r="AK70" s="635">
        <f t="shared" si="211"/>
        <v>0.95371696400905348</v>
      </c>
      <c r="AL70" s="629">
        <f t="shared" si="91"/>
        <v>7.7828366019961182E-2</v>
      </c>
      <c r="AM70" s="634">
        <f t="shared" si="92"/>
        <v>-0.29045946017304541</v>
      </c>
      <c r="AN70" s="581">
        <f t="shared" si="93"/>
        <v>14.999997834268202</v>
      </c>
      <c r="AO70" s="582">
        <f t="shared" si="461"/>
        <v>17.499997473312952</v>
      </c>
      <c r="AP70" s="585">
        <f t="shared" si="95"/>
        <v>4.665301948782683</v>
      </c>
      <c r="AQ70" s="586">
        <f t="shared" si="246"/>
        <v>4.4978938946992724</v>
      </c>
      <c r="AS70" s="52">
        <f t="shared" si="406"/>
        <v>-245.00001660394327</v>
      </c>
      <c r="AT70" s="72">
        <f t="shared" si="247"/>
        <v>-0.52046318243647693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5.1020000000000003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>
        <f t="shared" si="112"/>
        <v>1613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-1.0756094710430049</v>
      </c>
      <c r="C71" s="708">
        <v>-0.50156455404890765</v>
      </c>
      <c r="D71" s="709">
        <v>-0.50810153243422185</v>
      </c>
      <c r="E71" s="710">
        <v>0.46892874953122005</v>
      </c>
      <c r="F71" s="708">
        <v>-0.84711618246675879</v>
      </c>
      <c r="G71" s="711">
        <v>0.25000000253206278</v>
      </c>
      <c r="H71" s="710">
        <v>0.314</v>
      </c>
      <c r="I71" s="708">
        <v>0.52</v>
      </c>
      <c r="J71" s="570">
        <v>5.1050000000000004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1613</v>
      </c>
      <c r="L71" s="320"/>
      <c r="M71" s="168">
        <f t="shared" si="239"/>
        <v>5.1050000000000004</v>
      </c>
      <c r="N71" s="632">
        <f t="shared" si="240"/>
        <v>-1.0756094710430049</v>
      </c>
      <c r="O71" s="629">
        <f t="shared" si="241"/>
        <v>-0.50156455404890765</v>
      </c>
      <c r="P71" s="633">
        <f t="shared" si="242"/>
        <v>-0.50810153243422185</v>
      </c>
      <c r="Q71" s="585">
        <f t="shared" si="113"/>
        <v>204.99998339605673</v>
      </c>
      <c r="R71" s="629">
        <f t="shared" si="79"/>
        <v>1.1868035793995957</v>
      </c>
      <c r="S71" s="634">
        <f t="shared" si="80"/>
        <v>-0.50810153243422185</v>
      </c>
      <c r="T71" s="635">
        <f t="shared" si="81"/>
        <v>-0.50156455404890798</v>
      </c>
      <c r="U71" s="629">
        <f t="shared" si="82"/>
        <v>1.0756094710430049</v>
      </c>
      <c r="V71" s="636">
        <f t="shared" si="114"/>
        <v>-0.50810153243422185</v>
      </c>
      <c r="W71" s="585">
        <f t="shared" si="224"/>
        <v>114.99998339605673</v>
      </c>
      <c r="X71" s="629">
        <f t="shared" si="83"/>
        <v>1.1868035793995957</v>
      </c>
      <c r="Y71" s="630">
        <f t="shared" si="223"/>
        <v>-0.50810153243422185</v>
      </c>
      <c r="Z71" s="632">
        <f t="shared" si="243"/>
        <v>-0.46892874953122005</v>
      </c>
      <c r="AA71" s="629">
        <f t="shared" si="244"/>
        <v>0.84711618246675879</v>
      </c>
      <c r="AB71" s="629">
        <f t="shared" si="245"/>
        <v>-0.25000000253206278</v>
      </c>
      <c r="AC71" s="636">
        <f t="shared" si="84"/>
        <v>1</v>
      </c>
      <c r="AD71" s="637">
        <f t="shared" si="115"/>
        <v>-0.46892874953122005</v>
      </c>
      <c r="AE71" s="629">
        <f t="shared" si="85"/>
        <v>0.84711618246675879</v>
      </c>
      <c r="AF71" s="633">
        <f t="shared" si="86"/>
        <v>-0.25000000253206278</v>
      </c>
      <c r="AG71" s="602">
        <f t="shared" si="87"/>
        <v>73.557673491671736</v>
      </c>
      <c r="AH71" s="603">
        <f t="shared" si="88"/>
        <v>117.96478179534547</v>
      </c>
      <c r="AI71" s="585">
        <f t="shared" si="89"/>
        <v>-75.522487664235697</v>
      </c>
      <c r="AJ71" s="586">
        <f t="shared" si="90"/>
        <v>-151.03288636095533</v>
      </c>
      <c r="AK71" s="635">
        <f t="shared" si="211"/>
        <v>0.96592582628906831</v>
      </c>
      <c r="AL71" s="629">
        <f t="shared" si="91"/>
        <v>6.6987288657992972E-2</v>
      </c>
      <c r="AM71" s="634">
        <f t="shared" si="92"/>
        <v>-0.25000000253206278</v>
      </c>
      <c r="AN71" s="581">
        <f t="shared" si="93"/>
        <v>14.999997834268202</v>
      </c>
      <c r="AO71" s="582">
        <f t="shared" si="461"/>
        <v>14.999999999999982</v>
      </c>
      <c r="AP71" s="585">
        <f t="shared" si="95"/>
        <v>3.967130242987924</v>
      </c>
      <c r="AQ71" s="586">
        <f t="shared" si="246"/>
        <v>1.9201771184520251</v>
      </c>
      <c r="AS71" s="52">
        <f t="shared" si="406"/>
        <v>-245.00001660394327</v>
      </c>
      <c r="AT71" s="72">
        <f t="shared" si="247"/>
        <v>-0.3379626320148168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5.1050000000000004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>
        <f t="shared" si="112"/>
        <v>1613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-1.704770319373013</v>
      </c>
      <c r="C72" s="708">
        <v>-0.79494685386416841</v>
      </c>
      <c r="D72" s="709">
        <v>-0.32210097145652994</v>
      </c>
      <c r="E72" s="710">
        <v>0.46892874510133487</v>
      </c>
      <c r="F72" s="708">
        <v>-0.84711619532694482</v>
      </c>
      <c r="G72" s="711">
        <v>0.24999996726497561</v>
      </c>
      <c r="H72" s="710">
        <v>0.314</v>
      </c>
      <c r="I72" s="708">
        <v>0.52</v>
      </c>
      <c r="J72" s="570">
        <v>5.1079999999999997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1613</v>
      </c>
      <c r="L72" s="320"/>
      <c r="M72" s="168">
        <f t="shared" si="239"/>
        <v>5.1079999999999997</v>
      </c>
      <c r="N72" s="632">
        <f t="shared" si="240"/>
        <v>-1.704770319373013</v>
      </c>
      <c r="O72" s="629">
        <f t="shared" si="241"/>
        <v>-0.79494685386416841</v>
      </c>
      <c r="P72" s="633">
        <f t="shared" si="242"/>
        <v>-0.32210097145652994</v>
      </c>
      <c r="Q72" s="585">
        <f t="shared" si="113"/>
        <v>204.99998339605673</v>
      </c>
      <c r="R72" s="629">
        <f t="shared" si="79"/>
        <v>1.8810056731131102</v>
      </c>
      <c r="S72" s="634">
        <f t="shared" si="80"/>
        <v>-0.32210097145652994</v>
      </c>
      <c r="T72" s="635">
        <f t="shared" si="81"/>
        <v>-0.79494685386416908</v>
      </c>
      <c r="U72" s="629">
        <f t="shared" si="82"/>
        <v>1.7047703193730128</v>
      </c>
      <c r="V72" s="636">
        <f t="shared" si="114"/>
        <v>-0.32210097145652994</v>
      </c>
      <c r="W72" s="585">
        <f t="shared" si="224"/>
        <v>114.99998339605673</v>
      </c>
      <c r="X72" s="629">
        <f t="shared" si="83"/>
        <v>1.8810056731131102</v>
      </c>
      <c r="Y72" s="630">
        <f t="shared" si="223"/>
        <v>-0.32210097145652994</v>
      </c>
      <c r="Z72" s="632">
        <f t="shared" si="243"/>
        <v>-0.46892874510133487</v>
      </c>
      <c r="AA72" s="629">
        <f t="shared" si="244"/>
        <v>0.84711619532694482</v>
      </c>
      <c r="AB72" s="629">
        <f t="shared" si="245"/>
        <v>-0.24999996726497561</v>
      </c>
      <c r="AC72" s="636">
        <f t="shared" si="84"/>
        <v>1</v>
      </c>
      <c r="AD72" s="637">
        <f t="shared" si="115"/>
        <v>-0.46892874510133487</v>
      </c>
      <c r="AE72" s="629">
        <f t="shared" si="85"/>
        <v>0.84711619532694482</v>
      </c>
      <c r="AF72" s="633">
        <f t="shared" si="86"/>
        <v>-0.24999996726497561</v>
      </c>
      <c r="AG72" s="602">
        <f t="shared" si="87"/>
        <v>73.557675922032189</v>
      </c>
      <c r="AH72" s="603">
        <f t="shared" si="88"/>
        <v>117.96478150797752</v>
      </c>
      <c r="AI72" s="585">
        <f t="shared" si="89"/>
        <v>-75.522489751159469</v>
      </c>
      <c r="AJ72" s="586">
        <f t="shared" si="90"/>
        <v>-151.03288695885672</v>
      </c>
      <c r="AK72" s="635">
        <f t="shared" si="211"/>
        <v>0.9659258360722075</v>
      </c>
      <c r="AL72" s="629">
        <f t="shared" si="91"/>
        <v>6.6987279208206907E-2</v>
      </c>
      <c r="AM72" s="634">
        <f t="shared" si="92"/>
        <v>-0.24999996726497561</v>
      </c>
      <c r="AN72" s="581">
        <f t="shared" si="93"/>
        <v>14.999997834268207</v>
      </c>
      <c r="AO72" s="582">
        <f t="shared" si="461"/>
        <v>14.99999783426823</v>
      </c>
      <c r="AP72" s="585">
        <f t="shared" si="95"/>
        <v>3.9671296450865539</v>
      </c>
      <c r="AQ72" s="586">
        <f t="shared" si="246"/>
        <v>1.211791510275275</v>
      </c>
      <c r="AS72" s="52">
        <f t="shared" si="406"/>
        <v>-245.00001660394327</v>
      </c>
      <c r="AT72" s="72">
        <f t="shared" si="247"/>
        <v>-0.15196207103712489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5.1079999999999997</v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>
        <f t="shared" si="112"/>
        <v>1613</v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>
        <v>-2.345025698161546</v>
      </c>
      <c r="C73" s="708">
        <v>-1.0915101429844212</v>
      </c>
      <c r="D73" s="709">
        <v>-0.13550040866923257</v>
      </c>
      <c r="E73" s="710">
        <v>0.42417450312933791</v>
      </c>
      <c r="F73" s="708">
        <v>-0.8726922207183736</v>
      </c>
      <c r="G73" s="711">
        <v>0.24183523066876089</v>
      </c>
      <c r="H73" s="710">
        <v>0.314</v>
      </c>
      <c r="I73" s="708">
        <v>0.52</v>
      </c>
      <c r="J73" s="570">
        <v>5.1120000000000001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1613</v>
      </c>
      <c r="L73" s="320"/>
      <c r="M73" s="168">
        <f t="shared" ref="M73:M104" si="464">IF(J73="","",VALUE(J73))</f>
        <v>5.1120000000000001</v>
      </c>
      <c r="N73" s="632">
        <f t="shared" ref="N73:N104" si="465">IF(M73="","",B73)</f>
        <v>-2.345025698161546</v>
      </c>
      <c r="O73" s="629">
        <f t="shared" ref="O73:O104" si="466">IF(M73="","",C73)</f>
        <v>-1.0915101429844212</v>
      </c>
      <c r="P73" s="633">
        <f t="shared" ref="P73:P104" si="467">IF(M73="","",D73)</f>
        <v>-0.13550040866923257</v>
      </c>
      <c r="Q73" s="585">
        <f t="shared" si="113"/>
        <v>204.95998340183201</v>
      </c>
      <c r="R73" s="629">
        <f>IF(M73="","",SQRT(N73^2+O73^2))</f>
        <v>2.5866078012091274</v>
      </c>
      <c r="S73" s="634">
        <f>IF(M73="","",P73)</f>
        <v>-0.13550040866923257</v>
      </c>
      <c r="T73" s="635">
        <f>IF(M73="","",X73*COS(RADIANS(W73)))</f>
        <v>-1.0915101429844205</v>
      </c>
      <c r="U73" s="629">
        <f>IF(M73="","",X73*SIN(RADIANS(W73)))</f>
        <v>2.345025698161546</v>
      </c>
      <c r="V73" s="636">
        <f>IF(M73="","",Y73)</f>
        <v>-0.13550040866923257</v>
      </c>
      <c r="W73" s="585">
        <f t="shared" si="224"/>
        <v>114.95998340183201</v>
      </c>
      <c r="X73" s="629">
        <f>IF(M73="","",R73)</f>
        <v>2.5866078012091274</v>
      </c>
      <c r="Y73" s="630">
        <f t="shared" si="223"/>
        <v>-0.13550040866923257</v>
      </c>
      <c r="Z73" s="632">
        <f t="shared" ref="Z73:Z104" si="468">IF(M73="","",-E73)</f>
        <v>-0.42417450312933791</v>
      </c>
      <c r="AA73" s="629">
        <f t="shared" ref="AA73:AA104" si="469">IF(M73="","",-F73)</f>
        <v>0.8726922207183736</v>
      </c>
      <c r="AB73" s="629">
        <f t="shared" ref="AB73:AB104" si="470">IF(M73="","",-G73)</f>
        <v>-0.24183523066876089</v>
      </c>
      <c r="AC73" s="636">
        <f>IF(M73="","",SQRT(Z73^2+AA73^2+AB73^2))</f>
        <v>1</v>
      </c>
      <c r="AD73" s="637">
        <f>IF(M73="","",Z73*(1/SQRT(Z73^2+AA73^2+AB73^2)))</f>
        <v>-0.42417450312933791</v>
      </c>
      <c r="AE73" s="629">
        <f>IF(M73="","",AA73*(1/SQRT(Z73^2+AA73^2+AB73^2)))</f>
        <v>0.8726922207183736</v>
      </c>
      <c r="AF73" s="633">
        <f>IF(M73="","",AB73*(1/SQRT(Z73^2+AA73^2+AB73^2)))</f>
        <v>-0.24183523066876089</v>
      </c>
      <c r="AG73" s="602">
        <f>IF(M73="","",DEGREES(ATAN2(-AF73,AE73)))</f>
        <v>74.511202461765293</v>
      </c>
      <c r="AH73" s="603">
        <f>IF(M73="","",DEGREES(ACOS(AD73)))</f>
        <v>115.09842333390208</v>
      </c>
      <c r="AI73" s="585">
        <f>IF(M73="","",DEGREES(-ACOS(-AF73)))</f>
        <v>-76.005117490839282</v>
      </c>
      <c r="AJ73" s="586">
        <f>IF(M73="","",DEGREES(ATAN2(-AE73,AD73)))</f>
        <v>-154.07780064512644</v>
      </c>
      <c r="AK73" s="635">
        <f>IF(M73="","",(COS(RADIANS((90-$Q$8)-W73))*AD73)+(-SIN(RADIANS((90-$Q$8)-W73))*AE73))</f>
        <v>0.9701805026483844</v>
      </c>
      <c r="AL73" s="629">
        <f>IF(M73="","",(SIN(RADIANS((90-$Q$8)-W73))*AD73)+(COS(RADIANS((90-$Q$8)-W73))*AE73))</f>
        <v>1.6294584631576847E-2</v>
      </c>
      <c r="AM73" s="634">
        <f>IF(M73="","",AF73)</f>
        <v>-0.24183523066876089</v>
      </c>
      <c r="AN73" s="581">
        <f>IF(M73="","",DEGREES(ATAN2(-AM73,AL73)))</f>
        <v>3.8546986085817037</v>
      </c>
      <c r="AO73" s="582">
        <f t="shared" si="461"/>
        <v>14.027263072516631</v>
      </c>
      <c r="AP73" s="585">
        <f>IF(M73="","",DEGREES(ATAN2(AK73,AL73)))</f>
        <v>0.96221595304155372</v>
      </c>
      <c r="AQ73" s="586">
        <f t="shared" ref="AQ73:AQ104" si="471">IF(M73="","",DEGREES(ATAN(($AS$5*SIN(RADIANS(90)))/(($X73*2*PI())-($AS$5*COS(RADIANS(90)))))))</f>
        <v>0.88128816575889812</v>
      </c>
      <c r="AS73" s="52">
        <f t="shared" si="406"/>
        <v>-245.04001659816799</v>
      </c>
      <c r="AT73" s="72">
        <f t="shared" ref="AT73:AT104" si="472">IF(M73="","",Y73+(((AS73-$AS$9)*$AS$6)*-1))</f>
        <v>3.4666269523939641E-2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5.1120000000000001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>
        <f t="shared" si="112"/>
        <v>1613</v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-3.0670826822036528</v>
      </c>
      <c r="C74" s="708">
        <v>-1.3901276847803208</v>
      </c>
      <c r="D74" s="709">
        <v>-0.11040033296740423</v>
      </c>
      <c r="E74" s="710">
        <v>0.31081562566215593</v>
      </c>
      <c r="F74" s="708">
        <v>-0.92688163656624101</v>
      </c>
      <c r="G74" s="711">
        <v>0.2104378260687208</v>
      </c>
      <c r="H74" s="710">
        <v>0.314</v>
      </c>
      <c r="I74" s="708">
        <v>0.52</v>
      </c>
      <c r="J74" s="570">
        <v>5.1180000000000003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1613</v>
      </c>
      <c r="L74" s="320"/>
      <c r="M74" s="168">
        <f t="shared" si="464"/>
        <v>5.1180000000000003</v>
      </c>
      <c r="N74" s="632">
        <f t="shared" si="465"/>
        <v>-3.0670826822036528</v>
      </c>
      <c r="O74" s="629">
        <f t="shared" si="466"/>
        <v>-1.3901276847803208</v>
      </c>
      <c r="P74" s="633">
        <f t="shared" si="467"/>
        <v>-0.11040033296740423</v>
      </c>
      <c r="Q74" s="585">
        <f t="shared" ref="Q74:Q129" si="520">IF(M74="","",IF(DEGREES(ATAN2(N74,O74))&lt;0,DEGREES(ATAN2(N74,O74))+360,IF(DEGREES(ATAN2(N74,O74))&gt;360,DEGREES(ATAN2(N74,O74))-360,DEGREES(ATAN2(N74,O74)))))</f>
        <v>204.38198348528488</v>
      </c>
      <c r="R74" s="629">
        <f>IF(M74="","",SQRT(N74^2+O74^2))</f>
        <v>3.367410156109031</v>
      </c>
      <c r="S74" s="634">
        <f>IF(M74="","",P74)</f>
        <v>-0.11040033296740423</v>
      </c>
      <c r="T74" s="635">
        <f>IF(M74="","",X74*COS(RADIANS(W74)))</f>
        <v>-1.3901276847803208</v>
      </c>
      <c r="U74" s="629">
        <f>IF(M74="","",X74*SIN(RADIANS(W74)))</f>
        <v>3.0670826822036532</v>
      </c>
      <c r="V74" s="636">
        <f>IF(M74="","",Y74)</f>
        <v>-0.11040033296740423</v>
      </c>
      <c r="W74" s="585">
        <f t="shared" si="224"/>
        <v>114.38198348528488</v>
      </c>
      <c r="X74" s="629">
        <f>IF(M74="","",R74)</f>
        <v>3.367410156109031</v>
      </c>
      <c r="Y74" s="630">
        <f t="shared" si="223"/>
        <v>-0.11040033296740423</v>
      </c>
      <c r="Z74" s="632">
        <f t="shared" si="468"/>
        <v>-0.31081562566215593</v>
      </c>
      <c r="AA74" s="629">
        <f t="shared" si="469"/>
        <v>0.92688163656624101</v>
      </c>
      <c r="AB74" s="629">
        <f t="shared" si="470"/>
        <v>-0.2104378260687208</v>
      </c>
      <c r="AC74" s="636">
        <f>IF(M74="","",SQRT(Z74^2+AA74^2+AB74^2))</f>
        <v>1</v>
      </c>
      <c r="AD74" s="637">
        <f>IF(M74="","",Z74*(1/SQRT(Z74^2+AA74^2+AB74^2)))</f>
        <v>-0.31081562566215593</v>
      </c>
      <c r="AE74" s="629">
        <f>IF(M74="","",AA74*(1/SQRT(Z74^2+AA74^2+AB74^2)))</f>
        <v>0.92688163656624101</v>
      </c>
      <c r="AF74" s="633">
        <f>IF(M74="","",AB74*(1/SQRT(Z74^2+AA74^2+AB74^2)))</f>
        <v>-0.2104378260687208</v>
      </c>
      <c r="AG74" s="602">
        <f>IF(M74="","",DEGREES(ATAN2(-AF74,AE74)))</f>
        <v>77.20849510177878</v>
      </c>
      <c r="AH74" s="603">
        <f>IF(M74="","",DEGREES(ACOS(AD74)))</f>
        <v>108.10839074595729</v>
      </c>
      <c r="AI74" s="585">
        <f>IF(M74="","",DEGREES(-ACOS(-AF74)))</f>
        <v>-77.851988802849334</v>
      </c>
      <c r="AJ74" s="586">
        <f>IF(M74="","",DEGREES(ATAN2(-AE74,AD74)))</f>
        <v>-161.46190755290476</v>
      </c>
      <c r="AK74" s="635">
        <f>IF(M74="","",(COS(RADIANS((90-$Q$8)-W74))*AD74)+(-SIN(RADIANS((90-$Q$8)-W74))*AE74))</f>
        <v>0.97252662142120772</v>
      </c>
      <c r="AL74" s="629">
        <f>IF(M74="","",(SIN(RADIANS((90-$Q$8)-W74))*AD74)+(COS(RADIANS((90-$Q$8)-W74))*AE74))</f>
        <v>-9.9538394534579799E-2</v>
      </c>
      <c r="AM74" s="634">
        <f>IF(M74="","",AF74)</f>
        <v>-0.2104378260687208</v>
      </c>
      <c r="AN74" s="581">
        <f>IF(M74="","",DEGREES(ATAN2(-AM74,AL74)))</f>
        <v>-25.314439100135626</v>
      </c>
      <c r="AO74" s="582">
        <f t="shared" si="461"/>
        <v>13.461486085698036</v>
      </c>
      <c r="AP74" s="585">
        <f>IF(M74="","",DEGREES(ATAN2(AK74,AL74)))</f>
        <v>-5.8438910381896365</v>
      </c>
      <c r="AQ74" s="586">
        <f t="shared" si="471"/>
        <v>0.67696551397586757</v>
      </c>
      <c r="AS74" s="52">
        <f t="shared" si="406"/>
        <v>-245.61801651471512</v>
      </c>
      <c r="AT74" s="72">
        <f t="shared" si="472"/>
        <v>6.0167734056703503E-2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5.1180000000000003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>
        <f t="shared" ref="IJ74:IJ137" si="542">IF(ISNUMBER($II74),INDEX($K$9:$K$150,MATCH($II74,$M$9:$M$150,0)),$K74)</f>
        <v>1613</v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-3.7665638828224481</v>
      </c>
      <c r="C75" s="708">
        <v>-1.6354809435912583</v>
      </c>
      <c r="D75" s="709">
        <v>-0.3643010987321138</v>
      </c>
      <c r="E75" s="710">
        <v>0.19569867506725711</v>
      </c>
      <c r="F75" s="708">
        <v>-0.96767136859645997</v>
      </c>
      <c r="G75" s="711">
        <v>0.15910421419803567</v>
      </c>
      <c r="H75" s="710">
        <v>0.314</v>
      </c>
      <c r="I75" s="708">
        <v>0.52</v>
      </c>
      <c r="J75" s="570">
        <v>5.1239999999999997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1613</v>
      </c>
      <c r="L75" s="320"/>
      <c r="M75" s="168">
        <f t="shared" si="464"/>
        <v>5.1239999999999997</v>
      </c>
      <c r="N75" s="632">
        <f t="shared" si="465"/>
        <v>-3.7665638828224481</v>
      </c>
      <c r="O75" s="629">
        <f t="shared" si="466"/>
        <v>-1.6354809435912583</v>
      </c>
      <c r="P75" s="633">
        <f t="shared" si="467"/>
        <v>-0.3643010987321138</v>
      </c>
      <c r="Q75" s="585">
        <f t="shared" si="520"/>
        <v>203.47098361681699</v>
      </c>
      <c r="R75" s="629">
        <f>IF(M75="","",SQRT(N75^2+O75^2))</f>
        <v>4.1063123846381524</v>
      </c>
      <c r="S75" s="634">
        <f>IF(M75="","",P75)</f>
        <v>-0.3643010987321138</v>
      </c>
      <c r="T75" s="635">
        <f>IF(M75="","",X75*COS(RADIANS(W75)))</f>
        <v>-1.6354809435912596</v>
      </c>
      <c r="U75" s="629">
        <f>IF(M75="","",X75*SIN(RADIANS(W75)))</f>
        <v>3.7665638828224477</v>
      </c>
      <c r="V75" s="636">
        <f>IF(M75="","",Y75)</f>
        <v>-0.3643010987321138</v>
      </c>
      <c r="W75" s="585">
        <f t="shared" si="224"/>
        <v>113.47098361681699</v>
      </c>
      <c r="X75" s="629">
        <f>IF(M75="","",R75)</f>
        <v>4.1063123846381524</v>
      </c>
      <c r="Y75" s="630">
        <f t="shared" si="223"/>
        <v>-0.3643010987321138</v>
      </c>
      <c r="Z75" s="632">
        <f t="shared" si="468"/>
        <v>-0.19569867506725711</v>
      </c>
      <c r="AA75" s="629">
        <f t="shared" si="469"/>
        <v>0.96767136859645997</v>
      </c>
      <c r="AB75" s="629">
        <f t="shared" si="470"/>
        <v>-0.15910421419803567</v>
      </c>
      <c r="AC75" s="636">
        <f>IF(M75="","",SQRT(Z75^2+AA75^2+AB75^2))</f>
        <v>1</v>
      </c>
      <c r="AD75" s="637">
        <f>IF(M75="","",Z75*(1/SQRT(Z75^2+AA75^2+AB75^2)))</f>
        <v>-0.19569867506725711</v>
      </c>
      <c r="AE75" s="629">
        <f>IF(M75="","",AA75*(1/SQRT(Z75^2+AA75^2+AB75^2)))</f>
        <v>0.96767136859645997</v>
      </c>
      <c r="AF75" s="633">
        <f>IF(M75="","",AB75*(1/SQRT(Z75^2+AA75^2+AB75^2)))</f>
        <v>-0.15910421419803567</v>
      </c>
      <c r="AG75" s="602">
        <f>IF(M75="","",DEGREES(ATAN2(-AF75,AE75)))</f>
        <v>80.662986716122703</v>
      </c>
      <c r="AH75" s="603">
        <f>IF(M75="","",DEGREES(ACOS(AD75)))</f>
        <v>101.2855411278549</v>
      </c>
      <c r="AI75" s="585">
        <f>IF(M75="","",DEGREES(-ACOS(-AF75)))</f>
        <v>-80.845094553750769</v>
      </c>
      <c r="AJ75" s="586">
        <f>IF(M75="","",DEGREES(ATAN2(-AE75,AD75)))</f>
        <v>-168.56689559141415</v>
      </c>
      <c r="AK75" s="635">
        <f>IF(M75="","",(COS(RADIANS((90-$Q$8)-W75))*AD75)+(-SIN(RADIANS((90-$Q$8)-W75))*AE75))</f>
        <v>0.96555184062177335</v>
      </c>
      <c r="AL75" s="629">
        <f>IF(M75="","",(SIN(RADIANS((90-$Q$8)-W75))*AD75)+(COS(RADIANS((90-$Q$8)-W75))*AE75))</f>
        <v>-0.20590165637102459</v>
      </c>
      <c r="AM75" s="634">
        <f>IF(M75="","",AF75)</f>
        <v>-0.15910421419803567</v>
      </c>
      <c r="AN75" s="581">
        <f>IF(M75="","",DEGREES(ATAN2(-AM75,AL75)))</f>
        <v>-52.306040253890188</v>
      </c>
      <c r="AO75" s="582">
        <f t="shared" si="461"/>
        <v>15.082568654599481</v>
      </c>
      <c r="AP75" s="585">
        <f>IF(M75="","",DEGREES(ATAN2(AK75,AL75)))</f>
        <v>-12.037879208231148</v>
      </c>
      <c r="AQ75" s="586">
        <f t="shared" si="471"/>
        <v>0.555158759268499</v>
      </c>
      <c r="AS75" s="52">
        <f t="shared" ref="AS75:AS106" si="543">IF(G75="","",IF(AND(W75&lt;(AS74+180),W75&gt;(AS74-180)),W75,IF(W75&gt;(AS74+180),W75-360,IF(W75&lt;(AS74-180),W75+360,"Error"))))</f>
        <v>-246.52901638318301</v>
      </c>
      <c r="AT75" s="72">
        <f t="shared" si="472"/>
        <v>-0.19310039291045894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5.1239999999999997</v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>
        <f t="shared" si="542"/>
        <v>1613</v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>
        <v>-4.342155102490918</v>
      </c>
      <c r="C76" s="708">
        <v>-1.8066630797003529</v>
      </c>
      <c r="D76" s="709">
        <v>-0.83930253133643462</v>
      </c>
      <c r="E76" s="710">
        <v>0.14439232876806277</v>
      </c>
      <c r="F76" s="708">
        <v>-0.9824226619604155</v>
      </c>
      <c r="G76" s="711">
        <v>0.11830709471349175</v>
      </c>
      <c r="H76" s="710">
        <v>0.314</v>
      </c>
      <c r="I76" s="708">
        <v>0.52</v>
      </c>
      <c r="J76" s="570">
        <v>5.13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1613</v>
      </c>
      <c r="L76" s="320"/>
      <c r="M76" s="168">
        <f t="shared" si="464"/>
        <v>5.13</v>
      </c>
      <c r="N76" s="632">
        <f t="shared" si="465"/>
        <v>-4.342155102490918</v>
      </c>
      <c r="O76" s="629">
        <f t="shared" si="466"/>
        <v>-1.8066630797003529</v>
      </c>
      <c r="P76" s="633">
        <f t="shared" si="467"/>
        <v>-0.83930253133643462</v>
      </c>
      <c r="Q76" s="585">
        <f t="shared" si="520"/>
        <v>202.59098374387324</v>
      </c>
      <c r="R76" s="629">
        <f t="shared" si="79"/>
        <v>4.7030141842907804</v>
      </c>
      <c r="S76" s="634">
        <f t="shared" si="80"/>
        <v>-0.83930253133643462</v>
      </c>
      <c r="T76" s="635">
        <f t="shared" si="81"/>
        <v>-1.8066630797003529</v>
      </c>
      <c r="U76" s="629">
        <f t="shared" si="82"/>
        <v>4.342155102490918</v>
      </c>
      <c r="V76" s="636">
        <f t="shared" si="114"/>
        <v>-0.83930253133643462</v>
      </c>
      <c r="W76" s="585">
        <f t="shared" si="224"/>
        <v>112.59098374387324</v>
      </c>
      <c r="X76" s="629">
        <f t="shared" si="83"/>
        <v>4.7030141842907804</v>
      </c>
      <c r="Y76" s="630">
        <f t="shared" ref="Y76:Y129" si="644">IF(M76="","",S76)</f>
        <v>-0.83930253133643462</v>
      </c>
      <c r="Z76" s="632">
        <f t="shared" si="468"/>
        <v>-0.14439232876806277</v>
      </c>
      <c r="AA76" s="629">
        <f t="shared" si="469"/>
        <v>0.9824226619604155</v>
      </c>
      <c r="AB76" s="629">
        <f t="shared" si="470"/>
        <v>-0.11830709471349175</v>
      </c>
      <c r="AC76" s="636">
        <f t="shared" si="84"/>
        <v>1</v>
      </c>
      <c r="AD76" s="637">
        <f t="shared" si="115"/>
        <v>-0.14439232876806277</v>
      </c>
      <c r="AE76" s="629">
        <f t="shared" si="85"/>
        <v>0.9824226619604155</v>
      </c>
      <c r="AF76" s="633">
        <f t="shared" si="86"/>
        <v>-0.11830709471349175</v>
      </c>
      <c r="AG76" s="602">
        <f t="shared" si="87"/>
        <v>83.133289122338695</v>
      </c>
      <c r="AH76" s="603">
        <f t="shared" si="88"/>
        <v>98.302091884934597</v>
      </c>
      <c r="AI76" s="585">
        <f t="shared" si="89"/>
        <v>-83.205589736707381</v>
      </c>
      <c r="AJ76" s="586">
        <f t="shared" si="90"/>
        <v>-171.63877172645607</v>
      </c>
      <c r="AK76" s="635">
        <f t="shared" si="211"/>
        <v>0.96251035749193115</v>
      </c>
      <c r="AL76" s="629">
        <f t="shared" si="91"/>
        <v>-0.24408449983808472</v>
      </c>
      <c r="AM76" s="634">
        <f t="shared" si="92"/>
        <v>-0.11830709471349175</v>
      </c>
      <c r="AN76" s="581">
        <f t="shared" si="93"/>
        <v>-64.140657782476325</v>
      </c>
      <c r="AO76" s="582">
        <f t="shared" si="461"/>
        <v>15.738360833123938</v>
      </c>
      <c r="AP76" s="585">
        <f t="shared" si="95"/>
        <v>-14.229755470329316</v>
      </c>
      <c r="AQ76" s="586">
        <f t="shared" si="471"/>
        <v>0.48472578514227105</v>
      </c>
      <c r="AS76" s="52">
        <f t="shared" si="543"/>
        <v>-247.40901625612676</v>
      </c>
      <c r="AT76" s="72">
        <f t="shared" si="472"/>
        <v>-0.66749071449190212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5.13</v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>
        <f t="shared" si="542"/>
        <v>1613</v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>
        <v>-4.7880308983850979</v>
      </c>
      <c r="C77" s="708">
        <v>-1.9209897605689865</v>
      </c>
      <c r="D77" s="709">
        <v>-1.4525043807532123</v>
      </c>
      <c r="E77" s="710">
        <v>9.4620779483007858E-2</v>
      </c>
      <c r="F77" s="708">
        <v>-0.99156280613175651</v>
      </c>
      <c r="G77" s="711">
        <v>8.8600844161581899E-2</v>
      </c>
      <c r="H77" s="710">
        <v>0.314</v>
      </c>
      <c r="I77" s="708">
        <v>0.52</v>
      </c>
      <c r="J77" s="570">
        <v>5.1360000000000001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1613</v>
      </c>
      <c r="L77" s="320"/>
      <c r="M77" s="168">
        <f t="shared" si="464"/>
        <v>5.1360000000000001</v>
      </c>
      <c r="N77" s="632">
        <f t="shared" si="465"/>
        <v>-4.7880308983850979</v>
      </c>
      <c r="O77" s="629">
        <f t="shared" si="466"/>
        <v>-1.9209897605689865</v>
      </c>
      <c r="P77" s="633">
        <f t="shared" si="467"/>
        <v>-1.4525043807532123</v>
      </c>
      <c r="Q77" s="585">
        <f t="shared" si="520"/>
        <v>201.86098384927217</v>
      </c>
      <c r="R77" s="629">
        <f t="shared" si="79"/>
        <v>5.1590155595909284</v>
      </c>
      <c r="S77" s="634">
        <f t="shared" si="80"/>
        <v>-1.4525043807532123</v>
      </c>
      <c r="T77" s="635">
        <f t="shared" si="81"/>
        <v>-1.9209897605689863</v>
      </c>
      <c r="U77" s="629">
        <f t="shared" si="82"/>
        <v>4.7880308983850979</v>
      </c>
      <c r="V77" s="636">
        <f t="shared" si="114"/>
        <v>-1.4525043807532123</v>
      </c>
      <c r="W77" s="585">
        <f t="shared" si="224"/>
        <v>111.86098384927217</v>
      </c>
      <c r="X77" s="629">
        <f t="shared" si="83"/>
        <v>5.1590155595909284</v>
      </c>
      <c r="Y77" s="630">
        <f t="shared" si="644"/>
        <v>-1.4525043807532123</v>
      </c>
      <c r="Z77" s="632">
        <f t="shared" si="468"/>
        <v>-9.4620779483007858E-2</v>
      </c>
      <c r="AA77" s="629">
        <f t="shared" si="469"/>
        <v>0.99156280613175651</v>
      </c>
      <c r="AB77" s="629">
        <f t="shared" si="470"/>
        <v>-8.8600844161581899E-2</v>
      </c>
      <c r="AC77" s="636">
        <f t="shared" si="84"/>
        <v>1</v>
      </c>
      <c r="AD77" s="637">
        <f t="shared" si="115"/>
        <v>-9.4620779483007858E-2</v>
      </c>
      <c r="AE77" s="629">
        <f t="shared" si="85"/>
        <v>0.99156280613175651</v>
      </c>
      <c r="AF77" s="633">
        <f t="shared" si="86"/>
        <v>-8.8600844161581899E-2</v>
      </c>
      <c r="AG77" s="602">
        <f t="shared" si="87"/>
        <v>84.893910742556812</v>
      </c>
      <c r="AH77" s="603">
        <f t="shared" si="88"/>
        <v>95.42949375839963</v>
      </c>
      <c r="AI77" s="585">
        <f t="shared" si="89"/>
        <v>-84.916880208315902</v>
      </c>
      <c r="AJ77" s="586">
        <f t="shared" si="90"/>
        <v>-174.54900409995369</v>
      </c>
      <c r="AK77" s="635">
        <f t="shared" si="211"/>
        <v>0.95549215640727048</v>
      </c>
      <c r="AL77" s="629">
        <f t="shared" si="91"/>
        <v>-0.2813976358430178</v>
      </c>
      <c r="AM77" s="634">
        <f t="shared" si="92"/>
        <v>-8.8600844161581899E-2</v>
      </c>
      <c r="AN77" s="581">
        <f t="shared" si="93"/>
        <v>-72.52287316484059</v>
      </c>
      <c r="AO77" s="582">
        <f t="shared" si="461"/>
        <v>17.15852716958517</v>
      </c>
      <c r="AP77" s="585">
        <f t="shared" si="95"/>
        <v>-16.409987949225872</v>
      </c>
      <c r="AQ77" s="586">
        <f t="shared" si="471"/>
        <v>0.44188303102116155</v>
      </c>
      <c r="AS77" s="52">
        <f t="shared" si="543"/>
        <v>-248.13901615072783</v>
      </c>
      <c r="AT77" s="72">
        <f t="shared" si="472"/>
        <v>-1.280185619537429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5.1360000000000001</v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>
        <f t="shared" si="542"/>
        <v>1613</v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>
        <v>-5.1151646222624212</v>
      </c>
      <c r="C78" s="708">
        <v>-1.9949348058405985</v>
      </c>
      <c r="D78" s="709">
        <v>-2.1417064593866817</v>
      </c>
      <c r="E78" s="710">
        <v>6.8394239398443551E-2</v>
      </c>
      <c r="F78" s="708">
        <v>-0.99661040938673096</v>
      </c>
      <c r="G78" s="711">
        <v>4.5715641952409555E-2</v>
      </c>
      <c r="H78" s="710">
        <v>0.314</v>
      </c>
      <c r="I78" s="708">
        <v>0.52</v>
      </c>
      <c r="J78" s="570">
        <v>5.1420000000000003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5.1420000000000003</v>
      </c>
      <c r="N78" s="632">
        <f t="shared" si="465"/>
        <v>-5.1151646222624212</v>
      </c>
      <c r="O78" s="629">
        <f t="shared" si="466"/>
        <v>-1.9949348058405985</v>
      </c>
      <c r="P78" s="633">
        <f t="shared" si="467"/>
        <v>-2.1417064593866817</v>
      </c>
      <c r="Q78" s="585">
        <f t="shared" si="520"/>
        <v>201.30598392940425</v>
      </c>
      <c r="R78" s="629">
        <f>IF(M78="","",SQRT(N78^2+O78^2))</f>
        <v>5.4904165590963432</v>
      </c>
      <c r="S78" s="634">
        <f>IF(M78="","",P78)</f>
        <v>-2.1417064593866817</v>
      </c>
      <c r="T78" s="635">
        <f>IF(M78="","",X78*COS(RADIANS(W78)))</f>
        <v>-1.9949348058405978</v>
      </c>
      <c r="U78" s="629">
        <f>IF(M78="","",X78*SIN(RADIANS(W78)))</f>
        <v>5.1151646222624221</v>
      </c>
      <c r="V78" s="636">
        <f>IF(M78="","",Y78)</f>
        <v>-2.1417064593866817</v>
      </c>
      <c r="W78" s="585">
        <f t="shared" si="224"/>
        <v>111.30598392940425</v>
      </c>
      <c r="X78" s="629">
        <f>IF(M78="","",R78)</f>
        <v>5.4904165590963432</v>
      </c>
      <c r="Y78" s="630">
        <f t="shared" si="644"/>
        <v>-2.1417064593866817</v>
      </c>
      <c r="Z78" s="632">
        <f t="shared" si="468"/>
        <v>-6.8394239398443551E-2</v>
      </c>
      <c r="AA78" s="629">
        <f t="shared" si="469"/>
        <v>0.99661040938673096</v>
      </c>
      <c r="AB78" s="629">
        <f t="shared" si="470"/>
        <v>-4.5715641952409555E-2</v>
      </c>
      <c r="AC78" s="636">
        <f>IF(M78="","",SQRT(Z78^2+AA78^2+AB78^2))</f>
        <v>1</v>
      </c>
      <c r="AD78" s="637">
        <f>IF(M78="","",Z78*(1/SQRT(Z78^2+AA78^2+AB78^2)))</f>
        <v>-6.8394239398443551E-2</v>
      </c>
      <c r="AE78" s="629">
        <f>IF(M78="","",AA78*(1/SQRT(Z78^2+AA78^2+AB78^2)))</f>
        <v>0.99661040938673096</v>
      </c>
      <c r="AF78" s="633">
        <f>IF(M78="","",AB78*(1/SQRT(Z78^2+AA78^2+AB78^2)))</f>
        <v>-4.5715641952409555E-2</v>
      </c>
      <c r="AG78" s="602">
        <f>IF(M78="","",DEGREES(ATAN2(-AF78,AE78)))</f>
        <v>87.373619138215219</v>
      </c>
      <c r="AH78" s="603">
        <f>IF(M78="","",DEGREES(ACOS(AD78)))</f>
        <v>93.92176284137409</v>
      </c>
      <c r="AI78" s="585">
        <f>IF(M78="","",DEGREES(-ACOS(-AF78)))</f>
        <v>-87.37977344009802</v>
      </c>
      <c r="AJ78" s="586">
        <f>IF(M78="","",DEGREES(ATAN2(-AE78,AD78)))</f>
        <v>-176.07412620661955</v>
      </c>
      <c r="AK78" s="635">
        <f>IF(M78="","",(COS(RADIANS((90-$Q$8)-W78))*AD78)+(-SIN(RADIANS((90-$Q$8)-W78))*AE78))</f>
        <v>0.9533463081770106</v>
      </c>
      <c r="AL78" s="629">
        <f>IF(M78="","",(SIN(RADIANS((90-$Q$8)-W78))*AD78)+(COS(RADIANS((90-$Q$8)-W78))*AE78))</f>
        <v>-0.29839721306698452</v>
      </c>
      <c r="AM78" s="634">
        <f>IF(M78="","",AF78)</f>
        <v>-4.5715641952409555E-2</v>
      </c>
      <c r="AN78" s="581">
        <f>IF(M78="","",DEGREES(ATAN2(-AM78,AL78)))</f>
        <v>-81.289784086264916</v>
      </c>
      <c r="AO78" s="582">
        <f t="shared" si="461"/>
        <v>17.570483885519923</v>
      </c>
      <c r="AP78" s="585">
        <f>IF(M78="","",DEGREES(ATAN2(AK78,AL78)))</f>
        <v>-17.380110136023806</v>
      </c>
      <c r="AQ78" s="586">
        <f t="shared" si="471"/>
        <v>0.41521197884339067</v>
      </c>
      <c r="AS78" s="52">
        <f t="shared" si="543"/>
        <v>-248.69401607059575</v>
      </c>
      <c r="AT78" s="72">
        <f t="shared" si="472"/>
        <v>-1.9690022815598791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5.1420000000000003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-5.3372779505849808</v>
      </c>
      <c r="C79" s="708">
        <v>-2.040455101848567</v>
      </c>
      <c r="D79" s="709">
        <v>-2.8733086658989366</v>
      </c>
      <c r="E79" s="710">
        <v>3.9060992322645552E-2</v>
      </c>
      <c r="F79" s="708">
        <v>-0.99914225361420628</v>
      </c>
      <c r="G79" s="711">
        <v>1.3747578750291626E-2</v>
      </c>
      <c r="H79" s="710">
        <v>0.314</v>
      </c>
      <c r="I79" s="708">
        <v>0.52</v>
      </c>
      <c r="J79" s="570">
        <v>5.1479999999999997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>IF(J79="","",VALUE(J79))</f>
        <v>5.1479999999999997</v>
      </c>
      <c r="N79" s="632">
        <f t="shared" si="465"/>
        <v>-5.3372779505849808</v>
      </c>
      <c r="O79" s="629">
        <f t="shared" si="466"/>
        <v>-2.040455101848567</v>
      </c>
      <c r="P79" s="633">
        <f t="shared" si="467"/>
        <v>-2.8733086658989366</v>
      </c>
      <c r="Q79" s="585">
        <f t="shared" si="520"/>
        <v>200.92198398484697</v>
      </c>
      <c r="R79" s="629">
        <f>IF(M79="","",SQRT(N79^2+O79^2))</f>
        <v>5.7140172334759773</v>
      </c>
      <c r="S79" s="634">
        <f>IF(M79="","",P79)</f>
        <v>-2.8733086658989366</v>
      </c>
      <c r="T79" s="635">
        <f>IF(M79="","",X79*COS(RADIANS(W79)))</f>
        <v>-2.0404551018485662</v>
      </c>
      <c r="U79" s="629">
        <f>IF(M79="","",X79*SIN(RADIANS(W79)))</f>
        <v>5.3372779505849817</v>
      </c>
      <c r="V79" s="636">
        <f>IF(M79="","",Y79)</f>
        <v>-2.8733086658989366</v>
      </c>
      <c r="W79" s="585">
        <f t="shared" ref="W79:W129" si="645">IF(M79="","",IF(Q79-$Q$8&lt;0,360+Q79-$Q$8,Q79-$Q$8))</f>
        <v>110.92198398484697</v>
      </c>
      <c r="X79" s="629">
        <f>IF(M79="","",R79)</f>
        <v>5.7140172334759773</v>
      </c>
      <c r="Y79" s="630">
        <f t="shared" si="644"/>
        <v>-2.8733086658989366</v>
      </c>
      <c r="Z79" s="632">
        <f t="shared" si="468"/>
        <v>-3.9060992322645552E-2</v>
      </c>
      <c r="AA79" s="629">
        <f t="shared" si="469"/>
        <v>0.99914225361420628</v>
      </c>
      <c r="AB79" s="629">
        <f t="shared" si="470"/>
        <v>-1.3747578750291626E-2</v>
      </c>
      <c r="AC79" s="636">
        <f>IF(M79="","",SQRT(Z79^2+AA79^2+AB79^2))</f>
        <v>1</v>
      </c>
      <c r="AD79" s="637">
        <f>IF(M79="","",Z79*(1/SQRT(Z79^2+AA79^2+AB79^2)))</f>
        <v>-3.9060992322645552E-2</v>
      </c>
      <c r="AE79" s="629">
        <f>IF(M79="","",AA79*(1/SQRT(Z79^2+AA79^2+AB79^2)))</f>
        <v>0.99914225361420628</v>
      </c>
      <c r="AF79" s="633">
        <f>IF(M79="","",AB79*(1/SQRT(Z79^2+AA79^2+AB79^2)))</f>
        <v>-1.3747578750291626E-2</v>
      </c>
      <c r="AG79" s="602">
        <f>IF(M79="","",DEGREES(ATAN2(-AF79,AE79)))</f>
        <v>89.211695295823276</v>
      </c>
      <c r="AH79" s="603">
        <f>IF(M79="","",DEGREES(ACOS(AD79)))</f>
        <v>92.238599511314845</v>
      </c>
      <c r="AI79" s="585">
        <f>IF(M79="","",DEGREES(-ACOS(-AF79)))</f>
        <v>-89.212296945644994</v>
      </c>
      <c r="AJ79" s="586">
        <f>IF(M79="","",DEGREES(ATAN2(-AE79,AD79)))</f>
        <v>-177.76118880786692</v>
      </c>
      <c r="AK79" s="635">
        <f>IF(M79="","",(COS(RADIANS((90-$Q$8)-W79))*AD79)+(-SIN(RADIANS((90-$Q$8)-W79))*AE79))</f>
        <v>0.94721487521457881</v>
      </c>
      <c r="AL79" s="629">
        <f>IF(M79="","",(SIN(RADIANS((90-$Q$8)-W79))*AD79)+(COS(RADIANS((90-$Q$8)-W79))*AE79))</f>
        <v>-0.3203045179992543</v>
      </c>
      <c r="AM79" s="634">
        <f>IF(M79="","",AF79)</f>
        <v>-1.3747578750291626E-2</v>
      </c>
      <c r="AN79" s="581">
        <f>IF(M79="","",DEGREES(ATAN2(-AM79,AL79)))</f>
        <v>-87.542354055923354</v>
      </c>
      <c r="AO79" s="582">
        <f t="shared" si="461"/>
        <v>18.699178382872553</v>
      </c>
      <c r="AP79" s="585">
        <f>IF(M79="","",DEGREES(ATAN2(AK79,AL79)))</f>
        <v>-18.683172792713901</v>
      </c>
      <c r="AQ79" s="586">
        <f t="shared" si="471"/>
        <v>0.39896445760779597</v>
      </c>
      <c r="AS79" s="52">
        <f t="shared" si="543"/>
        <v>-249.07801601515303</v>
      </c>
      <c r="AT79" s="72">
        <f t="shared" si="472"/>
        <v>-2.7003378214439691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5.1479999999999997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>
        <f t="shared" si="542"/>
        <v>1613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-5.4639096034967078</v>
      </c>
      <c r="C80" s="708">
        <v>-2.0647466288110192</v>
      </c>
      <c r="D80" s="709">
        <v>-3.6279109417794007</v>
      </c>
      <c r="E80" s="710">
        <v>-2.8220814041276875E-2</v>
      </c>
      <c r="F80" s="708">
        <v>-0.99959302551659968</v>
      </c>
      <c r="G80" s="711">
        <v>4.1676124361863954E-3</v>
      </c>
      <c r="H80" s="710">
        <v>0.314</v>
      </c>
      <c r="I80" s="708">
        <v>0.52</v>
      </c>
      <c r="J80" s="570">
        <v>5.1539999999999999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1613</v>
      </c>
      <c r="L80" s="320"/>
      <c r="M80" s="168">
        <f t="shared" si="464"/>
        <v>5.1539999999999999</v>
      </c>
      <c r="N80" s="632">
        <f t="shared" si="465"/>
        <v>-5.4639096034967078</v>
      </c>
      <c r="O80" s="629">
        <f t="shared" si="466"/>
        <v>-2.0647466288110192</v>
      </c>
      <c r="P80" s="633">
        <f t="shared" si="467"/>
        <v>-3.6279109417794007</v>
      </c>
      <c r="Q80" s="585">
        <f t="shared" si="520"/>
        <v>200.70098401675546</v>
      </c>
      <c r="R80" s="629">
        <f t="shared" si="79"/>
        <v>5.8410176165091325</v>
      </c>
      <c r="S80" s="634">
        <f t="shared" si="80"/>
        <v>-3.6279109417794007</v>
      </c>
      <c r="T80" s="635">
        <f t="shared" si="81"/>
        <v>-2.064746628811021</v>
      </c>
      <c r="U80" s="629">
        <f t="shared" si="82"/>
        <v>5.4639096034967078</v>
      </c>
      <c r="V80" s="636">
        <f t="shared" si="114"/>
        <v>-3.6279109417794007</v>
      </c>
      <c r="W80" s="585">
        <f t="shared" si="645"/>
        <v>110.70098401675546</v>
      </c>
      <c r="X80" s="629">
        <f t="shared" si="83"/>
        <v>5.8410176165091325</v>
      </c>
      <c r="Y80" s="630">
        <f t="shared" si="644"/>
        <v>-3.6279109417794007</v>
      </c>
      <c r="Z80" s="632">
        <f t="shared" si="468"/>
        <v>2.8220814041276875E-2</v>
      </c>
      <c r="AA80" s="629">
        <f t="shared" si="469"/>
        <v>0.99959302551659968</v>
      </c>
      <c r="AB80" s="629">
        <f t="shared" si="470"/>
        <v>-4.1676124361863954E-3</v>
      </c>
      <c r="AC80" s="636">
        <f t="shared" si="84"/>
        <v>1</v>
      </c>
      <c r="AD80" s="637">
        <f t="shared" si="115"/>
        <v>2.8220814041276875E-2</v>
      </c>
      <c r="AE80" s="629">
        <f t="shared" si="85"/>
        <v>0.99959302551659968</v>
      </c>
      <c r="AF80" s="633">
        <f t="shared" si="86"/>
        <v>-4.1676124361863954E-3</v>
      </c>
      <c r="AG80" s="602">
        <f t="shared" si="87"/>
        <v>89.76111756130905</v>
      </c>
      <c r="AH80" s="603">
        <f t="shared" si="88"/>
        <v>88.382851759211917</v>
      </c>
      <c r="AI80" s="585">
        <f t="shared" si="89"/>
        <v>-89.761212705507731</v>
      </c>
      <c r="AJ80" s="586">
        <f t="shared" si="90"/>
        <v>178.3828377111798</v>
      </c>
      <c r="AK80" s="635">
        <f t="shared" si="211"/>
        <v>0.92508145939881392</v>
      </c>
      <c r="AL80" s="629">
        <f t="shared" si="91"/>
        <v>-0.37974586828975837</v>
      </c>
      <c r="AM80" s="634">
        <f t="shared" si="92"/>
        <v>-4.1676124361863954E-3</v>
      </c>
      <c r="AN80" s="581">
        <f t="shared" si="93"/>
        <v>-89.371218920355886</v>
      </c>
      <c r="AO80" s="582">
        <f t="shared" si="461"/>
        <v>22.319358423579612</v>
      </c>
      <c r="AP80" s="585">
        <f t="shared" si="95"/>
        <v>-22.318146305575656</v>
      </c>
      <c r="AQ80" s="586">
        <f t="shared" si="471"/>
        <v>0.39029010367431993</v>
      </c>
      <c r="AS80" s="52">
        <f t="shared" si="543"/>
        <v>-249.29901598324454</v>
      </c>
      <c r="AT80" s="72">
        <f t="shared" si="472"/>
        <v>-3.4547866251243695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5.1539999999999999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>
        <f t="shared" si="542"/>
        <v>1613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-5.5247419808720792</v>
      </c>
      <c r="C81" s="708">
        <v>-2.0705617703390655</v>
      </c>
      <c r="D81" s="709">
        <v>-4.4008132728528313</v>
      </c>
      <c r="E81" s="710">
        <v>-0.24961981527927926</v>
      </c>
      <c r="F81" s="708">
        <v>-0.96834392021633442</v>
      </c>
      <c r="G81" s="711">
        <v>2.2394653084613581E-16</v>
      </c>
      <c r="H81" s="710">
        <v>0.314</v>
      </c>
      <c r="I81" s="708">
        <v>0.52</v>
      </c>
      <c r="J81" s="570">
        <v>5.16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1613</v>
      </c>
      <c r="L81" s="320"/>
      <c r="M81" s="168">
        <f t="shared" si="464"/>
        <v>5.16</v>
      </c>
      <c r="N81" s="632">
        <f t="shared" si="465"/>
        <v>-5.5247419808720792</v>
      </c>
      <c r="O81" s="629">
        <f t="shared" si="466"/>
        <v>-2.0705617703390655</v>
      </c>
      <c r="P81" s="633">
        <f t="shared" si="467"/>
        <v>-4.4008132728528313</v>
      </c>
      <c r="Q81" s="585">
        <f t="shared" si="520"/>
        <v>200.54498403927906</v>
      </c>
      <c r="R81" s="629">
        <f t="shared" si="79"/>
        <v>5.8999999999999995</v>
      </c>
      <c r="S81" s="634">
        <f t="shared" si="80"/>
        <v>-4.4008132728528313</v>
      </c>
      <c r="T81" s="635">
        <f t="shared" si="81"/>
        <v>-2.070561770339066</v>
      </c>
      <c r="U81" s="629">
        <f t="shared" si="82"/>
        <v>5.5247419808720792</v>
      </c>
      <c r="V81" s="636">
        <f t="shared" si="114"/>
        <v>-4.4008132728528313</v>
      </c>
      <c r="W81" s="585">
        <f t="shared" si="645"/>
        <v>110.54498403927906</v>
      </c>
      <c r="X81" s="629">
        <f t="shared" si="83"/>
        <v>5.8999999999999995</v>
      </c>
      <c r="Y81" s="630">
        <f t="shared" si="644"/>
        <v>-4.4008132728528313</v>
      </c>
      <c r="Z81" s="632">
        <f t="shared" si="468"/>
        <v>0.24961981527927926</v>
      </c>
      <c r="AA81" s="629">
        <f t="shared" si="469"/>
        <v>0.96834392021633442</v>
      </c>
      <c r="AB81" s="629">
        <f t="shared" si="470"/>
        <v>-2.2394653084613581E-16</v>
      </c>
      <c r="AC81" s="636">
        <f t="shared" si="84"/>
        <v>1</v>
      </c>
      <c r="AD81" s="637">
        <f t="shared" si="115"/>
        <v>0.24961981527927926</v>
      </c>
      <c r="AE81" s="629">
        <f t="shared" si="85"/>
        <v>0.96834392021633442</v>
      </c>
      <c r="AF81" s="633">
        <f t="shared" si="86"/>
        <v>-2.2394653084613581E-16</v>
      </c>
      <c r="AG81" s="602">
        <f t="shared" si="87"/>
        <v>89.999999999999986</v>
      </c>
      <c r="AH81" s="603">
        <f t="shared" si="88"/>
        <v>75.544984039279043</v>
      </c>
      <c r="AI81" s="585">
        <f t="shared" si="89"/>
        <v>-89.999999999999986</v>
      </c>
      <c r="AJ81" s="586">
        <f t="shared" si="90"/>
        <v>165.54498403927903</v>
      </c>
      <c r="AK81" s="635">
        <f t="shared" si="211"/>
        <v>0.8191520442889918</v>
      </c>
      <c r="AL81" s="629">
        <f t="shared" si="91"/>
        <v>-0.57357643635104627</v>
      </c>
      <c r="AM81" s="634">
        <f t="shared" si="92"/>
        <v>-2.2394653084613581E-16</v>
      </c>
      <c r="AN81" s="581">
        <f t="shared" si="93"/>
        <v>-89.999999999999986</v>
      </c>
      <c r="AO81" s="582">
        <f t="shared" si="461"/>
        <v>35</v>
      </c>
      <c r="AP81" s="585">
        <f t="shared" si="95"/>
        <v>-35.000000000000007</v>
      </c>
      <c r="AQ81" s="586">
        <f t="shared" si="471"/>
        <v>0.38638848687695354</v>
      </c>
      <c r="AS81" s="52">
        <f t="shared" si="543"/>
        <v>-249.45501596072094</v>
      </c>
      <c r="AT81" s="72">
        <f t="shared" si="472"/>
        <v>-4.2275806228801081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5.16</v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>
        <f t="shared" si="542"/>
        <v>1613</v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>
        <v>-4.0478092290843994</v>
      </c>
      <c r="C82" s="708">
        <v>-0.69068215929748</v>
      </c>
      <c r="D82" s="709">
        <v>-0.3643010987321138</v>
      </c>
      <c r="E82" s="710">
        <v>-4.0562204881483557E-2</v>
      </c>
      <c r="F82" s="708">
        <v>-0.98642818409265698</v>
      </c>
      <c r="G82" s="711">
        <v>0.15910419593089273</v>
      </c>
      <c r="H82" s="710">
        <v>0.314</v>
      </c>
      <c r="I82" s="708">
        <v>0.52</v>
      </c>
      <c r="J82" s="570">
        <v>5.2240000000000002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1613</v>
      </c>
      <c r="L82" s="320"/>
      <c r="M82" s="168">
        <f t="shared" si="464"/>
        <v>5.2240000000000002</v>
      </c>
      <c r="N82" s="632">
        <f t="shared" si="465"/>
        <v>-4.0478092290843994</v>
      </c>
      <c r="O82" s="629">
        <f t="shared" si="466"/>
        <v>-0.69068215929748</v>
      </c>
      <c r="P82" s="633">
        <f t="shared" si="467"/>
        <v>-0.3643010987321138</v>
      </c>
      <c r="Q82" s="585">
        <f t="shared" si="520"/>
        <v>189.68318560752869</v>
      </c>
      <c r="R82" s="629">
        <f t="shared" si="79"/>
        <v>4.1063123846381524</v>
      </c>
      <c r="S82" s="634">
        <f t="shared" si="80"/>
        <v>-0.3643010987321138</v>
      </c>
      <c r="T82" s="635">
        <f t="shared" si="81"/>
        <v>-0.69068215929747834</v>
      </c>
      <c r="U82" s="629">
        <f t="shared" si="82"/>
        <v>4.0478092290843994</v>
      </c>
      <c r="V82" s="636">
        <f t="shared" si="114"/>
        <v>-0.3643010987321138</v>
      </c>
      <c r="W82" s="585">
        <f t="shared" si="645"/>
        <v>99.683185607528685</v>
      </c>
      <c r="X82" s="629">
        <f t="shared" si="83"/>
        <v>4.1063123846381524</v>
      </c>
      <c r="Y82" s="630">
        <f t="shared" si="644"/>
        <v>-0.3643010987321138</v>
      </c>
      <c r="Z82" s="632">
        <f t="shared" si="468"/>
        <v>4.0562204881483557E-2</v>
      </c>
      <c r="AA82" s="629">
        <f t="shared" si="469"/>
        <v>0.98642818409265698</v>
      </c>
      <c r="AB82" s="629">
        <f t="shared" si="470"/>
        <v>-0.15910419593089273</v>
      </c>
      <c r="AC82" s="636">
        <f t="shared" si="84"/>
        <v>1</v>
      </c>
      <c r="AD82" s="637">
        <f t="shared" si="115"/>
        <v>4.0562204881483557E-2</v>
      </c>
      <c r="AE82" s="629">
        <f t="shared" si="85"/>
        <v>0.98642818409265698</v>
      </c>
      <c r="AF82" s="633">
        <f t="shared" si="86"/>
        <v>-0.15910419593089273</v>
      </c>
      <c r="AG82" s="602">
        <f t="shared" si="87"/>
        <v>80.83749014482315</v>
      </c>
      <c r="AH82" s="603">
        <f t="shared" si="88"/>
        <v>87.675319091800375</v>
      </c>
      <c r="AI82" s="585">
        <f t="shared" si="89"/>
        <v>-80.845095613885164</v>
      </c>
      <c r="AJ82" s="586">
        <f t="shared" si="90"/>
        <v>177.6453079692831</v>
      </c>
      <c r="AK82" s="635">
        <f t="shared" si="211"/>
        <v>0.96555184914291292</v>
      </c>
      <c r="AL82" s="629">
        <f t="shared" si="91"/>
        <v>-0.20590163052750629</v>
      </c>
      <c r="AM82" s="634">
        <f t="shared" si="92"/>
        <v>-0.15910419593089273</v>
      </c>
      <c r="AN82" s="581">
        <f t="shared" si="93"/>
        <v>-52.306039957231938</v>
      </c>
      <c r="AO82" s="582">
        <f t="shared" si="461"/>
        <v>15.082566778330607</v>
      </c>
      <c r="AP82" s="585">
        <f t="shared" si="95"/>
        <v>-12.037877638245604</v>
      </c>
      <c r="AQ82" s="586">
        <f t="shared" si="471"/>
        <v>0.555158759268499</v>
      </c>
      <c r="AS82" s="52">
        <f t="shared" si="543"/>
        <v>-260.31681439247131</v>
      </c>
      <c r="AT82" s="72">
        <f t="shared" si="472"/>
        <v>-0.18352553318178649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>Nose</v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5.2240000000000002</v>
      </c>
      <c r="IH82" s="731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5.1239999999999997</v>
      </c>
      <c r="II82" s="734" cm="1">
        <f t="array" ref="II82">IFERROR(ROUND(VALUE(IF($IH82&lt;1,$IH82+LARGE((IF($M$9:$M$150="",0,$M$9:$M$150)-MOD(IF($M$9:$M$150="",0,$M$9:$M$150),1)),1),$IH82)),4),"")</f>
        <v>5.1239999999999997</v>
      </c>
      <c r="IJ82" s="533">
        <f t="shared" si="542"/>
        <v>1613</v>
      </c>
      <c r="IK82" s="533">
        <f t="shared" si="517"/>
        <v>1613</v>
      </c>
      <c r="IL82" s="727">
        <f t="shared" si="647"/>
        <v>13.787798009288309</v>
      </c>
      <c r="IM82" s="759">
        <v>7.8801997119820597E-10</v>
      </c>
      <c r="IN82" s="5">
        <f t="shared" si="648"/>
        <v>0</v>
      </c>
      <c r="IO82" s="771">
        <v>0</v>
      </c>
      <c r="IP82" s="9">
        <f t="shared" si="649"/>
        <v>-4.1063123846381524</v>
      </c>
      <c r="IQ82" s="5">
        <f t="shared" si="650"/>
        <v>-0.3643010987321138</v>
      </c>
      <c r="IR82" s="5">
        <f t="shared" si="518"/>
        <v>0.314</v>
      </c>
      <c r="IS82" s="5">
        <f t="shared" si="651"/>
        <v>0.30318327795523681</v>
      </c>
      <c r="IT82" s="727">
        <f t="shared" si="652"/>
        <v>52.306040253890188</v>
      </c>
      <c r="IU82" s="9">
        <f t="shared" si="653"/>
        <v>-4.1063123846381524</v>
      </c>
      <c r="IV82" s="5">
        <f t="shared" si="654"/>
        <v>-0.3643010987321138</v>
      </c>
      <c r="IW82" s="5">
        <f t="shared" si="519"/>
        <v>0.314</v>
      </c>
      <c r="IX82" s="5">
        <f t="shared" si="655"/>
        <v>0.30318328063087469</v>
      </c>
      <c r="IY82" s="762">
        <f t="shared" si="656"/>
        <v>52.306039957231938</v>
      </c>
    </row>
    <row r="83" spans="1:259" ht="15" customHeight="1" x14ac:dyDescent="0.25">
      <c r="A83" s="79"/>
      <c r="B83" s="707">
        <v>-4.6217321416848307</v>
      </c>
      <c r="C83" s="708">
        <v>-0.87059429595973248</v>
      </c>
      <c r="D83" s="709">
        <v>-0.83930253133643462</v>
      </c>
      <c r="E83" s="710">
        <v>-6.1691715435313141E-2</v>
      </c>
      <c r="F83" s="708">
        <v>-0.99105881063488277</v>
      </c>
      <c r="G83" s="711">
        <v>0.11830708393676186</v>
      </c>
      <c r="H83" s="710">
        <v>0.314</v>
      </c>
      <c r="I83" s="708">
        <v>0.52</v>
      </c>
      <c r="J83" s="570">
        <v>5.23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1613</v>
      </c>
      <c r="L83" s="320"/>
      <c r="M83" s="168">
        <f t="shared" si="464"/>
        <v>5.23</v>
      </c>
      <c r="N83" s="632">
        <f t="shared" si="465"/>
        <v>-4.6217321416848307</v>
      </c>
      <c r="O83" s="629">
        <f t="shared" si="466"/>
        <v>-0.87059429595973248</v>
      </c>
      <c r="P83" s="633">
        <f t="shared" si="467"/>
        <v>-0.83930253133643462</v>
      </c>
      <c r="Q83" s="585">
        <f t="shared" si="520"/>
        <v>190.66778546537009</v>
      </c>
      <c r="R83" s="629">
        <f t="shared" si="79"/>
        <v>4.7030141842907804</v>
      </c>
      <c r="S83" s="634">
        <f t="shared" si="80"/>
        <v>-0.83930253133643462</v>
      </c>
      <c r="T83" s="635">
        <f t="shared" si="81"/>
        <v>-0.87059429595973337</v>
      </c>
      <c r="U83" s="629">
        <f t="shared" si="82"/>
        <v>4.6217321416848307</v>
      </c>
      <c r="V83" s="636">
        <f t="shared" si="114"/>
        <v>-0.83930253133643462</v>
      </c>
      <c r="W83" s="585">
        <f t="shared" si="645"/>
        <v>100.66778546537009</v>
      </c>
      <c r="X83" s="629">
        <f t="shared" si="83"/>
        <v>4.7030141842907804</v>
      </c>
      <c r="Y83" s="630">
        <f t="shared" si="644"/>
        <v>-0.83930253133643462</v>
      </c>
      <c r="Z83" s="632">
        <f t="shared" si="468"/>
        <v>6.1691715435313141E-2</v>
      </c>
      <c r="AA83" s="629">
        <f t="shared" si="469"/>
        <v>0.99105881063488277</v>
      </c>
      <c r="AB83" s="629">
        <f t="shared" si="470"/>
        <v>-0.11830708393676186</v>
      </c>
      <c r="AC83" s="636">
        <f t="shared" si="84"/>
        <v>1</v>
      </c>
      <c r="AD83" s="637">
        <f t="shared" si="115"/>
        <v>6.1691715435313141E-2</v>
      </c>
      <c r="AE83" s="629">
        <f t="shared" si="85"/>
        <v>0.99105881063488277</v>
      </c>
      <c r="AF83" s="633">
        <f t="shared" si="86"/>
        <v>-0.11830708393676186</v>
      </c>
      <c r="AG83" s="602">
        <f t="shared" si="87"/>
        <v>83.192562723880812</v>
      </c>
      <c r="AH83" s="603">
        <f t="shared" si="88"/>
        <v>86.463079141809303</v>
      </c>
      <c r="AI83" s="585">
        <f t="shared" si="89"/>
        <v>-83.205590358535588</v>
      </c>
      <c r="AJ83" s="586">
        <f t="shared" si="90"/>
        <v>176.43803170106645</v>
      </c>
      <c r="AK83" s="635">
        <f t="shared" si="211"/>
        <v>0.96251036600431894</v>
      </c>
      <c r="AL83" s="629">
        <f t="shared" si="91"/>
        <v>-0.2440844714942183</v>
      </c>
      <c r="AM83" s="634">
        <f t="shared" si="92"/>
        <v>-0.11830708393676186</v>
      </c>
      <c r="AN83" s="581">
        <f t="shared" si="93"/>
        <v>-64.140657219556871</v>
      </c>
      <c r="AO83" s="582">
        <f t="shared" si="461"/>
        <v>15.73835903502979</v>
      </c>
      <c r="AP83" s="585">
        <f t="shared" si="95"/>
        <v>-14.229753764303624</v>
      </c>
      <c r="AQ83" s="586">
        <f t="shared" si="471"/>
        <v>0.48472578514227105</v>
      </c>
      <c r="AS83" s="52">
        <f t="shared" si="543"/>
        <v>-259.33221453462988</v>
      </c>
      <c r="AT83" s="72">
        <f t="shared" si="472"/>
        <v>-0.6592107156873861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>Taper</v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5.23</v>
      </c>
      <c r="IH83" s="731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5.13</v>
      </c>
      <c r="II83" s="734" cm="1">
        <f t="array" ref="II83">IFERROR(ROUND(VALUE(IF($IH83&lt;1,$IH83+LARGE((IF($M$9:$M$150="",0,$M$9:$M$150)-MOD(IF($M$9:$M$150="",0,$M$9:$M$150),1)),1),$IH83)),4),"")</f>
        <v>5.13</v>
      </c>
      <c r="IJ83" s="533">
        <f t="shared" si="542"/>
        <v>1613</v>
      </c>
      <c r="IK83" s="533">
        <f>IF(ISNUMBER($II83),INDEX($K$9:$K$150,MATCH($IG83,$M$9:$M$150,0)),"")</f>
        <v>1613</v>
      </c>
      <c r="IL83" s="727">
        <f>IF(ISNUMBER($II83),IFERROR(IF(INDEX($W$9:$W$150,MATCH($II83,$M$9:$M$150,0))&lt;$W83,((INDEX($W$9:$W$150,MATCH($II83,$M$9:$M$150,0))+360)-$W83),INDEX($W$9:$W$150,MATCH($II83,$M$9:$M$150,0))-$W83),""),"")</f>
        <v>11.923198278503151</v>
      </c>
      <c r="IM83" s="759">
        <v>1.97138891178337E-9</v>
      </c>
      <c r="IN83" s="5">
        <f t="shared" si="648"/>
        <v>0</v>
      </c>
      <c r="IO83" s="771">
        <v>0</v>
      </c>
      <c r="IP83" s="9">
        <f t="shared" si="649"/>
        <v>-4.7030141842907804</v>
      </c>
      <c r="IQ83" s="5">
        <f t="shared" si="650"/>
        <v>-0.83930253133643462</v>
      </c>
      <c r="IR83" s="5">
        <f t="shared" si="518"/>
        <v>0.314</v>
      </c>
      <c r="IS83" s="5">
        <f t="shared" si="651"/>
        <v>0.30222825225246636</v>
      </c>
      <c r="IT83" s="727">
        <f t="shared" si="652"/>
        <v>64.140657782476325</v>
      </c>
      <c r="IU83" s="9">
        <f t="shared" si="653"/>
        <v>-4.7030141842907804</v>
      </c>
      <c r="IV83" s="5">
        <f t="shared" si="654"/>
        <v>-0.83930253133643462</v>
      </c>
      <c r="IW83" s="5">
        <f t="shared" si="519"/>
        <v>0.314</v>
      </c>
      <c r="IX83" s="5">
        <f t="shared" si="655"/>
        <v>0.30222825492535615</v>
      </c>
      <c r="IY83" s="762">
        <f t="shared" si="656"/>
        <v>64.140657219556871</v>
      </c>
    </row>
    <row r="84" spans="1:259" ht="15" customHeight="1" x14ac:dyDescent="0.25">
      <c r="A84" s="79"/>
      <c r="B84" s="707">
        <v>-5.064159709574513</v>
      </c>
      <c r="C84" s="708">
        <v>-0.98474767327650248</v>
      </c>
      <c r="D84" s="709">
        <v>-1.4525043807532123</v>
      </c>
      <c r="E84" s="710">
        <v>-9.3840330369235364E-2</v>
      </c>
      <c r="F84" s="708">
        <v>-0.99163697182806954</v>
      </c>
      <c r="G84" s="711">
        <v>8.8600838031304155E-2</v>
      </c>
      <c r="H84" s="710">
        <v>0.314</v>
      </c>
      <c r="I84" s="708">
        <v>0.52</v>
      </c>
      <c r="J84" s="570">
        <v>5.2359999999999998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1613</v>
      </c>
      <c r="L84" s="320"/>
      <c r="M84" s="168">
        <f t="shared" si="464"/>
        <v>5.2359999999999998</v>
      </c>
      <c r="N84" s="632">
        <f t="shared" si="465"/>
        <v>-5.064159709574513</v>
      </c>
      <c r="O84" s="629">
        <f t="shared" si="466"/>
        <v>-0.98474767327650248</v>
      </c>
      <c r="P84" s="633">
        <f t="shared" si="467"/>
        <v>-1.4525043807532123</v>
      </c>
      <c r="Q84" s="585">
        <f t="shared" si="520"/>
        <v>191.00408541681435</v>
      </c>
      <c r="R84" s="629">
        <f t="shared" si="79"/>
        <v>5.1590155595909284</v>
      </c>
      <c r="S84" s="634">
        <f t="shared" si="80"/>
        <v>-1.4525043807532123</v>
      </c>
      <c r="T84" s="635">
        <f t="shared" si="81"/>
        <v>-0.98474767327650048</v>
      </c>
      <c r="U84" s="629">
        <f t="shared" si="82"/>
        <v>5.064159709574513</v>
      </c>
      <c r="V84" s="636">
        <f t="shared" si="114"/>
        <v>-1.4525043807532123</v>
      </c>
      <c r="W84" s="585">
        <f t="shared" si="645"/>
        <v>101.00408541681435</v>
      </c>
      <c r="X84" s="629">
        <f t="shared" si="83"/>
        <v>5.1590155595909284</v>
      </c>
      <c r="Y84" s="630">
        <f t="shared" si="644"/>
        <v>-1.4525043807532123</v>
      </c>
      <c r="Z84" s="632">
        <f t="shared" si="468"/>
        <v>9.3840330369235364E-2</v>
      </c>
      <c r="AA84" s="629">
        <f t="shared" si="469"/>
        <v>0.99163697182806954</v>
      </c>
      <c r="AB84" s="629">
        <f t="shared" si="470"/>
        <v>-8.8600838031304155E-2</v>
      </c>
      <c r="AC84" s="636">
        <f t="shared" si="84"/>
        <v>1</v>
      </c>
      <c r="AD84" s="637">
        <f t="shared" si="115"/>
        <v>9.3840330369235364E-2</v>
      </c>
      <c r="AE84" s="629">
        <f t="shared" si="85"/>
        <v>0.99163697182806954</v>
      </c>
      <c r="AF84" s="633">
        <f t="shared" si="86"/>
        <v>-8.8600838031304155E-2</v>
      </c>
      <c r="AG84" s="602">
        <f t="shared" si="87"/>
        <v>84.894290965822563</v>
      </c>
      <c r="AH84" s="603">
        <f t="shared" si="88"/>
        <v>84.615422542612322</v>
      </c>
      <c r="AI84" s="585">
        <f t="shared" si="89"/>
        <v>-84.916880560941749</v>
      </c>
      <c r="AJ84" s="586">
        <f t="shared" si="90"/>
        <v>174.59409934601831</v>
      </c>
      <c r="AK84" s="635">
        <f t="shared" si="211"/>
        <v>0.9554921661559107</v>
      </c>
      <c r="AL84" s="629">
        <f t="shared" si="91"/>
        <v>-0.28139760467146202</v>
      </c>
      <c r="AM84" s="634">
        <f t="shared" si="92"/>
        <v>-8.8600838031304155E-2</v>
      </c>
      <c r="AN84" s="581">
        <f t="shared" si="93"/>
        <v>-72.522872482318263</v>
      </c>
      <c r="AO84" s="582">
        <f t="shared" si="461"/>
        <v>17.15852527628104</v>
      </c>
      <c r="AP84" s="585">
        <f t="shared" si="95"/>
        <v>-16.409986070796027</v>
      </c>
      <c r="AQ84" s="586">
        <f t="shared" si="471"/>
        <v>0.44188303102116155</v>
      </c>
      <c r="AS84" s="52">
        <f t="shared" si="543"/>
        <v>-258.99591458318565</v>
      </c>
      <c r="AT84" s="72">
        <f t="shared" si="472"/>
        <v>-1.2726461067371111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>Taper</v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5.2359999999999998</v>
      </c>
      <c r="IH84" s="731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5.1360000000000001</v>
      </c>
      <c r="II84" s="734" cm="1">
        <f t="array" ref="II84">IFERROR(ROUND(VALUE(IF($IH84&lt;1,$IH84+LARGE((IF($M$9:$M$150="",0,$M$9:$M$150)-MOD(IF($M$9:$M$150="",0,$M$9:$M$150),1)),1),$IH84)),4),"")</f>
        <v>5.1360000000000001</v>
      </c>
      <c r="IJ84" s="533">
        <f t="shared" si="542"/>
        <v>1613</v>
      </c>
      <c r="IK84" s="533">
        <f t="shared" si="517"/>
        <v>1613</v>
      </c>
      <c r="IL84" s="727">
        <f t="shared" si="647"/>
        <v>10.856898432457825</v>
      </c>
      <c r="IM84" s="759">
        <v>2.4318231606030101E-9</v>
      </c>
      <c r="IN84" s="5">
        <f t="shared" si="648"/>
        <v>0</v>
      </c>
      <c r="IO84" s="771">
        <v>0</v>
      </c>
      <c r="IP84" s="9">
        <f t="shared" si="649"/>
        <v>-5.1590155595909284</v>
      </c>
      <c r="IQ84" s="5">
        <f t="shared" si="650"/>
        <v>-1.4525043807532123</v>
      </c>
      <c r="IR84" s="5">
        <f t="shared" si="518"/>
        <v>0.314</v>
      </c>
      <c r="IS84" s="5">
        <f t="shared" si="651"/>
        <v>0.30002453711188293</v>
      </c>
      <c r="IT84" s="727">
        <f t="shared" si="652"/>
        <v>72.52287316484059</v>
      </c>
      <c r="IU84" s="9">
        <f t="shared" si="653"/>
        <v>-5.1590155595909284</v>
      </c>
      <c r="IV84" s="5">
        <f t="shared" si="654"/>
        <v>-1.4525043807532123</v>
      </c>
      <c r="IW84" s="5">
        <f t="shared" si="519"/>
        <v>0.314</v>
      </c>
      <c r="IX84" s="5">
        <f t="shared" si="655"/>
        <v>0.30002454017295599</v>
      </c>
      <c r="IY84" s="762">
        <f t="shared" si="656"/>
        <v>72.522872482318263</v>
      </c>
    </row>
    <row r="85" spans="1:259" ht="15" customHeight="1" x14ac:dyDescent="0.25">
      <c r="A85" s="79"/>
      <c r="B85" s="707">
        <v>-5.387262523057867</v>
      </c>
      <c r="C85" s="708">
        <v>-1.0592811241854085</v>
      </c>
      <c r="D85" s="709">
        <v>-2.1417064593866817</v>
      </c>
      <c r="E85" s="710">
        <v>-0.10885917118192358</v>
      </c>
      <c r="F85" s="708">
        <v>-0.99300541838912815</v>
      </c>
      <c r="G85" s="711">
        <v>4.571564173690798E-2</v>
      </c>
      <c r="H85" s="710">
        <v>0.314</v>
      </c>
      <c r="I85" s="708">
        <v>0.52</v>
      </c>
      <c r="J85" s="570">
        <v>5.242</v>
      </c>
      <c r="K85" s="865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1613</v>
      </c>
      <c r="L85" s="320"/>
      <c r="M85" s="168">
        <f t="shared" si="464"/>
        <v>5.242</v>
      </c>
      <c r="N85" s="632">
        <f t="shared" si="465"/>
        <v>-5.387262523057867</v>
      </c>
      <c r="O85" s="629">
        <f t="shared" si="466"/>
        <v>-1.0592811241854085</v>
      </c>
      <c r="P85" s="633">
        <f t="shared" si="467"/>
        <v>-2.1417064593866817</v>
      </c>
      <c r="Q85" s="585">
        <f t="shared" si="520"/>
        <v>191.12398539950297</v>
      </c>
      <c r="R85" s="629">
        <f t="shared" si="79"/>
        <v>5.4904165590963423</v>
      </c>
      <c r="S85" s="634">
        <f t="shared" si="80"/>
        <v>-2.1417064593866817</v>
      </c>
      <c r="T85" s="635">
        <f t="shared" si="81"/>
        <v>-1.0592811241854097</v>
      </c>
      <c r="U85" s="629">
        <f t="shared" si="82"/>
        <v>5.387262523057867</v>
      </c>
      <c r="V85" s="636">
        <f t="shared" si="114"/>
        <v>-2.1417064593866817</v>
      </c>
      <c r="W85" s="585">
        <f t="shared" si="645"/>
        <v>101.12398539950297</v>
      </c>
      <c r="X85" s="629">
        <f t="shared" si="83"/>
        <v>5.4904165590963423</v>
      </c>
      <c r="Y85" s="630">
        <f t="shared" si="644"/>
        <v>-2.1417064593866817</v>
      </c>
      <c r="Z85" s="632">
        <f t="shared" si="468"/>
        <v>0.10885917118192358</v>
      </c>
      <c r="AA85" s="629">
        <f t="shared" si="469"/>
        <v>0.99300541838912815</v>
      </c>
      <c r="AB85" s="629">
        <f t="shared" si="470"/>
        <v>-4.571564173690798E-2</v>
      </c>
      <c r="AC85" s="636">
        <f t="shared" si="84"/>
        <v>1</v>
      </c>
      <c r="AD85" s="637">
        <f t="shared" si="115"/>
        <v>0.10885917118192358</v>
      </c>
      <c r="AE85" s="629">
        <f t="shared" si="85"/>
        <v>0.99300541838912815</v>
      </c>
      <c r="AF85" s="633">
        <f t="shared" si="86"/>
        <v>-4.571564173690798E-2</v>
      </c>
      <c r="AG85" s="602">
        <f t="shared" si="87"/>
        <v>87.364097802973504</v>
      </c>
      <c r="AH85" s="603">
        <f t="shared" si="88"/>
        <v>83.750444026737554</v>
      </c>
      <c r="AI85" s="585">
        <f t="shared" si="89"/>
        <v>-87.379773452458281</v>
      </c>
      <c r="AJ85" s="586">
        <f t="shared" si="90"/>
        <v>173.74387713216706</v>
      </c>
      <c r="AK85" s="635">
        <f t="shared" si="211"/>
        <v>0.95334631791857438</v>
      </c>
      <c r="AL85" s="629">
        <f t="shared" si="91"/>
        <v>-0.29839718197677256</v>
      </c>
      <c r="AM85" s="634">
        <f t="shared" si="92"/>
        <v>-4.571564173690798E-2</v>
      </c>
      <c r="AN85" s="581">
        <f t="shared" si="93"/>
        <v>-81.289783233089125</v>
      </c>
      <c r="AO85" s="582">
        <f t="shared" si="461"/>
        <v>17.570482036597458</v>
      </c>
      <c r="AP85" s="585">
        <f t="shared" si="95"/>
        <v>-17.38010826733591</v>
      </c>
      <c r="AQ85" s="586">
        <f t="shared" si="471"/>
        <v>0.41521197884339078</v>
      </c>
      <c r="AS85" s="52">
        <f t="shared" si="543"/>
        <v>-258.876014600497</v>
      </c>
      <c r="AT85" s="72">
        <f t="shared" si="472"/>
        <v>-1.9619314492474476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>Taper</v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5.242</v>
      </c>
      <c r="IH85" s="731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5.1420000000000003</v>
      </c>
      <c r="II85" s="734" cm="1">
        <f t="array" ref="II85">IFERROR(ROUND(VALUE(IF($IH85&lt;1,$IH85+LARGE((IF($M$9:$M$150="",0,$M$9:$M$150)-MOD(IF($M$9:$M$150="",0,$M$9:$M$150),1)),1),$IH85)),4),"")</f>
        <v>5.1420000000000003</v>
      </c>
      <c r="IJ85" s="533">
        <f t="shared" si="542"/>
        <v>1613</v>
      </c>
      <c r="IK85" s="533">
        <f t="shared" si="517"/>
        <v>1613</v>
      </c>
      <c r="IL85" s="727">
        <f t="shared" si="647"/>
        <v>10.181998529901279</v>
      </c>
      <c r="IM85" s="759">
        <v>3.2826828846744201E-9</v>
      </c>
      <c r="IN85" s="5">
        <f t="shared" si="648"/>
        <v>0</v>
      </c>
      <c r="IO85" s="771">
        <v>0</v>
      </c>
      <c r="IP85" s="9">
        <f t="shared" si="649"/>
        <v>-5.4904165590963432</v>
      </c>
      <c r="IQ85" s="5">
        <f t="shared" si="650"/>
        <v>-2.1417064593866817</v>
      </c>
      <c r="IR85" s="5">
        <f t="shared" si="518"/>
        <v>0.314</v>
      </c>
      <c r="IS85" s="5">
        <f t="shared" si="651"/>
        <v>0.29935074076758134</v>
      </c>
      <c r="IT85" s="727">
        <f t="shared" si="652"/>
        <v>81.289784086264916</v>
      </c>
      <c r="IU85" s="9">
        <f t="shared" si="653"/>
        <v>-5.4904165590963423</v>
      </c>
      <c r="IV85" s="5">
        <f t="shared" si="654"/>
        <v>-2.1417064593866817</v>
      </c>
      <c r="IW85" s="5">
        <f t="shared" si="519"/>
        <v>0.314</v>
      </c>
      <c r="IX85" s="5">
        <f t="shared" si="655"/>
        <v>0.29935074382643234</v>
      </c>
      <c r="IY85" s="762">
        <f t="shared" si="656"/>
        <v>81.289783233089125</v>
      </c>
    </row>
    <row r="86" spans="1:259" ht="15" customHeight="1" x14ac:dyDescent="0.25">
      <c r="A86" s="79"/>
      <c r="B86" s="707">
        <v>-5.6069217804743046</v>
      </c>
      <c r="C86" s="708">
        <v>-1.1010999464641313</v>
      </c>
      <c r="D86" s="709">
        <v>-2.8733086658989366</v>
      </c>
      <c r="E86" s="710">
        <v>-0.13177137954570561</v>
      </c>
      <c r="F86" s="708">
        <v>-0.99118479988400621</v>
      </c>
      <c r="G86" s="711">
        <v>1.3747582024642796E-2</v>
      </c>
      <c r="H86" s="710">
        <v>0.314</v>
      </c>
      <c r="I86" s="708">
        <v>0.52</v>
      </c>
      <c r="J86" s="570">
        <v>5.2480000000000002</v>
      </c>
      <c r="K86" s="865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1613</v>
      </c>
      <c r="L86" s="320"/>
      <c r="M86" s="168">
        <f t="shared" si="464"/>
        <v>5.2480000000000002</v>
      </c>
      <c r="N86" s="632">
        <f t="shared" si="465"/>
        <v>-5.6069217804743046</v>
      </c>
      <c r="O86" s="629">
        <f t="shared" si="466"/>
        <v>-1.1010999464641313</v>
      </c>
      <c r="P86" s="633">
        <f t="shared" si="467"/>
        <v>-2.8733086658989366</v>
      </c>
      <c r="Q86" s="585">
        <f t="shared" si="520"/>
        <v>191.11048540145211</v>
      </c>
      <c r="R86" s="629">
        <f t="shared" si="79"/>
        <v>5.7140172334759773</v>
      </c>
      <c r="S86" s="634">
        <f t="shared" si="80"/>
        <v>-2.8733086658989366</v>
      </c>
      <c r="T86" s="635">
        <f t="shared" si="81"/>
        <v>-1.1010999464641309</v>
      </c>
      <c r="U86" s="629">
        <f t="shared" si="82"/>
        <v>5.6069217804743046</v>
      </c>
      <c r="V86" s="636">
        <f t="shared" si="114"/>
        <v>-2.8733086658989366</v>
      </c>
      <c r="W86" s="585">
        <f t="shared" si="645"/>
        <v>101.11048540145211</v>
      </c>
      <c r="X86" s="629">
        <f t="shared" si="83"/>
        <v>5.7140172334759773</v>
      </c>
      <c r="Y86" s="630">
        <f t="shared" si="644"/>
        <v>-2.8733086658989366</v>
      </c>
      <c r="Z86" s="632">
        <f t="shared" si="468"/>
        <v>0.13177137954570561</v>
      </c>
      <c r="AA86" s="629">
        <f t="shared" si="469"/>
        <v>0.99118479988400621</v>
      </c>
      <c r="AB86" s="629">
        <f t="shared" si="470"/>
        <v>-1.3747582024642796E-2</v>
      </c>
      <c r="AC86" s="636">
        <f t="shared" si="84"/>
        <v>1</v>
      </c>
      <c r="AD86" s="637">
        <f t="shared" si="115"/>
        <v>0.13177137954570561</v>
      </c>
      <c r="AE86" s="629">
        <f t="shared" si="85"/>
        <v>0.99118479988400621</v>
      </c>
      <c r="AF86" s="633">
        <f t="shared" si="86"/>
        <v>-1.3747582024642796E-2</v>
      </c>
      <c r="AG86" s="602">
        <f t="shared" si="87"/>
        <v>89.20536722801252</v>
      </c>
      <c r="AH86" s="603">
        <f t="shared" si="88"/>
        <v>82.428034428113094</v>
      </c>
      <c r="AI86" s="585">
        <f t="shared" si="89"/>
        <v>-89.21229675802077</v>
      </c>
      <c r="AJ86" s="586">
        <f t="shared" si="90"/>
        <v>172.42731459487871</v>
      </c>
      <c r="AK86" s="635">
        <f t="shared" si="211"/>
        <v>0.94721488627518902</v>
      </c>
      <c r="AL86" s="629">
        <f t="shared" si="91"/>
        <v>-0.3203044851499216</v>
      </c>
      <c r="AM86" s="634">
        <f t="shared" si="92"/>
        <v>-1.3747582024642796E-2</v>
      </c>
      <c r="AN86" s="581">
        <f t="shared" si="93"/>
        <v>-87.54235321954863</v>
      </c>
      <c r="AO86" s="582">
        <f t="shared" si="461"/>
        <v>18.699176406180438</v>
      </c>
      <c r="AP86" s="585">
        <f t="shared" si="95"/>
        <v>-18.683170806573383</v>
      </c>
      <c r="AQ86" s="586">
        <f t="shared" si="471"/>
        <v>0.39896445760779597</v>
      </c>
      <c r="AS86" s="52">
        <f t="shared" si="543"/>
        <v>-258.88951459854786</v>
      </c>
      <c r="AT86" s="72">
        <f t="shared" si="472"/>
        <v>-2.6935242807610562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>Taper</v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5.2480000000000002</v>
      </c>
      <c r="IH86" s="731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5.1479999999999997</v>
      </c>
      <c r="II86" s="734" cm="1">
        <f t="array" ref="II86">IFERROR(ROUND(VALUE(IF($IH86&lt;1,$IH86+LARGE((IF($M$9:$M$150="",0,$M$9:$M$150)-MOD(IF($M$9:$M$150="",0,$M$9:$M$150),1)),1),$IH86)),4),"")</f>
        <v>5.1479999999999997</v>
      </c>
      <c r="IJ86" s="533">
        <f t="shared" si="542"/>
        <v>1613</v>
      </c>
      <c r="IK86" s="533">
        <f t="shared" si="517"/>
        <v>1613</v>
      </c>
      <c r="IL86" s="727">
        <f t="shared" si="647"/>
        <v>9.8114985833948651</v>
      </c>
      <c r="IM86" s="759">
        <v>3.0479024181016402E-9</v>
      </c>
      <c r="IN86" s="5">
        <f t="shared" si="648"/>
        <v>0</v>
      </c>
      <c r="IO86" s="771">
        <v>0</v>
      </c>
      <c r="IP86" s="9">
        <f t="shared" si="649"/>
        <v>-5.7140172334759773</v>
      </c>
      <c r="IQ86" s="5">
        <f t="shared" si="650"/>
        <v>-2.8733086658989366</v>
      </c>
      <c r="IR86" s="5">
        <f t="shared" si="518"/>
        <v>0.314</v>
      </c>
      <c r="IS86" s="5">
        <f t="shared" si="651"/>
        <v>0.29742547081737775</v>
      </c>
      <c r="IT86" s="727">
        <f t="shared" si="652"/>
        <v>87.542354055923354</v>
      </c>
      <c r="IU86" s="9">
        <f t="shared" si="653"/>
        <v>-5.7140172334759773</v>
      </c>
      <c r="IV86" s="5">
        <f t="shared" si="654"/>
        <v>-2.8733086658989366</v>
      </c>
      <c r="IW86" s="5">
        <f t="shared" si="519"/>
        <v>0.314</v>
      </c>
      <c r="IX86" s="5">
        <f t="shared" si="655"/>
        <v>0.29742547429040939</v>
      </c>
      <c r="IY86" s="762">
        <f t="shared" si="656"/>
        <v>87.54235321954863</v>
      </c>
    </row>
    <row r="87" spans="1:259" ht="15" customHeight="1" x14ac:dyDescent="0.25">
      <c r="A87" s="79"/>
      <c r="B87" s="707">
        <v>-2.0147922492184804</v>
      </c>
      <c r="C87" s="708">
        <v>1.4107731369839083</v>
      </c>
      <c r="D87" s="709">
        <v>-0.16710050397512002</v>
      </c>
      <c r="E87" s="710">
        <v>-0.51721689905205193</v>
      </c>
      <c r="F87" s="708">
        <v>-0.81701855130363654</v>
      </c>
      <c r="G87" s="711">
        <v>0.25488696742024014</v>
      </c>
      <c r="H87" s="710">
        <v>0.314</v>
      </c>
      <c r="I87" s="708">
        <v>0.52</v>
      </c>
      <c r="J87" s="570">
        <v>6.1109999999999998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1613</v>
      </c>
      <c r="L87" s="320"/>
      <c r="M87" s="168">
        <f t="shared" si="464"/>
        <v>6.1109999999999998</v>
      </c>
      <c r="N87" s="632">
        <f t="shared" si="465"/>
        <v>-2.0147922492184804</v>
      </c>
      <c r="O87" s="629">
        <f t="shared" si="466"/>
        <v>1.4107731369839083</v>
      </c>
      <c r="P87" s="633">
        <f t="shared" si="467"/>
        <v>-0.16710050397512002</v>
      </c>
      <c r="Q87" s="585">
        <f t="shared" si="520"/>
        <v>144.99999205898365</v>
      </c>
      <c r="R87" s="629">
        <f t="shared" si="79"/>
        <v>2.4596074181759739</v>
      </c>
      <c r="S87" s="634">
        <f t="shared" si="80"/>
        <v>-0.16710050397512002</v>
      </c>
      <c r="T87" s="635">
        <f t="shared" si="81"/>
        <v>1.410773136983908</v>
      </c>
      <c r="U87" s="629">
        <f t="shared" si="82"/>
        <v>2.0147922492184804</v>
      </c>
      <c r="V87" s="636">
        <f t="shared" si="114"/>
        <v>-0.16710050397512002</v>
      </c>
      <c r="W87" s="585">
        <f t="shared" si="645"/>
        <v>54.999992058983651</v>
      </c>
      <c r="X87" s="629">
        <f t="shared" si="83"/>
        <v>2.4596074181759739</v>
      </c>
      <c r="Y87" s="630">
        <f t="shared" si="644"/>
        <v>-0.16710050397512002</v>
      </c>
      <c r="Z87" s="632">
        <f t="shared" si="468"/>
        <v>0.51721689905205193</v>
      </c>
      <c r="AA87" s="629">
        <f t="shared" si="469"/>
        <v>0.81701855130363654</v>
      </c>
      <c r="AB87" s="629">
        <f t="shared" si="470"/>
        <v>-0.25488696742024014</v>
      </c>
      <c r="AC87" s="636">
        <f t="shared" si="84"/>
        <v>1</v>
      </c>
      <c r="AD87" s="637">
        <f t="shared" si="115"/>
        <v>0.51721689905205193</v>
      </c>
      <c r="AE87" s="629">
        <f t="shared" si="85"/>
        <v>0.81701855130363654</v>
      </c>
      <c r="AF87" s="633">
        <f t="shared" si="86"/>
        <v>-0.25488696742024014</v>
      </c>
      <c r="AG87" s="602">
        <f t="shared" si="87"/>
        <v>72.673536627850339</v>
      </c>
      <c r="AH87" s="603">
        <f t="shared" si="88"/>
        <v>58.85424894098459</v>
      </c>
      <c r="AI87" s="585">
        <f t="shared" si="89"/>
        <v>-75.233112454846449</v>
      </c>
      <c r="AJ87" s="586">
        <f t="shared" si="90"/>
        <v>147.66397889323017</v>
      </c>
      <c r="AK87" s="635">
        <f t="shared" si="211"/>
        <v>0.96592583607220739</v>
      </c>
      <c r="AL87" s="629">
        <f t="shared" si="91"/>
        <v>4.4943442764441621E-2</v>
      </c>
      <c r="AM87" s="634">
        <f t="shared" si="92"/>
        <v>-0.25488696742024014</v>
      </c>
      <c r="AN87" s="581">
        <f t="shared" si="93"/>
        <v>9.9999985561788112</v>
      </c>
      <c r="AO87" s="582">
        <f t="shared" si="461"/>
        <v>14.999997834268255</v>
      </c>
      <c r="AP87" s="585">
        <f t="shared" si="95"/>
        <v>2.6639868342465061</v>
      </c>
      <c r="AQ87" s="586">
        <f t="shared" si="471"/>
        <v>0.9267852198911658</v>
      </c>
      <c r="AS87" s="52">
        <f t="shared" si="543"/>
        <v>-305.00000794101635</v>
      </c>
      <c r="AT87" s="72">
        <f t="shared" si="472"/>
        <v>4.4705057095030226E-2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6.1109999999999998</v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>
        <f t="shared" si="542"/>
        <v>1613</v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>
        <v>-2.6361003768559095</v>
      </c>
      <c r="C88" s="708">
        <v>1.8794797890024395</v>
      </c>
      <c r="D88" s="709">
        <v>-9.4900286219263247E-2</v>
      </c>
      <c r="E88" s="710">
        <v>-0.63006139435735953</v>
      </c>
      <c r="F88" s="708">
        <v>-0.74567421469855799</v>
      </c>
      <c r="G88" s="711">
        <v>0.21677777762987779</v>
      </c>
      <c r="H88" s="710">
        <v>0.314</v>
      </c>
      <c r="I88" s="708">
        <v>0.52</v>
      </c>
      <c r="J88" s="570">
        <v>6.117</v>
      </c>
      <c r="K88" s="865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1613</v>
      </c>
      <c r="L88" s="320"/>
      <c r="M88" s="168">
        <f t="shared" si="464"/>
        <v>6.117</v>
      </c>
      <c r="N88" s="632">
        <f t="shared" si="465"/>
        <v>-2.6361003768559095</v>
      </c>
      <c r="O88" s="629">
        <f t="shared" si="466"/>
        <v>1.8794797890024395</v>
      </c>
      <c r="P88" s="633">
        <f t="shared" si="467"/>
        <v>-9.4900286219263247E-2</v>
      </c>
      <c r="Q88" s="585">
        <f t="shared" si="520"/>
        <v>144.51199212944212</v>
      </c>
      <c r="R88" s="629">
        <f t="shared" si="79"/>
        <v>3.2375097643294488</v>
      </c>
      <c r="S88" s="634">
        <f t="shared" si="80"/>
        <v>-9.4900286219263247E-2</v>
      </c>
      <c r="T88" s="635">
        <f t="shared" si="81"/>
        <v>1.8794797890024395</v>
      </c>
      <c r="U88" s="629">
        <f t="shared" si="82"/>
        <v>2.6361003768559095</v>
      </c>
      <c r="V88" s="636">
        <f t="shared" si="114"/>
        <v>-9.4900286219263247E-2</v>
      </c>
      <c r="W88" s="585">
        <f t="shared" si="645"/>
        <v>54.51199212944212</v>
      </c>
      <c r="X88" s="629">
        <f t="shared" si="83"/>
        <v>3.2375097643294488</v>
      </c>
      <c r="Y88" s="630">
        <f t="shared" si="644"/>
        <v>-9.4900286219263247E-2</v>
      </c>
      <c r="Z88" s="632">
        <f t="shared" si="468"/>
        <v>0.63006139435735953</v>
      </c>
      <c r="AA88" s="629">
        <f t="shared" si="469"/>
        <v>0.74567421469855799</v>
      </c>
      <c r="AB88" s="629">
        <f t="shared" si="470"/>
        <v>-0.21677777762987779</v>
      </c>
      <c r="AC88" s="636">
        <f t="shared" si="84"/>
        <v>1</v>
      </c>
      <c r="AD88" s="637">
        <f t="shared" si="115"/>
        <v>0.63006139435735953</v>
      </c>
      <c r="AE88" s="629">
        <f t="shared" si="85"/>
        <v>0.74567421469855799</v>
      </c>
      <c r="AF88" s="633">
        <f t="shared" si="86"/>
        <v>-0.21677777762987779</v>
      </c>
      <c r="AG88" s="602">
        <f t="shared" si="87"/>
        <v>73.790123628946048</v>
      </c>
      <c r="AH88" s="603">
        <f t="shared" si="88"/>
        <v>50.945347754318817</v>
      </c>
      <c r="AI88" s="585">
        <f t="shared" si="89"/>
        <v>-77.480153461105601</v>
      </c>
      <c r="AJ88" s="586">
        <f t="shared" si="90"/>
        <v>139.80368368429436</v>
      </c>
      <c r="AK88" s="635">
        <f t="shared" si="211"/>
        <v>0.97292671349096405</v>
      </c>
      <c r="AL88" s="629">
        <f t="shared" si="91"/>
        <v>-8.0131175590545833E-2</v>
      </c>
      <c r="AM88" s="634">
        <f t="shared" si="92"/>
        <v>-0.21677777762987779</v>
      </c>
      <c r="AN88" s="581">
        <f t="shared" si="93"/>
        <v>-20.28666319814123</v>
      </c>
      <c r="AO88" s="582">
        <f t="shared" si="461"/>
        <v>13.36265742535711</v>
      </c>
      <c r="AP88" s="585">
        <f t="shared" si="95"/>
        <v>-4.7083084451477655</v>
      </c>
      <c r="AQ88" s="586">
        <f t="shared" si="471"/>
        <v>0.7041250930616394</v>
      </c>
      <c r="AS88" s="52">
        <f t="shared" si="543"/>
        <v>-305.48800787055791</v>
      </c>
      <c r="AT88" s="72">
        <f t="shared" si="472"/>
        <v>0.11724416369084642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6.117</v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>
        <f t="shared" si="542"/>
        <v>1613</v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>
        <v>-3.2129751903851229</v>
      </c>
      <c r="C89" s="708">
        <v>2.3663010292201925</v>
      </c>
      <c r="D89" s="709">
        <v>-0.30360091566036163</v>
      </c>
      <c r="E89" s="710">
        <v>-0.72699660316017189</v>
      </c>
      <c r="F89" s="708">
        <v>-0.66438178708683782</v>
      </c>
      <c r="G89" s="711">
        <v>0.17341505119473169</v>
      </c>
      <c r="H89" s="710">
        <v>0.314</v>
      </c>
      <c r="I89" s="708">
        <v>0.52</v>
      </c>
      <c r="J89" s="570">
        <v>6.1230000000000002</v>
      </c>
      <c r="K89" s="865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1613</v>
      </c>
      <c r="L89" s="320"/>
      <c r="M89" s="168">
        <f t="shared" si="464"/>
        <v>6.1230000000000002</v>
      </c>
      <c r="N89" s="632">
        <f t="shared" si="465"/>
        <v>-3.2129751903851229</v>
      </c>
      <c r="O89" s="629">
        <f t="shared" si="466"/>
        <v>2.3663010292201925</v>
      </c>
      <c r="P89" s="633">
        <f t="shared" si="467"/>
        <v>-0.30360091566036163</v>
      </c>
      <c r="Q89" s="585">
        <f t="shared" si="520"/>
        <v>143.62899225693153</v>
      </c>
      <c r="R89" s="629">
        <f t="shared" si="79"/>
        <v>3.990312034781097</v>
      </c>
      <c r="S89" s="634">
        <f t="shared" si="80"/>
        <v>-0.30360091566036163</v>
      </c>
      <c r="T89" s="635">
        <f t="shared" si="81"/>
        <v>2.3663010292201925</v>
      </c>
      <c r="U89" s="629">
        <f t="shared" si="82"/>
        <v>3.2129751903851229</v>
      </c>
      <c r="V89" s="636">
        <f t="shared" si="114"/>
        <v>-0.30360091566036163</v>
      </c>
      <c r="W89" s="585">
        <f t="shared" si="645"/>
        <v>53.628992256931525</v>
      </c>
      <c r="X89" s="629">
        <f t="shared" si="83"/>
        <v>3.990312034781097</v>
      </c>
      <c r="Y89" s="630">
        <f t="shared" si="644"/>
        <v>-0.30360091566036163</v>
      </c>
      <c r="Z89" s="632">
        <f t="shared" si="468"/>
        <v>0.72699660316017189</v>
      </c>
      <c r="AA89" s="629">
        <f t="shared" si="469"/>
        <v>0.66438178708683782</v>
      </c>
      <c r="AB89" s="629">
        <f t="shared" si="470"/>
        <v>-0.17341505119473169</v>
      </c>
      <c r="AC89" s="636">
        <f t="shared" si="84"/>
        <v>1</v>
      </c>
      <c r="AD89" s="637">
        <f t="shared" si="115"/>
        <v>0.72699660316017189</v>
      </c>
      <c r="AE89" s="629">
        <f t="shared" si="85"/>
        <v>0.66438178708683782</v>
      </c>
      <c r="AF89" s="633">
        <f t="shared" si="86"/>
        <v>-0.17341505119473169</v>
      </c>
      <c r="AG89" s="602">
        <f t="shared" si="87"/>
        <v>75.371208242838321</v>
      </c>
      <c r="AH89" s="603">
        <f t="shared" si="88"/>
        <v>43.364803916121765</v>
      </c>
      <c r="AI89" s="585">
        <f t="shared" si="89"/>
        <v>-80.013562935788372</v>
      </c>
      <c r="AJ89" s="586">
        <f t="shared" si="90"/>
        <v>132.42331357323633</v>
      </c>
      <c r="AK89" s="635">
        <f t="shared" si="211"/>
        <v>0.96607357408396655</v>
      </c>
      <c r="AL89" s="629">
        <f t="shared" si="91"/>
        <v>-0.19138722390943325</v>
      </c>
      <c r="AM89" s="634">
        <f t="shared" si="92"/>
        <v>-0.17341505119473169</v>
      </c>
      <c r="AN89" s="581">
        <f t="shared" si="93"/>
        <v>-47.820425868896841</v>
      </c>
      <c r="AO89" s="582">
        <f t="shared" si="461"/>
        <v>14.967257578368796</v>
      </c>
      <c r="AP89" s="585">
        <f t="shared" si="95"/>
        <v>-11.205678683695192</v>
      </c>
      <c r="AQ89" s="586">
        <f t="shared" si="471"/>
        <v>0.57129644517562672</v>
      </c>
      <c r="AS89" s="52">
        <f t="shared" si="543"/>
        <v>-306.3710077430685</v>
      </c>
      <c r="AT89" s="72">
        <f t="shared" si="472"/>
        <v>-9.0843271394341812E-2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6.1230000000000002</v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>
        <f t="shared" si="542"/>
        <v>1613</v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>
        <v>-3.6714217583930804</v>
      </c>
      <c r="C90" s="708">
        <v>2.7939390876571082</v>
      </c>
      <c r="D90" s="709">
        <v>-0.74830225687960672</v>
      </c>
      <c r="E90" s="710">
        <v>-0.77307822621891364</v>
      </c>
      <c r="F90" s="708">
        <v>-0.62182517161095396</v>
      </c>
      <c r="G90" s="711">
        <v>0.12523382968361968</v>
      </c>
      <c r="H90" s="710">
        <v>0.314</v>
      </c>
      <c r="I90" s="708">
        <v>0.52</v>
      </c>
      <c r="J90" s="570">
        <v>6.1289999999999996</v>
      </c>
      <c r="K90" s="865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1613</v>
      </c>
      <c r="L90" s="320"/>
      <c r="M90" s="168">
        <f t="shared" si="464"/>
        <v>6.1289999999999996</v>
      </c>
      <c r="N90" s="632">
        <f t="shared" si="465"/>
        <v>-3.6714217583930804</v>
      </c>
      <c r="O90" s="629">
        <f t="shared" si="466"/>
        <v>2.7939390876571082</v>
      </c>
      <c r="P90" s="633">
        <f t="shared" si="467"/>
        <v>-0.74830225687960672</v>
      </c>
      <c r="Q90" s="585">
        <f t="shared" si="520"/>
        <v>142.72899238687543</v>
      </c>
      <c r="R90" s="629">
        <f t="shared" si="79"/>
        <v>4.6136139146595667</v>
      </c>
      <c r="S90" s="634">
        <f t="shared" si="80"/>
        <v>-0.74830225687960672</v>
      </c>
      <c r="T90" s="635">
        <f t="shared" si="81"/>
        <v>2.7939390876571077</v>
      </c>
      <c r="U90" s="629">
        <f t="shared" si="82"/>
        <v>3.6714217583930808</v>
      </c>
      <c r="V90" s="636">
        <f t="shared" si="114"/>
        <v>-0.74830225687960672</v>
      </c>
      <c r="W90" s="585">
        <f t="shared" si="645"/>
        <v>52.728992386875433</v>
      </c>
      <c r="X90" s="629">
        <f t="shared" si="83"/>
        <v>4.6136139146595667</v>
      </c>
      <c r="Y90" s="630">
        <f t="shared" si="644"/>
        <v>-0.74830225687960672</v>
      </c>
      <c r="Z90" s="632">
        <f t="shared" si="468"/>
        <v>0.77307822621891364</v>
      </c>
      <c r="AA90" s="629">
        <f t="shared" si="469"/>
        <v>0.62182517161095396</v>
      </c>
      <c r="AB90" s="629">
        <f t="shared" si="470"/>
        <v>-0.12523382968361968</v>
      </c>
      <c r="AC90" s="636">
        <f t="shared" si="84"/>
        <v>1</v>
      </c>
      <c r="AD90" s="637">
        <f t="shared" si="115"/>
        <v>0.77307822621891364</v>
      </c>
      <c r="AE90" s="629">
        <f t="shared" si="85"/>
        <v>0.62182517161095396</v>
      </c>
      <c r="AF90" s="633">
        <f t="shared" si="86"/>
        <v>-0.12523382968361968</v>
      </c>
      <c r="AG90" s="602">
        <f t="shared" si="87"/>
        <v>78.613115235038805</v>
      </c>
      <c r="AH90" s="603">
        <f t="shared" si="88"/>
        <v>39.368878637273127</v>
      </c>
      <c r="AI90" s="585">
        <f t="shared" si="89"/>
        <v>-82.805740653563703</v>
      </c>
      <c r="AJ90" s="586">
        <f t="shared" si="90"/>
        <v>128.8114461796884</v>
      </c>
      <c r="AK90" s="635">
        <f t="shared" si="211"/>
        <v>0.96300124397089959</v>
      </c>
      <c r="AL90" s="629">
        <f t="shared" si="91"/>
        <v>-0.23863170789581611</v>
      </c>
      <c r="AM90" s="634">
        <f t="shared" si="92"/>
        <v>-0.12523382968361968</v>
      </c>
      <c r="AN90" s="581">
        <f t="shared" si="93"/>
        <v>-62.309528160652803</v>
      </c>
      <c r="AO90" s="582">
        <f t="shared" si="461"/>
        <v>15.634334431623643</v>
      </c>
      <c r="AP90" s="585">
        <f t="shared" si="95"/>
        <v>-13.917546207187018</v>
      </c>
      <c r="AQ90" s="586">
        <f t="shared" si="471"/>
        <v>0.4941180941912362</v>
      </c>
      <c r="AS90" s="52">
        <f t="shared" si="543"/>
        <v>-307.27100761312454</v>
      </c>
      <c r="AT90" s="72">
        <f t="shared" si="472"/>
        <v>-0.53491961270382582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6.1289999999999996</v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>
        <f t="shared" si="542"/>
        <v>1613</v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>
        <v>-4.0110539599748281</v>
      </c>
      <c r="C91" s="708">
        <v>3.1370503578227327</v>
      </c>
      <c r="D91" s="709">
        <v>-1.3438040529130237</v>
      </c>
      <c r="E91" s="710">
        <v>-0.80757233363989611</v>
      </c>
      <c r="F91" s="708">
        <v>-0.5819354104385086</v>
      </c>
      <c r="G91" s="711">
        <v>9.5802421770939783E-2</v>
      </c>
      <c r="H91" s="710">
        <v>0.314</v>
      </c>
      <c r="I91" s="708">
        <v>0.52</v>
      </c>
      <c r="J91" s="570">
        <v>6.1349999999999998</v>
      </c>
      <c r="K91" s="865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1613</v>
      </c>
      <c r="L91" s="320"/>
      <c r="M91" s="168">
        <f t="shared" si="464"/>
        <v>6.1349999999999998</v>
      </c>
      <c r="N91" s="632">
        <f t="shared" si="465"/>
        <v>-4.0110539599748281</v>
      </c>
      <c r="O91" s="629">
        <f t="shared" si="466"/>
        <v>3.1370503578227327</v>
      </c>
      <c r="P91" s="633">
        <f t="shared" si="467"/>
        <v>-1.3438040529130237</v>
      </c>
      <c r="Q91" s="585">
        <f t="shared" si="520"/>
        <v>141.97099249631708</v>
      </c>
      <c r="R91" s="629">
        <f t="shared" si="79"/>
        <v>5.0921153578199192</v>
      </c>
      <c r="S91" s="634">
        <f t="shared" si="80"/>
        <v>-1.3438040529130237</v>
      </c>
      <c r="T91" s="635">
        <f t="shared" si="81"/>
        <v>3.1370503578227322</v>
      </c>
      <c r="U91" s="629">
        <f t="shared" si="82"/>
        <v>4.0110539599748281</v>
      </c>
      <c r="V91" s="636">
        <f t="shared" si="114"/>
        <v>-1.3438040529130237</v>
      </c>
      <c r="W91" s="585">
        <f t="shared" si="645"/>
        <v>51.970992496317081</v>
      </c>
      <c r="X91" s="629">
        <f t="shared" si="83"/>
        <v>5.0921153578199192</v>
      </c>
      <c r="Y91" s="630">
        <f t="shared" si="644"/>
        <v>-1.3438040529130237</v>
      </c>
      <c r="Z91" s="632">
        <f t="shared" si="468"/>
        <v>0.80757233363989611</v>
      </c>
      <c r="AA91" s="629">
        <f t="shared" si="469"/>
        <v>0.5819354104385086</v>
      </c>
      <c r="AB91" s="629">
        <f t="shared" si="470"/>
        <v>-9.5802421770939783E-2</v>
      </c>
      <c r="AC91" s="636">
        <f t="shared" si="84"/>
        <v>1</v>
      </c>
      <c r="AD91" s="637">
        <f t="shared" si="115"/>
        <v>0.80757233363989611</v>
      </c>
      <c r="AE91" s="629">
        <f t="shared" si="85"/>
        <v>0.5819354104385086</v>
      </c>
      <c r="AF91" s="633">
        <f t="shared" si="86"/>
        <v>-9.5802421770939783E-2</v>
      </c>
      <c r="AG91" s="602">
        <f t="shared" si="87"/>
        <v>80.651407549195284</v>
      </c>
      <c r="AH91" s="603">
        <f t="shared" si="88"/>
        <v>36.14058452743128</v>
      </c>
      <c r="AI91" s="585">
        <f t="shared" si="89"/>
        <v>-84.5024941464101</v>
      </c>
      <c r="AJ91" s="586">
        <f t="shared" si="90"/>
        <v>125.7764647464054</v>
      </c>
      <c r="AK91" s="635">
        <f t="shared" si="211"/>
        <v>0.95590320891427694</v>
      </c>
      <c r="AL91" s="629">
        <f t="shared" si="91"/>
        <v>-0.27761655420779846</v>
      </c>
      <c r="AM91" s="634">
        <f t="shared" si="92"/>
        <v>-9.5802421770939783E-2</v>
      </c>
      <c r="AN91" s="581">
        <f t="shared" si="93"/>
        <v>-70.961008337851865</v>
      </c>
      <c r="AO91" s="582">
        <f t="shared" si="461"/>
        <v>17.078514823893272</v>
      </c>
      <c r="AP91" s="585">
        <f t="shared" si="95"/>
        <v>-16.194527749911682</v>
      </c>
      <c r="AQ91" s="586">
        <f t="shared" si="471"/>
        <v>0.44768825467384826</v>
      </c>
      <c r="AS91" s="52">
        <f t="shared" si="543"/>
        <v>-308.02900750368292</v>
      </c>
      <c r="AT91" s="72">
        <f t="shared" si="472"/>
        <v>-1.1298950199243549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3"/>
        <v>6.1349999999999998</v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>
        <f t="shared" si="542"/>
        <v>1613</v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>
        <v>-4.253057731977882</v>
      </c>
      <c r="C92" s="708">
        <v>3.3967525130344112</v>
      </c>
      <c r="D92" s="709">
        <v>-2.0232061019896039</v>
      </c>
      <c r="E92" s="710">
        <v>-0.82658859030402598</v>
      </c>
      <c r="F92" s="708">
        <v>-0.56032475511965141</v>
      </c>
      <c r="G92" s="711">
        <v>5.2796507264270098E-2</v>
      </c>
      <c r="H92" s="710">
        <v>0.314</v>
      </c>
      <c r="I92" s="708">
        <v>0.52</v>
      </c>
      <c r="J92" s="570">
        <v>6.141</v>
      </c>
      <c r="K92" s="865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1613</v>
      </c>
      <c r="L92" s="320"/>
      <c r="M92" s="168">
        <f t="shared" si="464"/>
        <v>6.141</v>
      </c>
      <c r="N92" s="632">
        <f t="shared" si="465"/>
        <v>-4.253057731977882</v>
      </c>
      <c r="O92" s="629">
        <f t="shared" si="466"/>
        <v>3.3967525130344112</v>
      </c>
      <c r="P92" s="633">
        <f t="shared" si="467"/>
        <v>-2.0232061019896039</v>
      </c>
      <c r="Q92" s="585">
        <f t="shared" si="520"/>
        <v>141.38699258063625</v>
      </c>
      <c r="R92" s="629">
        <f t="shared" si="79"/>
        <v>5.4430164161375112</v>
      </c>
      <c r="S92" s="634">
        <f t="shared" si="80"/>
        <v>-2.0232061019896039</v>
      </c>
      <c r="T92" s="635">
        <f t="shared" si="81"/>
        <v>3.3967525130344103</v>
      </c>
      <c r="U92" s="629">
        <f t="shared" si="82"/>
        <v>4.2530577319778828</v>
      </c>
      <c r="V92" s="636">
        <f t="shared" si="114"/>
        <v>-2.0232061019896039</v>
      </c>
      <c r="W92" s="585">
        <f t="shared" si="645"/>
        <v>51.386992580636246</v>
      </c>
      <c r="X92" s="629">
        <f t="shared" si="83"/>
        <v>5.4430164161375112</v>
      </c>
      <c r="Y92" s="630">
        <f t="shared" si="644"/>
        <v>-2.0232061019896039</v>
      </c>
      <c r="Z92" s="632">
        <f t="shared" si="468"/>
        <v>0.82658859030402598</v>
      </c>
      <c r="AA92" s="629">
        <f t="shared" si="469"/>
        <v>0.56032475511965141</v>
      </c>
      <c r="AB92" s="629">
        <f t="shared" si="470"/>
        <v>-5.2796507264270098E-2</v>
      </c>
      <c r="AC92" s="636">
        <f t="shared" si="84"/>
        <v>1</v>
      </c>
      <c r="AD92" s="637">
        <f t="shared" si="115"/>
        <v>0.82658859030402598</v>
      </c>
      <c r="AE92" s="629">
        <f t="shared" si="85"/>
        <v>0.56032475511965141</v>
      </c>
      <c r="AF92" s="633">
        <f t="shared" si="86"/>
        <v>-5.2796507264270098E-2</v>
      </c>
      <c r="AG92" s="602">
        <f t="shared" si="87"/>
        <v>84.617207173793446</v>
      </c>
      <c r="AH92" s="603">
        <f t="shared" si="88"/>
        <v>34.250117972627386</v>
      </c>
      <c r="AI92" s="585">
        <f t="shared" si="89"/>
        <v>-86.973575836998421</v>
      </c>
      <c r="AJ92" s="586">
        <f t="shared" si="90"/>
        <v>124.13241205336712</v>
      </c>
      <c r="AK92" s="635">
        <f t="shared" si="211"/>
        <v>0.95366429323109325</v>
      </c>
      <c r="AL92" s="629">
        <f t="shared" si="91"/>
        <v>-0.29620422791839673</v>
      </c>
      <c r="AM92" s="634">
        <f t="shared" si="92"/>
        <v>-5.2796507264270098E-2</v>
      </c>
      <c r="AN92" s="581">
        <f t="shared" si="93"/>
        <v>-79.893532248295628</v>
      </c>
      <c r="AO92" s="582">
        <f t="shared" si="461"/>
        <v>17.510030455546698</v>
      </c>
      <c r="AP92" s="585">
        <f t="shared" si="95"/>
        <v>-17.254580527269116</v>
      </c>
      <c r="AQ92" s="586">
        <f t="shared" si="471"/>
        <v>0.41882769622843868</v>
      </c>
      <c r="AS92" s="52">
        <f t="shared" si="543"/>
        <v>-308.61300741936373</v>
      </c>
      <c r="AT92" s="73">
        <f t="shared" si="472"/>
        <v>-1.8088915135039347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3"/>
        <v>6.141</v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>
        <f t="shared" si="542"/>
        <v>1613</v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>
        <v>-4.4155162349735964</v>
      </c>
      <c r="C93" s="708">
        <v>3.5788066348969676</v>
      </c>
      <c r="D93" s="709">
        <v>-2.7494082922154095</v>
      </c>
      <c r="E93" s="710">
        <v>-0.84460764671434319</v>
      </c>
      <c r="F93" s="708">
        <v>-0.53498331625062778</v>
      </c>
      <c r="G93" s="711">
        <v>2.0755106483473482E-2</v>
      </c>
      <c r="H93" s="710">
        <v>0.314</v>
      </c>
      <c r="I93" s="708">
        <v>0.52</v>
      </c>
      <c r="J93" s="570">
        <v>6.1470000000000002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1613</v>
      </c>
      <c r="L93" s="320"/>
      <c r="M93" s="168">
        <f t="shared" si="464"/>
        <v>6.1470000000000002</v>
      </c>
      <c r="N93" s="632">
        <f t="shared" si="465"/>
        <v>-4.4155162349735964</v>
      </c>
      <c r="O93" s="629">
        <f t="shared" si="466"/>
        <v>3.5788066348969676</v>
      </c>
      <c r="P93" s="633">
        <f t="shared" si="467"/>
        <v>-2.7494082922154095</v>
      </c>
      <c r="Q93" s="585">
        <f t="shared" si="520"/>
        <v>140.97499264012168</v>
      </c>
      <c r="R93" s="629">
        <f t="shared" si="79"/>
        <v>5.6837171420909014</v>
      </c>
      <c r="S93" s="634">
        <f t="shared" si="80"/>
        <v>-2.7494082922154095</v>
      </c>
      <c r="T93" s="635">
        <f t="shared" si="81"/>
        <v>3.5788066348969658</v>
      </c>
      <c r="U93" s="629">
        <f t="shared" si="82"/>
        <v>4.4155162349735981</v>
      </c>
      <c r="V93" s="636">
        <f t="shared" si="114"/>
        <v>-2.7494082922154095</v>
      </c>
      <c r="W93" s="585">
        <f t="shared" si="645"/>
        <v>50.974992640121684</v>
      </c>
      <c r="X93" s="629">
        <f t="shared" si="83"/>
        <v>5.6837171420909014</v>
      </c>
      <c r="Y93" s="630">
        <f t="shared" si="644"/>
        <v>-2.7494082922154095</v>
      </c>
      <c r="Z93" s="632">
        <f t="shared" si="468"/>
        <v>0.84460764671434319</v>
      </c>
      <c r="AA93" s="629">
        <f t="shared" si="469"/>
        <v>0.53498331625062778</v>
      </c>
      <c r="AB93" s="629">
        <f t="shared" si="470"/>
        <v>-2.0755106483473482E-2</v>
      </c>
      <c r="AC93" s="636">
        <f t="shared" si="84"/>
        <v>1</v>
      </c>
      <c r="AD93" s="637">
        <f t="shared" si="115"/>
        <v>0.84460764671434319</v>
      </c>
      <c r="AE93" s="629">
        <f t="shared" si="85"/>
        <v>0.53498331625062778</v>
      </c>
      <c r="AF93" s="633">
        <f t="shared" si="86"/>
        <v>-2.0755106483473482E-2</v>
      </c>
      <c r="AG93" s="602">
        <f t="shared" si="87"/>
        <v>87.778278518765717</v>
      </c>
      <c r="AH93" s="603">
        <f t="shared" si="88"/>
        <v>32.370077190912653</v>
      </c>
      <c r="AI93" s="585">
        <f t="shared" si="89"/>
        <v>-88.81073460053824</v>
      </c>
      <c r="AJ93" s="586">
        <f t="shared" si="90"/>
        <v>122.35059725223395</v>
      </c>
      <c r="AK93" s="635">
        <f t="shared" si="211"/>
        <v>0.94742838773811422</v>
      </c>
      <c r="AL93" s="629">
        <f t="shared" si="91"/>
        <v>-0.31929402697641751</v>
      </c>
      <c r="AM93" s="634">
        <f t="shared" si="92"/>
        <v>-2.0755106483473482E-2</v>
      </c>
      <c r="AN93" s="581">
        <f t="shared" si="93"/>
        <v>-86.280828278343591</v>
      </c>
      <c r="AO93" s="582">
        <f t="shared" si="461"/>
        <v>18.660982970525993</v>
      </c>
      <c r="AP93" s="585">
        <f t="shared" si="95"/>
        <v>-18.624395387887727</v>
      </c>
      <c r="AQ93" s="586">
        <f t="shared" si="471"/>
        <v>0.40109128153946355</v>
      </c>
      <c r="AS93" s="52">
        <f t="shared" si="543"/>
        <v>-309.02500735987832</v>
      </c>
      <c r="AT93" s="73">
        <f t="shared" si="472"/>
        <v>-2.5348075926599383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6.1470000000000002</v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>
        <f t="shared" si="542"/>
        <v>1613</v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>
        <v>-4.5102994283623365</v>
      </c>
      <c r="C94" s="708">
        <v>3.6880903271621128</v>
      </c>
      <c r="D94" s="709">
        <v>-3.5011105593494474</v>
      </c>
      <c r="E94" s="710">
        <v>-0.85664831472821712</v>
      </c>
      <c r="F94" s="708">
        <v>-0.515758274232473</v>
      </c>
      <c r="G94" s="711">
        <v>-1.2127136267355593E-2</v>
      </c>
      <c r="H94" s="710">
        <v>0.314</v>
      </c>
      <c r="I94" s="708">
        <v>0.52</v>
      </c>
      <c r="J94" s="570">
        <v>6.1529999999999996</v>
      </c>
      <c r="K94" s="865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1613</v>
      </c>
      <c r="L94" s="320"/>
      <c r="M94" s="168">
        <f t="shared" si="464"/>
        <v>6.1529999999999996</v>
      </c>
      <c r="N94" s="632">
        <f t="shared" si="465"/>
        <v>-4.5102994283623365</v>
      </c>
      <c r="O94" s="629">
        <f t="shared" si="466"/>
        <v>3.6880903271621128</v>
      </c>
      <c r="P94" s="633">
        <f t="shared" si="467"/>
        <v>-3.5011105593494474</v>
      </c>
      <c r="Q94" s="585">
        <f t="shared" si="520"/>
        <v>140.72699267592841</v>
      </c>
      <c r="R94" s="629">
        <f t="shared" si="79"/>
        <v>5.8262175718721965</v>
      </c>
      <c r="S94" s="634">
        <f t="shared" si="80"/>
        <v>-3.5011105593494474</v>
      </c>
      <c r="T94" s="635">
        <f t="shared" si="81"/>
        <v>3.6880903271621133</v>
      </c>
      <c r="U94" s="629">
        <f t="shared" si="82"/>
        <v>4.5102994283623357</v>
      </c>
      <c r="V94" s="636">
        <f t="shared" si="114"/>
        <v>-3.5011105593494474</v>
      </c>
      <c r="W94" s="585">
        <f t="shared" si="645"/>
        <v>50.726992675928415</v>
      </c>
      <c r="X94" s="629">
        <f t="shared" si="83"/>
        <v>5.8262175718721965</v>
      </c>
      <c r="Y94" s="630">
        <f t="shared" si="644"/>
        <v>-3.5011105593494474</v>
      </c>
      <c r="Z94" s="632">
        <f t="shared" si="468"/>
        <v>0.85664831472821712</v>
      </c>
      <c r="AA94" s="629">
        <f t="shared" si="469"/>
        <v>0.515758274232473</v>
      </c>
      <c r="AB94" s="629">
        <f t="shared" si="470"/>
        <v>1.2127136267355593E-2</v>
      </c>
      <c r="AC94" s="636">
        <f t="shared" si="84"/>
        <v>1</v>
      </c>
      <c r="AD94" s="637">
        <f t="shared" si="115"/>
        <v>0.85664831472821712</v>
      </c>
      <c r="AE94" s="629">
        <f t="shared" si="85"/>
        <v>0.515758274232473</v>
      </c>
      <c r="AF94" s="633">
        <f t="shared" si="86"/>
        <v>1.2127136267355593E-2</v>
      </c>
      <c r="AG94" s="602">
        <f t="shared" si="87"/>
        <v>91.346959906688156</v>
      </c>
      <c r="AH94" s="603">
        <f t="shared" si="88"/>
        <v>31.057686645289433</v>
      </c>
      <c r="AI94" s="585">
        <f t="shared" si="89"/>
        <v>-90.694850758062259</v>
      </c>
      <c r="AJ94" s="586">
        <f t="shared" si="90"/>
        <v>121.05068923343165</v>
      </c>
      <c r="AK94" s="635">
        <f t="shared" si="211"/>
        <v>0.94154063851926861</v>
      </c>
      <c r="AL94" s="629">
        <f t="shared" si="91"/>
        <v>-0.33668109329554174</v>
      </c>
      <c r="AM94" s="634">
        <f t="shared" si="92"/>
        <v>1.2127136267355593E-2</v>
      </c>
      <c r="AN94" s="581">
        <f t="shared" si="93"/>
        <v>-92.06288228604474</v>
      </c>
      <c r="AO94" s="582">
        <f t="shared" si="461"/>
        <v>19.68808277380068</v>
      </c>
      <c r="AP94" s="585">
        <f t="shared" si="95"/>
        <v>-19.676303442496749</v>
      </c>
      <c r="AQ94" s="586">
        <f t="shared" si="471"/>
        <v>0.3912815070195117</v>
      </c>
      <c r="AS94" s="52">
        <f t="shared" si="543"/>
        <v>-309.27300732407161</v>
      </c>
      <c r="AT94" s="73">
        <f t="shared" si="472"/>
        <v>-3.28633763759662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6.1529999999999996</v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>
        <f t="shared" si="542"/>
        <v>1613</v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>
        <v>-4.5555306505337887</v>
      </c>
      <c r="C95" s="708">
        <v>3.7492853308393577</v>
      </c>
      <c r="D95" s="709">
        <v>-4.2607128503099574</v>
      </c>
      <c r="E95" s="710">
        <v>-0.96342030162727499</v>
      </c>
      <c r="F95" s="708">
        <v>-0.26799500445420726</v>
      </c>
      <c r="G95" s="711">
        <v>0</v>
      </c>
      <c r="H95" s="710">
        <v>0.314</v>
      </c>
      <c r="I95" s="708">
        <v>0.52</v>
      </c>
      <c r="J95" s="570">
        <v>6.1589999999999998</v>
      </c>
      <c r="K95" s="865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1613</v>
      </c>
      <c r="L95" s="320"/>
      <c r="M95" s="168">
        <f t="shared" si="464"/>
        <v>6.1589999999999998</v>
      </c>
      <c r="N95" s="632">
        <f t="shared" si="465"/>
        <v>-4.5555306505337887</v>
      </c>
      <c r="O95" s="629">
        <f t="shared" si="466"/>
        <v>3.7492853308393577</v>
      </c>
      <c r="P95" s="633">
        <f t="shared" si="467"/>
        <v>-4.2607128503099574</v>
      </c>
      <c r="Q95" s="585">
        <f t="shared" si="520"/>
        <v>140.54499270220597</v>
      </c>
      <c r="R95" s="629">
        <f t="shared" si="79"/>
        <v>5.8999999999999995</v>
      </c>
      <c r="S95" s="634">
        <f t="shared" si="80"/>
        <v>-4.2607128503099574</v>
      </c>
      <c r="T95" s="635">
        <f t="shared" si="81"/>
        <v>3.7492853308393572</v>
      </c>
      <c r="U95" s="629">
        <f t="shared" si="82"/>
        <v>4.5555306505337887</v>
      </c>
      <c r="V95" s="636">
        <f t="shared" si="114"/>
        <v>-4.2607128503099574</v>
      </c>
      <c r="W95" s="585">
        <f t="shared" si="645"/>
        <v>50.544992702205974</v>
      </c>
      <c r="X95" s="629">
        <f t="shared" si="83"/>
        <v>5.8999999999999995</v>
      </c>
      <c r="Y95" s="630">
        <f t="shared" si="644"/>
        <v>-4.2607128503099574</v>
      </c>
      <c r="Z95" s="632">
        <f t="shared" si="468"/>
        <v>0.96342030162727499</v>
      </c>
      <c r="AA95" s="629">
        <f t="shared" si="469"/>
        <v>0.26799500445420726</v>
      </c>
      <c r="AB95" s="629">
        <f t="shared" si="470"/>
        <v>0</v>
      </c>
      <c r="AC95" s="636">
        <f t="shared" si="84"/>
        <v>1</v>
      </c>
      <c r="AD95" s="637">
        <f t="shared" si="115"/>
        <v>0.96342030162727499</v>
      </c>
      <c r="AE95" s="629">
        <f t="shared" si="85"/>
        <v>0.26799500445420726</v>
      </c>
      <c r="AF95" s="633">
        <f t="shared" si="86"/>
        <v>0</v>
      </c>
      <c r="AG95" s="602">
        <f t="shared" si="87"/>
        <v>90</v>
      </c>
      <c r="AH95" s="603">
        <f t="shared" si="88"/>
        <v>15.54499270220596</v>
      </c>
      <c r="AI95" s="585">
        <f t="shared" si="89"/>
        <v>-90</v>
      </c>
      <c r="AJ95" s="586">
        <f t="shared" si="90"/>
        <v>105.54499270220597</v>
      </c>
      <c r="AK95" s="635">
        <f t="shared" si="211"/>
        <v>0.81915204428899191</v>
      </c>
      <c r="AL95" s="629">
        <f t="shared" si="91"/>
        <v>-0.57357643635104605</v>
      </c>
      <c r="AM95" s="634">
        <f t="shared" si="92"/>
        <v>0</v>
      </c>
      <c r="AN95" s="581">
        <f t="shared" si="93"/>
        <v>-90</v>
      </c>
      <c r="AO95" s="582">
        <f t="shared" si="461"/>
        <v>34.999999999999986</v>
      </c>
      <c r="AP95" s="585">
        <f t="shared" si="95"/>
        <v>-34.999999999999993</v>
      </c>
      <c r="AQ95" s="586">
        <f t="shared" si="471"/>
        <v>0.38638848687695354</v>
      </c>
      <c r="AS95" s="52">
        <f t="shared" si="543"/>
        <v>-309.45500729779405</v>
      </c>
      <c r="AT95" s="73">
        <f t="shared" si="472"/>
        <v>-4.0458135396864892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6.1589999999999998</v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>
        <f t="shared" si="542"/>
        <v>1613</v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>
        <v>-2.5319866990692361</v>
      </c>
      <c r="C96" s="708">
        <v>3.0840936254684816</v>
      </c>
      <c r="D96" s="709">
        <v>-0.30360091566036118</v>
      </c>
      <c r="E96" s="710">
        <v>-0.86811537323549948</v>
      </c>
      <c r="F96" s="708">
        <v>-0.46508378374393744</v>
      </c>
      <c r="G96" s="711">
        <v>0.17341503063636657</v>
      </c>
      <c r="H96" s="710">
        <v>0.314</v>
      </c>
      <c r="I96" s="708">
        <v>0.52</v>
      </c>
      <c r="J96" s="570">
        <v>6.2229999999999999</v>
      </c>
      <c r="K96" s="865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1613</v>
      </c>
      <c r="L96" s="320"/>
      <c r="M96" s="168">
        <f t="shared" si="464"/>
        <v>6.2229999999999999</v>
      </c>
      <c r="N96" s="632">
        <f t="shared" si="465"/>
        <v>-2.5319866990692361</v>
      </c>
      <c r="O96" s="629">
        <f t="shared" si="466"/>
        <v>3.0840936254684816</v>
      </c>
      <c r="P96" s="633">
        <f t="shared" si="467"/>
        <v>-0.30360091566036118</v>
      </c>
      <c r="Q96" s="585">
        <f t="shared" si="520"/>
        <v>129.38539431345262</v>
      </c>
      <c r="R96" s="629">
        <f t="shared" si="79"/>
        <v>3.9903120347810956</v>
      </c>
      <c r="S96" s="634">
        <f t="shared" si="80"/>
        <v>-0.30360091566036118</v>
      </c>
      <c r="T96" s="635">
        <f t="shared" si="81"/>
        <v>3.0840936254684821</v>
      </c>
      <c r="U96" s="629">
        <f t="shared" si="82"/>
        <v>2.5319866990692352</v>
      </c>
      <c r="V96" s="636">
        <f t="shared" si="114"/>
        <v>-0.30360091566036118</v>
      </c>
      <c r="W96" s="585">
        <f t="shared" si="645"/>
        <v>39.385394313452622</v>
      </c>
      <c r="X96" s="629">
        <f t="shared" si="83"/>
        <v>3.9903120347810956</v>
      </c>
      <c r="Y96" s="630">
        <f t="shared" si="644"/>
        <v>-0.30360091566036118</v>
      </c>
      <c r="Z96" s="632">
        <f t="shared" si="468"/>
        <v>0.86811537323549948</v>
      </c>
      <c r="AA96" s="629">
        <f t="shared" si="469"/>
        <v>0.46508378374393744</v>
      </c>
      <c r="AB96" s="629">
        <f t="shared" si="470"/>
        <v>-0.17341503063636657</v>
      </c>
      <c r="AC96" s="636">
        <f t="shared" si="84"/>
        <v>1</v>
      </c>
      <c r="AD96" s="637">
        <f t="shared" si="115"/>
        <v>0.86811537323549948</v>
      </c>
      <c r="AE96" s="629">
        <f t="shared" si="85"/>
        <v>0.46508378374393744</v>
      </c>
      <c r="AF96" s="633">
        <f t="shared" si="86"/>
        <v>-0.17341503063636657</v>
      </c>
      <c r="AG96" s="602">
        <f t="shared" si="87"/>
        <v>69.551105793866427</v>
      </c>
      <c r="AH96" s="603">
        <f t="shared" si="88"/>
        <v>29.759633151216146</v>
      </c>
      <c r="AI96" s="585">
        <f t="shared" si="89"/>
        <v>-80.013564131817148</v>
      </c>
      <c r="AJ96" s="586">
        <f t="shared" si="90"/>
        <v>118.17971711813324</v>
      </c>
      <c r="AK96" s="635">
        <f t="shared" si="211"/>
        <v>0.96607358260660847</v>
      </c>
      <c r="AL96" s="629">
        <f t="shared" si="91"/>
        <v>-0.19138719951715888</v>
      </c>
      <c r="AM96" s="634">
        <f t="shared" si="92"/>
        <v>-0.17341503063636657</v>
      </c>
      <c r="AN96" s="581">
        <f t="shared" si="93"/>
        <v>-47.820425615171089</v>
      </c>
      <c r="AO96" s="582">
        <f t="shared" si="461"/>
        <v>14.967255687645549</v>
      </c>
      <c r="AP96" s="585">
        <f t="shared" si="95"/>
        <v>-11.20567719531936</v>
      </c>
      <c r="AQ96" s="586">
        <f t="shared" si="471"/>
        <v>0.57129644517562683</v>
      </c>
      <c r="AS96" s="52">
        <f t="shared" si="543"/>
        <v>-320.61460568654741</v>
      </c>
      <c r="AT96" s="73">
        <f t="shared" si="472"/>
        <v>-8.095188393359215E-2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>Nose</v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6.2229999999999999</v>
      </c>
      <c r="IH96" s="731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>0.123</v>
      </c>
      <c r="II96" s="734" cm="1">
        <f t="array" ref="II96">IFERROR(ROUND(VALUE(IF($IH96&lt;1,$IH96+LARGE((IF($M$9:$M$150="",0,$M$9:$M$150)-MOD(IF($M$9:$M$150="",0,$M$9:$M$150),1)),1),$IH96)),4),"")</f>
        <v>6.1230000000000002</v>
      </c>
      <c r="IJ96" s="533">
        <f t="shared" si="542"/>
        <v>1613</v>
      </c>
      <c r="IK96" s="533">
        <f t="shared" si="517"/>
        <v>1613</v>
      </c>
      <c r="IL96" s="727">
        <f t="shared" si="647"/>
        <v>14.243597943478903</v>
      </c>
      <c r="IM96" s="759">
        <v>6.84870375171773E-10</v>
      </c>
      <c r="IN96" s="5">
        <f t="shared" si="648"/>
        <v>0</v>
      </c>
      <c r="IO96" s="771">
        <v>0</v>
      </c>
      <c r="IP96" s="9">
        <f t="shared" si="649"/>
        <v>-3.990312034781097</v>
      </c>
      <c r="IQ96" s="5">
        <f t="shared" si="650"/>
        <v>-0.30360091566036163</v>
      </c>
      <c r="IR96" s="5">
        <f t="shared" si="518"/>
        <v>0.314</v>
      </c>
      <c r="IS96" s="5">
        <f t="shared" si="651"/>
        <v>0.3033471022623655</v>
      </c>
      <c r="IT96" s="727">
        <f t="shared" si="652"/>
        <v>47.820425868896841</v>
      </c>
      <c r="IU96" s="9">
        <f t="shared" si="653"/>
        <v>-3.9903120347810956</v>
      </c>
      <c r="IV96" s="5">
        <f t="shared" si="654"/>
        <v>-0.30360091566036118</v>
      </c>
      <c r="IW96" s="5">
        <f t="shared" si="519"/>
        <v>0.314</v>
      </c>
      <c r="IX96" s="5">
        <f t="shared" si="655"/>
        <v>0.30334710493847505</v>
      </c>
      <c r="IY96" s="762">
        <f t="shared" si="656"/>
        <v>47.820425615171089</v>
      </c>
    </row>
    <row r="97" spans="1:259" ht="15" customHeight="1" x14ac:dyDescent="0.25">
      <c r="A97" s="79"/>
      <c r="B97" s="707">
        <v>-3.0000171721144651</v>
      </c>
      <c r="C97" s="708">
        <v>3.5050435547306247</v>
      </c>
      <c r="D97" s="709">
        <v>-0.74830225687960639</v>
      </c>
      <c r="E97" s="710">
        <v>-0.88677998336629671</v>
      </c>
      <c r="F97" s="708">
        <v>-0.44490195774282848</v>
      </c>
      <c r="G97" s="711">
        <v>0.12523381770699574</v>
      </c>
      <c r="H97" s="710">
        <v>0.314</v>
      </c>
      <c r="I97" s="708">
        <v>0.52</v>
      </c>
      <c r="J97" s="570">
        <v>6.2290000000000001</v>
      </c>
      <c r="K97" s="865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1613</v>
      </c>
      <c r="L97" s="320"/>
      <c r="M97" s="168">
        <f t="shared" si="464"/>
        <v>6.2290000000000001</v>
      </c>
      <c r="N97" s="632">
        <f t="shared" si="465"/>
        <v>-3.0000171721144651</v>
      </c>
      <c r="O97" s="629">
        <f t="shared" si="466"/>
        <v>3.5050435547306247</v>
      </c>
      <c r="P97" s="633">
        <f t="shared" si="467"/>
        <v>-0.74830225687960639</v>
      </c>
      <c r="Q97" s="585">
        <f t="shared" si="520"/>
        <v>130.56069414376032</v>
      </c>
      <c r="R97" s="629">
        <f t="shared" si="79"/>
        <v>4.6136139146595658</v>
      </c>
      <c r="S97" s="634">
        <f t="shared" si="80"/>
        <v>-0.74830225687960639</v>
      </c>
      <c r="T97" s="635">
        <f t="shared" si="81"/>
        <v>3.5050435547306256</v>
      </c>
      <c r="U97" s="629">
        <f t="shared" si="82"/>
        <v>3.0000171721144637</v>
      </c>
      <c r="V97" s="636">
        <f t="shared" si="114"/>
        <v>-0.74830225687960639</v>
      </c>
      <c r="W97" s="585">
        <f t="shared" si="645"/>
        <v>40.560694143760315</v>
      </c>
      <c r="X97" s="629">
        <f t="shared" si="83"/>
        <v>4.6136139146595658</v>
      </c>
      <c r="Y97" s="630">
        <f t="shared" si="644"/>
        <v>-0.74830225687960639</v>
      </c>
      <c r="Z97" s="632">
        <f t="shared" si="468"/>
        <v>0.88677998336629671</v>
      </c>
      <c r="AA97" s="629">
        <f t="shared" si="469"/>
        <v>0.44490195774282848</v>
      </c>
      <c r="AB97" s="629">
        <f t="shared" si="470"/>
        <v>-0.12523381770699574</v>
      </c>
      <c r="AC97" s="636">
        <f t="shared" si="84"/>
        <v>1</v>
      </c>
      <c r="AD97" s="637">
        <f t="shared" si="115"/>
        <v>0.88677998336629671</v>
      </c>
      <c r="AE97" s="629">
        <f t="shared" si="85"/>
        <v>0.44490195774282848</v>
      </c>
      <c r="AF97" s="633">
        <f t="shared" si="86"/>
        <v>-0.12523381770699574</v>
      </c>
      <c r="AG97" s="602">
        <f t="shared" si="87"/>
        <v>74.278814998995841</v>
      </c>
      <c r="AH97" s="603">
        <f t="shared" si="88"/>
        <v>27.528631109631618</v>
      </c>
      <c r="AI97" s="585">
        <f t="shared" si="89"/>
        <v>-82.805741345218919</v>
      </c>
      <c r="AJ97" s="586">
        <f t="shared" si="90"/>
        <v>116.64314962842332</v>
      </c>
      <c r="AK97" s="635">
        <f t="shared" si="211"/>
        <v>0.96300125248469937</v>
      </c>
      <c r="AL97" s="629">
        <f t="shared" si="91"/>
        <v>-0.2386316798235964</v>
      </c>
      <c r="AM97" s="634">
        <f t="shared" si="92"/>
        <v>-0.12523381770699574</v>
      </c>
      <c r="AN97" s="581">
        <f t="shared" si="93"/>
        <v>-62.309527641888891</v>
      </c>
      <c r="AO97" s="582">
        <f t="shared" si="461"/>
        <v>15.63433262156668</v>
      </c>
      <c r="AP97" s="585">
        <f t="shared" si="95"/>
        <v>-13.917544515336996</v>
      </c>
      <c r="AQ97" s="586">
        <f t="shared" si="471"/>
        <v>0.49411809419123631</v>
      </c>
      <c r="AS97" s="52">
        <f t="shared" si="543"/>
        <v>-319.43930585623968</v>
      </c>
      <c r="AT97" s="73">
        <f t="shared" si="472"/>
        <v>-0.526469405590551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>Taper</v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6.2290000000000001</v>
      </c>
      <c r="IH97" s="731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>0.129</v>
      </c>
      <c r="II97" s="734" cm="1">
        <f t="array" ref="II97">IFERROR(ROUND(VALUE(IF($IH97&lt;1,$IH97+LARGE((IF($M$9:$M$150="",0,$M$9:$M$150)-MOD(IF($M$9:$M$150="",0,$M$9:$M$150),1)),1),$IH97)),4),"")</f>
        <v>6.1289999999999996</v>
      </c>
      <c r="IJ97" s="533">
        <f t="shared" si="542"/>
        <v>1613</v>
      </c>
      <c r="IK97" s="533">
        <f t="shared" si="517"/>
        <v>1613</v>
      </c>
      <c r="IL97" s="727">
        <f t="shared" si="647"/>
        <v>12.168298243115117</v>
      </c>
      <c r="IM97" s="759">
        <v>1.75637457657641E-9</v>
      </c>
      <c r="IN97" s="5">
        <f t="shared" si="648"/>
        <v>0</v>
      </c>
      <c r="IO97" s="771">
        <v>0</v>
      </c>
      <c r="IP97" s="9">
        <f t="shared" si="649"/>
        <v>-4.6136139146595667</v>
      </c>
      <c r="IQ97" s="5">
        <f t="shared" si="650"/>
        <v>-0.74830225687960672</v>
      </c>
      <c r="IR97" s="5">
        <f t="shared" si="518"/>
        <v>0.314</v>
      </c>
      <c r="IS97" s="5">
        <f t="shared" si="651"/>
        <v>0.30238239060686245</v>
      </c>
      <c r="IT97" s="727">
        <f t="shared" si="652"/>
        <v>62.309528160652803</v>
      </c>
      <c r="IU97" s="9">
        <f t="shared" si="653"/>
        <v>-4.6136139146595658</v>
      </c>
      <c r="IV97" s="5">
        <f t="shared" si="654"/>
        <v>-0.74830225687960639</v>
      </c>
      <c r="IW97" s="5">
        <f t="shared" si="519"/>
        <v>0.314</v>
      </c>
      <c r="IX97" s="5">
        <f t="shared" si="655"/>
        <v>0.30238239328019562</v>
      </c>
      <c r="IY97" s="762">
        <f t="shared" si="656"/>
        <v>62.309527641888891</v>
      </c>
    </row>
    <row r="98" spans="1:259" ht="15" customHeight="1" x14ac:dyDescent="0.25">
      <c r="A98" s="79"/>
      <c r="B98" s="707">
        <v>-3.3384131950418179</v>
      </c>
      <c r="C98" s="708">
        <v>3.8450794733680302</v>
      </c>
      <c r="D98" s="709">
        <v>-1.3438040529130237</v>
      </c>
      <c r="E98" s="710">
        <v>-0.90381348126701189</v>
      </c>
      <c r="F98" s="708">
        <v>-0.41706484920579473</v>
      </c>
      <c r="G98" s="711">
        <v>9.5802414567445218E-2</v>
      </c>
      <c r="H98" s="710">
        <v>0.314</v>
      </c>
      <c r="I98" s="708">
        <v>0.52</v>
      </c>
      <c r="J98" s="570">
        <v>6.2350000000000003</v>
      </c>
      <c r="K98" s="865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1613</v>
      </c>
      <c r="L98" s="320"/>
      <c r="M98" s="168">
        <f t="shared" si="464"/>
        <v>6.2350000000000003</v>
      </c>
      <c r="N98" s="632">
        <f t="shared" si="465"/>
        <v>-3.3384131950418179</v>
      </c>
      <c r="O98" s="629">
        <f t="shared" si="466"/>
        <v>3.8450794733680302</v>
      </c>
      <c r="P98" s="633">
        <f t="shared" si="467"/>
        <v>-1.3438040529130237</v>
      </c>
      <c r="Q98" s="585">
        <f t="shared" si="520"/>
        <v>130.96549408531442</v>
      </c>
      <c r="R98" s="629">
        <f t="shared" si="79"/>
        <v>5.0921153578199192</v>
      </c>
      <c r="S98" s="634">
        <f t="shared" si="80"/>
        <v>-1.3438040529130237</v>
      </c>
      <c r="T98" s="635">
        <f t="shared" si="81"/>
        <v>3.8450794733680311</v>
      </c>
      <c r="U98" s="629">
        <f t="shared" si="82"/>
        <v>3.3384131950418161</v>
      </c>
      <c r="V98" s="636">
        <f t="shared" si="114"/>
        <v>-1.3438040529130237</v>
      </c>
      <c r="W98" s="585">
        <f t="shared" si="645"/>
        <v>40.965494085314418</v>
      </c>
      <c r="X98" s="629">
        <f t="shared" si="83"/>
        <v>5.0921153578199192</v>
      </c>
      <c r="Y98" s="630">
        <f t="shared" si="644"/>
        <v>-1.3438040529130237</v>
      </c>
      <c r="Z98" s="632">
        <f t="shared" si="468"/>
        <v>0.90381348126701189</v>
      </c>
      <c r="AA98" s="629">
        <f t="shared" si="469"/>
        <v>0.41706484920579473</v>
      </c>
      <c r="AB98" s="629">
        <f t="shared" si="470"/>
        <v>-9.5802414567445218E-2</v>
      </c>
      <c r="AC98" s="636">
        <f t="shared" si="84"/>
        <v>1</v>
      </c>
      <c r="AD98" s="637">
        <f t="shared" si="115"/>
        <v>0.90381348126701189</v>
      </c>
      <c r="AE98" s="629">
        <f t="shared" si="85"/>
        <v>0.41706484920579473</v>
      </c>
      <c r="AF98" s="633">
        <f t="shared" si="86"/>
        <v>-9.5802414567445218E-2</v>
      </c>
      <c r="AG98" s="602">
        <f t="shared" si="87"/>
        <v>77.063219966905763</v>
      </c>
      <c r="AH98" s="603">
        <f t="shared" si="88"/>
        <v>25.336049953379536</v>
      </c>
      <c r="AI98" s="585">
        <f t="shared" si="89"/>
        <v>-84.502494561047115</v>
      </c>
      <c r="AJ98" s="586">
        <f t="shared" si="90"/>
        <v>114.77096821024288</v>
      </c>
      <c r="AK98" s="635">
        <f t="shared" si="211"/>
        <v>0.95590321866427341</v>
      </c>
      <c r="AL98" s="629">
        <f t="shared" si="91"/>
        <v>-0.277616523121967</v>
      </c>
      <c r="AM98" s="634">
        <f t="shared" si="92"/>
        <v>-9.5802414567445218E-2</v>
      </c>
      <c r="AN98" s="581">
        <f t="shared" si="93"/>
        <v>-70.961007687968646</v>
      </c>
      <c r="AO98" s="582">
        <f t="shared" si="461"/>
        <v>17.078512921720588</v>
      </c>
      <c r="AP98" s="585">
        <f t="shared" si="95"/>
        <v>-16.194525875071534</v>
      </c>
      <c r="AQ98" s="586">
        <f t="shared" si="471"/>
        <v>0.44768825467384826</v>
      </c>
      <c r="AS98" s="52">
        <f t="shared" si="543"/>
        <v>-319.03450591468561</v>
      </c>
      <c r="AT98" s="73">
        <f t="shared" si="472"/>
        <v>-1.1222523126944921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>Taper</v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6.2350000000000003</v>
      </c>
      <c r="IH98" s="731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>0.13500000000000001</v>
      </c>
      <c r="II98" s="734" cm="1">
        <f t="array" ref="II98">IFERROR(ROUND(VALUE(IF($IH98&lt;1,$IH98+LARGE((IF($M$9:$M$150="",0,$M$9:$M$150)-MOD(IF($M$9:$M$150="",0,$M$9:$M$150),1)),1),$IH98)),4),"")</f>
        <v>6.1349999999999998</v>
      </c>
      <c r="IJ98" s="533">
        <f t="shared" si="542"/>
        <v>1613</v>
      </c>
      <c r="IK98" s="533">
        <f t="shared" si="517"/>
        <v>1613</v>
      </c>
      <c r="IL98" s="727">
        <f t="shared" si="647"/>
        <v>11.005498411002662</v>
      </c>
      <c r="IM98" s="759">
        <v>2.27183613413287E-9</v>
      </c>
      <c r="IN98" s="5">
        <f t="shared" si="648"/>
        <v>0</v>
      </c>
      <c r="IO98" s="771">
        <v>0</v>
      </c>
      <c r="IP98" s="9">
        <f t="shared" si="649"/>
        <v>-5.0921153578199192</v>
      </c>
      <c r="IQ98" s="5">
        <f t="shared" si="650"/>
        <v>-1.3438040529130237</v>
      </c>
      <c r="IR98" s="5">
        <f t="shared" si="518"/>
        <v>0.314</v>
      </c>
      <c r="IS98" s="5">
        <f t="shared" si="651"/>
        <v>0.30015360759908294</v>
      </c>
      <c r="IT98" s="727">
        <f t="shared" si="652"/>
        <v>70.961008337851865</v>
      </c>
      <c r="IU98" s="9">
        <f t="shared" si="653"/>
        <v>-5.0921153578199192</v>
      </c>
      <c r="IV98" s="5">
        <f t="shared" si="654"/>
        <v>-1.3438040529130237</v>
      </c>
      <c r="IW98" s="5">
        <f t="shared" si="519"/>
        <v>0.314</v>
      </c>
      <c r="IX98" s="5">
        <f t="shared" si="655"/>
        <v>0.30015361066058183</v>
      </c>
      <c r="IY98" s="762">
        <f t="shared" si="656"/>
        <v>70.961007687968646</v>
      </c>
    </row>
    <row r="99" spans="1:259" ht="15" customHeight="1" x14ac:dyDescent="0.25">
      <c r="A99" s="79"/>
      <c r="B99" s="707">
        <v>-3.5791059468285327</v>
      </c>
      <c r="C99" s="708">
        <v>4.1007838674720558</v>
      </c>
      <c r="D99" s="709">
        <v>-2.0232061019896039</v>
      </c>
      <c r="E99" s="710">
        <v>-0.91326518434854742</v>
      </c>
      <c r="F99" s="708">
        <v>-0.40392973646137803</v>
      </c>
      <c r="G99" s="711">
        <v>5.2796506125457734E-2</v>
      </c>
      <c r="H99" s="710">
        <v>0.314</v>
      </c>
      <c r="I99" s="708">
        <v>0.52</v>
      </c>
      <c r="J99" s="570">
        <v>6.2409999999999997</v>
      </c>
      <c r="K99" s="865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>1613</v>
      </c>
      <c r="L99" s="320"/>
      <c r="M99" s="168">
        <f t="shared" si="464"/>
        <v>6.2409999999999997</v>
      </c>
      <c r="N99" s="632">
        <f t="shared" si="465"/>
        <v>-3.5791059468285327</v>
      </c>
      <c r="O99" s="629">
        <f t="shared" si="466"/>
        <v>4.1007838674720558</v>
      </c>
      <c r="P99" s="633">
        <f t="shared" si="467"/>
        <v>-2.0232061019896039</v>
      </c>
      <c r="Q99" s="585">
        <f t="shared" si="520"/>
        <v>131.11399406387369</v>
      </c>
      <c r="R99" s="629">
        <f t="shared" si="79"/>
        <v>5.4430164161375112</v>
      </c>
      <c r="S99" s="634">
        <f t="shared" si="80"/>
        <v>-2.0232061019896039</v>
      </c>
      <c r="T99" s="635">
        <f t="shared" si="81"/>
        <v>4.1007838674720558</v>
      </c>
      <c r="U99" s="629">
        <f t="shared" si="82"/>
        <v>3.5791059468285318</v>
      </c>
      <c r="V99" s="636">
        <f t="shared" si="114"/>
        <v>-2.0232061019896039</v>
      </c>
      <c r="W99" s="585">
        <f t="shared" si="645"/>
        <v>41.11399406387369</v>
      </c>
      <c r="X99" s="629">
        <f t="shared" si="83"/>
        <v>5.4430164161375112</v>
      </c>
      <c r="Y99" s="630">
        <f t="shared" si="644"/>
        <v>-2.0232061019896039</v>
      </c>
      <c r="Z99" s="632">
        <f t="shared" si="468"/>
        <v>0.91326518434854742</v>
      </c>
      <c r="AA99" s="629">
        <f t="shared" si="469"/>
        <v>0.40392973646137803</v>
      </c>
      <c r="AB99" s="629">
        <f t="shared" si="470"/>
        <v>-5.2796506125457734E-2</v>
      </c>
      <c r="AC99" s="636">
        <f t="shared" si="84"/>
        <v>1</v>
      </c>
      <c r="AD99" s="637">
        <f t="shared" si="115"/>
        <v>0.91326518434854742</v>
      </c>
      <c r="AE99" s="629">
        <f t="shared" si="85"/>
        <v>0.40392973646137803</v>
      </c>
      <c r="AF99" s="633">
        <f t="shared" si="86"/>
        <v>-5.2796506125457734E-2</v>
      </c>
      <c r="AG99" s="602">
        <f t="shared" si="87"/>
        <v>82.553247916433349</v>
      </c>
      <c r="AH99" s="603">
        <f t="shared" si="88"/>
        <v>24.039450762023847</v>
      </c>
      <c r="AI99" s="585">
        <f t="shared" si="89"/>
        <v>-86.973575902338695</v>
      </c>
      <c r="AJ99" s="586">
        <f t="shared" si="90"/>
        <v>113.85941541002857</v>
      </c>
      <c r="AK99" s="635">
        <f t="shared" si="211"/>
        <v>0.95366430297370552</v>
      </c>
      <c r="AL99" s="629">
        <f t="shared" si="91"/>
        <v>-0.29620419675389631</v>
      </c>
      <c r="AM99" s="634">
        <f t="shared" si="92"/>
        <v>-5.2796506125457734E-2</v>
      </c>
      <c r="AN99" s="581">
        <f t="shared" si="93"/>
        <v>-79.8935314203855</v>
      </c>
      <c r="AO99" s="582">
        <f t="shared" si="461"/>
        <v>17.510028600242155</v>
      </c>
      <c r="AP99" s="585">
        <f t="shared" si="95"/>
        <v>-17.254578653845101</v>
      </c>
      <c r="AQ99" s="586">
        <f t="shared" si="471"/>
        <v>0.41882769622843868</v>
      </c>
      <c r="AS99" s="52">
        <f t="shared" si="543"/>
        <v>-318.88600593612631</v>
      </c>
      <c r="AT99" s="73">
        <f t="shared" si="472"/>
        <v>-1.801757486756183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>Taper</v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6.2409999999999997</v>
      </c>
      <c r="IH99" s="731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>0.14099999999999999</v>
      </c>
      <c r="II99" s="734" cm="1">
        <f t="array" ref="II99">IFERROR(ROUND(VALUE(IF($IH99&lt;1,$IH99+LARGE((IF($M$9:$M$150="",0,$M$9:$M$150)-MOD(IF($M$9:$M$150="",0,$M$9:$M$150),1)),1),$IH99)),4),"")</f>
        <v>6.141</v>
      </c>
      <c r="IJ99" s="533">
        <f t="shared" si="542"/>
        <v>1613</v>
      </c>
      <c r="IK99" s="533">
        <f t="shared" si="517"/>
        <v>1613</v>
      </c>
      <c r="IL99" s="727">
        <f t="shared" si="647"/>
        <v>10.272998516762556</v>
      </c>
      <c r="IM99" s="759">
        <v>3.1554312808497999E-9</v>
      </c>
      <c r="IN99" s="5">
        <f t="shared" si="648"/>
        <v>0</v>
      </c>
      <c r="IO99" s="771">
        <v>0</v>
      </c>
      <c r="IP99" s="9">
        <f t="shared" si="649"/>
        <v>-5.4430164161375112</v>
      </c>
      <c r="IQ99" s="5">
        <f t="shared" si="650"/>
        <v>-2.0232061019896039</v>
      </c>
      <c r="IR99" s="5">
        <f t="shared" si="518"/>
        <v>0.314</v>
      </c>
      <c r="IS99" s="5">
        <f t="shared" si="651"/>
        <v>0.29945058807456326</v>
      </c>
      <c r="IT99" s="727">
        <f t="shared" si="652"/>
        <v>79.893532248295628</v>
      </c>
      <c r="IU99" s="9">
        <f t="shared" si="653"/>
        <v>-5.4430164161375112</v>
      </c>
      <c r="IV99" s="5">
        <f t="shared" si="654"/>
        <v>-2.0232061019896039</v>
      </c>
      <c r="IW99" s="5">
        <f t="shared" si="519"/>
        <v>0.314</v>
      </c>
      <c r="IX99" s="5">
        <f t="shared" si="655"/>
        <v>0.29945059113374356</v>
      </c>
      <c r="IY99" s="762">
        <f t="shared" si="656"/>
        <v>79.8935314203855</v>
      </c>
    </row>
    <row r="100" spans="1:259" ht="15" customHeight="1" x14ac:dyDescent="0.25">
      <c r="A100" s="79"/>
      <c r="B100" s="707">
        <v>-3.73711935521494</v>
      </c>
      <c r="C100" s="708">
        <v>4.2823567665685918</v>
      </c>
      <c r="D100" s="709">
        <v>-2.7494082922154091</v>
      </c>
      <c r="E100" s="710">
        <v>-0.92377330682381886</v>
      </c>
      <c r="F100" s="708">
        <v>-0.3823769122905048</v>
      </c>
      <c r="G100" s="711">
        <v>2.0755108936512893E-2</v>
      </c>
      <c r="H100" s="710">
        <v>0.314</v>
      </c>
      <c r="I100" s="708">
        <v>0.52</v>
      </c>
      <c r="J100" s="570">
        <v>6.2469999999999999</v>
      </c>
      <c r="K100" s="865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>1613</v>
      </c>
      <c r="L100" s="320"/>
      <c r="M100" s="168">
        <f t="shared" si="464"/>
        <v>6.2469999999999999</v>
      </c>
      <c r="N100" s="632">
        <f t="shared" si="465"/>
        <v>-3.73711935521494</v>
      </c>
      <c r="O100" s="629">
        <f t="shared" si="466"/>
        <v>4.2823567665685918</v>
      </c>
      <c r="P100" s="633">
        <f t="shared" si="467"/>
        <v>-2.7494082922154091</v>
      </c>
      <c r="Q100" s="585">
        <f t="shared" si="520"/>
        <v>131.11049406437903</v>
      </c>
      <c r="R100" s="629">
        <f t="shared" si="79"/>
        <v>5.6837171420908987</v>
      </c>
      <c r="S100" s="634">
        <f t="shared" si="80"/>
        <v>-2.7494082922154091</v>
      </c>
      <c r="T100" s="635">
        <f t="shared" si="81"/>
        <v>4.2823567665685935</v>
      </c>
      <c r="U100" s="629">
        <f t="shared" si="82"/>
        <v>3.7371193552149382</v>
      </c>
      <c r="V100" s="636">
        <f t="shared" si="114"/>
        <v>-2.7494082922154091</v>
      </c>
      <c r="W100" s="585">
        <f t="shared" si="645"/>
        <v>41.110494064379026</v>
      </c>
      <c r="X100" s="629">
        <f t="shared" si="83"/>
        <v>5.6837171420908987</v>
      </c>
      <c r="Y100" s="630">
        <f t="shared" si="644"/>
        <v>-2.7494082922154091</v>
      </c>
      <c r="Z100" s="632">
        <f t="shared" si="468"/>
        <v>0.92377330682381886</v>
      </c>
      <c r="AA100" s="629">
        <f t="shared" si="469"/>
        <v>0.3823769122905048</v>
      </c>
      <c r="AB100" s="629">
        <f t="shared" si="470"/>
        <v>-2.0755108936512893E-2</v>
      </c>
      <c r="AC100" s="636">
        <f t="shared" si="84"/>
        <v>1</v>
      </c>
      <c r="AD100" s="637">
        <f t="shared" si="115"/>
        <v>0.92377330682381886</v>
      </c>
      <c r="AE100" s="629">
        <f t="shared" si="85"/>
        <v>0.3823769122905048</v>
      </c>
      <c r="AF100" s="633">
        <f t="shared" si="86"/>
        <v>-2.0755108936512893E-2</v>
      </c>
      <c r="AG100" s="602">
        <f t="shared" si="87"/>
        <v>86.893080358371378</v>
      </c>
      <c r="AH100" s="603">
        <f t="shared" si="88"/>
        <v>22.515898900149722</v>
      </c>
      <c r="AI100" s="585">
        <f t="shared" si="89"/>
        <v>-88.810734459959164</v>
      </c>
      <c r="AJ100" s="586">
        <f t="shared" si="90"/>
        <v>112.48610067006808</v>
      </c>
      <c r="AK100" s="635">
        <f t="shared" si="211"/>
        <v>0.94742839879952567</v>
      </c>
      <c r="AL100" s="629">
        <f t="shared" si="91"/>
        <v>-0.31929399399487735</v>
      </c>
      <c r="AM100" s="634">
        <f t="shared" si="92"/>
        <v>-2.0755108936512893E-2</v>
      </c>
      <c r="AN100" s="581">
        <f t="shared" si="93"/>
        <v>-86.280827456915162</v>
      </c>
      <c r="AO100" s="582">
        <f t="shared" si="461"/>
        <v>18.660980989789042</v>
      </c>
      <c r="AP100" s="585">
        <f t="shared" si="95"/>
        <v>-18.62439339431095</v>
      </c>
      <c r="AQ100" s="586">
        <f t="shared" si="471"/>
        <v>0.40109128153946372</v>
      </c>
      <c r="AS100" s="52">
        <f t="shared" si="543"/>
        <v>-318.88950593562095</v>
      </c>
      <c r="AT100" s="73">
        <f t="shared" si="472"/>
        <v>-2.5279572464267832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>Taper</v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6.2469999999999999</v>
      </c>
      <c r="IH100" s="731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0.14699999999999999</v>
      </c>
      <c r="II100" s="734" cm="1">
        <f t="array" ref="II100">IFERROR(ROUND(VALUE(IF($IH100&lt;1,$IH100+LARGE((IF($M$9:$M$150="",0,$M$9:$M$150)-MOD(IF($M$9:$M$150="",0,$M$9:$M$150),1)),1),$IH100)),4),"")</f>
        <v>6.1470000000000002</v>
      </c>
      <c r="IJ100" s="533">
        <f t="shared" si="542"/>
        <v>1613</v>
      </c>
      <c r="IK100" s="533">
        <f t="shared" si="517"/>
        <v>1613</v>
      </c>
      <c r="IL100" s="727">
        <f t="shared" si="647"/>
        <v>9.8644985757426582</v>
      </c>
      <c r="IM100" s="759">
        <v>2.9742217961822201E-9</v>
      </c>
      <c r="IN100" s="5">
        <f t="shared" si="648"/>
        <v>0</v>
      </c>
      <c r="IO100" s="771">
        <v>0</v>
      </c>
      <c r="IP100" s="9">
        <f t="shared" si="649"/>
        <v>-5.6837171420909014</v>
      </c>
      <c r="IQ100" s="5">
        <f t="shared" si="650"/>
        <v>-2.7494082922154095</v>
      </c>
      <c r="IR100" s="5">
        <f t="shared" si="518"/>
        <v>0.314</v>
      </c>
      <c r="IS100" s="5">
        <f t="shared" si="651"/>
        <v>0.29749251374976787</v>
      </c>
      <c r="IT100" s="727">
        <f t="shared" si="652"/>
        <v>86.280828278343591</v>
      </c>
      <c r="IU100" s="9">
        <f t="shared" si="653"/>
        <v>-5.6837171420908987</v>
      </c>
      <c r="IV100" s="5">
        <f t="shared" si="654"/>
        <v>-2.7494082922154091</v>
      </c>
      <c r="IW100" s="5">
        <f t="shared" si="519"/>
        <v>0.314</v>
      </c>
      <c r="IX100" s="5">
        <f t="shared" si="655"/>
        <v>0.29749251722305109</v>
      </c>
      <c r="IY100" s="762">
        <f t="shared" si="656"/>
        <v>86.280827456915162</v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8.8521302156295598E-2</v>
      </c>
      <c r="G154" s="170">
        <f t="shared" si="929"/>
        <v>-0.33036604714967338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6.6987279208207198E-2</v>
      </c>
      <c r="G155" s="170">
        <f t="shared" si="929"/>
        <v>-0.24999996726497561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6.6987279208207212E-2</v>
      </c>
      <c r="G156" s="170">
        <f t="shared" si="929"/>
        <v>-0.24999996726497564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0.96592583607220739</v>
      </c>
      <c r="F157" s="170">
        <f t="shared" si="929"/>
        <v>5.6018678339987631E-2</v>
      </c>
      <c r="G157" s="170">
        <f t="shared" si="929"/>
        <v>-0.25268396641901958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0.97288244340146346</v>
      </c>
      <c r="F158" s="170">
        <f t="shared" si="929"/>
        <v>-6.6329039540511475E-2</v>
      </c>
      <c r="G158" s="170">
        <f t="shared" si="929"/>
        <v>-0.22158567154676639</v>
      </c>
      <c r="H158" s="139"/>
      <c r="I158" s="86"/>
      <c r="J158" s="79">
        <f t="shared" si="930"/>
        <v>1.1160000000000001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0.96685369878168859</v>
      </c>
      <c r="F159" s="170">
        <f t="shared" si="929"/>
        <v>-0.18944566199388257</v>
      </c>
      <c r="G159" s="170">
        <f t="shared" si="929"/>
        <v>-0.17118488923928829</v>
      </c>
      <c r="H159" s="139"/>
      <c r="I159" s="86"/>
      <c r="J159" s="79">
        <f t="shared" si="930"/>
        <v>1.1220000000000001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0.95418797225421526</v>
      </c>
      <c r="F160" s="170">
        <f t="shared" si="929"/>
        <v>-0.2684536867007612</v>
      </c>
      <c r="G160" s="170">
        <f t="shared" si="929"/>
        <v>-0.13212846666089276</v>
      </c>
      <c r="H160" s="139"/>
      <c r="I160" s="86"/>
      <c r="J160" s="79">
        <f t="shared" si="930"/>
        <v>1.1279999999999999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0.94118483009344212</v>
      </c>
      <c r="F161" s="170">
        <f t="shared" si="929"/>
        <v>-0.32180368101964618</v>
      </c>
      <c r="G161" s="170">
        <f t="shared" si="929"/>
        <v>-0.10302187381417803</v>
      </c>
      <c r="H161" s="139"/>
      <c r="I161" s="86"/>
      <c r="J161" s="79">
        <f t="shared" si="930"/>
        <v>1.1339999999999999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0.93411112415302155</v>
      </c>
      <c r="F162" s="170">
        <f t="shared" si="929"/>
        <v>-0.35192055389683213</v>
      </c>
      <c r="G162" s="170">
        <f t="shared" si="929"/>
        <v>-5.9902683400040957E-2</v>
      </c>
      <c r="H162" s="139"/>
      <c r="I162" s="86"/>
      <c r="J162" s="79">
        <f t="shared" si="930"/>
        <v>1.1399999999999999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0.92337485968264299</v>
      </c>
      <c r="F163" s="170">
        <f t="shared" si="929"/>
        <v>-0.38289056061683269</v>
      </c>
      <c r="G163" s="170">
        <f t="shared" si="929"/>
        <v>-2.781523137755848E-2</v>
      </c>
      <c r="H163" s="139"/>
      <c r="I163" s="86"/>
      <c r="J163" s="79">
        <f t="shared" si="930"/>
        <v>1.1459999999999999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0.92010480915012727</v>
      </c>
      <c r="F164" s="170">
        <f t="shared" si="929"/>
        <v>-0.39143714981548933</v>
      </c>
      <c r="G164" s="170">
        <f t="shared" si="929"/>
        <v>1.35682689807608E-2</v>
      </c>
      <c r="H164" s="139"/>
      <c r="I164" s="86"/>
      <c r="J164" s="79">
        <f t="shared" si="930"/>
        <v>1.1519999999999999</v>
      </c>
    </row>
    <row r="165" spans="5:16" x14ac:dyDescent="0.25">
      <c r="E165" s="170">
        <f t="shared" si="929"/>
        <v>0.77212392714796607</v>
      </c>
      <c r="F165" s="170">
        <f t="shared" si="929"/>
        <v>-0.63547198295881024</v>
      </c>
      <c r="G165" s="170">
        <f t="shared" si="929"/>
        <v>-4.4641803200832661E-17</v>
      </c>
      <c r="H165" s="139"/>
      <c r="I165" s="86"/>
      <c r="J165" s="79">
        <f t="shared" si="930"/>
        <v>1.1579999999999999</v>
      </c>
    </row>
    <row r="166" spans="5:16" x14ac:dyDescent="0.25">
      <c r="E166" s="170">
        <f t="shared" si="929"/>
        <v>0.87398964331408813</v>
      </c>
      <c r="F166" s="170">
        <f t="shared" si="929"/>
        <v>-0.46763679834452487</v>
      </c>
      <c r="G166" s="170">
        <f t="shared" si="929"/>
        <v>-0.1321284534602418</v>
      </c>
      <c r="H166" s="139"/>
      <c r="I166" s="86"/>
      <c r="J166" s="79">
        <f t="shared" si="930"/>
        <v>1.228</v>
      </c>
    </row>
    <row r="167" spans="5:16" x14ac:dyDescent="0.25">
      <c r="E167" s="170">
        <f t="shared" si="929"/>
        <v>0.86104610784310309</v>
      </c>
      <c r="F167" s="170">
        <f t="shared" si="929"/>
        <v>-0.49798201748766935</v>
      </c>
      <c r="G167" s="170">
        <f t="shared" si="929"/>
        <v>-0.10302189295074139</v>
      </c>
      <c r="H167" s="139"/>
      <c r="I167" s="86"/>
      <c r="J167" s="79">
        <f t="shared" si="930"/>
        <v>1.234</v>
      </c>
    </row>
    <row r="168" spans="5:16" x14ac:dyDescent="0.25">
      <c r="E168" s="170">
        <f t="shared" si="929"/>
        <v>0.855492632575795</v>
      </c>
      <c r="F168" s="170">
        <f t="shared" si="929"/>
        <v>-0.51433843369887722</v>
      </c>
      <c r="G168" s="170">
        <f t="shared" si="929"/>
        <v>-5.9902681314958156E-2</v>
      </c>
      <c r="H168" s="139"/>
      <c r="I168" s="86"/>
      <c r="J168" s="79">
        <f t="shared" si="930"/>
        <v>1.24</v>
      </c>
    </row>
    <row r="169" spans="5:16" x14ac:dyDescent="0.25">
      <c r="E169" s="170">
        <f t="shared" si="929"/>
        <v>0.84357904260312666</v>
      </c>
      <c r="F169" s="170">
        <f t="shared" si="929"/>
        <v>-0.53628417065450407</v>
      </c>
      <c r="G169" s="170">
        <f t="shared" si="929"/>
        <v>-2.7815232988474558E-2</v>
      </c>
      <c r="H169" s="139"/>
      <c r="I169" s="86"/>
      <c r="J169" s="79">
        <f t="shared" si="930"/>
        <v>1.246</v>
      </c>
    </row>
    <row r="170" spans="5:16" x14ac:dyDescent="0.25">
      <c r="E170" s="170">
        <f t="shared" si="929"/>
        <v>0.36981015774937781</v>
      </c>
      <c r="F170" s="170">
        <f t="shared" si="929"/>
        <v>-0.89710970320776595</v>
      </c>
      <c r="G170" s="170">
        <f t="shared" si="929"/>
        <v>-0.24173255394310156</v>
      </c>
      <c r="H170" s="139"/>
      <c r="I170" s="86"/>
      <c r="J170" s="79">
        <f t="shared" si="930"/>
        <v>2.1150000000000002</v>
      </c>
    </row>
    <row r="171" spans="5:16" x14ac:dyDescent="0.25">
      <c r="E171" s="170">
        <f t="shared" si="929"/>
        <v>0.25425981487487809</v>
      </c>
      <c r="F171" s="170">
        <f t="shared" si="929"/>
        <v>-0.94968401965424165</v>
      </c>
      <c r="G171" s="170">
        <f t="shared" si="929"/>
        <v>-0.18289945148401787</v>
      </c>
      <c r="H171" s="139"/>
      <c r="I171" s="86"/>
      <c r="J171" s="79">
        <f t="shared" si="930"/>
        <v>2.121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0.1683270804006135</v>
      </c>
      <c r="F172" s="170">
        <f t="shared" si="929"/>
        <v>-0.97588504087775507</v>
      </c>
      <c r="G172" s="170">
        <f t="shared" si="929"/>
        <v>-0.13897618858936875</v>
      </c>
      <c r="H172" s="139"/>
      <c r="I172" s="86"/>
      <c r="J172" s="79">
        <f t="shared" si="930"/>
        <v>2.1269999999999998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0.1131220208522625</v>
      </c>
      <c r="F173" s="170">
        <f t="shared" si="929"/>
        <v>-0.98723698670682269</v>
      </c>
      <c r="G173" s="170">
        <f t="shared" si="929"/>
        <v>-0.11210058196250898</v>
      </c>
      <c r="H173" s="139"/>
      <c r="I173" s="86"/>
      <c r="J173" s="79">
        <f t="shared" si="930"/>
        <v>2.133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8.0013625239384947E-2</v>
      </c>
      <c r="F174" s="170">
        <f t="shared" si="933"/>
        <v>-0.994536871187363</v>
      </c>
      <c r="G174" s="170">
        <f t="shared" si="933"/>
        <v>-6.7039030608308195E-2</v>
      </c>
      <c r="H174" s="139"/>
      <c r="I174" s="86"/>
      <c r="J174" s="79">
        <f t="shared" si="930"/>
        <v>2.1389999999999998</v>
      </c>
    </row>
    <row r="175" spans="5:16" x14ac:dyDescent="0.25">
      <c r="E175" s="170">
        <f t="shared" si="933"/>
        <v>4.5702632504021914E-2</v>
      </c>
      <c r="F175" s="170">
        <f t="shared" si="933"/>
        <v>-0.99834450769800598</v>
      </c>
      <c r="G175" s="170">
        <f t="shared" si="933"/>
        <v>-3.4921531057907879E-2</v>
      </c>
      <c r="H175" s="139"/>
      <c r="I175" s="86"/>
      <c r="J175" s="79">
        <f t="shared" si="930"/>
        <v>2.145</v>
      </c>
    </row>
    <row r="176" spans="5:16" x14ac:dyDescent="0.25">
      <c r="E176" s="170">
        <f t="shared" si="933"/>
        <v>3.494492686785259E-2</v>
      </c>
      <c r="F176" s="170">
        <f t="shared" si="933"/>
        <v>-0.99936567239319474</v>
      </c>
      <c r="G176" s="170">
        <f t="shared" si="933"/>
        <v>6.8633030166424074E-3</v>
      </c>
      <c r="H176" s="139"/>
      <c r="I176" s="86"/>
      <c r="J176" s="79">
        <f t="shared" si="930"/>
        <v>2.1509999999999998</v>
      </c>
    </row>
    <row r="177" spans="5:10" x14ac:dyDescent="0.25">
      <c r="E177" s="170">
        <f t="shared" si="933"/>
        <v>-0.18672544645577671</v>
      </c>
      <c r="F177" s="170">
        <f t="shared" si="933"/>
        <v>-0.9812548513367163</v>
      </c>
      <c r="G177" s="170">
        <f t="shared" si="933"/>
        <v>-4.7671001395500838E-2</v>
      </c>
      <c r="H177" s="139"/>
      <c r="I177" s="86"/>
      <c r="J177" s="79">
        <f t="shared" si="930"/>
        <v>2.157</v>
      </c>
    </row>
    <row r="178" spans="5:10" x14ac:dyDescent="0.25">
      <c r="E178" s="170">
        <f t="shared" si="933"/>
        <v>-0.24962025451017206</v>
      </c>
      <c r="F178" s="170">
        <f t="shared" si="933"/>
        <v>-0.96834380699123446</v>
      </c>
      <c r="G178" s="170">
        <f t="shared" si="933"/>
        <v>-2.2394650466084381E-16</v>
      </c>
      <c r="H178" s="139"/>
      <c r="I178" s="86"/>
      <c r="J178" s="79">
        <f t="shared" si="930"/>
        <v>2.1629999999999998</v>
      </c>
    </row>
    <row r="179" spans="5:10" x14ac:dyDescent="0.25">
      <c r="E179" s="170">
        <f t="shared" si="933"/>
        <v>-5.0827629100275391E-2</v>
      </c>
      <c r="F179" s="170">
        <f t="shared" si="933"/>
        <v>-0.98899048283607494</v>
      </c>
      <c r="G179" s="170">
        <f t="shared" si="933"/>
        <v>-0.13897617414403202</v>
      </c>
      <c r="H179" s="139"/>
      <c r="I179" s="86"/>
      <c r="J179" s="79">
        <f t="shared" si="930"/>
        <v>2.2269999999999999</v>
      </c>
    </row>
    <row r="180" spans="5:10" x14ac:dyDescent="0.25">
      <c r="E180" s="170">
        <f t="shared" si="933"/>
        <v>-8.3248925830854165E-2</v>
      </c>
      <c r="F180" s="170">
        <f t="shared" si="933"/>
        <v>-0.99020355066326071</v>
      </c>
      <c r="G180" s="170">
        <f t="shared" si="933"/>
        <v>-0.11210060036360346</v>
      </c>
      <c r="H180" s="139"/>
      <c r="I180" s="86"/>
      <c r="J180" s="79">
        <f t="shared" si="930"/>
        <v>2.2330000000000001</v>
      </c>
    </row>
    <row r="181" spans="5:10" x14ac:dyDescent="0.25">
      <c r="E181" s="170">
        <f t="shared" si="933"/>
        <v>-0.10219714002973668</v>
      </c>
      <c r="F181" s="170">
        <f t="shared" si="933"/>
        <v>-0.99250265156052442</v>
      </c>
      <c r="G181" s="170">
        <f t="shared" si="933"/>
        <v>-6.7039027551648964E-2</v>
      </c>
      <c r="H181" s="139"/>
      <c r="I181" s="86"/>
      <c r="J181" s="79">
        <f t="shared" si="930"/>
        <v>2.2389999999999999</v>
      </c>
    </row>
    <row r="182" spans="5:10" x14ac:dyDescent="0.25">
      <c r="E182" s="170">
        <f t="shared" si="933"/>
        <v>-0.1281291879962623</v>
      </c>
      <c r="F182" s="170">
        <f t="shared" si="933"/>
        <v>-0.99114247098978381</v>
      </c>
      <c r="G182" s="170">
        <f t="shared" si="933"/>
        <v>-3.4921531806095037E-2</v>
      </c>
      <c r="H182" s="139"/>
      <c r="I182" s="86"/>
      <c r="J182" s="79">
        <f t="shared" si="930"/>
        <v>2.2450000000000001</v>
      </c>
    </row>
    <row r="183" spans="5:10" x14ac:dyDescent="0.25">
      <c r="E183" s="170">
        <f t="shared" si="933"/>
        <v>-0.13363788803428955</v>
      </c>
      <c r="F183" s="170">
        <f t="shared" si="933"/>
        <v>-0.99100646316274088</v>
      </c>
      <c r="G183" s="170">
        <f t="shared" si="933"/>
        <v>6.8632974152303197E-3</v>
      </c>
      <c r="H183" s="139"/>
      <c r="I183" s="86"/>
      <c r="J183" s="79">
        <f t="shared" si="930"/>
        <v>2.2509999999999999</v>
      </c>
    </row>
    <row r="184" spans="5:10" x14ac:dyDescent="0.25">
      <c r="E184" s="170">
        <f t="shared" si="933"/>
        <v>-0.49916002344389943</v>
      </c>
      <c r="F184" s="170">
        <f t="shared" si="933"/>
        <v>-0.82966215254342957</v>
      </c>
      <c r="G184" s="170">
        <f t="shared" si="933"/>
        <v>-0.24999996726497561</v>
      </c>
      <c r="H184" s="139"/>
      <c r="I184" s="86"/>
      <c r="J184" s="79">
        <f t="shared" si="930"/>
        <v>3.1030000000000002</v>
      </c>
    </row>
    <row r="185" spans="5:10" x14ac:dyDescent="0.25">
      <c r="E185" s="170">
        <f t="shared" si="933"/>
        <v>-0.49916002344389943</v>
      </c>
      <c r="F185" s="170">
        <f t="shared" si="933"/>
        <v>-0.82966215254342957</v>
      </c>
      <c r="G185" s="170">
        <f t="shared" si="933"/>
        <v>-0.24999996726497567</v>
      </c>
      <c r="H185" s="139"/>
      <c r="I185" s="86"/>
      <c r="J185" s="79">
        <f t="shared" si="930"/>
        <v>3.1059999999999999</v>
      </c>
    </row>
    <row r="186" spans="5:10" x14ac:dyDescent="0.25">
      <c r="E186" s="170">
        <f t="shared" si="933"/>
        <v>-0.49916002344389948</v>
      </c>
      <c r="F186" s="170">
        <f t="shared" si="933"/>
        <v>-0.82966215254342957</v>
      </c>
      <c r="G186" s="170">
        <f t="shared" si="933"/>
        <v>-0.24999996726497567</v>
      </c>
      <c r="H186" s="139"/>
      <c r="I186" s="86"/>
      <c r="J186" s="79">
        <f t="shared" si="930"/>
        <v>3.109</v>
      </c>
    </row>
    <row r="187" spans="5:10" x14ac:dyDescent="0.25">
      <c r="E187" s="170">
        <f t="shared" si="933"/>
        <v>-0.57591485000837839</v>
      </c>
      <c r="F187" s="170">
        <f t="shared" si="933"/>
        <v>-0.7805734615175185</v>
      </c>
      <c r="G187" s="170">
        <f t="shared" si="933"/>
        <v>-0.24295505081061031</v>
      </c>
      <c r="H187" s="139"/>
      <c r="I187" s="86"/>
      <c r="J187" s="79">
        <f t="shared" si="930"/>
        <v>3.1139999999999999</v>
      </c>
    </row>
    <row r="188" spans="5:10" x14ac:dyDescent="0.25">
      <c r="E188" s="170">
        <f t="shared" si="933"/>
        <v>-0.6800416422046518</v>
      </c>
      <c r="F188" s="170">
        <f t="shared" si="933"/>
        <v>-0.70720331688598526</v>
      </c>
      <c r="G188" s="170">
        <f t="shared" si="933"/>
        <v>-0.19340846272348405</v>
      </c>
      <c r="H188" s="139"/>
      <c r="I188" s="86"/>
      <c r="J188" s="79">
        <f t="shared" si="930"/>
        <v>3.12</v>
      </c>
    </row>
    <row r="189" spans="5:10" x14ac:dyDescent="0.25">
      <c r="E189" s="170">
        <f t="shared" si="933"/>
        <v>-0.75441231573825906</v>
      </c>
      <c r="F189" s="170">
        <f t="shared" si="933"/>
        <v>-0.64001431132313769</v>
      </c>
      <c r="G189" s="170">
        <f t="shared" si="933"/>
        <v>-0.14575232129886398</v>
      </c>
      <c r="H189" s="139"/>
      <c r="I189" s="86"/>
      <c r="J189" s="79">
        <f t="shared" si="930"/>
        <v>3.1259999999999999</v>
      </c>
    </row>
    <row r="190" spans="5:10" x14ac:dyDescent="0.25">
      <c r="E190" s="170">
        <f t="shared" si="933"/>
        <v>-0.79428281975914816</v>
      </c>
      <c r="F190" s="170">
        <f t="shared" si="933"/>
        <v>-0.5960840068452774</v>
      </c>
      <c r="G190" s="170">
        <f t="shared" si="933"/>
        <v>-0.11746769351075192</v>
      </c>
      <c r="H190" s="139"/>
      <c r="I190" s="86"/>
      <c r="J190" s="79">
        <f t="shared" si="930"/>
        <v>3.1320000000000001</v>
      </c>
    </row>
    <row r="191" spans="5:10" x14ac:dyDescent="0.25">
      <c r="E191" s="170">
        <f t="shared" si="933"/>
        <v>-0.81825499776326438</v>
      </c>
      <c r="F191" s="170">
        <f t="shared" si="933"/>
        <v>-0.57004537361240182</v>
      </c>
      <c r="G191" s="170">
        <f t="shared" si="933"/>
        <v>-7.4209370422727877E-2</v>
      </c>
      <c r="H191" s="139"/>
      <c r="I191" s="86"/>
      <c r="J191" s="79">
        <f t="shared" si="930"/>
        <v>3.1379999999999999</v>
      </c>
    </row>
    <row r="192" spans="5:10" x14ac:dyDescent="0.25">
      <c r="E192" s="170">
        <f t="shared" si="933"/>
        <v>-0.83997754061886432</v>
      </c>
      <c r="F192" s="170">
        <f t="shared" si="933"/>
        <v>-0.54098587913865759</v>
      </c>
      <c r="G192" s="170">
        <f t="shared" si="933"/>
        <v>-4.2095247100568917E-2</v>
      </c>
      <c r="H192" s="139"/>
      <c r="I192" s="86"/>
      <c r="J192" s="79">
        <f t="shared" si="930"/>
        <v>3.1440000000000001</v>
      </c>
    </row>
    <row r="193" spans="5:10" x14ac:dyDescent="0.25">
      <c r="E193" s="170">
        <f t="shared" si="933"/>
        <v>-0.84744088553389929</v>
      </c>
      <c r="F193" s="170">
        <f t="shared" si="933"/>
        <v>-0.53088975907049529</v>
      </c>
      <c r="G193" s="170">
        <f t="shared" si="933"/>
        <v>9.6122797247494285E-5</v>
      </c>
      <c r="H193" s="139"/>
      <c r="I193" s="86"/>
      <c r="J193" s="79">
        <f t="shared" si="930"/>
        <v>3.15</v>
      </c>
    </row>
    <row r="194" spans="5:10" x14ac:dyDescent="0.25">
      <c r="E194" s="170">
        <f t="shared" ref="E194:G213" si="934">E49*-1</f>
        <v>-0.91449079222673713</v>
      </c>
      <c r="F194" s="170">
        <f t="shared" si="934"/>
        <v>-0.40388773396380656</v>
      </c>
      <c r="G194" s="170">
        <f t="shared" si="934"/>
        <v>-2.4109941644398367E-2</v>
      </c>
      <c r="H194" s="139"/>
      <c r="I194" s="86"/>
      <c r="J194" s="79">
        <f t="shared" si="930"/>
        <v>3.1560000000000001</v>
      </c>
    </row>
    <row r="195" spans="5:10" x14ac:dyDescent="0.25">
      <c r="E195" s="170">
        <f t="shared" si="934"/>
        <v>-0.96342042318697441</v>
      </c>
      <c r="F195" s="170">
        <f t="shared" si="934"/>
        <v>-0.26799456745656464</v>
      </c>
      <c r="G195" s="170">
        <f t="shared" si="934"/>
        <v>0</v>
      </c>
      <c r="H195" s="139"/>
      <c r="I195" s="86"/>
      <c r="J195" s="79">
        <f t="shared" si="930"/>
        <v>3.1619999999999999</v>
      </c>
    </row>
    <row r="196" spans="5:10" x14ac:dyDescent="0.25">
      <c r="E196" s="170">
        <f t="shared" si="934"/>
        <v>-0.87943176303591586</v>
      </c>
      <c r="F196" s="170">
        <f t="shared" si="934"/>
        <v>-0.45316226627701756</v>
      </c>
      <c r="G196" s="170">
        <f t="shared" si="934"/>
        <v>-0.14575230559486282</v>
      </c>
      <c r="H196" s="139"/>
      <c r="I196" s="86"/>
      <c r="J196" s="79">
        <f t="shared" si="930"/>
        <v>3.226</v>
      </c>
    </row>
    <row r="197" spans="5:10" x14ac:dyDescent="0.25">
      <c r="E197" s="170">
        <f t="shared" si="934"/>
        <v>-0.89740834057423979</v>
      </c>
      <c r="F197" s="170">
        <f t="shared" si="934"/>
        <v>-0.42527592658875146</v>
      </c>
      <c r="G197" s="170">
        <f t="shared" si="934"/>
        <v>-0.11746768292542518</v>
      </c>
      <c r="H197" s="139"/>
      <c r="I197" s="86"/>
      <c r="J197" s="79">
        <f t="shared" si="930"/>
        <v>3.2320000000000002</v>
      </c>
    </row>
    <row r="198" spans="5:10" x14ac:dyDescent="0.25">
      <c r="E198" s="170">
        <f t="shared" si="934"/>
        <v>-0.90911301215115825</v>
      </c>
      <c r="F198" s="170">
        <f t="shared" si="934"/>
        <v>-0.40988596106827857</v>
      </c>
      <c r="G198" s="170">
        <f t="shared" si="934"/>
        <v>-7.4209366366932109E-2</v>
      </c>
      <c r="H198" s="139"/>
      <c r="I198" s="86"/>
      <c r="J198" s="79">
        <f t="shared" si="930"/>
        <v>3.238</v>
      </c>
    </row>
    <row r="199" spans="5:10" x14ac:dyDescent="0.25">
      <c r="E199" s="170">
        <f t="shared" si="934"/>
        <v>-0.9215474257133689</v>
      </c>
      <c r="F199" s="170">
        <f t="shared" si="934"/>
        <v>-0.38597711375734045</v>
      </c>
      <c r="G199" s="170">
        <f t="shared" si="934"/>
        <v>-4.2095246959912354E-2</v>
      </c>
      <c r="H199" s="139"/>
      <c r="I199" s="86"/>
      <c r="J199" s="79">
        <f t="shared" si="930"/>
        <v>3.2440000000000002</v>
      </c>
    </row>
    <row r="200" spans="5:10" x14ac:dyDescent="0.25">
      <c r="E200" s="170">
        <f t="shared" si="934"/>
        <v>-0.9249134248715446</v>
      </c>
      <c r="F200" s="170">
        <f t="shared" si="934"/>
        <v>-0.38017778374561834</v>
      </c>
      <c r="G200" s="170">
        <f t="shared" si="934"/>
        <v>9.6117945870066612E-5</v>
      </c>
      <c r="H200" s="139"/>
      <c r="I200" s="86"/>
      <c r="J200" s="79">
        <f t="shared" si="930"/>
        <v>3.25</v>
      </c>
    </row>
    <row r="201" spans="5:10" x14ac:dyDescent="0.25">
      <c r="E201" s="170">
        <f t="shared" si="934"/>
        <v>-0.95456176336181231</v>
      </c>
      <c r="F201" s="170">
        <f t="shared" si="934"/>
        <v>0.17251828989379003</v>
      </c>
      <c r="G201" s="170">
        <f t="shared" si="934"/>
        <v>-0.24300057526621169</v>
      </c>
      <c r="H201" s="139"/>
      <c r="I201" s="86"/>
      <c r="J201" s="79">
        <f t="shared" si="930"/>
        <v>4.1130000000000004</v>
      </c>
    </row>
    <row r="202" spans="5:10" x14ac:dyDescent="0.25">
      <c r="E202" s="170">
        <f t="shared" si="934"/>
        <v>-0.93294265663518272</v>
      </c>
      <c r="F202" s="170">
        <f t="shared" si="934"/>
        <v>0.29758920781319226</v>
      </c>
      <c r="G202" s="170">
        <f t="shared" si="934"/>
        <v>-0.20262937305238934</v>
      </c>
      <c r="H202" s="139"/>
      <c r="I202" s="86"/>
      <c r="J202" s="79">
        <f t="shared" si="930"/>
        <v>4.1189999999999998</v>
      </c>
    </row>
    <row r="203" spans="5:10" x14ac:dyDescent="0.25">
      <c r="E203" s="170">
        <f t="shared" si="934"/>
        <v>-0.90187048104759593</v>
      </c>
      <c r="F203" s="170">
        <f t="shared" si="934"/>
        <v>0.40420589740059154</v>
      </c>
      <c r="G203" s="170">
        <f t="shared" si="934"/>
        <v>-0.15247041654550686</v>
      </c>
      <c r="H203" s="139"/>
      <c r="I203" s="86"/>
      <c r="J203" s="79">
        <f t="shared" si="930"/>
        <v>4.125</v>
      </c>
    </row>
    <row r="204" spans="5:10" x14ac:dyDescent="0.25">
      <c r="E204" s="170">
        <f t="shared" si="934"/>
        <v>-0.87851365883325183</v>
      </c>
      <c r="F204" s="170">
        <f t="shared" si="934"/>
        <v>0.46116921351387186</v>
      </c>
      <c r="G204" s="170">
        <f t="shared" si="934"/>
        <v>-0.12464633067366968</v>
      </c>
      <c r="H204" s="139"/>
      <c r="I204" s="86"/>
      <c r="J204" s="79">
        <f t="shared" si="930"/>
        <v>4.1310000000000002</v>
      </c>
    </row>
    <row r="205" spans="5:10" x14ac:dyDescent="0.25">
      <c r="E205" s="170">
        <f t="shared" si="934"/>
        <v>-0.86441843167729537</v>
      </c>
      <c r="F205" s="170">
        <f t="shared" si="934"/>
        <v>0.49614129582960048</v>
      </c>
      <c r="G205" s="170">
        <f t="shared" si="934"/>
        <v>-8.1391581561547355E-2</v>
      </c>
      <c r="H205" s="139"/>
      <c r="I205" s="86"/>
      <c r="J205" s="79">
        <f t="shared" si="930"/>
        <v>4.1369999999999996</v>
      </c>
    </row>
    <row r="206" spans="5:10" x14ac:dyDescent="0.25">
      <c r="E206" s="170">
        <f t="shared" si="934"/>
        <v>-0.85417937449496173</v>
      </c>
      <c r="F206" s="170">
        <f t="shared" si="934"/>
        <v>0.51853666139614596</v>
      </c>
      <c r="G206" s="170">
        <f t="shared" si="934"/>
        <v>-3.8695309477180084E-2</v>
      </c>
      <c r="H206" s="139"/>
      <c r="I206" s="86"/>
      <c r="J206" s="79">
        <f t="shared" si="930"/>
        <v>4.1429999999999998</v>
      </c>
    </row>
    <row r="207" spans="5:10" x14ac:dyDescent="0.25">
      <c r="E207" s="170">
        <f t="shared" si="934"/>
        <v>-0.84002098431553618</v>
      </c>
      <c r="F207" s="170">
        <f t="shared" si="934"/>
        <v>0.54251164026096121</v>
      </c>
      <c r="G207" s="170">
        <f t="shared" si="934"/>
        <v>-6.7724508798045757E-3</v>
      </c>
      <c r="H207" s="139"/>
      <c r="I207" s="86"/>
      <c r="J207" s="79">
        <f t="shared" si="930"/>
        <v>4.149</v>
      </c>
    </row>
    <row r="208" spans="5:10" x14ac:dyDescent="0.25">
      <c r="E208" s="170">
        <f t="shared" si="934"/>
        <v>-0.80226463882335941</v>
      </c>
      <c r="F208" s="170">
        <f t="shared" si="934"/>
        <v>0.59695925474283207</v>
      </c>
      <c r="G208" s="170">
        <f t="shared" si="934"/>
        <v>3.331286614395218E-3</v>
      </c>
      <c r="H208" s="139"/>
      <c r="I208" s="86"/>
      <c r="J208" s="79">
        <f t="shared" si="930"/>
        <v>4.1550000000000002</v>
      </c>
    </row>
    <row r="209" spans="5:10" x14ac:dyDescent="0.25">
      <c r="E209" s="170">
        <f t="shared" si="934"/>
        <v>-0.65004475241033177</v>
      </c>
      <c r="F209" s="170">
        <f t="shared" si="934"/>
        <v>0.75989592699513164</v>
      </c>
      <c r="G209" s="170">
        <f t="shared" si="934"/>
        <v>0</v>
      </c>
      <c r="H209" s="139"/>
      <c r="I209" s="86"/>
      <c r="J209" s="79">
        <f t="shared" si="930"/>
        <v>4.1609999999999996</v>
      </c>
    </row>
    <row r="210" spans="5:10" x14ac:dyDescent="0.25">
      <c r="E210" s="170">
        <f t="shared" si="934"/>
        <v>-0.78364086601519811</v>
      </c>
      <c r="F210" s="170">
        <f t="shared" si="934"/>
        <v>0.60221239639138702</v>
      </c>
      <c r="G210" s="170">
        <f t="shared" si="934"/>
        <v>-0.15247039956494315</v>
      </c>
      <c r="H210" s="139"/>
      <c r="I210" s="86"/>
      <c r="J210" s="79">
        <f t="shared" si="930"/>
        <v>4.2249999999999996</v>
      </c>
    </row>
    <row r="211" spans="5:10" x14ac:dyDescent="0.25">
      <c r="E211" s="170">
        <f t="shared" si="934"/>
        <v>-0.76631916950672307</v>
      </c>
      <c r="F211" s="170">
        <f t="shared" si="934"/>
        <v>0.63025250941790678</v>
      </c>
      <c r="G211" s="170">
        <f t="shared" si="934"/>
        <v>-0.12464631891459065</v>
      </c>
      <c r="H211" s="139"/>
      <c r="I211" s="86"/>
      <c r="J211" s="79">
        <f t="shared" si="930"/>
        <v>4.2309999999999999</v>
      </c>
    </row>
    <row r="212" spans="5:10" x14ac:dyDescent="0.25">
      <c r="E212" s="170">
        <f t="shared" si="934"/>
        <v>-0.75704100692653864</v>
      </c>
      <c r="F212" s="170">
        <f t="shared" si="934"/>
        <v>0.64827796901428569</v>
      </c>
      <c r="G212" s="170">
        <f t="shared" si="934"/>
        <v>-8.1391576482860592E-2</v>
      </c>
      <c r="H212" s="139"/>
      <c r="I212" s="86"/>
      <c r="J212" s="79">
        <f t="shared" si="930"/>
        <v>4.2370000000000001</v>
      </c>
    </row>
    <row r="213" spans="5:10" x14ac:dyDescent="0.25">
      <c r="E213" s="170">
        <f t="shared" si="934"/>
        <v>-0.75003016786243415</v>
      </c>
      <c r="F213" s="170">
        <f t="shared" si="934"/>
        <v>0.66027071740931098</v>
      </c>
      <c r="G213" s="170">
        <f t="shared" si="934"/>
        <v>-3.8695310155661113E-2</v>
      </c>
      <c r="H213" s="139"/>
      <c r="I213" s="86"/>
      <c r="J213" s="79">
        <f t="shared" si="930"/>
        <v>4.2430000000000003</v>
      </c>
    </row>
    <row r="214" spans="5:10" x14ac:dyDescent="0.25">
      <c r="E214" s="170">
        <f t="shared" ref="E214:G233" si="935">E69*-1</f>
        <v>-0.73585303300438443</v>
      </c>
      <c r="F214" s="170">
        <f t="shared" si="935"/>
        <v>0.67710741221178194</v>
      </c>
      <c r="G214" s="170">
        <f t="shared" si="935"/>
        <v>-6.7724549546219056E-3</v>
      </c>
      <c r="H214" s="139"/>
      <c r="I214" s="86"/>
      <c r="J214" s="79">
        <f t="shared" si="930"/>
        <v>4.2489999999999997</v>
      </c>
    </row>
    <row r="215" spans="5:10" x14ac:dyDescent="0.25">
      <c r="E215" s="170">
        <f t="shared" si="935"/>
        <v>-0.47359441874391661</v>
      </c>
      <c r="F215" s="170">
        <f t="shared" si="935"/>
        <v>0.83146955959349167</v>
      </c>
      <c r="G215" s="170">
        <f t="shared" si="935"/>
        <v>-0.29045946017304541</v>
      </c>
      <c r="H215" s="139"/>
      <c r="I215" s="86"/>
      <c r="J215" s="79">
        <f t="shared" si="930"/>
        <v>5.1020000000000003</v>
      </c>
    </row>
    <row r="216" spans="5:10" x14ac:dyDescent="0.25">
      <c r="E216" s="170">
        <f t="shared" si="935"/>
        <v>-0.46892874953122005</v>
      </c>
      <c r="F216" s="170">
        <f t="shared" si="935"/>
        <v>0.84711618246675879</v>
      </c>
      <c r="G216" s="170">
        <f t="shared" si="935"/>
        <v>-0.25000000253206278</v>
      </c>
      <c r="H216" s="139"/>
      <c r="I216" s="86"/>
      <c r="J216" s="79">
        <f t="shared" si="930"/>
        <v>5.1050000000000004</v>
      </c>
    </row>
    <row r="217" spans="5:10" x14ac:dyDescent="0.25">
      <c r="E217" s="170">
        <f t="shared" si="935"/>
        <v>-0.46892874510133487</v>
      </c>
      <c r="F217" s="170">
        <f t="shared" si="935"/>
        <v>0.84711619532694482</v>
      </c>
      <c r="G217" s="170">
        <f t="shared" si="935"/>
        <v>-0.24999996726497561</v>
      </c>
      <c r="H217" s="139"/>
      <c r="I217" s="86"/>
      <c r="J217" s="79">
        <f t="shared" si="930"/>
        <v>5.1079999999999997</v>
      </c>
    </row>
    <row r="218" spans="5:10" x14ac:dyDescent="0.25">
      <c r="E218" s="170">
        <f t="shared" si="935"/>
        <v>-0.42417450312933791</v>
      </c>
      <c r="F218" s="170">
        <f t="shared" si="935"/>
        <v>0.8726922207183736</v>
      </c>
      <c r="G218" s="170">
        <f t="shared" si="935"/>
        <v>-0.24183523066876089</v>
      </c>
      <c r="H218" s="139"/>
      <c r="I218" s="86"/>
      <c r="J218" s="79">
        <f t="shared" si="930"/>
        <v>5.1120000000000001</v>
      </c>
    </row>
    <row r="219" spans="5:10" x14ac:dyDescent="0.25">
      <c r="E219" s="170">
        <f t="shared" si="935"/>
        <v>-0.31081562566215593</v>
      </c>
      <c r="F219" s="170">
        <f t="shared" si="935"/>
        <v>0.92688163656624101</v>
      </c>
      <c r="G219" s="170">
        <f t="shared" si="935"/>
        <v>-0.2104378260687208</v>
      </c>
      <c r="H219" s="139"/>
      <c r="I219" s="86"/>
      <c r="J219" s="79">
        <f t="shared" ref="J219:J282" si="936">J74</f>
        <v>5.1180000000000003</v>
      </c>
    </row>
    <row r="220" spans="5:10" x14ac:dyDescent="0.25">
      <c r="E220" s="170">
        <f t="shared" si="935"/>
        <v>-0.19569867506725711</v>
      </c>
      <c r="F220" s="170">
        <f t="shared" si="935"/>
        <v>0.96767136859645997</v>
      </c>
      <c r="G220" s="170">
        <f t="shared" si="935"/>
        <v>-0.15910421419803567</v>
      </c>
      <c r="H220" s="139"/>
      <c r="I220" s="86"/>
      <c r="J220" s="79">
        <f t="shared" si="936"/>
        <v>5.1239999999999997</v>
      </c>
    </row>
    <row r="221" spans="5:10" x14ac:dyDescent="0.25">
      <c r="E221" s="170">
        <f t="shared" si="935"/>
        <v>-0.14439232876806277</v>
      </c>
      <c r="F221" s="170">
        <f t="shared" si="935"/>
        <v>0.9824226619604155</v>
      </c>
      <c r="G221" s="170">
        <f t="shared" si="935"/>
        <v>-0.11830709471349175</v>
      </c>
      <c r="H221" s="139"/>
      <c r="I221" s="86"/>
      <c r="J221" s="79">
        <f t="shared" si="936"/>
        <v>5.13</v>
      </c>
    </row>
    <row r="222" spans="5:10" x14ac:dyDescent="0.25">
      <c r="E222" s="170">
        <f t="shared" si="935"/>
        <v>-9.4620779483007858E-2</v>
      </c>
      <c r="F222" s="170">
        <f t="shared" si="935"/>
        <v>0.99156280613175651</v>
      </c>
      <c r="G222" s="170">
        <f t="shared" si="935"/>
        <v>-8.8600844161581899E-2</v>
      </c>
      <c r="H222" s="139"/>
      <c r="I222" s="86"/>
      <c r="J222" s="79">
        <f t="shared" si="936"/>
        <v>5.1360000000000001</v>
      </c>
    </row>
    <row r="223" spans="5:10" x14ac:dyDescent="0.25">
      <c r="E223" s="170">
        <f t="shared" si="935"/>
        <v>-6.8394239398443551E-2</v>
      </c>
      <c r="F223" s="170">
        <f t="shared" si="935"/>
        <v>0.99661040938673096</v>
      </c>
      <c r="G223" s="170">
        <f t="shared" si="935"/>
        <v>-4.5715641952409555E-2</v>
      </c>
      <c r="H223" s="139"/>
      <c r="I223" s="86"/>
      <c r="J223" s="79">
        <f t="shared" si="936"/>
        <v>5.1420000000000003</v>
      </c>
    </row>
    <row r="224" spans="5:10" x14ac:dyDescent="0.25">
      <c r="E224" s="170">
        <f t="shared" si="935"/>
        <v>-3.9060992322645552E-2</v>
      </c>
      <c r="F224" s="170">
        <f t="shared" si="935"/>
        <v>0.99914225361420628</v>
      </c>
      <c r="G224" s="170">
        <f t="shared" si="935"/>
        <v>-1.3747578750291626E-2</v>
      </c>
      <c r="H224" s="139"/>
      <c r="I224" s="86"/>
      <c r="J224" s="79">
        <f t="shared" si="936"/>
        <v>5.1479999999999997</v>
      </c>
    </row>
    <row r="225" spans="5:10" x14ac:dyDescent="0.25">
      <c r="E225" s="170">
        <f t="shared" si="935"/>
        <v>2.8220814041276875E-2</v>
      </c>
      <c r="F225" s="170">
        <f t="shared" si="935"/>
        <v>0.99959302551659968</v>
      </c>
      <c r="G225" s="170">
        <f t="shared" si="935"/>
        <v>-4.1676124361863954E-3</v>
      </c>
      <c r="H225" s="139"/>
      <c r="I225" s="86"/>
      <c r="J225" s="79">
        <f t="shared" si="936"/>
        <v>5.1539999999999999</v>
      </c>
    </row>
    <row r="226" spans="5:10" x14ac:dyDescent="0.25">
      <c r="E226" s="170">
        <f t="shared" si="935"/>
        <v>0.24961981527927926</v>
      </c>
      <c r="F226" s="170">
        <f t="shared" si="935"/>
        <v>0.96834392021633442</v>
      </c>
      <c r="G226" s="170">
        <f t="shared" si="935"/>
        <v>-2.2394653084613581E-16</v>
      </c>
      <c r="H226" s="139"/>
      <c r="I226" s="86"/>
      <c r="J226" s="79">
        <f t="shared" si="936"/>
        <v>5.16</v>
      </c>
    </row>
    <row r="227" spans="5:10" x14ac:dyDescent="0.25">
      <c r="E227" s="170">
        <f t="shared" si="935"/>
        <v>4.0562204881483557E-2</v>
      </c>
      <c r="F227" s="170">
        <f t="shared" si="935"/>
        <v>0.98642818409265698</v>
      </c>
      <c r="G227" s="170">
        <f t="shared" si="935"/>
        <v>-0.15910419593089273</v>
      </c>
      <c r="H227" s="139"/>
      <c r="I227" s="86"/>
      <c r="J227" s="79">
        <f t="shared" si="936"/>
        <v>5.2240000000000002</v>
      </c>
    </row>
    <row r="228" spans="5:10" x14ac:dyDescent="0.25">
      <c r="E228" s="170">
        <f t="shared" si="935"/>
        <v>6.1691715435313141E-2</v>
      </c>
      <c r="F228" s="170">
        <f t="shared" si="935"/>
        <v>0.99105881063488277</v>
      </c>
      <c r="G228" s="170">
        <f t="shared" si="935"/>
        <v>-0.11830708393676186</v>
      </c>
      <c r="H228" s="139"/>
      <c r="I228" s="86"/>
      <c r="J228" s="79">
        <f t="shared" si="936"/>
        <v>5.23</v>
      </c>
    </row>
    <row r="229" spans="5:10" x14ac:dyDescent="0.25">
      <c r="E229" s="170">
        <f t="shared" si="935"/>
        <v>9.3840330369235364E-2</v>
      </c>
      <c r="F229" s="170">
        <f t="shared" si="935"/>
        <v>0.99163697182806954</v>
      </c>
      <c r="G229" s="170">
        <f t="shared" si="935"/>
        <v>-8.8600838031304155E-2</v>
      </c>
      <c r="H229" s="139"/>
      <c r="I229" s="86"/>
      <c r="J229" s="79">
        <f t="shared" si="936"/>
        <v>5.2359999999999998</v>
      </c>
    </row>
    <row r="230" spans="5:10" x14ac:dyDescent="0.25">
      <c r="E230" s="170">
        <f t="shared" si="935"/>
        <v>0.10885917118192358</v>
      </c>
      <c r="F230" s="170">
        <f t="shared" si="935"/>
        <v>0.99300541838912815</v>
      </c>
      <c r="G230" s="170">
        <f t="shared" si="935"/>
        <v>-4.571564173690798E-2</v>
      </c>
      <c r="H230" s="139"/>
      <c r="I230" s="86"/>
      <c r="J230" s="79">
        <f t="shared" si="936"/>
        <v>5.242</v>
      </c>
    </row>
    <row r="231" spans="5:10" x14ac:dyDescent="0.25">
      <c r="E231" s="170">
        <f t="shared" si="935"/>
        <v>0.13177137954570561</v>
      </c>
      <c r="F231" s="170">
        <f t="shared" si="935"/>
        <v>0.99118479988400621</v>
      </c>
      <c r="G231" s="170">
        <f t="shared" si="935"/>
        <v>-1.3747582024642796E-2</v>
      </c>
      <c r="H231" s="139"/>
      <c r="I231" s="86"/>
      <c r="J231" s="79">
        <f t="shared" si="936"/>
        <v>5.2480000000000002</v>
      </c>
    </row>
    <row r="232" spans="5:10" x14ac:dyDescent="0.25">
      <c r="E232" s="170">
        <f t="shared" si="935"/>
        <v>0.51721689905205193</v>
      </c>
      <c r="F232" s="170">
        <f t="shared" si="935"/>
        <v>0.81701855130363654</v>
      </c>
      <c r="G232" s="170">
        <f t="shared" si="935"/>
        <v>-0.25488696742024014</v>
      </c>
      <c r="H232" s="139"/>
      <c r="I232" s="86"/>
      <c r="J232" s="79">
        <f t="shared" si="936"/>
        <v>6.1109999999999998</v>
      </c>
    </row>
    <row r="233" spans="5:10" x14ac:dyDescent="0.25">
      <c r="E233" s="170">
        <f t="shared" si="935"/>
        <v>0.63006139435735953</v>
      </c>
      <c r="F233" s="170">
        <f t="shared" si="935"/>
        <v>0.74567421469855799</v>
      </c>
      <c r="G233" s="170">
        <f t="shared" si="935"/>
        <v>-0.21677777762987779</v>
      </c>
      <c r="H233" s="139"/>
      <c r="I233" s="86"/>
      <c r="J233" s="79">
        <f t="shared" si="936"/>
        <v>6.117</v>
      </c>
    </row>
    <row r="234" spans="5:10" x14ac:dyDescent="0.25">
      <c r="E234" s="170">
        <f t="shared" ref="E234:G253" si="937">E89*-1</f>
        <v>0.72699660316017189</v>
      </c>
      <c r="F234" s="170">
        <f t="shared" si="937"/>
        <v>0.66438178708683782</v>
      </c>
      <c r="G234" s="170">
        <f t="shared" si="937"/>
        <v>-0.17341505119473169</v>
      </c>
      <c r="H234" s="139"/>
      <c r="I234" s="86"/>
      <c r="J234" s="79">
        <f t="shared" si="936"/>
        <v>6.1230000000000002</v>
      </c>
    </row>
    <row r="235" spans="5:10" x14ac:dyDescent="0.25">
      <c r="E235" s="170">
        <f t="shared" si="937"/>
        <v>0.77307822621891364</v>
      </c>
      <c r="F235" s="170">
        <f t="shared" si="937"/>
        <v>0.62182517161095396</v>
      </c>
      <c r="G235" s="170">
        <f t="shared" si="937"/>
        <v>-0.12523382968361968</v>
      </c>
      <c r="H235" s="139"/>
      <c r="I235" s="86"/>
      <c r="J235" s="79">
        <f t="shared" si="936"/>
        <v>6.1289999999999996</v>
      </c>
    </row>
    <row r="236" spans="5:10" x14ac:dyDescent="0.25">
      <c r="E236" s="170">
        <f t="shared" si="937"/>
        <v>0.80757233363989611</v>
      </c>
      <c r="F236" s="170">
        <f t="shared" si="937"/>
        <v>0.5819354104385086</v>
      </c>
      <c r="G236" s="170">
        <f t="shared" si="937"/>
        <v>-9.5802421770939783E-2</v>
      </c>
      <c r="H236" s="139"/>
      <c r="I236" s="86"/>
      <c r="J236" s="79">
        <f t="shared" si="936"/>
        <v>6.1349999999999998</v>
      </c>
    </row>
    <row r="237" spans="5:10" x14ac:dyDescent="0.25">
      <c r="E237" s="170">
        <f t="shared" si="937"/>
        <v>0.82658859030402598</v>
      </c>
      <c r="F237" s="170">
        <f t="shared" si="937"/>
        <v>0.56032475511965141</v>
      </c>
      <c r="G237" s="170">
        <f t="shared" si="937"/>
        <v>-5.2796507264270098E-2</v>
      </c>
      <c r="H237" s="139"/>
      <c r="I237" s="86"/>
      <c r="J237" s="79">
        <f t="shared" si="936"/>
        <v>6.141</v>
      </c>
    </row>
    <row r="238" spans="5:10" x14ac:dyDescent="0.25">
      <c r="E238" s="170">
        <f t="shared" si="937"/>
        <v>0.84460764671434319</v>
      </c>
      <c r="F238" s="170">
        <f t="shared" si="937"/>
        <v>0.53498331625062778</v>
      </c>
      <c r="G238" s="170">
        <f t="shared" si="937"/>
        <v>-2.0755106483473482E-2</v>
      </c>
      <c r="H238" s="139"/>
      <c r="I238" s="86"/>
      <c r="J238" s="79">
        <f t="shared" si="936"/>
        <v>6.1470000000000002</v>
      </c>
    </row>
    <row r="239" spans="5:10" x14ac:dyDescent="0.25">
      <c r="E239" s="170">
        <f t="shared" si="937"/>
        <v>0.85664831472821712</v>
      </c>
      <c r="F239" s="170">
        <f t="shared" si="937"/>
        <v>0.515758274232473</v>
      </c>
      <c r="G239" s="170">
        <f t="shared" si="937"/>
        <v>1.2127136267355593E-2</v>
      </c>
      <c r="H239" s="139"/>
      <c r="I239" s="86"/>
      <c r="J239" s="79">
        <f t="shared" si="936"/>
        <v>6.1529999999999996</v>
      </c>
    </row>
    <row r="240" spans="5:10" x14ac:dyDescent="0.25">
      <c r="E240" s="170">
        <f t="shared" si="937"/>
        <v>0.96342030162727499</v>
      </c>
      <c r="F240" s="170">
        <f t="shared" si="937"/>
        <v>0.26799500445420726</v>
      </c>
      <c r="G240" s="170">
        <f t="shared" si="937"/>
        <v>0</v>
      </c>
      <c r="H240" s="139"/>
      <c r="I240" s="86"/>
      <c r="J240" s="79">
        <f t="shared" si="936"/>
        <v>6.1589999999999998</v>
      </c>
    </row>
    <row r="241" spans="5:10" x14ac:dyDescent="0.25">
      <c r="E241" s="170">
        <f t="shared" si="937"/>
        <v>0.86811537323549948</v>
      </c>
      <c r="F241" s="170">
        <f t="shared" si="937"/>
        <v>0.46508378374393744</v>
      </c>
      <c r="G241" s="170">
        <f t="shared" si="937"/>
        <v>-0.17341503063636657</v>
      </c>
      <c r="H241" s="139"/>
      <c r="I241" s="86"/>
      <c r="J241" s="79">
        <f t="shared" si="936"/>
        <v>6.2229999999999999</v>
      </c>
    </row>
    <row r="242" spans="5:10" x14ac:dyDescent="0.25">
      <c r="E242" s="170">
        <f t="shared" si="937"/>
        <v>0.88677998336629671</v>
      </c>
      <c r="F242" s="170">
        <f t="shared" si="937"/>
        <v>0.44490195774282848</v>
      </c>
      <c r="G242" s="170">
        <f t="shared" si="937"/>
        <v>-0.12523381770699574</v>
      </c>
      <c r="H242" s="139"/>
      <c r="I242" s="86"/>
      <c r="J242" s="79">
        <f t="shared" si="936"/>
        <v>6.2290000000000001</v>
      </c>
    </row>
    <row r="243" spans="5:10" x14ac:dyDescent="0.25">
      <c r="E243" s="170">
        <f t="shared" si="937"/>
        <v>0.90381348126701189</v>
      </c>
      <c r="F243" s="170">
        <f t="shared" si="937"/>
        <v>0.41706484920579473</v>
      </c>
      <c r="G243" s="170">
        <f t="shared" si="937"/>
        <v>-9.5802414567445218E-2</v>
      </c>
      <c r="H243" s="139"/>
      <c r="I243" s="86"/>
      <c r="J243" s="79">
        <f t="shared" si="936"/>
        <v>6.2350000000000003</v>
      </c>
    </row>
    <row r="244" spans="5:10" x14ac:dyDescent="0.25">
      <c r="E244" s="170">
        <f t="shared" si="937"/>
        <v>0.91326518434854742</v>
      </c>
      <c r="F244" s="170">
        <f t="shared" si="937"/>
        <v>0.40392973646137803</v>
      </c>
      <c r="G244" s="170">
        <f t="shared" si="937"/>
        <v>-5.2796506125457734E-2</v>
      </c>
      <c r="H244" s="139"/>
      <c r="I244" s="86"/>
      <c r="J244" s="79">
        <f t="shared" si="936"/>
        <v>6.2409999999999997</v>
      </c>
    </row>
    <row r="245" spans="5:10" x14ac:dyDescent="0.25">
      <c r="E245" s="170">
        <f t="shared" si="937"/>
        <v>0.92377330682381886</v>
      </c>
      <c r="F245" s="170">
        <f t="shared" si="937"/>
        <v>0.3823769122905048</v>
      </c>
      <c r="G245" s="170">
        <f t="shared" si="937"/>
        <v>-2.0755108936512893E-2</v>
      </c>
      <c r="H245" s="139"/>
      <c r="I245" s="86"/>
      <c r="J245" s="79">
        <f t="shared" si="936"/>
        <v>6.2469999999999999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C241D058-0395-449B-926E-0116B05045D5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AD30CAD8-EB09-4FCF-BC07-B998508590D2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12.25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1.1160000000000001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1.1220000000000001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1.1279999999999999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1.1339999999999999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1.1399999999999999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1.1459999999999999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1.1519999999999999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1.1579999999999999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1.228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1.234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1.24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1.246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2.1150000000000002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2.121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2.1269999999999998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2.133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2.1389999999999998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2.145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2.1509999999999998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2.157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2.1629999999999998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2.2269999999999999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2.2330000000000001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2.2389999999999999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2.2450000000000001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2.2509999999999999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3.1030000000000002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3.1059999999999999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3.109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3.1139999999999999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3.12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3.1259999999999999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3.1320000000000001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3.1379999999999999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3.1440000000000001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3.15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3.1560000000000001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3.1619999999999999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3.226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3.2320000000000002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3.238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3.2440000000000002</v>
      </c>
      <c r="N209" s="869">
        <f>Assy.Model!K54</f>
        <v>1613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3.25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4.1130000000000004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4.1189999999999998</v>
      </c>
      <c r="N212" s="869">
        <f>Assy.Model!K57</f>
        <v>1613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4.125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4.1310000000000002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4.1369999999999996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4.1429999999999998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4.149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4.1550000000000002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4.1609999999999996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4.2249999999999996</v>
      </c>
      <c r="N220" s="869">
        <f>Assy.Model!K65</f>
        <v>1613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4.2309999999999999</v>
      </c>
      <c r="N221" s="869">
        <f>Assy.Model!K66</f>
        <v>1613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4.2370000000000001</v>
      </c>
      <c r="N222" s="869">
        <f>Assy.Model!K67</f>
        <v>1613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4.2430000000000003</v>
      </c>
      <c r="N223" s="869">
        <f>Assy.Model!K68</f>
        <v>1613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4.2489999999999997</v>
      </c>
      <c r="N224" s="869">
        <f>Assy.Model!K69</f>
        <v>1613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5.1020000000000003</v>
      </c>
      <c r="N225" s="869">
        <f>Assy.Model!K70</f>
        <v>1613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5.1050000000000004</v>
      </c>
      <c r="N226" s="869">
        <f>Assy.Model!K71</f>
        <v>1613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5.1079999999999997</v>
      </c>
      <c r="N227" s="869">
        <f>Assy.Model!K72</f>
        <v>1613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5.1120000000000001</v>
      </c>
      <c r="N228" s="869">
        <f>Assy.Model!K73</f>
        <v>1613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5.1180000000000003</v>
      </c>
      <c r="N229" s="869">
        <f>Assy.Model!K74</f>
        <v>1613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5.1239999999999997</v>
      </c>
      <c r="N230" s="869">
        <f>Assy.Model!K75</f>
        <v>1613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5.13</v>
      </c>
      <c r="N231" s="869">
        <f>Assy.Model!K76</f>
        <v>1613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5.1360000000000001</v>
      </c>
      <c r="N232" s="869">
        <f>Assy.Model!K77</f>
        <v>1613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5.1420000000000003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5.1479999999999997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5.1539999999999999</v>
      </c>
      <c r="N235" s="869">
        <f>Assy.Model!K80</f>
        <v>1613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5.16</v>
      </c>
      <c r="N236" s="869">
        <f>Assy.Model!K81</f>
        <v>1613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5.2240000000000002</v>
      </c>
      <c r="N237" s="869">
        <f>Assy.Model!K82</f>
        <v>1613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5.23</v>
      </c>
      <c r="N238" s="869">
        <f>Assy.Model!K83</f>
        <v>1613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5.2359999999999998</v>
      </c>
      <c r="N239" s="869">
        <f>Assy.Model!K84</f>
        <v>1613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5.242</v>
      </c>
      <c r="N240" s="869">
        <f>Assy.Model!K85</f>
        <v>1613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5.2480000000000002</v>
      </c>
      <c r="N241" s="869">
        <f>Assy.Model!K86</f>
        <v>1613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6.1109999999999998</v>
      </c>
      <c r="N242" s="869">
        <f>Assy.Model!K87</f>
        <v>1613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6.117</v>
      </c>
      <c r="N243" s="869">
        <f>Assy.Model!K88</f>
        <v>1613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6.1230000000000002</v>
      </c>
      <c r="N244" s="869">
        <f>Assy.Model!K89</f>
        <v>1613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6.1289999999999996</v>
      </c>
      <c r="N245" s="869">
        <f>Assy.Model!K90</f>
        <v>1613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6.1349999999999998</v>
      </c>
      <c r="N246" s="869">
        <f>Assy.Model!K91</f>
        <v>1613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6.141</v>
      </c>
      <c r="N247" s="869">
        <f>Assy.Model!K92</f>
        <v>1613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6.1470000000000002</v>
      </c>
      <c r="N248" s="869">
        <f>Assy.Model!K93</f>
        <v>1613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6.1529999999999996</v>
      </c>
      <c r="N249" s="869">
        <f>Assy.Model!K94</f>
        <v>1613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6.1589999999999998</v>
      </c>
      <c r="N250" s="869">
        <f>Assy.Model!K95</f>
        <v>1613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6.2229999999999999</v>
      </c>
      <c r="N251" s="869">
        <f>Assy.Model!K96</f>
        <v>1613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6.2290000000000001</v>
      </c>
      <c r="N252" s="869">
        <f>Assy.Model!K97</f>
        <v>1613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6.2350000000000003</v>
      </c>
      <c r="N253" s="869">
        <f>Assy.Model!K98</f>
        <v>1613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6.2409999999999997</v>
      </c>
      <c r="N254" s="869">
        <f>Assy.Model!K99</f>
        <v>1613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6.2469999999999999</v>
      </c>
      <c r="N255" s="869">
        <f>Assy.Model!K100</f>
        <v>1613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2023-03-28T18:12:39Z</dcterms:modified>
</cp:coreProperties>
</file>