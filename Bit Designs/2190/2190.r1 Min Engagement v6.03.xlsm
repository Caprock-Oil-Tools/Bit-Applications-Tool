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0\"/>
    </mc:Choice>
  </mc:AlternateContent>
  <xr:revisionPtr revIDLastSave="0" documentId="13_ncr:1_{80B052D7-DF47-4E0C-B30D-3AED80D5AF03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J14" i="1"/>
  <c r="IW14" i="1"/>
  <c r="IN14" i="1"/>
  <c r="IR14" i="1"/>
  <c r="IP14" i="1"/>
  <c r="IK14" i="1"/>
  <c r="IQ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127" i="1" l="1"/>
  <c r="IF89" i="1"/>
  <c r="IF98" i="1"/>
  <c r="IF130" i="1"/>
  <c r="IF150" i="1"/>
  <c r="IF56" i="1"/>
  <c r="IF58" i="1"/>
  <c r="IF139" i="1"/>
  <c r="IF112" i="1"/>
  <c r="IF123" i="1"/>
  <c r="IF62" i="1"/>
  <c r="IF21" i="1"/>
  <c r="IF113" i="1"/>
  <c r="IF31" i="1"/>
  <c r="IF149" i="1"/>
  <c r="IF29" i="1"/>
  <c r="IF143" i="1"/>
  <c r="IF137" i="1"/>
  <c r="IF114" i="1"/>
  <c r="IF11" i="1"/>
  <c r="IF82" i="1"/>
  <c r="IF117" i="1"/>
  <c r="IF132" i="1"/>
  <c r="IF78" i="1"/>
  <c r="IF136" i="1"/>
  <c r="IF92" i="1"/>
  <c r="IF10" i="1"/>
  <c r="IF121" i="1"/>
  <c r="IF46" i="1"/>
  <c r="IF20" i="1"/>
  <c r="IF118" i="1"/>
  <c r="IF44" i="1"/>
  <c r="IF67" i="1"/>
  <c r="IF76" i="1"/>
  <c r="IF135" i="1"/>
  <c r="IF68" i="1"/>
  <c r="IF144" i="1"/>
  <c r="IF105" i="1"/>
  <c r="IF88" i="1"/>
  <c r="IF55" i="1"/>
  <c r="IF115" i="1"/>
  <c r="IF131" i="1"/>
  <c r="IF12" i="1"/>
  <c r="IF126" i="1"/>
  <c r="IF27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9" i="1"/>
  <c r="IF116" i="1"/>
  <c r="IF79" i="1"/>
  <c r="IF106" i="1"/>
  <c r="IF134" i="1"/>
  <c r="IF57" i="1"/>
  <c r="IF69" i="1"/>
  <c r="IF125" i="1"/>
  <c r="IF87" i="1"/>
  <c r="IF39" i="1"/>
  <c r="IF95" i="1"/>
  <c r="IF107" i="1"/>
  <c r="IF146" i="1"/>
  <c r="IF28" i="1"/>
  <c r="IF90" i="1"/>
  <c r="IF122" i="1"/>
  <c r="IF91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70" i="1"/>
  <c r="IF101" i="1"/>
  <c r="IF38" i="1"/>
  <c r="IF73" i="1"/>
  <c r="IF66" i="1"/>
  <c r="IF99" i="1"/>
  <c r="IF81" i="1"/>
  <c r="IF74" i="1"/>
  <c r="IF37" i="1"/>
  <c r="IF104" i="1"/>
  <c r="IF48" i="1"/>
  <c r="IF63" i="1"/>
  <c r="IF71" i="1"/>
  <c r="IF93" i="1"/>
  <c r="IF65" i="1"/>
  <c r="IF23" i="1"/>
  <c r="IF47" i="1"/>
  <c r="IF142" i="1"/>
  <c r="IF148" i="1"/>
  <c r="IF22" i="1"/>
  <c r="IF50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34" i="1" l="1"/>
  <c r="IV30" i="1"/>
  <c r="IQ18" i="1"/>
  <c r="IV14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IP34" i="1" l="1"/>
  <c r="IU30" i="1"/>
  <c r="IE30" i="1" s="1"/>
  <c r="IP18" i="1"/>
  <c r="IU14" i="1"/>
  <c r="IE14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4" i="1" l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IS14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3" i="1" s="1"/>
  <c r="AK50" i="1"/>
  <c r="AL50" i="1"/>
  <c r="AN50" i="1" s="1"/>
  <c r="IT54" i="1" s="1"/>
  <c r="U50" i="1"/>
  <c r="T50" i="1"/>
  <c r="T49" i="1"/>
  <c r="AK49" i="1"/>
  <c r="AO49" i="1" s="1"/>
  <c r="IS53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IT42" i="1" s="1"/>
  <c r="AL38" i="1"/>
  <c r="AN38" i="1" s="1"/>
  <c r="IT41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6" i="1" s="1"/>
  <c r="AL22" i="1"/>
  <c r="AN22" i="1" s="1"/>
  <c r="IT25" i="1" s="1"/>
  <c r="U22" i="1"/>
  <c r="AK22" i="1"/>
  <c r="T22" i="1"/>
  <c r="AK21" i="1"/>
  <c r="AO21" i="1" s="1"/>
  <c r="IS24" i="1" s="1"/>
  <c r="T21" i="1"/>
  <c r="AL21" i="1"/>
  <c r="AN21" i="1" s="1"/>
  <c r="IT24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IT14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S34" i="1" l="1"/>
  <c r="IX30" i="1"/>
  <c r="IT34" i="1"/>
  <c r="IY30" i="1"/>
  <c r="IY26" i="1"/>
  <c r="IT30" i="1"/>
  <c r="IT18" i="1"/>
  <c r="IY14" i="1"/>
  <c r="IF25" i="1"/>
  <c r="IF43" i="1"/>
  <c r="IF41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1" i="1" s="1"/>
  <c r="AP47" i="1"/>
  <c r="AO48" i="1"/>
  <c r="IS52" i="1" s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IS43" i="1" s="1"/>
  <c r="AP40" i="1"/>
  <c r="AO39" i="1"/>
  <c r="IS42" i="1" s="1"/>
  <c r="AP39" i="1"/>
  <c r="AP37" i="1"/>
  <c r="AO37" i="1"/>
  <c r="AO38" i="1"/>
  <c r="IS41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IS35" i="1" s="1"/>
  <c r="AP31" i="1"/>
  <c r="AO32" i="1"/>
  <c r="IS36" i="1" s="1"/>
  <c r="AP32" i="1"/>
  <c r="AO29" i="1"/>
  <c r="IS33" i="1" s="1"/>
  <c r="AP29" i="1"/>
  <c r="AP30" i="1"/>
  <c r="AO27" i="1"/>
  <c r="AP27" i="1"/>
  <c r="AP28" i="1"/>
  <c r="AO28" i="1"/>
  <c r="AP25" i="1"/>
  <c r="AO26" i="1"/>
  <c r="AP26" i="1"/>
  <c r="AO24" i="1"/>
  <c r="IX24" i="1" s="1"/>
  <c r="IF24" i="1" s="1"/>
  <c r="AP24" i="1"/>
  <c r="AO23" i="1"/>
  <c r="IS26" i="1" s="1"/>
  <c r="AP23" i="1"/>
  <c r="AP21" i="1"/>
  <c r="AO22" i="1"/>
  <c r="IS25" i="1" s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IS19" i="1" s="1"/>
  <c r="AO16" i="1"/>
  <c r="AP16" i="1"/>
  <c r="AO13" i="1"/>
  <c r="IS17" i="1" s="1"/>
  <c r="AP13" i="1"/>
  <c r="AO14" i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30" i="1" l="1"/>
  <c r="IX26" i="1"/>
  <c r="IF26" i="1" s="1"/>
  <c r="IS30" i="1"/>
  <c r="IS18" i="1"/>
  <c r="IX14" i="1"/>
  <c r="IF14" i="1" s="1"/>
  <c r="IX16" i="1"/>
  <c r="IF16" i="1" s="1"/>
  <c r="AS13" i="1"/>
  <c r="BA35" i="7"/>
  <c r="IS5" i="1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<sst xmlns="http://schemas.openxmlformats.org/spreadsheetml/2006/main" count="704" uniqueCount="379">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</sst>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6.125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3.0625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K36" sqref="K36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6.125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1.113's θ about Z Axis</v>
      </c>
      <c r="U5" s="1130"/>
      <c r="V5" s="1175"/>
      <c r="W5" s="1130" t="str">
        <f>CONCATENATE("Relative to ",M8,"'s θ about Z Axis")</f>
        <v>Relative to 1.113's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1.113's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1.113</v>
      </c>
      <c r="N8" s="477"/>
      <c r="O8" s="478"/>
      <c r="P8" s="479"/>
      <c r="Q8" s="643">
        <f>IFERROR(INDEX(Q$9:Q$150,MATCH($M$8,$M$9:$M$150,0)),"")</f>
        <v>88.930900154358923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-0.49350148840048841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0.34330103539592277</v>
      </c>
      <c r="D9" s="767">
        <v>-0.31630095396367724</v>
      </c>
      <c r="E9" s="768">
        <v>-0.95371696400905348</v>
      </c>
      <c r="F9" s="766">
        <v>-6.5084628803148761E-2</v>
      </c>
      <c r="G9" s="769">
        <v>0.29357783236291934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0.34330103539592277</v>
      </c>
      <c r="P9" s="25">
        <f t="shared" ref="P9:P40" si="4">IF(M9="","",D9)</f>
        <v>-0.31630095396367724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0.34330103539592277</v>
      </c>
      <c r="S9" s="23">
        <f>IF(M9="","",P9)</f>
        <v>-0.31630095396367724</v>
      </c>
      <c r="T9" s="26">
        <f>IF(M9="","",X9*COS(RADIANS(W9)))</f>
        <v>0.34324127357996514</v>
      </c>
      <c r="U9" s="20">
        <f>IF(M9="","",X9*SIN(RADIANS(W9)))</f>
        <v>6.4053895366440279E-3</v>
      </c>
      <c r="V9" s="28">
        <f>IF(M9="","",Y9)</f>
        <v>-0.31630095396367724</v>
      </c>
      <c r="W9" s="620">
        <f t="shared" ref="W9:W14" si="5">IF(M9="","",IF(Q9-$Q$8&lt;0,360+Q9-$Q$8,Q9-$Q$8))</f>
        <v>1.0690998456410767</v>
      </c>
      <c r="X9" s="5">
        <f>IF(M9="","",R9)</f>
        <v>0.34330103539592277</v>
      </c>
      <c r="Y9" s="7">
        <f>IF(M9="","",S9)</f>
        <v>-0.31630095396367724</v>
      </c>
      <c r="Z9" s="24">
        <f t="shared" ref="Z9:Z40" si="6">IF(M9="","",-E9)</f>
        <v>0.95371696400905348</v>
      </c>
      <c r="AA9" s="20">
        <f t="shared" ref="AA9:AA40" si="7">IF(M9="","",-F9)</f>
        <v>6.5084628803148761E-2</v>
      </c>
      <c r="AB9" s="20">
        <f t="shared" ref="AB9:AB40" si="8">IF(M9="","",-G9)</f>
        <v>-0.29357783236291934</v>
      </c>
      <c r="AC9" s="28">
        <f>IF(M9="","",SQRT(Z9^2+AA9^2+AB9^2))</f>
        <v>1</v>
      </c>
      <c r="AD9" s="27">
        <f>IF(M9="","",Z9*(1/SQRT(Z9^2+AA9^2+AB9^2)))</f>
        <v>0.95371696400905348</v>
      </c>
      <c r="AE9" s="20">
        <f>IF(M9="","",AA9*(1/SQRT(Z9^2+AA9^2+AB9^2)))</f>
        <v>6.5084628803148761E-2</v>
      </c>
      <c r="AF9" s="25">
        <f>IF(M9="","",AB9*(1/SQRT(Z9^2+AA9^2+AB9^2)))</f>
        <v>-0.29357783236291934</v>
      </c>
      <c r="AG9" s="618">
        <f>IF(M9="","",DEGREES(ATAN2(-AF9,AE9)))</f>
        <v>12.49999819522356</v>
      </c>
      <c r="AH9" s="619">
        <f>IF(M9="","",DEGREES(ACOS(AD9)))</f>
        <v>17.499997473312952</v>
      </c>
      <c r="AI9" s="620">
        <f>IF(M9="","",DEGREES(-ACOS(-AF9)))</f>
        <v>-72.927722444134986</v>
      </c>
      <c r="AJ9" s="621">
        <f>IF(M9="","",DEGREES(ATAN2(-AE9,AD9)))</f>
        <v>93.903990264240576</v>
      </c>
      <c r="AK9" s="26">
        <f>IF(M9="","",(COS(RADIANS((90-$Q$8)-W9))*AD9)+(-SIN(RADIANS((90-$Q$8)-W9))*AE9))</f>
        <v>0.95371696400905348</v>
      </c>
      <c r="AL9" s="20">
        <f>IF(M9="","",(SIN(RADIANS((90-$Q$8)-W9))*AD9)+(COS(RADIANS((90-$Q$8)-W9))*AE9))</f>
        <v>6.5084628803148761E-2</v>
      </c>
      <c r="AM9" s="23">
        <f>IF(M9="","",AF9)</f>
        <v>-0.29357783236291934</v>
      </c>
      <c r="AN9" s="612">
        <f>IF(M9="","",DEGREES(ATAN2(-AM9,AL9)))</f>
        <v>12.49999819522356</v>
      </c>
      <c r="AO9" s="613">
        <f>IF(ROUND(IF(M9="",0,DEGREES(ACOS(AK9))),4)=90,0,IF(M9="","",DEGREES(ACOS(AK9))))</f>
        <v>17.499997473312952</v>
      </c>
      <c r="AP9" s="640">
        <f>IF(M9="","",DEGREES(ATAN2(AK9,AL9)))</f>
        <v>3.9039902642405786</v>
      </c>
      <c r="AQ9" s="641">
        <f t="shared" ref="AQ9:AQ40" si="9">IF(M9="","",DEGREES(ATAN(($AS$5*SIN(RADIANS(90)))/(($X9*2*PI())-($AS$5*COS(RADIANS(90)))))))</f>
        <v>32.231361998185271</v>
      </c>
      <c r="AS9" s="55">
        <f>IF(M9="","",W9)</f>
        <v>1.0690998456410767</v>
      </c>
      <c r="AT9" s="76">
        <f t="shared" ref="AT9:AT40" si="10">IF(M9="","",Y9+(((AS9-$AS$9)*$AS$6)*-1))</f>
        <v>-0.31630095396367724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1.0479031604759321</v>
      </c>
      <c r="D10" s="772">
        <v>-0.16010048286305631</v>
      </c>
      <c r="E10" s="773">
        <v>-0.95371696400905348</v>
      </c>
      <c r="F10" s="771">
        <v>-6.5084628803148761E-2</v>
      </c>
      <c r="G10" s="774">
        <v>0.29357783236291934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1.0479031604759321</v>
      </c>
      <c r="P10" s="10">
        <f t="shared" si="4"/>
        <v>-0.16010048286305631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1.0479031604759321</v>
      </c>
      <c r="S10" s="6">
        <f t="shared" ref="S10:S105" si="84">IF(M10="","",P10)</f>
        <v>-0.16010048286305631</v>
      </c>
      <c r="T10" s="4">
        <f t="shared" ref="T10:T105" si="85">IF(M10="","",X10*COS(RADIANS(W10)))</f>
        <v>1.0477207415800918</v>
      </c>
      <c r="U10" s="5">
        <f t="shared" ref="U10:U105" si="86">IF(M10="","",X10*SIN(RADIANS(W10)))</f>
        <v>1.9552017755459589E-2</v>
      </c>
      <c r="V10" s="8">
        <f>IF(M10="","",Y10)</f>
        <v>-0.16010048286305631</v>
      </c>
      <c r="W10" s="624">
        <f t="shared" si="5"/>
        <v>1.0690998456410767</v>
      </c>
      <c r="X10" s="5">
        <f t="shared" ref="X10:X105" si="87">IF(M10="","",R10)</f>
        <v>1.0479031604759321</v>
      </c>
      <c r="Y10" s="7">
        <f>IF(M10="","",S10)</f>
        <v>-0.16010048286305631</v>
      </c>
      <c r="Z10" s="21">
        <f t="shared" si="6"/>
        <v>0.95371696400905348</v>
      </c>
      <c r="AA10" s="5">
        <f t="shared" si="7"/>
        <v>6.5084628803148761E-2</v>
      </c>
      <c r="AB10" s="5">
        <f t="shared" si="8"/>
        <v>-0.29357783236291934</v>
      </c>
      <c r="AC10" s="8">
        <f t="shared" ref="AC10:AC105" si="88">IF(M10="","",SQRT(Z10^2+AA10^2+AB10^2))</f>
        <v>1</v>
      </c>
      <c r="AD10" s="9">
        <f>IF(M10="","",Z10*(1/SQRT(Z10^2+AA10^2+AB10^2)))</f>
        <v>0.95371696400905348</v>
      </c>
      <c r="AE10" s="5">
        <f t="shared" ref="AE10:AE105" si="89">IF(M10="","",AA10*(1/SQRT(Z10^2+AA10^2+AB10^2)))</f>
        <v>6.5084628803148761E-2</v>
      </c>
      <c r="AF10" s="10">
        <f t="shared" ref="AF10:AF105" si="90">IF(M10="","",AB10*(1/SQRT(Z10^2+AA10^2+AB10^2)))</f>
        <v>-0.29357783236291934</v>
      </c>
      <c r="AG10" s="622">
        <f t="shared" ref="AG10:AG105" si="91">IF(M10="","",DEGREES(ATAN2(-AF10,AE10)))</f>
        <v>12.49999819522356</v>
      </c>
      <c r="AH10" s="623">
        <f t="shared" ref="AH10:AH105" si="92">IF(M10="","",DEGREES(ACOS(AD10)))</f>
        <v>17.499997473312952</v>
      </c>
      <c r="AI10" s="624">
        <f t="shared" ref="AI10:AI105" si="93">IF(M10="","",DEGREES(-ACOS(-AF10)))</f>
        <v>-72.927722444134986</v>
      </c>
      <c r="AJ10" s="625">
        <f t="shared" ref="AJ10:AJ105" si="94">IF(M10="","",DEGREES(ATAN2(-AE10,AD10)))</f>
        <v>93.903990264240576</v>
      </c>
      <c r="AK10" s="4">
        <f>IF(M10="","",(COS(RADIANS((90-$Q$8)-W10))*AD10)+(-SIN(RADIANS((90-$Q$8)-W10))*AE10))</f>
        <v>0.95371696400905348</v>
      </c>
      <c r="AL10" s="5">
        <f t="shared" ref="AL10:AL105" si="95">IF(M10="","",(SIN(RADIANS((90-$Q$8)-W10))*AD10)+(COS(RADIANS((90-$Q$8)-W10))*AE10))</f>
        <v>6.5084628803148761E-2</v>
      </c>
      <c r="AM10" s="6">
        <f t="shared" ref="AM10:AM105" si="96">IF(M10="","",AF10)</f>
        <v>-0.29357783236291934</v>
      </c>
      <c r="AN10" s="612">
        <f t="shared" ref="AN10:AN105" si="97">IF(M10="","",DEGREES(ATAN2(-AM10,AL10)))</f>
        <v>12.49999819522356</v>
      </c>
      <c r="AO10" s="613">
        <f t="shared" ref="AO10:AO54" si="98">IF(ROUND(IF(M10="",0,DEGREES(ACOS(AK10))),4)=90,0,IF(M10="","",DEGREES(ACOS(AK10))))</f>
        <v>17.499997473312952</v>
      </c>
      <c r="AP10" s="624">
        <f t="shared" ref="AP10:AP105" si="99">IF(M10="","",DEGREES(ATAN2(AK10,AL10)))</f>
        <v>3.9039902642405786</v>
      </c>
      <c r="AQ10" s="625">
        <f t="shared" si="9"/>
        <v>11.670658651887029</v>
      </c>
      <c r="AS10" s="56">
        <f>IF($M10="","",IF(AND($W10&lt;($AS$9+180),$W10&gt;($AS$9-180)),$W10,IF($W10&gt;($AS$9+180),$W10-360,IF($W10&lt;($AS$9-180),$W10+360,"Error"))))</f>
        <v>1.0690998456410767</v>
      </c>
      <c r="AT10" s="77">
        <f t="shared" si="10"/>
        <v>-0.16010048286305631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5.355996177138716E-3</v>
      </c>
      <c r="C11" s="771">
        <v>1.8575978811054248</v>
      </c>
      <c r="D11" s="772">
        <v>-6.4000193024582167E-2</v>
      </c>
      <c r="E11" s="773">
        <v>-0.93913826552836133</v>
      </c>
      <c r="F11" s="771">
        <v>7.4174695122096165E-2</v>
      </c>
      <c r="G11" s="774">
        <v>0.3354361829378657</v>
      </c>
      <c r="H11" s="773">
        <v>0.314</v>
      </c>
      <c r="I11" s="771">
        <v>0.52</v>
      </c>
      <c r="J11" s="601">
        <v>1.1080000000000001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1"/>
        <v>1.1080000000000001</v>
      </c>
      <c r="N11" s="21">
        <f t="shared" si="2"/>
        <v>5.355996177138716E-3</v>
      </c>
      <c r="O11" s="5">
        <f t="shared" si="3"/>
        <v>1.8575978811054248</v>
      </c>
      <c r="P11" s="10">
        <f t="shared" si="4"/>
        <v>-6.4000193024582167E-2</v>
      </c>
      <c r="Q11" s="624">
        <f t="shared" ref="Q11:Q73" si="116">IF(M11="","",IF(DEGREES(ATAN2(N11,O11))&lt;0,DEGREES(ATAN2(N11,O11))+360,IF(DEGREES(ATAN2(N11,O11))&gt;360,DEGREES(ATAN2(N11,O11))-360,DEGREES(ATAN2(N11,O11)))))</f>
        <v>89.834800023851926</v>
      </c>
      <c r="R11" s="5">
        <f t="shared" si="83"/>
        <v>1.8576056025384973</v>
      </c>
      <c r="S11" s="6">
        <f t="shared" si="84"/>
        <v>-6.4000193024582167E-2</v>
      </c>
      <c r="T11" s="4">
        <f t="shared" si="85"/>
        <v>1.857374444025679</v>
      </c>
      <c r="U11" s="5">
        <f t="shared" si="86"/>
        <v>2.9304423944402053E-2</v>
      </c>
      <c r="V11" s="8">
        <f t="shared" ref="V11:V105" si="117">IF(M11="","",Y11)</f>
        <v>-6.4000193024582167E-2</v>
      </c>
      <c r="W11" s="624">
        <f t="shared" si="5"/>
        <v>0.90389986949300294</v>
      </c>
      <c r="X11" s="5">
        <f>IF(M11="","",R11)</f>
        <v>1.8576056025384973</v>
      </c>
      <c r="Y11" s="7">
        <f>IF(M11="","",S11)</f>
        <v>-6.4000193024582167E-2</v>
      </c>
      <c r="Z11" s="21">
        <f t="shared" si="6"/>
        <v>0.93913826552836133</v>
      </c>
      <c r="AA11" s="5">
        <f t="shared" si="7"/>
        <v>-7.4174695122096165E-2</v>
      </c>
      <c r="AB11" s="5">
        <f t="shared" si="8"/>
        <v>-0.3354361829378657</v>
      </c>
      <c r="AC11" s="8">
        <f t="shared" si="88"/>
        <v>1</v>
      </c>
      <c r="AD11" s="9">
        <f t="shared" ref="AD11:AD105" si="118">IF(M11="","",Z11*(1/SQRT(Z11^2+AA11^2+AB11^2)))</f>
        <v>0.93913826552836133</v>
      </c>
      <c r="AE11" s="5">
        <f t="shared" si="89"/>
        <v>-7.4174695122096165E-2</v>
      </c>
      <c r="AF11" s="10">
        <f t="shared" si="90"/>
        <v>-0.3354361829378657</v>
      </c>
      <c r="AG11" s="622">
        <f>IF(M11="","",DEGREES(ATAN2(-AF11,AE11)))</f>
        <v>-12.469108980266508</v>
      </c>
      <c r="AH11" s="623">
        <f t="shared" si="92"/>
        <v>20.092660688837874</v>
      </c>
      <c r="AI11" s="624">
        <f t="shared" si="93"/>
        <v>-70.400935820680388</v>
      </c>
      <c r="AJ11" s="625">
        <f t="shared" si="94"/>
        <v>85.484059200497398</v>
      </c>
      <c r="AK11" s="4">
        <f>IF(M11="","",(COS(RADIANS((90-$Q$8)-W11))*AD11)+(-SIN(RADIANS((90-$Q$8)-W11))*AE11))</f>
        <v>0.93934822822965724</v>
      </c>
      <c r="AL11" s="5">
        <f t="shared" si="95"/>
        <v>-7.14665886822555E-2</v>
      </c>
      <c r="AM11" s="6">
        <f t="shared" si="96"/>
        <v>-0.3354361829378657</v>
      </c>
      <c r="AN11" s="612">
        <f>IF(M11="","",DEGREES(ATAN2(-AM11,AL11)))</f>
        <v>-12.027359164743469</v>
      </c>
      <c r="AO11" s="613">
        <f>IF(ROUND(IF(M11="",0,DEGREES(ACOS(AK11))),4)=90,0,IF(M11="","",DEGREES(ACOS(AK11))))</f>
        <v>20.057613634609702</v>
      </c>
      <c r="AP11" s="624">
        <f t="shared" si="99"/>
        <v>-4.3507408233545268</v>
      </c>
      <c r="AQ11" s="625">
        <f t="shared" si="9"/>
        <v>6.6462109869412886</v>
      </c>
      <c r="AS11" s="56">
        <f t="shared" ref="AS11:AS42" si="119">IF(G11="","",IF(AND(W11&lt;(AS10+180),W11&gt;(AS10-180)),W11,IF(W11&gt;(AS10+180),W11-360,IF(W11&lt;(AS10-180),W11+360,"Error"))))</f>
        <v>0.90389986949300294</v>
      </c>
      <c r="AT11" s="77">
        <f t="shared" si="10"/>
        <v>-6.3376104225800561E-2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1.1080000000000001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4.7936868038292661E-2</v>
      </c>
      <c r="C12" s="771">
        <v>2.5687605012573442</v>
      </c>
      <c r="D12" s="772">
        <v>-0.49350148840048841</v>
      </c>
      <c r="E12" s="773">
        <v>-0.91194882607087047</v>
      </c>
      <c r="F12" s="771">
        <v>0.34282152626963336</v>
      </c>
      <c r="G12" s="774">
        <v>0.2254389934197733</v>
      </c>
      <c r="H12" s="773">
        <v>0.314</v>
      </c>
      <c r="I12" s="771">
        <v>0.52</v>
      </c>
      <c r="J12" s="601">
        <v>1.113</v>
      </c>
      <c r="K12" s="426" t="str">
        <f t="shared" si="82"/>
        <v>1613</v>
      </c>
      <c r="L12" s="858" t="s">
        <v>377</v>
      </c>
      <c r="M12" s="173">
        <f t="shared" si="1"/>
        <v>1.113</v>
      </c>
      <c r="N12" s="21">
        <f t="shared" si="2"/>
        <v>4.7936868038292661E-2</v>
      </c>
      <c r="O12" s="5">
        <f t="shared" si="3"/>
        <v>2.5687605012573442</v>
      </c>
      <c r="P12" s="10">
        <f t="shared" si="4"/>
        <v>-0.49350148840048841</v>
      </c>
      <c r="Q12" s="624">
        <f>IF(M12="","",IF(DEGREES(ATAN2(N12,O12))&lt;0,DEGREES(ATAN2(N12,O12))+360,IF(DEGREES(ATAN2(N12,O12))&gt;360,DEGREES(ATAN2(N12,O12))-360,DEGREES(ATAN2(N12,O12)))))</f>
        <v>88.930900154358923</v>
      </c>
      <c r="R12" s="5">
        <f t="shared" si="83"/>
        <v>2.56920774873057</v>
      </c>
      <c r="S12" s="6">
        <f t="shared" si="84"/>
        <v>-0.49350148840048841</v>
      </c>
      <c r="T12" s="4">
        <f>IF(M12="","",X12*COS(RADIANS(W12)))</f>
        <v>2.56920774873057</v>
      </c>
      <c r="U12" s="5">
        <f t="shared" si="86"/>
        <v>0</v>
      </c>
      <c r="V12" s="8">
        <f t="shared" si="117"/>
        <v>-0.49350148840048841</v>
      </c>
      <c r="W12" s="624">
        <f>IF(M12="","",IF(Q12-$Q$8&lt;0,360+Q12-$Q$8,Q12-$Q$8))</f>
        <v>0</v>
      </c>
      <c r="X12" s="5">
        <f t="shared" si="87"/>
        <v>2.56920774873057</v>
      </c>
      <c r="Y12" s="7">
        <f>IF(M12="","",S12)</f>
        <v>-0.49350148840048841</v>
      </c>
      <c r="Z12" s="21">
        <f t="shared" si="6"/>
        <v>0.91194882607087047</v>
      </c>
      <c r="AA12" s="5">
        <f t="shared" si="7"/>
        <v>-0.34282152626963336</v>
      </c>
      <c r="AB12" s="5">
        <f t="shared" si="8"/>
        <v>-0.2254389934197733</v>
      </c>
      <c r="AC12" s="8">
        <f t="shared" si="88"/>
        <v>1</v>
      </c>
      <c r="AD12" s="9">
        <f t="shared" si="118"/>
        <v>0.91194882607087047</v>
      </c>
      <c r="AE12" s="5">
        <f t="shared" si="89"/>
        <v>-0.34282152626963336</v>
      </c>
      <c r="AF12" s="10">
        <f t="shared" si="90"/>
        <v>-0.2254389934197733</v>
      </c>
      <c r="AG12" s="622">
        <f t="shared" si="91"/>
        <v>-56.671131776225351</v>
      </c>
      <c r="AH12" s="623">
        <f t="shared" si="92"/>
        <v>24.223930448102294</v>
      </c>
      <c r="AI12" s="624">
        <f t="shared" si="93"/>
        <v>-76.9713061103174</v>
      </c>
      <c r="AJ12" s="625">
        <f t="shared" si="94"/>
        <v>69.397660520945621</v>
      </c>
      <c r="AK12" s="4">
        <f t="shared" ref="AK12:AK105" si="213">IF(M12="","",(COS(RADIANS((90-$Q$8)-W12))*AD12)+(-SIN(RADIANS((90-$Q$8)-W12))*AE12))</f>
        <v>0.91818651683963781</v>
      </c>
      <c r="AL12" s="5">
        <f>IF(M12="","",(SIN(RADIANS((90-$Q$8)-W12))*AD12)+(COS(RADIANS((90-$Q$8)-W12))*AE12))</f>
        <v>-0.3257464973561085</v>
      </c>
      <c r="AM12" s="6">
        <f t="shared" si="96"/>
        <v>-0.2254389934197733</v>
      </c>
      <c r="AN12" s="612">
        <f>IF(M12="","",DEGREES(ATAN2(-AM12,AL12)))</f>
        <v>-55.314099566934516</v>
      </c>
      <c r="AO12" s="613">
        <f t="shared" si="98"/>
        <v>23.337613374385203</v>
      </c>
      <c r="AP12" s="624">
        <f t="shared" si="99"/>
        <v>-19.533239633413299</v>
      </c>
      <c r="AQ12" s="625">
        <f t="shared" si="9"/>
        <v>4.8156852480613832</v>
      </c>
      <c r="AS12" s="56">
        <f t="shared" si="119"/>
        <v>0</v>
      </c>
      <c r="AT12" s="77">
        <f>IF(M12="","",Y12+(((AS12-$AS$9)*$AS$6)*-1))</f>
        <v>-0.48946266676139988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1.113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7.9401439236952254E-2</v>
      </c>
      <c r="C13" s="771">
        <v>2.8746122841532085</v>
      </c>
      <c r="D13" s="772">
        <v>-1.2311037130087985</v>
      </c>
      <c r="E13" s="773">
        <v>-0.8030027197374896</v>
      </c>
      <c r="F13" s="771">
        <v>0.59597536198586087</v>
      </c>
      <c r="G13" s="774">
        <v>1.3008419220134666E-7</v>
      </c>
      <c r="H13" s="773">
        <v>0.26600000000000001</v>
      </c>
      <c r="I13" s="771">
        <v>0.52</v>
      </c>
      <c r="J13" s="601">
        <v>1.1180000000000001</v>
      </c>
      <c r="K13" s="426" t="str">
        <f t="shared" si="82"/>
        <v>1313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1.1180000000000001</v>
      </c>
      <c r="N13" s="21">
        <f t="shared" si="2"/>
        <v>7.9401439236952254E-2</v>
      </c>
      <c r="O13" s="5">
        <f t="shared" si="3"/>
        <v>2.8746122841532085</v>
      </c>
      <c r="P13" s="10">
        <f t="shared" si="4"/>
        <v>-1.2311037130087985</v>
      </c>
      <c r="Q13" s="624">
        <f t="shared" si="116"/>
        <v>88.417800228441379</v>
      </c>
      <c r="R13" s="5">
        <f t="shared" si="83"/>
        <v>2.8757086731373582</v>
      </c>
      <c r="S13" s="6">
        <f t="shared" si="84"/>
        <v>-1.2311037130087985</v>
      </c>
      <c r="T13" s="4">
        <f>IF(M13="","",X13*COS(RADIANS(W13)))</f>
        <v>2.8755933621666179</v>
      </c>
      <c r="U13" s="5">
        <f t="shared" si="86"/>
        <v>-2.5752441063147571E-2</v>
      </c>
      <c r="V13" s="8">
        <f t="shared" si="117"/>
        <v>-1.2311037130087985</v>
      </c>
      <c r="W13" s="624">
        <f t="shared" si="5"/>
        <v>359.48690007408243</v>
      </c>
      <c r="X13" s="5">
        <f t="shared" si="87"/>
        <v>2.8757086731373582</v>
      </c>
      <c r="Y13" s="7">
        <f>IF(M13="","",S13)</f>
        <v>-1.2311037130087985</v>
      </c>
      <c r="Z13" s="21">
        <f t="shared" si="6"/>
        <v>0.8030027197374896</v>
      </c>
      <c r="AA13" s="5">
        <f t="shared" si="7"/>
        <v>-0.59597536198586087</v>
      </c>
      <c r="AB13" s="5">
        <f t="shared" si="8"/>
        <v>-1.3008419220134666E-7</v>
      </c>
      <c r="AC13" s="8">
        <f t="shared" si="88"/>
        <v>1</v>
      </c>
      <c r="AD13" s="9">
        <f>IF(M13="","",Z13*(1/SQRT(Z13^2+AA13^2+AB13^2)))</f>
        <v>0.8030027197374896</v>
      </c>
      <c r="AE13" s="5">
        <f t="shared" si="89"/>
        <v>-0.59597536198586087</v>
      </c>
      <c r="AF13" s="10">
        <f t="shared" si="90"/>
        <v>-1.3008419220134666E-7</v>
      </c>
      <c r="AG13" s="622">
        <f>IF(M13="","",DEGREES(ATAN2(-AF13,AE13)))</f>
        <v>-89.999987493987717</v>
      </c>
      <c r="AH13" s="623">
        <f t="shared" si="92"/>
        <v>36.582194718184532</v>
      </c>
      <c r="AI13" s="624">
        <f t="shared" si="93"/>
        <v>-89.999992546724798</v>
      </c>
      <c r="AJ13" s="625">
        <f t="shared" si="94"/>
        <v>53.417805281816108</v>
      </c>
      <c r="AK13" s="4">
        <f t="shared" si="213"/>
        <v>0.81915209487729213</v>
      </c>
      <c r="AL13" s="5">
        <f t="shared" si="95"/>
        <v>-0.57357636410344437</v>
      </c>
      <c r="AM13" s="6">
        <f t="shared" si="96"/>
        <v>-1.3008419220134666E-7</v>
      </c>
      <c r="AN13" s="612">
        <f t="shared" si="97"/>
        <v>-89.999987005609611</v>
      </c>
      <c r="AO13" s="613">
        <f t="shared" si="98"/>
        <v>34.999994946625939</v>
      </c>
      <c r="AP13" s="624">
        <f t="shared" si="99"/>
        <v>-34.99999494662525</v>
      </c>
      <c r="AQ13" s="625">
        <f t="shared" si="9"/>
        <v>4.3044596916256195</v>
      </c>
      <c r="AS13" s="56">
        <f t="shared" si="119"/>
        <v>-0.51309992591757236</v>
      </c>
      <c r="AT13" s="77">
        <f t="shared" si="10"/>
        <v>-1.2251265138717993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</v>
      </c>
      <c r="B14" s="770">
        <v>0.87658753203087503</v>
      </c>
      <c r="C14" s="771">
        <v>1.6479277278021562</v>
      </c>
      <c r="D14" s="772">
        <v>-1.6115675284063904E-2</v>
      </c>
      <c r="E14" s="773">
        <v>6.1298231882969706E-2</v>
      </c>
      <c r="F14" s="771">
        <v>0.11523718467564427</v>
      </c>
      <c r="G14" s="774">
        <v>0.99144486384067432</v>
      </c>
      <c r="H14" s="773">
        <v>0.19500000000000001</v>
      </c>
      <c r="I14" s="771">
        <v>0.21199999999999999</v>
      </c>
      <c r="J14" s="601">
        <v>1.208</v>
      </c>
      <c r="K14" s="426" t="str">
        <f t="shared" si="82"/>
        <v>Knuckle</v>
      </c>
      <c r="L14" s="327"/>
      <c r="M14" s="173">
        <f t="shared" si="1"/>
        <v>1.208</v>
      </c>
      <c r="N14" s="21">
        <f t="shared" si="2"/>
        <v>0.87658753203087503</v>
      </c>
      <c r="O14" s="5">
        <f t="shared" si="3"/>
        <v>1.6479277278021562</v>
      </c>
      <c r="P14" s="10">
        <f t="shared" si="4"/>
        <v>-1.6115675284063904E-2</v>
      </c>
      <c r="Q14" s="624">
        <f t="shared" si="116"/>
        <v>61.990004044143049</v>
      </c>
      <c r="R14" s="5">
        <f t="shared" si="83"/>
        <v>1.8665667674560045</v>
      </c>
      <c r="S14" s="6">
        <f t="shared" si="84"/>
        <v>-1.6115675284063904E-2</v>
      </c>
      <c r="T14" s="4">
        <f t="shared" si="85"/>
        <v>1.6639964281067758</v>
      </c>
      <c r="U14" s="5">
        <f t="shared" si="86"/>
        <v>-0.84568752185369822</v>
      </c>
      <c r="V14" s="8">
        <f t="shared" si="117"/>
        <v>-1.6115675284063904E-2</v>
      </c>
      <c r="W14" s="624">
        <f t="shared" si="5"/>
        <v>333.05910388978413</v>
      </c>
      <c r="X14" s="5">
        <f t="shared" si="87"/>
        <v>1.8665667674560045</v>
      </c>
      <c r="Y14" s="7">
        <f t="shared" ref="Y14:Y75" si="225">IF(M14="","",S14)</f>
        <v>-1.6115675284063904E-2</v>
      </c>
      <c r="Z14" s="21">
        <f t="shared" si="6"/>
        <v>-6.1298231882969706E-2</v>
      </c>
      <c r="AA14" s="5">
        <f t="shared" si="7"/>
        <v>-0.11523718467564427</v>
      </c>
      <c r="AB14" s="5">
        <f t="shared" si="8"/>
        <v>-0.99144486384067432</v>
      </c>
      <c r="AC14" s="8">
        <f t="shared" si="88"/>
        <v>1</v>
      </c>
      <c r="AD14" s="9">
        <f>IF(M14="","",Z14*(1/SQRT(Z14^2+AA14^2+AB14^2)))</f>
        <v>-6.1298231882969706E-2</v>
      </c>
      <c r="AE14" s="5">
        <f t="shared" si="89"/>
        <v>-0.11523718467564427</v>
      </c>
      <c r="AF14" s="10">
        <f t="shared" si="90"/>
        <v>-0.99144486384067432</v>
      </c>
      <c r="AG14" s="622">
        <f t="shared" si="91"/>
        <v>-6.629828890881865</v>
      </c>
      <c r="AH14" s="623">
        <f t="shared" si="92"/>
        <v>93.514333161556053</v>
      </c>
      <c r="AI14" s="624">
        <f t="shared" si="93"/>
        <v>-7.4999989171453043</v>
      </c>
      <c r="AJ14" s="625">
        <f t="shared" si="94"/>
        <v>-28.009896401951014</v>
      </c>
      <c r="AK14" s="4">
        <f>IF(M14="","",(COS(RADIANS((90-$Q$8)-W14))*AD14)+(-SIN(RADIANS((90-$Q$8)-W14))*AE14))</f>
        <v>2.2679489668914199E-7</v>
      </c>
      <c r="AL14" s="5">
        <f t="shared" si="95"/>
        <v>-0.13052617348216192</v>
      </c>
      <c r="AM14" s="6">
        <f t="shared" si="96"/>
        <v>-0.99144486384067432</v>
      </c>
      <c r="AN14" s="612">
        <f t="shared" si="97"/>
        <v>-7.499998917134131</v>
      </c>
      <c r="AO14" s="613">
        <f t="shared" si="98"/>
        <v>0</v>
      </c>
      <c r="AP14" s="624">
        <f>IF(M14="","",DEGREES(ATAN2(AK14,AL14)))</f>
        <v>-89.999900446094074</v>
      </c>
      <c r="AQ14" s="625">
        <f t="shared" si="9"/>
        <v>6.6145867436163917</v>
      </c>
      <c r="AS14" s="56">
        <f t="shared" si="119"/>
        <v>-26.940896110215874</v>
      </c>
      <c r="AT14" s="77">
        <f t="shared" si="10"/>
        <v>8.9699864993617914E-2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>
        <f>IFERROR(IF($IU14="","",IF($IU14&lt;(((Settings!$C$19/2)*-1)*$IE$8),"",1)),"")</f>
        <v>1</v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1.208</v>
      </c>
      <c r="IH14" s="797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>1.1080000000000001</v>
      </c>
      <c r="II14" s="800" cm="1">
        <f t="array" ref="II14">IFERROR(IF($IH14&lt;1,$IH14+LARGE((IF($M$9:$M$150="",0,$M$9:$M$150)-MOD(IF($M$9:$M$150="",0,$M$9:$M$150),1)),1),$IH14),"")</f>
        <v>1.1080000000000001</v>
      </c>
      <c r="IJ14" s="839" t="str">
        <f t="shared" si="67"/>
        <v>1613</v>
      </c>
      <c r="IK14" s="839" t="str">
        <f t="shared" si="68"/>
        <v>Knuckle</v>
      </c>
      <c r="IL14" s="791">
        <f t="shared" si="69"/>
        <v>27.844795979708863</v>
      </c>
      <c r="IM14" s="830">
        <v>5.1246870338307098E-2</v>
      </c>
      <c r="IN14" s="5">
        <f t="shared" si="70"/>
        <v>0.66</v>
      </c>
      <c r="IO14" s="852">
        <v>330</v>
      </c>
      <c r="IP14" s="9">
        <f t="shared" si="71"/>
        <v>-1.8576056025384973</v>
      </c>
      <c r="IQ14" s="5">
        <f t="shared" si="72"/>
        <v>-6.4000193024582167E-2</v>
      </c>
      <c r="IR14" s="5">
        <f t="shared" si="73"/>
        <v>0.314</v>
      </c>
      <c r="IS14" s="5">
        <f t="shared" si="74"/>
        <v>0.29495534366411236</v>
      </c>
      <c r="IT14" s="791">
        <f t="shared" si="75"/>
        <v>12.027359164743469</v>
      </c>
      <c r="IU14" s="9">
        <f t="shared" si="76"/>
        <v>-1.8665667674560045</v>
      </c>
      <c r="IV14" s="5">
        <f t="shared" si="77"/>
        <v>-1.6115675284063904E-2</v>
      </c>
      <c r="IW14" s="5">
        <f t="shared" si="78"/>
        <v>0.19500000000000001</v>
      </c>
      <c r="IX14" s="5">
        <f t="shared" si="79"/>
        <v>0.19500000000000001</v>
      </c>
      <c r="IY14" s="833">
        <f t="shared" si="80"/>
        <v>7.499998917134131</v>
      </c>
    </row>
    <row r="15" spans="1:259" ht="15" customHeight="1" x14ac:dyDescent="0.25">
      <c r="A15" s="84">
        <f t="shared" si="81"/>
        <v>0.02</v>
      </c>
      <c r="B15" s="770">
        <v>1.5869005763921598</v>
      </c>
      <c r="C15" s="771">
        <v>0.57600606944724175</v>
      </c>
      <c r="D15" s="772">
        <v>-4.8900147482844811E-2</v>
      </c>
      <c r="E15" s="773">
        <v>-0.30659018162712687</v>
      </c>
      <c r="F15" s="771">
        <v>0.88828522092283457</v>
      </c>
      <c r="G15" s="774">
        <v>0.34198220249000721</v>
      </c>
      <c r="H15" s="773">
        <v>0.314</v>
      </c>
      <c r="I15" s="771">
        <v>0.52</v>
      </c>
      <c r="J15" s="601">
        <v>2.1070000000000002</v>
      </c>
      <c r="K15" s="426" t="str">
        <f t="shared" si="82"/>
        <v>1613</v>
      </c>
      <c r="L15" s="327"/>
      <c r="M15" s="173">
        <f t="shared" si="1"/>
        <v>2.1070000000000002</v>
      </c>
      <c r="N15" s="21">
        <f t="shared" si="2"/>
        <v>1.5869005763921598</v>
      </c>
      <c r="O15" s="5">
        <f t="shared" si="3"/>
        <v>0.57600606944724175</v>
      </c>
      <c r="P15" s="10">
        <f t="shared" si="4"/>
        <v>-4.8900147482844811E-2</v>
      </c>
      <c r="Q15" s="624">
        <f t="shared" si="116"/>
        <v>19.949658136448921</v>
      </c>
      <c r="R15" s="5">
        <f t="shared" si="83"/>
        <v>1.6882050916265565</v>
      </c>
      <c r="S15" s="6">
        <f t="shared" si="84"/>
        <v>-4.8900147482844811E-2</v>
      </c>
      <c r="T15" s="4">
        <f t="shared" si="85"/>
        <v>0.60551455364776519</v>
      </c>
      <c r="U15" s="5">
        <f t="shared" si="86"/>
        <v>-1.5758770753820166</v>
      </c>
      <c r="V15" s="8">
        <f t="shared" si="117"/>
        <v>-4.8900147482844811E-2</v>
      </c>
      <c r="W15" s="624">
        <f t="shared" ref="W15:W78" si="226">IF(M15="","",IF(Q15-$Q$8&lt;0,360+Q15-$Q$8,Q15-$Q$8))</f>
        <v>291.01875798208999</v>
      </c>
      <c r="X15" s="5">
        <f>IF(M15="","",R15)</f>
        <v>1.6882050916265565</v>
      </c>
      <c r="Y15" s="7">
        <f>IF(M15="","",S15)</f>
        <v>-4.8900147482844811E-2</v>
      </c>
      <c r="Z15" s="21">
        <f t="shared" si="6"/>
        <v>0.30659018162712687</v>
      </c>
      <c r="AA15" s="5">
        <f t="shared" si="7"/>
        <v>-0.88828522092283457</v>
      </c>
      <c r="AB15" s="5">
        <f t="shared" si="8"/>
        <v>-0.34198220249000721</v>
      </c>
      <c r="AC15" s="8">
        <f t="shared" si="88"/>
        <v>1</v>
      </c>
      <c r="AD15" s="9">
        <f t="shared" si="118"/>
        <v>0.30659018162712687</v>
      </c>
      <c r="AE15" s="5">
        <f t="shared" si="89"/>
        <v>-0.88828522092283457</v>
      </c>
      <c r="AF15" s="10">
        <f t="shared" si="90"/>
        <v>-0.34198220249000721</v>
      </c>
      <c r="AG15" s="622">
        <f t="shared" si="91"/>
        <v>-68.943721765616814</v>
      </c>
      <c r="AH15" s="623">
        <f t="shared" si="92"/>
        <v>72.146141351898365</v>
      </c>
      <c r="AI15" s="624">
        <f t="shared" si="93"/>
        <v>-70.002313345592313</v>
      </c>
      <c r="AJ15" s="625">
        <f t="shared" si="94"/>
        <v>19.042029942686234</v>
      </c>
      <c r="AK15" s="4">
        <f t="shared" si="213"/>
        <v>0.93958852653675318</v>
      </c>
      <c r="AL15" s="5">
        <f t="shared" si="95"/>
        <v>-1.4885361284724452E-2</v>
      </c>
      <c r="AM15" s="6">
        <f t="shared" si="96"/>
        <v>-0.34198220249000721</v>
      </c>
      <c r="AN15" s="612">
        <f>IF(M15="","",DEGREES(ATAN2(-AM15,AL15)))</f>
        <v>-2.4923237985217352</v>
      </c>
      <c r="AO15" s="613">
        <f t="shared" si="98"/>
        <v>20.017430756138893</v>
      </c>
      <c r="AP15" s="624">
        <f t="shared" si="99"/>
        <v>-0.90762819376270654</v>
      </c>
      <c r="AQ15" s="625">
        <f t="shared" si="9"/>
        <v>7.306232749924698</v>
      </c>
      <c r="AS15" s="56">
        <f t="shared" si="119"/>
        <v>-68.981242017910006</v>
      </c>
      <c r="AT15" s="77">
        <f t="shared" si="10"/>
        <v>0.21573447733501483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2.1070000000000002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2.3211029261600076</v>
      </c>
      <c r="C16" s="771">
        <v>0.80400159379611991</v>
      </c>
      <c r="D16" s="772">
        <v>-0.36610110416093011</v>
      </c>
      <c r="E16" s="773">
        <v>-3.9440170680419009E-2</v>
      </c>
      <c r="F16" s="771">
        <v>0.96552640679719037</v>
      </c>
      <c r="G16" s="774">
        <v>0.25729988479205773</v>
      </c>
      <c r="H16" s="773">
        <v>0.314</v>
      </c>
      <c r="I16" s="771">
        <v>0.52</v>
      </c>
      <c r="J16" s="601">
        <v>2.1120000000000001</v>
      </c>
      <c r="K16" s="426" t="str">
        <f t="shared" si="82"/>
        <v>1613</v>
      </c>
      <c r="L16" s="327"/>
      <c r="M16" s="173">
        <f t="shared" si="1"/>
        <v>2.1120000000000001</v>
      </c>
      <c r="N16" s="21">
        <f t="shared" si="2"/>
        <v>2.3211029261600076</v>
      </c>
      <c r="O16" s="5">
        <f t="shared" si="3"/>
        <v>0.80400159379611991</v>
      </c>
      <c r="P16" s="10">
        <f t="shared" si="4"/>
        <v>-0.36610110416093011</v>
      </c>
      <c r="Q16" s="624">
        <f>IF(M16="","",IF(DEGREES(ATAN2(N16,O16))&lt;0,DEGREES(ATAN2(N16,O16))+360,IF(DEGREES(ATAN2(N16,O16))&gt;360,DEGREES(ATAN2(N16,O16))-360,DEGREES(ATAN2(N16,O16)))))</f>
        <v>19.105458258336302</v>
      </c>
      <c r="R16" s="5">
        <f t="shared" si="83"/>
        <v>2.4564074085247447</v>
      </c>
      <c r="S16" s="6">
        <f t="shared" si="84"/>
        <v>-0.36610110416093011</v>
      </c>
      <c r="T16" s="4">
        <f t="shared" si="85"/>
        <v>0.84716930456148198</v>
      </c>
      <c r="U16" s="5">
        <f t="shared" si="86"/>
        <v>-2.3056976224266847</v>
      </c>
      <c r="V16" s="8">
        <f t="shared" si="117"/>
        <v>-0.36610110416093011</v>
      </c>
      <c r="W16" s="624">
        <f>IF(M16="","",IF(Q16-$Q$8&lt;0,360+Q16-$Q$8,Q16-$Q$8))</f>
        <v>290.17455810397735</v>
      </c>
      <c r="X16" s="5">
        <f t="shared" si="87"/>
        <v>2.4564074085247447</v>
      </c>
      <c r="Y16" s="7">
        <f t="shared" si="225"/>
        <v>-0.36610110416093011</v>
      </c>
      <c r="Z16" s="21">
        <f t="shared" si="6"/>
        <v>3.9440170680419009E-2</v>
      </c>
      <c r="AA16" s="5">
        <f t="shared" si="7"/>
        <v>-0.96552640679719037</v>
      </c>
      <c r="AB16" s="5">
        <f t="shared" si="8"/>
        <v>-0.25729988479205773</v>
      </c>
      <c r="AC16" s="8">
        <f t="shared" si="88"/>
        <v>1</v>
      </c>
      <c r="AD16" s="9">
        <f t="shared" si="118"/>
        <v>3.9440170680419009E-2</v>
      </c>
      <c r="AE16" s="5">
        <f t="shared" si="89"/>
        <v>-0.96552640679719037</v>
      </c>
      <c r="AF16" s="10">
        <f t="shared" si="90"/>
        <v>-0.25729988479205773</v>
      </c>
      <c r="AG16" s="622">
        <f t="shared" si="91"/>
        <v>-75.078213400275757</v>
      </c>
      <c r="AH16" s="623">
        <f t="shared" si="92"/>
        <v>87.739658414507247</v>
      </c>
      <c r="AI16" s="624">
        <f t="shared" si="93"/>
        <v>-75.090093022684712</v>
      </c>
      <c r="AJ16" s="625">
        <f t="shared" si="94"/>
        <v>2.3391382119600967</v>
      </c>
      <c r="AK16" s="4">
        <f t="shared" si="213"/>
        <v>0.9252521061045601</v>
      </c>
      <c r="AL16" s="5">
        <f t="shared" si="95"/>
        <v>-0.2787567208787437</v>
      </c>
      <c r="AM16" s="6">
        <f t="shared" si="96"/>
        <v>-0.25729988479205773</v>
      </c>
      <c r="AN16" s="612">
        <f t="shared" si="97"/>
        <v>-47.292165049030714</v>
      </c>
      <c r="AO16" s="613">
        <f t="shared" si="98"/>
        <v>22.293598817239879</v>
      </c>
      <c r="AP16" s="624">
        <f t="shared" si="99"/>
        <v>-16.766320046376183</v>
      </c>
      <c r="AQ16" s="625">
        <f t="shared" si="9"/>
        <v>5.0357133620415224</v>
      </c>
      <c r="AS16" s="56">
        <f t="shared" si="119"/>
        <v>-69.825441896022653</v>
      </c>
      <c r="AT16" s="77">
        <f t="shared" si="10"/>
        <v>-9.827727980353379E-2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2.1120000000000001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2.6517270827931383</v>
      </c>
      <c r="C17" s="771">
        <v>0.89003319127206793</v>
      </c>
      <c r="D17" s="772">
        <v>-1.1242033905974262</v>
      </c>
      <c r="E17" s="773">
        <v>0.20213695838012077</v>
      </c>
      <c r="F17" s="771">
        <v>0.97816370830888244</v>
      </c>
      <c r="G17" s="774">
        <v>4.8336423163584198E-2</v>
      </c>
      <c r="H17" s="773">
        <v>0.314</v>
      </c>
      <c r="I17" s="771">
        <v>0.52</v>
      </c>
      <c r="J17" s="601">
        <v>2.117</v>
      </c>
      <c r="K17" s="426" t="str">
        <f t="shared" si="82"/>
        <v>1613</v>
      </c>
      <c r="L17" s="861" t="s">
        <v>332</v>
      </c>
      <c r="M17" s="173">
        <f t="shared" si="1"/>
        <v>2.117</v>
      </c>
      <c r="N17" s="21">
        <f t="shared" si="2"/>
        <v>2.6517270827931383</v>
      </c>
      <c r="O17" s="5">
        <f t="shared" si="3"/>
        <v>0.89003319127206793</v>
      </c>
      <c r="P17" s="10">
        <f t="shared" si="4"/>
        <v>-1.1242033905974262</v>
      </c>
      <c r="Q17" s="624">
        <f>IF(M17="","",IF(DEGREES(ATAN2(N17,O17))&lt;0,DEGREES(ATAN2(N17,O17))+360,IF(DEGREES(ATAN2(N17,O17))&gt;360,DEGREES(ATAN2(N17,O17))-360,DEGREES(ATAN2(N17,O17)))))</f>
        <v>18.553958337963049</v>
      </c>
      <c r="R17" s="5">
        <f>IF(M17="","",SQRT(N17^2+O17^2))</f>
        <v>2.7971084360790428</v>
      </c>
      <c r="S17" s="6">
        <f>IF(M17="","",P17)</f>
        <v>-1.1242033905974262</v>
      </c>
      <c r="T17" s="4">
        <f>IF(M17="","",X17*COS(RADIANS(W17)))</f>
        <v>0.93935478708624176</v>
      </c>
      <c r="U17" s="5">
        <f>IF(M17="","",X17*SIN(RADIANS(W17)))</f>
        <v>-2.6346590267362324</v>
      </c>
      <c r="V17" s="8">
        <f>IF(M17="","",Y17)</f>
        <v>-1.1242033905974262</v>
      </c>
      <c r="W17" s="624">
        <f t="shared" si="226"/>
        <v>289.62305818360409</v>
      </c>
      <c r="X17" s="5">
        <f>IF(M17="","",R17)</f>
        <v>2.7971084360790428</v>
      </c>
      <c r="Y17" s="7">
        <f t="shared" si="225"/>
        <v>-1.1242033905974262</v>
      </c>
      <c r="Z17" s="21">
        <f t="shared" si="6"/>
        <v>-0.20213695838012077</v>
      </c>
      <c r="AA17" s="5">
        <f t="shared" si="7"/>
        <v>-0.97816370830888244</v>
      </c>
      <c r="AB17" s="5">
        <f t="shared" si="8"/>
        <v>-4.8336423163584198E-2</v>
      </c>
      <c r="AC17" s="8">
        <f>IF(M17="","",SQRT(Z17^2+AA17^2+AB17^2))</f>
        <v>1</v>
      </c>
      <c r="AD17" s="9">
        <f>IF(M17="","",Z17*(1/SQRT(Z17^2+AA17^2+AB17^2)))</f>
        <v>-0.20213695838012077</v>
      </c>
      <c r="AE17" s="5">
        <f>IF(M17="","",AA17*(1/SQRT(Z17^2+AA17^2+AB17^2)))</f>
        <v>-0.97816370830888244</v>
      </c>
      <c r="AF17" s="10">
        <f>IF(M17="","",AB17*(1/SQRT(Z17^2+AA17^2+AB17^2)))</f>
        <v>-4.8336423163584198E-2</v>
      </c>
      <c r="AG17" s="622">
        <f>IF(M17="","",DEGREES(ATAN2(-AF17,AE17)))</f>
        <v>-87.171003106217313</v>
      </c>
      <c r="AH17" s="623">
        <f>IF(M17="","",DEGREES(ACOS(AD17)))</f>
        <v>101.66195043222717</v>
      </c>
      <c r="AI17" s="624">
        <f>IF(M17="","",DEGREES(-ACOS(-AF17)))</f>
        <v>-87.229447383207884</v>
      </c>
      <c r="AJ17" s="625">
        <f>IF(M17="","",DEGREES(ATAN2(-AE17,AD17)))</f>
        <v>-11.675789884363983</v>
      </c>
      <c r="AK17" s="4">
        <f>IF(M17="","",(COS(RADIANS((90-$Q$8)-W17))*AD17)+(-SIN(RADIANS((90-$Q$8)-W17))*AE17))</f>
        <v>0.86300358021541124</v>
      </c>
      <c r="AL17" s="5">
        <f>IF(M17="","",(SIN(RADIANS((90-$Q$8)-W17))*AD17)+(COS(RADIANS((90-$Q$8)-W17))*AE17))</f>
        <v>-0.50288011566489033</v>
      </c>
      <c r="AM17" s="6">
        <f>IF(M17="","",AF17)</f>
        <v>-4.8336423163584198E-2</v>
      </c>
      <c r="AN17" s="612">
        <f>IF(M17="","",DEGREES(ATAN2(-AM17,AL17)))</f>
        <v>-84.509643612762886</v>
      </c>
      <c r="AO17" s="613">
        <f t="shared" si="98"/>
        <v>30.344483871330077</v>
      </c>
      <c r="AP17" s="624">
        <f>IF(M17="","",DEGREES(ATAN2(AK17,AL17)))</f>
        <v>-30.229748222327004</v>
      </c>
      <c r="AQ17" s="625">
        <f t="shared" si="9"/>
        <v>4.424943436405246</v>
      </c>
      <c r="AS17" s="56">
        <f t="shared" si="119"/>
        <v>-70.376941816395913</v>
      </c>
      <c r="AT17" s="77">
        <f t="shared" si="10"/>
        <v>-0.8542961220963976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2.117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2.7284095066290845</v>
      </c>
      <c r="C18" s="771">
        <v>0.90856036502450466</v>
      </c>
      <c r="D18" s="772">
        <v>-1.8563055986176855</v>
      </c>
      <c r="E18" s="773">
        <v>0.28539124492395435</v>
      </c>
      <c r="F18" s="771">
        <v>0.95841110037433241</v>
      </c>
      <c r="G18" s="774">
        <v>1.300841922891056E-7</v>
      </c>
      <c r="H18" s="773">
        <v>0.26600000000000001</v>
      </c>
      <c r="I18" s="771">
        <v>0.52</v>
      </c>
      <c r="J18" s="601">
        <v>2.1219999999999999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1313</v>
      </c>
      <c r="L18" s="857" t="s">
        <v>376</v>
      </c>
      <c r="M18" s="173">
        <f t="shared" si="1"/>
        <v>2.1219999999999999</v>
      </c>
      <c r="N18" s="21">
        <f t="shared" si="2"/>
        <v>2.7284095066290845</v>
      </c>
      <c r="O18" s="5">
        <f t="shared" si="3"/>
        <v>0.90856036502450466</v>
      </c>
      <c r="P18" s="10">
        <f t="shared" si="4"/>
        <v>-1.8563055986176855</v>
      </c>
      <c r="Q18" s="624">
        <f t="shared" si="116"/>
        <v>18.417758357627886</v>
      </c>
      <c r="R18" s="5">
        <f>IF(M18="","",SQRT(N18^2+O18^2))</f>
        <v>2.8757086731373582</v>
      </c>
      <c r="S18" s="6">
        <f>IF(M18="","",P18)</f>
        <v>-1.8563055986176855</v>
      </c>
      <c r="T18" s="4">
        <f>IF(M18="","",X18*COS(RADIANS(W18)))</f>
        <v>0.95930949389919007</v>
      </c>
      <c r="U18" s="5">
        <f>IF(M18="","",X18*SIN(RADIANS(W18)))</f>
        <v>-2.7109824174406416</v>
      </c>
      <c r="V18" s="8">
        <f>IF(M18="","",Y18)</f>
        <v>-1.8563055986176855</v>
      </c>
      <c r="W18" s="624">
        <f t="shared" si="226"/>
        <v>289.48685820326892</v>
      </c>
      <c r="X18" s="5">
        <f>IF(M18="","",R18)</f>
        <v>2.8757086731373582</v>
      </c>
      <c r="Y18" s="7">
        <f t="shared" si="225"/>
        <v>-1.8563055986176855</v>
      </c>
      <c r="Z18" s="21">
        <f t="shared" si="6"/>
        <v>-0.28539124492395435</v>
      </c>
      <c r="AA18" s="5">
        <f t="shared" si="7"/>
        <v>-0.95841110037433241</v>
      </c>
      <c r="AB18" s="5">
        <f t="shared" si="8"/>
        <v>-1.300841922891056E-7</v>
      </c>
      <c r="AC18" s="8">
        <f>IF(M18="","",SQRT(Z18^2+AA18^2+AB18^2))</f>
        <v>1</v>
      </c>
      <c r="AD18" s="9">
        <f>IF(M18="","",Z18*(1/SQRT(Z18^2+AA18^2+AB18^2)))</f>
        <v>-0.28539124492395435</v>
      </c>
      <c r="AE18" s="5">
        <f>IF(M18="","",AA18*(1/SQRT(Z18^2+AA18^2+AB18^2)))</f>
        <v>-0.95841110037433241</v>
      </c>
      <c r="AF18" s="10">
        <f>IF(M18="","",AB18*(1/SQRT(Z18^2+AA18^2+AB18^2)))</f>
        <v>-1.300841922891056E-7</v>
      </c>
      <c r="AG18" s="622">
        <f>IF(M18="","",DEGREES(ATAN2(-AF18,AE18)))</f>
        <v>-89.999992223300424</v>
      </c>
      <c r="AH18" s="623">
        <f>IF(M18="","",DEGREES(ACOS(AD18)))</f>
        <v>106.58223658899725</v>
      </c>
      <c r="AI18" s="624">
        <f>IF(M18="","",DEGREES(-ACOS(-AF18)))</f>
        <v>-89.999992546724798</v>
      </c>
      <c r="AJ18" s="625">
        <f>IF(M18="","",DEGREES(ATAN2(-AE18,AD18)))</f>
        <v>-16.58223658899739</v>
      </c>
      <c r="AK18" s="4">
        <f>IF(M18="","",(COS(RADIANS((90-$Q$8)-W18))*AD18)+(-SIN(RADIANS((90-$Q$8)-W18))*AE18))</f>
        <v>0.81915209487729246</v>
      </c>
      <c r="AL18" s="5">
        <f>IF(M18="","",(SIN(RADIANS((90-$Q$8)-W18))*AD18)+(COS(RADIANS((90-$Q$8)-W18))*AE18))</f>
        <v>-0.57357636410344393</v>
      </c>
      <c r="AM18" s="6">
        <f>IF(M18="","",AF18)</f>
        <v>-1.300841922891056E-7</v>
      </c>
      <c r="AN18" s="612">
        <f>IF(M18="","",DEGREES(ATAN2(-AM18,AL18)))</f>
        <v>-89.999987005609611</v>
      </c>
      <c r="AO18" s="613">
        <f t="shared" si="98"/>
        <v>34.999994946625904</v>
      </c>
      <c r="AP18" s="624">
        <f>IF(M18="","",DEGREES(ATAN2(AK18,AL18)))</f>
        <v>-34.999994946625222</v>
      </c>
      <c r="AQ18" s="625">
        <f t="shared" si="9"/>
        <v>4.3044596916256195</v>
      </c>
      <c r="AS18" s="56">
        <f t="shared" si="119"/>
        <v>-70.513141796731077</v>
      </c>
      <c r="AT18" s="77">
        <f t="shared" si="10"/>
        <v>-1.5858837968576129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2.1219999999999999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7"/>
        <v/>
      </c>
      <c r="IK18" s="839" t="str">
        <f t="shared" si="68"/>
        <v/>
      </c>
      <c r="IL18" s="791" t="str">
        <f t="shared" si="227"/>
        <v/>
      </c>
      <c r="IM18" s="830"/>
      <c r="IN18" s="5" t="str">
        <f t="shared" si="228"/>
        <v/>
      </c>
      <c r="IO18" s="852"/>
      <c r="IP18" s="9" t="str">
        <f t="shared" si="229"/>
        <v/>
      </c>
      <c r="IQ18" s="5" t="str">
        <f t="shared" si="230"/>
        <v/>
      </c>
      <c r="IR18" s="5" t="str">
        <f t="shared" si="73"/>
        <v/>
      </c>
      <c r="IS18" s="5" t="str">
        <f t="shared" si="231"/>
        <v/>
      </c>
      <c r="IT18" s="791" t="str">
        <f t="shared" si="232"/>
        <v/>
      </c>
      <c r="IU18" s="9" t="str">
        <f t="shared" si="233"/>
        <v/>
      </c>
      <c r="IV18" s="5" t="str">
        <f t="shared" si="234"/>
        <v/>
      </c>
      <c r="IW18" s="5" t="str">
        <f t="shared" si="78"/>
        <v/>
      </c>
      <c r="IX18" s="5" t="str">
        <f t="shared" si="235"/>
        <v/>
      </c>
      <c r="IY18" s="833" t="str">
        <f t="shared" si="236"/>
        <v/>
      </c>
    </row>
    <row r="19" spans="1:259" ht="15" customHeight="1" x14ac:dyDescent="0.25">
      <c r="A19" s="84">
        <f t="shared" si="81"/>
        <v>0.02</v>
      </c>
      <c r="B19" s="770">
        <v>0.46637604612798306</v>
      </c>
      <c r="C19" s="771">
        <v>-0.66605478870881374</v>
      </c>
      <c r="D19" s="772">
        <v>-0.21220063999713026</v>
      </c>
      <c r="E19" s="773">
        <v>0.74390851654980039</v>
      </c>
      <c r="F19" s="771">
        <v>0.60034338119926423</v>
      </c>
      <c r="G19" s="774">
        <v>0.29357783236291934</v>
      </c>
      <c r="H19" s="773">
        <v>0.314</v>
      </c>
      <c r="I19" s="771">
        <v>0.52</v>
      </c>
      <c r="J19" s="601">
        <v>3.1030000000000002</v>
      </c>
      <c r="K19" s="426" t="str">
        <f t="shared" si="82"/>
        <v>1613</v>
      </c>
      <c r="L19" s="856" cm="1">
        <f t="array" ref="L19">MIN(IF(ISNUMBER($II9:$II150),IF(ISNUMBER($IF9:$IF150),"",IF($K9:$K150="Knuckle",IF(ISNUMBER($IE9:$IE150),$IO9:$IO150,""),"")),""))</f>
        <v>230</v>
      </c>
      <c r="M19" s="173">
        <f t="shared" si="1"/>
        <v>3.1030000000000002</v>
      </c>
      <c r="N19" s="21">
        <f t="shared" si="2"/>
        <v>0.46637604612798306</v>
      </c>
      <c r="O19" s="5">
        <f t="shared" si="3"/>
        <v>-0.66605478870881374</v>
      </c>
      <c r="P19" s="10">
        <f t="shared" si="4"/>
        <v>-0.21220063999713026</v>
      </c>
      <c r="Q19" s="624">
        <f t="shared" si="116"/>
        <v>304.99996895784517</v>
      </c>
      <c r="R19" s="5">
        <f>IF(M19="","",SQRT(N19^2+O19^2))</f>
        <v>0.81310245231699618</v>
      </c>
      <c r="S19" s="6">
        <f>IF(M19="","",P19)</f>
        <v>-0.21220063999713026</v>
      </c>
      <c r="T19" s="4">
        <f>IF(M19="","",X19*COS(RADIANS(W19)))</f>
        <v>-0.65723709060248869</v>
      </c>
      <c r="U19" s="5">
        <f>IF(M19="","",X19*SIN(RADIANS(W19)))</f>
        <v>-0.47872226259104461</v>
      </c>
      <c r="V19" s="8">
        <f>IF(M19="","",Y19)</f>
        <v>-0.21220063999713026</v>
      </c>
      <c r="W19" s="624">
        <f t="shared" si="226"/>
        <v>216.06906880348623</v>
      </c>
      <c r="X19" s="5">
        <f>IF(M19="","",R19)</f>
        <v>0.81310245231699618</v>
      </c>
      <c r="Y19" s="7">
        <f t="shared" si="225"/>
        <v>-0.21220063999713026</v>
      </c>
      <c r="Z19" s="21">
        <f t="shared" si="6"/>
        <v>-0.74390851654980039</v>
      </c>
      <c r="AA19" s="5">
        <f t="shared" si="7"/>
        <v>-0.60034338119926423</v>
      </c>
      <c r="AB19" s="5">
        <f t="shared" si="8"/>
        <v>-0.29357783236291934</v>
      </c>
      <c r="AC19" s="8">
        <f>IF(M19="","",SQRT(Z19^2+AA19^2+AB19^2))</f>
        <v>1</v>
      </c>
      <c r="AD19" s="9">
        <f>IF(M19="","",Z19*(1/SQRT(Z19^2+AA19^2+AB19^2)))</f>
        <v>-0.74390851654980039</v>
      </c>
      <c r="AE19" s="5">
        <f>IF(M19="","",AA19*(1/SQRT(Z19^2+AA19^2+AB19^2)))</f>
        <v>-0.60034338119926423</v>
      </c>
      <c r="AF19" s="10">
        <f>IF(M19="","",AB19*(1/SQRT(Z19^2+AA19^2+AB19^2)))</f>
        <v>-0.29357783236291934</v>
      </c>
      <c r="AG19" s="622">
        <f>IF(M19="","",DEGREES(ATAN2(-AF19,AE19)))</f>
        <v>-63.940602828837875</v>
      </c>
      <c r="AH19" s="623">
        <f>IF(M19="","",DEGREES(ACOS(AD19)))</f>
        <v>138.06543423888525</v>
      </c>
      <c r="AI19" s="624">
        <f>IF(M19="","",DEGREES(-ACOS(-AF19)))</f>
        <v>-72.927722444134986</v>
      </c>
      <c r="AJ19" s="625">
        <f>IF(M19="","",DEGREES(ATAN2(-AE19,AD19)))</f>
        <v>-51.096040777914254</v>
      </c>
      <c r="AK19" s="4">
        <f>IF(M19="","",(COS(RADIANS((90-$Q$8)-W19))*AD19)+(-SIN(RADIANS((90-$Q$8)-W19))*AE19))</f>
        <v>0.95371696400905337</v>
      </c>
      <c r="AL19" s="5">
        <f>IF(M19="","",(SIN(RADIANS((90-$Q$8)-W19))*AD19)+(COS(RADIANS((90-$Q$8)-W19))*AE19))</f>
        <v>6.5084628803148747E-2</v>
      </c>
      <c r="AM19" s="6">
        <f>IF(M19="","",AF19)</f>
        <v>-0.29357783236291934</v>
      </c>
      <c r="AN19" s="612">
        <f>IF(M19="","",DEGREES(ATAN2(-AM19,AL19)))</f>
        <v>12.499998195223558</v>
      </c>
      <c r="AO19" s="613">
        <f t="shared" si="98"/>
        <v>17.49999747331298</v>
      </c>
      <c r="AP19" s="624">
        <f>IF(M19="","",DEGREES(ATAN2(AK19,AL19)))</f>
        <v>3.9039902642405786</v>
      </c>
      <c r="AQ19" s="625">
        <f t="shared" si="9"/>
        <v>14.90663891187412</v>
      </c>
      <c r="AS19" s="56">
        <f t="shared" si="119"/>
        <v>-143.93093119651377</v>
      </c>
      <c r="AT19" s="77">
        <f t="shared" si="10"/>
        <v>0.33557725505101021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3.1030000000000002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/>
      <c r="IN19" s="5" t="str">
        <f t="shared" si="228"/>
        <v/>
      </c>
      <c r="IO19" s="852"/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0.02</v>
      </c>
      <c r="B20" s="770">
        <v>0.87092041377534057</v>
      </c>
      <c r="C20" s="771">
        <v>-1.2438046872161639</v>
      </c>
      <c r="D20" s="772">
        <v>-5.9500179452541227E-2</v>
      </c>
      <c r="E20" s="773">
        <v>0.75824848948806078</v>
      </c>
      <c r="F20" s="771">
        <v>0.56557031593013474</v>
      </c>
      <c r="G20" s="774">
        <v>0.324329224597109</v>
      </c>
      <c r="H20" s="773">
        <v>0.314</v>
      </c>
      <c r="I20" s="771">
        <v>0.52</v>
      </c>
      <c r="J20" s="601">
        <v>3.1059999999999999</v>
      </c>
      <c r="K20" s="426" t="str">
        <f t="shared" si="82"/>
        <v>1613</v>
      </c>
      <c r="L20" s="858" t="s">
        <v>377</v>
      </c>
      <c r="M20" s="173">
        <f t="shared" si="1"/>
        <v>3.1059999999999999</v>
      </c>
      <c r="N20" s="21">
        <f t="shared" si="2"/>
        <v>0.87092041377534057</v>
      </c>
      <c r="O20" s="5">
        <f t="shared" si="3"/>
        <v>-1.2438046872161639</v>
      </c>
      <c r="P20" s="10">
        <f t="shared" si="4"/>
        <v>-5.9500179452541227E-2</v>
      </c>
      <c r="Q20" s="624">
        <f t="shared" si="116"/>
        <v>304.99996895784517</v>
      </c>
      <c r="R20" s="5">
        <f>IF(M20="","",SQRT(N20^2+O20^2))</f>
        <v>1.5184045795082119</v>
      </c>
      <c r="S20" s="6">
        <f>IF(M20="","",P20)</f>
        <v>-5.9500179452541227E-2</v>
      </c>
      <c r="T20" s="4">
        <f>IF(M20="","",X20*COS(RADIANS(W20)))</f>
        <v>-1.2273383327645051</v>
      </c>
      <c r="U20" s="5">
        <f>IF(M20="","",X20*SIN(RADIANS(W20)))</f>
        <v>-0.89397599743972722</v>
      </c>
      <c r="V20" s="8">
        <f>IF(M20="","",Y20)</f>
        <v>-5.9500179452541227E-2</v>
      </c>
      <c r="W20" s="624">
        <f t="shared" si="226"/>
        <v>216.06906880348623</v>
      </c>
      <c r="X20" s="5">
        <f>IF(M20="","",R20)</f>
        <v>1.5184045795082119</v>
      </c>
      <c r="Y20" s="7">
        <f t="shared" si="225"/>
        <v>-5.9500179452541227E-2</v>
      </c>
      <c r="Z20" s="21">
        <f t="shared" si="6"/>
        <v>-0.75824848948806078</v>
      </c>
      <c r="AA20" s="5">
        <f t="shared" si="7"/>
        <v>-0.56557031593013474</v>
      </c>
      <c r="AB20" s="5">
        <f t="shared" si="8"/>
        <v>-0.324329224597109</v>
      </c>
      <c r="AC20" s="8">
        <f>IF(M20="","",SQRT(Z20^2+AA20^2+AB20^2))</f>
        <v>1</v>
      </c>
      <c r="AD20" s="9">
        <f>IF(M20="","",Z20*(1/SQRT(Z20^2+AA20^2+AB20^2)))</f>
        <v>-0.75824848948806078</v>
      </c>
      <c r="AE20" s="5">
        <f>IF(M20="","",AA20*(1/SQRT(Z20^2+AA20^2+AB20^2)))</f>
        <v>-0.56557031593013474</v>
      </c>
      <c r="AF20" s="10">
        <f>IF(M20="","",AB20*(1/SQRT(Z20^2+AA20^2+AB20^2)))</f>
        <v>-0.324329224597109</v>
      </c>
      <c r="AG20" s="622">
        <f>IF(M20="","",DEGREES(ATAN2(-AF20,AE20)))</f>
        <v>-60.167661640353131</v>
      </c>
      <c r="AH20" s="623">
        <f>IF(M20="","",DEGREES(ACOS(AD20)))</f>
        <v>139.31003095154318</v>
      </c>
      <c r="AI20" s="624">
        <f>IF(M20="","",DEGREES(-ACOS(-AF20)))</f>
        <v>-71.075058775024786</v>
      </c>
      <c r="AJ20" s="625">
        <f>IF(M20="","",DEGREES(ATAN2(-AE20,AD20)))</f>
        <v>-53.281093734766507</v>
      </c>
      <c r="AK20" s="4">
        <f>IF(M20="","",(COS(RADIANS((90-$Q$8)-W20))*AD20)+(-SIN(RADIANS((90-$Q$8)-W20))*AE20))</f>
        <v>0.94551859118716819</v>
      </c>
      <c r="AL20" s="5">
        <f>IF(M20="","",(SIN(RADIANS((90-$Q$8)-W20))*AD20)+(COS(RADIANS((90-$Q$8)-W20))*AE20))</f>
        <v>2.8375126284665098E-2</v>
      </c>
      <c r="AM20" s="6">
        <f>IF(M20="","",AF20)</f>
        <v>-0.324329224597109</v>
      </c>
      <c r="AN20" s="612">
        <f>IF(M20="","",DEGREES(ATAN2(-AM20,AL20)))</f>
        <v>4.9999992780894029</v>
      </c>
      <c r="AO20" s="613">
        <f t="shared" si="98"/>
        <v>18.999997256739807</v>
      </c>
      <c r="AP20" s="624">
        <f>IF(M20="","",DEGREES(ATAN2(AK20,AL20)))</f>
        <v>1.7189373073883307</v>
      </c>
      <c r="AQ20" s="625">
        <f t="shared" si="9"/>
        <v>8.1129350886617004</v>
      </c>
      <c r="AS20" s="56">
        <f t="shared" si="119"/>
        <v>-143.93093119651377</v>
      </c>
      <c r="AT20" s="77">
        <f t="shared" si="10"/>
        <v>0.48827771559559924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3.1059999999999999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7"/>
        <v/>
      </c>
      <c r="IK20" s="839" t="str">
        <f t="shared" si="68"/>
        <v/>
      </c>
      <c r="IL20" s="791" t="str">
        <f t="shared" si="227"/>
        <v/>
      </c>
      <c r="IM20" s="830"/>
      <c r="IN20" s="5" t="str">
        <f t="shared" si="228"/>
        <v/>
      </c>
      <c r="IO20" s="852"/>
      <c r="IP20" s="9" t="str">
        <f t="shared" si="229"/>
        <v/>
      </c>
      <c r="IQ20" s="5" t="str">
        <f t="shared" si="230"/>
        <v/>
      </c>
      <c r="IR20" s="5" t="str">
        <f t="shared" si="73"/>
        <v/>
      </c>
      <c r="IS20" s="5" t="str">
        <f t="shared" si="231"/>
        <v/>
      </c>
      <c r="IT20" s="791" t="str">
        <f t="shared" si="232"/>
        <v/>
      </c>
      <c r="IU20" s="9" t="str">
        <f t="shared" si="233"/>
        <v/>
      </c>
      <c r="IV20" s="5" t="str">
        <f t="shared" si="234"/>
        <v/>
      </c>
      <c r="IW20" s="5" t="str">
        <f t="shared" si="78"/>
        <v/>
      </c>
      <c r="IX20" s="5" t="str">
        <f t="shared" si="235"/>
        <v/>
      </c>
      <c r="IY20" s="833" t="str">
        <f t="shared" si="236"/>
        <v/>
      </c>
    </row>
    <row r="21" spans="1:259" ht="15" customHeight="1" x14ac:dyDescent="0.25">
      <c r="A21" s="84">
        <f t="shared" si="81"/>
        <v>0.02</v>
      </c>
      <c r="B21" s="770">
        <v>1.3104613145889934</v>
      </c>
      <c r="C21" s="771">
        <v>-1.9213547979174495</v>
      </c>
      <c r="D21" s="772">
        <v>-0.25730077601914025</v>
      </c>
      <c r="E21" s="773">
        <v>0.89857814251723578</v>
      </c>
      <c r="F21" s="771">
        <v>0.33669899087507815</v>
      </c>
      <c r="G21" s="774">
        <v>0.28140915289659357</v>
      </c>
      <c r="H21" s="773">
        <v>0.314</v>
      </c>
      <c r="I21" s="771">
        <v>0.52</v>
      </c>
      <c r="J21" s="601">
        <v>3.1110000000000002</v>
      </c>
      <c r="K21" s="426" t="str">
        <f t="shared" si="82"/>
        <v>1613</v>
      </c>
      <c r="L21" s="860" cm="1">
        <f t="array" ref="L21">MIN(IF(ISNUMBER($II9:$II150),IF(ISNUMBER($IF9:$IF150),"",IF($K9:$K150="Knuckle",IF(ISNUMBER($IE9:$IE150),"",$IO9:$IO150),"")),""))</f>
        <v>450</v>
      </c>
      <c r="M21" s="173">
        <f t="shared" si="1"/>
        <v>3.1110000000000002</v>
      </c>
      <c r="N21" s="21">
        <f t="shared" si="2"/>
        <v>1.3104613145889934</v>
      </c>
      <c r="O21" s="5">
        <f t="shared" si="3"/>
        <v>-1.9213547979174495</v>
      </c>
      <c r="P21" s="10">
        <f t="shared" si="4"/>
        <v>-0.25730077601914025</v>
      </c>
      <c r="Q21" s="624">
        <f t="shared" si="116"/>
        <v>304.29596905949018</v>
      </c>
      <c r="R21" s="5">
        <f>IF(M21="","",SQRT(N21^2+O21^2))</f>
        <v>2.3257070143323548</v>
      </c>
      <c r="S21" s="6">
        <f>IF(M21="","",P21)</f>
        <v>-0.25730077601914025</v>
      </c>
      <c r="T21" s="4">
        <f>IF(M21="","",X21*COS(RADIANS(W21)))</f>
        <v>-1.8965694405570959</v>
      </c>
      <c r="U21" s="5">
        <f>IF(M21="","",X21*SIN(RADIANS(W21)))</f>
        <v>-1.3460822685332652</v>
      </c>
      <c r="V21" s="8">
        <f>IF(M21="","",Y21)</f>
        <v>-0.25730077601914025</v>
      </c>
      <c r="W21" s="624">
        <f t="shared" si="226"/>
        <v>215.36506890513124</v>
      </c>
      <c r="X21" s="5">
        <f>IF(M21="","",R21)</f>
        <v>2.3257070143323548</v>
      </c>
      <c r="Y21" s="7">
        <f t="shared" si="225"/>
        <v>-0.25730077601914025</v>
      </c>
      <c r="Z21" s="21">
        <f t="shared" si="6"/>
        <v>-0.89857814251723578</v>
      </c>
      <c r="AA21" s="5">
        <f t="shared" si="7"/>
        <v>-0.33669899087507815</v>
      </c>
      <c r="AB21" s="5">
        <f t="shared" si="8"/>
        <v>-0.28140915289659357</v>
      </c>
      <c r="AC21" s="8">
        <f>IF(M21="","",SQRT(Z21^2+AA21^2+AB21^2))</f>
        <v>1</v>
      </c>
      <c r="AD21" s="9">
        <f>IF(M21="","",Z21*(1/SQRT(Z21^2+AA21^2+AB21^2)))</f>
        <v>-0.89857814251723578</v>
      </c>
      <c r="AE21" s="5">
        <f>IF(M21="","",AA21*(1/SQRT(Z21^2+AA21^2+AB21^2)))</f>
        <v>-0.33669899087507815</v>
      </c>
      <c r="AF21" s="10">
        <f>IF(M21="","",AB21*(1/SQRT(Z21^2+AA21^2+AB21^2)))</f>
        <v>-0.28140915289659357</v>
      </c>
      <c r="AG21" s="622">
        <f>IF(M21="","",DEGREES(ATAN2(-AF21,AE21)))</f>
        <v>-50.111509482090199</v>
      </c>
      <c r="AH21" s="623">
        <f>IF(M21="","",DEGREES(ACOS(AD21)))</f>
        <v>153.97179527768853</v>
      </c>
      <c r="AI21" s="624">
        <f>IF(M21="","",DEGREES(-ACOS(-AF21)))</f>
        <v>-73.655674632000839</v>
      </c>
      <c r="AJ21" s="625">
        <f>IF(M21="","",DEGREES(ATAN2(-AE21,AD21)))</f>
        <v>-69.458927386476205</v>
      </c>
      <c r="AK21" s="4">
        <f>IF(M21="","",(COS(RADIANS((90-$Q$8)-W21))*AD21)+(-SIN(RADIANS((90-$Q$8)-W21))*AE21))</f>
        <v>0.93206857711373159</v>
      </c>
      <c r="AL21" s="5">
        <f>IF(M21="","",(SIN(RADIANS((90-$Q$8)-W21))*AD21)+(COS(RADIANS((90-$Q$8)-W21))*AE21))</f>
        <v>-0.22816015476678947</v>
      </c>
      <c r="AM21" s="6">
        <f>IF(M21="","",AF21)</f>
        <v>-0.28140915289659357</v>
      </c>
      <c r="AN21" s="612">
        <f>IF(M21="","",DEGREES(ATAN2(-AM21,AL21)))</f>
        <v>-39.034354626655336</v>
      </c>
      <c r="AO21" s="613">
        <f>IF(ROUND(IF(M21="",0,DEGREES(ACOS(AK21))),4)=90,0,IF(M21="","",DEGREES(ACOS(AK21))))</f>
        <v>21.240400974628319</v>
      </c>
      <c r="AP21" s="624">
        <f>IF(M21="","",DEGREES(ATAN2(AK21,AL21)))</f>
        <v>-13.754896445966391</v>
      </c>
      <c r="AQ21" s="625">
        <f t="shared" si="9"/>
        <v>5.317131824502817</v>
      </c>
      <c r="AS21" s="56">
        <f t="shared" si="119"/>
        <v>-144.63493109486876</v>
      </c>
      <c r="AT21" s="77">
        <f t="shared" si="10"/>
        <v>0.29313667420056355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3.1110000000000002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7"/>
        <v/>
      </c>
      <c r="IK21" s="839" t="str">
        <f t="shared" si="68"/>
        <v/>
      </c>
      <c r="IL21" s="791" t="str">
        <f t="shared" si="227"/>
        <v/>
      </c>
      <c r="IM21" s="830"/>
      <c r="IN21" s="5" t="str">
        <f t="shared" si="228"/>
        <v/>
      </c>
      <c r="IO21" s="852"/>
      <c r="IP21" s="9" t="str">
        <f t="shared" si="229"/>
        <v/>
      </c>
      <c r="IQ21" s="5" t="str">
        <f t="shared" si="230"/>
        <v/>
      </c>
      <c r="IR21" s="5" t="str">
        <f t="shared" si="73"/>
        <v/>
      </c>
      <c r="IS21" s="5" t="str">
        <f t="shared" si="231"/>
        <v/>
      </c>
      <c r="IT21" s="791" t="str">
        <f t="shared" si="232"/>
        <v/>
      </c>
      <c r="IU21" s="9" t="str">
        <f t="shared" si="233"/>
        <v/>
      </c>
      <c r="IV21" s="5" t="str">
        <f t="shared" si="234"/>
        <v/>
      </c>
      <c r="IW21" s="5" t="str">
        <f t="shared" si="78"/>
        <v/>
      </c>
      <c r="IX21" s="5" t="str">
        <f t="shared" si="235"/>
        <v/>
      </c>
      <c r="IY21" s="833" t="str">
        <f t="shared" si="236"/>
        <v/>
      </c>
    </row>
    <row r="22" spans="1:259" ht="15" customHeight="1" x14ac:dyDescent="0.25">
      <c r="A22" s="84">
        <f t="shared" si="81"/>
        <v>0.02</v>
      </c>
      <c r="B22" s="770">
        <v>1.5362089029674009</v>
      </c>
      <c r="C22" s="771">
        <v>-2.3131638413876643</v>
      </c>
      <c r="D22" s="772">
        <v>-0.95530288119348972</v>
      </c>
      <c r="E22" s="773">
        <v>0.98959967994420717</v>
      </c>
      <c r="F22" s="771">
        <v>0.10046742977303075</v>
      </c>
      <c r="G22" s="774">
        <v>0.10295032301612271</v>
      </c>
      <c r="H22" s="773">
        <v>0.314</v>
      </c>
      <c r="I22" s="771">
        <v>0.52</v>
      </c>
      <c r="J22" s="601">
        <v>3.1160000000000001</v>
      </c>
      <c r="K22" s="426" t="str">
        <f t="shared" si="82"/>
        <v>1613</v>
      </c>
      <c r="L22" s="327"/>
      <c r="M22" s="173">
        <f t="shared" si="1"/>
        <v>3.1160000000000001</v>
      </c>
      <c r="N22" s="21">
        <f t="shared" si="2"/>
        <v>1.5362089029674009</v>
      </c>
      <c r="O22" s="5">
        <f t="shared" si="3"/>
        <v>-2.3131638413876643</v>
      </c>
      <c r="P22" s="10">
        <f t="shared" si="4"/>
        <v>-0.95530288119348972</v>
      </c>
      <c r="Q22" s="624">
        <f t="shared" si="116"/>
        <v>303.58876916159721</v>
      </c>
      <c r="R22" s="5">
        <f t="shared" si="83"/>
        <v>2.7768083748540593</v>
      </c>
      <c r="S22" s="6">
        <f t="shared" si="84"/>
        <v>-0.95530288119348972</v>
      </c>
      <c r="T22" s="4">
        <f t="shared" si="85"/>
        <v>-2.2840982276081201</v>
      </c>
      <c r="U22" s="5">
        <f t="shared" si="86"/>
        <v>-1.5791010218782982</v>
      </c>
      <c r="V22" s="8">
        <f t="shared" si="117"/>
        <v>-0.95530288119348972</v>
      </c>
      <c r="W22" s="624">
        <f t="shared" si="226"/>
        <v>214.65786900723828</v>
      </c>
      <c r="X22" s="5">
        <f t="shared" si="87"/>
        <v>2.7768083748540593</v>
      </c>
      <c r="Y22" s="7">
        <f t="shared" si="225"/>
        <v>-0.95530288119348972</v>
      </c>
      <c r="Z22" s="21">
        <f t="shared" si="6"/>
        <v>-0.98959967994420717</v>
      </c>
      <c r="AA22" s="5">
        <f t="shared" si="7"/>
        <v>-0.10046742977303075</v>
      </c>
      <c r="AB22" s="5">
        <f t="shared" si="8"/>
        <v>-0.10295032301612271</v>
      </c>
      <c r="AC22" s="8">
        <f t="shared" si="88"/>
        <v>1</v>
      </c>
      <c r="AD22" s="9">
        <f t="shared" si="118"/>
        <v>-0.98959967994420717</v>
      </c>
      <c r="AE22" s="5">
        <f t="shared" si="89"/>
        <v>-0.10046742977303075</v>
      </c>
      <c r="AF22" s="10">
        <f t="shared" si="90"/>
        <v>-0.10295032301612271</v>
      </c>
      <c r="AG22" s="622">
        <f t="shared" si="91"/>
        <v>-44.300689159499719</v>
      </c>
      <c r="AH22" s="623">
        <f t="shared" si="92"/>
        <v>171.72937933333966</v>
      </c>
      <c r="AI22" s="624">
        <f t="shared" si="93"/>
        <v>-84.09091129635776</v>
      </c>
      <c r="AJ22" s="625">
        <f t="shared" si="94"/>
        <v>-84.203005180625155</v>
      </c>
      <c r="AK22" s="4">
        <f t="shared" si="213"/>
        <v>0.87994734505212213</v>
      </c>
      <c r="AL22" s="5">
        <f t="shared" si="95"/>
        <v>-0.46378216969456437</v>
      </c>
      <c r="AM22" s="6">
        <f t="shared" si="96"/>
        <v>-0.10295032301612271</v>
      </c>
      <c r="AN22" s="612">
        <f t="shared" si="97"/>
        <v>-77.484423247328081</v>
      </c>
      <c r="AO22" s="613">
        <f t="shared" si="98"/>
        <v>28.363987657735063</v>
      </c>
      <c r="AP22" s="624">
        <f t="shared" si="99"/>
        <v>-27.791774342222364</v>
      </c>
      <c r="AQ22" s="625">
        <f t="shared" si="9"/>
        <v>4.4571624289673926</v>
      </c>
      <c r="AS22" s="56">
        <f t="shared" si="119"/>
        <v>-145.34213099276172</v>
      </c>
      <c r="AT22" s="77">
        <f t="shared" si="10"/>
        <v>-0.40219378691507912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3.1160000000000001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7"/>
        <v/>
      </c>
      <c r="IK22" s="839" t="str">
        <f t="shared" si="68"/>
        <v/>
      </c>
      <c r="IL22" s="791" t="str">
        <f t="shared" si="227"/>
        <v/>
      </c>
      <c r="IM22" s="830"/>
      <c r="IN22" s="5" t="str">
        <f t="shared" si="228"/>
        <v/>
      </c>
      <c r="IO22" s="852"/>
      <c r="IP22" s="9" t="str">
        <f t="shared" si="229"/>
        <v/>
      </c>
      <c r="IQ22" s="5" t="str">
        <f t="shared" si="230"/>
        <v/>
      </c>
      <c r="IR22" s="5" t="str">
        <f t="shared" si="73"/>
        <v/>
      </c>
      <c r="IS22" s="5" t="str">
        <f t="shared" si="231"/>
        <v/>
      </c>
      <c r="IT22" s="791" t="str">
        <f t="shared" si="232"/>
        <v/>
      </c>
      <c r="IU22" s="9" t="str">
        <f t="shared" si="233"/>
        <v/>
      </c>
      <c r="IV22" s="5" t="str">
        <f t="shared" si="234"/>
        <v/>
      </c>
      <c r="IW22" s="5" t="str">
        <f t="shared" si="78"/>
        <v/>
      </c>
      <c r="IX22" s="5" t="str">
        <f t="shared" si="235"/>
        <v/>
      </c>
      <c r="IY22" s="833" t="str">
        <f t="shared" si="236"/>
        <v/>
      </c>
    </row>
    <row r="23" spans="1:259" ht="15" customHeight="1" x14ac:dyDescent="0.25">
      <c r="A23" s="84">
        <f t="shared" si="81"/>
        <v>0.02</v>
      </c>
      <c r="B23" s="770">
        <v>1.5837667181184587</v>
      </c>
      <c r="C23" s="771">
        <v>-2.4002881817268764</v>
      </c>
      <c r="D23" s="772">
        <v>-1.7000051272154637</v>
      </c>
      <c r="E23" s="773">
        <v>0.99961872876401114</v>
      </c>
      <c r="F23" s="771">
        <v>-2.7611539330607459E-2</v>
      </c>
      <c r="G23" s="774">
        <v>1.3008419197869201E-7</v>
      </c>
      <c r="H23" s="773">
        <v>0.26600000000000001</v>
      </c>
      <c r="I23" s="771">
        <v>0.52</v>
      </c>
      <c r="J23" s="601">
        <v>3.121</v>
      </c>
      <c r="K23" s="426" t="str">
        <f t="shared" si="82"/>
        <v>1313</v>
      </c>
      <c r="L23" s="327"/>
      <c r="M23" s="173">
        <f t="shared" si="1"/>
        <v>3.121</v>
      </c>
      <c r="N23" s="21">
        <f t="shared" si="2"/>
        <v>1.5837667181184587</v>
      </c>
      <c r="O23" s="5">
        <f t="shared" si="3"/>
        <v>-2.4002881817268764</v>
      </c>
      <c r="P23" s="10">
        <f t="shared" si="4"/>
        <v>-1.7000051272154637</v>
      </c>
      <c r="Q23" s="624">
        <f t="shared" si="116"/>
        <v>303.41776918628653</v>
      </c>
      <c r="R23" s="5">
        <f t="shared" si="83"/>
        <v>2.8757086731373587</v>
      </c>
      <c r="S23" s="6">
        <f t="shared" si="84"/>
        <v>-1.7000051272154637</v>
      </c>
      <c r="T23" s="4">
        <f t="shared" si="85"/>
        <v>-2.3703200567154932</v>
      </c>
      <c r="U23" s="5">
        <f t="shared" si="86"/>
        <v>-1.6282761441136728</v>
      </c>
      <c r="V23" s="8">
        <f t="shared" si="117"/>
        <v>-1.7000051272154637</v>
      </c>
      <c r="W23" s="624">
        <f t="shared" si="226"/>
        <v>214.4868690319276</v>
      </c>
      <c r="X23" s="5">
        <f t="shared" si="87"/>
        <v>2.8757086731373587</v>
      </c>
      <c r="Y23" s="7">
        <f t="shared" si="225"/>
        <v>-1.7000051272154637</v>
      </c>
      <c r="Z23" s="21">
        <f t="shared" si="6"/>
        <v>-0.99961872876401114</v>
      </c>
      <c r="AA23" s="5">
        <f t="shared" si="7"/>
        <v>2.7611539330607459E-2</v>
      </c>
      <c r="AB23" s="5">
        <f t="shared" si="8"/>
        <v>-1.3008419197869201E-7</v>
      </c>
      <c r="AC23" s="8">
        <f t="shared" si="88"/>
        <v>1</v>
      </c>
      <c r="AD23" s="9">
        <f t="shared" si="118"/>
        <v>-0.99961872876401114</v>
      </c>
      <c r="AE23" s="5">
        <f t="shared" si="89"/>
        <v>2.7611539330607459E-2</v>
      </c>
      <c r="AF23" s="10">
        <f t="shared" si="90"/>
        <v>-1.3008419197869201E-7</v>
      </c>
      <c r="AG23" s="622">
        <f t="shared" si="91"/>
        <v>89.999730066654649</v>
      </c>
      <c r="AH23" s="623">
        <f t="shared" si="92"/>
        <v>178.41777423964425</v>
      </c>
      <c r="AI23" s="624">
        <f t="shared" si="93"/>
        <v>-89.999992546724812</v>
      </c>
      <c r="AJ23" s="625">
        <f t="shared" si="94"/>
        <v>-91.582225760338716</v>
      </c>
      <c r="AK23" s="4">
        <f t="shared" si="213"/>
        <v>0.81915209487729224</v>
      </c>
      <c r="AL23" s="5">
        <f t="shared" si="95"/>
        <v>-0.57357636410344426</v>
      </c>
      <c r="AM23" s="6">
        <f t="shared" si="96"/>
        <v>-1.3008419197869201E-7</v>
      </c>
      <c r="AN23" s="612">
        <f t="shared" si="97"/>
        <v>-89.999987005609626</v>
      </c>
      <c r="AO23" s="613">
        <f t="shared" si="98"/>
        <v>34.999994946625925</v>
      </c>
      <c r="AP23" s="624">
        <f t="shared" si="99"/>
        <v>-34.999994946625243</v>
      </c>
      <c r="AQ23" s="625">
        <f t="shared" si="9"/>
        <v>4.3044596916256186</v>
      </c>
      <c r="AS23" s="56">
        <f t="shared" si="119"/>
        <v>-145.5131309680724</v>
      </c>
      <c r="AT23" s="77">
        <f t="shared" si="10"/>
        <v>-1.146250033030324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3.121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7"/>
        <v/>
      </c>
      <c r="IK23" s="839" t="str">
        <f t="shared" si="68"/>
        <v/>
      </c>
      <c r="IL23" s="791" t="str">
        <f t="shared" si="227"/>
        <v/>
      </c>
      <c r="IM23" s="830"/>
      <c r="IN23" s="5" t="str">
        <f t="shared" si="228"/>
        <v/>
      </c>
      <c r="IO23" s="852"/>
      <c r="IP23" s="9" t="str">
        <f t="shared" si="229"/>
        <v/>
      </c>
      <c r="IQ23" s="5" t="str">
        <f t="shared" si="230"/>
        <v/>
      </c>
      <c r="IR23" s="5" t="str">
        <f t="shared" si="73"/>
        <v/>
      </c>
      <c r="IS23" s="5" t="str">
        <f t="shared" si="231"/>
        <v/>
      </c>
      <c r="IT23" s="791" t="str">
        <f t="shared" si="232"/>
        <v/>
      </c>
      <c r="IU23" s="9" t="str">
        <f t="shared" si="233"/>
        <v/>
      </c>
      <c r="IV23" s="5" t="str">
        <f t="shared" si="234"/>
        <v/>
      </c>
      <c r="IW23" s="5" t="str">
        <f t="shared" si="78"/>
        <v/>
      </c>
      <c r="IX23" s="5" t="str">
        <f t="shared" si="235"/>
        <v/>
      </c>
      <c r="IY23" s="833" t="str">
        <f t="shared" si="236"/>
        <v/>
      </c>
    </row>
    <row r="24" spans="1:259" ht="15" customHeight="1" x14ac:dyDescent="0.25">
      <c r="A24" s="84">
        <f t="shared" si="81"/>
        <v>0</v>
      </c>
      <c r="B24" s="770">
        <v>0.530275010893554</v>
      </c>
      <c r="C24" s="771">
        <v>-2.2987088567753253</v>
      </c>
      <c r="D24" s="772">
        <v>-0.2184640437528606</v>
      </c>
      <c r="E24" s="773">
        <v>0.11239046496587618</v>
      </c>
      <c r="F24" s="771">
        <v>-0.4872045955394389</v>
      </c>
      <c r="G24" s="774">
        <v>0.86602544158356343</v>
      </c>
      <c r="H24" s="773">
        <v>0.19500000000000001</v>
      </c>
      <c r="I24" s="771">
        <v>0.21199999999999999</v>
      </c>
      <c r="J24" s="601">
        <v>3.2109999999999999</v>
      </c>
      <c r="K24" s="426" t="str">
        <f t="shared" si="82"/>
        <v>Knuckle</v>
      </c>
      <c r="L24" s="327"/>
      <c r="M24" s="173">
        <f t="shared" si="1"/>
        <v>3.2109999999999999</v>
      </c>
      <c r="N24" s="21">
        <f t="shared" si="2"/>
        <v>0.530275010893554</v>
      </c>
      <c r="O24" s="5">
        <f t="shared" si="3"/>
        <v>-2.2987088567753253</v>
      </c>
      <c r="P24" s="10">
        <f t="shared" si="4"/>
        <v>-0.2184640437528606</v>
      </c>
      <c r="Q24" s="624">
        <f t="shared" si="116"/>
        <v>282.98997213569555</v>
      </c>
      <c r="R24" s="5">
        <f t="shared" si="83"/>
        <v>2.3590790566226225</v>
      </c>
      <c r="S24" s="6">
        <f t="shared" si="84"/>
        <v>-0.2184640437528606</v>
      </c>
      <c r="T24" s="4">
        <f t="shared" si="85"/>
        <v>-2.2884147048282317</v>
      </c>
      <c r="U24" s="5">
        <f t="shared" si="86"/>
        <v>-0.57307253827190063</v>
      </c>
      <c r="V24" s="8">
        <f t="shared" si="117"/>
        <v>-0.2184640437528606</v>
      </c>
      <c r="W24" s="624">
        <f t="shared" si="226"/>
        <v>194.05907198133661</v>
      </c>
      <c r="X24" s="5">
        <f t="shared" si="87"/>
        <v>2.3590790566226225</v>
      </c>
      <c r="Y24" s="7">
        <f t="shared" si="225"/>
        <v>-0.2184640437528606</v>
      </c>
      <c r="Z24" s="21">
        <f t="shared" si="6"/>
        <v>-0.11239046496587618</v>
      </c>
      <c r="AA24" s="5">
        <f t="shared" si="7"/>
        <v>0.4872045955394389</v>
      </c>
      <c r="AB24" s="5">
        <f t="shared" si="8"/>
        <v>-0.86602544158356343</v>
      </c>
      <c r="AC24" s="8">
        <f t="shared" si="88"/>
        <v>1</v>
      </c>
      <c r="AD24" s="9">
        <f t="shared" si="118"/>
        <v>-0.11239046496587618</v>
      </c>
      <c r="AE24" s="5">
        <f t="shared" si="89"/>
        <v>0.4872045955394389</v>
      </c>
      <c r="AF24" s="10">
        <f t="shared" si="90"/>
        <v>-0.86602544158356343</v>
      </c>
      <c r="AG24" s="622">
        <f t="shared" si="91"/>
        <v>29.361034489134717</v>
      </c>
      <c r="AH24" s="623">
        <f t="shared" si="92"/>
        <v>96.453133825943041</v>
      </c>
      <c r="AI24" s="624">
        <f t="shared" si="93"/>
        <v>-29.999995668539079</v>
      </c>
      <c r="AJ24" s="625">
        <f t="shared" si="94"/>
        <v>-167.01000187552026</v>
      </c>
      <c r="AK24" s="4">
        <f>IF(M24="","",(COS(RADIANS((90-$Q$8)-W24))*AD24)+(-SIN(RADIANS((90-$Q$8)-W24))*AE24))</f>
        <v>2.2679489646015849E-7</v>
      </c>
      <c r="AL24" s="5">
        <f t="shared" si="95"/>
        <v>-0.49999993452993835</v>
      </c>
      <c r="AM24" s="6">
        <f t="shared" si="96"/>
        <v>-0.86602544158356343</v>
      </c>
      <c r="AN24" s="612">
        <f t="shared" si="97"/>
        <v>-29.999995668536535</v>
      </c>
      <c r="AO24" s="613">
        <f t="shared" si="98"/>
        <v>0</v>
      </c>
      <c r="AP24" s="624">
        <f t="shared" si="99"/>
        <v>-89.999974011215826</v>
      </c>
      <c r="AQ24" s="625">
        <f t="shared" si="9"/>
        <v>5.2423365946075915</v>
      </c>
      <c r="AS24" s="56">
        <f t="shared" si="119"/>
        <v>-165.94092801866339</v>
      </c>
      <c r="AT24" s="77">
        <f t="shared" si="10"/>
        <v>0.41246272817895618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3.2109999999999999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3.1110000000000002</v>
      </c>
      <c r="II24" s="800" cm="1">
        <f t="array" ref="II24">IFERROR(IF($IH24&lt;1,$IH24+LARGE((IF($M$9:$M$150="",0,$M$9:$M$150)-MOD(IF($M$9:$M$150="",0,$M$9:$M$150),1)),1),$IH24),"")</f>
        <v>3.1110000000000002</v>
      </c>
      <c r="IJ24" s="839" t="str">
        <f t="shared" si="67"/>
        <v>1613</v>
      </c>
      <c r="IK24" s="839" t="str">
        <f t="shared" si="68"/>
        <v>Knuckle</v>
      </c>
      <c r="IL24" s="791">
        <f t="shared" si="227"/>
        <v>21.305996923794623</v>
      </c>
      <c r="IM24" s="830">
        <v>4.64739863611663E-2</v>
      </c>
      <c r="IN24" s="5">
        <f t="shared" si="228"/>
        <v>0.9</v>
      </c>
      <c r="IO24" s="852">
        <v>450</v>
      </c>
      <c r="IP24" s="9">
        <f t="shared" si="229"/>
        <v>-2.3257070143323548</v>
      </c>
      <c r="IQ24" s="5">
        <f t="shared" si="230"/>
        <v>-0.25730077601914025</v>
      </c>
      <c r="IR24" s="5">
        <f t="shared" si="73"/>
        <v>0.314</v>
      </c>
      <c r="IS24" s="5">
        <f t="shared" si="231"/>
        <v>0.2926695332137117</v>
      </c>
      <c r="IT24" s="791">
        <f t="shared" si="232"/>
        <v>39.034354626655336</v>
      </c>
      <c r="IU24" s="9">
        <f t="shared" si="233"/>
        <v>-2.3590790566226225</v>
      </c>
      <c r="IV24" s="5">
        <f t="shared" si="234"/>
        <v>-0.2184640437528606</v>
      </c>
      <c r="IW24" s="5">
        <f t="shared" si="78"/>
        <v>0.19500000000000001</v>
      </c>
      <c r="IX24" s="5">
        <f t="shared" si="235"/>
        <v>0.19500000000000001</v>
      </c>
      <c r="IY24" s="833">
        <f t="shared" si="236"/>
        <v>29.999995668536535</v>
      </c>
    </row>
    <row r="25" spans="1:259" ht="15" customHeight="1" x14ac:dyDescent="0.25">
      <c r="A25" s="84">
        <f t="shared" si="81"/>
        <v>0.02</v>
      </c>
      <c r="B25" s="770">
        <v>-0.4088505130625335</v>
      </c>
      <c r="C25" s="771">
        <v>-0.40885023488699856</v>
      </c>
      <c r="D25" s="772">
        <v>-0.26420079682960323</v>
      </c>
      <c r="E25" s="773">
        <v>0.72040130119855761</v>
      </c>
      <c r="F25" s="771">
        <v>-0.62835819528077685</v>
      </c>
      <c r="G25" s="774">
        <v>0.29357783236291934</v>
      </c>
      <c r="H25" s="773">
        <v>0.314</v>
      </c>
      <c r="I25" s="771">
        <v>0.52</v>
      </c>
      <c r="J25" s="601">
        <v>4.1020000000000003</v>
      </c>
      <c r="K25" s="426" t="str">
        <f t="shared" si="82"/>
        <v>1613</v>
      </c>
      <c r="L25" s="327"/>
      <c r="M25" s="173">
        <f t="shared" si="1"/>
        <v>4.1020000000000003</v>
      </c>
      <c r="N25" s="21">
        <f t="shared" si="2"/>
        <v>-0.4088505130625335</v>
      </c>
      <c r="O25" s="5">
        <f t="shared" si="3"/>
        <v>-0.40885023488699856</v>
      </c>
      <c r="P25" s="10">
        <f t="shared" si="4"/>
        <v>-0.26420079682960323</v>
      </c>
      <c r="Q25" s="624">
        <f t="shared" si="116"/>
        <v>224.99998050841441</v>
      </c>
      <c r="R25" s="5">
        <f>IF(M25="","",SQRT(N25^2+O25^2))</f>
        <v>0.5782017438564595</v>
      </c>
      <c r="S25" s="6">
        <f>IF(M25="","",P25)</f>
        <v>-0.26420079682960323</v>
      </c>
      <c r="T25" s="4">
        <f>IF(M25="","",X25*COS(RADIANS(W25)))</f>
        <v>-0.41640748901219687</v>
      </c>
      <c r="U25" s="5">
        <f>IF(M25="","",X25*SIN(RADIANS(W25)))</f>
        <v>0.40115091884876442</v>
      </c>
      <c r="V25" s="8">
        <f>IF(M25="","",Y25)</f>
        <v>-0.26420079682960323</v>
      </c>
      <c r="W25" s="624">
        <f t="shared" si="226"/>
        <v>136.06908035405547</v>
      </c>
      <c r="X25" s="5">
        <f>IF(M25="","",R25)</f>
        <v>0.5782017438564595</v>
      </c>
      <c r="Y25" s="7">
        <f t="shared" si="225"/>
        <v>-0.26420079682960323</v>
      </c>
      <c r="Z25" s="21">
        <f t="shared" si="6"/>
        <v>-0.72040130119855761</v>
      </c>
      <c r="AA25" s="5">
        <f t="shared" si="7"/>
        <v>0.62835819528077685</v>
      </c>
      <c r="AB25" s="5">
        <f t="shared" si="8"/>
        <v>-0.29357783236291934</v>
      </c>
      <c r="AC25" s="8">
        <f>IF(M25="","",SQRT(Z25^2+AA25^2+AB25^2))</f>
        <v>1</v>
      </c>
      <c r="AD25" s="9">
        <f>IF(M25="","",Z25*(1/SQRT(Z25^2+AA25^2+AB25^2)))</f>
        <v>-0.72040130119855761</v>
      </c>
      <c r="AE25" s="5">
        <f>IF(M25="","",AA25*(1/SQRT(Z25^2+AA25^2+AB25^2)))</f>
        <v>0.62835819528077685</v>
      </c>
      <c r="AF25" s="10">
        <f>IF(M25="","",AB25*(1/SQRT(Z25^2+AA25^2+AB25^2)))</f>
        <v>-0.29357783236291934</v>
      </c>
      <c r="AG25" s="622">
        <f>IF(M25="","",DEGREES(ATAN2(-AF25,AE25)))</f>
        <v>64.957353714208011</v>
      </c>
      <c r="AH25" s="623">
        <f>IF(M25="","",DEGREES(ACOS(AD25)))</f>
        <v>136.08762255200273</v>
      </c>
      <c r="AI25" s="624">
        <f>IF(M25="","",DEGREES(-ACOS(-AF25)))</f>
        <v>-72.927722444134986</v>
      </c>
      <c r="AJ25" s="625">
        <f>IF(M25="","",DEGREES(ATAN2(-AE25,AD25)))</f>
        <v>-131.09602922734501</v>
      </c>
      <c r="AK25" s="4">
        <f>IF(M25="","",(COS(RADIANS((90-$Q$8)-W25))*AD25)+(-SIN(RADIANS((90-$Q$8)-W25))*AE25))</f>
        <v>0.95371696400905348</v>
      </c>
      <c r="AL25" s="5">
        <f>IF(M25="","",(SIN(RADIANS((90-$Q$8)-W25))*AD25)+(COS(RADIANS((90-$Q$8)-W25))*AE25))</f>
        <v>6.5084628803148636E-2</v>
      </c>
      <c r="AM25" s="6">
        <f>IF(M25="","",AF25)</f>
        <v>-0.29357783236291934</v>
      </c>
      <c r="AN25" s="612">
        <f>IF(M25="","",DEGREES(ATAN2(-AM25,AL25)))</f>
        <v>12.499998195223537</v>
      </c>
      <c r="AO25" s="613">
        <f>IF(ROUND(IF(M25="",0,DEGREES(ACOS(AK25))),4)=90,0,IF(M25="","",DEGREES(ACOS(AK25))))</f>
        <v>17.499997473312952</v>
      </c>
      <c r="AP25" s="624">
        <f>IF(M25="","",DEGREES(ATAN2(AK25,AL25)))</f>
        <v>3.9039902642405711</v>
      </c>
      <c r="AQ25" s="625">
        <f t="shared" si="9"/>
        <v>20.523465702431508</v>
      </c>
      <c r="AS25" s="56">
        <f t="shared" si="119"/>
        <v>-223.93091964594453</v>
      </c>
      <c r="AT25" s="77">
        <f t="shared" si="10"/>
        <v>0.58579927680527577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4.1020000000000003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-0.90707962323870284</v>
      </c>
      <c r="C26" s="771">
        <v>-0.90707900607582459</v>
      </c>
      <c r="D26" s="772">
        <v>-0.1080003257289824</v>
      </c>
      <c r="E26" s="773">
        <v>0.71979208567164432</v>
      </c>
      <c r="F26" s="771">
        <v>-0.62520499025675358</v>
      </c>
      <c r="G26" s="774">
        <v>0.30169201773085935</v>
      </c>
      <c r="H26" s="773">
        <v>0.314</v>
      </c>
      <c r="I26" s="771">
        <v>0.52</v>
      </c>
      <c r="J26" s="601">
        <v>4.1050000000000004</v>
      </c>
      <c r="K26" s="426" t="str">
        <f t="shared" si="82"/>
        <v>1613</v>
      </c>
      <c r="L26" s="327"/>
      <c r="M26" s="173">
        <f t="shared" si="1"/>
        <v>4.1050000000000004</v>
      </c>
      <c r="N26" s="21">
        <f t="shared" si="2"/>
        <v>-0.90707962323870284</v>
      </c>
      <c r="O26" s="5">
        <f t="shared" si="3"/>
        <v>-0.90707900607582459</v>
      </c>
      <c r="P26" s="10">
        <f t="shared" si="4"/>
        <v>-0.1080003257289824</v>
      </c>
      <c r="Q26" s="624">
        <f t="shared" si="116"/>
        <v>224.99998050841441</v>
      </c>
      <c r="R26" s="5">
        <f>IF(M26="","",SQRT(N26^2+O26^2))</f>
        <v>1.2828038689364687</v>
      </c>
      <c r="S26" s="6">
        <f>IF(M26="","",P26)</f>
        <v>-0.1080003257289824</v>
      </c>
      <c r="T26" s="4">
        <f>IF(M26="","",X26*COS(RADIANS(W26)))</f>
        <v>-0.92384560170329655</v>
      </c>
      <c r="U26" s="5">
        <f>IF(M26="","",X26*SIN(RADIANS(W26)))</f>
        <v>0.88999723054167235</v>
      </c>
      <c r="V26" s="8">
        <f>IF(M26="","",Y26)</f>
        <v>-0.1080003257289824</v>
      </c>
      <c r="W26" s="624">
        <f t="shared" si="226"/>
        <v>136.06908035405547</v>
      </c>
      <c r="X26" s="5">
        <f>IF(M26="","",R26)</f>
        <v>1.2828038689364687</v>
      </c>
      <c r="Y26" s="7">
        <f t="shared" si="225"/>
        <v>-0.1080003257289824</v>
      </c>
      <c r="Z26" s="21">
        <f t="shared" si="6"/>
        <v>-0.71979208567164432</v>
      </c>
      <c r="AA26" s="5">
        <f t="shared" si="7"/>
        <v>0.62520499025675358</v>
      </c>
      <c r="AB26" s="5">
        <f t="shared" si="8"/>
        <v>-0.30169201773085935</v>
      </c>
      <c r="AC26" s="8">
        <f>IF(M26="","",SQRT(Z26^2+AA26^2+AB26^2))</f>
        <v>1</v>
      </c>
      <c r="AD26" s="9">
        <f>IF(M26="","",Z26*(1/SQRT(Z26^2+AA26^2+AB26^2)))</f>
        <v>-0.71979208567164432</v>
      </c>
      <c r="AE26" s="5">
        <f>IF(M26="","",AA26*(1/SQRT(Z26^2+AA26^2+AB26^2)))</f>
        <v>0.62520499025675358</v>
      </c>
      <c r="AF26" s="10">
        <f>IF(M26="","",AB26*(1/SQRT(Z26^2+AA26^2+AB26^2)))</f>
        <v>-0.30169201773085935</v>
      </c>
      <c r="AG26" s="622">
        <f>IF(M26="","",DEGREES(ATAN2(-AF26,AE26)))</f>
        <v>64.240415379506985</v>
      </c>
      <c r="AH26" s="623">
        <f>IF(M26="","",DEGREES(ACOS(AD26)))</f>
        <v>136.03731731377334</v>
      </c>
      <c r="AI26" s="624">
        <f>IF(M26="","",DEGREES(-ACOS(-AF26)))</f>
        <v>-72.440741991807343</v>
      </c>
      <c r="AJ26" s="625">
        <f>IF(M26="","",DEGREES(ATAN2(-AE26,AD26)))</f>
        <v>-130.97728968702185</v>
      </c>
      <c r="AK26" s="4">
        <f>IF(M26="","",(COS(RADIANS((90-$Q$8)-W26))*AD26)+(-SIN(RADIANS((90-$Q$8)-W26))*AE26))</f>
        <v>0.95105653031184811</v>
      </c>
      <c r="AL26" s="5">
        <f>IF(M26="","",(SIN(RADIANS((90-$Q$8)-W26))*AD26)+(COS(RADIANS((90-$Q$8)-W26))*AE26))</f>
        <v>6.6883500122763395E-2</v>
      </c>
      <c r="AM26" s="6">
        <f>IF(M26="","",AF26)</f>
        <v>-0.30169201773085935</v>
      </c>
      <c r="AN26" s="612">
        <f>IF(M26="","",DEGREES(ATAN2(-AM26,AL26)))</f>
        <v>12.499998195223542</v>
      </c>
      <c r="AO26" s="613">
        <f t="shared" si="98"/>
        <v>17.999997401121902</v>
      </c>
      <c r="AP26" s="624">
        <f>IF(M26="","",DEGREES(ATAN2(AK26,AL26)))</f>
        <v>4.0227298045637365</v>
      </c>
      <c r="AQ26" s="625">
        <f t="shared" si="9"/>
        <v>9.577448818716201</v>
      </c>
      <c r="AS26" s="56">
        <f t="shared" si="119"/>
        <v>-223.93091964594453</v>
      </c>
      <c r="AT26" s="77">
        <f t="shared" si="10"/>
        <v>0.74199974790589651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4.1050000000000004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-1.5551418485072526</v>
      </c>
      <c r="C27" s="771">
        <v>-1.5277311601286188</v>
      </c>
      <c r="D27" s="772">
        <v>-0.16940051091194092</v>
      </c>
      <c r="E27" s="773">
        <v>0.53281784467661486</v>
      </c>
      <c r="F27" s="771">
        <v>-0.79231643954682773</v>
      </c>
      <c r="G27" s="774">
        <v>0.29722012720878266</v>
      </c>
      <c r="H27" s="773">
        <v>0.314</v>
      </c>
      <c r="I27" s="771">
        <v>0.52</v>
      </c>
      <c r="J27" s="601">
        <v>4.1100000000000003</v>
      </c>
      <c r="K27" s="426" t="str">
        <f t="shared" si="82"/>
        <v>1613</v>
      </c>
      <c r="L27" s="327"/>
      <c r="M27" s="173">
        <f t="shared" si="1"/>
        <v>4.1100000000000003</v>
      </c>
      <c r="N27" s="21">
        <f t="shared" si="2"/>
        <v>-1.5551418485072526</v>
      </c>
      <c r="O27" s="5">
        <f t="shared" si="3"/>
        <v>-1.5277311601286188</v>
      </c>
      <c r="P27" s="10">
        <f t="shared" si="4"/>
        <v>-0.16940051091194092</v>
      </c>
      <c r="Q27" s="624">
        <f t="shared" si="116"/>
        <v>224.49058058196266</v>
      </c>
      <c r="R27" s="5">
        <f t="shared" si="83"/>
        <v>2.1800065748998305</v>
      </c>
      <c r="S27" s="6">
        <f t="shared" si="84"/>
        <v>-0.16940051091194092</v>
      </c>
      <c r="T27" s="4">
        <f t="shared" si="85"/>
        <v>-1.5564814064674284</v>
      </c>
      <c r="U27" s="5">
        <f t="shared" si="86"/>
        <v>1.5263663708060613</v>
      </c>
      <c r="V27" s="8">
        <f t="shared" si="117"/>
        <v>-0.16940051091194092</v>
      </c>
      <c r="W27" s="624">
        <f t="shared" si="226"/>
        <v>135.55968042760372</v>
      </c>
      <c r="X27" s="5">
        <f t="shared" si="87"/>
        <v>2.1800065748998305</v>
      </c>
      <c r="Y27" s="7">
        <f t="shared" si="225"/>
        <v>-0.16940051091194092</v>
      </c>
      <c r="Z27" s="21">
        <f t="shared" si="6"/>
        <v>-0.53281784467661486</v>
      </c>
      <c r="AA27" s="5">
        <f t="shared" si="7"/>
        <v>0.79231643954682773</v>
      </c>
      <c r="AB27" s="5">
        <f t="shared" si="8"/>
        <v>-0.29722012720878266</v>
      </c>
      <c r="AC27" s="8">
        <f t="shared" si="88"/>
        <v>1</v>
      </c>
      <c r="AD27" s="9">
        <f t="shared" si="118"/>
        <v>-0.53281784467661486</v>
      </c>
      <c r="AE27" s="5">
        <f t="shared" si="89"/>
        <v>0.79231643954682773</v>
      </c>
      <c r="AF27" s="10">
        <f t="shared" si="90"/>
        <v>-0.29722012720878266</v>
      </c>
      <c r="AG27" s="622">
        <f t="shared" si="91"/>
        <v>69.437522457581693</v>
      </c>
      <c r="AH27" s="623">
        <f t="shared" si="92"/>
        <v>122.19604369354001</v>
      </c>
      <c r="AI27" s="624">
        <f t="shared" si="93"/>
        <v>-72.709286219905451</v>
      </c>
      <c r="AJ27" s="625">
        <f t="shared" si="94"/>
        <v>-146.07991318852612</v>
      </c>
      <c r="AK27" s="4">
        <f t="shared" si="213"/>
        <v>0.93860582804829074</v>
      </c>
      <c r="AL27" s="5">
        <f t="shared" si="95"/>
        <v>-0.17515506140496673</v>
      </c>
      <c r="AM27" s="6">
        <f t="shared" si="96"/>
        <v>-0.29722012720878266</v>
      </c>
      <c r="AN27" s="612">
        <f t="shared" si="97"/>
        <v>-30.51130859109594</v>
      </c>
      <c r="AO27" s="613">
        <f t="shared" si="98"/>
        <v>20.181273753946812</v>
      </c>
      <c r="AP27" s="624">
        <f t="shared" si="99"/>
        <v>-10.570493770488769</v>
      </c>
      <c r="AQ27" s="625">
        <f t="shared" si="9"/>
        <v>5.6702576407942669</v>
      </c>
      <c r="AS27" s="56">
        <f t="shared" si="119"/>
        <v>-224.44031957239628</v>
      </c>
      <c r="AT27" s="77">
        <f t="shared" si="10"/>
        <v>0.68252396244508917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4.1100000000000003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-1.9757694759828031</v>
      </c>
      <c r="C28" s="771">
        <v>-1.8858365959691066</v>
      </c>
      <c r="D28" s="772">
        <v>-0.79140238686959885</v>
      </c>
      <c r="E28" s="773">
        <v>0.31594804681823746</v>
      </c>
      <c r="F28" s="771">
        <v>-0.93695655261757382</v>
      </c>
      <c r="G28" s="774">
        <v>0.14929584796213347</v>
      </c>
      <c r="H28" s="773">
        <v>0.314</v>
      </c>
      <c r="I28" s="771">
        <v>0.52</v>
      </c>
      <c r="J28" s="601">
        <v>4.1150000000000002</v>
      </c>
      <c r="K28" s="426" t="str">
        <f t="shared" si="82"/>
        <v>1613</v>
      </c>
      <c r="L28" s="327"/>
      <c r="M28" s="173">
        <f t="shared" si="1"/>
        <v>4.1150000000000002</v>
      </c>
      <c r="N28" s="21">
        <f t="shared" si="2"/>
        <v>-1.9757694759828031</v>
      </c>
      <c r="O28" s="5">
        <f t="shared" si="3"/>
        <v>-1.8858365959691066</v>
      </c>
      <c r="P28" s="10">
        <f t="shared" si="4"/>
        <v>-0.79140238686959885</v>
      </c>
      <c r="Q28" s="624">
        <f t="shared" si="116"/>
        <v>223.66588070103458</v>
      </c>
      <c r="R28" s="5">
        <f t="shared" si="83"/>
        <v>2.7313082376256452</v>
      </c>
      <c r="S28" s="6">
        <f t="shared" si="84"/>
        <v>-0.79140238686959885</v>
      </c>
      <c r="T28" s="4">
        <f t="shared" si="85"/>
        <v>-1.9223726701881698</v>
      </c>
      <c r="U28" s="5">
        <f t="shared" si="86"/>
        <v>1.9402391620198047</v>
      </c>
      <c r="V28" s="8">
        <f t="shared" si="117"/>
        <v>-0.79140238686959885</v>
      </c>
      <c r="W28" s="624">
        <f t="shared" si="226"/>
        <v>134.73498054667567</v>
      </c>
      <c r="X28" s="5">
        <f t="shared" si="87"/>
        <v>2.7313082376256452</v>
      </c>
      <c r="Y28" s="7">
        <f t="shared" si="225"/>
        <v>-0.79140238686959885</v>
      </c>
      <c r="Z28" s="21">
        <f t="shared" si="6"/>
        <v>-0.31594804681823746</v>
      </c>
      <c r="AA28" s="5">
        <f t="shared" si="7"/>
        <v>0.93695655261757382</v>
      </c>
      <c r="AB28" s="5">
        <f t="shared" si="8"/>
        <v>-0.14929584796213347</v>
      </c>
      <c r="AC28" s="8">
        <f t="shared" si="88"/>
        <v>1</v>
      </c>
      <c r="AD28" s="9">
        <f t="shared" si="118"/>
        <v>-0.31594804681823746</v>
      </c>
      <c r="AE28" s="5">
        <f t="shared" si="89"/>
        <v>0.93695655261757382</v>
      </c>
      <c r="AF28" s="10">
        <f t="shared" si="90"/>
        <v>-0.14929584796213347</v>
      </c>
      <c r="AG28" s="622">
        <f t="shared" si="91"/>
        <v>80.946527160307141</v>
      </c>
      <c r="AH28" s="623">
        <f t="shared" si="92"/>
        <v>108.41805599652665</v>
      </c>
      <c r="AI28" s="624">
        <f t="shared" si="93"/>
        <v>-81.413877866558849</v>
      </c>
      <c r="AJ28" s="625">
        <f t="shared" si="94"/>
        <v>-161.36554792169937</v>
      </c>
      <c r="AK28" s="4">
        <f t="shared" si="213"/>
        <v>0.89592105072179795</v>
      </c>
      <c r="AL28" s="5">
        <f t="shared" si="95"/>
        <v>-0.4183733029900657</v>
      </c>
      <c r="AM28" s="6">
        <f t="shared" si="96"/>
        <v>-0.14929584796213347</v>
      </c>
      <c r="AN28" s="612">
        <f t="shared" si="97"/>
        <v>-70.36113947880078</v>
      </c>
      <c r="AO28" s="613">
        <f t="shared" si="98"/>
        <v>26.373017986384173</v>
      </c>
      <c r="AP28" s="624">
        <f t="shared" si="99"/>
        <v>-25.031428622733962</v>
      </c>
      <c r="AQ28" s="625">
        <f t="shared" si="9"/>
        <v>4.5311064358850448</v>
      </c>
      <c r="AS28" s="56">
        <f t="shared" si="119"/>
        <v>-225.26501945332433</v>
      </c>
      <c r="AT28" s="77">
        <f t="shared" si="10"/>
        <v>6.3637619370937148E-2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4.1150000000000002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7"/>
        <v/>
      </c>
      <c r="IK28" s="839" t="str">
        <f t="shared" si="68"/>
        <v/>
      </c>
      <c r="IL28" s="791" t="str">
        <f t="shared" si="227"/>
        <v/>
      </c>
      <c r="IM28" s="830"/>
      <c r="IN28" s="5" t="str">
        <f t="shared" si="228"/>
        <v/>
      </c>
      <c r="IO28" s="852"/>
      <c r="IP28" s="9" t="str">
        <f t="shared" si="229"/>
        <v/>
      </c>
      <c r="IQ28" s="5" t="str">
        <f t="shared" si="230"/>
        <v/>
      </c>
      <c r="IR28" s="5" t="str">
        <f t="shared" si="73"/>
        <v/>
      </c>
      <c r="IS28" s="5" t="str">
        <f t="shared" si="231"/>
        <v/>
      </c>
      <c r="IT28" s="791" t="str">
        <f t="shared" si="232"/>
        <v/>
      </c>
      <c r="IU28" s="9" t="str">
        <f t="shared" si="233"/>
        <v/>
      </c>
      <c r="IV28" s="5" t="str">
        <f t="shared" si="234"/>
        <v/>
      </c>
      <c r="IW28" s="5" t="str">
        <f t="shared" si="78"/>
        <v/>
      </c>
      <c r="IX28" s="5" t="str">
        <f t="shared" si="235"/>
        <v/>
      </c>
      <c r="IY28" s="833" t="str">
        <f t="shared" si="236"/>
        <v/>
      </c>
    </row>
    <row r="29" spans="1:259" ht="15" customHeight="1" x14ac:dyDescent="0.25">
      <c r="A29" s="84">
        <f t="shared" si="81"/>
        <v>0.02</v>
      </c>
      <c r="B29" s="770">
        <v>-2.0888038079216211</v>
      </c>
      <c r="C29" s="771">
        <v>-1.9765118326915125</v>
      </c>
      <c r="D29" s="772">
        <v>-1.5437046558132421</v>
      </c>
      <c r="E29" s="773">
        <v>0.14639011202988667</v>
      </c>
      <c r="F29" s="771">
        <v>-0.98922693811878193</v>
      </c>
      <c r="G29" s="774">
        <v>1.3008419217203273E-7</v>
      </c>
      <c r="H29" s="773">
        <v>0.26600000000000001</v>
      </c>
      <c r="I29" s="771">
        <v>0.52</v>
      </c>
      <c r="J29" s="601">
        <v>4.12</v>
      </c>
      <c r="K29" s="426" t="str">
        <f t="shared" si="82"/>
        <v>1313</v>
      </c>
      <c r="L29" s="327"/>
      <c r="M29" s="173">
        <f t="shared" si="1"/>
        <v>4.12</v>
      </c>
      <c r="N29" s="21">
        <f t="shared" si="2"/>
        <v>-2.0888038079216211</v>
      </c>
      <c r="O29" s="5">
        <f t="shared" si="3"/>
        <v>-1.9765118326915125</v>
      </c>
      <c r="P29" s="10">
        <f t="shared" si="4"/>
        <v>-1.5437046558132421</v>
      </c>
      <c r="Q29" s="624">
        <f t="shared" si="116"/>
        <v>223.4177807368558</v>
      </c>
      <c r="R29" s="5">
        <f>IF(M29="","",SQRT(N29^2+O29^2))</f>
        <v>2.8757086731373587</v>
      </c>
      <c r="S29" s="6">
        <f>IF(M29="","",P29)</f>
        <v>-1.5437046558132421</v>
      </c>
      <c r="T29" s="4">
        <f>IF(M29="","",X29*COS(RADIANS(W29)))</f>
        <v>-2.01514114268962</v>
      </c>
      <c r="U29" s="5">
        <f>IF(M29="","",X29*SIN(RADIANS(W29)))</f>
        <v>2.0515619775666054</v>
      </c>
      <c r="V29" s="8">
        <f>IF(M29="","",Y29)</f>
        <v>-1.5437046558132421</v>
      </c>
      <c r="W29" s="624">
        <f t="shared" si="226"/>
        <v>134.48688058249689</v>
      </c>
      <c r="X29" s="5">
        <f>IF(M29="","",R29)</f>
        <v>2.8757086731373587</v>
      </c>
      <c r="Y29" s="7">
        <f t="shared" si="225"/>
        <v>-1.5437046558132421</v>
      </c>
      <c r="Z29" s="21">
        <f t="shared" si="6"/>
        <v>-0.14639011202988667</v>
      </c>
      <c r="AA29" s="5">
        <f t="shared" si="7"/>
        <v>0.98922693811878193</v>
      </c>
      <c r="AB29" s="5">
        <f t="shared" si="8"/>
        <v>-1.3008419217203273E-7</v>
      </c>
      <c r="AC29" s="8">
        <f>IF(M29="","",SQRT(Z29^2+AA29^2+AB29^2))</f>
        <v>1</v>
      </c>
      <c r="AD29" s="9">
        <f>IF(M29="","",Z29*(1/SQRT(Z29^2+AA29^2+AB29^2)))</f>
        <v>-0.14639011202988667</v>
      </c>
      <c r="AE29" s="5">
        <f>IF(M29="","",AA29*(1/SQRT(Z29^2+AA29^2+AB29^2)))</f>
        <v>0.98922693811878193</v>
      </c>
      <c r="AF29" s="10">
        <f>IF(M29="","",AB29*(1/SQRT(Z29^2+AA29^2+AB29^2)))</f>
        <v>-1.3008419217203273E-7</v>
      </c>
      <c r="AG29" s="622">
        <f>IF(M29="","",DEGREES(ATAN2(-AF29,AE29)))</f>
        <v>89.999992465555778</v>
      </c>
      <c r="AH29" s="623">
        <f>IF(M29="","",DEGREES(ACOS(AD29)))</f>
        <v>98.41778579023044</v>
      </c>
      <c r="AI29" s="624">
        <f>IF(M29="","",DEGREES(-ACOS(-AF29)))</f>
        <v>-89.999992546724812</v>
      </c>
      <c r="AJ29" s="625">
        <f>IF(M29="","",DEGREES(ATAN2(-AE29,AD29)))</f>
        <v>-171.58221420976949</v>
      </c>
      <c r="AK29" s="4">
        <f>IF(M29="","",(COS(RADIANS((90-$Q$8)-W29))*AD29)+(-SIN(RADIANS((90-$Q$8)-W29))*AE29))</f>
        <v>0.81915209487729146</v>
      </c>
      <c r="AL29" s="5">
        <f>IF(M29="","",(SIN(RADIANS((90-$Q$8)-W29))*AD29)+(COS(RADIANS((90-$Q$8)-W29))*AE29))</f>
        <v>-0.57357636410344526</v>
      </c>
      <c r="AM29" s="6">
        <f>IF(M29="","",AF29)</f>
        <v>-1.3008419217203273E-7</v>
      </c>
      <c r="AN29" s="612">
        <f>IF(M29="","",DEGREES(ATAN2(-AM29,AL29)))</f>
        <v>-89.999987005609626</v>
      </c>
      <c r="AO29" s="613">
        <f t="shared" si="98"/>
        <v>34.999994946626011</v>
      </c>
      <c r="AP29" s="624">
        <f>IF(M29="","",DEGREES(ATAN2(AK29,AL29)))</f>
        <v>-34.999994946625314</v>
      </c>
      <c r="AQ29" s="625">
        <f t="shared" si="9"/>
        <v>4.3044596916256186</v>
      </c>
      <c r="AS29" s="56">
        <f t="shared" si="119"/>
        <v>-225.51311941750311</v>
      </c>
      <c r="AT29" s="77">
        <f t="shared" si="10"/>
        <v>-0.68772738304136416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4.12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</v>
      </c>
      <c r="B30" s="770">
        <v>-1.2662332521671751</v>
      </c>
      <c r="C30" s="771">
        <v>-4.8864807237794704E-2</v>
      </c>
      <c r="D30" s="772">
        <v>-6.0470266110891992E-2</v>
      </c>
      <c r="E30" s="773">
        <v>8.7456604246122515E-9</v>
      </c>
      <c r="F30" s="771">
        <v>-2.2662620897378412E-7</v>
      </c>
      <c r="G30" s="774">
        <v>0.99999999999997435</v>
      </c>
      <c r="H30" s="773">
        <v>0.19500000000000001</v>
      </c>
      <c r="I30" s="771">
        <v>0.21199999999999999</v>
      </c>
      <c r="J30" s="601">
        <v>4.2050000000000001</v>
      </c>
      <c r="K30" s="426" t="str">
        <f t="shared" si="82"/>
        <v>Knuckle</v>
      </c>
      <c r="L30" s="327"/>
      <c r="M30" s="173">
        <f t="shared" si="1"/>
        <v>4.2050000000000001</v>
      </c>
      <c r="N30" s="21">
        <f t="shared" si="2"/>
        <v>-1.2662332521671751</v>
      </c>
      <c r="O30" s="5">
        <f t="shared" si="3"/>
        <v>-4.8864807237794704E-2</v>
      </c>
      <c r="P30" s="10">
        <f t="shared" si="4"/>
        <v>-6.0470266110891992E-2</v>
      </c>
      <c r="Q30" s="624">
        <f t="shared" si="116"/>
        <v>182.20998668652513</v>
      </c>
      <c r="R30" s="5">
        <f>IF(M30="","",SQRT(N30^2+O30^2))</f>
        <v>1.267175764556854</v>
      </c>
      <c r="S30" s="6">
        <f>IF(M30="","",P30)</f>
        <v>-6.0470266110891992E-2</v>
      </c>
      <c r="T30" s="4">
        <f>IF(M30="","",X30*COS(RADIANS(W30)))</f>
        <v>-7.2481971588653174E-2</v>
      </c>
      <c r="U30" s="5">
        <f>IF(M30="","",X30*SIN(RADIANS(W30)))</f>
        <v>1.2651010955946838</v>
      </c>
      <c r="V30" s="8">
        <f>IF(M30="","",Y30)</f>
        <v>-6.0470266110891992E-2</v>
      </c>
      <c r="W30" s="624">
        <f t="shared" si="226"/>
        <v>93.279086532166204</v>
      </c>
      <c r="X30" s="5">
        <f>IF(M30="","",R30)</f>
        <v>1.267175764556854</v>
      </c>
      <c r="Y30" s="7">
        <f t="shared" si="225"/>
        <v>-6.0470266110891992E-2</v>
      </c>
      <c r="Z30" s="21">
        <f t="shared" si="6"/>
        <v>-8.7456604246122515E-9</v>
      </c>
      <c r="AA30" s="5">
        <f t="shared" si="7"/>
        <v>2.2662620897378412E-7</v>
      </c>
      <c r="AB30" s="5">
        <f t="shared" si="8"/>
        <v>-0.99999999999997435</v>
      </c>
      <c r="AC30" s="8">
        <f>IF(M30="","",SQRT(Z30^2+AA30^2+AB30^2))</f>
        <v>1</v>
      </c>
      <c r="AD30" s="9">
        <f>IF(M30="","",Z30*(1/SQRT(Z30^2+AA30^2+AB30^2)))</f>
        <v>-8.7456604246122515E-9</v>
      </c>
      <c r="AE30" s="5">
        <f>IF(M30="","",AA30*(1/SQRT(Z30^2+AA30^2+AB30^2)))</f>
        <v>2.2662620897378412E-7</v>
      </c>
      <c r="AF30" s="10">
        <f>IF(M30="","",AB30*(1/SQRT(Z30^2+AA30^2+AB30^2)))</f>
        <v>-0.99999999999997435</v>
      </c>
      <c r="AG30" s="622">
        <f>IF(M30="","",DEGREES(ATAN2(-AF30,AE30)))</f>
        <v>1.2984725301247764E-5</v>
      </c>
      <c r="AH30" s="623">
        <f>IF(M30="","",DEGREES(ACOS(AD30)))</f>
        <v>90.000000501089431</v>
      </c>
      <c r="AI30" s="624">
        <f>IF(M30="","",DEGREES(-ACOS(-AF30)))</f>
        <v>-1.2976235990044085E-5</v>
      </c>
      <c r="AJ30" s="625">
        <f>IF(M30="","",DEGREES(ATAN2(-AE30,AD30)))</f>
        <v>-177.79001330843678</v>
      </c>
      <c r="AK30" s="4">
        <f>IF(M30="","",(COS(RADIANS((90-$Q$8)-W30))*AD30)+(-SIN(RADIANS((90-$Q$8)-W30))*AE30))</f>
        <v>2.267948967020464E-7</v>
      </c>
      <c r="AL30" s="5">
        <f>IF(M30="","",(SIN(RADIANS((90-$Q$8)-W30))*AD30)+(COS(RADIANS((90-$Q$8)-W30))*AE30))</f>
        <v>1.9942310445222507E-17</v>
      </c>
      <c r="AM30" s="6">
        <f>IF(M30="","",AF30)</f>
        <v>-0.99999999999997435</v>
      </c>
      <c r="AN30" s="612">
        <f>IF(M30="","",DEGREES(ATAN2(-AM30,AL30)))</f>
        <v>1.1426102222509367E-15</v>
      </c>
      <c r="AO30" s="613">
        <f>IF(ROUND(IF(M30="",0,DEGREES(ACOS(AK30))),4)=90,0,IF(M30="","",DEGREES(ACOS(AK30))))</f>
        <v>0</v>
      </c>
      <c r="AP30" s="624">
        <f>IF(M30="","",DEGREES(ATAN2(AK30,AL30)))</f>
        <v>5.0380773062632917E-9</v>
      </c>
      <c r="AQ30" s="625">
        <f t="shared" si="9"/>
        <v>9.6933399253444339</v>
      </c>
      <c r="AS30" s="56">
        <f t="shared" si="119"/>
        <v>-266.72091346783378</v>
      </c>
      <c r="AT30" s="77">
        <f t="shared" si="10"/>
        <v>0.95118089529556848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>
        <f>IFERROR(IF($IU30="","",IF($IU30&lt;(((Settings!$C$19/2)*-1)*$IE$8),"",1)),"")</f>
        <v>1</v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4.2050000000000001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4.1050000000000004</v>
      </c>
      <c r="II30" s="800" cm="1">
        <f t="array" ref="II30">IFERROR(IF($IH30&lt;1,$IH30+LARGE((IF($M$9:$M$150="",0,$M$9:$M$150)-MOD(IF($M$9:$M$150="",0,$M$9:$M$150),1)),1),$IH30),"")</f>
        <v>4.1050000000000004</v>
      </c>
      <c r="IJ30" s="839" t="str">
        <f t="shared" si="67"/>
        <v>1613</v>
      </c>
      <c r="IK30" s="839" t="str">
        <f t="shared" si="68"/>
        <v>Knuckle</v>
      </c>
      <c r="IL30" s="791">
        <f t="shared" si="227"/>
        <v>42.789993821889269</v>
      </c>
      <c r="IM30" s="830">
        <v>5.3696761628653902E-2</v>
      </c>
      <c r="IN30" s="5">
        <f t="shared" si="228"/>
        <v>0.46</v>
      </c>
      <c r="IO30" s="852">
        <v>230</v>
      </c>
      <c r="IP30" s="9">
        <f t="shared" si="229"/>
        <v>-1.2828038689364687</v>
      </c>
      <c r="IQ30" s="5">
        <f t="shared" si="230"/>
        <v>-0.1080003257289824</v>
      </c>
      <c r="IR30" s="5">
        <f t="shared" si="73"/>
        <v>0.314</v>
      </c>
      <c r="IS30" s="5">
        <f t="shared" si="231"/>
        <v>0.29863175051792029</v>
      </c>
      <c r="IT30" s="791">
        <f t="shared" si="232"/>
        <v>-12.499998195223542</v>
      </c>
      <c r="IU30" s="9">
        <f t="shared" si="233"/>
        <v>-1.267175764556854</v>
      </c>
      <c r="IV30" s="5">
        <f t="shared" si="234"/>
        <v>-6.0470266110891992E-2</v>
      </c>
      <c r="IW30" s="5">
        <f t="shared" si="78"/>
        <v>0.19500000000000001</v>
      </c>
      <c r="IX30" s="5">
        <f t="shared" si="235"/>
        <v>0.19500000000000001</v>
      </c>
      <c r="IY30" s="833">
        <f t="shared" si="236"/>
        <v>-1.1426102222509367E-15</v>
      </c>
    </row>
    <row r="31" spans="1:259" ht="15" customHeight="1" x14ac:dyDescent="0.25">
      <c r="A31" s="84">
        <f t="shared" si="81"/>
        <v>0.02</v>
      </c>
      <c r="B31" s="770">
        <v>-1.8284152501104349</v>
      </c>
      <c r="C31" s="771">
        <v>0.8652411193010483</v>
      </c>
      <c r="D31" s="772">
        <v>-0.10450031517295055</v>
      </c>
      <c r="E31" s="773">
        <v>-0.51490791025754645</v>
      </c>
      <c r="F31" s="771">
        <v>-0.79517698366793321</v>
      </c>
      <c r="G31" s="774">
        <v>0.32025522415563196</v>
      </c>
      <c r="H31" s="773">
        <v>0.314</v>
      </c>
      <c r="I31" s="771">
        <v>0.52</v>
      </c>
      <c r="J31" s="601">
        <v>5.109</v>
      </c>
      <c r="K31" s="426" t="str">
        <f t="shared" si="82"/>
        <v>1613</v>
      </c>
      <c r="L31" s="327"/>
      <c r="M31" s="173">
        <f t="shared" si="1"/>
        <v>5.109</v>
      </c>
      <c r="N31" s="21">
        <f t="shared" si="2"/>
        <v>-1.8284152501104349</v>
      </c>
      <c r="O31" s="5">
        <f t="shared" si="3"/>
        <v>0.8652411193010483</v>
      </c>
      <c r="P31" s="10">
        <f t="shared" si="4"/>
        <v>-0.10450031517295055</v>
      </c>
      <c r="Q31" s="624">
        <f t="shared" si="116"/>
        <v>154.67559066200005</v>
      </c>
      <c r="R31" s="5">
        <f>IF(M31="","",SQRT(N31^2+O31^2))</f>
        <v>2.0228061007832006</v>
      </c>
      <c r="S31" s="6">
        <f>IF(M31="","",P31)</f>
        <v>-0.10450031517295055</v>
      </c>
      <c r="T31" s="4">
        <f>IF(M31="","",X31*COS(RADIANS(W31)))</f>
        <v>0.83097550667724207</v>
      </c>
      <c r="U31" s="5">
        <f>IF(M31="","",X31*SIN(RADIANS(W31)))</f>
        <v>1.8442408271883139</v>
      </c>
      <c r="V31" s="8">
        <f>IF(M31="","",Y31)</f>
        <v>-0.10450031517295055</v>
      </c>
      <c r="W31" s="624">
        <f t="shared" si="226"/>
        <v>65.744690507641124</v>
      </c>
      <c r="X31" s="5">
        <f>IF(M31="","",R31)</f>
        <v>2.0228061007832006</v>
      </c>
      <c r="Y31" s="7">
        <f t="shared" si="225"/>
        <v>-0.10450031517295055</v>
      </c>
      <c r="Z31" s="21">
        <f t="shared" si="6"/>
        <v>0.51490791025754645</v>
      </c>
      <c r="AA31" s="5">
        <f t="shared" si="7"/>
        <v>0.79517698366793321</v>
      </c>
      <c r="AB31" s="5">
        <f t="shared" si="8"/>
        <v>-0.32025522415563196</v>
      </c>
      <c r="AC31" s="8">
        <f>IF(M31="","",SQRT(Z31^2+AA31^2+AB31^2))</f>
        <v>1</v>
      </c>
      <c r="AD31" s="9">
        <f>IF(M31="","",Z31*(1/SQRT(Z31^2+AA31^2+AB31^2)))</f>
        <v>0.51490791025754645</v>
      </c>
      <c r="AE31" s="5">
        <f>IF(M31="","",AA31*(1/SQRT(Z31^2+AA31^2+AB31^2)))</f>
        <v>0.79517698366793321</v>
      </c>
      <c r="AF31" s="10">
        <f>IF(M31="","",AB31*(1/SQRT(Z31^2+AA31^2+AB31^2)))</f>
        <v>-0.32025522415563196</v>
      </c>
      <c r="AG31" s="622">
        <f>IF(M31="","",DEGREES(ATAN2(-AF31,AE31)))</f>
        <v>68.063031906105138</v>
      </c>
      <c r="AH31" s="623">
        <f>IF(M31="","",DEGREES(ACOS(AD31)))</f>
        <v>59.008700221115362</v>
      </c>
      <c r="AI31" s="624">
        <f>IF(M31="","",DEGREES(-ACOS(-AF31)))</f>
        <v>-71.321639542244213</v>
      </c>
      <c r="AJ31" s="625">
        <f>IF(M31="","",DEGREES(ATAN2(-AE31,AD31)))</f>
        <v>147.07537873985277</v>
      </c>
      <c r="AK31" s="4">
        <f>IF(M31="","",(COS(RADIANS((90-$Q$8)-W31))*AD31)+(-SIN(RADIANS((90-$Q$8)-W31))*AE31))</f>
        <v>0.93900904261067653</v>
      </c>
      <c r="AL31" s="5">
        <f>IF(M31="","",(SIN(RADIANS((90-$Q$8)-W31))*AD31)+(COS(RADIANS((90-$Q$8)-W31))*AE31))</f>
        <v>-0.12529409122702789</v>
      </c>
      <c r="AM31" s="6">
        <f>IF(M31="","",AF31)</f>
        <v>-0.32025522415563196</v>
      </c>
      <c r="AN31" s="612">
        <f>IF(M31="","",DEGREES(ATAN2(-AM31,AL31)))</f>
        <v>-21.367027289804685</v>
      </c>
      <c r="AO31" s="613">
        <f t="shared" si="98"/>
        <v>20.11420152294043</v>
      </c>
      <c r="AP31" s="624">
        <f>IF(M31="","",DEGREES(ATAN2(AK31,AL31)))</f>
        <v>-7.6002119221472677</v>
      </c>
      <c r="AQ31" s="625">
        <f t="shared" si="9"/>
        <v>6.1077044274882741</v>
      </c>
      <c r="AS31" s="56">
        <f t="shared" si="119"/>
        <v>-294.25530949235889</v>
      </c>
      <c r="AT31" s="77">
        <f t="shared" si="10"/>
        <v>1.0111696756594939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5.109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-2.3876867824864476</v>
      </c>
      <c r="C32" s="771">
        <v>1.1758302628785124</v>
      </c>
      <c r="D32" s="772">
        <v>-0.63630191908658806</v>
      </c>
      <c r="E32" s="773">
        <v>-0.73261845753220745</v>
      </c>
      <c r="F32" s="771">
        <v>-0.65457872257350891</v>
      </c>
      <c r="G32" s="774">
        <v>0.18653924958882673</v>
      </c>
      <c r="H32" s="773">
        <v>0.314</v>
      </c>
      <c r="I32" s="771">
        <v>0.52</v>
      </c>
      <c r="J32" s="601">
        <v>5.1139999999999999</v>
      </c>
      <c r="K32" s="426" t="str">
        <f t="shared" si="82"/>
        <v>1613</v>
      </c>
      <c r="L32" s="327"/>
      <c r="M32" s="173">
        <f t="shared" si="1"/>
        <v>5.1139999999999999</v>
      </c>
      <c r="N32" s="21">
        <f t="shared" si="2"/>
        <v>-2.3876867824864476</v>
      </c>
      <c r="O32" s="5">
        <f t="shared" si="3"/>
        <v>1.1758302628785124</v>
      </c>
      <c r="P32" s="10">
        <f t="shared" si="4"/>
        <v>-0.63630191908658806</v>
      </c>
      <c r="Q32" s="624">
        <f t="shared" si="116"/>
        <v>153.78179079104879</v>
      </c>
      <c r="R32" s="5">
        <f t="shared" si="83"/>
        <v>2.6615080271082099</v>
      </c>
      <c r="S32" s="6">
        <f t="shared" si="84"/>
        <v>-0.63630191908658806</v>
      </c>
      <c r="T32" s="4">
        <f t="shared" si="85"/>
        <v>1.131075566268378</v>
      </c>
      <c r="U32" s="5">
        <f t="shared" si="86"/>
        <v>2.4092100451708447</v>
      </c>
      <c r="V32" s="8">
        <f t="shared" si="117"/>
        <v>-0.63630191908658806</v>
      </c>
      <c r="W32" s="624">
        <f t="shared" si="226"/>
        <v>64.850890636689869</v>
      </c>
      <c r="X32" s="5">
        <f t="shared" si="87"/>
        <v>2.6615080271082099</v>
      </c>
      <c r="Y32" s="7">
        <f t="shared" si="225"/>
        <v>-0.63630191908658806</v>
      </c>
      <c r="Z32" s="21">
        <f t="shared" si="6"/>
        <v>0.73261845753220745</v>
      </c>
      <c r="AA32" s="5">
        <f t="shared" si="7"/>
        <v>0.65457872257350891</v>
      </c>
      <c r="AB32" s="5">
        <f t="shared" si="8"/>
        <v>-0.18653924958882673</v>
      </c>
      <c r="AC32" s="8">
        <f t="shared" si="88"/>
        <v>1</v>
      </c>
      <c r="AD32" s="9">
        <f t="shared" si="118"/>
        <v>0.73261845753220745</v>
      </c>
      <c r="AE32" s="5">
        <f t="shared" si="89"/>
        <v>0.65457872257350891</v>
      </c>
      <c r="AF32" s="10">
        <f t="shared" si="90"/>
        <v>-0.18653924958882673</v>
      </c>
      <c r="AG32" s="622">
        <f t="shared" si="91"/>
        <v>74.093717968425665</v>
      </c>
      <c r="AH32" s="623">
        <f t="shared" si="92"/>
        <v>42.893639895618549</v>
      </c>
      <c r="AI32" s="624">
        <f t="shared" si="93"/>
        <v>-79.249112753973151</v>
      </c>
      <c r="AJ32" s="625">
        <f t="shared" si="94"/>
        <v>131.78009775507334</v>
      </c>
      <c r="AK32" s="4">
        <f t="shared" si="213"/>
        <v>0.91089859312936339</v>
      </c>
      <c r="AL32" s="5">
        <f t="shared" si="95"/>
        <v>-0.36805823098768481</v>
      </c>
      <c r="AM32" s="6">
        <f t="shared" si="96"/>
        <v>-0.18653924958882673</v>
      </c>
      <c r="AN32" s="612">
        <f t="shared" si="97"/>
        <v>-63.123199448628313</v>
      </c>
      <c r="AO32" s="613">
        <f t="shared" si="98"/>
        <v>24.370172709265084</v>
      </c>
      <c r="AP32" s="624">
        <f t="shared" si="99"/>
        <v>-22.001693035975446</v>
      </c>
      <c r="AQ32" s="625">
        <f t="shared" si="9"/>
        <v>4.6494240129207922</v>
      </c>
      <c r="AS32" s="56">
        <f t="shared" si="119"/>
        <v>-295.14910936331012</v>
      </c>
      <c r="AT32" s="77">
        <f t="shared" si="10"/>
        <v>0.48274464903611636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5.1139999999999999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-2.5717267888318776</v>
      </c>
      <c r="C33" s="771">
        <v>1.2868262106290445</v>
      </c>
      <c r="D33" s="772">
        <v>-1.3874041844110201</v>
      </c>
      <c r="E33" s="773">
        <v>-0.87950080298853606</v>
      </c>
      <c r="F33" s="771">
        <v>-0.4758974023279634</v>
      </c>
      <c r="G33" s="774">
        <v>1.3008419196317487E-7</v>
      </c>
      <c r="H33" s="773">
        <v>0.26600000000000001</v>
      </c>
      <c r="I33" s="771">
        <v>0.52</v>
      </c>
      <c r="J33" s="601">
        <v>5.1189999999999998</v>
      </c>
      <c r="K33" s="426" t="str">
        <f t="shared" si="82"/>
        <v>1313</v>
      </c>
      <c r="L33" s="327"/>
      <c r="M33" s="173">
        <f t="shared" si="1"/>
        <v>5.1189999999999998</v>
      </c>
      <c r="N33" s="21">
        <f t="shared" si="2"/>
        <v>-2.5717267888318776</v>
      </c>
      <c r="O33" s="5">
        <f t="shared" si="3"/>
        <v>1.2868262106290445</v>
      </c>
      <c r="P33" s="10">
        <f t="shared" si="4"/>
        <v>-1.3874041844110201</v>
      </c>
      <c r="Q33" s="624">
        <f t="shared" si="116"/>
        <v>153.41779084360388</v>
      </c>
      <c r="R33" s="5">
        <f t="shared" si="83"/>
        <v>2.8757086731373587</v>
      </c>
      <c r="S33" s="6">
        <f t="shared" si="84"/>
        <v>-1.3874041844110201</v>
      </c>
      <c r="T33" s="4">
        <f t="shared" si="85"/>
        <v>1.2386183311614707</v>
      </c>
      <c r="U33" s="5">
        <f t="shared" si="86"/>
        <v>2.5952890017237391</v>
      </c>
      <c r="V33" s="8">
        <f t="shared" si="117"/>
        <v>-1.3874041844110201</v>
      </c>
      <c r="W33" s="624">
        <f t="shared" si="226"/>
        <v>64.486890689244959</v>
      </c>
      <c r="X33" s="5">
        <f t="shared" si="87"/>
        <v>2.8757086731373587</v>
      </c>
      <c r="Y33" s="7">
        <f t="shared" si="225"/>
        <v>-1.3874041844110201</v>
      </c>
      <c r="Z33" s="21">
        <f t="shared" si="6"/>
        <v>0.87950080298853606</v>
      </c>
      <c r="AA33" s="5">
        <f t="shared" si="7"/>
        <v>0.4758974023279634</v>
      </c>
      <c r="AB33" s="5">
        <f t="shared" si="8"/>
        <v>-1.3008419196317487E-7</v>
      </c>
      <c r="AC33" s="8">
        <f t="shared" si="88"/>
        <v>1</v>
      </c>
      <c r="AD33" s="9">
        <f t="shared" si="118"/>
        <v>0.87950080298853606</v>
      </c>
      <c r="AE33" s="5">
        <f t="shared" si="89"/>
        <v>0.4758974023279634</v>
      </c>
      <c r="AF33" s="10">
        <f t="shared" si="90"/>
        <v>-1.3008419196317487E-7</v>
      </c>
      <c r="AG33" s="622">
        <f t="shared" si="91"/>
        <v>89.999984338483159</v>
      </c>
      <c r="AH33" s="623">
        <f t="shared" si="92"/>
        <v>28.417795896979495</v>
      </c>
      <c r="AI33" s="624">
        <f t="shared" si="93"/>
        <v>-89.999992546724826</v>
      </c>
      <c r="AJ33" s="625">
        <f t="shared" si="94"/>
        <v>118.41779589697863</v>
      </c>
      <c r="AK33" s="4">
        <f t="shared" si="213"/>
        <v>0.8191520948772919</v>
      </c>
      <c r="AL33" s="5">
        <f t="shared" si="95"/>
        <v>-0.57357636410344459</v>
      </c>
      <c r="AM33" s="6">
        <f t="shared" si="96"/>
        <v>-1.3008419196317487E-7</v>
      </c>
      <c r="AN33" s="612">
        <f t="shared" si="97"/>
        <v>-89.999987005609626</v>
      </c>
      <c r="AO33" s="613">
        <f t="shared" si="98"/>
        <v>34.999994946625968</v>
      </c>
      <c r="AP33" s="624">
        <f t="shared" si="99"/>
        <v>-34.999994946625272</v>
      </c>
      <c r="AQ33" s="625">
        <f t="shared" si="9"/>
        <v>4.3044596916256186</v>
      </c>
      <c r="AS33" s="56">
        <f t="shared" si="119"/>
        <v>-295.51310931075506</v>
      </c>
      <c r="AT33" s="77">
        <f t="shared" si="10"/>
        <v>-0.26698250537574575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5.1189999999999998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</v>
      </c>
      <c r="B34" s="770"/>
      <c r="C34" s="771"/>
      <c r="D34" s="772"/>
      <c r="E34" s="773"/>
      <c r="F34" s="771"/>
      <c r="G34" s="774"/>
      <c r="H34" s="773"/>
      <c r="I34" s="771"/>
      <c r="J34" s="601"/>
      <c r="K34" s="426" t="str">
        <f t="shared" si="82"/>
        <v/>
      </c>
      <c r="L34" s="327"/>
      <c r="M34" s="173" t="str">
        <f t="shared" si="1"/>
        <v/>
      </c>
      <c r="N34" s="21" t="str">
        <f t="shared" si="2"/>
        <v/>
      </c>
      <c r="O34" s="5" t="str">
        <f t="shared" si="3"/>
        <v/>
      </c>
      <c r="P34" s="10" t="str">
        <f t="shared" si="4"/>
        <v/>
      </c>
      <c r="Q34" s="624" t="str">
        <f t="shared" si="116"/>
        <v/>
      </c>
      <c r="R34" s="5" t="str">
        <f>IF(M34="","",SQRT(N34^2+O34^2))</f>
        <v/>
      </c>
      <c r="S34" s="6" t="str">
        <f>IF(M34="","",P34)</f>
        <v/>
      </c>
      <c r="T34" s="4" t="str">
        <f>IF(M34="","",X34*COS(RADIANS(W34)))</f>
        <v/>
      </c>
      <c r="U34" s="5" t="str">
        <f>IF(M34="","",X34*SIN(RADIANS(W34)))</f>
        <v/>
      </c>
      <c r="V34" s="8" t="str">
        <f>IF(M34="","",Y34)</f>
        <v/>
      </c>
      <c r="W34" s="624" t="str">
        <f t="shared" si="226"/>
        <v/>
      </c>
      <c r="X34" s="5" t="str">
        <f>IF(M34="","",R34)</f>
        <v/>
      </c>
      <c r="Y34" s="7" t="str">
        <f t="shared" si="225"/>
        <v/>
      </c>
      <c r="Z34" s="21" t="str">
        <f t="shared" si="6"/>
        <v/>
      </c>
      <c r="AA34" s="5" t="str">
        <f t="shared" si="7"/>
        <v/>
      </c>
      <c r="AB34" s="5" t="str">
        <f t="shared" si="8"/>
        <v/>
      </c>
      <c r="AC34" s="8" t="str">
        <f>IF(M34="","",SQRT(Z34^2+AA34^2+AB34^2))</f>
        <v/>
      </c>
      <c r="AD34" s="9" t="str">
        <f>IF(M34="","",Z34*(1/SQRT(Z34^2+AA34^2+AB34^2)))</f>
        <v/>
      </c>
      <c r="AE34" s="5" t="str">
        <f>IF(M34="","",AA34*(1/SQRT(Z34^2+AA34^2+AB34^2)))</f>
        <v/>
      </c>
      <c r="AF34" s="10" t="str">
        <f>IF(M34="","",AB34*(1/SQRT(Z34^2+AA34^2+AB34^2)))</f>
        <v/>
      </c>
      <c r="AG34" s="622" t="str">
        <f>IF(M34="","",DEGREES(ATAN2(-AF34,AE34)))</f>
        <v/>
      </c>
      <c r="AH34" s="623" t="str">
        <f>IF(M34="","",DEGREES(ACOS(AD34)))</f>
        <v/>
      </c>
      <c r="AI34" s="624" t="str">
        <f>IF(M34="","",DEGREES(-ACOS(-AF34)))</f>
        <v/>
      </c>
      <c r="AJ34" s="625" t="str">
        <f>IF(M34="","",DEGREES(ATAN2(-AE34,AD34)))</f>
        <v/>
      </c>
      <c r="AK34" s="4" t="str">
        <f>IF(M34="","",(COS(RADIANS((90-$Q$8)-W34))*AD34)+(-SIN(RADIANS((90-$Q$8)-W34))*AE34))</f>
        <v/>
      </c>
      <c r="AL34" s="5" t="str">
        <f>IF(M34="","",(SIN(RADIANS((90-$Q$8)-W34))*AD34)+(COS(RADIANS((90-$Q$8)-W34))*AE34))</f>
        <v/>
      </c>
      <c r="AM34" s="6" t="str">
        <f>IF(M34="","",AF34)</f>
        <v/>
      </c>
      <c r="AN34" s="612" t="str">
        <f>IF(M34="","",DEGREES(ATAN2(-AM34,AL34)))</f>
        <v/>
      </c>
      <c r="AO34" s="613" t="str">
        <f t="shared" si="98"/>
        <v/>
      </c>
      <c r="AP34" s="624" t="str">
        <f>IF(M34="","",DEGREES(ATAN2(AK34,AL34)))</f>
        <v/>
      </c>
      <c r="AQ34" s="625" t="str">
        <f t="shared" si="9"/>
        <v/>
      </c>
      <c r="AS34" s="56" t="str">
        <f t="shared" si="119"/>
        <v/>
      </c>
      <c r="AT34" s="77" t="str">
        <f t="shared" si="10"/>
        <v/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 t="str">
        <f t="shared" si="66"/>
        <v/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</v>
      </c>
      <c r="B35" s="770"/>
      <c r="C35" s="771"/>
      <c r="D35" s="772"/>
      <c r="E35" s="773"/>
      <c r="F35" s="771"/>
      <c r="G35" s="774"/>
      <c r="H35" s="773"/>
      <c r="I35" s="771"/>
      <c r="J35" s="601"/>
      <c r="K35" s="426" t="str">
        <f t="shared" si="82"/>
        <v/>
      </c>
      <c r="L35" s="327"/>
      <c r="M35" s="173" t="str">
        <f t="shared" si="1"/>
        <v/>
      </c>
      <c r="N35" s="21" t="str">
        <f t="shared" si="2"/>
        <v/>
      </c>
      <c r="O35" s="5" t="str">
        <f t="shared" si="3"/>
        <v/>
      </c>
      <c r="P35" s="10" t="str">
        <f t="shared" si="4"/>
        <v/>
      </c>
      <c r="Q35" s="624" t="str">
        <f t="shared" si="116"/>
        <v/>
      </c>
      <c r="R35" s="5" t="str">
        <f>IF(M35="","",SQRT(N35^2+O35^2))</f>
        <v/>
      </c>
      <c r="S35" s="6" t="str">
        <f>IF(M35="","",P35)</f>
        <v/>
      </c>
      <c r="T35" s="4" t="str">
        <f>IF(M35="","",X35*COS(RADIANS(W35)))</f>
        <v/>
      </c>
      <c r="U35" s="5" t="str">
        <f>IF(M35="","",X35*SIN(RADIANS(W35)))</f>
        <v/>
      </c>
      <c r="V35" s="8" t="str">
        <f>IF(M35="","",Y35)</f>
        <v/>
      </c>
      <c r="W35" s="624" t="str">
        <f t="shared" si="226"/>
        <v/>
      </c>
      <c r="X35" s="5" t="str">
        <f>IF(M35="","",R35)</f>
        <v/>
      </c>
      <c r="Y35" s="7" t="str">
        <f t="shared" si="225"/>
        <v/>
      </c>
      <c r="Z35" s="21" t="str">
        <f t="shared" si="6"/>
        <v/>
      </c>
      <c r="AA35" s="5" t="str">
        <f t="shared" si="7"/>
        <v/>
      </c>
      <c r="AB35" s="5" t="str">
        <f t="shared" si="8"/>
        <v/>
      </c>
      <c r="AC35" s="8" t="str">
        <f>IF(M35="","",SQRT(Z35^2+AA35^2+AB35^2))</f>
        <v/>
      </c>
      <c r="AD35" s="9" t="str">
        <f>IF(M35="","",Z35*(1/SQRT(Z35^2+AA35^2+AB35^2)))</f>
        <v/>
      </c>
      <c r="AE35" s="5" t="str">
        <f>IF(M35="","",AA35*(1/SQRT(Z35^2+AA35^2+AB35^2)))</f>
        <v/>
      </c>
      <c r="AF35" s="10" t="str">
        <f>IF(M35="","",AB35*(1/SQRT(Z35^2+AA35^2+AB35^2)))</f>
        <v/>
      </c>
      <c r="AG35" s="622" t="str">
        <f>IF(M35="","",DEGREES(ATAN2(-AF35,AE35)))</f>
        <v/>
      </c>
      <c r="AH35" s="623" t="str">
        <f>IF(M35="","",DEGREES(ACOS(AD35)))</f>
        <v/>
      </c>
      <c r="AI35" s="624" t="str">
        <f>IF(M35="","",DEGREES(-ACOS(-AF35)))</f>
        <v/>
      </c>
      <c r="AJ35" s="625" t="str">
        <f>IF(M35="","",DEGREES(ATAN2(-AE35,AD35)))</f>
        <v/>
      </c>
      <c r="AK35" s="4" t="str">
        <f>IF(M35="","",(COS(RADIANS((90-$Q$8)-W35))*AD35)+(-SIN(RADIANS((90-$Q$8)-W35))*AE35))</f>
        <v/>
      </c>
      <c r="AL35" s="5" t="str">
        <f>IF(M35="","",(SIN(RADIANS((90-$Q$8)-W35))*AD35)+(COS(RADIANS((90-$Q$8)-W35))*AE35))</f>
        <v/>
      </c>
      <c r="AM35" s="6" t="str">
        <f>IF(M35="","",AF35)</f>
        <v/>
      </c>
      <c r="AN35" s="612" t="str">
        <f>IF(M35="","",DEGREES(ATAN2(-AM35,AL35)))</f>
        <v/>
      </c>
      <c r="AO35" s="613" t="str">
        <f t="shared" si="98"/>
        <v/>
      </c>
      <c r="AP35" s="624" t="str">
        <f>IF(M35="","",DEGREES(ATAN2(AK35,AL35)))</f>
        <v/>
      </c>
      <c r="AQ35" s="625" t="str">
        <f t="shared" si="9"/>
        <v/>
      </c>
      <c r="AS35" s="56" t="str">
        <f t="shared" si="119"/>
        <v/>
      </c>
      <c r="AT35" s="77" t="str">
        <f t="shared" si="10"/>
        <v/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 t="str">
        <f t="shared" si="66"/>
        <v/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</v>
      </c>
      <c r="B36" s="770"/>
      <c r="C36" s="771"/>
      <c r="D36" s="772"/>
      <c r="E36" s="773"/>
      <c r="F36" s="771"/>
      <c r="G36" s="774"/>
      <c r="H36" s="773"/>
      <c r="I36" s="771"/>
      <c r="J36" s="601"/>
      <c r="K36" s="426" t="str">
        <f t="shared" si="82"/>
        <v/>
      </c>
      <c r="L36" s="327"/>
      <c r="M36" s="173" t="str">
        <f t="shared" si="1"/>
        <v/>
      </c>
      <c r="N36" s="21" t="str">
        <f t="shared" si="2"/>
        <v/>
      </c>
      <c r="O36" s="5" t="str">
        <f t="shared" si="3"/>
        <v/>
      </c>
      <c r="P36" s="10" t="str">
        <f t="shared" si="4"/>
        <v/>
      </c>
      <c r="Q36" s="624" t="str">
        <f t="shared" si="116"/>
        <v/>
      </c>
      <c r="R36" s="5" t="str">
        <f>IF(M36="","",SQRT(N36^2+O36^2))</f>
        <v/>
      </c>
      <c r="S36" s="6" t="str">
        <f>IF(M36="","",P36)</f>
        <v/>
      </c>
      <c r="T36" s="4" t="str">
        <f>IF(M36="","",X36*COS(RADIANS(W36)))</f>
        <v/>
      </c>
      <c r="U36" s="5" t="str">
        <f>IF(M36="","",X36*SIN(RADIANS(W36)))</f>
        <v/>
      </c>
      <c r="V36" s="8" t="str">
        <f>IF(M36="","",Y36)</f>
        <v/>
      </c>
      <c r="W36" s="624" t="str">
        <f t="shared" si="226"/>
        <v/>
      </c>
      <c r="X36" s="5" t="str">
        <f>IF(M36="","",R36)</f>
        <v/>
      </c>
      <c r="Y36" s="7" t="str">
        <f t="shared" si="225"/>
        <v/>
      </c>
      <c r="Z36" s="21" t="str">
        <f t="shared" si="6"/>
        <v/>
      </c>
      <c r="AA36" s="5" t="str">
        <f t="shared" si="7"/>
        <v/>
      </c>
      <c r="AB36" s="5" t="str">
        <f t="shared" si="8"/>
        <v/>
      </c>
      <c r="AC36" s="8" t="str">
        <f>IF(M36="","",SQRT(Z36^2+AA36^2+AB36^2))</f>
        <v/>
      </c>
      <c r="AD36" s="9" t="str">
        <f>IF(M36="","",Z36*(1/SQRT(Z36^2+AA36^2+AB36^2)))</f>
        <v/>
      </c>
      <c r="AE36" s="5" t="str">
        <f>IF(M36="","",AA36*(1/SQRT(Z36^2+AA36^2+AB36^2)))</f>
        <v/>
      </c>
      <c r="AF36" s="10" t="str">
        <f>IF(M36="","",AB36*(1/SQRT(Z36^2+AA36^2+AB36^2)))</f>
        <v/>
      </c>
      <c r="AG36" s="622" t="str">
        <f>IF(M36="","",DEGREES(ATAN2(-AF36,AE36)))</f>
        <v/>
      </c>
      <c r="AH36" s="623" t="str">
        <f>IF(M36="","",DEGREES(ACOS(AD36)))</f>
        <v/>
      </c>
      <c r="AI36" s="624" t="str">
        <f>IF(M36="","",DEGREES(-ACOS(-AF36)))</f>
        <v/>
      </c>
      <c r="AJ36" s="625" t="str">
        <f>IF(M36="","",DEGREES(ATAN2(-AE36,AD36)))</f>
        <v/>
      </c>
      <c r="AK36" s="4" t="str">
        <f>IF(M36="","",(COS(RADIANS((90-$Q$8)-W36))*AD36)+(-SIN(RADIANS((90-$Q$8)-W36))*AE36))</f>
        <v/>
      </c>
      <c r="AL36" s="5" t="str">
        <f>IF(M36="","",(SIN(RADIANS((90-$Q$8)-W36))*AD36)+(COS(RADIANS((90-$Q$8)-W36))*AE36))</f>
        <v/>
      </c>
      <c r="AM36" s="6" t="str">
        <f>IF(M36="","",AF36)</f>
        <v/>
      </c>
      <c r="AN36" s="612" t="str">
        <f>IF(M36="","",DEGREES(ATAN2(-AM36,AL36)))</f>
        <v/>
      </c>
      <c r="AO36" s="613" t="str">
        <f t="shared" si="98"/>
        <v/>
      </c>
      <c r="AP36" s="624" t="str">
        <f>IF(M36="","",DEGREES(ATAN2(AK36,AL36)))</f>
        <v/>
      </c>
      <c r="AQ36" s="625" t="str">
        <f t="shared" si="9"/>
        <v/>
      </c>
      <c r="AS36" s="56" t="str">
        <f t="shared" si="119"/>
        <v/>
      </c>
      <c r="AT36" s="77" t="str">
        <f t="shared" si="10"/>
        <v/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 t="str">
        <f t="shared" si="66"/>
        <v/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</v>
      </c>
      <c r="B37" s="770"/>
      <c r="C37" s="771"/>
      <c r="D37" s="772"/>
      <c r="E37" s="773"/>
      <c r="F37" s="771"/>
      <c r="G37" s="774"/>
      <c r="H37" s="773"/>
      <c r="I37" s="771"/>
      <c r="J37" s="601"/>
      <c r="K37" s="426" t="str">
        <f t="shared" si="82"/>
        <v/>
      </c>
      <c r="L37" s="327"/>
      <c r="M37" s="173" t="str">
        <f t="shared" si="1"/>
        <v/>
      </c>
      <c r="N37" s="21" t="str">
        <f t="shared" si="2"/>
        <v/>
      </c>
      <c r="O37" s="5" t="str">
        <f t="shared" si="3"/>
        <v/>
      </c>
      <c r="P37" s="10" t="str">
        <f t="shared" si="4"/>
        <v/>
      </c>
      <c r="Q37" s="624" t="str">
        <f t="shared" si="116"/>
        <v/>
      </c>
      <c r="R37" s="5" t="str">
        <f t="shared" si="83"/>
        <v/>
      </c>
      <c r="S37" s="6" t="str">
        <f t="shared" si="84"/>
        <v/>
      </c>
      <c r="T37" s="4" t="str">
        <f t="shared" si="85"/>
        <v/>
      </c>
      <c r="U37" s="5" t="str">
        <f t="shared" si="86"/>
        <v/>
      </c>
      <c r="V37" s="8" t="str">
        <f t="shared" si="117"/>
        <v/>
      </c>
      <c r="W37" s="624" t="str">
        <f t="shared" si="226"/>
        <v/>
      </c>
      <c r="X37" s="5" t="str">
        <f t="shared" si="87"/>
        <v/>
      </c>
      <c r="Y37" s="7" t="str">
        <f t="shared" si="225"/>
        <v/>
      </c>
      <c r="Z37" s="21" t="str">
        <f t="shared" si="6"/>
        <v/>
      </c>
      <c r="AA37" s="5" t="str">
        <f t="shared" si="7"/>
        <v/>
      </c>
      <c r="AB37" s="5" t="str">
        <f t="shared" si="8"/>
        <v/>
      </c>
      <c r="AC37" s="8" t="str">
        <f t="shared" si="88"/>
        <v/>
      </c>
      <c r="AD37" s="9" t="str">
        <f t="shared" si="118"/>
        <v/>
      </c>
      <c r="AE37" s="5" t="str">
        <f t="shared" si="89"/>
        <v/>
      </c>
      <c r="AF37" s="10" t="str">
        <f t="shared" si="90"/>
        <v/>
      </c>
      <c r="AG37" s="622" t="str">
        <f t="shared" si="91"/>
        <v/>
      </c>
      <c r="AH37" s="623" t="str">
        <f t="shared" si="92"/>
        <v/>
      </c>
      <c r="AI37" s="624" t="str">
        <f t="shared" si="93"/>
        <v/>
      </c>
      <c r="AJ37" s="625" t="str">
        <f t="shared" si="94"/>
        <v/>
      </c>
      <c r="AK37" s="4" t="str">
        <f t="shared" si="213"/>
        <v/>
      </c>
      <c r="AL37" s="5" t="str">
        <f t="shared" si="95"/>
        <v/>
      </c>
      <c r="AM37" s="6" t="str">
        <f t="shared" si="96"/>
        <v/>
      </c>
      <c r="AN37" s="612" t="str">
        <f t="shared" si="97"/>
        <v/>
      </c>
      <c r="AO37" s="613" t="str">
        <f t="shared" si="98"/>
        <v/>
      </c>
      <c r="AP37" s="624" t="str">
        <f t="shared" si="99"/>
        <v/>
      </c>
      <c r="AQ37" s="625" t="str">
        <f t="shared" si="9"/>
        <v/>
      </c>
      <c r="AS37" s="56" t="str">
        <f t="shared" si="119"/>
        <v/>
      </c>
      <c r="AT37" s="77" t="str">
        <f t="shared" si="10"/>
        <v/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 t="str">
        <f t="shared" si="66"/>
        <v/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7"/>
        <v/>
      </c>
      <c r="IK37" s="839" t="str">
        <f t="shared" si="68"/>
        <v/>
      </c>
      <c r="IL37" s="791" t="str">
        <f t="shared" si="227"/>
        <v/>
      </c>
      <c r="IM37" s="830"/>
      <c r="IN37" s="5" t="str">
        <f t="shared" si="228"/>
        <v/>
      </c>
      <c r="IO37" s="852"/>
      <c r="IP37" s="9" t="str">
        <f t="shared" si="229"/>
        <v/>
      </c>
      <c r="IQ37" s="5" t="str">
        <f t="shared" si="230"/>
        <v/>
      </c>
      <c r="IR37" s="5" t="str">
        <f t="shared" si="73"/>
        <v/>
      </c>
      <c r="IS37" s="5" t="str">
        <f t="shared" si="231"/>
        <v/>
      </c>
      <c r="IT37" s="791" t="str">
        <f t="shared" si="232"/>
        <v/>
      </c>
      <c r="IU37" s="9" t="str">
        <f t="shared" si="233"/>
        <v/>
      </c>
      <c r="IV37" s="5" t="str">
        <f t="shared" si="234"/>
        <v/>
      </c>
      <c r="IW37" s="5" t="str">
        <f t="shared" si="78"/>
        <v/>
      </c>
      <c r="IX37" s="5" t="str">
        <f t="shared" si="235"/>
        <v/>
      </c>
      <c r="IY37" s="833" t="str">
        <f t="shared" si="236"/>
        <v/>
      </c>
    </row>
    <row r="38" spans="1:259" ht="15" customHeight="1" x14ac:dyDescent="0.25">
      <c r="A38" s="84">
        <f t="shared" si="81"/>
        <v>0</v>
      </c>
      <c r="B38" s="770"/>
      <c r="C38" s="771"/>
      <c r="D38" s="772"/>
      <c r="E38" s="773"/>
      <c r="F38" s="771"/>
      <c r="G38" s="774"/>
      <c r="H38" s="773"/>
      <c r="I38" s="771"/>
      <c r="J38" s="601"/>
      <c r="K38" s="426" t="str">
        <f t="shared" si="82"/>
        <v/>
      </c>
      <c r="L38" s="327"/>
      <c r="M38" s="173" t="str">
        <f t="shared" si="1"/>
        <v/>
      </c>
      <c r="N38" s="21" t="str">
        <f t="shared" si="2"/>
        <v/>
      </c>
      <c r="O38" s="5" t="str">
        <f t="shared" si="3"/>
        <v/>
      </c>
      <c r="P38" s="10" t="str">
        <f t="shared" si="4"/>
        <v/>
      </c>
      <c r="Q38" s="624" t="str">
        <f t="shared" si="116"/>
        <v/>
      </c>
      <c r="R38" s="5" t="str">
        <f t="shared" si="83"/>
        <v/>
      </c>
      <c r="S38" s="6" t="str">
        <f t="shared" si="84"/>
        <v/>
      </c>
      <c r="T38" s="4" t="str">
        <f t="shared" si="85"/>
        <v/>
      </c>
      <c r="U38" s="5" t="str">
        <f t="shared" si="86"/>
        <v/>
      </c>
      <c r="V38" s="8" t="str">
        <f t="shared" si="117"/>
        <v/>
      </c>
      <c r="W38" s="624" t="str">
        <f t="shared" si="226"/>
        <v/>
      </c>
      <c r="X38" s="5" t="str">
        <f t="shared" si="87"/>
        <v/>
      </c>
      <c r="Y38" s="7" t="str">
        <f t="shared" si="225"/>
        <v/>
      </c>
      <c r="Z38" s="21" t="str">
        <f t="shared" si="6"/>
        <v/>
      </c>
      <c r="AA38" s="5" t="str">
        <f t="shared" si="7"/>
        <v/>
      </c>
      <c r="AB38" s="5" t="str">
        <f t="shared" si="8"/>
        <v/>
      </c>
      <c r="AC38" s="8" t="str">
        <f t="shared" si="88"/>
        <v/>
      </c>
      <c r="AD38" s="9" t="str">
        <f t="shared" si="118"/>
        <v/>
      </c>
      <c r="AE38" s="5" t="str">
        <f t="shared" si="89"/>
        <v/>
      </c>
      <c r="AF38" s="10" t="str">
        <f t="shared" si="90"/>
        <v/>
      </c>
      <c r="AG38" s="622" t="str">
        <f t="shared" si="91"/>
        <v/>
      </c>
      <c r="AH38" s="623" t="str">
        <f t="shared" si="92"/>
        <v/>
      </c>
      <c r="AI38" s="624" t="str">
        <f t="shared" si="93"/>
        <v/>
      </c>
      <c r="AJ38" s="625" t="str">
        <f t="shared" si="94"/>
        <v/>
      </c>
      <c r="AK38" s="4" t="str">
        <f t="shared" si="213"/>
        <v/>
      </c>
      <c r="AL38" s="5" t="str">
        <f t="shared" si="95"/>
        <v/>
      </c>
      <c r="AM38" s="6" t="str">
        <f t="shared" si="96"/>
        <v/>
      </c>
      <c r="AN38" s="612" t="str">
        <f t="shared" si="97"/>
        <v/>
      </c>
      <c r="AO38" s="613" t="str">
        <f t="shared" si="98"/>
        <v/>
      </c>
      <c r="AP38" s="624" t="str">
        <f t="shared" si="99"/>
        <v/>
      </c>
      <c r="AQ38" s="625" t="str">
        <f t="shared" si="9"/>
        <v/>
      </c>
      <c r="AS38" s="56" t="str">
        <f t="shared" si="119"/>
        <v/>
      </c>
      <c r="AT38" s="77" t="str">
        <f t="shared" si="10"/>
        <v/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 t="str">
        <f t="shared" si="66"/>
        <v/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7"/>
        <v/>
      </c>
      <c r="IK38" s="839" t="str">
        <f t="shared" si="68"/>
        <v/>
      </c>
      <c r="IL38" s="791" t="str">
        <f t="shared" si="227"/>
        <v/>
      </c>
      <c r="IM38" s="830"/>
      <c r="IN38" s="5" t="str">
        <f t="shared" si="228"/>
        <v/>
      </c>
      <c r="IO38" s="852"/>
      <c r="IP38" s="9" t="str">
        <f t="shared" si="229"/>
        <v/>
      </c>
      <c r="IQ38" s="5" t="str">
        <f t="shared" si="230"/>
        <v/>
      </c>
      <c r="IR38" s="5" t="str">
        <f t="shared" si="73"/>
        <v/>
      </c>
      <c r="IS38" s="5" t="str">
        <f t="shared" si="231"/>
        <v/>
      </c>
      <c r="IT38" s="791" t="str">
        <f t="shared" si="232"/>
        <v/>
      </c>
      <c r="IU38" s="9" t="str">
        <f t="shared" si="233"/>
        <v/>
      </c>
      <c r="IV38" s="5" t="str">
        <f t="shared" si="234"/>
        <v/>
      </c>
      <c r="IW38" s="5" t="str">
        <f t="shared" si="78"/>
        <v/>
      </c>
      <c r="IX38" s="5" t="str">
        <f t="shared" si="235"/>
        <v/>
      </c>
      <c r="IY38" s="833" t="str">
        <f t="shared" si="236"/>
        <v/>
      </c>
    </row>
    <row r="39" spans="1:259" ht="15" customHeight="1" x14ac:dyDescent="0.25">
      <c r="A39" s="84">
        <f t="shared" si="81"/>
        <v>0</v>
      </c>
      <c r="B39" s="770"/>
      <c r="C39" s="771"/>
      <c r="D39" s="772"/>
      <c r="E39" s="773"/>
      <c r="F39" s="771"/>
      <c r="G39" s="774"/>
      <c r="H39" s="773"/>
      <c r="I39" s="771"/>
      <c r="J39" s="601"/>
      <c r="K39" s="426" t="str">
        <f t="shared" si="82"/>
        <v/>
      </c>
      <c r="L39" s="327"/>
      <c r="M39" s="173" t="str">
        <f t="shared" si="1"/>
        <v/>
      </c>
      <c r="N39" s="21" t="str">
        <f t="shared" si="2"/>
        <v/>
      </c>
      <c r="O39" s="5" t="str">
        <f t="shared" si="3"/>
        <v/>
      </c>
      <c r="P39" s="10" t="str">
        <f t="shared" si="4"/>
        <v/>
      </c>
      <c r="Q39" s="624" t="str">
        <f t="shared" si="116"/>
        <v/>
      </c>
      <c r="R39" s="5" t="str">
        <f t="shared" si="83"/>
        <v/>
      </c>
      <c r="S39" s="6" t="str">
        <f t="shared" si="84"/>
        <v/>
      </c>
      <c r="T39" s="4" t="str">
        <f t="shared" si="85"/>
        <v/>
      </c>
      <c r="U39" s="5" t="str">
        <f t="shared" si="86"/>
        <v/>
      </c>
      <c r="V39" s="8" t="str">
        <f t="shared" si="117"/>
        <v/>
      </c>
      <c r="W39" s="624" t="str">
        <f t="shared" si="226"/>
        <v/>
      </c>
      <c r="X39" s="5" t="str">
        <f t="shared" si="87"/>
        <v/>
      </c>
      <c r="Y39" s="7" t="str">
        <f t="shared" si="225"/>
        <v/>
      </c>
      <c r="Z39" s="21" t="str">
        <f t="shared" si="6"/>
        <v/>
      </c>
      <c r="AA39" s="5" t="str">
        <f t="shared" si="7"/>
        <v/>
      </c>
      <c r="AB39" s="5" t="str">
        <f t="shared" si="8"/>
        <v/>
      </c>
      <c r="AC39" s="8" t="str">
        <f t="shared" si="88"/>
        <v/>
      </c>
      <c r="AD39" s="9" t="str">
        <f t="shared" si="118"/>
        <v/>
      </c>
      <c r="AE39" s="5" t="str">
        <f t="shared" si="89"/>
        <v/>
      </c>
      <c r="AF39" s="10" t="str">
        <f t="shared" si="90"/>
        <v/>
      </c>
      <c r="AG39" s="622" t="str">
        <f t="shared" si="91"/>
        <v/>
      </c>
      <c r="AH39" s="623" t="str">
        <f t="shared" si="92"/>
        <v/>
      </c>
      <c r="AI39" s="624" t="str">
        <f t="shared" si="93"/>
        <v/>
      </c>
      <c r="AJ39" s="625" t="str">
        <f t="shared" si="94"/>
        <v/>
      </c>
      <c r="AK39" s="4" t="str">
        <f t="shared" si="213"/>
        <v/>
      </c>
      <c r="AL39" s="5" t="str">
        <f t="shared" si="95"/>
        <v/>
      </c>
      <c r="AM39" s="6" t="str">
        <f t="shared" si="96"/>
        <v/>
      </c>
      <c r="AN39" s="612" t="str">
        <f t="shared" si="97"/>
        <v/>
      </c>
      <c r="AO39" s="613" t="str">
        <f t="shared" si="98"/>
        <v/>
      </c>
      <c r="AP39" s="624" t="str">
        <f t="shared" si="99"/>
        <v/>
      </c>
      <c r="AQ39" s="625" t="str">
        <f t="shared" si="9"/>
        <v/>
      </c>
      <c r="AS39" s="56" t="str">
        <f t="shared" si="119"/>
        <v/>
      </c>
      <c r="AT39" s="77" t="str">
        <f t="shared" si="10"/>
        <v/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 t="str">
        <f t="shared" si="66"/>
        <v/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</v>
      </c>
      <c r="B40" s="770"/>
      <c r="C40" s="771"/>
      <c r="D40" s="772"/>
      <c r="E40" s="773"/>
      <c r="F40" s="771"/>
      <c r="G40" s="774"/>
      <c r="H40" s="773"/>
      <c r="I40" s="771"/>
      <c r="J40" s="601"/>
      <c r="K40" s="426" t="str">
        <f t="shared" si="82"/>
        <v/>
      </c>
      <c r="L40" s="327"/>
      <c r="M40" s="173" t="str">
        <f t="shared" si="1"/>
        <v/>
      </c>
      <c r="N40" s="21" t="str">
        <f t="shared" si="2"/>
        <v/>
      </c>
      <c r="O40" s="5" t="str">
        <f t="shared" si="3"/>
        <v/>
      </c>
      <c r="P40" s="10" t="str">
        <f t="shared" si="4"/>
        <v/>
      </c>
      <c r="Q40" s="624" t="str">
        <f t="shared" si="116"/>
        <v/>
      </c>
      <c r="R40" s="5" t="str">
        <f t="shared" si="83"/>
        <v/>
      </c>
      <c r="S40" s="6" t="str">
        <f t="shared" si="84"/>
        <v/>
      </c>
      <c r="T40" s="4" t="str">
        <f t="shared" si="85"/>
        <v/>
      </c>
      <c r="U40" s="5" t="str">
        <f t="shared" si="86"/>
        <v/>
      </c>
      <c r="V40" s="8" t="str">
        <f t="shared" si="117"/>
        <v/>
      </c>
      <c r="W40" s="624" t="str">
        <f t="shared" si="226"/>
        <v/>
      </c>
      <c r="X40" s="5" t="str">
        <f t="shared" si="87"/>
        <v/>
      </c>
      <c r="Y40" s="7" t="str">
        <f t="shared" si="225"/>
        <v/>
      </c>
      <c r="Z40" s="21" t="str">
        <f t="shared" si="6"/>
        <v/>
      </c>
      <c r="AA40" s="5" t="str">
        <f t="shared" si="7"/>
        <v/>
      </c>
      <c r="AB40" s="5" t="str">
        <f t="shared" si="8"/>
        <v/>
      </c>
      <c r="AC40" s="8" t="str">
        <f t="shared" si="88"/>
        <v/>
      </c>
      <c r="AD40" s="9" t="str">
        <f t="shared" si="118"/>
        <v/>
      </c>
      <c r="AE40" s="5" t="str">
        <f t="shared" si="89"/>
        <v/>
      </c>
      <c r="AF40" s="10" t="str">
        <f t="shared" si="90"/>
        <v/>
      </c>
      <c r="AG40" s="622" t="str">
        <f t="shared" si="91"/>
        <v/>
      </c>
      <c r="AH40" s="623" t="str">
        <f t="shared" si="92"/>
        <v/>
      </c>
      <c r="AI40" s="624" t="str">
        <f t="shared" si="93"/>
        <v/>
      </c>
      <c r="AJ40" s="625" t="str">
        <f t="shared" si="94"/>
        <v/>
      </c>
      <c r="AK40" s="4" t="str">
        <f t="shared" si="213"/>
        <v/>
      </c>
      <c r="AL40" s="5" t="str">
        <f t="shared" si="95"/>
        <v/>
      </c>
      <c r="AM40" s="6" t="str">
        <f t="shared" si="96"/>
        <v/>
      </c>
      <c r="AN40" s="612" t="str">
        <f t="shared" si="97"/>
        <v/>
      </c>
      <c r="AO40" s="613" t="str">
        <f t="shared" si="98"/>
        <v/>
      </c>
      <c r="AP40" s="624" t="str">
        <f t="shared" si="99"/>
        <v/>
      </c>
      <c r="AQ40" s="625" t="str">
        <f t="shared" si="9"/>
        <v/>
      </c>
      <c r="AS40" s="56" t="str">
        <f t="shared" si="119"/>
        <v/>
      </c>
      <c r="AT40" s="77" t="str">
        <f t="shared" si="10"/>
        <v/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 t="str">
        <f t="shared" si="66"/>
        <v/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</v>
      </c>
      <c r="B41" s="770"/>
      <c r="C41" s="771"/>
      <c r="D41" s="772"/>
      <c r="E41" s="773"/>
      <c r="F41" s="771"/>
      <c r="G41" s="774"/>
      <c r="H41" s="773"/>
      <c r="I41" s="771"/>
      <c r="J41" s="601"/>
      <c r="K41" s="426" t="str">
        <f t="shared" si="82"/>
        <v/>
      </c>
      <c r="L41" s="327"/>
      <c r="M41" s="173" t="str">
        <f t="shared" ref="M41:M72" si="241">IF(J41="","",VALUE(J41))</f>
        <v/>
      </c>
      <c r="N41" s="21" t="str">
        <f t="shared" ref="N41:N72" si="242">IF(M41="","",B41)</f>
        <v/>
      </c>
      <c r="O41" s="5" t="str">
        <f t="shared" ref="O41:O72" si="243">IF(M41="","",C41)</f>
        <v/>
      </c>
      <c r="P41" s="10" t="str">
        <f t="shared" ref="P41:P72" si="244">IF(M41="","",D41)</f>
        <v/>
      </c>
      <c r="Q41" s="624" t="str">
        <f t="shared" si="116"/>
        <v/>
      </c>
      <c r="R41" s="5" t="str">
        <f t="shared" si="83"/>
        <v/>
      </c>
      <c r="S41" s="6" t="str">
        <f t="shared" si="84"/>
        <v/>
      </c>
      <c r="T41" s="4" t="str">
        <f t="shared" si="85"/>
        <v/>
      </c>
      <c r="U41" s="5" t="str">
        <f t="shared" si="86"/>
        <v/>
      </c>
      <c r="V41" s="8" t="str">
        <f t="shared" si="117"/>
        <v/>
      </c>
      <c r="W41" s="624" t="str">
        <f t="shared" si="226"/>
        <v/>
      </c>
      <c r="X41" s="5" t="str">
        <f t="shared" si="87"/>
        <v/>
      </c>
      <c r="Y41" s="7" t="str">
        <f t="shared" si="225"/>
        <v/>
      </c>
      <c r="Z41" s="21" t="str">
        <f t="shared" ref="Z41:Z72" si="245">IF(M41="","",-E41)</f>
        <v/>
      </c>
      <c r="AA41" s="5" t="str">
        <f t="shared" ref="AA41:AA72" si="246">IF(M41="","",-F41)</f>
        <v/>
      </c>
      <c r="AB41" s="5" t="str">
        <f t="shared" ref="AB41:AB72" si="247">IF(M41="","",-G41)</f>
        <v/>
      </c>
      <c r="AC41" s="8" t="str">
        <f t="shared" si="88"/>
        <v/>
      </c>
      <c r="AD41" s="9" t="str">
        <f t="shared" si="118"/>
        <v/>
      </c>
      <c r="AE41" s="5" t="str">
        <f t="shared" si="89"/>
        <v/>
      </c>
      <c r="AF41" s="10" t="str">
        <f t="shared" si="90"/>
        <v/>
      </c>
      <c r="AG41" s="622" t="str">
        <f t="shared" si="91"/>
        <v/>
      </c>
      <c r="AH41" s="623" t="str">
        <f t="shared" si="92"/>
        <v/>
      </c>
      <c r="AI41" s="624" t="str">
        <f t="shared" si="93"/>
        <v/>
      </c>
      <c r="AJ41" s="625" t="str">
        <f t="shared" si="94"/>
        <v/>
      </c>
      <c r="AK41" s="4" t="str">
        <f t="shared" si="213"/>
        <v/>
      </c>
      <c r="AL41" s="5" t="str">
        <f t="shared" si="95"/>
        <v/>
      </c>
      <c r="AM41" s="6" t="str">
        <f t="shared" si="96"/>
        <v/>
      </c>
      <c r="AN41" s="612" t="str">
        <f t="shared" si="97"/>
        <v/>
      </c>
      <c r="AO41" s="613" t="str">
        <f t="shared" si="98"/>
        <v/>
      </c>
      <c r="AP41" s="624" t="str">
        <f t="shared" si="99"/>
        <v/>
      </c>
      <c r="AQ41" s="625" t="str">
        <f t="shared" ref="AQ41:AQ72" si="248">IF(M41="","",DEGREES(ATAN(($AS$5*SIN(RADIANS(90)))/(($X41*2*PI())-($AS$5*COS(RADIANS(90)))))))</f>
        <v/>
      </c>
      <c r="AS41" s="56" t="str">
        <f t="shared" si="119"/>
        <v/>
      </c>
      <c r="AT41" s="77" t="str">
        <f t="shared" ref="AT41:AT72" si="249">IF(M41="","",Y41+(((AS41-$AS$9)*$AS$6)*-1))</f>
        <v/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 t="str">
        <f t="shared" ref="IG41:IG72" si="384">M41</f>
        <v/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</v>
      </c>
      <c r="B42" s="770"/>
      <c r="C42" s="771"/>
      <c r="D42" s="772"/>
      <c r="E42" s="773"/>
      <c r="F42" s="771"/>
      <c r="G42" s="774"/>
      <c r="H42" s="773"/>
      <c r="I42" s="771"/>
      <c r="J42" s="601"/>
      <c r="K42" s="426" t="str">
        <f t="shared" si="82"/>
        <v/>
      </c>
      <c r="L42" s="327"/>
      <c r="M42" s="173" t="str">
        <f t="shared" si="241"/>
        <v/>
      </c>
      <c r="N42" s="21" t="str">
        <f t="shared" si="242"/>
        <v/>
      </c>
      <c r="O42" s="5" t="str">
        <f t="shared" si="243"/>
        <v/>
      </c>
      <c r="P42" s="10" t="str">
        <f t="shared" si="244"/>
        <v/>
      </c>
      <c r="Q42" s="624" t="str">
        <f t="shared" si="116"/>
        <v/>
      </c>
      <c r="R42" s="5" t="str">
        <f t="shared" ref="R42:R47" si="389">IF(M42="","",SQRT(N42^2+O42^2))</f>
        <v/>
      </c>
      <c r="S42" s="6" t="str">
        <f t="shared" ref="S42:S47" si="390">IF(M42="","",P42)</f>
        <v/>
      </c>
      <c r="T42" s="4" t="str">
        <f t="shared" ref="T42:T47" si="391">IF(M42="","",X42*COS(RADIANS(W42)))</f>
        <v/>
      </c>
      <c r="U42" s="5" t="str">
        <f t="shared" ref="U42:U47" si="392">IF(M42="","",X42*SIN(RADIANS(W42)))</f>
        <v/>
      </c>
      <c r="V42" s="8" t="str">
        <f t="shared" ref="V42:V47" si="393">IF(M42="","",Y42)</f>
        <v/>
      </c>
      <c r="W42" s="624" t="str">
        <f t="shared" si="226"/>
        <v/>
      </c>
      <c r="X42" s="5" t="str">
        <f t="shared" ref="X42:X47" si="394">IF(M42="","",R42)</f>
        <v/>
      </c>
      <c r="Y42" s="7" t="str">
        <f t="shared" si="225"/>
        <v/>
      </c>
      <c r="Z42" s="21" t="str">
        <f t="shared" si="245"/>
        <v/>
      </c>
      <c r="AA42" s="5" t="str">
        <f t="shared" si="246"/>
        <v/>
      </c>
      <c r="AB42" s="5" t="str">
        <f t="shared" si="247"/>
        <v/>
      </c>
      <c r="AC42" s="8" t="str">
        <f t="shared" ref="AC42:AC47" si="395">IF(M42="","",SQRT(Z42^2+AA42^2+AB42^2))</f>
        <v/>
      </c>
      <c r="AD42" s="9" t="str">
        <f t="shared" ref="AD42:AD47" si="396">IF(M42="","",Z42*(1/SQRT(Z42^2+AA42^2+AB42^2)))</f>
        <v/>
      </c>
      <c r="AE42" s="5" t="str">
        <f t="shared" ref="AE42:AE47" si="397">IF(M42="","",AA42*(1/SQRT(Z42^2+AA42^2+AB42^2)))</f>
        <v/>
      </c>
      <c r="AF42" s="10" t="str">
        <f t="shared" ref="AF42:AF47" si="398">IF(M42="","",AB42*(1/SQRT(Z42^2+AA42^2+AB42^2)))</f>
        <v/>
      </c>
      <c r="AG42" s="622" t="str">
        <f t="shared" ref="AG42:AG47" si="399">IF(M42="","",DEGREES(ATAN2(-AF42,AE42)))</f>
        <v/>
      </c>
      <c r="AH42" s="623" t="str">
        <f t="shared" ref="AH42:AH47" si="400">IF(M42="","",DEGREES(ACOS(AD42)))</f>
        <v/>
      </c>
      <c r="AI42" s="624" t="str">
        <f t="shared" ref="AI42:AI47" si="401">IF(M42="","",DEGREES(-ACOS(-AF42)))</f>
        <v/>
      </c>
      <c r="AJ42" s="625" t="str">
        <f t="shared" ref="AJ42:AJ47" si="402">IF(M42="","",DEGREES(ATAN2(-AE42,AD42)))</f>
        <v/>
      </c>
      <c r="AK42" s="4" t="str">
        <f t="shared" ref="AK42:AK47" si="403">IF(M42="","",(COS(RADIANS((90-$Q$8)-W42))*AD42)+(-SIN(RADIANS((90-$Q$8)-W42))*AE42))</f>
        <v/>
      </c>
      <c r="AL42" s="5" t="str">
        <f t="shared" ref="AL42:AL47" si="404">IF(M42="","",(SIN(RADIANS((90-$Q$8)-W42))*AD42)+(COS(RADIANS((90-$Q$8)-W42))*AE42))</f>
        <v/>
      </c>
      <c r="AM42" s="6" t="str">
        <f t="shared" ref="AM42:AM47" si="405">IF(M42="","",AF42)</f>
        <v/>
      </c>
      <c r="AN42" s="612" t="str">
        <f t="shared" ref="AN42:AN47" si="406">IF(M42="","",DEGREES(ATAN2(-AM42,AL42)))</f>
        <v/>
      </c>
      <c r="AO42" s="613" t="str">
        <f t="shared" si="98"/>
        <v/>
      </c>
      <c r="AP42" s="624" t="str">
        <f t="shared" ref="AP42:AP47" si="407">IF(M42="","",DEGREES(ATAN2(AK42,AL42)))</f>
        <v/>
      </c>
      <c r="AQ42" s="625" t="str">
        <f t="shared" si="248"/>
        <v/>
      </c>
      <c r="AS42" s="56" t="str">
        <f t="shared" si="119"/>
        <v/>
      </c>
      <c r="AT42" s="77" t="str">
        <f t="shared" si="249"/>
        <v/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 t="str">
        <f t="shared" si="384"/>
        <v/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</v>
      </c>
      <c r="B43" s="770"/>
      <c r="C43" s="771"/>
      <c r="D43" s="772"/>
      <c r="E43" s="773"/>
      <c r="F43" s="771"/>
      <c r="G43" s="774"/>
      <c r="H43" s="773"/>
      <c r="I43" s="771"/>
      <c r="J43" s="601"/>
      <c r="K43" s="426" t="str">
        <f t="shared" si="82"/>
        <v/>
      </c>
      <c r="L43" s="327"/>
      <c r="M43" s="173" t="str">
        <f t="shared" si="241"/>
        <v/>
      </c>
      <c r="N43" s="21" t="str">
        <f t="shared" si="242"/>
        <v/>
      </c>
      <c r="O43" s="5" t="str">
        <f t="shared" si="243"/>
        <v/>
      </c>
      <c r="P43" s="10" t="str">
        <f t="shared" si="244"/>
        <v/>
      </c>
      <c r="Q43" s="624" t="str">
        <f t="shared" si="116"/>
        <v/>
      </c>
      <c r="R43" s="5" t="str">
        <f t="shared" si="389"/>
        <v/>
      </c>
      <c r="S43" s="6" t="str">
        <f t="shared" si="390"/>
        <v/>
      </c>
      <c r="T43" s="4" t="str">
        <f t="shared" si="391"/>
        <v/>
      </c>
      <c r="U43" s="5" t="str">
        <f t="shared" si="392"/>
        <v/>
      </c>
      <c r="V43" s="8" t="str">
        <f t="shared" si="393"/>
        <v/>
      </c>
      <c r="W43" s="624" t="str">
        <f t="shared" si="226"/>
        <v/>
      </c>
      <c r="X43" s="5" t="str">
        <f t="shared" si="394"/>
        <v/>
      </c>
      <c r="Y43" s="7" t="str">
        <f t="shared" si="225"/>
        <v/>
      </c>
      <c r="Z43" s="21" t="str">
        <f t="shared" si="245"/>
        <v/>
      </c>
      <c r="AA43" s="5" t="str">
        <f t="shared" si="246"/>
        <v/>
      </c>
      <c r="AB43" s="5" t="str">
        <f t="shared" si="247"/>
        <v/>
      </c>
      <c r="AC43" s="8" t="str">
        <f t="shared" si="395"/>
        <v/>
      </c>
      <c r="AD43" s="9" t="str">
        <f t="shared" si="396"/>
        <v/>
      </c>
      <c r="AE43" s="5" t="str">
        <f t="shared" si="397"/>
        <v/>
      </c>
      <c r="AF43" s="10" t="str">
        <f t="shared" si="398"/>
        <v/>
      </c>
      <c r="AG43" s="622" t="str">
        <f t="shared" si="399"/>
        <v/>
      </c>
      <c r="AH43" s="623" t="str">
        <f t="shared" si="400"/>
        <v/>
      </c>
      <c r="AI43" s="624" t="str">
        <f t="shared" si="401"/>
        <v/>
      </c>
      <c r="AJ43" s="625" t="str">
        <f t="shared" si="402"/>
        <v/>
      </c>
      <c r="AK43" s="4" t="str">
        <f t="shared" si="403"/>
        <v/>
      </c>
      <c r="AL43" s="5" t="str">
        <f t="shared" si="404"/>
        <v/>
      </c>
      <c r="AM43" s="6" t="str">
        <f t="shared" si="405"/>
        <v/>
      </c>
      <c r="AN43" s="612" t="str">
        <f t="shared" si="406"/>
        <v/>
      </c>
      <c r="AO43" s="613" t="str">
        <f t="shared" si="98"/>
        <v/>
      </c>
      <c r="AP43" s="624" t="str">
        <f t="shared" si="407"/>
        <v/>
      </c>
      <c r="AQ43" s="625" t="str">
        <f t="shared" si="248"/>
        <v/>
      </c>
      <c r="AS43" s="56" t="str">
        <f t="shared" ref="AS43:AS74" si="410">IF(G43="","",IF(AND(W43&lt;(AS42+180),W43&gt;(AS42-180)),W43,IF(W43&gt;(AS42+180),W43-360,IF(W43&lt;(AS42-180),W43+360,"Error"))))</f>
        <v/>
      </c>
      <c r="AT43" s="77" t="str">
        <f t="shared" si="249"/>
        <v/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 t="str">
        <f t="shared" si="384"/>
        <v/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</v>
      </c>
      <c r="B44" s="770"/>
      <c r="C44" s="771"/>
      <c r="D44" s="772"/>
      <c r="E44" s="773"/>
      <c r="F44" s="771"/>
      <c r="G44" s="774"/>
      <c r="H44" s="773"/>
      <c r="I44" s="771"/>
      <c r="J44" s="601"/>
      <c r="K44" s="426" t="str">
        <f t="shared" si="82"/>
        <v/>
      </c>
      <c r="L44" s="327"/>
      <c r="M44" s="173" t="str">
        <f t="shared" si="241"/>
        <v/>
      </c>
      <c r="N44" s="21" t="str">
        <f t="shared" si="242"/>
        <v/>
      </c>
      <c r="O44" s="5" t="str">
        <f t="shared" si="243"/>
        <v/>
      </c>
      <c r="P44" s="10" t="str">
        <f t="shared" si="244"/>
        <v/>
      </c>
      <c r="Q44" s="624" t="str">
        <f t="shared" si="116"/>
        <v/>
      </c>
      <c r="R44" s="5" t="str">
        <f t="shared" si="389"/>
        <v/>
      </c>
      <c r="S44" s="6" t="str">
        <f t="shared" si="390"/>
        <v/>
      </c>
      <c r="T44" s="4" t="str">
        <f t="shared" si="391"/>
        <v/>
      </c>
      <c r="U44" s="5" t="str">
        <f t="shared" si="392"/>
        <v/>
      </c>
      <c r="V44" s="8" t="str">
        <f t="shared" si="393"/>
        <v/>
      </c>
      <c r="W44" s="624" t="str">
        <f t="shared" si="226"/>
        <v/>
      </c>
      <c r="X44" s="5" t="str">
        <f t="shared" si="394"/>
        <v/>
      </c>
      <c r="Y44" s="7" t="str">
        <f t="shared" si="225"/>
        <v/>
      </c>
      <c r="Z44" s="21" t="str">
        <f t="shared" si="245"/>
        <v/>
      </c>
      <c r="AA44" s="5" t="str">
        <f t="shared" si="246"/>
        <v/>
      </c>
      <c r="AB44" s="5" t="str">
        <f t="shared" si="247"/>
        <v/>
      </c>
      <c r="AC44" s="8" t="str">
        <f t="shared" si="395"/>
        <v/>
      </c>
      <c r="AD44" s="9" t="str">
        <f t="shared" si="396"/>
        <v/>
      </c>
      <c r="AE44" s="5" t="str">
        <f t="shared" si="397"/>
        <v/>
      </c>
      <c r="AF44" s="10" t="str">
        <f t="shared" si="398"/>
        <v/>
      </c>
      <c r="AG44" s="622" t="str">
        <f t="shared" si="399"/>
        <v/>
      </c>
      <c r="AH44" s="623" t="str">
        <f t="shared" si="400"/>
        <v/>
      </c>
      <c r="AI44" s="624" t="str">
        <f t="shared" si="401"/>
        <v/>
      </c>
      <c r="AJ44" s="625" t="str">
        <f t="shared" si="402"/>
        <v/>
      </c>
      <c r="AK44" s="4" t="str">
        <f t="shared" si="403"/>
        <v/>
      </c>
      <c r="AL44" s="5" t="str">
        <f t="shared" si="404"/>
        <v/>
      </c>
      <c r="AM44" s="6" t="str">
        <f t="shared" si="405"/>
        <v/>
      </c>
      <c r="AN44" s="612" t="str">
        <f t="shared" si="406"/>
        <v/>
      </c>
      <c r="AO44" s="613" t="str">
        <f t="shared" si="98"/>
        <v/>
      </c>
      <c r="AP44" s="624" t="str">
        <f t="shared" si="407"/>
        <v/>
      </c>
      <c r="AQ44" s="625" t="str">
        <f t="shared" si="248"/>
        <v/>
      </c>
      <c r="AS44" s="56" t="str">
        <f t="shared" si="410"/>
        <v/>
      </c>
      <c r="AT44" s="77" t="str">
        <f t="shared" si="249"/>
        <v/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 t="str">
        <f t="shared" si="384"/>
        <v/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</v>
      </c>
      <c r="B45" s="770"/>
      <c r="C45" s="771"/>
      <c r="D45" s="772"/>
      <c r="E45" s="773"/>
      <c r="F45" s="771"/>
      <c r="G45" s="774"/>
      <c r="H45" s="773"/>
      <c r="I45" s="771"/>
      <c r="J45" s="601"/>
      <c r="K45" s="426" t="str">
        <f t="shared" si="82"/>
        <v/>
      </c>
      <c r="L45" s="327"/>
      <c r="M45" s="173" t="str">
        <f t="shared" si="241"/>
        <v/>
      </c>
      <c r="N45" s="21" t="str">
        <f t="shared" si="242"/>
        <v/>
      </c>
      <c r="O45" s="5" t="str">
        <f t="shared" si="243"/>
        <v/>
      </c>
      <c r="P45" s="10" t="str">
        <f t="shared" si="244"/>
        <v/>
      </c>
      <c r="Q45" s="624" t="str">
        <f t="shared" si="116"/>
        <v/>
      </c>
      <c r="R45" s="5" t="str">
        <f t="shared" si="389"/>
        <v/>
      </c>
      <c r="S45" s="6" t="str">
        <f t="shared" si="390"/>
        <v/>
      </c>
      <c r="T45" s="4" t="str">
        <f t="shared" si="391"/>
        <v/>
      </c>
      <c r="U45" s="5" t="str">
        <f t="shared" si="392"/>
        <v/>
      </c>
      <c r="V45" s="8" t="str">
        <f t="shared" si="393"/>
        <v/>
      </c>
      <c r="W45" s="624" t="str">
        <f t="shared" si="226"/>
        <v/>
      </c>
      <c r="X45" s="5" t="str">
        <f t="shared" si="394"/>
        <v/>
      </c>
      <c r="Y45" s="7" t="str">
        <f t="shared" si="225"/>
        <v/>
      </c>
      <c r="Z45" s="21" t="str">
        <f t="shared" si="245"/>
        <v/>
      </c>
      <c r="AA45" s="5" t="str">
        <f t="shared" si="246"/>
        <v/>
      </c>
      <c r="AB45" s="5" t="str">
        <f t="shared" si="247"/>
        <v/>
      </c>
      <c r="AC45" s="8" t="str">
        <f t="shared" si="395"/>
        <v/>
      </c>
      <c r="AD45" s="9" t="str">
        <f t="shared" si="396"/>
        <v/>
      </c>
      <c r="AE45" s="5" t="str">
        <f t="shared" si="397"/>
        <v/>
      </c>
      <c r="AF45" s="10" t="str">
        <f t="shared" si="398"/>
        <v/>
      </c>
      <c r="AG45" s="622" t="str">
        <f t="shared" si="399"/>
        <v/>
      </c>
      <c r="AH45" s="623" t="str">
        <f t="shared" si="400"/>
        <v/>
      </c>
      <c r="AI45" s="624" t="str">
        <f t="shared" si="401"/>
        <v/>
      </c>
      <c r="AJ45" s="625" t="str">
        <f t="shared" si="402"/>
        <v/>
      </c>
      <c r="AK45" s="4" t="str">
        <f t="shared" si="403"/>
        <v/>
      </c>
      <c r="AL45" s="5" t="str">
        <f t="shared" si="404"/>
        <v/>
      </c>
      <c r="AM45" s="6" t="str">
        <f t="shared" si="405"/>
        <v/>
      </c>
      <c r="AN45" s="612" t="str">
        <f t="shared" si="406"/>
        <v/>
      </c>
      <c r="AO45" s="613" t="str">
        <f t="shared" si="98"/>
        <v/>
      </c>
      <c r="AP45" s="624" t="str">
        <f t="shared" si="407"/>
        <v/>
      </c>
      <c r="AQ45" s="625" t="str">
        <f t="shared" si="248"/>
        <v/>
      </c>
      <c r="AS45" s="56" t="str">
        <f t="shared" si="410"/>
        <v/>
      </c>
      <c r="AT45" s="77" t="str">
        <f t="shared" si="249"/>
        <v/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 t="str">
        <f t="shared" si="384"/>
        <v/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</v>
      </c>
      <c r="B46" s="770"/>
      <c r="C46" s="771"/>
      <c r="D46" s="772"/>
      <c r="E46" s="773"/>
      <c r="F46" s="771"/>
      <c r="G46" s="774"/>
      <c r="H46" s="773"/>
      <c r="I46" s="771"/>
      <c r="J46" s="601"/>
      <c r="K46" s="426" t="str">
        <f t="shared" si="82"/>
        <v/>
      </c>
      <c r="L46" s="327"/>
      <c r="M46" s="173" t="str">
        <f t="shared" si="241"/>
        <v/>
      </c>
      <c r="N46" s="21" t="str">
        <f t="shared" si="242"/>
        <v/>
      </c>
      <c r="O46" s="5" t="str">
        <f t="shared" si="243"/>
        <v/>
      </c>
      <c r="P46" s="10" t="str">
        <f t="shared" si="244"/>
        <v/>
      </c>
      <c r="Q46" s="624" t="str">
        <f t="shared" si="116"/>
        <v/>
      </c>
      <c r="R46" s="5" t="str">
        <f t="shared" si="389"/>
        <v/>
      </c>
      <c r="S46" s="6" t="str">
        <f t="shared" si="390"/>
        <v/>
      </c>
      <c r="T46" s="4" t="str">
        <f t="shared" si="391"/>
        <v/>
      </c>
      <c r="U46" s="5" t="str">
        <f t="shared" si="392"/>
        <v/>
      </c>
      <c r="V46" s="8" t="str">
        <f t="shared" si="393"/>
        <v/>
      </c>
      <c r="W46" s="624" t="str">
        <f t="shared" si="226"/>
        <v/>
      </c>
      <c r="X46" s="5" t="str">
        <f t="shared" si="394"/>
        <v/>
      </c>
      <c r="Y46" s="7" t="str">
        <f t="shared" si="225"/>
        <v/>
      </c>
      <c r="Z46" s="21" t="str">
        <f t="shared" si="245"/>
        <v/>
      </c>
      <c r="AA46" s="5" t="str">
        <f t="shared" si="246"/>
        <v/>
      </c>
      <c r="AB46" s="5" t="str">
        <f t="shared" si="247"/>
        <v/>
      </c>
      <c r="AC46" s="8" t="str">
        <f t="shared" si="395"/>
        <v/>
      </c>
      <c r="AD46" s="9" t="str">
        <f t="shared" si="396"/>
        <v/>
      </c>
      <c r="AE46" s="5" t="str">
        <f t="shared" si="397"/>
        <v/>
      </c>
      <c r="AF46" s="10" t="str">
        <f t="shared" si="398"/>
        <v/>
      </c>
      <c r="AG46" s="622" t="str">
        <f t="shared" si="399"/>
        <v/>
      </c>
      <c r="AH46" s="623" t="str">
        <f t="shared" si="400"/>
        <v/>
      </c>
      <c r="AI46" s="624" t="str">
        <f t="shared" si="401"/>
        <v/>
      </c>
      <c r="AJ46" s="625" t="str">
        <f t="shared" si="402"/>
        <v/>
      </c>
      <c r="AK46" s="4" t="str">
        <f t="shared" si="403"/>
        <v/>
      </c>
      <c r="AL46" s="5" t="str">
        <f t="shared" si="404"/>
        <v/>
      </c>
      <c r="AM46" s="6" t="str">
        <f t="shared" si="405"/>
        <v/>
      </c>
      <c r="AN46" s="612" t="str">
        <f t="shared" si="406"/>
        <v/>
      </c>
      <c r="AO46" s="613" t="str">
        <f t="shared" si="98"/>
        <v/>
      </c>
      <c r="AP46" s="624" t="str">
        <f t="shared" si="407"/>
        <v/>
      </c>
      <c r="AQ46" s="625" t="str">
        <f t="shared" si="248"/>
        <v/>
      </c>
      <c r="AS46" s="56" t="str">
        <f t="shared" si="410"/>
        <v/>
      </c>
      <c r="AT46" s="77" t="str">
        <f t="shared" si="249"/>
        <v/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 t="str">
        <f t="shared" si="384"/>
        <v/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</v>
      </c>
      <c r="B47" s="770"/>
      <c r="C47" s="771"/>
      <c r="D47" s="772"/>
      <c r="E47" s="773"/>
      <c r="F47" s="771"/>
      <c r="G47" s="774"/>
      <c r="H47" s="773"/>
      <c r="I47" s="771"/>
      <c r="J47" s="601"/>
      <c r="K47" s="426" t="str">
        <f t="shared" si="82"/>
        <v/>
      </c>
      <c r="L47" s="327"/>
      <c r="M47" s="173" t="str">
        <f t="shared" si="241"/>
        <v/>
      </c>
      <c r="N47" s="21" t="str">
        <f t="shared" si="242"/>
        <v/>
      </c>
      <c r="O47" s="5" t="str">
        <f t="shared" si="243"/>
        <v/>
      </c>
      <c r="P47" s="10" t="str">
        <f t="shared" si="244"/>
        <v/>
      </c>
      <c r="Q47" s="624" t="str">
        <f t="shared" si="116"/>
        <v/>
      </c>
      <c r="R47" s="5" t="str">
        <f t="shared" si="389"/>
        <v/>
      </c>
      <c r="S47" s="6" t="str">
        <f t="shared" si="390"/>
        <v/>
      </c>
      <c r="T47" s="4" t="str">
        <f t="shared" si="391"/>
        <v/>
      </c>
      <c r="U47" s="5" t="str">
        <f t="shared" si="392"/>
        <v/>
      </c>
      <c r="V47" s="8" t="str">
        <f t="shared" si="393"/>
        <v/>
      </c>
      <c r="W47" s="624" t="str">
        <f t="shared" si="226"/>
        <v/>
      </c>
      <c r="X47" s="5" t="str">
        <f t="shared" si="394"/>
        <v/>
      </c>
      <c r="Y47" s="7" t="str">
        <f t="shared" si="225"/>
        <v/>
      </c>
      <c r="Z47" s="21" t="str">
        <f t="shared" si="245"/>
        <v/>
      </c>
      <c r="AA47" s="5" t="str">
        <f t="shared" si="246"/>
        <v/>
      </c>
      <c r="AB47" s="5" t="str">
        <f t="shared" si="247"/>
        <v/>
      </c>
      <c r="AC47" s="8" t="str">
        <f t="shared" si="395"/>
        <v/>
      </c>
      <c r="AD47" s="9" t="str">
        <f t="shared" si="396"/>
        <v/>
      </c>
      <c r="AE47" s="5" t="str">
        <f t="shared" si="397"/>
        <v/>
      </c>
      <c r="AF47" s="10" t="str">
        <f t="shared" si="398"/>
        <v/>
      </c>
      <c r="AG47" s="622" t="str">
        <f t="shared" si="399"/>
        <v/>
      </c>
      <c r="AH47" s="623" t="str">
        <f t="shared" si="400"/>
        <v/>
      </c>
      <c r="AI47" s="624" t="str">
        <f t="shared" si="401"/>
        <v/>
      </c>
      <c r="AJ47" s="625" t="str">
        <f t="shared" si="402"/>
        <v/>
      </c>
      <c r="AK47" s="4" t="str">
        <f t="shared" si="403"/>
        <v/>
      </c>
      <c r="AL47" s="5" t="str">
        <f t="shared" si="404"/>
        <v/>
      </c>
      <c r="AM47" s="6" t="str">
        <f t="shared" si="405"/>
        <v/>
      </c>
      <c r="AN47" s="612" t="str">
        <f t="shared" si="406"/>
        <v/>
      </c>
      <c r="AO47" s="613" t="str">
        <f t="shared" si="98"/>
        <v/>
      </c>
      <c r="AP47" s="624" t="str">
        <f t="shared" si="407"/>
        <v/>
      </c>
      <c r="AQ47" s="625" t="str">
        <f t="shared" si="248"/>
        <v/>
      </c>
      <c r="AS47" s="56" t="str">
        <f t="shared" si="410"/>
        <v/>
      </c>
      <c r="AT47" s="77" t="str">
        <f t="shared" si="249"/>
        <v/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 t="str">
        <f t="shared" si="384"/>
        <v/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</v>
      </c>
      <c r="B48" s="770"/>
      <c r="C48" s="771"/>
      <c r="D48" s="772"/>
      <c r="E48" s="773"/>
      <c r="F48" s="771"/>
      <c r="G48" s="774"/>
      <c r="H48" s="773"/>
      <c r="I48" s="771"/>
      <c r="J48" s="601"/>
      <c r="K48" s="426" t="str">
        <f t="shared" si="82"/>
        <v/>
      </c>
      <c r="L48" s="327"/>
      <c r="M48" s="173" t="str">
        <f t="shared" si="241"/>
        <v/>
      </c>
      <c r="N48" s="21" t="str">
        <f t="shared" si="242"/>
        <v/>
      </c>
      <c r="O48" s="5" t="str">
        <f t="shared" si="243"/>
        <v/>
      </c>
      <c r="P48" s="10" t="str">
        <f t="shared" si="244"/>
        <v/>
      </c>
      <c r="Q48" s="624" t="str">
        <f t="shared" si="116"/>
        <v/>
      </c>
      <c r="R48" s="5" t="str">
        <f t="shared" si="83"/>
        <v/>
      </c>
      <c r="S48" s="6" t="str">
        <f t="shared" si="84"/>
        <v/>
      </c>
      <c r="T48" s="4" t="str">
        <f t="shared" si="85"/>
        <v/>
      </c>
      <c r="U48" s="5" t="str">
        <f t="shared" si="86"/>
        <v/>
      </c>
      <c r="V48" s="8" t="str">
        <f t="shared" si="117"/>
        <v/>
      </c>
      <c r="W48" s="624" t="str">
        <f t="shared" si="226"/>
        <v/>
      </c>
      <c r="X48" s="5" t="str">
        <f t="shared" si="87"/>
        <v/>
      </c>
      <c r="Y48" s="7" t="str">
        <f t="shared" si="225"/>
        <v/>
      </c>
      <c r="Z48" s="21" t="str">
        <f t="shared" si="245"/>
        <v/>
      </c>
      <c r="AA48" s="5" t="str">
        <f t="shared" si="246"/>
        <v/>
      </c>
      <c r="AB48" s="5" t="str">
        <f t="shared" si="247"/>
        <v/>
      </c>
      <c r="AC48" s="8" t="str">
        <f t="shared" si="88"/>
        <v/>
      </c>
      <c r="AD48" s="9" t="str">
        <f t="shared" si="118"/>
        <v/>
      </c>
      <c r="AE48" s="5" t="str">
        <f t="shared" si="89"/>
        <v/>
      </c>
      <c r="AF48" s="10" t="str">
        <f t="shared" si="90"/>
        <v/>
      </c>
      <c r="AG48" s="622" t="str">
        <f t="shared" si="91"/>
        <v/>
      </c>
      <c r="AH48" s="623" t="str">
        <f t="shared" si="92"/>
        <v/>
      </c>
      <c r="AI48" s="624" t="str">
        <f t="shared" si="93"/>
        <v/>
      </c>
      <c r="AJ48" s="625" t="str">
        <f t="shared" si="94"/>
        <v/>
      </c>
      <c r="AK48" s="4" t="str">
        <f t="shared" si="213"/>
        <v/>
      </c>
      <c r="AL48" s="5" t="str">
        <f t="shared" si="95"/>
        <v/>
      </c>
      <c r="AM48" s="6" t="str">
        <f t="shared" si="96"/>
        <v/>
      </c>
      <c r="AN48" s="612" t="str">
        <f t="shared" si="97"/>
        <v/>
      </c>
      <c r="AO48" s="613" t="str">
        <f t="shared" si="98"/>
        <v/>
      </c>
      <c r="AP48" s="624" t="str">
        <f t="shared" si="99"/>
        <v/>
      </c>
      <c r="AQ48" s="625" t="str">
        <f t="shared" si="248"/>
        <v/>
      </c>
      <c r="AS48" s="56" t="str">
        <f t="shared" si="410"/>
        <v/>
      </c>
      <c r="AT48" s="77" t="str">
        <f t="shared" si="249"/>
        <v/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 t="str">
        <f t="shared" si="384"/>
        <v/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</v>
      </c>
      <c r="B49" s="770"/>
      <c r="C49" s="771"/>
      <c r="D49" s="772"/>
      <c r="E49" s="773"/>
      <c r="F49" s="771"/>
      <c r="G49" s="774"/>
      <c r="H49" s="773"/>
      <c r="I49" s="771"/>
      <c r="J49" s="601"/>
      <c r="K49" s="426" t="str">
        <f t="shared" si="82"/>
        <v/>
      </c>
      <c r="L49" s="327"/>
      <c r="M49" s="173" t="str">
        <f t="shared" si="241"/>
        <v/>
      </c>
      <c r="N49" s="21" t="str">
        <f t="shared" si="242"/>
        <v/>
      </c>
      <c r="O49" s="5" t="str">
        <f t="shared" si="243"/>
        <v/>
      </c>
      <c r="P49" s="10" t="str">
        <f t="shared" si="244"/>
        <v/>
      </c>
      <c r="Q49" s="624" t="str">
        <f t="shared" si="116"/>
        <v/>
      </c>
      <c r="R49" s="5" t="str">
        <f t="shared" si="83"/>
        <v/>
      </c>
      <c r="S49" s="6" t="str">
        <f t="shared" si="84"/>
        <v/>
      </c>
      <c r="T49" s="4" t="str">
        <f t="shared" si="85"/>
        <v/>
      </c>
      <c r="U49" s="5" t="str">
        <f t="shared" si="86"/>
        <v/>
      </c>
      <c r="V49" s="8" t="str">
        <f t="shared" si="117"/>
        <v/>
      </c>
      <c r="W49" s="624" t="str">
        <f t="shared" si="226"/>
        <v/>
      </c>
      <c r="X49" s="5" t="str">
        <f t="shared" si="87"/>
        <v/>
      </c>
      <c r="Y49" s="7" t="str">
        <f t="shared" si="225"/>
        <v/>
      </c>
      <c r="Z49" s="21" t="str">
        <f t="shared" si="245"/>
        <v/>
      </c>
      <c r="AA49" s="5" t="str">
        <f t="shared" si="246"/>
        <v/>
      </c>
      <c r="AB49" s="5" t="str">
        <f t="shared" si="247"/>
        <v/>
      </c>
      <c r="AC49" s="8" t="str">
        <f t="shared" si="88"/>
        <v/>
      </c>
      <c r="AD49" s="9" t="str">
        <f t="shared" si="118"/>
        <v/>
      </c>
      <c r="AE49" s="5" t="str">
        <f t="shared" si="89"/>
        <v/>
      </c>
      <c r="AF49" s="10" t="str">
        <f t="shared" si="90"/>
        <v/>
      </c>
      <c r="AG49" s="622" t="str">
        <f t="shared" si="91"/>
        <v/>
      </c>
      <c r="AH49" s="623" t="str">
        <f t="shared" si="92"/>
        <v/>
      </c>
      <c r="AI49" s="624" t="str">
        <f t="shared" si="93"/>
        <v/>
      </c>
      <c r="AJ49" s="625" t="str">
        <f t="shared" si="94"/>
        <v/>
      </c>
      <c r="AK49" s="4" t="str">
        <f t="shared" si="213"/>
        <v/>
      </c>
      <c r="AL49" s="5" t="str">
        <f t="shared" si="95"/>
        <v/>
      </c>
      <c r="AM49" s="6" t="str">
        <f t="shared" si="96"/>
        <v/>
      </c>
      <c r="AN49" s="612" t="str">
        <f t="shared" si="97"/>
        <v/>
      </c>
      <c r="AO49" s="613" t="str">
        <f t="shared" si="98"/>
        <v/>
      </c>
      <c r="AP49" s="624" t="str">
        <f t="shared" si="99"/>
        <v/>
      </c>
      <c r="AQ49" s="625" t="str">
        <f t="shared" si="248"/>
        <v/>
      </c>
      <c r="AS49" s="56" t="str">
        <f t="shared" si="410"/>
        <v/>
      </c>
      <c r="AT49" s="77" t="str">
        <f t="shared" si="249"/>
        <v/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 t="str">
        <f t="shared" si="384"/>
        <v/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</v>
      </c>
      <c r="B50" s="770"/>
      <c r="C50" s="771"/>
      <c r="D50" s="772"/>
      <c r="E50" s="773"/>
      <c r="F50" s="771"/>
      <c r="G50" s="774"/>
      <c r="H50" s="773"/>
      <c r="I50" s="771"/>
      <c r="J50" s="601"/>
      <c r="K50" s="426" t="str">
        <f t="shared" si="82"/>
        <v/>
      </c>
      <c r="L50" s="327"/>
      <c r="M50" s="173" t="str">
        <f t="shared" si="241"/>
        <v/>
      </c>
      <c r="N50" s="21" t="str">
        <f t="shared" si="242"/>
        <v/>
      </c>
      <c r="O50" s="5" t="str">
        <f t="shared" si="243"/>
        <v/>
      </c>
      <c r="P50" s="10" t="str">
        <f t="shared" si="244"/>
        <v/>
      </c>
      <c r="Q50" s="624" t="str">
        <f t="shared" si="116"/>
        <v/>
      </c>
      <c r="R50" s="5" t="str">
        <f t="shared" si="83"/>
        <v/>
      </c>
      <c r="S50" s="6" t="str">
        <f t="shared" si="84"/>
        <v/>
      </c>
      <c r="T50" s="4" t="str">
        <f t="shared" si="85"/>
        <v/>
      </c>
      <c r="U50" s="5" t="str">
        <f t="shared" si="86"/>
        <v/>
      </c>
      <c r="V50" s="8" t="str">
        <f t="shared" si="117"/>
        <v/>
      </c>
      <c r="W50" s="624" t="str">
        <f t="shared" si="226"/>
        <v/>
      </c>
      <c r="X50" s="5" t="str">
        <f t="shared" si="87"/>
        <v/>
      </c>
      <c r="Y50" s="7" t="str">
        <f t="shared" si="225"/>
        <v/>
      </c>
      <c r="Z50" s="21" t="str">
        <f t="shared" si="245"/>
        <v/>
      </c>
      <c r="AA50" s="5" t="str">
        <f t="shared" si="246"/>
        <v/>
      </c>
      <c r="AB50" s="5" t="str">
        <f t="shared" si="247"/>
        <v/>
      </c>
      <c r="AC50" s="8" t="str">
        <f t="shared" si="88"/>
        <v/>
      </c>
      <c r="AD50" s="9" t="str">
        <f t="shared" si="118"/>
        <v/>
      </c>
      <c r="AE50" s="5" t="str">
        <f t="shared" si="89"/>
        <v/>
      </c>
      <c r="AF50" s="10" t="str">
        <f t="shared" si="90"/>
        <v/>
      </c>
      <c r="AG50" s="622" t="str">
        <f t="shared" si="91"/>
        <v/>
      </c>
      <c r="AH50" s="623" t="str">
        <f t="shared" si="92"/>
        <v/>
      </c>
      <c r="AI50" s="624" t="str">
        <f t="shared" si="93"/>
        <v/>
      </c>
      <c r="AJ50" s="625" t="str">
        <f t="shared" si="94"/>
        <v/>
      </c>
      <c r="AK50" s="4" t="str">
        <f t="shared" si="213"/>
        <v/>
      </c>
      <c r="AL50" s="5" t="str">
        <f t="shared" si="95"/>
        <v/>
      </c>
      <c r="AM50" s="6" t="str">
        <f t="shared" si="96"/>
        <v/>
      </c>
      <c r="AN50" s="612" t="str">
        <f t="shared" si="97"/>
        <v/>
      </c>
      <c r="AO50" s="613" t="str">
        <f t="shared" si="98"/>
        <v/>
      </c>
      <c r="AP50" s="624" t="str">
        <f t="shared" si="99"/>
        <v/>
      </c>
      <c r="AQ50" s="625" t="str">
        <f t="shared" si="248"/>
        <v/>
      </c>
      <c r="AS50" s="56" t="str">
        <f t="shared" si="410"/>
        <v/>
      </c>
      <c r="AT50" s="77" t="str">
        <f t="shared" si="249"/>
        <v/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 t="str">
        <f t="shared" si="384"/>
        <v/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</v>
      </c>
      <c r="B51" s="770"/>
      <c r="C51" s="771"/>
      <c r="D51" s="772"/>
      <c r="E51" s="773"/>
      <c r="F51" s="771"/>
      <c r="G51" s="774"/>
      <c r="H51" s="773"/>
      <c r="I51" s="771"/>
      <c r="J51" s="601"/>
      <c r="K51" s="426" t="str">
        <f t="shared" si="82"/>
        <v/>
      </c>
      <c r="L51" s="327"/>
      <c r="M51" s="173" t="str">
        <f t="shared" si="241"/>
        <v/>
      </c>
      <c r="N51" s="21" t="str">
        <f t="shared" si="242"/>
        <v/>
      </c>
      <c r="O51" s="5" t="str">
        <f t="shared" si="243"/>
        <v/>
      </c>
      <c r="P51" s="10" t="str">
        <f t="shared" si="244"/>
        <v/>
      </c>
      <c r="Q51" s="624" t="str">
        <f t="shared" si="116"/>
        <v/>
      </c>
      <c r="R51" s="5" t="str">
        <f t="shared" si="83"/>
        <v/>
      </c>
      <c r="S51" s="6" t="str">
        <f t="shared" si="84"/>
        <v/>
      </c>
      <c r="T51" s="4" t="str">
        <f t="shared" si="85"/>
        <v/>
      </c>
      <c r="U51" s="5" t="str">
        <f t="shared" si="86"/>
        <v/>
      </c>
      <c r="V51" s="8" t="str">
        <f t="shared" si="117"/>
        <v/>
      </c>
      <c r="W51" s="624" t="str">
        <f t="shared" si="226"/>
        <v/>
      </c>
      <c r="X51" s="5" t="str">
        <f t="shared" si="87"/>
        <v/>
      </c>
      <c r="Y51" s="7" t="str">
        <f t="shared" si="225"/>
        <v/>
      </c>
      <c r="Z51" s="21" t="str">
        <f t="shared" si="245"/>
        <v/>
      </c>
      <c r="AA51" s="5" t="str">
        <f t="shared" si="246"/>
        <v/>
      </c>
      <c r="AB51" s="5" t="str">
        <f t="shared" si="247"/>
        <v/>
      </c>
      <c r="AC51" s="8" t="str">
        <f t="shared" si="88"/>
        <v/>
      </c>
      <c r="AD51" s="9" t="str">
        <f t="shared" si="118"/>
        <v/>
      </c>
      <c r="AE51" s="5" t="str">
        <f t="shared" si="89"/>
        <v/>
      </c>
      <c r="AF51" s="10" t="str">
        <f t="shared" si="90"/>
        <v/>
      </c>
      <c r="AG51" s="622" t="str">
        <f t="shared" si="91"/>
        <v/>
      </c>
      <c r="AH51" s="623" t="str">
        <f t="shared" si="92"/>
        <v/>
      </c>
      <c r="AI51" s="624" t="str">
        <f t="shared" si="93"/>
        <v/>
      </c>
      <c r="AJ51" s="625" t="str">
        <f t="shared" si="94"/>
        <v/>
      </c>
      <c r="AK51" s="4" t="str">
        <f t="shared" si="213"/>
        <v/>
      </c>
      <c r="AL51" s="5" t="str">
        <f t="shared" si="95"/>
        <v/>
      </c>
      <c r="AM51" s="6" t="str">
        <f t="shared" si="96"/>
        <v/>
      </c>
      <c r="AN51" s="612" t="str">
        <f t="shared" si="97"/>
        <v/>
      </c>
      <c r="AO51" s="613" t="str">
        <f t="shared" si="98"/>
        <v/>
      </c>
      <c r="AP51" s="624" t="str">
        <f t="shared" si="99"/>
        <v/>
      </c>
      <c r="AQ51" s="625" t="str">
        <f t="shared" si="248"/>
        <v/>
      </c>
      <c r="AS51" s="56" t="str">
        <f t="shared" si="410"/>
        <v/>
      </c>
      <c r="AT51" s="77" t="str">
        <f t="shared" si="249"/>
        <v/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 t="str">
        <f t="shared" si="384"/>
        <v/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</v>
      </c>
      <c r="B52" s="770"/>
      <c r="C52" s="771"/>
      <c r="D52" s="772"/>
      <c r="E52" s="773"/>
      <c r="F52" s="771"/>
      <c r="G52" s="774"/>
      <c r="H52" s="773"/>
      <c r="I52" s="771"/>
      <c r="J52" s="601"/>
      <c r="K52" s="426" t="str">
        <f t="shared" si="82"/>
        <v/>
      </c>
      <c r="L52" s="327"/>
      <c r="M52" s="173" t="str">
        <f t="shared" si="241"/>
        <v/>
      </c>
      <c r="N52" s="21" t="str">
        <f t="shared" si="242"/>
        <v/>
      </c>
      <c r="O52" s="5" t="str">
        <f t="shared" si="243"/>
        <v/>
      </c>
      <c r="P52" s="10" t="str">
        <f t="shared" si="244"/>
        <v/>
      </c>
      <c r="Q52" s="624" t="str">
        <f t="shared" si="116"/>
        <v/>
      </c>
      <c r="R52" s="5" t="str">
        <f t="shared" si="83"/>
        <v/>
      </c>
      <c r="S52" s="6" t="str">
        <f t="shared" si="84"/>
        <v/>
      </c>
      <c r="T52" s="4" t="str">
        <f t="shared" si="85"/>
        <v/>
      </c>
      <c r="U52" s="5" t="str">
        <f t="shared" si="86"/>
        <v/>
      </c>
      <c r="V52" s="8" t="str">
        <f t="shared" si="117"/>
        <v/>
      </c>
      <c r="W52" s="624" t="str">
        <f t="shared" si="226"/>
        <v/>
      </c>
      <c r="X52" s="5" t="str">
        <f t="shared" si="87"/>
        <v/>
      </c>
      <c r="Y52" s="7" t="str">
        <f t="shared" si="225"/>
        <v/>
      </c>
      <c r="Z52" s="21" t="str">
        <f t="shared" si="245"/>
        <v/>
      </c>
      <c r="AA52" s="5" t="str">
        <f t="shared" si="246"/>
        <v/>
      </c>
      <c r="AB52" s="5" t="str">
        <f t="shared" si="247"/>
        <v/>
      </c>
      <c r="AC52" s="8" t="str">
        <f t="shared" si="88"/>
        <v/>
      </c>
      <c r="AD52" s="9" t="str">
        <f t="shared" si="118"/>
        <v/>
      </c>
      <c r="AE52" s="5" t="str">
        <f t="shared" si="89"/>
        <v/>
      </c>
      <c r="AF52" s="10" t="str">
        <f t="shared" si="90"/>
        <v/>
      </c>
      <c r="AG52" s="622" t="str">
        <f t="shared" si="91"/>
        <v/>
      </c>
      <c r="AH52" s="623" t="str">
        <f t="shared" si="92"/>
        <v/>
      </c>
      <c r="AI52" s="624" t="str">
        <f t="shared" si="93"/>
        <v/>
      </c>
      <c r="AJ52" s="625" t="str">
        <f t="shared" si="94"/>
        <v/>
      </c>
      <c r="AK52" s="4" t="str">
        <f t="shared" si="213"/>
        <v/>
      </c>
      <c r="AL52" s="5" t="str">
        <f t="shared" si="95"/>
        <v/>
      </c>
      <c r="AM52" s="6" t="str">
        <f t="shared" si="96"/>
        <v/>
      </c>
      <c r="AN52" s="612" t="str">
        <f t="shared" si="97"/>
        <v/>
      </c>
      <c r="AO52" s="613" t="str">
        <f t="shared" si="98"/>
        <v/>
      </c>
      <c r="AP52" s="624" t="str">
        <f t="shared" si="99"/>
        <v/>
      </c>
      <c r="AQ52" s="625" t="str">
        <f t="shared" si="248"/>
        <v/>
      </c>
      <c r="AS52" s="56" t="str">
        <f t="shared" si="410"/>
        <v/>
      </c>
      <c r="AT52" s="77" t="str">
        <f t="shared" si="249"/>
        <v/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 t="str">
        <f t="shared" si="384"/>
        <v/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</v>
      </c>
      <c r="B53" s="770"/>
      <c r="C53" s="771"/>
      <c r="D53" s="772"/>
      <c r="E53" s="773"/>
      <c r="F53" s="771"/>
      <c r="G53" s="774"/>
      <c r="H53" s="773"/>
      <c r="I53" s="771"/>
      <c r="J53" s="601"/>
      <c r="K53" s="426" t="str">
        <f t="shared" si="82"/>
        <v/>
      </c>
      <c r="L53" s="327"/>
      <c r="M53" s="173" t="str">
        <f t="shared" si="241"/>
        <v/>
      </c>
      <c r="N53" s="21" t="str">
        <f t="shared" si="242"/>
        <v/>
      </c>
      <c r="O53" s="5" t="str">
        <f t="shared" si="243"/>
        <v/>
      </c>
      <c r="P53" s="10" t="str">
        <f t="shared" si="244"/>
        <v/>
      </c>
      <c r="Q53" s="624" t="str">
        <f t="shared" si="116"/>
        <v/>
      </c>
      <c r="R53" s="5" t="str">
        <f t="shared" ref="R53:R58" si="414">IF(M53="","",SQRT(N53^2+O53^2))</f>
        <v/>
      </c>
      <c r="S53" s="6" t="str">
        <f t="shared" ref="S53:S58" si="415">IF(M53="","",P53)</f>
        <v/>
      </c>
      <c r="T53" s="4" t="str">
        <f t="shared" ref="T53:T58" si="416">IF(M53="","",X53*COS(RADIANS(W53)))</f>
        <v/>
      </c>
      <c r="U53" s="5" t="str">
        <f t="shared" ref="U53:U58" si="417">IF(M53="","",X53*SIN(RADIANS(W53)))</f>
        <v/>
      </c>
      <c r="V53" s="8" t="str">
        <f t="shared" ref="V53:V58" si="418">IF(M53="","",Y53)</f>
        <v/>
      </c>
      <c r="W53" s="624" t="str">
        <f t="shared" si="226"/>
        <v/>
      </c>
      <c r="X53" s="5" t="str">
        <f t="shared" ref="X53:X58" si="419">IF(M53="","",R53)</f>
        <v/>
      </c>
      <c r="Y53" s="7" t="str">
        <f t="shared" si="225"/>
        <v/>
      </c>
      <c r="Z53" s="21" t="str">
        <f t="shared" si="245"/>
        <v/>
      </c>
      <c r="AA53" s="5" t="str">
        <f t="shared" si="246"/>
        <v/>
      </c>
      <c r="AB53" s="5" t="str">
        <f t="shared" si="247"/>
        <v/>
      </c>
      <c r="AC53" s="8" t="str">
        <f t="shared" ref="AC53:AC58" si="420">IF(M53="","",SQRT(Z53^2+AA53^2+AB53^2))</f>
        <v/>
      </c>
      <c r="AD53" s="9" t="str">
        <f t="shared" ref="AD53:AD58" si="421">IF(M53="","",Z53*(1/SQRT(Z53^2+AA53^2+AB53^2)))</f>
        <v/>
      </c>
      <c r="AE53" s="5" t="str">
        <f t="shared" ref="AE53:AE58" si="422">IF(M53="","",AA53*(1/SQRT(Z53^2+AA53^2+AB53^2)))</f>
        <v/>
      </c>
      <c r="AF53" s="10" t="str">
        <f t="shared" ref="AF53:AF58" si="423">IF(M53="","",AB53*(1/SQRT(Z53^2+AA53^2+AB53^2)))</f>
        <v/>
      </c>
      <c r="AG53" s="622" t="str">
        <f t="shared" ref="AG53:AG58" si="424">IF(M53="","",DEGREES(ATAN2(-AF53,AE53)))</f>
        <v/>
      </c>
      <c r="AH53" s="623" t="str">
        <f t="shared" ref="AH53:AH58" si="425">IF(M53="","",DEGREES(ACOS(AD53)))</f>
        <v/>
      </c>
      <c r="AI53" s="624" t="str">
        <f t="shared" ref="AI53:AI58" si="426">IF(M53="","",DEGREES(-ACOS(-AF53)))</f>
        <v/>
      </c>
      <c r="AJ53" s="625" t="str">
        <f t="shared" ref="AJ53:AJ58" si="427">IF(M53="","",DEGREES(ATAN2(-AE53,AD53)))</f>
        <v/>
      </c>
      <c r="AK53" s="4" t="str">
        <f t="shared" ref="AK53:AK58" si="428">IF(M53="","",(COS(RADIANS((90-$Q$8)-W53))*AD53)+(-SIN(RADIANS((90-$Q$8)-W53))*AE53))</f>
        <v/>
      </c>
      <c r="AL53" s="5" t="str">
        <f t="shared" ref="AL53:AL58" si="429">IF(M53="","",(SIN(RADIANS((90-$Q$8)-W53))*AD53)+(COS(RADIANS((90-$Q$8)-W53))*AE53))</f>
        <v/>
      </c>
      <c r="AM53" s="6" t="str">
        <f t="shared" ref="AM53:AM58" si="430">IF(M53="","",AF53)</f>
        <v/>
      </c>
      <c r="AN53" s="612" t="str">
        <f t="shared" ref="AN53:AN58" si="431">IF(M53="","",DEGREES(ATAN2(-AM53,AL53)))</f>
        <v/>
      </c>
      <c r="AO53" s="613" t="str">
        <f t="shared" si="98"/>
        <v/>
      </c>
      <c r="AP53" s="624" t="str">
        <f t="shared" ref="AP53:AP58" si="432">IF(M53="","",DEGREES(ATAN2(AK53,AL53)))</f>
        <v/>
      </c>
      <c r="AQ53" s="625" t="str">
        <f t="shared" si="248"/>
        <v/>
      </c>
      <c r="AS53" s="56" t="str">
        <f t="shared" si="410"/>
        <v/>
      </c>
      <c r="AT53" s="77" t="str">
        <f t="shared" si="249"/>
        <v/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 t="str">
        <f t="shared" si="384"/>
        <v/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</v>
      </c>
      <c r="B54" s="770"/>
      <c r="C54" s="771"/>
      <c r="D54" s="772"/>
      <c r="E54" s="773"/>
      <c r="F54" s="771"/>
      <c r="G54" s="774"/>
      <c r="H54" s="773"/>
      <c r="I54" s="771"/>
      <c r="J54" s="601"/>
      <c r="K54" s="426" t="str">
        <f t="shared" si="82"/>
        <v/>
      </c>
      <c r="L54" s="327"/>
      <c r="M54" s="173" t="str">
        <f t="shared" si="241"/>
        <v/>
      </c>
      <c r="N54" s="21" t="str">
        <f t="shared" si="242"/>
        <v/>
      </c>
      <c r="O54" s="5" t="str">
        <f t="shared" si="243"/>
        <v/>
      </c>
      <c r="P54" s="10" t="str">
        <f t="shared" si="244"/>
        <v/>
      </c>
      <c r="Q54" s="624" t="str">
        <f t="shared" si="116"/>
        <v/>
      </c>
      <c r="R54" s="5" t="str">
        <f t="shared" si="414"/>
        <v/>
      </c>
      <c r="S54" s="6" t="str">
        <f t="shared" si="415"/>
        <v/>
      </c>
      <c r="T54" s="4" t="str">
        <f t="shared" si="416"/>
        <v/>
      </c>
      <c r="U54" s="5" t="str">
        <f t="shared" si="417"/>
        <v/>
      </c>
      <c r="V54" s="8" t="str">
        <f t="shared" si="418"/>
        <v/>
      </c>
      <c r="W54" s="624" t="str">
        <f t="shared" si="226"/>
        <v/>
      </c>
      <c r="X54" s="5" t="str">
        <f t="shared" si="419"/>
        <v/>
      </c>
      <c r="Y54" s="7" t="str">
        <f t="shared" si="225"/>
        <v/>
      </c>
      <c r="Z54" s="21" t="str">
        <f t="shared" si="245"/>
        <v/>
      </c>
      <c r="AA54" s="5" t="str">
        <f t="shared" si="246"/>
        <v/>
      </c>
      <c r="AB54" s="5" t="str">
        <f t="shared" si="247"/>
        <v/>
      </c>
      <c r="AC54" s="8" t="str">
        <f t="shared" si="420"/>
        <v/>
      </c>
      <c r="AD54" s="9" t="str">
        <f t="shared" si="421"/>
        <v/>
      </c>
      <c r="AE54" s="5" t="str">
        <f t="shared" si="422"/>
        <v/>
      </c>
      <c r="AF54" s="10" t="str">
        <f t="shared" si="423"/>
        <v/>
      </c>
      <c r="AG54" s="622" t="str">
        <f t="shared" si="424"/>
        <v/>
      </c>
      <c r="AH54" s="623" t="str">
        <f t="shared" si="425"/>
        <v/>
      </c>
      <c r="AI54" s="624" t="str">
        <f t="shared" si="426"/>
        <v/>
      </c>
      <c r="AJ54" s="625" t="str">
        <f t="shared" si="427"/>
        <v/>
      </c>
      <c r="AK54" s="4" t="str">
        <f t="shared" si="428"/>
        <v/>
      </c>
      <c r="AL54" s="5" t="str">
        <f t="shared" si="429"/>
        <v/>
      </c>
      <c r="AM54" s="6" t="str">
        <f t="shared" si="430"/>
        <v/>
      </c>
      <c r="AN54" s="612" t="str">
        <f t="shared" si="431"/>
        <v/>
      </c>
      <c r="AO54" s="613" t="str">
        <f t="shared" si="98"/>
        <v/>
      </c>
      <c r="AP54" s="624" t="str">
        <f t="shared" si="432"/>
        <v/>
      </c>
      <c r="AQ54" s="625" t="str">
        <f t="shared" si="248"/>
        <v/>
      </c>
      <c r="AS54" s="56" t="str">
        <f t="shared" si="410"/>
        <v/>
      </c>
      <c r="AT54" s="77" t="str">
        <f t="shared" si="249"/>
        <v/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 t="str">
        <f t="shared" si="384"/>
        <v/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5"/>
        <v/>
      </c>
      <c r="IK54" s="839" t="str">
        <f t="shared" si="386"/>
        <v/>
      </c>
      <c r="IL54" s="791" t="str">
        <f t="shared" si="227"/>
        <v/>
      </c>
      <c r="IM54" s="830"/>
      <c r="IN54" s="5" t="str">
        <f t="shared" si="228"/>
        <v/>
      </c>
      <c r="IO54" s="852"/>
      <c r="IP54" s="9" t="str">
        <f t="shared" si="229"/>
        <v/>
      </c>
      <c r="IQ54" s="5" t="str">
        <f t="shared" si="230"/>
        <v/>
      </c>
      <c r="IR54" s="5" t="str">
        <f t="shared" si="387"/>
        <v/>
      </c>
      <c r="IS54" s="5" t="str">
        <f t="shared" si="231"/>
        <v/>
      </c>
      <c r="IT54" s="791" t="str">
        <f t="shared" si="232"/>
        <v/>
      </c>
      <c r="IU54" s="9" t="str">
        <f t="shared" si="233"/>
        <v/>
      </c>
      <c r="IV54" s="5" t="str">
        <f t="shared" si="234"/>
        <v/>
      </c>
      <c r="IW54" s="5" t="str">
        <f t="shared" si="388"/>
        <v/>
      </c>
      <c r="IX54" s="5" t="str">
        <f t="shared" si="235"/>
        <v/>
      </c>
      <c r="IY54" s="833" t="str">
        <f t="shared" si="236"/>
        <v/>
      </c>
    </row>
    <row r="55" spans="1:259" ht="15" customHeight="1" x14ac:dyDescent="0.25">
      <c r="A55" s="84">
        <f t="shared" si="81"/>
        <v>0</v>
      </c>
      <c r="B55" s="770"/>
      <c r="C55" s="771"/>
      <c r="D55" s="772"/>
      <c r="E55" s="773"/>
      <c r="F55" s="771"/>
      <c r="G55" s="774"/>
      <c r="H55" s="773"/>
      <c r="I55" s="771"/>
      <c r="J55" s="601"/>
      <c r="K55" s="426" t="str">
        <f t="shared" si="82"/>
        <v/>
      </c>
      <c r="L55" s="327"/>
      <c r="M55" s="173" t="str">
        <f t="shared" si="241"/>
        <v/>
      </c>
      <c r="N55" s="21" t="str">
        <f t="shared" si="242"/>
        <v/>
      </c>
      <c r="O55" s="5" t="str">
        <f t="shared" si="243"/>
        <v/>
      </c>
      <c r="P55" s="10" t="str">
        <f t="shared" si="244"/>
        <v/>
      </c>
      <c r="Q55" s="624" t="str">
        <f t="shared" si="116"/>
        <v/>
      </c>
      <c r="R55" s="5" t="str">
        <f t="shared" si="414"/>
        <v/>
      </c>
      <c r="S55" s="6" t="str">
        <f t="shared" si="415"/>
        <v/>
      </c>
      <c r="T55" s="4" t="str">
        <f t="shared" si="416"/>
        <v/>
      </c>
      <c r="U55" s="5" t="str">
        <f t="shared" si="417"/>
        <v/>
      </c>
      <c r="V55" s="8" t="str">
        <f t="shared" si="418"/>
        <v/>
      </c>
      <c r="W55" s="624" t="str">
        <f t="shared" si="226"/>
        <v/>
      </c>
      <c r="X55" s="5" t="str">
        <f t="shared" si="419"/>
        <v/>
      </c>
      <c r="Y55" s="7" t="str">
        <f t="shared" si="225"/>
        <v/>
      </c>
      <c r="Z55" s="21" t="str">
        <f t="shared" si="245"/>
        <v/>
      </c>
      <c r="AA55" s="5" t="str">
        <f t="shared" si="246"/>
        <v/>
      </c>
      <c r="AB55" s="5" t="str">
        <f t="shared" si="247"/>
        <v/>
      </c>
      <c r="AC55" s="8" t="str">
        <f t="shared" si="420"/>
        <v/>
      </c>
      <c r="AD55" s="9" t="str">
        <f t="shared" si="421"/>
        <v/>
      </c>
      <c r="AE55" s="5" t="str">
        <f t="shared" si="422"/>
        <v/>
      </c>
      <c r="AF55" s="10" t="str">
        <f t="shared" si="423"/>
        <v/>
      </c>
      <c r="AG55" s="622" t="str">
        <f t="shared" si="424"/>
        <v/>
      </c>
      <c r="AH55" s="623" t="str">
        <f t="shared" si="425"/>
        <v/>
      </c>
      <c r="AI55" s="624" t="str">
        <f t="shared" si="426"/>
        <v/>
      </c>
      <c r="AJ55" s="625" t="str">
        <f t="shared" si="427"/>
        <v/>
      </c>
      <c r="AK55" s="4" t="str">
        <f t="shared" si="428"/>
        <v/>
      </c>
      <c r="AL55" s="5" t="str">
        <f t="shared" si="429"/>
        <v/>
      </c>
      <c r="AM55" s="6" t="str">
        <f t="shared" si="430"/>
        <v/>
      </c>
      <c r="AN55" s="612" t="str">
        <f t="shared" si="431"/>
        <v/>
      </c>
      <c r="AO55" s="613" t="str">
        <f>IF(ROUND(IF(M55="",0,DEGREES(ACOS(AK55))),4)=90,0,IF(M55="","",DEGREES(ACOS(AK55))))</f>
        <v/>
      </c>
      <c r="AP55" s="624" t="str">
        <f t="shared" si="432"/>
        <v/>
      </c>
      <c r="AQ55" s="625" t="str">
        <f t="shared" si="248"/>
        <v/>
      </c>
      <c r="AS55" s="56" t="str">
        <f t="shared" si="410"/>
        <v/>
      </c>
      <c r="AT55" s="77" t="str">
        <f t="shared" si="249"/>
        <v/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 t="str">
        <f t="shared" si="384"/>
        <v/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5"/>
        <v/>
      </c>
      <c r="IK55" s="839" t="str">
        <f t="shared" si="386"/>
        <v/>
      </c>
      <c r="IL55" s="791" t="str">
        <f t="shared" si="227"/>
        <v/>
      </c>
      <c r="IM55" s="830"/>
      <c r="IN55" s="5" t="str">
        <f t="shared" si="228"/>
        <v/>
      </c>
      <c r="IO55" s="852"/>
      <c r="IP55" s="9" t="str">
        <f t="shared" si="229"/>
        <v/>
      </c>
      <c r="IQ55" s="5" t="str">
        <f t="shared" si="230"/>
        <v/>
      </c>
      <c r="IR55" s="5" t="str">
        <f t="shared" si="387"/>
        <v/>
      </c>
      <c r="IS55" s="5" t="str">
        <f t="shared" si="231"/>
        <v/>
      </c>
      <c r="IT55" s="791" t="str">
        <f t="shared" si="232"/>
        <v/>
      </c>
      <c r="IU55" s="9" t="str">
        <f t="shared" si="233"/>
        <v/>
      </c>
      <c r="IV55" s="5" t="str">
        <f t="shared" si="234"/>
        <v/>
      </c>
      <c r="IW55" s="5" t="str">
        <f t="shared" si="388"/>
        <v/>
      </c>
      <c r="IX55" s="5" t="str">
        <f t="shared" si="235"/>
        <v/>
      </c>
      <c r="IY55" s="833" t="str">
        <f t="shared" si="236"/>
        <v/>
      </c>
    </row>
    <row r="56" spans="1:259" ht="15" customHeight="1" x14ac:dyDescent="0.25">
      <c r="A56" s="84">
        <f t="shared" si="81"/>
        <v>0</v>
      </c>
      <c r="B56" s="770"/>
      <c r="C56" s="771"/>
      <c r="D56" s="772"/>
      <c r="E56" s="773"/>
      <c r="F56" s="771"/>
      <c r="G56" s="774"/>
      <c r="H56" s="773"/>
      <c r="I56" s="771"/>
      <c r="J56" s="601"/>
      <c r="K56" s="426" t="str">
        <f t="shared" si="82"/>
        <v/>
      </c>
      <c r="L56" s="327"/>
      <c r="M56" s="173" t="str">
        <f t="shared" si="241"/>
        <v/>
      </c>
      <c r="N56" s="21" t="str">
        <f t="shared" si="242"/>
        <v/>
      </c>
      <c r="O56" s="5" t="str">
        <f t="shared" si="243"/>
        <v/>
      </c>
      <c r="P56" s="10" t="str">
        <f t="shared" si="244"/>
        <v/>
      </c>
      <c r="Q56" s="624" t="str">
        <f t="shared" si="116"/>
        <v/>
      </c>
      <c r="R56" s="5" t="str">
        <f t="shared" si="414"/>
        <v/>
      </c>
      <c r="S56" s="6" t="str">
        <f t="shared" si="415"/>
        <v/>
      </c>
      <c r="T56" s="4" t="str">
        <f t="shared" si="416"/>
        <v/>
      </c>
      <c r="U56" s="5" t="str">
        <f t="shared" si="417"/>
        <v/>
      </c>
      <c r="V56" s="8" t="str">
        <f t="shared" si="418"/>
        <v/>
      </c>
      <c r="W56" s="624" t="str">
        <f t="shared" si="226"/>
        <v/>
      </c>
      <c r="X56" s="5" t="str">
        <f t="shared" si="419"/>
        <v/>
      </c>
      <c r="Y56" s="7" t="str">
        <f t="shared" si="225"/>
        <v/>
      </c>
      <c r="Z56" s="21" t="str">
        <f t="shared" si="245"/>
        <v/>
      </c>
      <c r="AA56" s="5" t="str">
        <f t="shared" si="246"/>
        <v/>
      </c>
      <c r="AB56" s="5" t="str">
        <f t="shared" si="247"/>
        <v/>
      </c>
      <c r="AC56" s="8" t="str">
        <f t="shared" si="420"/>
        <v/>
      </c>
      <c r="AD56" s="9" t="str">
        <f t="shared" si="421"/>
        <v/>
      </c>
      <c r="AE56" s="5" t="str">
        <f t="shared" si="422"/>
        <v/>
      </c>
      <c r="AF56" s="10" t="str">
        <f t="shared" si="423"/>
        <v/>
      </c>
      <c r="AG56" s="622" t="str">
        <f t="shared" si="424"/>
        <v/>
      </c>
      <c r="AH56" s="623" t="str">
        <f t="shared" si="425"/>
        <v/>
      </c>
      <c r="AI56" s="624" t="str">
        <f t="shared" si="426"/>
        <v/>
      </c>
      <c r="AJ56" s="625" t="str">
        <f t="shared" si="427"/>
        <v/>
      </c>
      <c r="AK56" s="4" t="str">
        <f t="shared" si="428"/>
        <v/>
      </c>
      <c r="AL56" s="5" t="str">
        <f t="shared" si="429"/>
        <v/>
      </c>
      <c r="AM56" s="6" t="str">
        <f t="shared" si="430"/>
        <v/>
      </c>
      <c r="AN56" s="612" t="str">
        <f t="shared" si="431"/>
        <v/>
      </c>
      <c r="AO56" s="613" t="str">
        <f t="shared" ref="AO56:AO119" si="465">IF(ROUND(IF(M56="",0,DEGREES(ACOS(AK56))),4)=90,0,IF(M56="","",DEGREES(ACOS(AK56))))</f>
        <v/>
      </c>
      <c r="AP56" s="624" t="str">
        <f t="shared" si="432"/>
        <v/>
      </c>
      <c r="AQ56" s="625" t="str">
        <f t="shared" si="248"/>
        <v/>
      </c>
      <c r="AS56" s="56" t="str">
        <f t="shared" si="410"/>
        <v/>
      </c>
      <c r="AT56" s="77" t="str">
        <f t="shared" si="249"/>
        <v/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 t="str">
        <f t="shared" si="384"/>
        <v/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5"/>
        <v/>
      </c>
      <c r="IK56" s="839" t="str">
        <f t="shared" si="386"/>
        <v/>
      </c>
      <c r="IL56" s="791" t="str">
        <f t="shared" si="227"/>
        <v/>
      </c>
      <c r="IM56" s="830"/>
      <c r="IN56" s="5" t="str">
        <f t="shared" si="228"/>
        <v/>
      </c>
      <c r="IO56" s="852"/>
      <c r="IP56" s="9" t="str">
        <f t="shared" si="229"/>
        <v/>
      </c>
      <c r="IQ56" s="5" t="str">
        <f t="shared" si="230"/>
        <v/>
      </c>
      <c r="IR56" s="5" t="str">
        <f t="shared" si="387"/>
        <v/>
      </c>
      <c r="IS56" s="5" t="str">
        <f t="shared" si="231"/>
        <v/>
      </c>
      <c r="IT56" s="791" t="str">
        <f t="shared" si="232"/>
        <v/>
      </c>
      <c r="IU56" s="9" t="str">
        <f t="shared" si="233"/>
        <v/>
      </c>
      <c r="IV56" s="5" t="str">
        <f t="shared" si="234"/>
        <v/>
      </c>
      <c r="IW56" s="5" t="str">
        <f t="shared" si="388"/>
        <v/>
      </c>
      <c r="IX56" s="5" t="str">
        <f t="shared" si="235"/>
        <v/>
      </c>
      <c r="IY56" s="833" t="str">
        <f t="shared" si="236"/>
        <v/>
      </c>
    </row>
    <row r="57" spans="1:259" ht="15" customHeight="1" x14ac:dyDescent="0.25">
      <c r="A57" s="84">
        <f t="shared" si="81"/>
        <v>0</v>
      </c>
      <c r="B57" s="770"/>
      <c r="C57" s="771"/>
      <c r="D57" s="772"/>
      <c r="E57" s="773"/>
      <c r="F57" s="771"/>
      <c r="G57" s="774"/>
      <c r="H57" s="773"/>
      <c r="I57" s="771"/>
      <c r="J57" s="601"/>
      <c r="K57" s="426" t="str">
        <f t="shared" si="82"/>
        <v/>
      </c>
      <c r="L57" s="327"/>
      <c r="M57" s="173" t="str">
        <f t="shared" si="241"/>
        <v/>
      </c>
      <c r="N57" s="21" t="str">
        <f t="shared" si="242"/>
        <v/>
      </c>
      <c r="O57" s="5" t="str">
        <f t="shared" si="243"/>
        <v/>
      </c>
      <c r="P57" s="10" t="str">
        <f t="shared" si="244"/>
        <v/>
      </c>
      <c r="Q57" s="624" t="str">
        <f t="shared" si="116"/>
        <v/>
      </c>
      <c r="R57" s="5" t="str">
        <f t="shared" si="414"/>
        <v/>
      </c>
      <c r="S57" s="6" t="str">
        <f t="shared" si="415"/>
        <v/>
      </c>
      <c r="T57" s="4" t="str">
        <f t="shared" si="416"/>
        <v/>
      </c>
      <c r="U57" s="5" t="str">
        <f t="shared" si="417"/>
        <v/>
      </c>
      <c r="V57" s="8" t="str">
        <f t="shared" si="418"/>
        <v/>
      </c>
      <c r="W57" s="624" t="str">
        <f t="shared" si="226"/>
        <v/>
      </c>
      <c r="X57" s="5" t="str">
        <f t="shared" si="419"/>
        <v/>
      </c>
      <c r="Y57" s="7" t="str">
        <f t="shared" si="225"/>
        <v/>
      </c>
      <c r="Z57" s="21" t="str">
        <f t="shared" si="245"/>
        <v/>
      </c>
      <c r="AA57" s="5" t="str">
        <f t="shared" si="246"/>
        <v/>
      </c>
      <c r="AB57" s="5" t="str">
        <f t="shared" si="247"/>
        <v/>
      </c>
      <c r="AC57" s="8" t="str">
        <f t="shared" si="420"/>
        <v/>
      </c>
      <c r="AD57" s="9" t="str">
        <f t="shared" si="421"/>
        <v/>
      </c>
      <c r="AE57" s="5" t="str">
        <f t="shared" si="422"/>
        <v/>
      </c>
      <c r="AF57" s="10" t="str">
        <f t="shared" si="423"/>
        <v/>
      </c>
      <c r="AG57" s="622" t="str">
        <f t="shared" si="424"/>
        <v/>
      </c>
      <c r="AH57" s="623" t="str">
        <f t="shared" si="425"/>
        <v/>
      </c>
      <c r="AI57" s="624" t="str">
        <f t="shared" si="426"/>
        <v/>
      </c>
      <c r="AJ57" s="625" t="str">
        <f t="shared" si="427"/>
        <v/>
      </c>
      <c r="AK57" s="4" t="str">
        <f t="shared" si="428"/>
        <v/>
      </c>
      <c r="AL57" s="5" t="str">
        <f t="shared" si="429"/>
        <v/>
      </c>
      <c r="AM57" s="6" t="str">
        <f t="shared" si="430"/>
        <v/>
      </c>
      <c r="AN57" s="612" t="str">
        <f t="shared" si="431"/>
        <v/>
      </c>
      <c r="AO57" s="613" t="str">
        <f t="shared" si="465"/>
        <v/>
      </c>
      <c r="AP57" s="624" t="str">
        <f t="shared" si="432"/>
        <v/>
      </c>
      <c r="AQ57" s="625" t="str">
        <f t="shared" si="248"/>
        <v/>
      </c>
      <c r="AS57" s="56" t="str">
        <f t="shared" si="410"/>
        <v/>
      </c>
      <c r="AT57" s="77" t="str">
        <f t="shared" si="249"/>
        <v/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 t="str">
        <f t="shared" si="384"/>
        <v/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82"/>
        <v/>
      </c>
      <c r="L58" s="327"/>
      <c r="M58" s="173" t="str">
        <f t="shared" si="241"/>
        <v/>
      </c>
      <c r="N58" s="21" t="str">
        <f t="shared" si="242"/>
        <v/>
      </c>
      <c r="O58" s="5" t="str">
        <f t="shared" si="243"/>
        <v/>
      </c>
      <c r="P58" s="10" t="str">
        <f t="shared" si="244"/>
        <v/>
      </c>
      <c r="Q58" s="624" t="str">
        <f t="shared" si="116"/>
        <v/>
      </c>
      <c r="R58" s="5" t="str">
        <f t="shared" si="414"/>
        <v/>
      </c>
      <c r="S58" s="6" t="str">
        <f t="shared" si="415"/>
        <v/>
      </c>
      <c r="T58" s="4" t="str">
        <f t="shared" si="416"/>
        <v/>
      </c>
      <c r="U58" s="5" t="str">
        <f t="shared" si="417"/>
        <v/>
      </c>
      <c r="V58" s="8" t="str">
        <f t="shared" si="418"/>
        <v/>
      </c>
      <c r="W58" s="624" t="str">
        <f t="shared" si="226"/>
        <v/>
      </c>
      <c r="X58" s="5" t="str">
        <f t="shared" si="419"/>
        <v/>
      </c>
      <c r="Y58" s="7" t="str">
        <f t="shared" si="225"/>
        <v/>
      </c>
      <c r="Z58" s="21" t="str">
        <f t="shared" si="245"/>
        <v/>
      </c>
      <c r="AA58" s="5" t="str">
        <f t="shared" si="246"/>
        <v/>
      </c>
      <c r="AB58" s="5" t="str">
        <f t="shared" si="247"/>
        <v/>
      </c>
      <c r="AC58" s="8" t="str">
        <f t="shared" si="420"/>
        <v/>
      </c>
      <c r="AD58" s="9" t="str">
        <f t="shared" si="421"/>
        <v/>
      </c>
      <c r="AE58" s="5" t="str">
        <f t="shared" si="422"/>
        <v/>
      </c>
      <c r="AF58" s="10" t="str">
        <f t="shared" si="423"/>
        <v/>
      </c>
      <c r="AG58" s="622" t="str">
        <f t="shared" si="424"/>
        <v/>
      </c>
      <c r="AH58" s="623" t="str">
        <f t="shared" si="425"/>
        <v/>
      </c>
      <c r="AI58" s="624" t="str">
        <f t="shared" si="426"/>
        <v/>
      </c>
      <c r="AJ58" s="625" t="str">
        <f t="shared" si="427"/>
        <v/>
      </c>
      <c r="AK58" s="4" t="str">
        <f t="shared" si="428"/>
        <v/>
      </c>
      <c r="AL58" s="5" t="str">
        <f t="shared" si="429"/>
        <v/>
      </c>
      <c r="AM58" s="6" t="str">
        <f t="shared" si="430"/>
        <v/>
      </c>
      <c r="AN58" s="612" t="str">
        <f t="shared" si="431"/>
        <v/>
      </c>
      <c r="AO58" s="613" t="str">
        <f t="shared" si="465"/>
        <v/>
      </c>
      <c r="AP58" s="624" t="str">
        <f t="shared" si="432"/>
        <v/>
      </c>
      <c r="AQ58" s="625" t="str">
        <f t="shared" si="248"/>
        <v/>
      </c>
      <c r="AS58" s="56" t="str">
        <f t="shared" si="410"/>
        <v/>
      </c>
      <c r="AT58" s="77" t="str">
        <f t="shared" si="249"/>
        <v/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 t="str">
        <f t="shared" si="384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82"/>
        <v/>
      </c>
      <c r="L59" s="327"/>
      <c r="M59" s="173" t="str">
        <f t="shared" si="241"/>
        <v/>
      </c>
      <c r="N59" s="21" t="str">
        <f t="shared" si="242"/>
        <v/>
      </c>
      <c r="O59" s="5" t="str">
        <f t="shared" si="243"/>
        <v/>
      </c>
      <c r="P59" s="10" t="str">
        <f t="shared" si="244"/>
        <v/>
      </c>
      <c r="Q59" s="624" t="str">
        <f t="shared" si="116"/>
        <v/>
      </c>
      <c r="R59" s="5" t="str">
        <f t="shared" si="83"/>
        <v/>
      </c>
      <c r="S59" s="6" t="str">
        <f t="shared" si="84"/>
        <v/>
      </c>
      <c r="T59" s="4" t="str">
        <f t="shared" si="85"/>
        <v/>
      </c>
      <c r="U59" s="5" t="str">
        <f t="shared" si="86"/>
        <v/>
      </c>
      <c r="V59" s="8" t="str">
        <f t="shared" si="117"/>
        <v/>
      </c>
      <c r="W59" s="624" t="str">
        <f t="shared" si="226"/>
        <v/>
      </c>
      <c r="X59" s="5" t="str">
        <f t="shared" si="87"/>
        <v/>
      </c>
      <c r="Y59" s="7" t="str">
        <f t="shared" si="225"/>
        <v/>
      </c>
      <c r="Z59" s="21" t="str">
        <f t="shared" si="245"/>
        <v/>
      </c>
      <c r="AA59" s="5" t="str">
        <f t="shared" si="246"/>
        <v/>
      </c>
      <c r="AB59" s="5" t="str">
        <f t="shared" si="247"/>
        <v/>
      </c>
      <c r="AC59" s="8" t="str">
        <f t="shared" si="88"/>
        <v/>
      </c>
      <c r="AD59" s="9" t="str">
        <f t="shared" si="118"/>
        <v/>
      </c>
      <c r="AE59" s="5" t="str">
        <f t="shared" si="89"/>
        <v/>
      </c>
      <c r="AF59" s="10" t="str">
        <f t="shared" si="90"/>
        <v/>
      </c>
      <c r="AG59" s="622" t="str">
        <f t="shared" si="91"/>
        <v/>
      </c>
      <c r="AH59" s="623" t="str">
        <f t="shared" si="92"/>
        <v/>
      </c>
      <c r="AI59" s="624" t="str">
        <f t="shared" si="93"/>
        <v/>
      </c>
      <c r="AJ59" s="625" t="str">
        <f t="shared" si="94"/>
        <v/>
      </c>
      <c r="AK59" s="4" t="str">
        <f t="shared" si="213"/>
        <v/>
      </c>
      <c r="AL59" s="5" t="str">
        <f t="shared" si="95"/>
        <v/>
      </c>
      <c r="AM59" s="6" t="str">
        <f t="shared" si="96"/>
        <v/>
      </c>
      <c r="AN59" s="612" t="str">
        <f t="shared" si="97"/>
        <v/>
      </c>
      <c r="AO59" s="613" t="str">
        <f t="shared" si="465"/>
        <v/>
      </c>
      <c r="AP59" s="624" t="str">
        <f t="shared" si="99"/>
        <v/>
      </c>
      <c r="AQ59" s="625" t="str">
        <f t="shared" si="248"/>
        <v/>
      </c>
      <c r="AS59" s="56" t="str">
        <f t="shared" si="410"/>
        <v/>
      </c>
      <c r="AT59" s="77" t="str">
        <f t="shared" si="249"/>
        <v/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 t="str">
        <f t="shared" si="384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82"/>
        <v/>
      </c>
      <c r="L60" s="327"/>
      <c r="M60" s="173" t="str">
        <f t="shared" si="241"/>
        <v/>
      </c>
      <c r="N60" s="21" t="str">
        <f t="shared" si="242"/>
        <v/>
      </c>
      <c r="O60" s="5" t="str">
        <f t="shared" si="243"/>
        <v/>
      </c>
      <c r="P60" s="10" t="str">
        <f t="shared" si="244"/>
        <v/>
      </c>
      <c r="Q60" s="624" t="str">
        <f t="shared" si="116"/>
        <v/>
      </c>
      <c r="R60" s="5" t="str">
        <f t="shared" si="83"/>
        <v/>
      </c>
      <c r="S60" s="6" t="str">
        <f t="shared" si="84"/>
        <v/>
      </c>
      <c r="T60" s="4" t="str">
        <f t="shared" si="85"/>
        <v/>
      </c>
      <c r="U60" s="5" t="str">
        <f t="shared" si="86"/>
        <v/>
      </c>
      <c r="V60" s="8" t="str">
        <f t="shared" si="117"/>
        <v/>
      </c>
      <c r="W60" s="624" t="str">
        <f t="shared" si="226"/>
        <v/>
      </c>
      <c r="X60" s="5" t="str">
        <f t="shared" si="87"/>
        <v/>
      </c>
      <c r="Y60" s="7" t="str">
        <f t="shared" si="225"/>
        <v/>
      </c>
      <c r="Z60" s="21" t="str">
        <f t="shared" si="245"/>
        <v/>
      </c>
      <c r="AA60" s="5" t="str">
        <f t="shared" si="246"/>
        <v/>
      </c>
      <c r="AB60" s="5" t="str">
        <f t="shared" si="247"/>
        <v/>
      </c>
      <c r="AC60" s="8" t="str">
        <f t="shared" si="88"/>
        <v/>
      </c>
      <c r="AD60" s="9" t="str">
        <f t="shared" si="118"/>
        <v/>
      </c>
      <c r="AE60" s="5" t="str">
        <f t="shared" si="89"/>
        <v/>
      </c>
      <c r="AF60" s="10" t="str">
        <f t="shared" si="90"/>
        <v/>
      </c>
      <c r="AG60" s="622" t="str">
        <f t="shared" si="91"/>
        <v/>
      </c>
      <c r="AH60" s="623" t="str">
        <f t="shared" si="92"/>
        <v/>
      </c>
      <c r="AI60" s="624" t="str">
        <f t="shared" si="93"/>
        <v/>
      </c>
      <c r="AJ60" s="625" t="str">
        <f t="shared" si="94"/>
        <v/>
      </c>
      <c r="AK60" s="4" t="str">
        <f t="shared" si="213"/>
        <v/>
      </c>
      <c r="AL60" s="5" t="str">
        <f t="shared" si="95"/>
        <v/>
      </c>
      <c r="AM60" s="6" t="str">
        <f t="shared" si="96"/>
        <v/>
      </c>
      <c r="AN60" s="612" t="str">
        <f t="shared" si="97"/>
        <v/>
      </c>
      <c r="AO60" s="613" t="str">
        <f t="shared" si="465"/>
        <v/>
      </c>
      <c r="AP60" s="624" t="str">
        <f t="shared" si="99"/>
        <v/>
      </c>
      <c r="AQ60" s="625" t="str">
        <f t="shared" si="248"/>
        <v/>
      </c>
      <c r="AS60" s="56" t="str">
        <f t="shared" si="410"/>
        <v/>
      </c>
      <c r="AT60" s="77" t="str">
        <f t="shared" si="249"/>
        <v/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 t="str">
        <f t="shared" si="384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82"/>
        <v/>
      </c>
      <c r="L61" s="327"/>
      <c r="M61" s="173" t="str">
        <f t="shared" si="241"/>
        <v/>
      </c>
      <c r="N61" s="21" t="str">
        <f t="shared" si="242"/>
        <v/>
      </c>
      <c r="O61" s="5" t="str">
        <f t="shared" si="243"/>
        <v/>
      </c>
      <c r="P61" s="10" t="str">
        <f t="shared" si="244"/>
        <v/>
      </c>
      <c r="Q61" s="624" t="str">
        <f t="shared" si="116"/>
        <v/>
      </c>
      <c r="R61" s="5" t="str">
        <f t="shared" si="83"/>
        <v/>
      </c>
      <c r="S61" s="6" t="str">
        <f t="shared" si="84"/>
        <v/>
      </c>
      <c r="T61" s="4" t="str">
        <f t="shared" si="85"/>
        <v/>
      </c>
      <c r="U61" s="5" t="str">
        <f t="shared" si="86"/>
        <v/>
      </c>
      <c r="V61" s="8" t="str">
        <f t="shared" si="117"/>
        <v/>
      </c>
      <c r="W61" s="624" t="str">
        <f t="shared" si="226"/>
        <v/>
      </c>
      <c r="X61" s="5" t="str">
        <f t="shared" si="87"/>
        <v/>
      </c>
      <c r="Y61" s="7" t="str">
        <f t="shared" si="225"/>
        <v/>
      </c>
      <c r="Z61" s="21" t="str">
        <f t="shared" si="245"/>
        <v/>
      </c>
      <c r="AA61" s="5" t="str">
        <f t="shared" si="246"/>
        <v/>
      </c>
      <c r="AB61" s="5" t="str">
        <f t="shared" si="247"/>
        <v/>
      </c>
      <c r="AC61" s="8" t="str">
        <f t="shared" si="88"/>
        <v/>
      </c>
      <c r="AD61" s="9" t="str">
        <f t="shared" si="118"/>
        <v/>
      </c>
      <c r="AE61" s="5" t="str">
        <f t="shared" si="89"/>
        <v/>
      </c>
      <c r="AF61" s="10" t="str">
        <f t="shared" si="90"/>
        <v/>
      </c>
      <c r="AG61" s="622" t="str">
        <f t="shared" si="91"/>
        <v/>
      </c>
      <c r="AH61" s="623" t="str">
        <f t="shared" si="92"/>
        <v/>
      </c>
      <c r="AI61" s="624" t="str">
        <f t="shared" si="93"/>
        <v/>
      </c>
      <c r="AJ61" s="625" t="str">
        <f t="shared" si="94"/>
        <v/>
      </c>
      <c r="AK61" s="4" t="str">
        <f t="shared" si="213"/>
        <v/>
      </c>
      <c r="AL61" s="5" t="str">
        <f t="shared" si="95"/>
        <v/>
      </c>
      <c r="AM61" s="6" t="str">
        <f t="shared" si="96"/>
        <v/>
      </c>
      <c r="AN61" s="612" t="str">
        <f t="shared" si="97"/>
        <v/>
      </c>
      <c r="AO61" s="613" t="str">
        <f t="shared" si="465"/>
        <v/>
      </c>
      <c r="AP61" s="624" t="str">
        <f t="shared" si="99"/>
        <v/>
      </c>
      <c r="AQ61" s="625" t="str">
        <f t="shared" si="248"/>
        <v/>
      </c>
      <c r="AS61" s="56" t="str">
        <f t="shared" si="410"/>
        <v/>
      </c>
      <c r="AT61" s="77" t="str">
        <f t="shared" si="249"/>
        <v/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 t="str">
        <f t="shared" si="384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5"/>
        <v/>
      </c>
      <c r="IK61" s="839" t="str">
        <f t="shared" si="386"/>
        <v/>
      </c>
      <c r="IL61" s="791" t="str">
        <f t="shared" si="227"/>
        <v/>
      </c>
      <c r="IM61" s="830"/>
      <c r="IN61" s="5" t="str">
        <f t="shared" si="228"/>
        <v/>
      </c>
      <c r="IO61" s="852"/>
      <c r="IP61" s="9" t="str">
        <f t="shared" si="229"/>
        <v/>
      </c>
      <c r="IQ61" s="5" t="str">
        <f t="shared" si="230"/>
        <v/>
      </c>
      <c r="IR61" s="5" t="str">
        <f t="shared" si="387"/>
        <v/>
      </c>
      <c r="IS61" s="5" t="str">
        <f t="shared" si="231"/>
        <v/>
      </c>
      <c r="IT61" s="791" t="str">
        <f t="shared" si="232"/>
        <v/>
      </c>
      <c r="IU61" s="9" t="str">
        <f t="shared" si="233"/>
        <v/>
      </c>
      <c r="IV61" s="5" t="str">
        <f t="shared" si="234"/>
        <v/>
      </c>
      <c r="IW61" s="5" t="str">
        <f t="shared" si="388"/>
        <v/>
      </c>
      <c r="IX61" s="5" t="str">
        <f t="shared" si="235"/>
        <v/>
      </c>
      <c r="IY61" s="833" t="str">
        <f t="shared" si="236"/>
        <v/>
      </c>
    </row>
    <row r="62" spans="1:259" ht="15" customHeight="1" x14ac:dyDescent="0.25">
      <c r="A62" s="84">
        <f t="shared" si="81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82"/>
        <v/>
      </c>
      <c r="L62" s="327"/>
      <c r="M62" s="173" t="str">
        <f t="shared" si="241"/>
        <v/>
      </c>
      <c r="N62" s="21" t="str">
        <f t="shared" si="242"/>
        <v/>
      </c>
      <c r="O62" s="5" t="str">
        <f t="shared" si="243"/>
        <v/>
      </c>
      <c r="P62" s="10" t="str">
        <f t="shared" si="244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6"/>
        <v/>
      </c>
      <c r="X62" s="5" t="str">
        <f t="shared" si="87"/>
        <v/>
      </c>
      <c r="Y62" s="7" t="str">
        <f t="shared" si="225"/>
        <v/>
      </c>
      <c r="Z62" s="21" t="str">
        <f t="shared" si="245"/>
        <v/>
      </c>
      <c r="AA62" s="5" t="str">
        <f t="shared" si="246"/>
        <v/>
      </c>
      <c r="AB62" s="5" t="str">
        <f t="shared" si="247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5"/>
        <v/>
      </c>
      <c r="AP62" s="624" t="str">
        <f t="shared" si="99"/>
        <v/>
      </c>
      <c r="AQ62" s="625" t="str">
        <f t="shared" si="248"/>
        <v/>
      </c>
      <c r="AS62" s="56" t="str">
        <f t="shared" si="410"/>
        <v/>
      </c>
      <c r="AT62" s="77" t="str">
        <f t="shared" si="249"/>
        <v/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4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82"/>
        <v/>
      </c>
      <c r="L63" s="327"/>
      <c r="M63" s="173" t="str">
        <f t="shared" si="241"/>
        <v/>
      </c>
      <c r="N63" s="21" t="str">
        <f t="shared" si="242"/>
        <v/>
      </c>
      <c r="O63" s="5" t="str">
        <f t="shared" si="243"/>
        <v/>
      </c>
      <c r="P63" s="10" t="str">
        <f t="shared" si="244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6"/>
        <v/>
      </c>
      <c r="X63" s="5" t="str">
        <f t="shared" si="87"/>
        <v/>
      </c>
      <c r="Y63" s="7" t="str">
        <f t="shared" si="225"/>
        <v/>
      </c>
      <c r="Z63" s="21" t="str">
        <f t="shared" si="245"/>
        <v/>
      </c>
      <c r="AA63" s="5" t="str">
        <f t="shared" si="246"/>
        <v/>
      </c>
      <c r="AB63" s="5" t="str">
        <f t="shared" si="247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5"/>
        <v/>
      </c>
      <c r="AP63" s="624" t="str">
        <f t="shared" si="99"/>
        <v/>
      </c>
      <c r="AQ63" s="625" t="str">
        <f t="shared" si="248"/>
        <v/>
      </c>
      <c r="AS63" s="56" t="str">
        <f t="shared" si="410"/>
        <v/>
      </c>
      <c r="AT63" s="77" t="str">
        <f t="shared" si="249"/>
        <v/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4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82"/>
        <v/>
      </c>
      <c r="L64" s="327"/>
      <c r="M64" s="173" t="str">
        <f t="shared" si="241"/>
        <v/>
      </c>
      <c r="N64" s="21" t="str">
        <f t="shared" si="242"/>
        <v/>
      </c>
      <c r="O64" s="5" t="str">
        <f t="shared" si="243"/>
        <v/>
      </c>
      <c r="P64" s="10" t="str">
        <f t="shared" si="244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6"/>
        <v/>
      </c>
      <c r="X64" s="5" t="str">
        <f t="shared" si="87"/>
        <v/>
      </c>
      <c r="Y64" s="7" t="str">
        <f t="shared" si="225"/>
        <v/>
      </c>
      <c r="Z64" s="21" t="str">
        <f t="shared" si="245"/>
        <v/>
      </c>
      <c r="AA64" s="5" t="str">
        <f t="shared" si="246"/>
        <v/>
      </c>
      <c r="AB64" s="5" t="str">
        <f t="shared" si="247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5"/>
        <v/>
      </c>
      <c r="AP64" s="624" t="str">
        <f t="shared" si="99"/>
        <v/>
      </c>
      <c r="AQ64" s="625" t="str">
        <f t="shared" si="248"/>
        <v/>
      </c>
      <c r="AS64" s="56" t="str">
        <f t="shared" si="410"/>
        <v/>
      </c>
      <c r="AT64" s="77" t="str">
        <f t="shared" si="249"/>
        <v/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4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82"/>
        <v/>
      </c>
      <c r="L65" s="327"/>
      <c r="M65" s="173" t="str">
        <f t="shared" si="241"/>
        <v/>
      </c>
      <c r="N65" s="21" t="str">
        <f t="shared" si="242"/>
        <v/>
      </c>
      <c r="O65" s="5" t="str">
        <f t="shared" si="243"/>
        <v/>
      </c>
      <c r="P65" s="10" t="str">
        <f t="shared" si="244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6"/>
        <v/>
      </c>
      <c r="X65" s="5" t="str">
        <f t="shared" si="87"/>
        <v/>
      </c>
      <c r="Y65" s="7" t="str">
        <f t="shared" si="225"/>
        <v/>
      </c>
      <c r="Z65" s="21" t="str">
        <f t="shared" si="245"/>
        <v/>
      </c>
      <c r="AA65" s="5" t="str">
        <f t="shared" si="246"/>
        <v/>
      </c>
      <c r="AB65" s="5" t="str">
        <f t="shared" si="247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5"/>
        <v/>
      </c>
      <c r="AP65" s="624" t="str">
        <f t="shared" si="99"/>
        <v/>
      </c>
      <c r="AQ65" s="625" t="str">
        <f t="shared" si="248"/>
        <v/>
      </c>
      <c r="AS65" s="56" t="str">
        <f t="shared" si="410"/>
        <v/>
      </c>
      <c r="AT65" s="77" t="str">
        <f t="shared" si="249"/>
        <v/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4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82"/>
        <v/>
      </c>
      <c r="L66" s="327"/>
      <c r="M66" s="173" t="str">
        <f t="shared" si="241"/>
        <v/>
      </c>
      <c r="N66" s="21" t="str">
        <f t="shared" si="242"/>
        <v/>
      </c>
      <c r="O66" s="5" t="str">
        <f t="shared" si="243"/>
        <v/>
      </c>
      <c r="P66" s="10" t="str">
        <f t="shared" si="244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6"/>
        <v/>
      </c>
      <c r="X66" s="5" t="str">
        <f t="shared" si="87"/>
        <v/>
      </c>
      <c r="Y66" s="7" t="str">
        <f t="shared" si="225"/>
        <v/>
      </c>
      <c r="Z66" s="21" t="str">
        <f t="shared" si="245"/>
        <v/>
      </c>
      <c r="AA66" s="5" t="str">
        <f t="shared" si="246"/>
        <v/>
      </c>
      <c r="AB66" s="5" t="str">
        <f t="shared" si="247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5"/>
        <v/>
      </c>
      <c r="AP66" s="624" t="str">
        <f t="shared" si="99"/>
        <v/>
      </c>
      <c r="AQ66" s="625" t="str">
        <f t="shared" si="248"/>
        <v/>
      </c>
      <c r="AS66" s="56" t="str">
        <f t="shared" si="410"/>
        <v/>
      </c>
      <c r="AT66" s="77" t="str">
        <f t="shared" si="249"/>
        <v/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4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82"/>
        <v/>
      </c>
      <c r="L67" s="327"/>
      <c r="M67" s="173" t="str">
        <f t="shared" si="241"/>
        <v/>
      </c>
      <c r="N67" s="21" t="str">
        <f t="shared" si="242"/>
        <v/>
      </c>
      <c r="O67" s="5" t="str">
        <f t="shared" si="243"/>
        <v/>
      </c>
      <c r="P67" s="10" t="str">
        <f t="shared" si="244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6"/>
        <v/>
      </c>
      <c r="X67" s="5" t="str">
        <f>IF(M67="","",R67)</f>
        <v/>
      </c>
      <c r="Y67" s="7" t="str">
        <f t="shared" si="225"/>
        <v/>
      </c>
      <c r="Z67" s="21" t="str">
        <f t="shared" si="245"/>
        <v/>
      </c>
      <c r="AA67" s="5" t="str">
        <f t="shared" si="246"/>
        <v/>
      </c>
      <c r="AB67" s="5" t="str">
        <f t="shared" si="247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5"/>
        <v/>
      </c>
      <c r="AP67" s="624" t="str">
        <f>IF(M67="","",DEGREES(ATAN2(AK67,AL67)))</f>
        <v/>
      </c>
      <c r="AQ67" s="625" t="str">
        <f t="shared" si="248"/>
        <v/>
      </c>
      <c r="AS67" s="56" t="str">
        <f t="shared" si="410"/>
        <v/>
      </c>
      <c r="AT67" s="77" t="str">
        <f t="shared" si="249"/>
        <v/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4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82"/>
        <v/>
      </c>
      <c r="L68" s="327"/>
      <c r="M68" s="173" t="str">
        <f t="shared" si="241"/>
        <v/>
      </c>
      <c r="N68" s="21" t="str">
        <f t="shared" si="242"/>
        <v/>
      </c>
      <c r="O68" s="5" t="str">
        <f t="shared" si="243"/>
        <v/>
      </c>
      <c r="P68" s="10" t="str">
        <f t="shared" si="244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6"/>
        <v/>
      </c>
      <c r="X68" s="5" t="str">
        <f>IF(M68="","",R68)</f>
        <v/>
      </c>
      <c r="Y68" s="7" t="str">
        <f t="shared" si="225"/>
        <v/>
      </c>
      <c r="Z68" s="21" t="str">
        <f t="shared" si="245"/>
        <v/>
      </c>
      <c r="AA68" s="5" t="str">
        <f t="shared" si="246"/>
        <v/>
      </c>
      <c r="AB68" s="5" t="str">
        <f t="shared" si="247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5"/>
        <v/>
      </c>
      <c r="AP68" s="624" t="str">
        <f>IF(M68="","",DEGREES(ATAN2(AK68,AL68)))</f>
        <v/>
      </c>
      <c r="AQ68" s="625" t="str">
        <f t="shared" si="248"/>
        <v/>
      </c>
      <c r="AS68" s="56" t="str">
        <f t="shared" si="410"/>
        <v/>
      </c>
      <c r="AT68" s="77" t="str">
        <f t="shared" si="249"/>
        <v/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4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82"/>
        <v/>
      </c>
      <c r="L69" s="327"/>
      <c r="M69" s="173" t="str">
        <f t="shared" si="241"/>
        <v/>
      </c>
      <c r="N69" s="21" t="str">
        <f t="shared" si="242"/>
        <v/>
      </c>
      <c r="O69" s="5" t="str">
        <f t="shared" si="243"/>
        <v/>
      </c>
      <c r="P69" s="10" t="str">
        <f t="shared" si="244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6"/>
        <v/>
      </c>
      <c r="X69" s="5" t="str">
        <f t="shared" si="87"/>
        <v/>
      </c>
      <c r="Y69" s="7" t="str">
        <f t="shared" si="225"/>
        <v/>
      </c>
      <c r="Z69" s="21" t="str">
        <f t="shared" si="245"/>
        <v/>
      </c>
      <c r="AA69" s="5" t="str">
        <f t="shared" si="246"/>
        <v/>
      </c>
      <c r="AB69" s="5" t="str">
        <f t="shared" si="247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5"/>
        <v/>
      </c>
      <c r="AP69" s="624" t="str">
        <f t="shared" si="99"/>
        <v/>
      </c>
      <c r="AQ69" s="625" t="str">
        <f t="shared" si="248"/>
        <v/>
      </c>
      <c r="AS69" s="56" t="str">
        <f t="shared" si="410"/>
        <v/>
      </c>
      <c r="AT69" s="77" t="str">
        <f t="shared" si="249"/>
        <v/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4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82"/>
        <v/>
      </c>
      <c r="L70" s="327"/>
      <c r="M70" s="173" t="str">
        <f t="shared" si="241"/>
        <v/>
      </c>
      <c r="N70" s="21" t="str">
        <f t="shared" si="242"/>
        <v/>
      </c>
      <c r="O70" s="5" t="str">
        <f t="shared" si="243"/>
        <v/>
      </c>
      <c r="P70" s="10" t="str">
        <f t="shared" si="244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6"/>
        <v/>
      </c>
      <c r="X70" s="5" t="str">
        <f t="shared" si="87"/>
        <v/>
      </c>
      <c r="Y70" s="7" t="str">
        <f t="shared" si="225"/>
        <v/>
      </c>
      <c r="Z70" s="21" t="str">
        <f t="shared" si="245"/>
        <v/>
      </c>
      <c r="AA70" s="5" t="str">
        <f t="shared" si="246"/>
        <v/>
      </c>
      <c r="AB70" s="5" t="str">
        <f t="shared" si="247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5"/>
        <v/>
      </c>
      <c r="AP70" s="624" t="str">
        <f t="shared" si="99"/>
        <v/>
      </c>
      <c r="AQ70" s="625" t="str">
        <f t="shared" si="248"/>
        <v/>
      </c>
      <c r="AS70" s="56" t="str">
        <f t="shared" si="410"/>
        <v/>
      </c>
      <c r="AT70" s="77" t="str">
        <f t="shared" si="249"/>
        <v/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4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0.95371696400905348</v>
      </c>
      <c r="F154" s="175">
        <f>F9*-1</f>
        <v>6.5084628803148761E-2</v>
      </c>
      <c r="G154" s="175">
        <f>G9*-1</f>
        <v>-0.29357783236291934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0.95371696400905348</v>
      </c>
      <c r="F155" s="175">
        <f t="shared" si="939"/>
        <v>6.5084628803148761E-2</v>
      </c>
      <c r="G155" s="175">
        <f t="shared" si="939"/>
        <v>-0.29357783236291934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0.93913826552836133</v>
      </c>
      <c r="F156" s="175">
        <f t="shared" si="941"/>
        <v>-7.4174695122096165E-2</v>
      </c>
      <c r="G156" s="175">
        <f t="shared" si="941"/>
        <v>-0.3354361829378657</v>
      </c>
      <c r="H156" s="144"/>
      <c r="I156" s="91"/>
      <c r="J156" s="84">
        <f t="shared" si="940"/>
        <v>1.1080000000000001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0.91194882607087047</v>
      </c>
      <c r="F157" s="175">
        <f t="shared" si="942"/>
        <v>-0.34282152626963336</v>
      </c>
      <c r="G157" s="175">
        <f t="shared" si="942"/>
        <v>-0.2254389934197733</v>
      </c>
      <c r="H157" s="144"/>
      <c r="I157" s="91"/>
      <c r="J157" s="84">
        <f t="shared" si="940"/>
        <v>1.113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0.8030027197374896</v>
      </c>
      <c r="F158" s="175">
        <f t="shared" si="945"/>
        <v>-0.59597536198586087</v>
      </c>
      <c r="G158" s="175">
        <f t="shared" si="945"/>
        <v>-1.3008419220134666E-7</v>
      </c>
      <c r="H158" s="144"/>
      <c r="I158" s="91"/>
      <c r="J158" s="84">
        <f t="shared" si="940"/>
        <v>1.1180000000000001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-6.1298231882969706E-2</v>
      </c>
      <c r="F159" s="175">
        <f t="shared" si="946"/>
        <v>-0.11523718467564427</v>
      </c>
      <c r="G159" s="175">
        <f t="shared" si="946"/>
        <v>-0.99144486384067432</v>
      </c>
      <c r="H159" s="144"/>
      <c r="I159" s="91"/>
      <c r="J159" s="84">
        <f t="shared" si="940"/>
        <v>1.208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0.30659018162712687</v>
      </c>
      <c r="F160" s="175">
        <f t="shared" si="947"/>
        <v>-0.88828522092283457</v>
      </c>
      <c r="G160" s="175">
        <f t="shared" si="947"/>
        <v>-0.34198220249000721</v>
      </c>
      <c r="H160" s="144"/>
      <c r="I160" s="91"/>
      <c r="J160" s="84">
        <f t="shared" si="940"/>
        <v>2.1070000000000002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3.9440170680419009E-2</v>
      </c>
      <c r="F161" s="175">
        <f t="shared" si="948"/>
        <v>-0.96552640679719037</v>
      </c>
      <c r="G161" s="175">
        <f t="shared" si="948"/>
        <v>-0.25729988479205773</v>
      </c>
      <c r="H161" s="144"/>
      <c r="I161" s="91"/>
      <c r="J161" s="84">
        <f t="shared" si="940"/>
        <v>2.1120000000000001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-0.20213695838012077</v>
      </c>
      <c r="F162" s="175">
        <f t="shared" si="949"/>
        <v>-0.97816370830888244</v>
      </c>
      <c r="G162" s="175">
        <f t="shared" si="949"/>
        <v>-4.8336423163584198E-2</v>
      </c>
      <c r="H162" s="144"/>
      <c r="I162" s="91"/>
      <c r="J162" s="84">
        <f t="shared" si="940"/>
        <v>2.117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-0.28539124492395435</v>
      </c>
      <c r="F163" s="175">
        <f t="shared" si="950"/>
        <v>-0.95841110037433241</v>
      </c>
      <c r="G163" s="175">
        <f t="shared" si="950"/>
        <v>-1.300841922891056E-7</v>
      </c>
      <c r="H163" s="144"/>
      <c r="I163" s="91"/>
      <c r="J163" s="84">
        <f t="shared" si="940"/>
        <v>2.1219999999999999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-0.74390851654980039</v>
      </c>
      <c r="F164" s="175">
        <f t="shared" si="951"/>
        <v>-0.60034338119926423</v>
      </c>
      <c r="G164" s="175">
        <f t="shared" si="951"/>
        <v>-0.29357783236291934</v>
      </c>
      <c r="H164" s="144"/>
      <c r="I164" s="91"/>
      <c r="J164" s="84">
        <f t="shared" si="940"/>
        <v>3.1030000000000002</v>
      </c>
    </row>
    <row r="165" spans="5:16" x14ac:dyDescent="0.25">
      <c r="E165" s="175">
        <f t="shared" ref="E165:G165" si="952">E20*-1</f>
        <v>-0.75824848948806078</v>
      </c>
      <c r="F165" s="175">
        <f t="shared" si="952"/>
        <v>-0.56557031593013474</v>
      </c>
      <c r="G165" s="175">
        <f t="shared" si="952"/>
        <v>-0.324329224597109</v>
      </c>
      <c r="H165" s="144"/>
      <c r="I165" s="91"/>
      <c r="J165" s="84">
        <f t="shared" si="940"/>
        <v>3.1059999999999999</v>
      </c>
    </row>
    <row r="166" spans="5:16" x14ac:dyDescent="0.25">
      <c r="E166" s="175">
        <f t="shared" ref="E166:G166" si="953">E21*-1</f>
        <v>-0.89857814251723578</v>
      </c>
      <c r="F166" s="175">
        <f t="shared" si="953"/>
        <v>-0.33669899087507815</v>
      </c>
      <c r="G166" s="175">
        <f t="shared" si="953"/>
        <v>-0.28140915289659357</v>
      </c>
      <c r="H166" s="144"/>
      <c r="I166" s="91"/>
      <c r="J166" s="84">
        <f t="shared" si="940"/>
        <v>3.1110000000000002</v>
      </c>
    </row>
    <row r="167" spans="5:16" x14ac:dyDescent="0.25">
      <c r="E167" s="175">
        <f t="shared" ref="E167:G167" si="954">E22*-1</f>
        <v>-0.98959967994420717</v>
      </c>
      <c r="F167" s="175">
        <f t="shared" si="954"/>
        <v>-0.10046742977303075</v>
      </c>
      <c r="G167" s="175">
        <f t="shared" si="954"/>
        <v>-0.10295032301612271</v>
      </c>
      <c r="H167" s="144"/>
      <c r="I167" s="91"/>
      <c r="J167" s="84">
        <f t="shared" si="940"/>
        <v>3.1160000000000001</v>
      </c>
    </row>
    <row r="168" spans="5:16" x14ac:dyDescent="0.25">
      <c r="E168" s="175">
        <f t="shared" ref="E168:G168" si="955">E23*-1</f>
        <v>-0.99961872876401114</v>
      </c>
      <c r="F168" s="175">
        <f t="shared" si="955"/>
        <v>2.7611539330607459E-2</v>
      </c>
      <c r="G168" s="175">
        <f t="shared" si="955"/>
        <v>-1.3008419197869201E-7</v>
      </c>
      <c r="H168" s="144"/>
      <c r="I168" s="91"/>
      <c r="J168" s="84">
        <f t="shared" si="940"/>
        <v>3.121</v>
      </c>
    </row>
    <row r="169" spans="5:16" x14ac:dyDescent="0.25">
      <c r="E169" s="175">
        <f t="shared" ref="E169:G169" si="956">E24*-1</f>
        <v>-0.11239046496587618</v>
      </c>
      <c r="F169" s="175">
        <f t="shared" si="956"/>
        <v>0.4872045955394389</v>
      </c>
      <c r="G169" s="175">
        <f t="shared" si="956"/>
        <v>-0.86602544158356343</v>
      </c>
      <c r="H169" s="144"/>
      <c r="I169" s="91"/>
      <c r="J169" s="84">
        <f t="shared" si="940"/>
        <v>3.2109999999999999</v>
      </c>
    </row>
    <row r="170" spans="5:16" x14ac:dyDescent="0.25">
      <c r="E170" s="175">
        <f t="shared" ref="E170:G170" si="957">E25*-1</f>
        <v>-0.72040130119855761</v>
      </c>
      <c r="F170" s="175">
        <f t="shared" si="957"/>
        <v>0.62835819528077685</v>
      </c>
      <c r="G170" s="175">
        <f t="shared" si="957"/>
        <v>-0.29357783236291934</v>
      </c>
      <c r="H170" s="144"/>
      <c r="I170" s="91"/>
      <c r="J170" s="84">
        <f t="shared" si="940"/>
        <v>4.1020000000000003</v>
      </c>
    </row>
    <row r="171" spans="5:16" x14ac:dyDescent="0.25">
      <c r="E171" s="175">
        <f t="shared" ref="E171:G171" si="958">E26*-1</f>
        <v>-0.71979208567164432</v>
      </c>
      <c r="F171" s="175">
        <f t="shared" si="958"/>
        <v>0.62520499025675358</v>
      </c>
      <c r="G171" s="175">
        <f t="shared" si="958"/>
        <v>-0.30169201773085935</v>
      </c>
      <c r="H171" s="144"/>
      <c r="I171" s="91"/>
      <c r="J171" s="84">
        <f t="shared" si="940"/>
        <v>4.1050000000000004</v>
      </c>
    </row>
    <row r="172" spans="5:16" x14ac:dyDescent="0.25">
      <c r="E172" s="175">
        <f t="shared" ref="E172:G172" si="959">E27*-1</f>
        <v>-0.53281784467661486</v>
      </c>
      <c r="F172" s="175">
        <f t="shared" si="959"/>
        <v>0.79231643954682773</v>
      </c>
      <c r="G172" s="175">
        <f t="shared" si="959"/>
        <v>-0.29722012720878266</v>
      </c>
      <c r="H172" s="144"/>
      <c r="I172" s="91"/>
      <c r="J172" s="84">
        <f t="shared" si="940"/>
        <v>4.1100000000000003</v>
      </c>
    </row>
    <row r="173" spans="5:16" x14ac:dyDescent="0.25">
      <c r="E173" s="175">
        <f t="shared" ref="E173:G173" si="960">E28*-1</f>
        <v>-0.31594804681823746</v>
      </c>
      <c r="F173" s="175">
        <f t="shared" si="960"/>
        <v>0.93695655261757382</v>
      </c>
      <c r="G173" s="175">
        <f t="shared" si="960"/>
        <v>-0.14929584796213347</v>
      </c>
      <c r="H173" s="144"/>
      <c r="I173" s="91"/>
      <c r="J173" s="84">
        <f t="shared" si="940"/>
        <v>4.1150000000000002</v>
      </c>
    </row>
    <row r="174" spans="5:16" x14ac:dyDescent="0.25">
      <c r="E174" s="175">
        <f t="shared" ref="E174:G174" si="961">E29*-1</f>
        <v>-0.14639011202988667</v>
      </c>
      <c r="F174" s="175">
        <f t="shared" si="961"/>
        <v>0.98922693811878193</v>
      </c>
      <c r="G174" s="175">
        <f t="shared" si="961"/>
        <v>-1.3008419217203273E-7</v>
      </c>
      <c r="H174" s="144"/>
      <c r="I174" s="91"/>
      <c r="J174" s="84">
        <f t="shared" si="940"/>
        <v>4.12</v>
      </c>
    </row>
    <row r="175" spans="5:16" x14ac:dyDescent="0.25">
      <c r="E175" s="175">
        <f t="shared" ref="E175:G175" si="962">E30*-1</f>
        <v>-8.7456604246122515E-9</v>
      </c>
      <c r="F175" s="175">
        <f t="shared" si="962"/>
        <v>2.2662620897378412E-7</v>
      </c>
      <c r="G175" s="175">
        <f t="shared" si="962"/>
        <v>-0.99999999999997435</v>
      </c>
      <c r="H175" s="144"/>
      <c r="I175" s="91"/>
      <c r="J175" s="84">
        <f t="shared" si="940"/>
        <v>4.2050000000000001</v>
      </c>
    </row>
    <row r="176" spans="5:16" x14ac:dyDescent="0.25">
      <c r="E176" s="175">
        <f t="shared" ref="E176:G176" si="963">E31*-1</f>
        <v>0.51490791025754645</v>
      </c>
      <c r="F176" s="175">
        <f t="shared" si="963"/>
        <v>0.79517698366793321</v>
      </c>
      <c r="G176" s="175">
        <f t="shared" si="963"/>
        <v>-0.32025522415563196</v>
      </c>
      <c r="H176" s="144"/>
      <c r="I176" s="91"/>
      <c r="J176" s="84">
        <f t="shared" si="940"/>
        <v>5.109</v>
      </c>
    </row>
    <row r="177" spans="5:10" x14ac:dyDescent="0.25">
      <c r="E177" s="175">
        <f t="shared" ref="E177:G177" si="964">E32*-1</f>
        <v>0.73261845753220745</v>
      </c>
      <c r="F177" s="175">
        <f t="shared" si="964"/>
        <v>0.65457872257350891</v>
      </c>
      <c r="G177" s="175">
        <f t="shared" si="964"/>
        <v>-0.18653924958882673</v>
      </c>
      <c r="H177" s="144"/>
      <c r="I177" s="91"/>
      <c r="J177" s="84">
        <f t="shared" si="940"/>
        <v>5.1139999999999999</v>
      </c>
    </row>
    <row r="178" spans="5:10" x14ac:dyDescent="0.25">
      <c r="E178" s="175">
        <f t="shared" ref="E178:G178" si="965">E33*-1</f>
        <v>0.87950080298853606</v>
      </c>
      <c r="F178" s="175">
        <f t="shared" si="965"/>
        <v>0.4758974023279634</v>
      </c>
      <c r="G178" s="175">
        <f t="shared" si="965"/>
        <v>-1.3008419196317487E-7</v>
      </c>
      <c r="H178" s="144"/>
      <c r="I178" s="91"/>
      <c r="J178" s="84">
        <f t="shared" si="940"/>
        <v>5.1189999999999998</v>
      </c>
    </row>
    <row r="179" spans="5:10" x14ac:dyDescent="0.25">
      <c r="E179" s="175">
        <f t="shared" ref="E179:G179" si="966">E34*-1</f>
        <v>0</v>
      </c>
      <c r="F179" s="175">
        <f t="shared" si="966"/>
        <v>0</v>
      </c>
      <c r="G179" s="175">
        <f t="shared" si="966"/>
        <v>0</v>
      </c>
      <c r="H179" s="144"/>
      <c r="I179" s="91"/>
      <c r="J179" s="84">
        <f t="shared" si="940"/>
        <v>0</v>
      </c>
    </row>
    <row r="180" spans="5:10" x14ac:dyDescent="0.25">
      <c r="E180" s="175">
        <f t="shared" ref="E180:G180" si="967">E35*-1</f>
        <v>0</v>
      </c>
      <c r="F180" s="175">
        <f t="shared" si="967"/>
        <v>0</v>
      </c>
      <c r="G180" s="175">
        <f t="shared" si="967"/>
        <v>0</v>
      </c>
      <c r="H180" s="144"/>
      <c r="I180" s="91"/>
      <c r="J180" s="84">
        <f t="shared" si="940"/>
        <v>0</v>
      </c>
    </row>
    <row r="181" spans="5:10" x14ac:dyDescent="0.25">
      <c r="E181" s="175">
        <f t="shared" ref="E181:G181" si="968">E36*-1</f>
        <v>0</v>
      </c>
      <c r="F181" s="175">
        <f t="shared" si="968"/>
        <v>0</v>
      </c>
      <c r="G181" s="175">
        <f t="shared" si="968"/>
        <v>0</v>
      </c>
      <c r="H181" s="144"/>
      <c r="I181" s="91"/>
      <c r="J181" s="84">
        <f t="shared" si="940"/>
        <v>0</v>
      </c>
    </row>
    <row r="182" spans="5:10" x14ac:dyDescent="0.25">
      <c r="E182" s="175">
        <f t="shared" ref="E182:G182" si="969">E37*-1</f>
        <v>0</v>
      </c>
      <c r="F182" s="175">
        <f t="shared" si="969"/>
        <v>0</v>
      </c>
      <c r="G182" s="175">
        <f t="shared" si="969"/>
        <v>0</v>
      </c>
      <c r="H182" s="144"/>
      <c r="I182" s="91"/>
      <c r="J182" s="84">
        <f t="shared" si="940"/>
        <v>0</v>
      </c>
    </row>
    <row r="183" spans="5:10" x14ac:dyDescent="0.25">
      <c r="E183" s="175">
        <f t="shared" ref="E183:G183" si="970">E38*-1</f>
        <v>0</v>
      </c>
      <c r="F183" s="175">
        <f t="shared" si="970"/>
        <v>0</v>
      </c>
      <c r="G183" s="175">
        <f t="shared" si="970"/>
        <v>0</v>
      </c>
      <c r="H183" s="144"/>
      <c r="I183" s="91"/>
      <c r="J183" s="84">
        <f t="shared" si="940"/>
        <v>0</v>
      </c>
    </row>
    <row r="184" spans="5:10" x14ac:dyDescent="0.25">
      <c r="E184" s="175">
        <f t="shared" ref="E184:G184" si="971">E39*-1</f>
        <v>0</v>
      </c>
      <c r="F184" s="175">
        <f t="shared" si="971"/>
        <v>0</v>
      </c>
      <c r="G184" s="175">
        <f t="shared" si="971"/>
        <v>0</v>
      </c>
      <c r="H184" s="144"/>
      <c r="I184" s="91"/>
      <c r="J184" s="84">
        <f t="shared" si="940"/>
        <v>0</v>
      </c>
    </row>
    <row r="185" spans="5:10" x14ac:dyDescent="0.25">
      <c r="E185" s="175">
        <f t="shared" ref="E185:G185" si="972">E40*-1</f>
        <v>0</v>
      </c>
      <c r="F185" s="175">
        <f t="shared" si="972"/>
        <v>0</v>
      </c>
      <c r="G185" s="175">
        <f t="shared" si="972"/>
        <v>0</v>
      </c>
      <c r="H185" s="144"/>
      <c r="I185" s="91"/>
      <c r="J185" s="84">
        <f t="shared" si="940"/>
        <v>0</v>
      </c>
    </row>
    <row r="186" spans="5:10" x14ac:dyDescent="0.25">
      <c r="E186" s="175">
        <f t="shared" ref="E186:G186" si="973">E41*-1</f>
        <v>0</v>
      </c>
      <c r="F186" s="175">
        <f t="shared" si="973"/>
        <v>0</v>
      </c>
      <c r="G186" s="175">
        <f t="shared" si="973"/>
        <v>0</v>
      </c>
      <c r="H186" s="144"/>
      <c r="I186" s="91"/>
      <c r="J186" s="84">
        <f t="shared" si="940"/>
        <v>0</v>
      </c>
    </row>
    <row r="187" spans="5:10" x14ac:dyDescent="0.25">
      <c r="E187" s="175">
        <f t="shared" ref="E187:G187" si="974">E42*-1</f>
        <v>0</v>
      </c>
      <c r="F187" s="175">
        <f t="shared" si="974"/>
        <v>0</v>
      </c>
      <c r="G187" s="175">
        <f t="shared" si="974"/>
        <v>0</v>
      </c>
      <c r="H187" s="144"/>
      <c r="I187" s="91"/>
      <c r="J187" s="84">
        <f t="shared" si="940"/>
        <v>0</v>
      </c>
    </row>
    <row r="188" spans="5:10" x14ac:dyDescent="0.25">
      <c r="E188" s="175">
        <f t="shared" ref="E188:G188" si="975">E43*-1</f>
        <v>0</v>
      </c>
      <c r="F188" s="175">
        <f t="shared" si="975"/>
        <v>0</v>
      </c>
      <c r="G188" s="175">
        <f t="shared" si="975"/>
        <v>0</v>
      </c>
      <c r="H188" s="144"/>
      <c r="I188" s="91"/>
      <c r="J188" s="84">
        <f t="shared" si="940"/>
        <v>0</v>
      </c>
    </row>
    <row r="189" spans="5:10" x14ac:dyDescent="0.25">
      <c r="E189" s="175">
        <f t="shared" ref="E189:G189" si="976">E44*-1</f>
        <v>0</v>
      </c>
      <c r="F189" s="175">
        <f t="shared" si="976"/>
        <v>0</v>
      </c>
      <c r="G189" s="175">
        <f t="shared" si="976"/>
        <v>0</v>
      </c>
      <c r="H189" s="144"/>
      <c r="I189" s="91"/>
      <c r="J189" s="84">
        <f t="shared" si="940"/>
        <v>0</v>
      </c>
    </row>
    <row r="190" spans="5:10" x14ac:dyDescent="0.25">
      <c r="E190" s="175">
        <f t="shared" ref="E190:G190" si="977">E45*-1</f>
        <v>0</v>
      </c>
      <c r="F190" s="175">
        <f t="shared" si="977"/>
        <v>0</v>
      </c>
      <c r="G190" s="175">
        <f t="shared" si="977"/>
        <v>0</v>
      </c>
      <c r="H190" s="144"/>
      <c r="I190" s="91"/>
      <c r="J190" s="84">
        <f t="shared" si="940"/>
        <v>0</v>
      </c>
    </row>
    <row r="191" spans="5:10" x14ac:dyDescent="0.25">
      <c r="E191" s="175">
        <f t="shared" ref="E191:G191" si="978">E46*-1</f>
        <v>0</v>
      </c>
      <c r="F191" s="175">
        <f t="shared" si="978"/>
        <v>0</v>
      </c>
      <c r="G191" s="175">
        <f t="shared" si="978"/>
        <v>0</v>
      </c>
      <c r="H191" s="144"/>
      <c r="I191" s="91"/>
      <c r="J191" s="84">
        <f t="shared" si="940"/>
        <v>0</v>
      </c>
    </row>
    <row r="192" spans="5:10" x14ac:dyDescent="0.25">
      <c r="E192" s="175">
        <f t="shared" ref="E192:G192" si="979">E47*-1</f>
        <v>0</v>
      </c>
      <c r="F192" s="175">
        <f t="shared" si="979"/>
        <v>0</v>
      </c>
      <c r="G192" s="175">
        <f t="shared" si="979"/>
        <v>0</v>
      </c>
      <c r="H192" s="144"/>
      <c r="I192" s="91"/>
      <c r="J192" s="84">
        <f t="shared" si="940"/>
        <v>0</v>
      </c>
    </row>
    <row r="193" spans="5:10" x14ac:dyDescent="0.25">
      <c r="E193" s="175">
        <f t="shared" ref="E193:G193" si="980">E48*-1</f>
        <v>0</v>
      </c>
      <c r="F193" s="175">
        <f t="shared" si="980"/>
        <v>0</v>
      </c>
      <c r="G193" s="175">
        <f t="shared" si="980"/>
        <v>0</v>
      </c>
      <c r="H193" s="144"/>
      <c r="I193" s="91"/>
      <c r="J193" s="84">
        <f t="shared" si="940"/>
        <v>0</v>
      </c>
    </row>
    <row r="194" spans="5:10" x14ac:dyDescent="0.25">
      <c r="E194" s="175">
        <f t="shared" ref="E194:G194" si="981">E49*-1</f>
        <v>0</v>
      </c>
      <c r="F194" s="175">
        <f t="shared" si="981"/>
        <v>0</v>
      </c>
      <c r="G194" s="175">
        <f t="shared" si="981"/>
        <v>0</v>
      </c>
      <c r="H194" s="144"/>
      <c r="I194" s="91"/>
      <c r="J194" s="84">
        <f t="shared" si="940"/>
        <v>0</v>
      </c>
    </row>
    <row r="195" spans="5:10" x14ac:dyDescent="0.25">
      <c r="E195" s="175">
        <f t="shared" ref="E195:G195" si="982">E50*-1</f>
        <v>0</v>
      </c>
      <c r="F195" s="175">
        <f t="shared" si="982"/>
        <v>0</v>
      </c>
      <c r="G195" s="175">
        <f t="shared" si="982"/>
        <v>0</v>
      </c>
      <c r="H195" s="144"/>
      <c r="I195" s="91"/>
      <c r="J195" s="84">
        <f t="shared" si="940"/>
        <v>0</v>
      </c>
    </row>
    <row r="196" spans="5:10" x14ac:dyDescent="0.25">
      <c r="E196" s="175">
        <f t="shared" ref="E196:G196" si="983">E51*-1</f>
        <v>0</v>
      </c>
      <c r="F196" s="175">
        <f t="shared" si="983"/>
        <v>0</v>
      </c>
      <c r="G196" s="175">
        <f t="shared" si="983"/>
        <v>0</v>
      </c>
      <c r="H196" s="144"/>
      <c r="I196" s="91"/>
      <c r="J196" s="84">
        <f t="shared" si="940"/>
        <v>0</v>
      </c>
    </row>
    <row r="197" spans="5:10" x14ac:dyDescent="0.25">
      <c r="E197" s="175">
        <f t="shared" ref="E197:G197" si="984">E52*-1</f>
        <v>0</v>
      </c>
      <c r="F197" s="175">
        <f t="shared" si="984"/>
        <v>0</v>
      </c>
      <c r="G197" s="175">
        <f t="shared" si="984"/>
        <v>0</v>
      </c>
      <c r="H197" s="144"/>
      <c r="I197" s="91"/>
      <c r="J197" s="84">
        <f t="shared" si="940"/>
        <v>0</v>
      </c>
    </row>
    <row r="198" spans="5:10" x14ac:dyDescent="0.25">
      <c r="E198" s="175">
        <f t="shared" ref="E198:G198" si="985">E53*-1</f>
        <v>0</v>
      </c>
      <c r="F198" s="175">
        <f t="shared" si="985"/>
        <v>0</v>
      </c>
      <c r="G198" s="175">
        <f t="shared" si="985"/>
        <v>0</v>
      </c>
      <c r="H198" s="144"/>
      <c r="I198" s="91"/>
      <c r="J198" s="84">
        <f t="shared" si="940"/>
        <v>0</v>
      </c>
    </row>
    <row r="199" spans="5:10" x14ac:dyDescent="0.25">
      <c r="E199" s="175">
        <f t="shared" ref="E199:G199" si="986">E54*-1</f>
        <v>0</v>
      </c>
      <c r="F199" s="175">
        <f t="shared" si="986"/>
        <v>0</v>
      </c>
      <c r="G199" s="175">
        <f t="shared" si="986"/>
        <v>0</v>
      </c>
      <c r="H199" s="144"/>
      <c r="I199" s="91"/>
      <c r="J199" s="84">
        <f t="shared" si="940"/>
        <v>0</v>
      </c>
    </row>
    <row r="200" spans="5:10" x14ac:dyDescent="0.25">
      <c r="E200" s="175">
        <f t="shared" ref="E200:G200" si="987">E55*-1</f>
        <v>0</v>
      </c>
      <c r="F200" s="175">
        <f t="shared" si="987"/>
        <v>0</v>
      </c>
      <c r="G200" s="175">
        <f t="shared" si="987"/>
        <v>0</v>
      </c>
      <c r="H200" s="144"/>
      <c r="I200" s="91"/>
      <c r="J200" s="84">
        <f t="shared" si="940"/>
        <v>0</v>
      </c>
    </row>
    <row r="201" spans="5:10" x14ac:dyDescent="0.25">
      <c r="E201" s="175">
        <f t="shared" ref="E201:G201" si="988">E56*-1</f>
        <v>0</v>
      </c>
      <c r="F201" s="175">
        <f t="shared" si="988"/>
        <v>0</v>
      </c>
      <c r="G201" s="175">
        <f t="shared" si="988"/>
        <v>0</v>
      </c>
      <c r="H201" s="144"/>
      <c r="I201" s="91"/>
      <c r="J201" s="84">
        <f t="shared" si="940"/>
        <v>0</v>
      </c>
    </row>
    <row r="202" spans="5:10" x14ac:dyDescent="0.25">
      <c r="E202" s="175">
        <f t="shared" ref="E202:G202" si="989">E57*-1</f>
        <v>0</v>
      </c>
      <c r="F202" s="175">
        <f t="shared" si="989"/>
        <v>0</v>
      </c>
      <c r="G202" s="175">
        <f t="shared" si="989"/>
        <v>0</v>
      </c>
      <c r="H202" s="144"/>
      <c r="I202" s="91"/>
      <c r="J202" s="84">
        <f t="shared" si="940"/>
        <v>0</v>
      </c>
    </row>
    <row r="203" spans="5:10" x14ac:dyDescent="0.25">
      <c r="E203" s="175">
        <f t="shared" ref="E203:G203" si="990">E58*-1</f>
        <v>0</v>
      </c>
      <c r="F203" s="175">
        <f t="shared" si="990"/>
        <v>0</v>
      </c>
      <c r="G203" s="175">
        <f t="shared" si="990"/>
        <v>0</v>
      </c>
      <c r="H203" s="144"/>
      <c r="I203" s="91"/>
      <c r="J203" s="84">
        <f t="shared" si="940"/>
        <v>0</v>
      </c>
    </row>
    <row r="204" spans="5:10" x14ac:dyDescent="0.25">
      <c r="E204" s="175">
        <f t="shared" ref="E204:G204" si="991">E59*-1</f>
        <v>0</v>
      </c>
      <c r="F204" s="175">
        <f t="shared" si="991"/>
        <v>0</v>
      </c>
      <c r="G204" s="175">
        <f t="shared" si="991"/>
        <v>0</v>
      </c>
      <c r="H204" s="144"/>
      <c r="I204" s="91"/>
      <c r="J204" s="84">
        <f t="shared" si="940"/>
        <v>0</v>
      </c>
    </row>
    <row r="205" spans="5:10" x14ac:dyDescent="0.25">
      <c r="E205" s="175">
        <f t="shared" ref="E205:G205" si="992">E60*-1</f>
        <v>0</v>
      </c>
      <c r="F205" s="175">
        <f t="shared" si="992"/>
        <v>0</v>
      </c>
      <c r="G205" s="175">
        <f t="shared" si="992"/>
        <v>0</v>
      </c>
      <c r="H205" s="144"/>
      <c r="I205" s="91"/>
      <c r="J205" s="84">
        <f t="shared" si="940"/>
        <v>0</v>
      </c>
    </row>
    <row r="206" spans="5:10" x14ac:dyDescent="0.25">
      <c r="E206" s="175">
        <f t="shared" ref="E206:G206" si="993">E61*-1</f>
        <v>0</v>
      </c>
      <c r="F206" s="175">
        <f t="shared" si="993"/>
        <v>0</v>
      </c>
      <c r="G206" s="175">
        <f t="shared" si="993"/>
        <v>0</v>
      </c>
      <c r="H206" s="144"/>
      <c r="I206" s="91"/>
      <c r="J206" s="84">
        <f t="shared" si="940"/>
        <v>0</v>
      </c>
    </row>
    <row r="207" spans="5:10" x14ac:dyDescent="0.25">
      <c r="E207" s="175">
        <f t="shared" ref="E207:G207" si="994">E62*-1</f>
        <v>0</v>
      </c>
      <c r="F207" s="175">
        <f t="shared" si="994"/>
        <v>0</v>
      </c>
      <c r="G207" s="175">
        <f t="shared" si="994"/>
        <v>0</v>
      </c>
      <c r="H207" s="144"/>
      <c r="I207" s="91"/>
      <c r="J207" s="84">
        <f t="shared" si="940"/>
        <v>0</v>
      </c>
    </row>
    <row r="208" spans="5:10" x14ac:dyDescent="0.25">
      <c r="E208" s="175">
        <f t="shared" ref="E208:G208" si="995">E63*-1</f>
        <v>0</v>
      </c>
      <c r="F208" s="175">
        <f t="shared" si="995"/>
        <v>0</v>
      </c>
      <c r="G208" s="175">
        <f t="shared" si="995"/>
        <v>0</v>
      </c>
      <c r="H208" s="144"/>
      <c r="I208" s="91"/>
      <c r="J208" s="84">
        <f t="shared" si="940"/>
        <v>0</v>
      </c>
    </row>
    <row r="209" spans="5:10" x14ac:dyDescent="0.25">
      <c r="E209" s="175">
        <f t="shared" ref="E209:G209" si="996">E64*-1</f>
        <v>0</v>
      </c>
      <c r="F209" s="175">
        <f t="shared" si="996"/>
        <v>0</v>
      </c>
      <c r="G209" s="175">
        <f t="shared" si="996"/>
        <v>0</v>
      </c>
      <c r="H209" s="144"/>
      <c r="I209" s="91"/>
      <c r="J209" s="84">
        <f t="shared" si="940"/>
        <v>0</v>
      </c>
    </row>
    <row r="210" spans="5:10" x14ac:dyDescent="0.25">
      <c r="E210" s="175">
        <f t="shared" ref="E210:G210" si="997">E65*-1</f>
        <v>0</v>
      </c>
      <c r="F210" s="175">
        <f t="shared" si="997"/>
        <v>0</v>
      </c>
      <c r="G210" s="175">
        <f t="shared" si="997"/>
        <v>0</v>
      </c>
      <c r="H210" s="144"/>
      <c r="I210" s="91"/>
      <c r="J210" s="84">
        <f t="shared" si="940"/>
        <v>0</v>
      </c>
    </row>
    <row r="211" spans="5:10" x14ac:dyDescent="0.25">
      <c r="E211" s="175">
        <f t="shared" ref="E211:G211" si="998">E66*-1</f>
        <v>0</v>
      </c>
      <c r="F211" s="175">
        <f t="shared" si="998"/>
        <v>0</v>
      </c>
      <c r="G211" s="175">
        <f t="shared" si="998"/>
        <v>0</v>
      </c>
      <c r="H211" s="144"/>
      <c r="I211" s="91"/>
      <c r="J211" s="84">
        <f t="shared" si="940"/>
        <v>0</v>
      </c>
    </row>
    <row r="212" spans="5:10" x14ac:dyDescent="0.25">
      <c r="E212" s="175">
        <f t="shared" ref="E212:G212" si="999">E67*-1</f>
        <v>0</v>
      </c>
      <c r="F212" s="175">
        <f t="shared" si="999"/>
        <v>0</v>
      </c>
      <c r="G212" s="175">
        <f t="shared" si="999"/>
        <v>0</v>
      </c>
      <c r="H212" s="144"/>
      <c r="I212" s="91"/>
      <c r="J212" s="84">
        <f t="shared" si="940"/>
        <v>0</v>
      </c>
    </row>
    <row r="213" spans="5:10" x14ac:dyDescent="0.25">
      <c r="E213" s="175">
        <f t="shared" ref="E213:G213" si="1000">E68*-1</f>
        <v>0</v>
      </c>
      <c r="F213" s="175">
        <f t="shared" si="1000"/>
        <v>0</v>
      </c>
      <c r="G213" s="175">
        <f t="shared" si="1000"/>
        <v>0</v>
      </c>
      <c r="H213" s="144"/>
      <c r="I213" s="91"/>
      <c r="J213" s="84">
        <f t="shared" si="940"/>
        <v>0</v>
      </c>
    </row>
    <row r="214" spans="5:10" x14ac:dyDescent="0.25">
      <c r="E214" s="175">
        <f t="shared" ref="E214:G214" si="1001">E69*-1</f>
        <v>0</v>
      </c>
      <c r="F214" s="175">
        <f t="shared" si="1001"/>
        <v>0</v>
      </c>
      <c r="G214" s="175">
        <f t="shared" si="1001"/>
        <v>0</v>
      </c>
      <c r="H214" s="144"/>
      <c r="I214" s="91"/>
      <c r="J214" s="84">
        <f t="shared" si="940"/>
        <v>0</v>
      </c>
    </row>
    <row r="215" spans="5:10" x14ac:dyDescent="0.25">
      <c r="E215" s="175">
        <f t="shared" ref="E215:G215" si="1002">E70*-1</f>
        <v>0</v>
      </c>
      <c r="F215" s="175">
        <f t="shared" si="1002"/>
        <v>0</v>
      </c>
      <c r="G215" s="175">
        <f t="shared" si="1002"/>
        <v>0</v>
      </c>
      <c r="H215" s="144"/>
      <c r="I215" s="91"/>
      <c r="J215" s="84">
        <f t="shared" si="940"/>
        <v>0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1.1080000000000001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1.113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1313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1.208</v>
      </c>
      <c r="N169" s="594" t="str">
        <f>Assy.Model!K14</f>
        <v>Knuckle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2.1070000000000002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2.1120000000000001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2.117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2.1219999999999999</v>
      </c>
      <c r="N173" s="594" t="str">
        <f>Assy.Model!K18</f>
        <v>1313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3.1030000000000002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3.1059999999999999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3.1110000000000002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3.1160000000000001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3.121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3.2109999999999999</v>
      </c>
      <c r="N179" s="594" t="str">
        <f>Assy.Model!K24</f>
        <v>Knuckle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4.1020000000000003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4.1050000000000004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4.1100000000000003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4.1150000000000002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4.12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4.2050000000000001</v>
      </c>
      <c r="N185" s="594" t="str">
        <f>Assy.Model!K30</f>
        <v>Knuckle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5.109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5.1139999999999999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5.1189999999999998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 t="str">
        <f>Assy.Model!$M34</f>
        <v/>
      </c>
      <c r="N189" s="594" t="str">
        <f>Assy.Model!K34</f>
        <v/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 t="str">
        <f>Assy.Model!$M35</f>
        <v/>
      </c>
      <c r="N190" s="594" t="str">
        <f>Assy.Model!K35</f>
        <v/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 t="str">
        <f>Assy.Model!$M36</f>
        <v/>
      </c>
      <c r="N191" s="594" t="str">
        <f>Assy.Model!K36</f>
        <v/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 t="str">
        <f>Assy.Model!$M37</f>
        <v/>
      </c>
      <c r="N192" s="594" t="str">
        <f>Assy.Model!K37</f>
        <v/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 t="str">
        <f>Assy.Model!$M38</f>
        <v/>
      </c>
      <c r="N193" s="594" t="str">
        <f>Assy.Model!K38</f>
        <v/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 t="str">
        <f>Assy.Model!$M39</f>
        <v/>
      </c>
      <c r="N194" s="594" t="str">
        <f>Assy.Model!K39</f>
        <v/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 t="str">
        <f>Assy.Model!$M40</f>
        <v/>
      </c>
      <c r="N195" s="594" t="str">
        <f>Assy.Model!K40</f>
        <v/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 t="str">
        <f>Assy.Model!$M41</f>
        <v/>
      </c>
      <c r="N196" s="594" t="str">
        <f>Assy.Model!K41</f>
        <v/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 t="str">
        <f>Assy.Model!$M42</f>
        <v/>
      </c>
      <c r="N197" s="594" t="str">
        <f>Assy.Model!K42</f>
        <v/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 t="str">
        <f>Assy.Model!$M43</f>
        <v/>
      </c>
      <c r="N198" s="594" t="str">
        <f>Assy.Model!K43</f>
        <v/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 t="str">
        <f>Assy.Model!$M44</f>
        <v/>
      </c>
      <c r="N199" s="594" t="str">
        <f>Assy.Model!K44</f>
        <v/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 t="str">
        <f>Assy.Model!$M45</f>
        <v/>
      </c>
      <c r="N200" s="594" t="str">
        <f>Assy.Model!K45</f>
        <v/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 t="str">
        <f>Assy.Model!$M46</f>
        <v/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 t="str">
        <f>Assy.Model!$M47</f>
        <v/>
      </c>
      <c r="N202" s="594" t="str">
        <f>Assy.Model!K47</f>
        <v/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 t="str">
        <f>Assy.Model!$M48</f>
        <v/>
      </c>
      <c r="N203" s="594" t="str">
        <f>Assy.Model!K48</f>
        <v/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 t="str">
        <f>Assy.Model!$M49</f>
        <v/>
      </c>
      <c r="N204" s="594" t="str">
        <f>Assy.Model!K49</f>
        <v/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 t="str">
        <f>Assy.Model!$M50</f>
        <v/>
      </c>
      <c r="N205" s="594" t="str">
        <f>Assy.Model!K50</f>
        <v/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 t="str">
        <f>Assy.Model!$M51</f>
        <v/>
      </c>
      <c r="N206" s="594" t="str">
        <f>Assy.Model!K51</f>
        <v/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 t="str">
        <f>Assy.Model!$M52</f>
        <v/>
      </c>
      <c r="N207" s="594" t="str">
        <f>Assy.Model!K52</f>
        <v/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 t="str">
        <f>Assy.Model!$M53</f>
        <v/>
      </c>
      <c r="N208" s="594" t="str">
        <f>Assy.Model!K53</f>
        <v/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 t="str">
        <f>Assy.Model!$M54</f>
        <v/>
      </c>
      <c r="N209" s="594" t="str">
        <f>Assy.Model!K54</f>
        <v/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 t="str">
        <f>Assy.Model!$M55</f>
        <v/>
      </c>
      <c r="N210" s="594" t="str">
        <f>Assy.Model!K55</f>
        <v/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 t="str">
        <f>Assy.Model!$M56</f>
        <v/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 t="str">
        <f>Assy.Model!$M57</f>
        <v/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2023-03-21T13:03:16Z</dcterms:modified>
</cp:coreProperties>
</file>