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513\"/>
    </mc:Choice>
  </mc:AlternateContent>
  <xr:revisionPtr revIDLastSave="0" documentId="13_ncr:1_{D8F665CE-FAE3-4E1E-BFAA-436C24B04A2F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AK256" i="1" l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P305" i="1"/>
  <c r="O305" i="1"/>
  <c r="V304" i="1"/>
  <c r="I149" i="1" s="1"/>
  <c r="Q304" i="1"/>
  <c r="P304" i="1"/>
  <c r="O304" i="1"/>
  <c r="V303" i="1"/>
  <c r="I148" i="1" s="1"/>
  <c r="Q303" i="1"/>
  <c r="P303" i="1"/>
  <c r="O303" i="1"/>
  <c r="V302" i="1"/>
  <c r="I147" i="1" s="1"/>
  <c r="Q302" i="1"/>
  <c r="P302" i="1"/>
  <c r="O302" i="1"/>
  <c r="V301" i="1"/>
  <c r="I146" i="1" s="1"/>
  <c r="Q301" i="1"/>
  <c r="P301" i="1"/>
  <c r="O301" i="1"/>
  <c r="V300" i="1"/>
  <c r="I145" i="1" s="1"/>
  <c r="Q300" i="1"/>
  <c r="P300" i="1"/>
  <c r="O300" i="1"/>
  <c r="V299" i="1"/>
  <c r="I144" i="1" s="1"/>
  <c r="Q299" i="1"/>
  <c r="P299" i="1"/>
  <c r="O299" i="1"/>
  <c r="V298" i="1"/>
  <c r="I143" i="1" s="1"/>
  <c r="Q298" i="1"/>
  <c r="P298" i="1"/>
  <c r="O298" i="1"/>
  <c r="V297" i="1"/>
  <c r="I142" i="1" s="1"/>
  <c r="Q297" i="1"/>
  <c r="P297" i="1"/>
  <c r="O297" i="1"/>
  <c r="V296" i="1"/>
  <c r="I141" i="1" s="1"/>
  <c r="Q296" i="1"/>
  <c r="P296" i="1"/>
  <c r="O296" i="1"/>
  <c r="V295" i="1"/>
  <c r="I140" i="1" s="1"/>
  <c r="Q295" i="1"/>
  <c r="P295" i="1"/>
  <c r="O295" i="1"/>
  <c r="V294" i="1"/>
  <c r="I139" i="1" s="1"/>
  <c r="Q294" i="1"/>
  <c r="P294" i="1"/>
  <c r="O294" i="1"/>
  <c r="V293" i="1"/>
  <c r="I138" i="1" s="1"/>
  <c r="Q293" i="1"/>
  <c r="P293" i="1"/>
  <c r="O293" i="1"/>
  <c r="V292" i="1"/>
  <c r="I137" i="1" s="1"/>
  <c r="Q292" i="1"/>
  <c r="P292" i="1"/>
  <c r="O292" i="1"/>
  <c r="V291" i="1"/>
  <c r="I136" i="1" s="1"/>
  <c r="Q291" i="1"/>
  <c r="P291" i="1"/>
  <c r="O291" i="1"/>
  <c r="V290" i="1"/>
  <c r="I135" i="1" s="1"/>
  <c r="Q290" i="1"/>
  <c r="P290" i="1"/>
  <c r="O290" i="1"/>
  <c r="V289" i="1"/>
  <c r="I134" i="1" s="1"/>
  <c r="Q289" i="1"/>
  <c r="P289" i="1"/>
  <c r="O289" i="1"/>
  <c r="V288" i="1"/>
  <c r="I133" i="1" s="1"/>
  <c r="Q288" i="1"/>
  <c r="P288" i="1"/>
  <c r="O288" i="1"/>
  <c r="V287" i="1"/>
  <c r="I132" i="1" s="1"/>
  <c r="Q287" i="1"/>
  <c r="P287" i="1"/>
  <c r="O287" i="1"/>
  <c r="V286" i="1"/>
  <c r="I131" i="1" s="1"/>
  <c r="Q286" i="1"/>
  <c r="P286" i="1"/>
  <c r="O286" i="1"/>
  <c r="V285" i="1"/>
  <c r="I130" i="1" s="1"/>
  <c r="Q285" i="1"/>
  <c r="P285" i="1"/>
  <c r="O285" i="1"/>
  <c r="V284" i="1"/>
  <c r="I129" i="1" s="1"/>
  <c r="Q284" i="1"/>
  <c r="P284" i="1"/>
  <c r="O284" i="1"/>
  <c r="V283" i="1"/>
  <c r="I128" i="1" s="1"/>
  <c r="Q283" i="1"/>
  <c r="P283" i="1"/>
  <c r="O283" i="1"/>
  <c r="V282" i="1"/>
  <c r="I127" i="1" s="1"/>
  <c r="Q282" i="1"/>
  <c r="P282" i="1"/>
  <c r="O282" i="1"/>
  <c r="V281" i="1"/>
  <c r="I126" i="1" s="1"/>
  <c r="Q281" i="1"/>
  <c r="P281" i="1"/>
  <c r="O281" i="1"/>
  <c r="V280" i="1"/>
  <c r="I125" i="1" s="1"/>
  <c r="Q280" i="1"/>
  <c r="P280" i="1"/>
  <c r="O280" i="1"/>
  <c r="V279" i="1"/>
  <c r="I124" i="1" s="1"/>
  <c r="Q279" i="1"/>
  <c r="P279" i="1"/>
  <c r="O279" i="1"/>
  <c r="V278" i="1"/>
  <c r="I123" i="1" s="1"/>
  <c r="Q278" i="1"/>
  <c r="P278" i="1"/>
  <c r="O278" i="1"/>
  <c r="V277" i="1"/>
  <c r="I122" i="1" s="1"/>
  <c r="Q277" i="1"/>
  <c r="P277" i="1"/>
  <c r="O277" i="1"/>
  <c r="V276" i="1"/>
  <c r="I121" i="1" s="1"/>
  <c r="Q276" i="1"/>
  <c r="P276" i="1"/>
  <c r="O276" i="1"/>
  <c r="V275" i="1"/>
  <c r="I120" i="1" s="1"/>
  <c r="Q275" i="1"/>
  <c r="P275" i="1"/>
  <c r="O275" i="1"/>
  <c r="V274" i="1"/>
  <c r="I119" i="1" s="1"/>
  <c r="Q274" i="1"/>
  <c r="P274" i="1"/>
  <c r="O274" i="1"/>
  <c r="V273" i="1"/>
  <c r="I118" i="1" s="1"/>
  <c r="Q273" i="1"/>
  <c r="P273" i="1"/>
  <c r="O273" i="1"/>
  <c r="V272" i="1"/>
  <c r="I117" i="1" s="1"/>
  <c r="Q272" i="1"/>
  <c r="P272" i="1"/>
  <c r="O272" i="1"/>
  <c r="V271" i="1"/>
  <c r="I116" i="1" s="1"/>
  <c r="Q271" i="1"/>
  <c r="P271" i="1"/>
  <c r="O271" i="1"/>
  <c r="V270" i="1"/>
  <c r="I115" i="1" s="1"/>
  <c r="Q270" i="1"/>
  <c r="P270" i="1"/>
  <c r="O270" i="1"/>
  <c r="V269" i="1"/>
  <c r="I114" i="1" s="1"/>
  <c r="Q269" i="1"/>
  <c r="P269" i="1"/>
  <c r="O269" i="1"/>
  <c r="V268" i="1"/>
  <c r="I113" i="1" s="1"/>
  <c r="Q268" i="1"/>
  <c r="P268" i="1"/>
  <c r="O268" i="1"/>
  <c r="V267" i="1"/>
  <c r="I112" i="1" s="1"/>
  <c r="Q267" i="1"/>
  <c r="P267" i="1"/>
  <c r="O267" i="1"/>
  <c r="V266" i="1"/>
  <c r="I111" i="1" s="1"/>
  <c r="Q266" i="1"/>
  <c r="P266" i="1"/>
  <c r="O266" i="1"/>
  <c r="V265" i="1"/>
  <c r="I110" i="1" s="1"/>
  <c r="Q265" i="1"/>
  <c r="P265" i="1"/>
  <c r="O265" i="1"/>
  <c r="V264" i="1"/>
  <c r="I109" i="1" s="1"/>
  <c r="Q264" i="1"/>
  <c r="P264" i="1"/>
  <c r="O264" i="1"/>
  <c r="V263" i="1"/>
  <c r="I108" i="1" s="1"/>
  <c r="Q263" i="1"/>
  <c r="P263" i="1"/>
  <c r="O263" i="1"/>
  <c r="W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29" i="1" l="1"/>
  <c r="C135" i="1"/>
  <c r="C145" i="1"/>
  <c r="C121" i="1"/>
  <c r="C137" i="1"/>
  <c r="C127" i="1"/>
  <c r="C143" i="1"/>
  <c r="C119" i="1"/>
  <c r="D142" i="1"/>
  <c r="D150" i="1"/>
  <c r="C113" i="1"/>
  <c r="D110" i="1"/>
  <c r="D118" i="1"/>
  <c r="D134" i="1"/>
  <c r="D126" i="1"/>
  <c r="C126" i="1"/>
  <c r="C134" i="1"/>
  <c r="C142" i="1"/>
  <c r="C150" i="1"/>
  <c r="B130" i="1"/>
  <c r="B138" i="1"/>
  <c r="B146" i="1"/>
  <c r="B114" i="1"/>
  <c r="B122" i="1"/>
  <c r="B108" i="1"/>
  <c r="B116" i="1"/>
  <c r="B124" i="1"/>
  <c r="B132" i="1"/>
  <c r="B140" i="1"/>
  <c r="B148" i="1"/>
  <c r="C140" i="1"/>
  <c r="D108" i="1"/>
  <c r="D116" i="1"/>
  <c r="D124" i="1"/>
  <c r="D132" i="1"/>
  <c r="D140" i="1"/>
  <c r="D148" i="1"/>
  <c r="C110" i="1"/>
  <c r="C118" i="1"/>
  <c r="D111" i="1"/>
  <c r="D135" i="1"/>
  <c r="D119" i="1"/>
  <c r="D143" i="1"/>
  <c r="D127" i="1"/>
  <c r="C114" i="1"/>
  <c r="C122" i="1"/>
  <c r="C130" i="1"/>
  <c r="C138" i="1"/>
  <c r="C146" i="1"/>
  <c r="C111" i="1"/>
  <c r="B110" i="1"/>
  <c r="B118" i="1"/>
  <c r="B126" i="1"/>
  <c r="B134" i="1"/>
  <c r="B142" i="1"/>
  <c r="C108" i="1"/>
  <c r="C116" i="1"/>
  <c r="C124" i="1"/>
  <c r="C132" i="1"/>
  <c r="C148" i="1"/>
  <c r="B111" i="1"/>
  <c r="B119" i="1"/>
  <c r="B127" i="1"/>
  <c r="B135" i="1"/>
  <c r="B143" i="1"/>
  <c r="D121" i="1"/>
  <c r="D129" i="1"/>
  <c r="D137" i="1"/>
  <c r="D113" i="1"/>
  <c r="B113" i="1"/>
  <c r="B121" i="1"/>
  <c r="B129" i="1"/>
  <c r="B137" i="1"/>
  <c r="B109" i="1"/>
  <c r="B117" i="1"/>
  <c r="B125" i="1"/>
  <c r="B141" i="1"/>
  <c r="D117" i="1"/>
  <c r="D109" i="1"/>
  <c r="B145" i="1"/>
  <c r="D125" i="1"/>
  <c r="D141" i="1"/>
  <c r="D145" i="1"/>
  <c r="D149" i="1"/>
  <c r="B149" i="1"/>
  <c r="B150" i="1"/>
  <c r="B115" i="1"/>
  <c r="B123" i="1"/>
  <c r="B131" i="1"/>
  <c r="B139" i="1"/>
  <c r="B147" i="1"/>
  <c r="C109" i="1"/>
  <c r="C115" i="1"/>
  <c r="C117" i="1"/>
  <c r="C123" i="1"/>
  <c r="C125" i="1"/>
  <c r="C131" i="1"/>
  <c r="C139" i="1"/>
  <c r="C141" i="1"/>
  <c r="C147" i="1"/>
  <c r="C149" i="1"/>
  <c r="D115" i="1"/>
  <c r="D123" i="1"/>
  <c r="D131" i="1"/>
  <c r="D139" i="1"/>
  <c r="D147" i="1"/>
  <c r="D114" i="1"/>
  <c r="D122" i="1"/>
  <c r="D130" i="1"/>
  <c r="D138" i="1"/>
  <c r="D146" i="1"/>
  <c r="V262" i="1"/>
  <c r="I107" i="1" s="1"/>
  <c r="Q262" i="1"/>
  <c r="P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P261" i="1"/>
  <c r="O261" i="1"/>
  <c r="J106" i="1"/>
  <c r="V260" i="1"/>
  <c r="I105" i="1" s="1"/>
  <c r="Q260" i="1"/>
  <c r="P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P259" i="1"/>
  <c r="J104" i="1"/>
  <c r="O259" i="1"/>
  <c r="O258" i="1"/>
  <c r="X258" i="1"/>
  <c r="K103" i="1" s="1"/>
  <c r="A103" i="1" s="1"/>
  <c r="R258" i="1"/>
  <c r="E103" i="1" s="1"/>
  <c r="J103" i="1"/>
  <c r="P258" i="1"/>
  <c r="S258" i="1"/>
  <c r="F103" i="1" s="1"/>
  <c r="Q258" i="1"/>
  <c r="T258" i="1"/>
  <c r="G103" i="1" s="1"/>
  <c r="J102" i="1"/>
  <c r="O257" i="1"/>
  <c r="P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P250" i="1"/>
  <c r="P252" i="1"/>
  <c r="P254" i="1"/>
  <c r="P256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P251" i="1"/>
  <c r="P253" i="1"/>
  <c r="P255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P249" i="1"/>
  <c r="Q249" i="1"/>
  <c r="X249" i="1"/>
  <c r="K94" i="1" s="1"/>
  <c r="A94" i="1" s="1"/>
  <c r="V249" i="1"/>
  <c r="I94" i="1" s="1"/>
  <c r="R249" i="1"/>
  <c r="E94" i="1" s="1"/>
  <c r="S249" i="1"/>
  <c r="F94" i="1" s="1"/>
  <c r="P248" i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P247" i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P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58" i="1"/>
  <c r="H103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B133" i="1" s="1"/>
  <c r="K112" i="1"/>
  <c r="A112" i="1" s="1"/>
  <c r="D112" i="1" s="1"/>
  <c r="U267" i="1"/>
  <c r="H112" i="1" s="1"/>
  <c r="K120" i="1"/>
  <c r="A120" i="1" s="1"/>
  <c r="B120" i="1" s="1"/>
  <c r="U275" i="1"/>
  <c r="H120" i="1" s="1"/>
  <c r="K128" i="1"/>
  <c r="A128" i="1" s="1"/>
  <c r="B128" i="1" s="1"/>
  <c r="U283" i="1"/>
  <c r="H128" i="1" s="1"/>
  <c r="K144" i="1"/>
  <c r="A144" i="1" s="1"/>
  <c r="C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W164" i="1"/>
  <c r="J9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R167" i="1"/>
  <c r="E12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R166" i="1"/>
  <c r="E11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R179" i="1"/>
  <c r="E24" i="1" s="1"/>
  <c r="S176" i="1"/>
  <c r="F21" i="1" s="1"/>
  <c r="T173" i="1"/>
  <c r="G18" i="1" s="1"/>
  <c r="R171" i="1"/>
  <c r="E16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R178" i="1"/>
  <c r="E23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4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1" i="1"/>
  <c r="O177" i="1"/>
  <c r="O182" i="1"/>
  <c r="O190" i="1"/>
  <c r="O194" i="1"/>
  <c r="O200" i="1"/>
  <c r="O204" i="1"/>
  <c r="O209" i="1"/>
  <c r="O212" i="1"/>
  <c r="O216" i="1"/>
  <c r="O169" i="1"/>
  <c r="O175" i="1"/>
  <c r="O17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D65" i="1" l="1"/>
  <c r="C81" i="1"/>
  <c r="C84" i="1"/>
  <c r="B78" i="1"/>
  <c r="B102" i="1"/>
  <c r="D96" i="1"/>
  <c r="B76" i="1"/>
  <c r="B92" i="1"/>
  <c r="C65" i="1"/>
  <c r="D78" i="1"/>
  <c r="C105" i="1"/>
  <c r="C100" i="1"/>
  <c r="B70" i="1"/>
  <c r="D71" i="1"/>
  <c r="C136" i="1"/>
  <c r="B112" i="1"/>
  <c r="B85" i="1"/>
  <c r="C93" i="1"/>
  <c r="D98" i="1"/>
  <c r="C96" i="1"/>
  <c r="C85" i="1"/>
  <c r="D136" i="1"/>
  <c r="C63" i="1"/>
  <c r="D72" i="1"/>
  <c r="D89" i="1"/>
  <c r="D83" i="1"/>
  <c r="D99" i="1"/>
  <c r="C78" i="1"/>
  <c r="B73" i="1"/>
  <c r="B65" i="1"/>
  <c r="B90" i="1"/>
  <c r="B100" i="1"/>
  <c r="B69" i="1"/>
  <c r="B94" i="1"/>
  <c r="B96" i="1"/>
  <c r="B105" i="1"/>
  <c r="B67" i="1"/>
  <c r="B71" i="1"/>
  <c r="B75" i="1"/>
  <c r="B83" i="1"/>
  <c r="B87" i="1"/>
  <c r="B89" i="1"/>
  <c r="D63" i="1"/>
  <c r="D70" i="1"/>
  <c r="C73" i="1"/>
  <c r="D79" i="1"/>
  <c r="D81" i="1"/>
  <c r="B88" i="1"/>
  <c r="B101" i="1"/>
  <c r="D97" i="1"/>
  <c r="B99" i="1"/>
  <c r="D103" i="1"/>
  <c r="D105" i="1"/>
  <c r="C128" i="1"/>
  <c r="C72" i="1"/>
  <c r="D73" i="1"/>
  <c r="D77" i="1"/>
  <c r="B84" i="1"/>
  <c r="C91" i="1"/>
  <c r="D94" i="1"/>
  <c r="D95" i="1"/>
  <c r="C101" i="1"/>
  <c r="C107" i="1"/>
  <c r="D128" i="1"/>
  <c r="C120" i="1"/>
  <c r="D62" i="1"/>
  <c r="C67" i="1"/>
  <c r="D69" i="1"/>
  <c r="C70" i="1"/>
  <c r="C75" i="1"/>
  <c r="C77" i="1"/>
  <c r="C79" i="1"/>
  <c r="C83" i="1"/>
  <c r="D86" i="1"/>
  <c r="C88" i="1"/>
  <c r="D91" i="1"/>
  <c r="C92" i="1"/>
  <c r="C94" i="1"/>
  <c r="C99" i="1"/>
  <c r="C103" i="1"/>
  <c r="D107" i="1"/>
  <c r="C112" i="1"/>
  <c r="D133" i="1"/>
  <c r="C133" i="1"/>
  <c r="C62" i="1"/>
  <c r="C66" i="1"/>
  <c r="D67" i="1"/>
  <c r="C69" i="1"/>
  <c r="C71" i="1"/>
  <c r="B74" i="1"/>
  <c r="D75" i="1"/>
  <c r="C76" i="1"/>
  <c r="B77" i="1"/>
  <c r="B81" i="1"/>
  <c r="B82" i="1"/>
  <c r="D85" i="1"/>
  <c r="C86" i="1"/>
  <c r="C87" i="1"/>
  <c r="D88" i="1"/>
  <c r="C89" i="1"/>
  <c r="D93" i="1"/>
  <c r="D100" i="1"/>
  <c r="C98" i="1"/>
  <c r="B98" i="1"/>
  <c r="B97" i="1"/>
  <c r="C97" i="1"/>
  <c r="D102" i="1"/>
  <c r="B106" i="1"/>
  <c r="D120" i="1"/>
  <c r="B144" i="1"/>
  <c r="C74" i="1"/>
  <c r="D76" i="1"/>
  <c r="C82" i="1"/>
  <c r="C90" i="1"/>
  <c r="D92" i="1"/>
  <c r="C95" i="1"/>
  <c r="C102" i="1"/>
  <c r="C106" i="1"/>
  <c r="B62" i="1"/>
  <c r="B66" i="1"/>
  <c r="B72" i="1"/>
  <c r="B95" i="1"/>
  <c r="D144" i="1"/>
  <c r="B63" i="1"/>
  <c r="D66" i="1"/>
  <c r="D74" i="1"/>
  <c r="B79" i="1"/>
  <c r="D82" i="1"/>
  <c r="D84" i="1"/>
  <c r="D87" i="1"/>
  <c r="D90" i="1"/>
  <c r="B91" i="1"/>
  <c r="B93" i="1"/>
  <c r="D101" i="1"/>
  <c r="B103" i="1"/>
  <c r="D106" i="1"/>
  <c r="B107" i="1"/>
  <c r="B86" i="1"/>
  <c r="U262" i="1"/>
  <c r="H107" i="1" s="1"/>
  <c r="U261" i="1"/>
  <c r="H106" i="1" s="1"/>
  <c r="K104" i="1"/>
  <c r="A104" i="1" s="1"/>
  <c r="D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B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C68" i="1" s="1"/>
  <c r="K64" i="1"/>
  <c r="A64" i="1" s="1"/>
  <c r="D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B50" i="1" s="1"/>
  <c r="K61" i="1"/>
  <c r="A61" i="1" s="1"/>
  <c r="D61" i="1" s="1"/>
  <c r="U216" i="1"/>
  <c r="H61" i="1" s="1"/>
  <c r="U177" i="1"/>
  <c r="H22" i="1" s="1"/>
  <c r="K22" i="1"/>
  <c r="A22" i="1" s="1"/>
  <c r="D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C30" i="1" s="1"/>
  <c r="U192" i="1"/>
  <c r="H37" i="1" s="1"/>
  <c r="K37" i="1"/>
  <c r="A37" i="1" s="1"/>
  <c r="C37" i="1" s="1"/>
  <c r="U193" i="1"/>
  <c r="H38" i="1" s="1"/>
  <c r="K38" i="1"/>
  <c r="A38" i="1" s="1"/>
  <c r="D38" i="1" s="1"/>
  <c r="K15" i="1"/>
  <c r="A15" i="1" s="1"/>
  <c r="B15" i="1" s="1"/>
  <c r="U170" i="1"/>
  <c r="H15" i="1" s="1"/>
  <c r="U181" i="1"/>
  <c r="H26" i="1" s="1"/>
  <c r="K26" i="1"/>
  <c r="A26" i="1" s="1"/>
  <c r="B26" i="1" s="1"/>
  <c r="K57" i="1"/>
  <c r="A57" i="1" s="1"/>
  <c r="B57" i="1" s="1"/>
  <c r="U212" i="1"/>
  <c r="H57" i="1" s="1"/>
  <c r="U190" i="1"/>
  <c r="H35" i="1" s="1"/>
  <c r="K35" i="1"/>
  <c r="A35" i="1" s="1"/>
  <c r="C35" i="1" s="1"/>
  <c r="U167" i="1"/>
  <c r="H12" i="1" s="1"/>
  <c r="K12" i="1"/>
  <c r="A12" i="1" s="1"/>
  <c r="C12" i="1" s="1"/>
  <c r="U175" i="1"/>
  <c r="H20" i="1" s="1"/>
  <c r="K20" i="1"/>
  <c r="A20" i="1" s="1"/>
  <c r="D20" i="1" s="1"/>
  <c r="U201" i="1"/>
  <c r="H46" i="1" s="1"/>
  <c r="K46" i="1"/>
  <c r="A46" i="1" s="1"/>
  <c r="D46" i="1" s="1"/>
  <c r="K23" i="1"/>
  <c r="A23" i="1" s="1"/>
  <c r="C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C18" i="1" s="1"/>
  <c r="K49" i="1"/>
  <c r="A49" i="1" s="1"/>
  <c r="B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D28" i="1" s="1"/>
  <c r="U168" i="1"/>
  <c r="H13" i="1" s="1"/>
  <c r="K13" i="1"/>
  <c r="A13" i="1" s="1"/>
  <c r="D13" i="1" s="1"/>
  <c r="K54" i="1"/>
  <c r="A54" i="1" s="1"/>
  <c r="B54" i="1" s="1"/>
  <c r="U209" i="1"/>
  <c r="H54" i="1" s="1"/>
  <c r="K31" i="1"/>
  <c r="A31" i="1" s="1"/>
  <c r="B31" i="1" s="1"/>
  <c r="U186" i="1"/>
  <c r="H31" i="1" s="1"/>
  <c r="K32" i="1"/>
  <c r="A32" i="1" s="1"/>
  <c r="C32" i="1" s="1"/>
  <c r="U187" i="1"/>
  <c r="H32" i="1" s="1"/>
  <c r="U189" i="1"/>
  <c r="H34" i="1" s="1"/>
  <c r="K34" i="1"/>
  <c r="A34" i="1" s="1"/>
  <c r="B34" i="1" s="1"/>
  <c r="U182" i="1"/>
  <c r="H27" i="1" s="1"/>
  <c r="K27" i="1"/>
  <c r="A27" i="1" s="1"/>
  <c r="C27" i="1" s="1"/>
  <c r="U165" i="1"/>
  <c r="H10" i="1" s="1"/>
  <c r="K10" i="1"/>
  <c r="A10" i="1" s="1"/>
  <c r="C10" i="1" s="1"/>
  <c r="K41" i="1"/>
  <c r="A41" i="1" s="1"/>
  <c r="B41" i="1" s="1"/>
  <c r="U196" i="1"/>
  <c r="H41" i="1" s="1"/>
  <c r="U206" i="1"/>
  <c r="H51" i="1" s="1"/>
  <c r="K51" i="1"/>
  <c r="A51" i="1" s="1"/>
  <c r="B51" i="1" s="1"/>
  <c r="K52" i="1"/>
  <c r="A52" i="1" s="1"/>
  <c r="B52" i="1" s="1"/>
  <c r="U207" i="1"/>
  <c r="H52" i="1" s="1"/>
  <c r="U184" i="1"/>
  <c r="H29" i="1" s="1"/>
  <c r="K29" i="1"/>
  <c r="A29" i="1" s="1"/>
  <c r="C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B56" i="1" s="1"/>
  <c r="U211" i="1"/>
  <c r="H56" i="1" s="1"/>
  <c r="U172" i="1"/>
  <c r="H17" i="1" s="1"/>
  <c r="K17" i="1"/>
  <c r="A17" i="1" s="1"/>
  <c r="C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B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C45" i="1" s="1"/>
  <c r="U176" i="1"/>
  <c r="H21" i="1" s="1"/>
  <c r="K21" i="1"/>
  <c r="A21" i="1" s="1"/>
  <c r="C21" i="1" s="1"/>
  <c r="K47" i="1"/>
  <c r="A47" i="1" s="1"/>
  <c r="D47" i="1" s="1"/>
  <c r="U202" i="1"/>
  <c r="H47" i="1" s="1"/>
  <c r="U166" i="1"/>
  <c r="H11" i="1" s="1"/>
  <c r="K11" i="1"/>
  <c r="A11" i="1" s="1"/>
  <c r="D11" i="1" s="1"/>
  <c r="K58" i="1"/>
  <c r="A58" i="1" s="1"/>
  <c r="C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C25" i="1" s="1"/>
  <c r="K24" i="1"/>
  <c r="A24" i="1" s="1"/>
  <c r="D24" i="1" s="1"/>
  <c r="U179" i="1"/>
  <c r="H24" i="1" s="1"/>
  <c r="U208" i="1"/>
  <c r="H53" i="1" s="1"/>
  <c r="K53" i="1"/>
  <c r="A53" i="1" s="1"/>
  <c r="B53" i="1" s="1"/>
  <c r="U169" i="1"/>
  <c r="H14" i="1" s="1"/>
  <c r="K14" i="1"/>
  <c r="A14" i="1" s="1"/>
  <c r="B14" i="1" s="1"/>
  <c r="K55" i="1"/>
  <c r="A55" i="1" s="1"/>
  <c r="D55" i="1" s="1"/>
  <c r="U210" i="1"/>
  <c r="H55" i="1" s="1"/>
  <c r="V164" i="1"/>
  <c r="I9" i="1" s="1"/>
  <c r="R164" i="1"/>
  <c r="E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C26" i="1" l="1"/>
  <c r="C64" i="1"/>
  <c r="B20" i="1"/>
  <c r="D80" i="1"/>
  <c r="D41" i="1"/>
  <c r="B30" i="1"/>
  <c r="B68" i="1"/>
  <c r="D68" i="1"/>
  <c r="C53" i="1"/>
  <c r="C15" i="1"/>
  <c r="C33" i="1"/>
  <c r="C104" i="1"/>
  <c r="B104" i="1"/>
  <c r="C31" i="1"/>
  <c r="D34" i="1"/>
  <c r="C20" i="1"/>
  <c r="D32" i="1"/>
  <c r="B32" i="1"/>
  <c r="B61" i="1"/>
  <c r="C46" i="1"/>
  <c r="B48" i="1"/>
  <c r="C14" i="1"/>
  <c r="D27" i="1"/>
  <c r="B11" i="1"/>
  <c r="D21" i="1"/>
  <c r="D54" i="1"/>
  <c r="C39" i="1"/>
  <c r="D40" i="1"/>
  <c r="D31" i="1"/>
  <c r="C48" i="1"/>
  <c r="D49" i="1"/>
  <c r="C54" i="1"/>
  <c r="C41" i="1"/>
  <c r="D42" i="1"/>
  <c r="B47" i="1"/>
  <c r="C34" i="1"/>
  <c r="D35" i="1"/>
  <c r="B10" i="1"/>
  <c r="C59" i="1"/>
  <c r="D60" i="1"/>
  <c r="C80" i="1"/>
  <c r="C28" i="1"/>
  <c r="D29" i="1"/>
  <c r="C22" i="1"/>
  <c r="B64" i="1"/>
  <c r="C61" i="1"/>
  <c r="B12" i="1"/>
  <c r="C40" i="1"/>
  <c r="C51" i="1"/>
  <c r="D52" i="1"/>
  <c r="C47" i="1"/>
  <c r="C56" i="1"/>
  <c r="D57" i="1"/>
  <c r="D39" i="1"/>
  <c r="C49" i="1"/>
  <c r="D50" i="1"/>
  <c r="B16" i="1"/>
  <c r="C42" i="1"/>
  <c r="D43" i="1"/>
  <c r="B37" i="1"/>
  <c r="B33" i="1"/>
  <c r="B45" i="1"/>
  <c r="C36" i="1"/>
  <c r="D37" i="1"/>
  <c r="D15" i="1"/>
  <c r="B44" i="1"/>
  <c r="B43" i="1"/>
  <c r="C55" i="1"/>
  <c r="D56" i="1"/>
  <c r="B21" i="1"/>
  <c r="B19" i="1"/>
  <c r="B27" i="1"/>
  <c r="C57" i="1"/>
  <c r="D58" i="1"/>
  <c r="C50" i="1"/>
  <c r="D51" i="1"/>
  <c r="C11" i="1"/>
  <c r="D12" i="1"/>
  <c r="B28" i="1"/>
  <c r="C44" i="1"/>
  <c r="D45" i="1"/>
  <c r="C13" i="1"/>
  <c r="D14" i="1"/>
  <c r="B36" i="1"/>
  <c r="B13" i="1"/>
  <c r="B22" i="1"/>
  <c r="B58" i="1"/>
  <c r="B25" i="1"/>
  <c r="B23" i="1"/>
  <c r="B35" i="1"/>
  <c r="D59" i="1"/>
  <c r="C19" i="1"/>
  <c r="B17" i="1"/>
  <c r="C52" i="1"/>
  <c r="D53" i="1"/>
  <c r="B18" i="1"/>
  <c r="C16" i="1"/>
  <c r="D17" i="1"/>
  <c r="B60" i="1"/>
  <c r="D10" i="1"/>
  <c r="B29" i="1"/>
  <c r="C38" i="1"/>
  <c r="D30" i="1"/>
  <c r="B46" i="1"/>
  <c r="C24" i="1"/>
  <c r="D25" i="1"/>
  <c r="D18" i="1"/>
  <c r="B55" i="1"/>
  <c r="B24" i="1"/>
  <c r="D23" i="1"/>
  <c r="B38" i="1"/>
  <c r="D26" i="1"/>
  <c r="U164" i="1"/>
  <c r="H9" i="1" s="1"/>
  <c r="K9" i="1"/>
  <c r="A9" i="1" s="1"/>
  <c r="D9" i="1" s="1"/>
  <c r="AT34" i="4"/>
  <c r="AS34" i="4"/>
  <c r="AP34" i="4"/>
  <c r="AV34" i="4" s="1"/>
  <c r="AX34" i="4" s="1"/>
  <c r="AO34" i="4"/>
  <c r="AR34" i="4" s="1"/>
  <c r="AJ34" i="4"/>
  <c r="C9" i="1" l="1"/>
  <c r="B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Z10" i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M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K103" i="1" l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R9" i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4" i="1" l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18" i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25" i="1" l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IV50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18" i="1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U34" i="1" l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<sst xmlns="http://schemas.openxmlformats.org/spreadsheetml/2006/main" count="971" uniqueCount="404">
  <si>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</si>
  <si>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</si>
  <si>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</si>
  <si>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</si>
  <si>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</si>
  <si>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</si>
  <si>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</si>
  <si>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</si>
  <si>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</si>
  <si>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</si>
  <si>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</si>
  <si>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</si>
  <si>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</si>
  <si>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</si>
  <si>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</si>
  <si>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</si>
  <si>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</si>
  <si>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</si>
  <si>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</si>
  <si>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</si>
  <si>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</si>
  <si>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</si>
  <si>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</si>
  <si>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</si>
  <si>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</si>
  <si>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</si>
  <si>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</si>
  <si>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</si>
  <si>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</si>
  <si>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</si>
  <si>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</si>
  <si>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</si>
  <si>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</si>
  <si>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</si>
  <si>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</si>
  <si>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</si>
  <si>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</si>
  <si>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</si>
  <si>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</si>
  <si>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</si>
  <si>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</si>
  <si>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</si>
  <si>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</si>
  <si>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</si>
  <si>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</si>
  <si>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</si>
  <si>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</si>
  <si>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</si>
  <si>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</si>
  <si>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</si>
  <si>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</si>
  <si>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</si>
  <si>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</si>
  <si>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</si>
  <si>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</si>
  <si>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</si>
  <si>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</si>
  <si>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</si>
  <si>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</si>
  <si>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</si>
  <si>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</si>
  <si>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</si>
  <si>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</si>
  <si>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</si>
  <si>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</si>
  <si>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</si>
  <si>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</si>
  <si>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</si>
  <si>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</si>
  <si>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</si>
  <si>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</si>
  <si>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</si>
  <si>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</si>
  <si>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</si>
  <si>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</si>
  <si>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</si>
  <si>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</si>
  <si>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</si>
  <si>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</si>
  <si>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</si>
  <si>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</si>
  <si>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</si>
  <si>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</si>
  <si>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</si>
  <si>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</si>
  <si>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</si>
  <si>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</si>
  <si>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</si>
  <si>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</si>
  <si>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</si>
  <si>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</si>
  <si>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</si>
  <si>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</si>
  <si>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</si>
  <si>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</si>
  <si>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</si>
  <si>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</si>
  <si>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</si>
  <si>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</si>
  <si>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</si>
  <si>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</si>
  <si>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</si>
  <si>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</si>
  <si>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</si>
  <si>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</si>
  <si>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</si>
  <si>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</si>
  <si>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</si>
  <si>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</si>
  <si>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</si>
  <si>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</si>
  <si>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</si>
  <si>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</si>
  <si>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</si>
  <si>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</si>
  <si>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</si>
  <si>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</si>
  <si>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</si>
  <si>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</si>
  <si>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</si>
  <si>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</si>
  <si>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</si>
  <si>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</si>
  <si>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</si>
  <si>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</si>
  <si>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</si>
  <si>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</si>
  <si>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</si>
  <si>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</si>
  <si>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</si>
  <si>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</si>
  <si>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</si>
  <si>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</si>
  <si>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</si>
  <si>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</si>
  <si>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</si>
  <si>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</si>
  <si>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</si>
  <si>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</si>
  <si>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</si>
  <si>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</si>
  <si>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</si>
  <si>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</si>
  <si>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</si>
  <si>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</si>
  <si>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</si>
  <si>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</si>
  <si>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</si>
  <si>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</si>
  <si>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</si>
  <si>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</si>
  <si>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</si>
  <si>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</si>
  <si>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</si>
  <si>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</si>
  <si>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</si>
  <si>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</si>
  <si>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</si>
  <si>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</si>
  <si>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</si>
  <si>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</si>
  <si>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</si>
  <si>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</si>
  <si>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</si>
  <si>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</si>
  <si>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</si>
  <si>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</si>
  <si>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</si>
  <si>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</si>
  <si>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</si>
  <si>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</si>
  <si>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</si>
  <si>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</si>
  <si>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</si>
  <si>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</si>
  <si>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</si>
  <si>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</si>
  <si>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</si>
  <si>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</si>
  <si>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</si>
  <si>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</si>
  <si>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</si>
  <si>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</si>
  <si>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</si>
  <si>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</si>
  <si>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</si>
  <si>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</si>
  <si>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</si>
  <si>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</si>
  <si>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</si>
  <si>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</si>
  <si>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</si>
  <si>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</si>
  <si>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</si>
  <si>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</si>
  <si>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</si>
  <si>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</si>
  <si>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</si>
  <si>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</si>
  <si>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</si>
  <si>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</si>
  <si>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</si>
  <si>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</si>
  <si>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</si>
  <si>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</si>
  <si>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</si>
  <si>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</si>
  <si>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</si>
  <si>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</si>
  <si>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</si>
  <si>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</si>
  <si>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</si>
  <si>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</si>
  <si>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</si>
  <si>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</si>
  <si>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</si>
  <si>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</si>
  <si>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</si>
  <si>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</si>
  <si>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</si>
  <si>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</si>
  <si>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</si>
  <si>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</si>
  <si>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</si>
  <si>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</si>
  <si>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</si>
  <si>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</si>
  <si>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</si>
  <si>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</si>
  <si>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</si>
  <si>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</si>
  <si>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</si>
  <si>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</si>
  <si>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</si>
  <si>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</si>
  <si>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</si>
  <si>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</si>
  <si>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</si>
  <si>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</si>
  <si>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</si>
  <si>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</si>
  <si>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</si>
  <si>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</si>
  <si>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</si>
  <si>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</si>
  <si>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</si>
  <si>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</si>
  <si>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</si>
  <si>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</si>
  <si>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</si>
  <si>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</si>
  <si>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</si>
  <si>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</si>
  <si>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</si>
  <si>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</si>
  <si>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</si>
  <si>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</si>
  <si>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</si>
  <si>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</si>
  <si>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</si>
  <si>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</si>
  <si>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</si>
  <si>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</si>
  <si>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</si>
  <si>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</si>
  <si>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</si>
  <si>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</si>
  <si>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</si>
  <si>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</si>
  <si>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</si>
  <si>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</si>
  <si>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</si>
  <si>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</si>
  <si>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</si>
  <si>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</si>
  <si>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</si>
  <si>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</si>
  <si>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</si>
  <si>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</si>
  <si>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</si>
  <si>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</si>
  <si>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</si>
  <si>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</si>
  <si>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</si>
  <si>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</si>
  <si>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</si>
  <si>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</si>
  <si>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</si>
  <si>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</si>
  <si>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</si>
  <si>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</si>
  <si>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</si>
  <si>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</si>
  <si>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</si>
  <si>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</si>
  <si>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</si>
  <si>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</si>
  <si>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</si>
  <si>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</si>
  <si>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</si>
  <si>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</si>
  <si>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</si>
  <si>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</si>
  <si>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</si>
  <si>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</si>
  <si>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</si>
  <si>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</si>
  <si>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</si>
  <si>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</si>
  <si>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</si>
  <si>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</si>
  <si>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</si>
  <si>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</si>
  <si>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</si>
  <si>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</si>
  <si>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</si>
  <si>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</si>
  <si>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</si>
  <si>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</si>
  <si>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</si>
  <si>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</si>
  <si>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</si>
  <si>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</si>
  <si>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</si>
  <si>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</si>
  <si>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</si>
  <si>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</si>
  <si>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</si>
  <si>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</si>
  <si>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</si>
  <si>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</si>
  <si>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</si>
  <si>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</si>
  <si>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</si>
  <si>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</si>
  <si>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</si>
  <si>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</si>
  <si>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</si>
  <si>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</si>
  <si>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</si>
  <si>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</si>
  <si>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</si>
  <si>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</si>
  <si>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</si>
  <si>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</si>
  <si>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</si>
  <si>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</si>
  <si>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</si>
  <si>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</si>
  <si>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</si>
  <si>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</si>
  <si>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</si>
  <si>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</si>
  <si>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</si>
  <si>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</si>
  <si>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</si>
  <si>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</si>
  <si>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</si>
  <si>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</si>
  <si>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</si>
  <si>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</si>
  <si>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</si>
  <si>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</si>
  <si>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</si>
  <si>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</si>
  <si>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</si>
  <si>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</si>
  <si>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</si>
  <si>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</si>
  <si>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</si>
  <si>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</si>
  <si>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</si>
  <si>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</si>
  <si>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</si>
  <si>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</si>
  <si>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</si>
  <si>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</si>
  <si>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</si>
  <si>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</si>
  <si>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</si>
  <si>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</si>
  <si>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</si>
  <si>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</si>
  <si>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</si>
  <si>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Circle_plane</t>
  </si>
  <si>
    <t>-meas-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</si>
  <si>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</si>
  <si>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</si>
  <si>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</si>
  <si>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</si>
  <si>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</si>
  <si>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</si>
  <si>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</si>
  <si>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</si>
  <si>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</si>
  <si>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</si>
  <si>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</si>
  <si>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</si>
  <si>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</si>
  <si>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</si>
  <si>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</si>
  <si>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</si>
  <si>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</si>
  <si>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6513r0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</si>
</sst>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14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A3"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97" t="s">
        <v>77</v>
      </c>
      <c r="D1" s="997"/>
      <c r="E1" s="997"/>
      <c r="F1" s="997"/>
      <c r="G1" s="997"/>
      <c r="H1" s="997"/>
      <c r="I1" s="997"/>
      <c r="J1" s="997"/>
      <c r="K1" s="997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84" t="s">
        <v>80</v>
      </c>
      <c r="B6" s="98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3" t="s">
        <v>370</v>
      </c>
      <c r="AQ7" s="983"/>
      <c r="AR7" s="983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9">
        <v>9</v>
      </c>
      <c r="D9" s="959"/>
      <c r="E9" s="959"/>
      <c r="F9" s="959"/>
      <c r="G9" s="959"/>
      <c r="H9" s="959"/>
      <c r="I9" s="959"/>
      <c r="J9" s="959"/>
      <c r="K9" s="99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78"/>
      <c r="C10" s="979"/>
      <c r="D10" s="979"/>
      <c r="E10" s="979"/>
      <c r="F10" s="979"/>
      <c r="G10" s="97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5"/>
      <c r="B11" s="985" t="s">
        <v>33</v>
      </c>
      <c r="C11" s="994" t="s">
        <v>34</v>
      </c>
      <c r="D11" s="994"/>
      <c r="E11" s="991" t="s">
        <v>39</v>
      </c>
      <c r="F11" s="985" t="s">
        <v>35</v>
      </c>
      <c r="G11" s="985" t="s">
        <v>36</v>
      </c>
      <c r="H11" s="985" t="s">
        <v>43</v>
      </c>
      <c r="I11" s="992" t="s">
        <v>67</v>
      </c>
      <c r="J11" s="994" t="s">
        <v>56</v>
      </c>
      <c r="K11" s="994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58" t="s">
        <v>338</v>
      </c>
      <c r="AN11" s="959"/>
      <c r="AO11" s="959"/>
      <c r="AP11" s="959"/>
      <c r="AQ11" s="959"/>
      <c r="AR11" s="960"/>
      <c r="AS11" s="969" t="s">
        <v>345</v>
      </c>
      <c r="AT11" s="970"/>
      <c r="AU11" s="970"/>
      <c r="AV11" s="971"/>
      <c r="BC11" s="419"/>
    </row>
    <row r="12" spans="1:55" ht="15.75" thickBot="1" x14ac:dyDescent="0.3">
      <c r="A12" s="996"/>
      <c r="B12" s="986"/>
      <c r="C12" s="48" t="s">
        <v>8</v>
      </c>
      <c r="D12" s="49" t="s">
        <v>10</v>
      </c>
      <c r="E12" s="986"/>
      <c r="F12" s="986"/>
      <c r="G12" s="986"/>
      <c r="H12" s="986"/>
      <c r="I12" s="993"/>
      <c r="J12" s="52" t="s">
        <v>8</v>
      </c>
      <c r="K12" s="53" t="s">
        <v>10</v>
      </c>
      <c r="M12" s="31"/>
      <c r="N12" s="31"/>
      <c r="O12" s="1006" t="s">
        <v>46</v>
      </c>
      <c r="P12" s="1007"/>
      <c r="Q12" s="987" t="s">
        <v>45</v>
      </c>
      <c r="R12" s="988"/>
      <c r="S12" s="988"/>
      <c r="T12" s="988"/>
      <c r="U12" s="988"/>
      <c r="V12" s="988"/>
      <c r="W12" s="988"/>
      <c r="X12" s="988"/>
      <c r="Y12" s="988"/>
      <c r="Z12" s="988"/>
      <c r="AA12" s="988"/>
      <c r="AB12" s="988"/>
      <c r="AC12" s="988"/>
      <c r="AD12" s="988"/>
      <c r="AE12" s="989"/>
      <c r="AF12" s="1000" t="s">
        <v>56</v>
      </c>
      <c r="AG12" s="1001"/>
      <c r="AH12" s="31"/>
      <c r="AK12" s="964" t="s">
        <v>346</v>
      </c>
      <c r="AL12" s="980"/>
      <c r="AM12" s="961" t="s">
        <v>343</v>
      </c>
      <c r="AN12" s="962"/>
      <c r="AO12" s="963"/>
      <c r="AP12" s="964" t="s">
        <v>371</v>
      </c>
      <c r="AQ12" s="963"/>
      <c r="AR12" s="743" t="s">
        <v>369</v>
      </c>
      <c r="AS12" s="966" t="s">
        <v>343</v>
      </c>
      <c r="AT12" s="963"/>
      <c r="AU12" s="967" t="s">
        <v>344</v>
      </c>
      <c r="AV12" s="968"/>
      <c r="AW12" s="972" t="s">
        <v>342</v>
      </c>
      <c r="AX12" s="973"/>
      <c r="AZ12" s="964" t="s">
        <v>60</v>
      </c>
      <c r="BA12" s="963"/>
      <c r="BC12" s="965" t="s">
        <v>374</v>
      </c>
    </row>
    <row r="13" spans="1:55" ht="15.75" thickBot="1" x14ac:dyDescent="0.3">
      <c r="A13" s="63" t="s">
        <v>57</v>
      </c>
      <c r="B13" s="974" t="s">
        <v>97</v>
      </c>
      <c r="C13" s="976" t="str">
        <f>SUBSTITUTE(ADDRESS(1,COLUMN(Assy.Model!X9),4),"1","")</f>
        <v>X</v>
      </c>
      <c r="D13" s="97" t="str">
        <f>SUBSTITUTE(ADDRESS(1,COLUMN(Assy.Model!Y9),4),"1","")</f>
        <v>Y</v>
      </c>
      <c r="E13" s="981" t="str">
        <f>SUBSTITUTE(ADDRESS(1,COLUMN(Assy.Model!H9),4),"1","")</f>
        <v>H</v>
      </c>
      <c r="F13" s="981" t="str">
        <f>SUBSTITUTE(ADDRESS(1,COLUMN(Assy.Model!AN9),4),"1","")</f>
        <v>AN</v>
      </c>
      <c r="G13" s="981" t="str">
        <f>SUBSTITUTE(ADDRESS(1,COLUMN(Assy.Model!AO9),4),"1","")</f>
        <v>AO</v>
      </c>
      <c r="H13" s="981" t="str">
        <f>SUBSTITUTE(ADDRESS(1,COLUMN(Assy.Model!AO9),4),"1","")</f>
        <v>AO</v>
      </c>
      <c r="I13" s="981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08"/>
      <c r="P13" s="100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65"/>
    </row>
    <row r="14" spans="1:55" x14ac:dyDescent="0.25">
      <c r="A14" s="61" t="s">
        <v>58</v>
      </c>
      <c r="B14" s="975"/>
      <c r="C14" s="977"/>
      <c r="D14" s="98" t="str">
        <f>SUBSTITUTE(ADDRESS(1,COLUMN(Assy.Model!AT9),4),"1","")</f>
        <v>AT</v>
      </c>
      <c r="E14" s="982"/>
      <c r="F14" s="982"/>
      <c r="G14" s="982"/>
      <c r="H14" s="982"/>
      <c r="I14" s="982"/>
      <c r="J14" s="87">
        <v>0</v>
      </c>
      <c r="K14" s="88">
        <v>0</v>
      </c>
      <c r="L14" s="31"/>
      <c r="M14" s="185">
        <v>6.25E-2</v>
      </c>
      <c r="N14" s="31">
        <v>32</v>
      </c>
      <c r="O14" s="1004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04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04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04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04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04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05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9" t="s">
        <v>64</v>
      </c>
      <c r="C21" s="959"/>
      <c r="D21" s="959"/>
      <c r="E21" s="959"/>
      <c r="F21" s="990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5"/>
      <c r="C22" s="989" t="s">
        <v>63</v>
      </c>
      <c r="D22" s="990"/>
      <c r="E22" s="992" t="s">
        <v>60</v>
      </c>
      <c r="F22" s="992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10"/>
      <c r="C23" s="56" t="s">
        <v>8</v>
      </c>
      <c r="D23" s="56" t="s">
        <v>9</v>
      </c>
      <c r="E23" s="993"/>
      <c r="F23" s="993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02">
        <v>0</v>
      </c>
      <c r="E24" s="1002">
        <v>2</v>
      </c>
      <c r="F24" s="1002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8.75</v>
      </c>
      <c r="D25" s="1003"/>
      <c r="E25" s="1003"/>
      <c r="F25" s="1003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98" t="s">
        <v>302</v>
      </c>
      <c r="C27" s="998"/>
      <c r="D27" s="998"/>
      <c r="E27" s="998"/>
      <c r="F27" s="998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99" t="s">
        <v>403</v>
      </c>
      <c r="C28" s="999"/>
      <c r="D28" s="999"/>
      <c r="E28" s="999"/>
      <c r="F28" s="999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59" t="s">
        <v>95</v>
      </c>
      <c r="D3" s="959"/>
      <c r="E3" s="959"/>
      <c r="F3" s="959"/>
      <c r="G3" s="959"/>
      <c r="H3" s="959"/>
      <c r="I3" s="959"/>
      <c r="J3" s="959"/>
      <c r="K3" s="960"/>
      <c r="L3" s="1016"/>
      <c r="M3" s="959"/>
      <c r="N3" s="959"/>
      <c r="O3" s="959"/>
      <c r="P3" s="959"/>
      <c r="Q3" s="959"/>
      <c r="R3" s="99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8" t="s">
        <v>86</v>
      </c>
      <c r="C4" s="1055" t="s">
        <v>82</v>
      </c>
      <c r="D4" s="959" t="s">
        <v>83</v>
      </c>
      <c r="E4" s="959"/>
      <c r="F4" s="959"/>
      <c r="G4" s="959"/>
      <c r="H4" s="959"/>
      <c r="I4" s="959"/>
      <c r="J4" s="959"/>
      <c r="K4" s="959"/>
      <c r="L4" s="146" t="s">
        <v>91</v>
      </c>
      <c r="M4" s="989" t="s">
        <v>94</v>
      </c>
      <c r="N4" s="959"/>
      <c r="O4" s="959"/>
      <c r="P4" s="960"/>
      <c r="Q4" s="959" t="s">
        <v>52</v>
      </c>
      <c r="R4" s="990"/>
      <c r="S4" s="103"/>
      <c r="T4" s="989">
        <v>350</v>
      </c>
      <c r="U4" s="959"/>
      <c r="V4" s="959" t="s">
        <v>76</v>
      </c>
      <c r="W4" s="95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9"/>
      <c r="C5" s="1056"/>
      <c r="D5" s="1044" t="s">
        <v>85</v>
      </c>
      <c r="E5" s="1058" t="s">
        <v>89</v>
      </c>
      <c r="F5" s="994" t="s">
        <v>34</v>
      </c>
      <c r="G5" s="994"/>
      <c r="H5" s="991" t="s">
        <v>39</v>
      </c>
      <c r="I5" s="985" t="s">
        <v>35</v>
      </c>
      <c r="J5" s="985" t="s">
        <v>36</v>
      </c>
      <c r="K5" s="1028" t="s">
        <v>67</v>
      </c>
      <c r="L5" s="147" t="s">
        <v>92</v>
      </c>
      <c r="M5" s="992" t="s">
        <v>90</v>
      </c>
      <c r="N5" s="992" t="s">
        <v>47</v>
      </c>
      <c r="O5" s="1011" t="s">
        <v>84</v>
      </c>
      <c r="P5" s="1012"/>
      <c r="Q5" s="1013" t="s">
        <v>84</v>
      </c>
      <c r="R5" s="1014"/>
      <c r="S5" s="103"/>
      <c r="T5" s="1006" t="s">
        <v>46</v>
      </c>
      <c r="U5" s="1017"/>
      <c r="V5" s="973" t="s">
        <v>45</v>
      </c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31"/>
      <c r="AL5" s="31"/>
    </row>
    <row r="6" spans="2:38" ht="15" customHeight="1" thickBot="1" x14ac:dyDescent="0.3">
      <c r="B6" s="1040"/>
      <c r="C6" s="1057"/>
      <c r="D6" s="1045"/>
      <c r="E6" s="1059"/>
      <c r="F6" s="104" t="s">
        <v>8</v>
      </c>
      <c r="G6" s="105" t="s">
        <v>10</v>
      </c>
      <c r="H6" s="1029"/>
      <c r="I6" s="1029"/>
      <c r="J6" s="1029"/>
      <c r="K6" s="1018"/>
      <c r="L6" s="148" t="s">
        <v>93</v>
      </c>
      <c r="M6" s="1015"/>
      <c r="N6" s="101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18"/>
      <c r="U6" s="101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6">
        <f>ROW(Assy.Model!B9)</f>
        <v>9</v>
      </c>
      <c r="D7" s="1035" t="str">
        <f>SUBSTITUTE(ADDRESS(1,COLUMN(Assy.Model!B9),4),"1","")</f>
        <v>B</v>
      </c>
      <c r="E7" s="1049" t="str">
        <f>SUBSTITUTE(ADDRESS(1,COLUMN(Assy.Model!M9),4),"1","")</f>
        <v>M</v>
      </c>
      <c r="F7" s="1052" t="str">
        <f>SUBSTITUTE(ADDRESS(1,COLUMN(Assy.Model!X9),4),"1","")</f>
        <v>X</v>
      </c>
      <c r="G7" s="1041" t="str">
        <f>SUBSTITUTE(ADDRESS(1,COLUMN(Assy.Model!AT9),4),"1","")</f>
        <v>AT</v>
      </c>
      <c r="H7" s="1020" t="str">
        <f>SUBSTITUTE(ADDRESS(1,COLUMN(Assy.Model!H9),4),"1","")</f>
        <v>H</v>
      </c>
      <c r="I7" s="1020" t="str">
        <f>SUBSTITUTE(ADDRESS(1,COLUMN(Assy.Model!AN9),4),"1","")</f>
        <v>AN</v>
      </c>
      <c r="J7" s="1020" t="str">
        <f>SUBSTITUTE(ADDRESS(1,COLUMN(Assy.Model!AO9),4),"1","")</f>
        <v>AO</v>
      </c>
      <c r="K7" s="1023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0" t="s">
        <v>81</v>
      </c>
      <c r="C8" s="1047"/>
      <c r="D8" s="1036"/>
      <c r="E8" s="1050"/>
      <c r="F8" s="1053"/>
      <c r="G8" s="1042"/>
      <c r="H8" s="1021"/>
      <c r="I8" s="1021"/>
      <c r="J8" s="1021"/>
      <c r="K8" s="1024"/>
      <c r="L8" s="149" t="s">
        <v>93</v>
      </c>
      <c r="M8" s="1026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0"/>
      <c r="C9" s="1047"/>
      <c r="D9" s="1036"/>
      <c r="E9" s="1050"/>
      <c r="F9" s="1053"/>
      <c r="G9" s="1042"/>
      <c r="H9" s="1021"/>
      <c r="I9" s="1021"/>
      <c r="J9" s="1021"/>
      <c r="K9" s="1024"/>
      <c r="L9" s="149" t="s">
        <v>92</v>
      </c>
      <c r="M9" s="1026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0"/>
      <c r="C10" s="1047"/>
      <c r="D10" s="1036"/>
      <c r="E10" s="1050"/>
      <c r="F10" s="1053"/>
      <c r="G10" s="1042"/>
      <c r="H10" s="1021"/>
      <c r="I10" s="1021"/>
      <c r="J10" s="1021"/>
      <c r="K10" s="1024"/>
      <c r="L10" s="149" t="s">
        <v>92</v>
      </c>
      <c r="M10" s="1026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0"/>
      <c r="C11" s="1047"/>
      <c r="D11" s="1036"/>
      <c r="E11" s="1050"/>
      <c r="F11" s="1053"/>
      <c r="G11" s="1042"/>
      <c r="H11" s="1021"/>
      <c r="I11" s="1021"/>
      <c r="J11" s="1021"/>
      <c r="K11" s="1024"/>
      <c r="L11" s="149" t="s">
        <v>92</v>
      </c>
      <c r="M11" s="1026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0"/>
      <c r="C12" s="1047"/>
      <c r="D12" s="1036"/>
      <c r="E12" s="1050"/>
      <c r="F12" s="1053"/>
      <c r="G12" s="1042"/>
      <c r="H12" s="1021"/>
      <c r="I12" s="1021"/>
      <c r="J12" s="1021"/>
      <c r="K12" s="1024"/>
      <c r="L12" s="149" t="s">
        <v>92</v>
      </c>
      <c r="M12" s="1026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0"/>
      <c r="C13" s="1047"/>
      <c r="D13" s="1036"/>
      <c r="E13" s="1050"/>
      <c r="F13" s="1053"/>
      <c r="G13" s="1042"/>
      <c r="H13" s="1021"/>
      <c r="I13" s="1021"/>
      <c r="J13" s="1021"/>
      <c r="K13" s="1024"/>
      <c r="L13" s="149" t="s">
        <v>92</v>
      </c>
      <c r="M13" s="1026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1"/>
      <c r="C14" s="1048"/>
      <c r="D14" s="1037"/>
      <c r="E14" s="1051"/>
      <c r="F14" s="1054"/>
      <c r="G14" s="1043"/>
      <c r="H14" s="1022"/>
      <c r="I14" s="1022"/>
      <c r="J14" s="1022"/>
      <c r="K14" s="1025"/>
      <c r="L14" s="150" t="s">
        <v>93</v>
      </c>
      <c r="M14" s="1027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87" t="str">
        <f>CONCATENATE(Settings!$C$19," ",Settings!$B$28)</f>
        <v>17.5 6513r0</v>
      </c>
      <c r="D1" s="1287"/>
      <c r="E1" s="1287"/>
      <c r="F1" s="1287"/>
      <c r="G1" s="1287"/>
      <c r="H1" s="1287"/>
      <c r="I1" s="1287"/>
      <c r="J1" s="1287"/>
      <c r="K1" s="1287"/>
      <c r="L1" s="709"/>
      <c r="M1" s="419"/>
      <c r="N1" s="957"/>
      <c r="O1" s="957"/>
      <c r="P1" s="957"/>
      <c r="Q1" s="82"/>
      <c r="R1" s="82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065" t="s">
        <v>306</v>
      </c>
      <c r="C2" s="1292"/>
      <c r="D2" s="1292"/>
      <c r="E2" s="1292"/>
      <c r="F2" s="1292"/>
      <c r="G2" s="1292"/>
      <c r="H2" s="1292"/>
      <c r="I2" s="1292"/>
      <c r="J2" s="1292"/>
      <c r="K2" s="1293"/>
      <c r="L2" s="1136" t="str" cm="1">
        <f t="array" ref="L2">IF(OR($K$9:$K$150="Undefined"),"Undefined Element","")</f>
        <v/>
      </c>
      <c r="M2" s="1302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44" t="s">
        <v>0</v>
      </c>
      <c r="AW2" s="1251" t="s">
        <v>109</v>
      </c>
      <c r="AX2" s="1252"/>
      <c r="AY2" s="1252"/>
      <c r="AZ2" s="1252"/>
      <c r="BA2" s="1252"/>
      <c r="BB2" s="1252"/>
      <c r="BC2" s="1252"/>
      <c r="BD2" s="1252"/>
      <c r="BE2" s="1253"/>
      <c r="BF2" s="1263" t="s">
        <v>115</v>
      </c>
      <c r="BG2" s="1252"/>
      <c r="BH2" s="1252"/>
      <c r="BI2" s="1252"/>
      <c r="BJ2" s="1252"/>
      <c r="BK2" s="1252"/>
      <c r="BL2" s="1252"/>
      <c r="BM2" s="1252"/>
      <c r="BN2" s="1252"/>
      <c r="BO2" s="1252"/>
      <c r="BP2" s="1252"/>
      <c r="BQ2" s="1252"/>
      <c r="BR2" s="1252"/>
      <c r="BS2" s="1252"/>
      <c r="BT2" s="1252"/>
      <c r="BU2" s="1252"/>
      <c r="BV2" s="1252"/>
      <c r="BW2" s="1252"/>
      <c r="BX2" s="1252"/>
      <c r="BY2" s="1252"/>
      <c r="BZ2" s="1252"/>
      <c r="CA2" s="1252"/>
      <c r="CB2" s="1252"/>
      <c r="CC2" s="1252"/>
      <c r="CD2" s="1252"/>
      <c r="CE2" s="1252"/>
      <c r="CF2" s="1252"/>
      <c r="CG2" s="1252"/>
      <c r="CH2" s="1252"/>
      <c r="CI2" s="1252"/>
      <c r="CJ2" s="1252"/>
      <c r="CK2" s="1252"/>
      <c r="CL2" s="1252"/>
      <c r="CM2" s="1252"/>
      <c r="CN2" s="1252"/>
      <c r="CO2" s="1252"/>
      <c r="CP2" s="1252"/>
      <c r="CQ2" s="1252"/>
      <c r="CR2" s="1252"/>
      <c r="CS2" s="1252"/>
      <c r="CT2" s="1252"/>
      <c r="CU2" s="1252"/>
      <c r="CV2" s="1252"/>
      <c r="CW2" s="1252"/>
      <c r="CX2" s="1252"/>
      <c r="CY2" s="1252"/>
      <c r="CZ2" s="1252"/>
      <c r="DA2" s="1252"/>
      <c r="DB2" s="1252"/>
      <c r="DC2" s="1252"/>
      <c r="DD2" s="1252"/>
      <c r="DE2" s="1252"/>
      <c r="DF2" s="1252"/>
      <c r="DG2" s="1252"/>
      <c r="DH2" s="1252"/>
      <c r="DI2" s="1252"/>
      <c r="DJ2" s="1252"/>
      <c r="DK2" s="1252"/>
      <c r="DL2" s="1252"/>
      <c r="DM2" s="1252"/>
      <c r="DN2" s="1252"/>
      <c r="DO2" s="1252"/>
      <c r="DP2" s="1252"/>
      <c r="DQ2" s="1252"/>
      <c r="DR2" s="1252"/>
      <c r="DS2" s="1252"/>
      <c r="DT2" s="1252"/>
      <c r="DU2" s="1252"/>
      <c r="DV2" s="1252"/>
      <c r="DW2" s="1252"/>
      <c r="DX2" s="1252"/>
      <c r="DY2" s="1252"/>
      <c r="DZ2" s="1252"/>
      <c r="EA2" s="1252"/>
      <c r="EB2" s="1252"/>
      <c r="EC2" s="1252"/>
      <c r="ED2" s="1252"/>
      <c r="EE2" s="1252"/>
      <c r="EF2" s="1252"/>
      <c r="EG2" s="1252"/>
      <c r="EH2" s="1252"/>
      <c r="EI2" s="1252"/>
      <c r="EJ2" s="1252"/>
      <c r="EK2" s="1252"/>
      <c r="EL2" s="1252"/>
      <c r="EM2" s="1252"/>
      <c r="EN2" s="1252"/>
      <c r="EO2" s="1252"/>
      <c r="EP2" s="1252"/>
      <c r="EQ2" s="1252"/>
      <c r="ER2" s="1264"/>
      <c r="ES2" s="1116" t="s">
        <v>196</v>
      </c>
      <c r="ET2" s="1117"/>
      <c r="EU2" s="1117"/>
      <c r="EV2" s="1117"/>
      <c r="EW2" s="1117"/>
      <c r="EX2" s="1117"/>
      <c r="EY2" s="1117"/>
      <c r="EZ2" s="1117"/>
      <c r="FA2" s="1117"/>
      <c r="FB2" s="1117"/>
      <c r="FC2" s="1117"/>
      <c r="FD2" s="1117"/>
      <c r="FE2" s="1117"/>
      <c r="FF2" s="1118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398</v>
      </c>
      <c r="HU2" s="852"/>
      <c r="HV2" s="871"/>
      <c r="HW2" s="1082" t="str">
        <f>IFERROR(CONCATENATE("Sum of Lateral Forces = ",ROUND(HE3,0)," lbs @ ",ROUND(HF3,1),"° Relative to Blade 1"),"")</f>
        <v/>
      </c>
      <c r="HX2" s="1082"/>
      <c r="HY2" s="1082"/>
      <c r="HZ2" s="1082"/>
      <c r="IA2" s="1082"/>
      <c r="IB2" s="1082"/>
      <c r="IC2" s="1082"/>
      <c r="ID2" s="1082"/>
      <c r="IE2" s="1082"/>
      <c r="IF2" s="860"/>
      <c r="IN2" s="31"/>
      <c r="IO2" s="323"/>
      <c r="JC2" s="82"/>
      <c r="JD2" s="82"/>
      <c r="JE2" s="82"/>
    </row>
    <row r="3" spans="1:285" ht="15" customHeight="1" x14ac:dyDescent="0.25">
      <c r="B3" s="1294"/>
      <c r="C3" s="1295"/>
      <c r="D3" s="1295"/>
      <c r="E3" s="1295"/>
      <c r="F3" s="1295"/>
      <c r="G3" s="1295"/>
      <c r="H3" s="1295"/>
      <c r="I3" s="1295"/>
      <c r="J3" s="1295"/>
      <c r="K3" s="1296"/>
      <c r="L3" s="1136"/>
      <c r="M3" s="1294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254"/>
      <c r="AA3" s="1255"/>
      <c r="AB3" s="1255"/>
      <c r="AC3" s="1255"/>
      <c r="AD3" s="1255"/>
      <c r="AE3" s="1255"/>
      <c r="AF3" s="1255"/>
      <c r="AG3" s="1255"/>
      <c r="AH3" s="1255"/>
      <c r="AI3" s="1255"/>
      <c r="AJ3" s="1255"/>
      <c r="AK3" s="1255"/>
      <c r="AL3" s="1255"/>
      <c r="AM3" s="1255"/>
      <c r="AN3" s="1255"/>
      <c r="AO3" s="1255"/>
      <c r="AP3" s="1255"/>
      <c r="AQ3" s="1256"/>
      <c r="AS3" s="415">
        <v>100</v>
      </c>
      <c r="AT3" s="412" t="s">
        <v>45</v>
      </c>
      <c r="AV3" s="1345"/>
      <c r="AW3" s="1119"/>
      <c r="AX3" s="1120"/>
      <c r="AY3" s="1120"/>
      <c r="AZ3" s="1120"/>
      <c r="BA3" s="1120"/>
      <c r="BB3" s="1120"/>
      <c r="BC3" s="1120"/>
      <c r="BD3" s="1120"/>
      <c r="BE3" s="1272"/>
      <c r="BF3" s="1265"/>
      <c r="BG3" s="1120"/>
      <c r="BH3" s="1120"/>
      <c r="BI3" s="1120"/>
      <c r="BJ3" s="1120"/>
      <c r="BK3" s="1120"/>
      <c r="BL3" s="1120"/>
      <c r="BM3" s="1120"/>
      <c r="BN3" s="1120"/>
      <c r="BO3" s="1120"/>
      <c r="BP3" s="1120"/>
      <c r="BQ3" s="1120"/>
      <c r="BR3" s="1120"/>
      <c r="BS3" s="1120"/>
      <c r="BT3" s="1120"/>
      <c r="BU3" s="1120"/>
      <c r="BV3" s="1120"/>
      <c r="BW3" s="1120"/>
      <c r="BX3" s="1120"/>
      <c r="BY3" s="1120"/>
      <c r="BZ3" s="1120"/>
      <c r="CA3" s="1120"/>
      <c r="CB3" s="1120"/>
      <c r="CC3" s="1120"/>
      <c r="CD3" s="1120"/>
      <c r="CE3" s="1120"/>
      <c r="CF3" s="1120"/>
      <c r="CG3" s="1120"/>
      <c r="CH3" s="1120"/>
      <c r="CI3" s="1120"/>
      <c r="CJ3" s="1120"/>
      <c r="CK3" s="1120"/>
      <c r="CL3" s="1120"/>
      <c r="CM3" s="1120"/>
      <c r="CN3" s="1120"/>
      <c r="CO3" s="1120"/>
      <c r="CP3" s="1120"/>
      <c r="CQ3" s="1120"/>
      <c r="CR3" s="1120"/>
      <c r="CS3" s="1120"/>
      <c r="CT3" s="1120"/>
      <c r="CU3" s="1120"/>
      <c r="CV3" s="1120"/>
      <c r="CW3" s="1120"/>
      <c r="CX3" s="1120"/>
      <c r="CY3" s="1120"/>
      <c r="CZ3" s="1120"/>
      <c r="DA3" s="1120"/>
      <c r="DB3" s="1120"/>
      <c r="DC3" s="1120"/>
      <c r="DD3" s="1120"/>
      <c r="DE3" s="1120"/>
      <c r="DF3" s="1120"/>
      <c r="DG3" s="1120"/>
      <c r="DH3" s="1120"/>
      <c r="DI3" s="1120"/>
      <c r="DJ3" s="1120"/>
      <c r="DK3" s="1120"/>
      <c r="DL3" s="1120"/>
      <c r="DM3" s="1120"/>
      <c r="DN3" s="1120"/>
      <c r="DO3" s="1120"/>
      <c r="DP3" s="1120"/>
      <c r="DQ3" s="1120"/>
      <c r="DR3" s="1120"/>
      <c r="DS3" s="1120"/>
      <c r="DT3" s="1120"/>
      <c r="DU3" s="1120"/>
      <c r="DV3" s="1120"/>
      <c r="DW3" s="1120"/>
      <c r="DX3" s="1120"/>
      <c r="DY3" s="1120"/>
      <c r="DZ3" s="1120"/>
      <c r="EA3" s="1120"/>
      <c r="EB3" s="1120"/>
      <c r="EC3" s="1120"/>
      <c r="ED3" s="1120"/>
      <c r="EE3" s="1120"/>
      <c r="EF3" s="1120"/>
      <c r="EG3" s="1120"/>
      <c r="EH3" s="1120"/>
      <c r="EI3" s="1120"/>
      <c r="EJ3" s="1120"/>
      <c r="EK3" s="1120"/>
      <c r="EL3" s="1120"/>
      <c r="EM3" s="1120"/>
      <c r="EN3" s="1120"/>
      <c r="EO3" s="1120"/>
      <c r="EP3" s="1120"/>
      <c r="EQ3" s="1120"/>
      <c r="ER3" s="1121"/>
      <c r="ES3" s="1119"/>
      <c r="ET3" s="1120"/>
      <c r="EU3" s="1120"/>
      <c r="EV3" s="1120"/>
      <c r="EW3" s="1120"/>
      <c r="EX3" s="1120"/>
      <c r="EY3" s="1120"/>
      <c r="EZ3" s="1120"/>
      <c r="FA3" s="1120"/>
      <c r="FB3" s="1120"/>
      <c r="FC3" s="1120"/>
      <c r="FD3" s="1120"/>
      <c r="FE3" s="1120"/>
      <c r="FF3" s="112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B4" s="1297"/>
      <c r="C4" s="1298"/>
      <c r="D4" s="1298"/>
      <c r="E4" s="1298"/>
      <c r="F4" s="1298"/>
      <c r="G4" s="1298"/>
      <c r="H4" s="1298"/>
      <c r="I4" s="1298"/>
      <c r="J4" s="1298"/>
      <c r="K4" s="1299"/>
      <c r="L4" s="1136"/>
      <c r="M4" s="1294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$Q$4</f>
        <v>Polar XY; Cartesian Z</v>
      </c>
      <c r="X4" s="1276"/>
      <c r="Y4" s="1288"/>
      <c r="Z4" s="1304" t="s">
        <v>3</v>
      </c>
      <c r="AA4" s="1301"/>
      <c r="AB4" s="1301"/>
      <c r="AC4" s="1301"/>
      <c r="AD4" s="1301"/>
      <c r="AE4" s="1301"/>
      <c r="AF4" s="1301"/>
      <c r="AG4" s="1341" t="s">
        <v>31</v>
      </c>
      <c r="AH4" s="1301"/>
      <c r="AI4" s="1301"/>
      <c r="AJ4" s="1319"/>
      <c r="AK4" s="1257" t="s">
        <v>32</v>
      </c>
      <c r="AL4" s="1258"/>
      <c r="AM4" s="1258"/>
      <c r="AN4" s="1258"/>
      <c r="AO4" s="1258"/>
      <c r="AP4" s="1258"/>
      <c r="AQ4" s="1259"/>
      <c r="AS4" s="416">
        <v>125</v>
      </c>
      <c r="AT4" s="413" t="s">
        <v>46</v>
      </c>
      <c r="AV4" s="1345"/>
      <c r="AW4" s="1196" t="s">
        <v>112</v>
      </c>
      <c r="AX4" s="1152"/>
      <c r="AY4" s="1007"/>
      <c r="AZ4" s="1270"/>
      <c r="BA4" s="1271"/>
      <c r="BB4" s="1273" t="s">
        <v>113</v>
      </c>
      <c r="BC4" s="1276" t="str">
        <f>$Q$4</f>
        <v>Polar XY; Cartesian Z</v>
      </c>
      <c r="BD4" s="1276"/>
      <c r="BE4" s="1277"/>
      <c r="BF4" s="1229" t="s">
        <v>129</v>
      </c>
      <c r="BG4" s="1230"/>
      <c r="BH4" s="1230"/>
      <c r="BI4" s="1230"/>
      <c r="BJ4" s="1230"/>
      <c r="BK4" s="1230"/>
      <c r="BL4" s="1230"/>
      <c r="BM4" s="1230"/>
      <c r="BN4" s="1230"/>
      <c r="BO4" s="1230"/>
      <c r="BP4" s="1230"/>
      <c r="BQ4" s="1230"/>
      <c r="BR4" s="1230"/>
      <c r="BS4" s="1230"/>
      <c r="BT4" s="1230"/>
      <c r="BU4" s="1230"/>
      <c r="BV4" s="1230"/>
      <c r="BW4" s="1230"/>
      <c r="BX4" s="1230"/>
      <c r="BY4" s="1230"/>
      <c r="BZ4" s="1230"/>
      <c r="CA4" s="1230"/>
      <c r="CB4" s="1230"/>
      <c r="CC4" s="1230"/>
      <c r="CD4" s="1230"/>
      <c r="CE4" s="1230"/>
      <c r="CF4" s="1230"/>
      <c r="CG4" s="1230"/>
      <c r="CH4" s="1230"/>
      <c r="CI4" s="1230"/>
      <c r="CJ4" s="1230"/>
      <c r="CK4" s="1230"/>
      <c r="CL4" s="1230"/>
      <c r="CM4" s="1230"/>
      <c r="CN4" s="1231"/>
      <c r="CO4" s="1266" t="s">
        <v>192</v>
      </c>
      <c r="CP4" s="1267"/>
      <c r="CQ4" s="1267"/>
      <c r="CR4" s="1267"/>
      <c r="CS4" s="1267"/>
      <c r="CT4" s="1267"/>
      <c r="CU4" s="1267"/>
      <c r="CV4" s="1267"/>
      <c r="CW4" s="1267"/>
      <c r="CX4" s="1267"/>
      <c r="CY4" s="1267"/>
      <c r="CZ4" s="1267"/>
      <c r="DA4" s="1268"/>
      <c r="DB4" s="1113" t="s">
        <v>391</v>
      </c>
      <c r="DC4" s="1114"/>
      <c r="DD4" s="1114"/>
      <c r="DE4" s="1114"/>
      <c r="DF4" s="1114"/>
      <c r="DG4" s="1114"/>
      <c r="DH4" s="1114"/>
      <c r="DI4" s="1114"/>
      <c r="DJ4" s="1114"/>
      <c r="DK4" s="1114"/>
      <c r="DL4" s="1114"/>
      <c r="DM4" s="1114"/>
      <c r="DN4" s="1114"/>
      <c r="DO4" s="1114"/>
      <c r="DP4" s="1114"/>
      <c r="DQ4" s="1114"/>
      <c r="DR4" s="1114"/>
      <c r="DS4" s="1114"/>
      <c r="DT4" s="1114"/>
      <c r="DU4" s="1114"/>
      <c r="DV4" s="1114"/>
      <c r="DW4" s="1114"/>
      <c r="DX4" s="1114"/>
      <c r="DY4" s="1114"/>
      <c r="DZ4" s="1114"/>
      <c r="EA4" s="1114"/>
      <c r="EB4" s="1114"/>
      <c r="EC4" s="1114"/>
      <c r="ED4" s="1114"/>
      <c r="EE4" s="1114"/>
      <c r="EF4" s="1114"/>
      <c r="EG4" s="1114"/>
      <c r="EH4" s="1114"/>
      <c r="EI4" s="1114"/>
      <c r="EJ4" s="1114"/>
      <c r="EK4" s="1114"/>
      <c r="EL4" s="1114"/>
      <c r="EM4" s="1114"/>
      <c r="EN4" s="1114"/>
      <c r="EO4" s="1114"/>
      <c r="EP4" s="1114"/>
      <c r="EQ4" s="1114"/>
      <c r="ER4" s="1115"/>
      <c r="ES4" s="1172" t="s">
        <v>195</v>
      </c>
      <c r="ET4" s="1173"/>
      <c r="EU4" s="1173"/>
      <c r="EV4" s="1173"/>
      <c r="EW4" s="1173"/>
      <c r="EX4" s="1173"/>
      <c r="EY4" s="1174"/>
      <c r="EZ4" s="1200" t="s">
        <v>200</v>
      </c>
      <c r="FA4" s="1201"/>
      <c r="FB4" s="1201"/>
      <c r="FC4" s="1201"/>
      <c r="FD4" s="1201"/>
      <c r="FE4" s="1201"/>
      <c r="FF4" s="1202"/>
      <c r="FG4" s="325"/>
      <c r="FP4" s="1129" t="s">
        <v>228</v>
      </c>
      <c r="FZ4" s="112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87" t="s">
        <v>235</v>
      </c>
      <c r="GK4" s="988"/>
      <c r="GL4" s="988"/>
      <c r="GM4" s="988"/>
      <c r="GN4" s="1142"/>
      <c r="GO4" s="1144" t="s">
        <v>228</v>
      </c>
      <c r="GP4" s="1148" t="s">
        <v>227</v>
      </c>
      <c r="GR4" s="1154" t="s">
        <v>257</v>
      </c>
      <c r="GS4" s="1016" t="s">
        <v>255</v>
      </c>
      <c r="GT4" s="959"/>
      <c r="GU4" s="959"/>
      <c r="GV4" s="959"/>
      <c r="GW4" s="959"/>
      <c r="GX4" s="959"/>
      <c r="GY4" s="959"/>
      <c r="GZ4" s="959"/>
      <c r="HA4" s="1186" t="str">
        <f>IFERROR(CONCATENATE("Lateral Forces = ",ROUND(HE3,0)," lbs @ ",ROUND(HF3,1),"° Relative to Blade 1"),"")</f>
        <v/>
      </c>
      <c r="HB4" s="1187"/>
      <c r="HC4" s="1187"/>
      <c r="HD4" s="1187"/>
      <c r="HE4" s="1187"/>
      <c r="HF4" s="1187"/>
      <c r="HG4" s="1187"/>
      <c r="HH4" s="1188"/>
      <c r="HI4" s="1191" t="s">
        <v>0</v>
      </c>
      <c r="HV4" s="861"/>
      <c r="HW4" s="1083" t="e">
        <f>CONCATENATE("Yeield Strength of Rock = ",IF(HW6&gt;1000,(ROUNDDOWN(HW6,-3)/1000),""), IF(HW6&gt;1000,",",""),RIGHT(HW6,3)," psi (Tangential Force)")</f>
        <v>#DIV/0!</v>
      </c>
      <c r="HX4" s="1083"/>
      <c r="HY4" s="1083"/>
      <c r="HZ4" s="1083"/>
      <c r="IA4" s="1083"/>
      <c r="IB4" s="1083"/>
      <c r="IC4" s="1083"/>
      <c r="ID4" s="1083"/>
      <c r="IE4" s="1083"/>
      <c r="IF4" s="858"/>
      <c r="IG4" s="984" t="s">
        <v>372</v>
      </c>
      <c r="IH4" s="984"/>
      <c r="II4" s="710" cm="1">
        <f t="array" ref="II4">MAX(MOD(IF($II$9:$II$150="",0,($II$9:$II$150*1000)),100))</f>
        <v>55</v>
      </c>
      <c r="IN4" s="31"/>
      <c r="IO4" s="710"/>
    </row>
    <row r="5" spans="1:285" ht="15" customHeight="1" thickBot="1" x14ac:dyDescent="0.3">
      <c r="B5" s="1289" t="str">
        <f>CONCATENATE(B7," ; ",E7," ; ",H7)</f>
        <v>Absolute-Point ; Incremental-Vector Point ; Pocket Info.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294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about Z Axis")</f>
        <v>Relative to 1.115's θ about Z Axis</v>
      </c>
      <c r="U5" s="1246"/>
      <c r="V5" s="1247"/>
      <c r="W5" s="1246" t="str">
        <f>CONCATENATE("Relative to ",M8,"'s θ about Z Axis")</f>
        <v>Relative to 1.115's θ about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0.25</v>
      </c>
      <c r="AT5" s="413" t="s">
        <v>47</v>
      </c>
      <c r="AV5" s="1345"/>
      <c r="AW5" s="1087"/>
      <c r="AX5" s="1088"/>
      <c r="AY5" s="1286"/>
      <c r="AZ5" s="1160"/>
      <c r="BA5" s="997"/>
      <c r="BB5" s="1274"/>
      <c r="BC5" s="1282" t="str">
        <f>$W$5</f>
        <v>Relative to 1.115's θ about Z Axis</v>
      </c>
      <c r="BD5" s="1246"/>
      <c r="BE5" s="1283"/>
      <c r="BF5" s="1016" t="s">
        <v>128</v>
      </c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60"/>
      <c r="BS5" s="1016" t="s">
        <v>130</v>
      </c>
      <c r="BT5" s="959"/>
      <c r="BU5" s="959"/>
      <c r="BV5" s="959"/>
      <c r="BW5" s="959"/>
      <c r="BX5" s="959"/>
      <c r="BY5" s="959"/>
      <c r="BZ5" s="959"/>
      <c r="CA5" s="959"/>
      <c r="CB5" s="959"/>
      <c r="CC5" s="959"/>
      <c r="CD5" s="959"/>
      <c r="CE5" s="960"/>
      <c r="CF5" s="1016" t="s">
        <v>138</v>
      </c>
      <c r="CG5" s="959"/>
      <c r="CH5" s="960"/>
      <c r="CI5" s="1016" t="s">
        <v>139</v>
      </c>
      <c r="CJ5" s="959"/>
      <c r="CK5" s="959"/>
      <c r="CL5" s="959"/>
      <c r="CM5" s="959"/>
      <c r="CN5" s="960"/>
      <c r="CO5" s="1166" t="s">
        <v>266</v>
      </c>
      <c r="CP5" s="1166" t="s">
        <v>149</v>
      </c>
      <c r="CQ5" s="1152"/>
      <c r="CR5" s="1152"/>
      <c r="CS5" s="1017"/>
      <c r="CT5" s="1152" t="s">
        <v>150</v>
      </c>
      <c r="CU5" s="1007"/>
      <c r="CV5" s="1016" t="s">
        <v>161</v>
      </c>
      <c r="CW5" s="959"/>
      <c r="CX5" s="959"/>
      <c r="CY5" s="959"/>
      <c r="CZ5" s="959"/>
      <c r="DA5" s="960"/>
      <c r="DB5" s="1016" t="s">
        <v>162</v>
      </c>
      <c r="DC5" s="959"/>
      <c r="DD5" s="959"/>
      <c r="DE5" s="959"/>
      <c r="DF5" s="959"/>
      <c r="DG5" s="959"/>
      <c r="DH5" s="960"/>
      <c r="DI5" s="1096" t="s">
        <v>172</v>
      </c>
      <c r="DJ5" s="1096"/>
      <c r="DK5" s="1239"/>
      <c r="DL5" s="1095" t="s">
        <v>173</v>
      </c>
      <c r="DM5" s="1096"/>
      <c r="DN5" s="1097"/>
      <c r="DO5" s="1241" t="s">
        <v>174</v>
      </c>
      <c r="DP5" s="1242"/>
      <c r="DQ5" s="1242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38" t="s">
        <v>149</v>
      </c>
      <c r="DZ5" s="1165"/>
      <c r="EA5" s="1165"/>
      <c r="EB5" s="1165"/>
      <c r="EC5" s="1165" t="s">
        <v>150</v>
      </c>
      <c r="ED5" s="1165"/>
      <c r="EE5" s="1154" t="s">
        <v>193</v>
      </c>
      <c r="EF5" s="1154"/>
      <c r="EG5" s="1162"/>
      <c r="EH5" s="1101" t="s">
        <v>194</v>
      </c>
      <c r="EI5" s="1102"/>
      <c r="EJ5" s="1103"/>
      <c r="EK5" s="1165" t="s">
        <v>187</v>
      </c>
      <c r="EL5" s="1166"/>
      <c r="EM5" s="1016" t="s">
        <v>188</v>
      </c>
      <c r="EN5" s="959"/>
      <c r="EO5" s="959"/>
      <c r="EP5" s="959"/>
      <c r="EQ5" s="959"/>
      <c r="ER5" s="1232"/>
      <c r="ES5" s="1196" t="s">
        <v>201</v>
      </c>
      <c r="ET5" s="1152"/>
      <c r="EU5" s="1017"/>
      <c r="EV5" s="1175" t="s">
        <v>221</v>
      </c>
      <c r="EW5" s="1176"/>
      <c r="EX5" s="1176"/>
      <c r="EY5" s="1177"/>
      <c r="EZ5" s="1221" t="s">
        <v>199</v>
      </c>
      <c r="FA5" s="1011" t="s">
        <v>201</v>
      </c>
      <c r="FB5" s="1124"/>
      <c r="FC5" s="1012"/>
      <c r="FD5" s="1213" t="s">
        <v>221</v>
      </c>
      <c r="FE5" s="1214"/>
      <c r="FF5" s="1215"/>
      <c r="FJ5" s="31" t="s">
        <v>392</v>
      </c>
      <c r="FP5" s="1130"/>
      <c r="FQ5" s="31"/>
      <c r="FR5" s="31"/>
      <c r="FS5" s="31"/>
      <c r="FT5" s="31"/>
      <c r="FZ5" s="1130"/>
      <c r="GJ5" s="1140" t="s">
        <v>262</v>
      </c>
      <c r="GK5" s="1107" t="s">
        <v>260</v>
      </c>
      <c r="GL5" s="1109" t="s">
        <v>110</v>
      </c>
      <c r="GM5" s="1109" t="s">
        <v>111</v>
      </c>
      <c r="GN5" s="1110"/>
      <c r="GO5" s="1145"/>
      <c r="GP5" s="1149"/>
      <c r="GQ5" s="31"/>
      <c r="GR5" s="1136"/>
      <c r="GS5" s="1160" t="s">
        <v>244</v>
      </c>
      <c r="GT5" s="1161"/>
      <c r="GU5" s="1156" t="s">
        <v>245</v>
      </c>
      <c r="GV5" s="1157"/>
      <c r="GW5" s="1158"/>
      <c r="GX5" s="1159"/>
      <c r="GY5" s="1143" t="s">
        <v>107</v>
      </c>
      <c r="GZ5" s="999"/>
      <c r="HA5" s="1183" t="s">
        <v>244</v>
      </c>
      <c r="HB5" s="1184"/>
      <c r="HC5" s="1184"/>
      <c r="HD5" s="1185"/>
      <c r="HE5" s="1194" t="s">
        <v>245</v>
      </c>
      <c r="HF5" s="1184"/>
      <c r="HG5" s="1184"/>
      <c r="HH5" s="1195"/>
      <c r="HI5" s="1192"/>
      <c r="HM5" s="909"/>
      <c r="HS5" s="909"/>
      <c r="HT5" s="909"/>
      <c r="HU5" s="909"/>
      <c r="HV5" s="910"/>
      <c r="HW5" s="1085" t="s">
        <v>245</v>
      </c>
      <c r="HX5" s="1086"/>
      <c r="HY5" s="1084" t="s">
        <v>390</v>
      </c>
      <c r="HZ5" s="1085"/>
      <c r="IA5" s="1085"/>
      <c r="IB5" s="1086"/>
      <c r="IC5" s="1084" t="s">
        <v>254</v>
      </c>
      <c r="ID5" s="1085"/>
      <c r="IE5" s="1086"/>
      <c r="IF5" s="858"/>
    </row>
    <row r="6" spans="1:285" ht="15" customHeight="1" thickBot="1" x14ac:dyDescent="0.4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294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$Q$6</f>
        <v>Projected XY</v>
      </c>
      <c r="X6" s="1279"/>
      <c r="Y6" s="1355" t="str">
        <f>$S$6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248" t="str">
        <f>AD6</f>
        <v>Unit Vector</v>
      </c>
      <c r="AL6" s="1249"/>
      <c r="AM6" s="1250"/>
      <c r="AN6" s="34" t="s">
        <v>15</v>
      </c>
      <c r="AO6" s="35" t="s">
        <v>16</v>
      </c>
      <c r="AP6" s="680" t="s">
        <v>17</v>
      </c>
      <c r="AQ6" s="1347" t="s">
        <v>108</v>
      </c>
      <c r="AS6" s="168">
        <f>(AS5/360)</f>
        <v>6.9444444444444447E-4</v>
      </c>
      <c r="AT6" s="414" t="s">
        <v>48</v>
      </c>
      <c r="AV6" s="1345"/>
      <c r="AW6" s="1339" t="s">
        <v>105</v>
      </c>
      <c r="AX6" s="1340"/>
      <c r="AY6" s="188" t="s">
        <v>110</v>
      </c>
      <c r="AZ6" s="1284" t="s">
        <v>111</v>
      </c>
      <c r="BA6" s="1285"/>
      <c r="BB6" s="1275"/>
      <c r="BC6" s="1278" t="str">
        <f>$Q$6</f>
        <v>Projected XY</v>
      </c>
      <c r="BD6" s="1279"/>
      <c r="BE6" s="1280" t="str">
        <f>$S$6</f>
        <v>Z</v>
      </c>
      <c r="BF6" s="966" t="s">
        <v>125</v>
      </c>
      <c r="BG6" s="962"/>
      <c r="BH6" s="1139"/>
      <c r="BI6" s="964" t="s">
        <v>126</v>
      </c>
      <c r="BJ6" s="962"/>
      <c r="BK6" s="963"/>
      <c r="BL6" s="967" t="s">
        <v>127</v>
      </c>
      <c r="BM6" s="962"/>
      <c r="BN6" s="968"/>
      <c r="BO6" s="966" t="s">
        <v>135</v>
      </c>
      <c r="BP6" s="962"/>
      <c r="BQ6" s="962"/>
      <c r="BR6" s="968"/>
      <c r="BS6" s="966" t="s">
        <v>125</v>
      </c>
      <c r="BT6" s="962"/>
      <c r="BU6" s="1139"/>
      <c r="BV6" s="964" t="s">
        <v>126</v>
      </c>
      <c r="BW6" s="962"/>
      <c r="BX6" s="963"/>
      <c r="BY6" s="967" t="s">
        <v>127</v>
      </c>
      <c r="BZ6" s="962"/>
      <c r="CA6" s="968"/>
      <c r="CB6" s="966" t="s">
        <v>135</v>
      </c>
      <c r="CC6" s="962"/>
      <c r="CD6" s="962"/>
      <c r="CE6" s="968"/>
      <c r="CF6" s="972" t="s">
        <v>136</v>
      </c>
      <c r="CG6" s="1234"/>
      <c r="CH6" s="1234"/>
      <c r="CI6" s="1236" t="s">
        <v>137</v>
      </c>
      <c r="CJ6" s="1234"/>
      <c r="CK6" s="973"/>
      <c r="CL6" s="1233" t="s">
        <v>140</v>
      </c>
      <c r="CM6" s="1234"/>
      <c r="CN6" s="1235"/>
      <c r="CO6" s="1168"/>
      <c r="CP6" s="1168"/>
      <c r="CQ6" s="1198"/>
      <c r="CR6" s="1198"/>
      <c r="CS6" s="1199"/>
      <c r="CT6" s="1198"/>
      <c r="CU6" s="1269"/>
      <c r="CV6" s="1318" t="s">
        <v>147</v>
      </c>
      <c r="CW6" s="962"/>
      <c r="CX6" s="963"/>
      <c r="CY6" s="1224" t="s">
        <v>148</v>
      </c>
      <c r="CZ6" s="1182"/>
      <c r="DA6" s="1225"/>
      <c r="DB6" s="1237" t="s">
        <v>175</v>
      </c>
      <c r="DC6" s="1227"/>
      <c r="DD6" s="1228"/>
      <c r="DE6" s="1238" t="s">
        <v>176</v>
      </c>
      <c r="DF6" s="1227"/>
      <c r="DG6" s="1228"/>
      <c r="DH6" s="242" t="s">
        <v>29</v>
      </c>
      <c r="DI6" s="1099"/>
      <c r="DJ6" s="1099"/>
      <c r="DK6" s="1240"/>
      <c r="DL6" s="1098"/>
      <c r="DM6" s="1099"/>
      <c r="DN6" s="1100"/>
      <c r="DO6" s="1243"/>
      <c r="DP6" s="1244"/>
      <c r="DQ6" s="1244"/>
      <c r="DR6" s="1167"/>
      <c r="DS6" s="1167"/>
      <c r="DT6" s="1167"/>
      <c r="DU6" s="1167"/>
      <c r="DV6" s="1167"/>
      <c r="DW6" s="1167"/>
      <c r="DX6" s="1168"/>
      <c r="DY6" s="1171"/>
      <c r="DZ6" s="1167"/>
      <c r="EA6" s="1167"/>
      <c r="EB6" s="1167"/>
      <c r="EC6" s="1167"/>
      <c r="ED6" s="1167"/>
      <c r="EE6" s="1163"/>
      <c r="EF6" s="1163"/>
      <c r="EG6" s="1164"/>
      <c r="EH6" s="1104"/>
      <c r="EI6" s="1105"/>
      <c r="EJ6" s="1106"/>
      <c r="EK6" s="1167"/>
      <c r="EL6" s="1168"/>
      <c r="EM6" s="1092" t="s">
        <v>198</v>
      </c>
      <c r="EN6" s="1093"/>
      <c r="EO6" s="1094"/>
      <c r="EP6" s="1203" t="s">
        <v>197</v>
      </c>
      <c r="EQ6" s="1093"/>
      <c r="ER6" s="1205"/>
      <c r="ES6" s="1197"/>
      <c r="ET6" s="1198"/>
      <c r="EU6" s="1199"/>
      <c r="EV6" s="263" t="s">
        <v>220</v>
      </c>
      <c r="EW6" s="1203" t="s">
        <v>201</v>
      </c>
      <c r="EX6" s="1093"/>
      <c r="EY6" s="1204"/>
      <c r="EZ6" s="1222"/>
      <c r="FA6" s="1210"/>
      <c r="FB6" s="1211"/>
      <c r="FC6" s="1212"/>
      <c r="FD6" s="1092" t="s">
        <v>201</v>
      </c>
      <c r="FE6" s="1093"/>
      <c r="FF6" s="1205"/>
      <c r="FG6" s="1207" t="s">
        <v>223</v>
      </c>
      <c r="FH6" s="1208"/>
      <c r="FI6" s="1209"/>
      <c r="FJ6" s="1165" t="s">
        <v>202</v>
      </c>
      <c r="FK6" s="1166" t="s">
        <v>213</v>
      </c>
      <c r="FL6" s="1152"/>
      <c r="FM6" s="1017"/>
      <c r="FN6" s="1125" t="s">
        <v>203</v>
      </c>
      <c r="FO6" s="1169" t="s">
        <v>226</v>
      </c>
      <c r="FP6" s="1122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13" t="s">
        <v>217</v>
      </c>
      <c r="FV6" s="1124"/>
      <c r="FW6" s="1014"/>
      <c r="FX6" s="1125" t="s">
        <v>218</v>
      </c>
      <c r="FY6" s="1169" t="s">
        <v>226</v>
      </c>
      <c r="FZ6" s="1122" t="s">
        <v>224</v>
      </c>
      <c r="GA6" s="1127" t="s">
        <v>237</v>
      </c>
      <c r="GB6" s="318" t="s">
        <v>206</v>
      </c>
      <c r="GC6" s="319" t="s">
        <v>238</v>
      </c>
      <c r="GD6" s="320" t="s">
        <v>225</v>
      </c>
      <c r="GE6" s="1137"/>
      <c r="GF6" s="1162" t="s">
        <v>256</v>
      </c>
      <c r="GG6" s="318" t="s">
        <v>206</v>
      </c>
      <c r="GH6" s="319" t="s">
        <v>238</v>
      </c>
      <c r="GI6" s="320" t="s">
        <v>225</v>
      </c>
      <c r="GJ6" s="1141"/>
      <c r="GK6" s="1108"/>
      <c r="GL6" s="1111"/>
      <c r="GM6" s="1111"/>
      <c r="GN6" s="1112"/>
      <c r="GO6" s="1146" t="s">
        <v>236</v>
      </c>
      <c r="GP6" s="1150" t="s">
        <v>224</v>
      </c>
      <c r="GQ6" s="1152" t="s">
        <v>202</v>
      </c>
      <c r="GR6" s="1136"/>
      <c r="GS6" s="1189" t="s">
        <v>248</v>
      </c>
      <c r="GT6" s="1190"/>
      <c r="GU6" s="1181" t="s">
        <v>247</v>
      </c>
      <c r="GV6" s="1182"/>
      <c r="GW6" s="1182"/>
      <c r="GX6" s="340" t="s">
        <v>106</v>
      </c>
      <c r="GY6" s="964" t="s">
        <v>246</v>
      </c>
      <c r="GZ6" s="1139"/>
      <c r="HA6" s="1226" t="s">
        <v>248</v>
      </c>
      <c r="HB6" s="1227"/>
      <c r="HC6" s="1227"/>
      <c r="HD6" s="1228"/>
      <c r="HE6" s="964" t="s">
        <v>247</v>
      </c>
      <c r="HF6" s="962"/>
      <c r="HG6" s="962"/>
      <c r="HH6" s="968"/>
      <c r="HI6" s="1192"/>
      <c r="HM6" s="915" t="s">
        <v>394</v>
      </c>
      <c r="HN6" s="1219" t="s">
        <v>395</v>
      </c>
      <c r="HO6" s="1219"/>
      <c r="HP6" s="1219"/>
      <c r="HQ6" s="1219"/>
      <c r="HR6" s="1220"/>
      <c r="HS6" s="1087" t="s">
        <v>105</v>
      </c>
      <c r="HT6" s="1088"/>
      <c r="HU6" s="1088"/>
      <c r="HV6" s="1089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/>
      <c r="B7" s="1306" t="s">
        <v>40</v>
      </c>
      <c r="C7" s="1307"/>
      <c r="D7" s="1308"/>
      <c r="E7" s="1309" t="s">
        <v>41</v>
      </c>
      <c r="F7" s="1307"/>
      <c r="G7" s="1310"/>
      <c r="H7" s="1063" t="s">
        <v>98</v>
      </c>
      <c r="I7" s="1061"/>
      <c r="J7" s="1064"/>
      <c r="K7" s="169"/>
      <c r="L7" s="1136"/>
      <c r="M7" s="1303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$Q$7</f>
        <v>&lt; θ°</v>
      </c>
      <c r="X7" s="27" t="str">
        <f>$R$7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48"/>
      <c r="AS7" s="1353" t="s">
        <v>54</v>
      </c>
      <c r="AT7" s="1351" t="s">
        <v>53</v>
      </c>
      <c r="AV7" s="1345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75"/>
      <c r="BC7" s="37" t="str">
        <f>$Q$7</f>
        <v>&lt; θ°</v>
      </c>
      <c r="BD7" s="27" t="str">
        <f>$R$7</f>
        <v>r</v>
      </c>
      <c r="BE7" s="128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23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06"/>
      <c r="FK7" s="358" t="s">
        <v>210</v>
      </c>
      <c r="FL7" s="361" t="s">
        <v>211</v>
      </c>
      <c r="FM7" s="907" t="s">
        <v>212</v>
      </c>
      <c r="FN7" s="1126"/>
      <c r="FO7" s="1170"/>
      <c r="FP7" s="1123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6"/>
      <c r="FY7" s="1170"/>
      <c r="FZ7" s="1123"/>
      <c r="GA7" s="1128"/>
      <c r="GB7" s="212" t="s">
        <v>231</v>
      </c>
      <c r="GC7" s="127" t="s">
        <v>232</v>
      </c>
      <c r="GD7" s="213" t="s">
        <v>233</v>
      </c>
      <c r="GE7" s="1138"/>
      <c r="GF7" s="1216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47"/>
      <c r="GP7" s="1151"/>
      <c r="GQ7" s="1153"/>
      <c r="GR7" s="115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93"/>
      <c r="HJ7" s="31"/>
      <c r="HK7" s="820" t="s">
        <v>244</v>
      </c>
      <c r="HL7" s="823" t="s">
        <v>388</v>
      </c>
      <c r="HM7" s="911" t="s">
        <v>259</v>
      </c>
      <c r="HN7" s="928" t="s">
        <v>397</v>
      </c>
      <c r="HO7" s="1217" t="s">
        <v>396</v>
      </c>
      <c r="HP7" s="1218"/>
      <c r="HQ7" s="1214" t="s">
        <v>392</v>
      </c>
      <c r="HR7" s="1215"/>
      <c r="HS7" s="897" t="s">
        <v>29</v>
      </c>
      <c r="HT7" s="898" t="s">
        <v>110</v>
      </c>
      <c r="HU7" s="1090" t="s">
        <v>393</v>
      </c>
      <c r="HV7" s="1091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386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70" t="s">
        <v>33</v>
      </c>
      <c r="IJ7" s="1178" t="s">
        <v>376</v>
      </c>
      <c r="IK7" s="966" t="s">
        <v>324</v>
      </c>
      <c r="IL7" s="967"/>
      <c r="IM7" s="967"/>
      <c r="IN7" s="962"/>
      <c r="IO7" s="962"/>
      <c r="IP7" s="962"/>
      <c r="IQ7" s="963"/>
      <c r="IR7" s="964" t="s">
        <v>320</v>
      </c>
      <c r="IS7" s="962"/>
      <c r="IT7" s="962"/>
      <c r="IU7" s="962"/>
      <c r="IV7" s="962"/>
      <c r="IW7" s="964" t="s">
        <v>319</v>
      </c>
      <c r="IX7" s="962"/>
      <c r="IY7" s="962"/>
      <c r="IZ7" s="962"/>
      <c r="JA7" s="963"/>
      <c r="JC7" s="725"/>
      <c r="JD7" s="1328" t="s">
        <v>355</v>
      </c>
      <c r="JE7" s="1328"/>
      <c r="JF7" s="1328"/>
      <c r="JG7" s="1329"/>
      <c r="JH7" s="786"/>
      <c r="JI7" s="786"/>
    </row>
    <row r="8" spans="1:285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388</v>
      </c>
      <c r="L8" s="1136"/>
      <c r="M8" s="411" cm="1">
        <f t="array" ref="M8">IF(AND(ISNUMBER('SN#.Run#'!$P$1),COUNT($M$9:$M$150)&gt;='SN#.Run#'!$P$1),INDEX($M$9:$M$150,'SN#.Run#'!$P$1),"")</f>
        <v>1.115</v>
      </c>
      <c r="N8" s="551"/>
      <c r="O8" s="552"/>
      <c r="P8" s="562"/>
      <c r="Q8" s="554">
        <f>IFERROR(INDEX(Q$9:Q$150,MATCH($M$8,$M$9:$M$150,0)),"")</f>
        <v>89.675024854192813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-0.26985748082577354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54"/>
      <c r="AT8" s="1352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389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387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-0.06</v>
      </c>
      <c r="II8" s="1180"/>
      <c r="IJ8" s="117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>IF($K9="","",IF(ISNUMBER($K9),0.02,0))</f>
        <v>0.02</v>
      </c>
      <c r="B9" s="640">
        <f t="shared" ref="B9:D9" si="1">IFERROR(O164-($A9*E9),"")</f>
        <v>1.8793852760466762E-2</v>
      </c>
      <c r="C9" s="641">
        <f t="shared" si="1"/>
        <v>0.40852824212344768</v>
      </c>
      <c r="D9" s="642">
        <f t="shared" si="1"/>
        <v>-1.6058725509908627</v>
      </c>
      <c r="E9" s="643">
        <f t="shared" ref="E9:K9" si="2">R164</f>
        <v>-0.93969263802333458</v>
      </c>
      <c r="F9" s="641">
        <f t="shared" si="2"/>
        <v>-0.11135083594759346</v>
      </c>
      <c r="G9" s="644">
        <f t="shared" si="2"/>
        <v>0.32338635929568604</v>
      </c>
      <c r="H9" s="643">
        <f t="shared" si="2"/>
        <v>0.375</v>
      </c>
      <c r="I9" s="641">
        <f t="shared" si="2"/>
        <v>0.52</v>
      </c>
      <c r="J9" s="940">
        <f>IF(W164=0,"",W164)</f>
        <v>1.101</v>
      </c>
      <c r="K9" s="805">
        <f t="shared" si="2"/>
        <v>1913</v>
      </c>
      <c r="M9" s="163">
        <f t="shared" ref="M9:M40" si="3">IF(J9="","",VALUE(J9))</f>
        <v>1.101</v>
      </c>
      <c r="N9" s="566">
        <f t="shared" ref="N9:N40" si="4">IF(M9="","",B9)</f>
        <v>1.8793852760466762E-2</v>
      </c>
      <c r="O9" s="567">
        <f t="shared" ref="O9:O40" si="5">IF(M9="","",C9)</f>
        <v>0.40852824212344768</v>
      </c>
      <c r="P9" s="568">
        <f t="shared" ref="P9:P40" si="6">IF(M9="","",D9)</f>
        <v>-1.6058725509908627</v>
      </c>
      <c r="Q9" s="526">
        <f>IF(M9="","",IF(DEGREES(ATAN2(N9,O9))&lt;0,DEGREES(ATAN2(N9,O9))+360,IF(DEGREES(ATAN2(N9,O9))&gt;360,DEGREES(ATAN2(N9,O9))-360,DEGREES(ATAN2(N9,O9)))))</f>
        <v>87.366033332160995</v>
      </c>
      <c r="R9" s="567">
        <f>IF(M9="","",SQRT(N9^2+O9^2))</f>
        <v>0.40896030799339977</v>
      </c>
      <c r="S9" s="569">
        <f>IF(M9="","",P9)</f>
        <v>-1.6058725509908627</v>
      </c>
      <c r="T9" s="570">
        <f>IF(M9="","",X9*COS(RADIANS(W9)))</f>
        <v>0.40862826692834664</v>
      </c>
      <c r="U9" s="567">
        <f>IF(M9="","",X9*SIN(RADIANS(W9)))</f>
        <v>-1.6476437151043698E-2</v>
      </c>
      <c r="V9" s="571">
        <f>IF(M9="","",Y9)</f>
        <v>-1.6058725509908627</v>
      </c>
      <c r="W9" s="526">
        <f t="shared" ref="W9:W14" si="7">IF(M9="","",IF(Q9-$Q$8&lt;0,360+Q9-$Q$8,Q9-$Q$8))</f>
        <v>357.69100847796818</v>
      </c>
      <c r="X9" s="572">
        <f>IF(M9="","",R9)</f>
        <v>0.40896030799339977</v>
      </c>
      <c r="Y9" s="573">
        <f t="shared" ref="Y9:Y15" si="8">IF(M9="","",S9)</f>
        <v>-1.6058725509908627</v>
      </c>
      <c r="Z9" s="566">
        <f t="shared" ref="Z9:Z40" si="9">IF(M9="","",-E9)</f>
        <v>0.93969263802333458</v>
      </c>
      <c r="AA9" s="567">
        <f t="shared" ref="AA9:AA40" si="10">IF(M9="","",-F9)</f>
        <v>0.11135083594759346</v>
      </c>
      <c r="AB9" s="567">
        <f t="shared" ref="AB9:AB40" si="11">IF(M9="","",-G9)</f>
        <v>-0.32338635929568604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0.11135083594759346</v>
      </c>
      <c r="AF9" s="568">
        <f>IF(M9="","",AB9*(1/SQRT(Z9^2+AA9^2+AB9^2)))</f>
        <v>-0.32338635929568604</v>
      </c>
      <c r="AG9" s="542">
        <f>IF(M9="","",DEGREES(ATAN2(-AF9,AE9)))</f>
        <v>18.999997256739807</v>
      </c>
      <c r="AH9" s="543">
        <f>IF(M9="","",DEGREES(ACOS(AD9)))</f>
        <v>19.999997112357679</v>
      </c>
      <c r="AI9" s="526">
        <f>IF(M9="","",DEGREES(-ACOS(-AF9)))</f>
        <v>-71.132158316194193</v>
      </c>
      <c r="AJ9" s="544">
        <f>IF(M9="","",DEGREES(ATAN2(-AE9,AD9)))</f>
        <v>96.757869937251826</v>
      </c>
      <c r="AK9" s="570">
        <f>IF(M9="","",(COS(RADIANS((90-$Q$8)-W9))*AD9)+(-SIN(RADIANS((90-$Q$8)-W9))*AE9))</f>
        <v>0.93358270440911839</v>
      </c>
      <c r="AL9" s="567">
        <f>IF(M9="","",(SIN(RADIANS((90-$Q$8)-W9))*AD9)+(COS(RADIANS((90-$Q$8)-W9))*AE9))</f>
        <v>0.15441695713113307</v>
      </c>
      <c r="AM9" s="569">
        <f>IF(M9="","",AF9)</f>
        <v>-0.32338635929568604</v>
      </c>
      <c r="AN9" s="524">
        <f>IF(M9="","",DEGREES(ATAN2(-AM9,AL9)))</f>
        <v>25.524471109821366</v>
      </c>
      <c r="AO9" s="525">
        <f>IF(ROUND(IF(M9="",0,DEGREES(ACOS(AK9))),4)=90,0,IF(M9="","",DEGREES(ACOS(AK9))))</f>
        <v>20.999635804988426</v>
      </c>
      <c r="AP9" s="722">
        <f>IF(M9="","",DEGREES(ATAN2(AK9,AL9)))</f>
        <v>9.3918366050908233</v>
      </c>
      <c r="AQ9" s="527">
        <f t="shared" ref="AQ9:AQ40" si="12">IF(M9="","",DEGREES(ATAN(($AS$5*SIN(RADIANS(90)))/(($X9*2*PI())-($AS$5*COS(RADIANS(90)))))))</f>
        <v>5.5569550657030762</v>
      </c>
      <c r="AS9" s="953">
        <f>IF(M9="","",W9)</f>
        <v>357.69100847796818</v>
      </c>
      <c r="AT9" s="949">
        <f t="shared" ref="AT9:AT40" si="13">IF(M9="","",Y9+(((AS9-$AS$9)*$AS$6)*-1))</f>
        <v>-1.6058725509908627</v>
      </c>
      <c r="AU9" s="418"/>
      <c r="AV9" s="164" t="str">
        <f t="shared" ref="AV9:AV40" si="14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5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6">IF(ISNUMBER(AV9),Y9+BB9,"")</f>
        <v/>
      </c>
      <c r="BF9" s="4" t="str">
        <f t="shared" ref="BF9:BF40" si="17">IF(ISNUMBER($AV9),N9,"")</f>
        <v/>
      </c>
      <c r="BG9" s="5" t="str">
        <f t="shared" ref="BG9:BG40" si="18">IF(ISNUMBER($AV9),O9,"")</f>
        <v/>
      </c>
      <c r="BH9" s="10" t="str">
        <f t="shared" ref="BH9:BH40" si="19">IF(ISNUMBER($AV9),P9,"")</f>
        <v/>
      </c>
      <c r="BI9" s="9" t="str">
        <f>IF(ISNUMBER($AV9),BF9+0,"")</f>
        <v/>
      </c>
      <c r="BJ9" s="5" t="str">
        <f t="shared" ref="BJ9:BJ40" si="20">IF(ISNUMBER($AV9),BG9+COS(RADIANS($AG9)),"")</f>
        <v/>
      </c>
      <c r="BK9" s="8" t="str">
        <f t="shared" ref="BK9:BK40" si="21">IF(ISNUMBER($AV9),BH9+SIN(RADIANS($AG9)),"")</f>
        <v/>
      </c>
      <c r="BL9" s="173" t="str">
        <f t="shared" ref="BL9:BL40" si="22">IF(ISNUMBER($AV9),BF9+SIN(RADIANS($AH9)),"")</f>
        <v/>
      </c>
      <c r="BM9" s="5" t="str">
        <f t="shared" ref="BM9:BM40" si="23">IF(ISNUMBER($AV9),BG9-SIN(RADIANS($AG9))*COS(RADIANS($AH9)),"")</f>
        <v/>
      </c>
      <c r="BN9" s="6" t="str">
        <f t="shared" ref="BN9:BN40" si="24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5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6">IF(ISNUMBER($AV9),CI9+($CT9*(CL9-CI9)),"")</f>
        <v/>
      </c>
      <c r="CW9" s="20" t="str">
        <f t="shared" si="26"/>
        <v/>
      </c>
      <c r="CX9" s="25" t="str">
        <f t="shared" si="26"/>
        <v/>
      </c>
      <c r="CY9" s="24" t="str">
        <f t="shared" ref="CY9:DA10" si="27">IF(ISNUMBER($AV9),CI9+($CU9*(CL9-CI9)),"")</f>
        <v/>
      </c>
      <c r="CZ9" s="20" t="str">
        <f t="shared" si="27"/>
        <v/>
      </c>
      <c r="DA9" s="22" t="str">
        <f t="shared" si="2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8">IF(ISNUMBER($AV9),DE9-DB9,"")</f>
        <v/>
      </c>
      <c r="DJ9" s="5" t="str">
        <f t="shared" si="28"/>
        <v/>
      </c>
      <c r="DK9" s="10" t="str">
        <f t="shared" si="28"/>
        <v/>
      </c>
      <c r="DL9" s="9" t="str">
        <f t="shared" ref="DL9:DN9" si="29">IF(ISNUMBER($AV9),CV9-DB9,"")</f>
        <v/>
      </c>
      <c r="DM9" s="173" t="str">
        <f t="shared" si="29"/>
        <v/>
      </c>
      <c r="DN9" s="178" t="str">
        <f t="shared" si="29"/>
        <v/>
      </c>
      <c r="DO9" s="9" t="str">
        <f t="shared" ref="DO9:DQ10" si="30">IF(ISNUMBER($AV9),CY9-CV9,"")</f>
        <v/>
      </c>
      <c r="DP9" s="173" t="str">
        <f t="shared" si="30"/>
        <v/>
      </c>
      <c r="DQ9" s="11" t="str">
        <f t="shared" si="3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1">IF(ISNUMBER($AV9),CV9+DO9*$EC9,"")</f>
        <v/>
      </c>
      <c r="EF9" s="5" t="str">
        <f t="shared" si="31"/>
        <v/>
      </c>
      <c r="EG9" s="10" t="str">
        <f t="shared" si="31"/>
        <v/>
      </c>
      <c r="EH9" s="9" t="str">
        <f t="shared" ref="EH9:EJ10" si="32">IF(ISNUMBER($AV9),CV9+DO9*$ED9,"")</f>
        <v/>
      </c>
      <c r="EI9" s="5" t="str">
        <f t="shared" si="32"/>
        <v/>
      </c>
      <c r="EJ9" s="6" t="str">
        <f t="shared" si="3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3">IF(ISNUMBER($AV9),IF($EK9=TRUE,EE9,IF($EL9=TRUE,EH9,"")),"")</f>
        <v/>
      </c>
      <c r="EN9" s="5" t="str">
        <f t="shared" si="33"/>
        <v/>
      </c>
      <c r="EO9" s="10" t="str">
        <f t="shared" si="3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4">IF(ISNUMBER($AV9),AE9,"")</f>
        <v/>
      </c>
      <c r="EU9" s="273" t="str">
        <f t="shared" ref="EU9:EU40" si="35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7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8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39">IF(ISNUMBER($AV9),EX9-FE9,"")</f>
        <v/>
      </c>
      <c r="FI9" s="10" t="str">
        <f t="shared" ref="FI9:FI40" si="40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1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2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3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4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5">IF(ISNUMBER($AV9),ABS(GB9)/(ABS($GB9)+ABS($GC9)+ABS($GD9)),"")</f>
        <v/>
      </c>
      <c r="GH9" s="304" t="str">
        <f t="shared" ref="GH9:GH40" si="46">IF(ISNUMBER($AV9),ABS(GC9)/(ABS($GB9)+ABS($GC9)+ABS($GD9)),"")</f>
        <v/>
      </c>
      <c r="GI9" s="305" t="str">
        <f t="shared" ref="GI9:GI40" si="47">IF(ISNUMBER($AV9),ABS(GD9)/(ABS($GB9)+ABS($GC9)+ABS($GD9)),"")</f>
        <v/>
      </c>
      <c r="GJ9" s="167" t="str">
        <f>IF(ISNUMBER($AV9),AW9,"")</f>
        <v/>
      </c>
      <c r="GK9" s="174" t="str">
        <f t="shared" ref="GK9:GK53" si="48">IF(ISNUMBER($AV9),SQRT((2*PI()*$GJ9)^2+$AS$5^2)/12,"")</f>
        <v/>
      </c>
      <c r="GL9" s="174" t="str">
        <f t="shared" ref="GL9:GN10" si="49">IF(ISNUMBER($AV9),AY9,"")</f>
        <v/>
      </c>
      <c r="GM9" s="9" t="str">
        <f t="shared" si="49"/>
        <v/>
      </c>
      <c r="GN9" s="281" t="str">
        <f t="shared" si="49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0">IF(ISNUMBER($AV9),GU9/GH9*GG9,"")</f>
        <v/>
      </c>
      <c r="GT9" s="343" t="str">
        <f t="shared" ref="GT9:GT40" si="51">IF(ISNUMBER($AV9),GS9/$GK9,"")</f>
        <v/>
      </c>
      <c r="GU9" s="344" t="str">
        <f t="shared" ref="GU9:GU53" si="52">IF(ISNUMBER($AV9),$GV9*$GK9,"")</f>
        <v/>
      </c>
      <c r="GV9" s="343" t="str">
        <f>IF(ISNUMBER($AV9),GW9*$GL9,"")</f>
        <v/>
      </c>
      <c r="GW9" s="345" t="str">
        <f t="shared" ref="GW9:GW53" si="53">IF(ISNUMBER($AV9),$GW$2,"")</f>
        <v/>
      </c>
      <c r="GX9" s="346" t="str">
        <f t="shared" ref="GX9:GX53" si="54">IF(ISNUMBER($AV9),($GJ9/12)*$GV9,"")</f>
        <v/>
      </c>
      <c r="GY9" s="344" t="str">
        <f t="shared" ref="GY9:GY40" si="55">IF(ISNUMBER($AV9),GU9/GH9*GI9,"")</f>
        <v/>
      </c>
      <c r="GZ9" s="345" t="str">
        <f t="shared" ref="GZ9:GZ40" si="56">IF(ISNUMBER($AV9),GY9/$GK9,"")</f>
        <v/>
      </c>
      <c r="HA9" s="342" t="str">
        <f t="shared" ref="HA9:HA53" si="57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8">IF(ISNUMBER($AV9),$FY9*$GV9,"")</f>
        <v/>
      </c>
      <c r="HF9" s="5" t="str">
        <f t="shared" ref="HF9:HF53" si="59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0">IF(ISNUMBER($AV9),$M9,"")</f>
        <v/>
      </c>
      <c r="HJ9" s="336"/>
      <c r="HK9" s="315">
        <v>1</v>
      </c>
      <c r="HL9" s="347" t="str">
        <f t="shared" ref="HL9:HL40" si="61">IF(ISNUMBER($HS9),INDEX(HI$9:HI$150,MATCH($HS9,$GJ$9:$GJ$150,0)),"")</f>
        <v/>
      </c>
      <c r="HM9" s="917" t="str">
        <f t="shared" ref="HM9:HM40" si="62">IF(ISNUMBER($HL9),INDEX(GO$9:GO$150,MATCH($HL9,$AV$9:$AV$150,0)),"")</f>
        <v/>
      </c>
      <c r="HN9" s="918" t="str">
        <f t="shared" ref="HN9:HN40" si="63">IF(ISNUMBER($HL9),INDEX(AO$9:AO$150,MATCH($HL9,$AV$9:$AV$150,0)),"")</f>
        <v/>
      </c>
      <c r="HO9" s="919"/>
      <c r="HP9" s="920"/>
      <c r="HQ9" s="921" t="str">
        <f t="shared" ref="HQ9:HQ40" si="64">IF(ISNUMBER($HL9),INDEX(GQ$9:GQ$150,MATCH($HL9,$AV$9:$AV$150,0)),"")</f>
        <v/>
      </c>
      <c r="HR9" s="922" t="str">
        <f t="shared" ref="HR9:HR40" si="65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6">IF(ISNUMBER($HL9),INDEX(GL$9:GL$150,MATCH($HL9,$AV$9:$AV$150,0)),"")</f>
        <v/>
      </c>
      <c r="HU9" s="888" t="str">
        <f t="shared" ref="HU9:HU40" si="67">IF(ISNUMBER($HL9),INDEX(GM$9:GM$150,MATCH($HL9,$AV$9:$AV$150,0)),"")</f>
        <v/>
      </c>
      <c r="HV9" s="885" t="str">
        <f t="shared" ref="HV9:HV40" si="68">IF(ISNUMBER($HL9),INDEX(GN$9:GN$150,MATCH($HL9,$AV$9:$AV$150,0)),"")</f>
        <v/>
      </c>
      <c r="HW9" s="874" t="str">
        <f t="shared" ref="HW9:HW40" si="69">IF(ISNUMBER($HL9),INDEX(GW$9:GW$150,MATCH($HL9,$AV$9:$AV$150,0)),"")</f>
        <v/>
      </c>
      <c r="HX9" s="875" t="str">
        <f t="shared" ref="HX9:HX40" si="70">IF(ISNUMBER($HL9),INDEX(GX$9:GX$150,MATCH($HL9,$AV$9:$AV$150,0)),"")</f>
        <v/>
      </c>
      <c r="HY9" s="874" t="str">
        <f t="shared" ref="HY9:HY40" si="71">IF(ISNUMBER($HL9),INDEX(GS$9:GS$150,MATCH($HL9,$AV$9:$AV$150,0)),"")</f>
        <v/>
      </c>
      <c r="HZ9" s="876" t="str">
        <f t="shared" ref="HZ9:HZ40" si="72">IF(ISNUMBER($HL9),INDEX(GU$9:GU$150,MATCH($HL9,$AV$9:$AV$150,0)),"")</f>
        <v/>
      </c>
      <c r="IA9" s="877" t="str">
        <f t="shared" ref="IA9:IA40" si="73">IF(ISNUMBER($HL9),INDEX(GY$9:GY$150,MATCH($HL9,$AV$9:$AV$150,0)),"")</f>
        <v/>
      </c>
      <c r="IB9" s="878" t="str">
        <f t="shared" ref="IB9:IB40" si="74">IF(ISNUMBER($HL9),INDEX(GR$9:GR$150,MATCH($HL9,$AV$9:$AV$150,0)),"")</f>
        <v/>
      </c>
      <c r="IC9" s="854" t="str">
        <f t="shared" ref="IC9:IC40" si="75">IF(ISNUMBER($HL9),INDEX(GT$9:GT$150,MATCH($HL9,$AV$9:$AV$150,0)),"")</f>
        <v/>
      </c>
      <c r="ID9" s="350" t="str">
        <f t="shared" ref="ID9:ID40" si="76">IF(ISNUMBER($HL9),INDEX(GV$9:GV$150,MATCH($HL9,$AV$9:$AV$150,0)),"")</f>
        <v/>
      </c>
      <c r="IE9" s="856" t="str">
        <f t="shared" ref="IE9:IE40" si="77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8">IF(ISNUMBER($IK9),INDEX($K$9:$K$150,MATCH($IK9,$M$9:$M$150,0)),$K9)</f>
        <v>1913</v>
      </c>
      <c r="IM9" s="781" t="str">
        <f t="shared" ref="IM9" si="79">IF(ISNUMBER($IK9),INDEX($K$9:$K$150,MATCH($II9,$M$9:$M$150,0)),"")</f>
        <v/>
      </c>
      <c r="IN9" s="672" t="str">
        <f t="shared" ref="IN9:IN40" si="8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1">IF(ISNUMBER($IK9),(($IQ9*12)/60)/$AS$3,"")</f>
        <v/>
      </c>
      <c r="IQ9" s="713"/>
      <c r="IR9" s="24" t="str">
        <f t="shared" ref="IR9:IR40" si="82"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1913</v>
      </c>
      <c r="JD9" s="727" cm="1">
        <f t="array" ref="JD9">IF($JC9="","",COUNT(IF(IF($IK$9:$IK$150="",$IL$9:$IL$150,"")=$JC9,$II$9:$II$150,"")))</f>
        <v>55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ref="A10:A73" si="92">IF($K10="","",IF(ISNUMBER($K10),0.02,0))</f>
        <v>0.02</v>
      </c>
      <c r="B10" s="578">
        <f t="shared" ref="B10:D10" si="93">IFERROR(O165-($A10*E10),"")</f>
        <v>1.9318516721444166E-2</v>
      </c>
      <c r="C10" s="572">
        <f t="shared" si="93"/>
        <v>1.2593172204193095</v>
      </c>
      <c r="D10" s="576">
        <f t="shared" si="93"/>
        <v>-1.2943540858839533</v>
      </c>
      <c r="E10" s="580">
        <f t="shared" ref="E10:K10" si="94">R165</f>
        <v>-0.96592583607220739</v>
      </c>
      <c r="F10" s="572">
        <f t="shared" si="94"/>
        <v>-7.5671344153417031E-2</v>
      </c>
      <c r="G10" s="579">
        <f t="shared" si="94"/>
        <v>0.24750985209122953</v>
      </c>
      <c r="H10" s="580">
        <f t="shared" si="94"/>
        <v>0.375</v>
      </c>
      <c r="I10" s="572">
        <f t="shared" si="94"/>
        <v>0.52</v>
      </c>
      <c r="J10" s="483">
        <f t="shared" ref="J10:J73" si="95">IF(W165=0,"",W165)</f>
        <v>1.103</v>
      </c>
      <c r="K10" s="806">
        <f t="shared" si="94"/>
        <v>1913</v>
      </c>
      <c r="M10" s="164">
        <f t="shared" si="3"/>
        <v>1.103</v>
      </c>
      <c r="N10" s="575">
        <f t="shared" si="4"/>
        <v>1.9318516721444166E-2</v>
      </c>
      <c r="O10" s="572">
        <f t="shared" si="5"/>
        <v>1.2593172204193095</v>
      </c>
      <c r="P10" s="576">
        <f t="shared" si="6"/>
        <v>-1.2943540858839533</v>
      </c>
      <c r="Q10" s="528">
        <f>IF(M10="","",IF(DEGREES(ATAN2(N10,O10))&lt;0,DEGREES(ATAN2(N10,O10))+360,IF(DEGREES(ATAN2(N10,O10))&gt;360,DEGREES(ATAN2(N10,O10))-360,DEGREES(ATAN2(N10,O10)))))</f>
        <v>89.12112481082869</v>
      </c>
      <c r="R10" s="572">
        <f t="shared" ref="R10:R105" si="96">IF(M10="","",SQRT(N10^2+O10^2))</f>
        <v>1.2594653892556684</v>
      </c>
      <c r="S10" s="577">
        <f t="shared" ref="S10:S105" si="97">IF(M10="","",P10)</f>
        <v>-1.2943540858839533</v>
      </c>
      <c r="T10" s="578">
        <f t="shared" ref="T10:T105" si="98">IF(M10="","",X10*COS(RADIANS(W10)))</f>
        <v>1.2594065360134856</v>
      </c>
      <c r="U10" s="572">
        <f t="shared" ref="U10:U105" si="99">IF(M10="","",X10*SIN(RADIANS(W10)))</f>
        <v>-1.2175540211649565E-2</v>
      </c>
      <c r="V10" s="579">
        <f>IF(M10="","",Y10)</f>
        <v>-1.2943540858839533</v>
      </c>
      <c r="W10" s="528">
        <f t="shared" si="7"/>
        <v>359.44609995663586</v>
      </c>
      <c r="X10" s="572">
        <f t="shared" ref="X10:X105" si="100">IF(M10="","",R10)</f>
        <v>1.2594653892556684</v>
      </c>
      <c r="Y10" s="573">
        <f t="shared" si="8"/>
        <v>-1.2943540858839533</v>
      </c>
      <c r="Z10" s="575">
        <f t="shared" si="9"/>
        <v>0.96592583607220739</v>
      </c>
      <c r="AA10" s="572">
        <f t="shared" si="10"/>
        <v>7.5671344153417031E-2</v>
      </c>
      <c r="AB10" s="572">
        <f t="shared" si="11"/>
        <v>-0.24750985209122953</v>
      </c>
      <c r="AC10" s="579">
        <f t="shared" ref="AC10:AC105" si="101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2">IF(M10="","",AA10*(1/SQRT(Z10^2+AA10^2+AB10^2)))</f>
        <v>7.5671344153417031E-2</v>
      </c>
      <c r="AF10" s="576">
        <f t="shared" ref="AF10:AF105" si="103">IF(M10="","",AB10*(1/SQRT(Z10^2+AA10^2+AB10^2)))</f>
        <v>-0.24750985209122953</v>
      </c>
      <c r="AG10" s="545">
        <f t="shared" ref="AG10:AG105" si="104">IF(M10="","",DEGREES(ATAN2(-AF10,AE10)))</f>
        <v>16.999997545504034</v>
      </c>
      <c r="AH10" s="546">
        <f t="shared" ref="AH10:AH105" si="105">IF(M10="","",DEGREES(ACOS(AD10)))</f>
        <v>14.999997834268255</v>
      </c>
      <c r="AI10" s="528">
        <f t="shared" ref="AI10:AI105" si="106">IF(M10="","",DEGREES(-ACOS(-AF10)))</f>
        <v>-75.669793155054677</v>
      </c>
      <c r="AJ10" s="529">
        <f t="shared" ref="AJ10:AJ105" si="107">IF(M10="","",DEGREES(ATAN2(-AE10,AD10)))</f>
        <v>94.479444821922712</v>
      </c>
      <c r="AK10" s="578">
        <f>IF(M10="","",(COS(RADIANS((90-$Q$8)-W10))*AD10)+(-SIN(RADIANS((90-$Q$8)-W10))*AE10))</f>
        <v>0.96465150313047376</v>
      </c>
      <c r="AL10" s="572">
        <f t="shared" ref="AL10:AL105" si="108">IF(M10="","",(SIN(RADIANS((90-$Q$8)-W10))*AD10)+(COS(RADIANS((90-$Q$8)-W10))*AE10))</f>
        <v>9.047845393183522E-2</v>
      </c>
      <c r="AM10" s="577">
        <f t="shared" ref="AM10:AM105" si="109">IF(M10="","",AF10)</f>
        <v>-0.24750985209122953</v>
      </c>
      <c r="AN10" s="524">
        <f t="shared" ref="AN10:AN105" si="110">IF(M10="","",DEGREES(ATAN2(-AM10,AL10)))</f>
        <v>20.08013583906267</v>
      </c>
      <c r="AO10" s="525">
        <f t="shared" ref="AO10:AO54" si="111">IF(ROUND(IF(M10="",0,DEGREES(ACOS(AK10))),4)=90,0,IF(M10="","",DEGREES(ACOS(AK10))))</f>
        <v>15.279557699114704</v>
      </c>
      <c r="AP10" s="528">
        <f t="shared" ref="AP10:AP105" si="112">IF(M10="","",DEGREES(ATAN2(AK10,AL10)))</f>
        <v>5.3583200110940243</v>
      </c>
      <c r="AQ10" s="529">
        <f t="shared" si="12"/>
        <v>1.8094730399275494</v>
      </c>
      <c r="AS10" s="954">
        <f>IF($M10="","",IF(AND($W10&lt;($AS$9+180),$W10&gt;($AS$9-180)),$W10,IF($W10&gt;($AS$9+180),$W10-360,IF($W10&lt;($AS$9-180),$W10+360,"Error"))))</f>
        <v>359.44609995663586</v>
      </c>
      <c r="AT10" s="950">
        <f t="shared" si="13"/>
        <v>-1.2955728994108058</v>
      </c>
      <c r="AU10" s="418"/>
      <c r="AV10" s="164" t="str">
        <f t="shared" si="14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5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6"/>
        <v/>
      </c>
      <c r="BF10" s="4" t="str">
        <f t="shared" si="17"/>
        <v/>
      </c>
      <c r="BG10" s="5" t="str">
        <f t="shared" si="18"/>
        <v/>
      </c>
      <c r="BH10" s="10" t="str">
        <f t="shared" si="19"/>
        <v/>
      </c>
      <c r="BI10" s="9" t="str">
        <f>IF(ISNUMBER($AV10),BF10+0,"")</f>
        <v/>
      </c>
      <c r="BJ10" s="5" t="str">
        <f t="shared" si="20"/>
        <v/>
      </c>
      <c r="BK10" s="8" t="str">
        <f t="shared" si="21"/>
        <v/>
      </c>
      <c r="BL10" s="173" t="str">
        <f t="shared" si="22"/>
        <v/>
      </c>
      <c r="BM10" s="5" t="str">
        <f t="shared" si="23"/>
        <v/>
      </c>
      <c r="BN10" s="6" t="str">
        <f t="shared" si="24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3">IF(ISNUMBER($AV10),0,"")</f>
        <v/>
      </c>
      <c r="BT10" s="5" t="str">
        <f t="shared" si="113"/>
        <v/>
      </c>
      <c r="BU10" s="10" t="str">
        <f t="shared" ref="BU10:BU73" si="114">IF(ISNUMBER($AV10),$BE10,"")</f>
        <v/>
      </c>
      <c r="BV10" s="9" t="str">
        <f t="shared" ref="BV10:BV73" si="115">IF(ISNUMBER($AV10),0,"")</f>
        <v/>
      </c>
      <c r="BW10" s="5" t="str">
        <f t="shared" ref="BW10:BW73" si="116">IF(ISNUMBER($AV10),1,"")</f>
        <v/>
      </c>
      <c r="BX10" s="8" t="str">
        <f t="shared" ref="BX10:BX73" si="117">IF(ISNUMBER($AV10),$BE10,"")</f>
        <v/>
      </c>
      <c r="BY10" s="173" t="str">
        <f t="shared" ref="BY10:BY73" si="118">IF(ISNUMBER($AV10),1,"")</f>
        <v/>
      </c>
      <c r="BZ10" s="5" t="str">
        <f t="shared" ref="BZ10:BZ73" si="119">IF(ISNUMBER($AV10),0,"")</f>
        <v/>
      </c>
      <c r="CA10" s="6" t="str">
        <f t="shared" ref="CA10:CA73" si="120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1">IF(ISNUMBER($AV10),0,"")</f>
        <v/>
      </c>
      <c r="CJ10" s="5" t="str">
        <f t="shared" ref="CJ10:CJ73" si="122">IF(ISNUMBER($AV10),(CD10*BR10-BQ10*CE10)/(BQ10*CC10-CD10*BP10),"")</f>
        <v/>
      </c>
      <c r="CK10" s="8" t="str">
        <f t="shared" ref="CK10:CK73" si="123">IF(ISNUMBER($AV10),(CC10*BR10-BP10*CE10)/(-CC10*BQ10+BP10*CD10),"")</f>
        <v/>
      </c>
      <c r="CL10" s="173" t="str">
        <f t="shared" ref="CL10:CL73" si="124">IF(ISNUMBER($AV10),CI10+CF10,"")</f>
        <v/>
      </c>
      <c r="CM10" s="5" t="str">
        <f t="shared" ref="CM10:CM73" si="125">IF(ISNUMBER($AV10),CJ10+CG10,"")</f>
        <v/>
      </c>
      <c r="CN10" s="6" t="str">
        <f t="shared" ref="CN10:CN73" si="126">IF(ISNUMBER($AV10),CK10+CH10,"")</f>
        <v/>
      </c>
      <c r="CO10" s="167" t="str">
        <f t="shared" si="2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6"/>
        <v/>
      </c>
      <c r="CW10" s="5" t="str">
        <f t="shared" si="26"/>
        <v/>
      </c>
      <c r="CX10" s="8" t="str">
        <f t="shared" si="26"/>
        <v/>
      </c>
      <c r="CY10" s="9" t="str">
        <f t="shared" si="27"/>
        <v/>
      </c>
      <c r="CZ10" s="5" t="str">
        <f t="shared" si="27"/>
        <v/>
      </c>
      <c r="DA10" s="6" t="str">
        <f t="shared" si="2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0"/>
        <v/>
      </c>
      <c r="DP10" s="173" t="str">
        <f t="shared" si="30"/>
        <v/>
      </c>
      <c r="DQ10" s="11" t="str">
        <f t="shared" si="3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3"/>
        <v/>
      </c>
      <c r="EN10" s="5" t="str">
        <f t="shared" si="33"/>
        <v/>
      </c>
      <c r="EO10" s="10" t="str">
        <f t="shared" si="3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7">IF(ISNUMBER($AV10),AD10,"")</f>
        <v/>
      </c>
      <c r="ET10" s="5" t="str">
        <f t="shared" si="34"/>
        <v/>
      </c>
      <c r="EU10" s="10" t="str">
        <f t="shared" si="35"/>
        <v/>
      </c>
      <c r="EV10" s="174" t="str">
        <f>IF(ISNUMBER($AV10),IF(($EV$1-EP10)&lt;0,(360+($EV$1-EP10)),($EV$1-EP10)),"")</f>
        <v/>
      </c>
      <c r="EW10" s="9" t="str">
        <f t="shared" ref="EW10:EW40" si="128">IF(ISNUMBER($AV10),(COS(RADIANS($EV10))*ES10)+(-SIN(RADIANS($EV10))*ET10),"")</f>
        <v/>
      </c>
      <c r="EX10" s="5" t="str">
        <f t="shared" si="36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9">IF(ISNUMBER($AV10),SIN(RADIANS($EP10))*COS(RADIANS($EZ10)),"")</f>
        <v/>
      </c>
      <c r="FB10" s="267" t="str">
        <f t="shared" ref="FB10:FB53" si="130">IF(ISNUMBER($AV10),-1*COS(RADIANS($EP10))*COS(RADIANS($EZ10)),"")</f>
        <v/>
      </c>
      <c r="FC10" s="269" t="str">
        <f t="shared" si="37"/>
        <v/>
      </c>
      <c r="FD10" s="4" t="str">
        <f t="shared" ref="FD10:FD40" si="131">IF(ISNUMBER($AV10),(COS(RADIANS($EV10))*FA10)+(-SIN(RADIANS($EV10))*FB10),"")</f>
        <v/>
      </c>
      <c r="FE10" s="5" t="str">
        <f t="shared" si="38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39"/>
        <v/>
      </c>
      <c r="FI10" s="10" t="str">
        <f t="shared" si="40"/>
        <v/>
      </c>
      <c r="FJ10" s="279" t="str">
        <f>IF(ISNUMBER($AV10),DEGREES(ACOS((2-SQRT((FG10)^2+(FH10)^2+(FI10)^2)^2)/2)),"")</f>
        <v/>
      </c>
      <c r="FK10" s="4" t="str">
        <f t="shared" si="41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2"/>
        <v/>
      </c>
      <c r="FP10" s="277" t="str">
        <f t="shared" si="43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4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5"/>
        <v/>
      </c>
      <c r="GH10" s="286" t="str">
        <f t="shared" si="46"/>
        <v/>
      </c>
      <c r="GI10" s="281" t="str">
        <f t="shared" si="47"/>
        <v/>
      </c>
      <c r="GJ10" s="167" t="str">
        <f>IF(ISNUMBER($AV10),AW10,"")</f>
        <v/>
      </c>
      <c r="GK10" s="174" t="str">
        <f t="shared" si="48"/>
        <v/>
      </c>
      <c r="GL10" s="174" t="str">
        <f t="shared" si="49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0"/>
        <v/>
      </c>
      <c r="GT10" s="343" t="str">
        <f t="shared" si="51"/>
        <v/>
      </c>
      <c r="GU10" s="344" t="str">
        <f t="shared" si="52"/>
        <v/>
      </c>
      <c r="GV10" s="343" t="str">
        <f>IF(ISNUMBER($AV10),GW10*$GL10,"")</f>
        <v/>
      </c>
      <c r="GW10" s="345" t="str">
        <f t="shared" si="53"/>
        <v/>
      </c>
      <c r="GX10" s="346" t="str">
        <f t="shared" si="54"/>
        <v/>
      </c>
      <c r="GY10" s="344" t="str">
        <f t="shared" si="55"/>
        <v/>
      </c>
      <c r="GZ10" s="345" t="str">
        <f t="shared" si="56"/>
        <v/>
      </c>
      <c r="HA10" s="342" t="str">
        <f t="shared" si="57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8"/>
        <v/>
      </c>
      <c r="HF10" s="5" t="str">
        <f t="shared" si="59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0"/>
        <v/>
      </c>
      <c r="HJ10" s="336"/>
      <c r="HK10" s="310" t="str">
        <f t="shared" ref="HK10:HK41" si="132">IF(ISNUMBER(HS10),HK9+1,"")</f>
        <v/>
      </c>
      <c r="HL10" s="348" t="str">
        <f t="shared" si="61"/>
        <v/>
      </c>
      <c r="HM10" s="923" t="str">
        <f t="shared" si="62"/>
        <v/>
      </c>
      <c r="HN10" s="924" t="str">
        <f t="shared" si="63"/>
        <v/>
      </c>
      <c r="HO10" s="925"/>
      <c r="HP10" s="926"/>
      <c r="HQ10" s="924" t="str">
        <f t="shared" si="64"/>
        <v/>
      </c>
      <c r="HR10" s="927" t="str">
        <f t="shared" si="65"/>
        <v/>
      </c>
      <c r="HS10" s="879" t="str">
        <f>IFERROR(SMALL($GJ$9:$GJ$150,($HK9+1)),"")</f>
        <v/>
      </c>
      <c r="HT10" s="889" t="str">
        <f t="shared" si="66"/>
        <v/>
      </c>
      <c r="HU10" s="890" t="str">
        <f t="shared" si="67"/>
        <v/>
      </c>
      <c r="HV10" s="886" t="str">
        <f t="shared" si="68"/>
        <v/>
      </c>
      <c r="HW10" s="880" t="str">
        <f t="shared" si="69"/>
        <v/>
      </c>
      <c r="HX10" s="881" t="str">
        <f t="shared" si="70"/>
        <v/>
      </c>
      <c r="HY10" s="880" t="str">
        <f t="shared" si="71"/>
        <v/>
      </c>
      <c r="HZ10" s="882" t="str">
        <f t="shared" si="72"/>
        <v/>
      </c>
      <c r="IA10" s="883" t="str">
        <f t="shared" si="73"/>
        <v/>
      </c>
      <c r="IB10" s="884" t="str">
        <f t="shared" si="74"/>
        <v/>
      </c>
      <c r="IC10" s="855" t="str">
        <f t="shared" si="75"/>
        <v/>
      </c>
      <c r="ID10" s="351" t="str">
        <f t="shared" si="76"/>
        <v/>
      </c>
      <c r="IE10" s="857" t="str">
        <f t="shared" si="77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1.103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8"/>
        <v>1913</v>
      </c>
      <c r="IM10" s="482" t="str">
        <f>IF(ISNUMBER($IK10),INDEX($K$9:$K$150,MATCH($II10,$M$9:$M$150,0)),"")</f>
        <v/>
      </c>
      <c r="IN10" s="670" t="str">
        <f t="shared" si="80"/>
        <v/>
      </c>
      <c r="IO10" s="702"/>
      <c r="IP10" s="5" t="str">
        <f t="shared" si="81"/>
        <v/>
      </c>
      <c r="IQ10" s="714"/>
      <c r="IR10" s="9" t="str">
        <f t="shared" si="82"/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92"/>
        <v>0.02</v>
      </c>
      <c r="B11" s="578">
        <f t="shared" ref="B11:D11" si="133">IFERROR(O166-($A11*E11),"")</f>
        <v>1.9318516721444152E-2</v>
      </c>
      <c r="C11" s="572">
        <f t="shared" si="133"/>
        <v>2.2526590697691984</v>
      </c>
      <c r="D11" s="576">
        <f t="shared" si="133"/>
        <v>-0.93282541785572248</v>
      </c>
      <c r="E11" s="580">
        <f t="shared" ref="E11:K11" si="134">R166</f>
        <v>-0.9659258360722075</v>
      </c>
      <c r="F11" s="572">
        <f t="shared" si="134"/>
        <v>-6.2613976315943523E-2</v>
      </c>
      <c r="G11" s="579">
        <f t="shared" si="134"/>
        <v>0.25113098012414492</v>
      </c>
      <c r="H11" s="580">
        <f t="shared" si="134"/>
        <v>0.375</v>
      </c>
      <c r="I11" s="572">
        <f t="shared" si="134"/>
        <v>0.52</v>
      </c>
      <c r="J11" s="483">
        <f t="shared" si="95"/>
        <v>1.1060000000000001</v>
      </c>
      <c r="K11" s="806">
        <f t="shared" si="134"/>
        <v>1913</v>
      </c>
      <c r="L11" s="720" t="s">
        <v>323</v>
      </c>
      <c r="M11" s="164">
        <f t="shared" si="3"/>
        <v>1.1060000000000001</v>
      </c>
      <c r="N11" s="575">
        <f t="shared" si="4"/>
        <v>1.9318516721444152E-2</v>
      </c>
      <c r="O11" s="572">
        <f t="shared" si="5"/>
        <v>2.2526590697691984</v>
      </c>
      <c r="P11" s="576">
        <f t="shared" si="6"/>
        <v>-0.93282541785572248</v>
      </c>
      <c r="Q11" s="528">
        <f t="shared" ref="Q11:Q73" si="135">IF(M11="","",IF(DEGREES(ATAN2(N11,O11))&lt;0,DEGREES(ATAN2(N11,O11))+360,IF(DEGREES(ATAN2(N11,O11))&gt;360,DEGREES(ATAN2(N11,O11))-360,DEGREES(ATAN2(N11,O11)))))</f>
        <v>89.508650751673429</v>
      </c>
      <c r="R11" s="572">
        <f t="shared" si="96"/>
        <v>2.2527419048132762</v>
      </c>
      <c r="S11" s="577">
        <f t="shared" si="97"/>
        <v>-0.93282541785572248</v>
      </c>
      <c r="T11" s="578">
        <f t="shared" si="98"/>
        <v>2.2527324073565462</v>
      </c>
      <c r="U11" s="572">
        <f t="shared" si="99"/>
        <v>-6.5414484120107823E-3</v>
      </c>
      <c r="V11" s="579">
        <f t="shared" ref="V11:V105" si="136">IF(M11="","",Y11)</f>
        <v>-0.93282541785572248</v>
      </c>
      <c r="W11" s="528">
        <f t="shared" si="7"/>
        <v>359.8336258974806</v>
      </c>
      <c r="X11" s="572">
        <f>IF(M11="","",R11)</f>
        <v>2.2527419048132762</v>
      </c>
      <c r="Y11" s="573">
        <f t="shared" si="8"/>
        <v>-0.93282541785572248</v>
      </c>
      <c r="Z11" s="575">
        <f t="shared" si="9"/>
        <v>0.9659258360722075</v>
      </c>
      <c r="AA11" s="572">
        <f t="shared" si="10"/>
        <v>6.2613976315943523E-2</v>
      </c>
      <c r="AB11" s="572">
        <f t="shared" si="11"/>
        <v>-0.25113098012414492</v>
      </c>
      <c r="AC11" s="579">
        <f t="shared" si="101"/>
        <v>1</v>
      </c>
      <c r="AD11" s="580">
        <f t="shared" ref="AD11:AD105" si="137">IF(M11="","",Z11*(1/SQRT(Z11^2+AA11^2+AB11^2)))</f>
        <v>0.9659258360722075</v>
      </c>
      <c r="AE11" s="572">
        <f t="shared" si="102"/>
        <v>6.2613976315943523E-2</v>
      </c>
      <c r="AF11" s="576">
        <f t="shared" si="103"/>
        <v>-0.25113098012414492</v>
      </c>
      <c r="AG11" s="545">
        <f>IF(M11="","",DEGREES(ATAN2(-AF11,AE11)))</f>
        <v>13.999997978650384</v>
      </c>
      <c r="AH11" s="546">
        <f t="shared" si="105"/>
        <v>14.99999783426823</v>
      </c>
      <c r="AI11" s="528">
        <f t="shared" si="106"/>
        <v>-75.45555215083192</v>
      </c>
      <c r="AJ11" s="529">
        <f t="shared" si="107"/>
        <v>93.708881340251494</v>
      </c>
      <c r="AK11" s="578">
        <f>IF(M11="","",(COS(RADIANS((90-$Q$8)-W11))*AD11)+(-SIN(RADIANS((90-$Q$8)-W11))*AE11))</f>
        <v>0.96535336851393694</v>
      </c>
      <c r="AL11" s="572">
        <f t="shared" si="108"/>
        <v>7.0895026064469166E-2</v>
      </c>
      <c r="AM11" s="577">
        <f t="shared" si="109"/>
        <v>-0.25113098012414492</v>
      </c>
      <c r="AN11" s="524">
        <f>IF(M11="","",DEGREES(ATAN2(-AM11,AL11)))</f>
        <v>15.764531729271507</v>
      </c>
      <c r="AO11" s="525">
        <f>IF(ROUND(IF(M11="",0,DEGREES(ACOS(AK11))),4)=90,0,IF(M11="","",DEGREES(ACOS(AK11))))</f>
        <v>15.126208541260747</v>
      </c>
      <c r="AP11" s="528">
        <f t="shared" si="112"/>
        <v>4.2002305885780604</v>
      </c>
      <c r="AQ11" s="529">
        <f>IF(M11="","",DEGREES(ATAN(($AS$5*SIN(RADIANS(90)))/(($X11*2*PI())-($AS$5*COS(RADIANS(90)))))))</f>
        <v>1.0118734024049132</v>
      </c>
      <c r="AS11" s="954">
        <f t="shared" ref="AS11:AS42" si="138">IF(G11="","",IF(AND(W11&lt;(AS10+180),W11&gt;(AS10-180)),W11,IF(W11&gt;(AS10+180),W11-360,IF(W11&lt;(AS10-180),W11+360,"Error"))))</f>
        <v>359.8336258974806</v>
      </c>
      <c r="AT11" s="950">
        <f t="shared" si="13"/>
        <v>-0.93431334661927279</v>
      </c>
      <c r="AU11" s="418"/>
      <c r="AV11" s="164" t="str">
        <f t="shared" si="14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39">IF(ISNUMBER(AV11),$AY11*SQRT((2*PI()*$AW11)^2+$AS$5^2),"")</f>
        <v/>
      </c>
      <c r="BA11" s="296" t="str">
        <f t="shared" si="15"/>
        <v/>
      </c>
      <c r="BB11" s="291" t="str">
        <f t="shared" ref="BB11:BB73" si="140">IF(ISNUMBER($AV11),$AX11-($AT11+$AS$5),"")</f>
        <v/>
      </c>
      <c r="BC11" s="9"/>
      <c r="BD11" s="5" t="str">
        <f t="shared" ref="BD11:BD73" si="141">IF(ISNUMBER(AV11),AW11,"")</f>
        <v/>
      </c>
      <c r="BE11" s="6" t="str">
        <f t="shared" si="16"/>
        <v/>
      </c>
      <c r="BF11" s="4" t="str">
        <f t="shared" si="17"/>
        <v/>
      </c>
      <c r="BG11" s="5" t="str">
        <f t="shared" si="18"/>
        <v/>
      </c>
      <c r="BH11" s="10" t="str">
        <f t="shared" si="19"/>
        <v/>
      </c>
      <c r="BI11" s="9" t="str">
        <f t="shared" ref="BI11:BI74" si="142">IF(ISNUMBER($AV11),BF11+0,"")</f>
        <v/>
      </c>
      <c r="BJ11" s="5" t="str">
        <f t="shared" si="20"/>
        <v/>
      </c>
      <c r="BK11" s="8" t="str">
        <f t="shared" si="21"/>
        <v/>
      </c>
      <c r="BL11" s="173" t="str">
        <f t="shared" si="22"/>
        <v/>
      </c>
      <c r="BM11" s="5" t="str">
        <f t="shared" si="23"/>
        <v/>
      </c>
      <c r="BN11" s="6" t="str">
        <f t="shared" si="24"/>
        <v/>
      </c>
      <c r="BO11" s="4" t="str">
        <f t="shared" ref="BO11:BO74" si="143">IF(ISNUMBER($AV11),BJ11*BN11-BM11*BK11-BG11*(BN11-BK11)+BH11*(BM11-BJ11),"")</f>
        <v/>
      </c>
      <c r="BP11" s="5" t="str">
        <f t="shared" ref="BP11:BP74" si="144">IF(ISNUMBER($AV11),BF11*(BN11-BK11)-(BI11*BN11-BL11*BK11)+BH11*(BI11-BL11),"")</f>
        <v/>
      </c>
      <c r="BQ11" s="5" t="str">
        <f t="shared" ref="BQ11:BQ74" si="145">IF(ISNUMBER($AV11),BF11*(BJ11-BM11)-BG11*(BI11-BL11)+(BI11*BM11-BL11*BJ11),"")</f>
        <v/>
      </c>
      <c r="BR11" s="6" t="str">
        <f t="shared" ref="BR11:BR74" si="146">IF(ISNUMBER($AV11),-(BF11*(BJ11*BN11-BM11*BK11)-BG11*(BI11*BN11-BL11*BK11)+BH11*(BI11*BM11-BL11*BJ11)),"")</f>
        <v/>
      </c>
      <c r="BS11" s="4" t="str">
        <f t="shared" si="113"/>
        <v/>
      </c>
      <c r="BT11" s="5" t="str">
        <f t="shared" si="113"/>
        <v/>
      </c>
      <c r="BU11" s="10" t="str">
        <f t="shared" si="114"/>
        <v/>
      </c>
      <c r="BV11" s="9" t="str">
        <f t="shared" si="115"/>
        <v/>
      </c>
      <c r="BW11" s="5" t="str">
        <f t="shared" si="116"/>
        <v/>
      </c>
      <c r="BX11" s="8" t="str">
        <f t="shared" si="117"/>
        <v/>
      </c>
      <c r="BY11" s="173" t="str">
        <f t="shared" si="118"/>
        <v/>
      </c>
      <c r="BZ11" s="5" t="str">
        <f t="shared" si="119"/>
        <v/>
      </c>
      <c r="CA11" s="6" t="str">
        <f t="shared" si="120"/>
        <v/>
      </c>
      <c r="CB11" s="4" t="str">
        <f t="shared" ref="CB11:CB74" si="147">IF(ISNUMBER($AV11),BW11*CA11-BZ11*BX11-BT11*(CA11-BX11)+BU11*(BZ11-BW11),"")</f>
        <v/>
      </c>
      <c r="CC11" s="5" t="str">
        <f t="shared" ref="CC11:CC74" si="148">IF(ISNUMBER($AV11),BS11*(CA11-BX11)-(BV11*CA11-BY11*BX11)+BU11*(BV11-BY11),"")</f>
        <v/>
      </c>
      <c r="CD11" s="5" t="str">
        <f t="shared" ref="CD11:CD74" si="149">IF(ISNUMBER($AV11),BS11*(BW11-BZ11)-BT11*(BV11-BY11)+(BV11*BZ11-BY11*BW11),"")</f>
        <v/>
      </c>
      <c r="CE11" s="6" t="str">
        <f t="shared" ref="CE11:CE74" si="150">IF(ISNUMBER($AV11),-(BS11*(BW11*CA11-BZ11*BX11)-BT11*(BV11*CA11-BY11*BX11)+BU11*(BV11*BZ11-BY11*BW11)),"")</f>
        <v/>
      </c>
      <c r="CF11" s="4" t="str">
        <f t="shared" ref="CF11:CF74" si="151">IF(ISNUMBER($AV11),(BP11*CD11)-(BQ11*CC11),"")</f>
        <v/>
      </c>
      <c r="CG11" s="5" t="str">
        <f t="shared" ref="CG11:CG74" si="152">IF(ISNUMBER($AV11),(BQ11*CB11)-(BO11*CD11),"")</f>
        <v/>
      </c>
      <c r="CH11" s="5" t="str">
        <f t="shared" ref="CH11:CH74" si="153">IF(ISNUMBER($AV11),(BO11*CC11)-(BP11*CB11),"")</f>
        <v/>
      </c>
      <c r="CI11" s="4" t="str">
        <f t="shared" si="121"/>
        <v/>
      </c>
      <c r="CJ11" s="5" t="str">
        <f t="shared" si="122"/>
        <v/>
      </c>
      <c r="CK11" s="8" t="str">
        <f t="shared" si="123"/>
        <v/>
      </c>
      <c r="CL11" s="173" t="str">
        <f t="shared" si="124"/>
        <v/>
      </c>
      <c r="CM11" s="5" t="str">
        <f t="shared" si="125"/>
        <v/>
      </c>
      <c r="CN11" s="6" t="str">
        <f t="shared" si="126"/>
        <v/>
      </c>
      <c r="CO11" s="167" t="str">
        <f t="shared" si="2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4">IF(ISNUMBER($AV11),BF11^2+BG11^2+BH11^2+CI11^2+CJ11^2+CK11^2-2*(BF11*CI11+BG11*CJ11+BH11*CK11)-CO11^2,"")</f>
        <v/>
      </c>
      <c r="CS11" s="8" t="str">
        <f t="shared" ref="CS11:CS74" si="155">IF(ISNUMBER($AV11),CQ11^2-(4*CP11*CR11),"")</f>
        <v/>
      </c>
      <c r="CT11" s="9" t="str">
        <f t="shared" ref="CT11:CT74" si="156">IF(ISNUMBER($AV11),(-CQ11+SQRT(CS11))/(CP11*2),"")</f>
        <v/>
      </c>
      <c r="CU11" s="6" t="str">
        <f t="shared" ref="CU11:CU74" si="157">IF(ISNUMBER($AV11),(-CQ11-SQRT(CS11))/(CP11*2),"")</f>
        <v/>
      </c>
      <c r="CV11" s="4" t="str">
        <f>IF(ISNUMBER($AV11),CI11+($CT11*(CL11-CI11)),"")</f>
        <v/>
      </c>
      <c r="CW11" s="5" t="str">
        <f t="shared" ref="CW11:CW74" si="158">IF(ISNUMBER($AV11),CJ11+($CT11*(CM11-CJ11)),"")</f>
        <v/>
      </c>
      <c r="CX11" s="8" t="str">
        <f t="shared" ref="CX11:CX74" si="159">IF(ISNUMBER($AV11),CK11+($CT11*(CN11-CK11)),"")</f>
        <v/>
      </c>
      <c r="CY11" s="9" t="str">
        <f t="shared" ref="CY11:CY74" si="160">IF(ISNUMBER($AV11),CI11+($CU11*(CL11-CI11)),"")</f>
        <v/>
      </c>
      <c r="CZ11" s="5" t="str">
        <f t="shared" ref="CZ11:CZ74" si="161">IF(ISNUMBER($AV11),CJ11+($CU11*(CM11-CJ11)),"")</f>
        <v/>
      </c>
      <c r="DA11" s="6" t="str">
        <f t="shared" ref="DA11:DA74" si="162">IF(ISNUMBER($AV11),CK11+($CU11*(CN11-CK11)),"")</f>
        <v/>
      </c>
      <c r="DB11" s="4" t="str">
        <f t="shared" ref="DB11:DC42" si="163">IF(ISNUMBER($AV11),0,"")</f>
        <v/>
      </c>
      <c r="DC11" s="5" t="str">
        <f t="shared" si="163"/>
        <v/>
      </c>
      <c r="DD11" s="10" t="str">
        <f t="shared" ref="DD11:DD74" si="164">IF(ISNUMBER($AV11),-10,"")</f>
        <v/>
      </c>
      <c r="DE11" s="9" t="str">
        <f t="shared" ref="DE11:DF42" si="165">IF(ISNUMBER($AV11),0,"")</f>
        <v/>
      </c>
      <c r="DF11" s="5" t="str">
        <f t="shared" si="165"/>
        <v/>
      </c>
      <c r="DG11" s="10" t="str">
        <f t="shared" ref="DG11:DG74" si="166">IF(ISNUMBER($AV11),10,"")</f>
        <v/>
      </c>
      <c r="DH11" s="70" t="str">
        <f t="shared" ref="DH11:DH74" si="167">IF(ISNUMBER($AV11),BD11,"")</f>
        <v/>
      </c>
      <c r="DI11" s="4" t="str">
        <f t="shared" ref="DI11:DI74" si="168">IF(ISNUMBER($AV11),DE11-DB11,"")</f>
        <v/>
      </c>
      <c r="DJ11" s="5" t="str">
        <f t="shared" ref="DJ11:DJ74" si="169">IF(ISNUMBER($AV11),DF11-DC11,"")</f>
        <v/>
      </c>
      <c r="DK11" s="10" t="str">
        <f t="shared" ref="DK11:DK74" si="170">IF(ISNUMBER($AV11),DG11-DD11,"")</f>
        <v/>
      </c>
      <c r="DL11" s="9" t="str">
        <f t="shared" ref="DL11:DL74" si="171">IF(ISNUMBER($AV11),CV11-DB11,"")</f>
        <v/>
      </c>
      <c r="DM11" s="173" t="str">
        <f t="shared" ref="DM11:DM74" si="172">IF(ISNUMBER($AV11),CW11-DC11,"")</f>
        <v/>
      </c>
      <c r="DN11" s="178" t="str">
        <f t="shared" ref="DN11:DN74" si="173">IF(ISNUMBER($AV11),CX11-DD11,"")</f>
        <v/>
      </c>
      <c r="DO11" s="9" t="str">
        <f t="shared" ref="DO11:DO74" si="174">IF(ISNUMBER($AV11),CY11-CV11,"")</f>
        <v/>
      </c>
      <c r="DP11" s="173" t="str">
        <f t="shared" ref="DP11:DP74" si="175">IF(ISNUMBER($AV11),CZ11-CW11,"")</f>
        <v/>
      </c>
      <c r="DQ11" s="11" t="str">
        <f t="shared" ref="DQ11:DQ74" si="176">IF(ISNUMBER($AV11),DA11-CX11,"")</f>
        <v/>
      </c>
      <c r="DR11" s="173" t="str">
        <f t="shared" ref="DR11:DR74" si="177">IF(ISNUMBER($AV11),SUMPRODUCT(DI11:DK11,DL11:DN11),"")</f>
        <v/>
      </c>
      <c r="DS11" s="5" t="str">
        <f t="shared" ref="DS11:DS74" si="178">IF(ISNUMBER($AV11),SUMPRODUCT(DO11:DQ11,DI11:DK11),"")</f>
        <v/>
      </c>
      <c r="DT11" s="5" t="str">
        <f t="shared" ref="DT11:DT74" si="179">IF(ISNUMBER($AV11),SUMPRODUCT(DI11:DK11,DI11:DK11),"")</f>
        <v/>
      </c>
      <c r="DU11" s="5" t="str">
        <f t="shared" ref="DU11:DU74" si="180">IF(ISNUMBER($AV11),SUMPRODUCT(DO11:DQ11,DO11:DQ11),"")</f>
        <v/>
      </c>
      <c r="DV11" s="5" t="str">
        <f t="shared" ref="DV11:DV74" si="181">IF(ISNUMBER($AV11),SUMPRODUCT(DL11:DN11,DO11:DQ11),"")</f>
        <v/>
      </c>
      <c r="DW11" s="5" t="str">
        <f t="shared" ref="DW11:DW74" si="182">IF(ISNUMBER($AV11),SUMPRODUCT(DL11:DN11,DL11:DN11),"")</f>
        <v/>
      </c>
      <c r="DX11" s="167" t="str">
        <f t="shared" ref="DX11:DX74" si="183">IF(ISNUMBER($AV11),DW11-DH11*DH11,"")</f>
        <v/>
      </c>
      <c r="DY11" s="9" t="str">
        <f t="shared" ref="DY11:DY74" si="184">IF(ISNUMBER($AV11),DT11*DU11-DS11*DS11,"")</f>
        <v/>
      </c>
      <c r="DZ11" s="5" t="str">
        <f t="shared" ref="DZ11:DZ74" si="185">IF(ISNUMBER($AV11),DT11*DV11-DS11*DR11,"")</f>
        <v/>
      </c>
      <c r="EA11" s="10" t="str">
        <f t="shared" ref="EA11:EA74" si="186">IF(ISNUMBER($AV11),DT11*DX11-DR11*DR11,"")</f>
        <v/>
      </c>
      <c r="EB11" s="6" t="str">
        <f t="shared" ref="EB11:EB74" si="187">IF(ISNUMBER($AV11),DZ11*DZ11-DY11*EA11,"")</f>
        <v/>
      </c>
      <c r="EC11" s="173" t="str">
        <f t="shared" ref="EC11:EC74" si="188">IF(ISNUMBER($AV11),(-DZ11+SQRT(DZ11^2-DY11*EA11))/DY11,"")</f>
        <v/>
      </c>
      <c r="ED11" s="5" t="str">
        <f t="shared" ref="ED11:ED74" si="189">IF(ISNUMBER($AV11),(-DZ11-SQRT(DZ11^2-DY11*EA11))/DY11,"")</f>
        <v/>
      </c>
      <c r="EE11" s="4" t="str">
        <f t="shared" ref="EE11:EE74" si="190">IF(ISNUMBER($AV11),CV11+DO11*$EC11,"")</f>
        <v/>
      </c>
      <c r="EF11" s="5" t="str">
        <f t="shared" ref="EF11:EF74" si="191">IF(ISNUMBER($AV11),CW11+DP11*$EC11,"")</f>
        <v/>
      </c>
      <c r="EG11" s="10" t="str">
        <f t="shared" ref="EG11:EG74" si="192">IF(ISNUMBER($AV11),CX11+DQ11*$EC11,"")</f>
        <v/>
      </c>
      <c r="EH11" s="9" t="str">
        <f t="shared" ref="EH11:EH74" si="193">IF(ISNUMBER($AV11),CV11+DO11*$ED11,"")</f>
        <v/>
      </c>
      <c r="EI11" s="5" t="str">
        <f t="shared" ref="EI11:EI74" si="194">IF(ISNUMBER($AV11),CW11+DP11*$ED11,"")</f>
        <v/>
      </c>
      <c r="EJ11" s="6" t="str">
        <f t="shared" ref="EJ11:EJ74" si="195">IF(ISNUMBER($AV11),CX11+DQ11*$ED11,"")</f>
        <v/>
      </c>
      <c r="EK11" s="236" t="str">
        <f t="shared" ref="EK11:EK74" si="196">IF(ISNUMBER($AV11),IF(OR($EC11&lt;0,$EC11&gt;1),FALSE,TRUE),"")</f>
        <v/>
      </c>
      <c r="EL11" s="238" t="str">
        <f t="shared" ref="EL11:EL74" si="197">IF(ISNUMBER($AV11),IF(OR($ED11&lt;0,$ED11&gt;1),FALSE,TRUE),"")</f>
        <v/>
      </c>
      <c r="EM11" s="4" t="str">
        <f t="shared" ref="EM11:EM74" si="198">IF(ISNUMBER($AV11),IF($EK11=TRUE,EE11,IF($EL11=TRUE,EH11,"")),"")</f>
        <v/>
      </c>
      <c r="EN11" s="5" t="str">
        <f t="shared" ref="EN11:EN74" si="199">IF(ISNUMBER($AV11),IF($EK11=TRUE,EF11,IF($EL11=TRUE,EI11,"")),"")</f>
        <v/>
      </c>
      <c r="EO11" s="10" t="str">
        <f t="shared" ref="EO11:EO74" si="200">IF(ISNUMBER($AV11),IF($EK11=TRUE,EG11,IF($EL11=TRUE,EJ11,"")),"")</f>
        <v/>
      </c>
      <c r="EP11" s="9" t="str">
        <f t="shared" ref="EP11:EP74" si="201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2">IF(ISNUMBER($AV11),SQRT(EM11^2+EN11^2),"")</f>
        <v/>
      </c>
      <c r="ER11" s="7" t="str">
        <f t="shared" ref="ER11:ER74" si="203">IF(ISNUMBER($AV11),EO11,"")</f>
        <v/>
      </c>
      <c r="ES11" s="21" t="str">
        <f t="shared" si="127"/>
        <v/>
      </c>
      <c r="ET11" s="5" t="str">
        <f t="shared" si="34"/>
        <v/>
      </c>
      <c r="EU11" s="10" t="str">
        <f t="shared" si="35"/>
        <v/>
      </c>
      <c r="EV11" s="174" t="str">
        <f>IF(ISNUMBER($AV11),IF(($EV$1-EP11)&lt;0,(360+($EV$1-EP11)),($EV$1-EP11)),"")</f>
        <v/>
      </c>
      <c r="EW11" s="9" t="str">
        <f t="shared" si="128"/>
        <v/>
      </c>
      <c r="EX11" s="5" t="str">
        <f t="shared" si="36"/>
        <v/>
      </c>
      <c r="EY11" s="6" t="str">
        <f t="shared" ref="EY11:EY74" si="204">IF(ISNUMBER($AV11),EU11,"")</f>
        <v/>
      </c>
      <c r="EZ11" s="51" t="str">
        <f t="shared" ref="EZ11:EZ74" si="205">IF(ISNUMBER($AV11),DEGREES(ATAN($AS$5/($EQ11*2*PI()))),"")</f>
        <v/>
      </c>
      <c r="FA11" s="266" t="str">
        <f t="shared" si="129"/>
        <v/>
      </c>
      <c r="FB11" s="267" t="str">
        <f t="shared" si="130"/>
        <v/>
      </c>
      <c r="FC11" s="269" t="str">
        <f t="shared" si="37"/>
        <v/>
      </c>
      <c r="FD11" s="4" t="str">
        <f t="shared" si="131"/>
        <v/>
      </c>
      <c r="FE11" s="5" t="str">
        <f t="shared" si="38"/>
        <v/>
      </c>
      <c r="FF11" s="7" t="str">
        <f t="shared" ref="FF11:FF74" si="206">IF(ISNUMBER($AV11),FC11,"")</f>
        <v/>
      </c>
      <c r="FG11" s="173" t="str">
        <f t="shared" ref="FG11:FG40" si="207">IF(ISNUMBER($AV11),EW11-FD11,"")</f>
        <v/>
      </c>
      <c r="FH11" s="5" t="str">
        <f t="shared" si="39"/>
        <v/>
      </c>
      <c r="FI11" s="10" t="str">
        <f t="shared" si="40"/>
        <v/>
      </c>
      <c r="FJ11" s="279" t="str">
        <f t="shared" ref="FJ11:FJ74" si="208">IF(ISNUMBER($AV11),DEGREES(ACOS((2-SQRT((FG11)^2+(FH11)^2+(FI11)^2)^2)/2)),"")</f>
        <v/>
      </c>
      <c r="FK11" s="4" t="str">
        <f t="shared" si="41"/>
        <v/>
      </c>
      <c r="FL11" s="5" t="str">
        <f t="shared" ref="FL11:FL73" si="209">IF(ISNUMBER($AV11),SQRT(FA11^2+FB11^2),"")</f>
        <v/>
      </c>
      <c r="FM11" s="8" t="str">
        <f t="shared" ref="FM11:FM73" si="210">IF(ISNUMBER($AV11),SQRT(FG11^2+FH11^2),"")</f>
        <v/>
      </c>
      <c r="FN11" s="9" t="str">
        <f t="shared" ref="FN11:FN73" si="211">IF(ISNUMBER($AV11),DEGREES(ACOS((FK11^2+FL11^2-FM11^2)/(2*FK11*FL11))),"")</f>
        <v/>
      </c>
      <c r="FO11" s="10" t="str">
        <f t="shared" si="42"/>
        <v/>
      </c>
      <c r="FP11" s="277" t="str">
        <f t="shared" si="43"/>
        <v/>
      </c>
      <c r="FQ11" s="173" t="str">
        <f>IF(ISNUMBER($AV11),SIN(RADIANS(FN11)),"")</f>
        <v/>
      </c>
      <c r="FR11" s="10" t="str">
        <f t="shared" ref="FR11:FR74" si="212">IF(ISNUMBER($AV11),COS(RADIANS(FN11)),"")</f>
        <v/>
      </c>
      <c r="FS11" s="9" t="str">
        <f t="shared" ref="FS11:FS74" si="213">IF(ISNUMBER($AV11),FQ11/(FQ11+FR11),"")</f>
        <v/>
      </c>
      <c r="FT11" s="6" t="str">
        <f t="shared" ref="FT11:FT74" si="214">IF(ISNUMBER($AV11),FR11/(FQ11+FR11),"")</f>
        <v/>
      </c>
      <c r="FU11" s="4" t="str">
        <f t="shared" ref="FU11:FU74" si="215">IF(ISNUMBER($AV11),SQRT(EW11^2+EY11^2),"")</f>
        <v/>
      </c>
      <c r="FV11" s="5" t="str">
        <f t="shared" ref="FV11:FV74" si="21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4"/>
        <v/>
      </c>
      <c r="FZ11" s="277" t="str">
        <f>IF(ISNUMBER($AV11),FX11*FY11,"")</f>
        <v/>
      </c>
      <c r="GA11" s="177" t="str">
        <f t="shared" ref="GA11:GA74" si="217">IF(ISNUMBER($AV11),DEGREES(FZ11*SIN(RADIANS(FU11))),"")</f>
        <v/>
      </c>
      <c r="GB11" s="4" t="str">
        <f t="shared" ref="GB11:GB74" si="218">IF(ISNUMBER($AV11),COS(RADIANS(FP11+90))*COS(RADIANS(FZ11)),"")</f>
        <v/>
      </c>
      <c r="GC11" s="5" t="str">
        <f t="shared" ref="GC11:GC74" si="219">IF(ISNUMBER($AV11),SIN(RADIANS(FP11+90))*COS(RADIANS(FZ11)),"")</f>
        <v/>
      </c>
      <c r="GD11" s="10" t="str">
        <f t="shared" ref="GD11:GD74" si="220">IF(ISNUMBER($AV11),-SIN(RADIANS(FZ11)),"")</f>
        <v/>
      </c>
      <c r="GE11" s="311" t="str">
        <f t="shared" ref="GE11:GE74" si="221">IF(ISNUMBER($AV11),SUM(ABS(GB11),ABS(GC11),ABS(GD11)),"")</f>
        <v/>
      </c>
      <c r="GF11" s="341" t="str">
        <f>IF(ISNUMBER($AV11),1/GE11,"")</f>
        <v/>
      </c>
      <c r="GG11" s="285" t="str">
        <f t="shared" si="45"/>
        <v/>
      </c>
      <c r="GH11" s="286" t="str">
        <f t="shared" si="46"/>
        <v/>
      </c>
      <c r="GI11" s="281" t="str">
        <f t="shared" si="47"/>
        <v/>
      </c>
      <c r="GJ11" s="167" t="str">
        <f t="shared" ref="GJ11:GJ74" si="222">IF(ISNUMBER($AV11),AW11,"")</f>
        <v/>
      </c>
      <c r="GK11" s="174" t="str">
        <f t="shared" si="48"/>
        <v/>
      </c>
      <c r="GL11" s="174" t="str">
        <f t="shared" ref="GL11:GL74" si="223">IF(ISNUMBER($AV11),AY11,"")</f>
        <v/>
      </c>
      <c r="GM11" s="9" t="str">
        <f>IF(ISNUMBER($AV11),AZ11,"")</f>
        <v/>
      </c>
      <c r="GN11" s="281" t="str">
        <f t="shared" ref="GN11:GN74" si="224">IF(ISNUMBER($AV11),BA11,"")</f>
        <v/>
      </c>
      <c r="GO11" s="4" t="str">
        <f t="shared" ref="GO11:GO74" si="225">IF(ISNUMBER($AV11),FP11,"")</f>
        <v/>
      </c>
      <c r="GP11" s="8" t="str">
        <f>IF(ISNUMBER($AV11),FZ11,"")</f>
        <v/>
      </c>
      <c r="GQ11" s="177" t="str">
        <f t="shared" ref="GQ11:GQ74" si="226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1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4"/>
        <v/>
      </c>
      <c r="GY11" s="344" t="str">
        <f t="shared" si="55"/>
        <v/>
      </c>
      <c r="GZ11" s="345" t="str">
        <f t="shared" si="56"/>
        <v/>
      </c>
      <c r="HA11" s="342" t="str">
        <f t="shared" si="57"/>
        <v/>
      </c>
      <c r="HB11" s="5" t="str">
        <f t="shared" ref="HB11:HB74" si="227">IF(ISNUMBER($AV11),$EV11,"")</f>
        <v/>
      </c>
      <c r="HC11" s="343" t="str">
        <f t="shared" ref="HC11:HC74" si="228">IF(ISNUMBER($AV11),HA11*COS(RADIANS(HB11)),"")</f>
        <v/>
      </c>
      <c r="HD11" s="345" t="str">
        <f t="shared" ref="HD11:HD74" si="229">IF(ISNUMBER($AV11),HA11*SIN(RADIANS(HB11)),"")</f>
        <v/>
      </c>
      <c r="HE11" s="344" t="str">
        <f t="shared" si="58"/>
        <v/>
      </c>
      <c r="HF11" s="5" t="str">
        <f t="shared" si="59"/>
        <v/>
      </c>
      <c r="HG11" s="343" t="str">
        <f t="shared" ref="HG11:HG74" si="230">IF(ISNUMBER($AV11),HE11*COS(RADIANS(HF11)),"")</f>
        <v/>
      </c>
      <c r="HH11" s="349" t="str">
        <f t="shared" ref="HH11:HH74" si="231">IF(ISNUMBER($AV11),HE11*SIN(RADIANS(HF11)),"")</f>
        <v/>
      </c>
      <c r="HI11" s="317" t="str">
        <f t="shared" si="60"/>
        <v/>
      </c>
      <c r="HJ11" s="336"/>
      <c r="HK11" s="310" t="str">
        <f t="shared" si="132"/>
        <v/>
      </c>
      <c r="HL11" s="348" t="str">
        <f t="shared" si="61"/>
        <v/>
      </c>
      <c r="HM11" s="923" t="str">
        <f t="shared" si="62"/>
        <v/>
      </c>
      <c r="HN11" s="924" t="str">
        <f t="shared" si="63"/>
        <v/>
      </c>
      <c r="HO11" s="925"/>
      <c r="HP11" s="926"/>
      <c r="HQ11" s="924" t="str">
        <f t="shared" si="64"/>
        <v/>
      </c>
      <c r="HR11" s="927" t="str">
        <f t="shared" si="65"/>
        <v/>
      </c>
      <c r="HS11" s="879" t="str">
        <f>IFERROR(SMALL($GJ$9:$GJ$150,($HK10+1)),"")</f>
        <v/>
      </c>
      <c r="HT11" s="889" t="str">
        <f t="shared" si="66"/>
        <v/>
      </c>
      <c r="HU11" s="890" t="str">
        <f t="shared" si="67"/>
        <v/>
      </c>
      <c r="HV11" s="886" t="str">
        <f t="shared" si="68"/>
        <v/>
      </c>
      <c r="HW11" s="880" t="str">
        <f t="shared" si="69"/>
        <v/>
      </c>
      <c r="HX11" s="881" t="str">
        <f t="shared" si="70"/>
        <v/>
      </c>
      <c r="HY11" s="880" t="str">
        <f t="shared" si="71"/>
        <v/>
      </c>
      <c r="HZ11" s="882" t="str">
        <f t="shared" si="72"/>
        <v/>
      </c>
      <c r="IA11" s="883" t="str">
        <f t="shared" si="73"/>
        <v/>
      </c>
      <c r="IB11" s="884" t="str">
        <f t="shared" si="74"/>
        <v/>
      </c>
      <c r="IC11" s="855" t="str">
        <f t="shared" si="75"/>
        <v/>
      </c>
      <c r="ID11" s="351" t="str">
        <f t="shared" si="76"/>
        <v/>
      </c>
      <c r="IE11" s="857" t="str">
        <f t="shared" si="77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2">$M11</f>
        <v>1.1060000000000001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8"/>
        <v>1913</v>
      </c>
      <c r="IM11" s="482" t="str">
        <f t="shared" ref="IM11:IM74" si="233">IF(ISNUMBER($IK11),INDEX($K$9:$K$150,MATCH($II11,$M$9:$M$150,0)),"")</f>
        <v/>
      </c>
      <c r="IN11" s="670" t="str">
        <f t="shared" si="80"/>
        <v/>
      </c>
      <c r="IO11" s="702"/>
      <c r="IP11" s="5" t="str">
        <f t="shared" si="81"/>
        <v/>
      </c>
      <c r="IQ11" s="714"/>
      <c r="IR11" s="9" t="str">
        <f t="shared" si="8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92"/>
        <v>0.02</v>
      </c>
      <c r="B12" s="578">
        <f t="shared" ref="B12:D12" si="234">IFERROR(O167-($A12*E12),"")</f>
        <v>1.9318516721444114E-2</v>
      </c>
      <c r="C12" s="572">
        <f t="shared" si="234"/>
        <v>3.2458086555032053</v>
      </c>
      <c r="D12" s="576">
        <f t="shared" si="234"/>
        <v>-0.57129944701275537</v>
      </c>
      <c r="E12" s="580">
        <f t="shared" ref="E12:K12" si="235">R167</f>
        <v>-0.96592583607220739</v>
      </c>
      <c r="F12" s="572">
        <f t="shared" si="235"/>
        <v>-4.4943442764441774E-2</v>
      </c>
      <c r="G12" s="579">
        <f t="shared" si="235"/>
        <v>0.25488696742024014</v>
      </c>
      <c r="H12" s="580">
        <f t="shared" si="235"/>
        <v>0.375</v>
      </c>
      <c r="I12" s="572">
        <f t="shared" si="235"/>
        <v>0.52</v>
      </c>
      <c r="J12" s="483">
        <f t="shared" si="95"/>
        <v>1.1100000000000001</v>
      </c>
      <c r="K12" s="806">
        <f t="shared" si="235"/>
        <v>1913</v>
      </c>
      <c r="L12" s="716" t="s">
        <v>357</v>
      </c>
      <c r="M12" s="164">
        <f t="shared" si="3"/>
        <v>1.1100000000000001</v>
      </c>
      <c r="N12" s="575">
        <f t="shared" si="4"/>
        <v>1.9318516721444114E-2</v>
      </c>
      <c r="O12" s="572">
        <f t="shared" si="5"/>
        <v>3.2458086555032053</v>
      </c>
      <c r="P12" s="576">
        <f t="shared" si="6"/>
        <v>-0.57129944701275537</v>
      </c>
      <c r="Q12" s="528">
        <f>IF(M12="","",IF(DEGREES(ATAN2(N12,O12))&lt;0,DEGREES(ATAN2(N12,O12))+360,IF(DEGREES(ATAN2(N12,O12))&gt;360,DEGREES(ATAN2(N12,O12))-360,DEGREES(ATAN2(N12,O12)))))</f>
        <v>89.658989015586684</v>
      </c>
      <c r="R12" s="572">
        <f t="shared" si="96"/>
        <v>3.2458661453035678</v>
      </c>
      <c r="S12" s="577">
        <f t="shared" si="97"/>
        <v>-0.57129944701275537</v>
      </c>
      <c r="T12" s="578">
        <f>IF(M12="","",X12*COS(RADIANS(W12)))</f>
        <v>3.2458660181763053</v>
      </c>
      <c r="U12" s="572">
        <f t="shared" si="99"/>
        <v>-9.0844710388611992E-4</v>
      </c>
      <c r="V12" s="579">
        <f t="shared" si="136"/>
        <v>-0.57129944701275537</v>
      </c>
      <c r="W12" s="528">
        <f>IF(M12="","",IF(Q12-$Q$8&lt;0,360+Q12-$Q$8,Q12-$Q$8))</f>
        <v>359.98396416139389</v>
      </c>
      <c r="X12" s="572">
        <f t="shared" si="100"/>
        <v>3.2458661453035678</v>
      </c>
      <c r="Y12" s="573">
        <f t="shared" si="8"/>
        <v>-0.57129944701275537</v>
      </c>
      <c r="Z12" s="575">
        <f t="shared" si="9"/>
        <v>0.96592583607220739</v>
      </c>
      <c r="AA12" s="572">
        <f t="shared" si="10"/>
        <v>4.4943442764441774E-2</v>
      </c>
      <c r="AB12" s="572">
        <f t="shared" si="11"/>
        <v>-0.25488696742024014</v>
      </c>
      <c r="AC12" s="579">
        <f t="shared" si="101"/>
        <v>1</v>
      </c>
      <c r="AD12" s="580">
        <f t="shared" si="137"/>
        <v>0.96592583607220739</v>
      </c>
      <c r="AE12" s="572">
        <f t="shared" si="102"/>
        <v>4.4943442764441774E-2</v>
      </c>
      <c r="AF12" s="576">
        <f t="shared" si="103"/>
        <v>-0.25488696742024014</v>
      </c>
      <c r="AG12" s="545">
        <f t="shared" si="104"/>
        <v>9.9999985561788431</v>
      </c>
      <c r="AH12" s="546">
        <f t="shared" si="105"/>
        <v>14.999997834268255</v>
      </c>
      <c r="AI12" s="528">
        <f t="shared" si="106"/>
        <v>-75.233112454846449</v>
      </c>
      <c r="AJ12" s="529">
        <f t="shared" si="107"/>
        <v>92.663986834246515</v>
      </c>
      <c r="AK12" s="578">
        <f t="shared" ref="AK12:AK105" si="236">IF(M12="","",(COS(RADIANS((90-$Q$8)-W12))*AD12)+(-SIN(RADIANS((90-$Q$8)-W12))*AE12))</f>
        <v>0.96564123667941315</v>
      </c>
      <c r="AL12" s="572">
        <f>IF(M12="","",(SIN(RADIANS((90-$Q$8)-W12))*AD12)+(COS(RADIANS((90-$Q$8)-W12))*AE12))</f>
        <v>5.0691575863915955E-2</v>
      </c>
      <c r="AM12" s="577">
        <f t="shared" si="109"/>
        <v>-0.25488696742024014</v>
      </c>
      <c r="AN12" s="524">
        <f>IF(M12="","",DEGREES(ATAN2(-AM12,AL12)))</f>
        <v>11.248141625860409</v>
      </c>
      <c r="AO12" s="525">
        <f t="shared" si="111"/>
        <v>15.062871983597942</v>
      </c>
      <c r="AP12" s="528">
        <f t="shared" si="112"/>
        <v>3.0049978186598083</v>
      </c>
      <c r="AQ12" s="529">
        <f t="shared" si="12"/>
        <v>0.7023125268161321</v>
      </c>
      <c r="AS12" s="954">
        <f t="shared" si="138"/>
        <v>359.98396416139389</v>
      </c>
      <c r="AT12" s="950">
        <f>IF(M12="","",Y12+(((AS12-$AS$9)*$AS$6)*-1))</f>
        <v>-0.57289177734846763</v>
      </c>
      <c r="AU12" s="418"/>
      <c r="AV12" s="164" t="str">
        <f t="shared" si="14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39"/>
        <v/>
      </c>
      <c r="BA12" s="296" t="str">
        <f t="shared" si="15"/>
        <v/>
      </c>
      <c r="BB12" s="291" t="str">
        <f t="shared" si="140"/>
        <v/>
      </c>
      <c r="BC12" s="9"/>
      <c r="BD12" s="5" t="str">
        <f t="shared" si="141"/>
        <v/>
      </c>
      <c r="BE12" s="6" t="str">
        <f t="shared" si="16"/>
        <v/>
      </c>
      <c r="BF12" s="4" t="str">
        <f t="shared" si="17"/>
        <v/>
      </c>
      <c r="BG12" s="5" t="str">
        <f t="shared" si="18"/>
        <v/>
      </c>
      <c r="BH12" s="10" t="str">
        <f t="shared" si="19"/>
        <v/>
      </c>
      <c r="BI12" s="9" t="str">
        <f t="shared" si="142"/>
        <v/>
      </c>
      <c r="BJ12" s="5" t="str">
        <f t="shared" si="20"/>
        <v/>
      </c>
      <c r="BK12" s="8" t="str">
        <f t="shared" si="21"/>
        <v/>
      </c>
      <c r="BL12" s="173" t="str">
        <f t="shared" si="22"/>
        <v/>
      </c>
      <c r="BM12" s="5" t="str">
        <f t="shared" si="23"/>
        <v/>
      </c>
      <c r="BN12" s="6" t="str">
        <f t="shared" si="24"/>
        <v/>
      </c>
      <c r="BO12" s="4" t="str">
        <f t="shared" si="143"/>
        <v/>
      </c>
      <c r="BP12" s="5" t="str">
        <f t="shared" si="144"/>
        <v/>
      </c>
      <c r="BQ12" s="5" t="str">
        <f t="shared" si="145"/>
        <v/>
      </c>
      <c r="BR12" s="6" t="str">
        <f t="shared" si="146"/>
        <v/>
      </c>
      <c r="BS12" s="4" t="str">
        <f t="shared" si="113"/>
        <v/>
      </c>
      <c r="BT12" s="5" t="str">
        <f t="shared" si="113"/>
        <v/>
      </c>
      <c r="BU12" s="10" t="str">
        <f t="shared" si="114"/>
        <v/>
      </c>
      <c r="BV12" s="9" t="str">
        <f t="shared" si="115"/>
        <v/>
      </c>
      <c r="BW12" s="5" t="str">
        <f t="shared" si="116"/>
        <v/>
      </c>
      <c r="BX12" s="8" t="str">
        <f t="shared" si="117"/>
        <v/>
      </c>
      <c r="BY12" s="173" t="str">
        <f t="shared" si="118"/>
        <v/>
      </c>
      <c r="BZ12" s="5" t="str">
        <f t="shared" si="119"/>
        <v/>
      </c>
      <c r="CA12" s="6" t="str">
        <f t="shared" si="120"/>
        <v/>
      </c>
      <c r="CB12" s="4" t="str">
        <f t="shared" si="147"/>
        <v/>
      </c>
      <c r="CC12" s="5" t="str">
        <f t="shared" si="148"/>
        <v/>
      </c>
      <c r="CD12" s="5" t="str">
        <f t="shared" si="149"/>
        <v/>
      </c>
      <c r="CE12" s="6" t="str">
        <f t="shared" si="150"/>
        <v/>
      </c>
      <c r="CF12" s="4" t="str">
        <f t="shared" si="151"/>
        <v/>
      </c>
      <c r="CG12" s="5" t="str">
        <f t="shared" si="152"/>
        <v/>
      </c>
      <c r="CH12" s="5" t="str">
        <f t="shared" si="153"/>
        <v/>
      </c>
      <c r="CI12" s="4" t="str">
        <f t="shared" si="121"/>
        <v/>
      </c>
      <c r="CJ12" s="5" t="str">
        <f t="shared" si="122"/>
        <v/>
      </c>
      <c r="CK12" s="8" t="str">
        <f t="shared" si="123"/>
        <v/>
      </c>
      <c r="CL12" s="173" t="str">
        <f t="shared" si="124"/>
        <v/>
      </c>
      <c r="CM12" s="5" t="str">
        <f t="shared" si="125"/>
        <v/>
      </c>
      <c r="CN12" s="6" t="str">
        <f t="shared" si="126"/>
        <v/>
      </c>
      <c r="CO12" s="167" t="str">
        <f t="shared" si="25"/>
        <v/>
      </c>
      <c r="CP12" s="4" t="str">
        <f t="shared" ref="CP12:CP74" si="237">IF(ISNUMBER($AV12),(CL12-CI12)^2+(CM12-CJ12)^2+(CN12-CK12)^2,"")</f>
        <v/>
      </c>
      <c r="CQ12" s="5" t="str">
        <f t="shared" ref="CQ12:CQ74" si="238">IF(ISNUMBER($AV12),2*((CL12-CI12)*(CI12-BF12)+(CM12-CJ12)*(CJ12-BG12)+(CN12-CK12)*(CK12-BH12)),"")</f>
        <v/>
      </c>
      <c r="CR12" s="5" t="str">
        <f t="shared" si="154"/>
        <v/>
      </c>
      <c r="CS12" s="8" t="str">
        <f t="shared" si="155"/>
        <v/>
      </c>
      <c r="CT12" s="9" t="str">
        <f t="shared" si="156"/>
        <v/>
      </c>
      <c r="CU12" s="6" t="str">
        <f t="shared" si="157"/>
        <v/>
      </c>
      <c r="CV12" s="4" t="str">
        <f t="shared" ref="CV12:CV74" si="239">IF(ISNUMBER($AV12),CI12+($CT12*(CL12-CI12)),"")</f>
        <v/>
      </c>
      <c r="CW12" s="5" t="str">
        <f t="shared" si="158"/>
        <v/>
      </c>
      <c r="CX12" s="8" t="str">
        <f t="shared" si="159"/>
        <v/>
      </c>
      <c r="CY12" s="9" t="str">
        <f t="shared" si="160"/>
        <v/>
      </c>
      <c r="CZ12" s="5" t="str">
        <f t="shared" si="161"/>
        <v/>
      </c>
      <c r="DA12" s="6" t="str">
        <f t="shared" si="162"/>
        <v/>
      </c>
      <c r="DB12" s="4" t="str">
        <f t="shared" si="163"/>
        <v/>
      </c>
      <c r="DC12" s="5" t="str">
        <f t="shared" si="163"/>
        <v/>
      </c>
      <c r="DD12" s="10" t="str">
        <f t="shared" si="164"/>
        <v/>
      </c>
      <c r="DE12" s="9" t="str">
        <f t="shared" si="165"/>
        <v/>
      </c>
      <c r="DF12" s="5" t="str">
        <f t="shared" si="165"/>
        <v/>
      </c>
      <c r="DG12" s="10" t="str">
        <f t="shared" si="166"/>
        <v/>
      </c>
      <c r="DH12" s="70" t="str">
        <f t="shared" si="167"/>
        <v/>
      </c>
      <c r="DI12" s="4" t="str">
        <f t="shared" si="168"/>
        <v/>
      </c>
      <c r="DJ12" s="5" t="str">
        <f t="shared" si="169"/>
        <v/>
      </c>
      <c r="DK12" s="10" t="str">
        <f t="shared" si="170"/>
        <v/>
      </c>
      <c r="DL12" s="9" t="str">
        <f t="shared" si="171"/>
        <v/>
      </c>
      <c r="DM12" s="173" t="str">
        <f t="shared" si="172"/>
        <v/>
      </c>
      <c r="DN12" s="178" t="str">
        <f t="shared" si="173"/>
        <v/>
      </c>
      <c r="DO12" s="9" t="str">
        <f t="shared" si="174"/>
        <v/>
      </c>
      <c r="DP12" s="173" t="str">
        <f t="shared" si="175"/>
        <v/>
      </c>
      <c r="DQ12" s="11" t="str">
        <f t="shared" si="176"/>
        <v/>
      </c>
      <c r="DR12" s="173" t="str">
        <f t="shared" si="177"/>
        <v/>
      </c>
      <c r="DS12" s="5" t="str">
        <f t="shared" si="178"/>
        <v/>
      </c>
      <c r="DT12" s="5" t="str">
        <f t="shared" si="179"/>
        <v/>
      </c>
      <c r="DU12" s="5" t="str">
        <f t="shared" si="180"/>
        <v/>
      </c>
      <c r="DV12" s="5" t="str">
        <f t="shared" si="181"/>
        <v/>
      </c>
      <c r="DW12" s="5" t="str">
        <f t="shared" si="182"/>
        <v/>
      </c>
      <c r="DX12" s="167" t="str">
        <f t="shared" si="183"/>
        <v/>
      </c>
      <c r="DY12" s="9" t="str">
        <f t="shared" si="184"/>
        <v/>
      </c>
      <c r="DZ12" s="5" t="str">
        <f t="shared" si="185"/>
        <v/>
      </c>
      <c r="EA12" s="10" t="str">
        <f t="shared" si="186"/>
        <v/>
      </c>
      <c r="EB12" s="6" t="str">
        <f t="shared" si="187"/>
        <v/>
      </c>
      <c r="EC12" s="173" t="str">
        <f t="shared" si="188"/>
        <v/>
      </c>
      <c r="ED12" s="5" t="str">
        <f t="shared" si="189"/>
        <v/>
      </c>
      <c r="EE12" s="4" t="str">
        <f t="shared" si="190"/>
        <v/>
      </c>
      <c r="EF12" s="5" t="str">
        <f t="shared" si="191"/>
        <v/>
      </c>
      <c r="EG12" s="10" t="str">
        <f t="shared" si="192"/>
        <v/>
      </c>
      <c r="EH12" s="9" t="str">
        <f t="shared" si="193"/>
        <v/>
      </c>
      <c r="EI12" s="5" t="str">
        <f t="shared" si="194"/>
        <v/>
      </c>
      <c r="EJ12" s="6" t="str">
        <f t="shared" si="195"/>
        <v/>
      </c>
      <c r="EK12" s="236" t="str">
        <f t="shared" si="196"/>
        <v/>
      </c>
      <c r="EL12" s="238" t="str">
        <f t="shared" si="197"/>
        <v/>
      </c>
      <c r="EM12" s="4" t="str">
        <f t="shared" si="198"/>
        <v/>
      </c>
      <c r="EN12" s="5" t="str">
        <f t="shared" si="199"/>
        <v/>
      </c>
      <c r="EO12" s="10" t="str">
        <f t="shared" si="200"/>
        <v/>
      </c>
      <c r="EP12" s="9" t="str">
        <f t="shared" si="201"/>
        <v/>
      </c>
      <c r="EQ12" s="5" t="str">
        <f t="shared" si="202"/>
        <v/>
      </c>
      <c r="ER12" s="7" t="str">
        <f t="shared" si="203"/>
        <v/>
      </c>
      <c r="ES12" s="21" t="str">
        <f t="shared" si="127"/>
        <v/>
      </c>
      <c r="ET12" s="5" t="str">
        <f t="shared" si="34"/>
        <v/>
      </c>
      <c r="EU12" s="10" t="str">
        <f t="shared" si="35"/>
        <v/>
      </c>
      <c r="EV12" s="174" t="str">
        <f>IF(ISNUMBER($AV12),IF(($EV$1-EP12)&lt;0,(360+($EV$1-EP12)),($EV$1-EP12)),"")</f>
        <v/>
      </c>
      <c r="EW12" s="9" t="str">
        <f t="shared" si="128"/>
        <v/>
      </c>
      <c r="EX12" s="5" t="str">
        <f t="shared" si="36"/>
        <v/>
      </c>
      <c r="EY12" s="6" t="str">
        <f t="shared" si="204"/>
        <v/>
      </c>
      <c r="EZ12" s="51" t="str">
        <f t="shared" si="205"/>
        <v/>
      </c>
      <c r="FA12" s="266" t="str">
        <f t="shared" si="129"/>
        <v/>
      </c>
      <c r="FB12" s="267" t="str">
        <f t="shared" si="130"/>
        <v/>
      </c>
      <c r="FC12" s="269" t="str">
        <f t="shared" si="37"/>
        <v/>
      </c>
      <c r="FD12" s="4" t="str">
        <f t="shared" si="131"/>
        <v/>
      </c>
      <c r="FE12" s="5" t="str">
        <f t="shared" si="38"/>
        <v/>
      </c>
      <c r="FF12" s="7" t="str">
        <f t="shared" si="206"/>
        <v/>
      </c>
      <c r="FG12" s="173" t="str">
        <f t="shared" si="207"/>
        <v/>
      </c>
      <c r="FH12" s="5" t="str">
        <f t="shared" si="39"/>
        <v/>
      </c>
      <c r="FI12" s="10" t="str">
        <f t="shared" si="40"/>
        <v/>
      </c>
      <c r="FJ12" s="279" t="str">
        <f t="shared" si="208"/>
        <v/>
      </c>
      <c r="FK12" s="4" t="str">
        <f t="shared" si="41"/>
        <v/>
      </c>
      <c r="FL12" s="5" t="str">
        <f t="shared" si="209"/>
        <v/>
      </c>
      <c r="FM12" s="8" t="str">
        <f t="shared" si="210"/>
        <v/>
      </c>
      <c r="FN12" s="9" t="str">
        <f t="shared" si="211"/>
        <v/>
      </c>
      <c r="FO12" s="10" t="str">
        <f t="shared" si="42"/>
        <v/>
      </c>
      <c r="FP12" s="277" t="str">
        <f t="shared" si="43"/>
        <v/>
      </c>
      <c r="FQ12" s="173" t="str">
        <f t="shared" ref="FQ12:FQ74" si="240">IF(ISNUMBER($AV12),SIN(RADIANS(FN12)),"")</f>
        <v/>
      </c>
      <c r="FR12" s="10" t="str">
        <f t="shared" si="212"/>
        <v/>
      </c>
      <c r="FS12" s="9" t="str">
        <f t="shared" si="213"/>
        <v/>
      </c>
      <c r="FT12" s="6" t="str">
        <f t="shared" si="214"/>
        <v/>
      </c>
      <c r="FU12" s="4" t="str">
        <f t="shared" si="215"/>
        <v/>
      </c>
      <c r="FV12" s="5" t="str">
        <f t="shared" si="216"/>
        <v/>
      </c>
      <c r="FW12" s="8" t="str">
        <f t="shared" ref="FW12:FW74" si="241">IF(ISNUMBER($AV12),SQRT(FG12^2+FI12^2),"")</f>
        <v/>
      </c>
      <c r="FX12" s="9" t="str">
        <f t="shared" ref="FX12:FX74" si="242">IF(ISNUMBER($AV12),DEGREES(ACOS((FU12^2+FV12^2-FW12^2)/(2*FU12*FV12))),"")</f>
        <v/>
      </c>
      <c r="FY12" s="10" t="str">
        <f t="shared" si="44"/>
        <v/>
      </c>
      <c r="FZ12" s="277" t="str">
        <f t="shared" ref="FZ12:FZ74" si="243">IF(ISNUMBER($AV12),FX12*FY12,"")</f>
        <v/>
      </c>
      <c r="GA12" s="177" t="str">
        <f t="shared" si="217"/>
        <v/>
      </c>
      <c r="GB12" s="4" t="str">
        <f t="shared" si="218"/>
        <v/>
      </c>
      <c r="GC12" s="5" t="str">
        <f t="shared" si="219"/>
        <v/>
      </c>
      <c r="GD12" s="10" t="str">
        <f t="shared" si="220"/>
        <v/>
      </c>
      <c r="GE12" s="311" t="str">
        <f t="shared" si="221"/>
        <v/>
      </c>
      <c r="GF12" s="341" t="str">
        <f t="shared" ref="GF12:GF74" si="244">IF(ISNUMBER($AV12),1/GE12,"")</f>
        <v/>
      </c>
      <c r="GG12" s="285" t="str">
        <f t="shared" si="45"/>
        <v/>
      </c>
      <c r="GH12" s="286" t="str">
        <f t="shared" si="46"/>
        <v/>
      </c>
      <c r="GI12" s="281" t="str">
        <f t="shared" si="47"/>
        <v/>
      </c>
      <c r="GJ12" s="167" t="str">
        <f t="shared" si="222"/>
        <v/>
      </c>
      <c r="GK12" s="174" t="str">
        <f t="shared" si="48"/>
        <v/>
      </c>
      <c r="GL12" s="174" t="str">
        <f t="shared" si="223"/>
        <v/>
      </c>
      <c r="GM12" s="177" t="str">
        <f t="shared" ref="GM12:GM74" si="245">IF(ISNUMBER($AV12),AZ12,"")</f>
        <v/>
      </c>
      <c r="GN12" s="280" t="str">
        <f t="shared" si="224"/>
        <v/>
      </c>
      <c r="GO12" s="4" t="str">
        <f t="shared" si="225"/>
        <v/>
      </c>
      <c r="GP12" s="8" t="str">
        <f t="shared" ref="GP12:GP74" si="246">IF(ISNUMBER($AV12),FZ12,"")</f>
        <v/>
      </c>
      <c r="GQ12" s="177" t="str">
        <f t="shared" si="226"/>
        <v/>
      </c>
      <c r="GR12" s="371" t="str">
        <f t="shared" ref="GR12:GR74" si="247">IF(ISNUMBER($AV12),GS12+GU12+GY12,"")</f>
        <v/>
      </c>
      <c r="GS12" s="342" t="str">
        <f t="shared" si="50"/>
        <v/>
      </c>
      <c r="GT12" s="343" t="str">
        <f t="shared" si="51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3"/>
        <v/>
      </c>
      <c r="GX12" s="346" t="str">
        <f>IF(ISNUMBER($AV12),($GJ12/12)*$GV12,"")</f>
        <v/>
      </c>
      <c r="GY12" s="344" t="str">
        <f t="shared" si="55"/>
        <v/>
      </c>
      <c r="GZ12" s="345" t="str">
        <f t="shared" si="56"/>
        <v/>
      </c>
      <c r="HA12" s="342" t="str">
        <f t="shared" si="57"/>
        <v/>
      </c>
      <c r="HB12" s="5" t="str">
        <f t="shared" si="227"/>
        <v/>
      </c>
      <c r="HC12" s="343" t="str">
        <f t="shared" si="228"/>
        <v/>
      </c>
      <c r="HD12" s="345" t="str">
        <f t="shared" si="229"/>
        <v/>
      </c>
      <c r="HE12" s="344" t="str">
        <f t="shared" si="58"/>
        <v/>
      </c>
      <c r="HF12" s="5" t="str">
        <f t="shared" si="59"/>
        <v/>
      </c>
      <c r="HG12" s="343" t="str">
        <f t="shared" si="230"/>
        <v/>
      </c>
      <c r="HH12" s="349" t="str">
        <f t="shared" si="231"/>
        <v/>
      </c>
      <c r="HI12" s="317" t="str">
        <f t="shared" si="60"/>
        <v/>
      </c>
      <c r="HJ12" s="336"/>
      <c r="HK12" s="310" t="str">
        <f t="shared" si="132"/>
        <v/>
      </c>
      <c r="HL12" s="348" t="str">
        <f t="shared" si="61"/>
        <v/>
      </c>
      <c r="HM12" s="923" t="str">
        <f t="shared" si="62"/>
        <v/>
      </c>
      <c r="HN12" s="924" t="str">
        <f t="shared" si="63"/>
        <v/>
      </c>
      <c r="HO12" s="925"/>
      <c r="HP12" s="926"/>
      <c r="HQ12" s="924" t="str">
        <f t="shared" si="64"/>
        <v/>
      </c>
      <c r="HR12" s="927" t="str">
        <f t="shared" si="65"/>
        <v/>
      </c>
      <c r="HS12" s="879" t="str">
        <f>IFERROR(SMALL($GJ$9:$GJ$150,($HK11+1)),"")</f>
        <v/>
      </c>
      <c r="HT12" s="889" t="str">
        <f t="shared" si="66"/>
        <v/>
      </c>
      <c r="HU12" s="890" t="str">
        <f t="shared" si="67"/>
        <v/>
      </c>
      <c r="HV12" s="886" t="str">
        <f t="shared" si="68"/>
        <v/>
      </c>
      <c r="HW12" s="880" t="str">
        <f t="shared" si="69"/>
        <v/>
      </c>
      <c r="HX12" s="881" t="str">
        <f t="shared" si="70"/>
        <v/>
      </c>
      <c r="HY12" s="880" t="str">
        <f t="shared" si="71"/>
        <v/>
      </c>
      <c r="HZ12" s="882" t="str">
        <f t="shared" si="72"/>
        <v/>
      </c>
      <c r="IA12" s="883" t="str">
        <f t="shared" si="73"/>
        <v/>
      </c>
      <c r="IB12" s="884" t="str">
        <f t="shared" si="74"/>
        <v/>
      </c>
      <c r="IC12" s="855" t="str">
        <f t="shared" si="75"/>
        <v/>
      </c>
      <c r="ID12" s="351" t="str">
        <f t="shared" si="76"/>
        <v/>
      </c>
      <c r="IE12" s="857" t="str">
        <f t="shared" si="77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2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8"/>
        <v>1913</v>
      </c>
      <c r="IM12" s="482" t="str">
        <f t="shared" si="233"/>
        <v/>
      </c>
      <c r="IN12" s="670" t="str">
        <f t="shared" si="80"/>
        <v/>
      </c>
      <c r="IO12" s="702"/>
      <c r="IP12" s="5" t="str">
        <f t="shared" si="81"/>
        <v/>
      </c>
      <c r="IQ12" s="714"/>
      <c r="IR12" s="9" t="str">
        <f t="shared" si="8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92"/>
        <v>0.02</v>
      </c>
      <c r="B13" s="578">
        <f t="shared" ref="B13:D13" si="248">IFERROR(O168-($A13*E13),"")</f>
        <v>2.3254093095178677E-2</v>
      </c>
      <c r="C13" s="572">
        <f t="shared" si="248"/>
        <v>4.0998430816368749</v>
      </c>
      <c r="D13" s="576">
        <f t="shared" si="248"/>
        <v>-0.26985748082577354</v>
      </c>
      <c r="E13" s="580">
        <f t="shared" ref="E13:K13" si="249">R168</f>
        <v>-0.96594704473401338</v>
      </c>
      <c r="F13" s="572">
        <f t="shared" si="249"/>
        <v>-2.1630327326277437E-2</v>
      </c>
      <c r="G13" s="579">
        <f t="shared" si="249"/>
        <v>0.25783412440827963</v>
      </c>
      <c r="H13" s="580">
        <f t="shared" si="249"/>
        <v>0.375</v>
      </c>
      <c r="I13" s="572">
        <f t="shared" si="249"/>
        <v>0.52</v>
      </c>
      <c r="J13" s="483">
        <f t="shared" si="95"/>
        <v>1.115</v>
      </c>
      <c r="K13" s="806">
        <f t="shared" si="249"/>
        <v>1913</v>
      </c>
      <c r="L13" s="717" t="str">
        <f>IF($L12=$JJ$22,$JJ$29,IF($L12=$JK$22,$JK$29,""))</f>
        <v/>
      </c>
      <c r="M13" s="164">
        <f t="shared" si="3"/>
        <v>1.115</v>
      </c>
      <c r="N13" s="575">
        <f t="shared" si="4"/>
        <v>2.3254093095178677E-2</v>
      </c>
      <c r="O13" s="572">
        <f t="shared" si="5"/>
        <v>4.0998430816368749</v>
      </c>
      <c r="P13" s="576">
        <f t="shared" si="6"/>
        <v>-0.26985748082577354</v>
      </c>
      <c r="Q13" s="528">
        <f t="shared" si="135"/>
        <v>89.675024854192813</v>
      </c>
      <c r="R13" s="572">
        <f t="shared" si="96"/>
        <v>4.0999090290994786</v>
      </c>
      <c r="S13" s="577">
        <f t="shared" si="97"/>
        <v>-0.26985748082577354</v>
      </c>
      <c r="T13" s="578">
        <f>IF(M13="","",X13*COS(RADIANS(W13)))</f>
        <v>4.0999090290994786</v>
      </c>
      <c r="U13" s="572">
        <f t="shared" si="99"/>
        <v>0</v>
      </c>
      <c r="V13" s="579">
        <f t="shared" si="136"/>
        <v>-0.26985748082577354</v>
      </c>
      <c r="W13" s="528">
        <f t="shared" si="7"/>
        <v>0</v>
      </c>
      <c r="X13" s="572">
        <f t="shared" si="100"/>
        <v>4.0999090290994786</v>
      </c>
      <c r="Y13" s="573">
        <f t="shared" si="8"/>
        <v>-0.26985748082577354</v>
      </c>
      <c r="Z13" s="575">
        <f t="shared" si="9"/>
        <v>0.96594704473401338</v>
      </c>
      <c r="AA13" s="572">
        <f t="shared" si="10"/>
        <v>2.1630327326277437E-2</v>
      </c>
      <c r="AB13" s="572">
        <f t="shared" si="11"/>
        <v>-0.25783412440827963</v>
      </c>
      <c r="AC13" s="579">
        <f t="shared" si="101"/>
        <v>1</v>
      </c>
      <c r="AD13" s="580">
        <f>IF(M13="","",Z13*(1/SQRT(Z13^2+AA13^2+AB13^2)))</f>
        <v>0.96594704473401338</v>
      </c>
      <c r="AE13" s="572">
        <f t="shared" si="102"/>
        <v>2.1630327326277437E-2</v>
      </c>
      <c r="AF13" s="576">
        <f t="shared" si="103"/>
        <v>-0.25783412440827963</v>
      </c>
      <c r="AG13" s="545">
        <f>IF(M13="","",DEGREES(ATAN2(-AF13,AE13)))</f>
        <v>4.7954523093714965</v>
      </c>
      <c r="AH13" s="546">
        <f t="shared" si="105"/>
        <v>14.995302071441257</v>
      </c>
      <c r="AI13" s="528">
        <f t="shared" si="106"/>
        <v>-75.058414528502141</v>
      </c>
      <c r="AJ13" s="529">
        <f t="shared" si="107"/>
        <v>91.282802597490786</v>
      </c>
      <c r="AK13" s="578">
        <f t="shared" si="236"/>
        <v>0.9658088232764368</v>
      </c>
      <c r="AL13" s="572">
        <f t="shared" si="108"/>
        <v>2.7108691816474066E-2</v>
      </c>
      <c r="AM13" s="577">
        <f t="shared" si="109"/>
        <v>-0.25783412440827963</v>
      </c>
      <c r="AN13" s="524">
        <f t="shared" si="110"/>
        <v>6.0020294034184687</v>
      </c>
      <c r="AO13" s="525">
        <f t="shared" si="111"/>
        <v>15.025879600509827</v>
      </c>
      <c r="AP13" s="528">
        <f t="shared" si="112"/>
        <v>1.6077777432979836</v>
      </c>
      <c r="AQ13" s="529">
        <f t="shared" si="12"/>
        <v>0.55602576775020851</v>
      </c>
      <c r="AS13" s="954">
        <f t="shared" si="138"/>
        <v>360</v>
      </c>
      <c r="AT13" s="950">
        <f t="shared" si="13"/>
        <v>-0.27146094716051788</v>
      </c>
      <c r="AU13" s="418"/>
      <c r="AV13" s="164" t="str">
        <f t="shared" si="14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39"/>
        <v/>
      </c>
      <c r="BA13" s="296" t="str">
        <f t="shared" si="15"/>
        <v/>
      </c>
      <c r="BB13" s="291" t="str">
        <f t="shared" si="140"/>
        <v/>
      </c>
      <c r="BC13" s="9"/>
      <c r="BD13" s="5" t="str">
        <f t="shared" si="141"/>
        <v/>
      </c>
      <c r="BE13" s="6" t="str">
        <f t="shared" si="16"/>
        <v/>
      </c>
      <c r="BF13" s="4" t="str">
        <f t="shared" si="17"/>
        <v/>
      </c>
      <c r="BG13" s="5" t="str">
        <f t="shared" si="18"/>
        <v/>
      </c>
      <c r="BH13" s="10" t="str">
        <f t="shared" si="19"/>
        <v/>
      </c>
      <c r="BI13" s="9" t="str">
        <f t="shared" si="142"/>
        <v/>
      </c>
      <c r="BJ13" s="5" t="str">
        <f t="shared" si="20"/>
        <v/>
      </c>
      <c r="BK13" s="8" t="str">
        <f t="shared" si="21"/>
        <v/>
      </c>
      <c r="BL13" s="173" t="str">
        <f t="shared" si="22"/>
        <v/>
      </c>
      <c r="BM13" s="5" t="str">
        <f t="shared" si="23"/>
        <v/>
      </c>
      <c r="BN13" s="6" t="str">
        <f t="shared" si="24"/>
        <v/>
      </c>
      <c r="BO13" s="4" t="str">
        <f t="shared" si="143"/>
        <v/>
      </c>
      <c r="BP13" s="5" t="str">
        <f t="shared" si="144"/>
        <v/>
      </c>
      <c r="BQ13" s="5" t="str">
        <f t="shared" si="145"/>
        <v/>
      </c>
      <c r="BR13" s="6" t="str">
        <f t="shared" si="146"/>
        <v/>
      </c>
      <c r="BS13" s="4" t="str">
        <f t="shared" si="113"/>
        <v/>
      </c>
      <c r="BT13" s="5" t="str">
        <f t="shared" si="113"/>
        <v/>
      </c>
      <c r="BU13" s="10" t="str">
        <f t="shared" si="114"/>
        <v/>
      </c>
      <c r="BV13" s="9" t="str">
        <f t="shared" si="115"/>
        <v/>
      </c>
      <c r="BW13" s="5" t="str">
        <f t="shared" si="116"/>
        <v/>
      </c>
      <c r="BX13" s="8" t="str">
        <f t="shared" si="117"/>
        <v/>
      </c>
      <c r="BY13" s="173" t="str">
        <f t="shared" si="118"/>
        <v/>
      </c>
      <c r="BZ13" s="5" t="str">
        <f t="shared" si="119"/>
        <v/>
      </c>
      <c r="CA13" s="6" t="str">
        <f t="shared" si="120"/>
        <v/>
      </c>
      <c r="CB13" s="4" t="str">
        <f t="shared" si="147"/>
        <v/>
      </c>
      <c r="CC13" s="5" t="str">
        <f t="shared" si="148"/>
        <v/>
      </c>
      <c r="CD13" s="5" t="str">
        <f t="shared" si="149"/>
        <v/>
      </c>
      <c r="CE13" s="6" t="str">
        <f t="shared" si="150"/>
        <v/>
      </c>
      <c r="CF13" s="4" t="str">
        <f t="shared" si="151"/>
        <v/>
      </c>
      <c r="CG13" s="5" t="str">
        <f t="shared" si="152"/>
        <v/>
      </c>
      <c r="CH13" s="5" t="str">
        <f t="shared" si="153"/>
        <v/>
      </c>
      <c r="CI13" s="4" t="str">
        <f t="shared" si="121"/>
        <v/>
      </c>
      <c r="CJ13" s="5" t="str">
        <f t="shared" si="122"/>
        <v/>
      </c>
      <c r="CK13" s="8" t="str">
        <f t="shared" si="123"/>
        <v/>
      </c>
      <c r="CL13" s="173" t="str">
        <f t="shared" si="124"/>
        <v/>
      </c>
      <c r="CM13" s="5" t="str">
        <f t="shared" si="125"/>
        <v/>
      </c>
      <c r="CN13" s="6" t="str">
        <f t="shared" si="126"/>
        <v/>
      </c>
      <c r="CO13" s="167" t="str">
        <f t="shared" si="25"/>
        <v/>
      </c>
      <c r="CP13" s="4" t="str">
        <f t="shared" si="237"/>
        <v/>
      </c>
      <c r="CQ13" s="5" t="str">
        <f t="shared" si="238"/>
        <v/>
      </c>
      <c r="CR13" s="5" t="str">
        <f t="shared" si="154"/>
        <v/>
      </c>
      <c r="CS13" s="8" t="str">
        <f t="shared" si="155"/>
        <v/>
      </c>
      <c r="CT13" s="9" t="str">
        <f t="shared" si="156"/>
        <v/>
      </c>
      <c r="CU13" s="6" t="str">
        <f t="shared" si="157"/>
        <v/>
      </c>
      <c r="CV13" s="4" t="str">
        <f t="shared" si="239"/>
        <v/>
      </c>
      <c r="CW13" s="5" t="str">
        <f t="shared" si="158"/>
        <v/>
      </c>
      <c r="CX13" s="8" t="str">
        <f t="shared" si="159"/>
        <v/>
      </c>
      <c r="CY13" s="9" t="str">
        <f t="shared" si="160"/>
        <v/>
      </c>
      <c r="CZ13" s="5" t="str">
        <f t="shared" si="161"/>
        <v/>
      </c>
      <c r="DA13" s="6" t="str">
        <f t="shared" si="162"/>
        <v/>
      </c>
      <c r="DB13" s="4" t="str">
        <f t="shared" si="163"/>
        <v/>
      </c>
      <c r="DC13" s="5" t="str">
        <f t="shared" si="163"/>
        <v/>
      </c>
      <c r="DD13" s="10" t="str">
        <f t="shared" si="164"/>
        <v/>
      </c>
      <c r="DE13" s="9" t="str">
        <f t="shared" si="165"/>
        <v/>
      </c>
      <c r="DF13" s="5" t="str">
        <f t="shared" si="165"/>
        <v/>
      </c>
      <c r="DG13" s="10" t="str">
        <f t="shared" si="166"/>
        <v/>
      </c>
      <c r="DH13" s="70" t="str">
        <f t="shared" si="167"/>
        <v/>
      </c>
      <c r="DI13" s="4" t="str">
        <f t="shared" si="168"/>
        <v/>
      </c>
      <c r="DJ13" s="5" t="str">
        <f t="shared" si="169"/>
        <v/>
      </c>
      <c r="DK13" s="10" t="str">
        <f t="shared" si="170"/>
        <v/>
      </c>
      <c r="DL13" s="9" t="str">
        <f t="shared" si="171"/>
        <v/>
      </c>
      <c r="DM13" s="173" t="str">
        <f t="shared" si="172"/>
        <v/>
      </c>
      <c r="DN13" s="178" t="str">
        <f t="shared" si="173"/>
        <v/>
      </c>
      <c r="DO13" s="9" t="str">
        <f t="shared" si="174"/>
        <v/>
      </c>
      <c r="DP13" s="173" t="str">
        <f t="shared" si="175"/>
        <v/>
      </c>
      <c r="DQ13" s="11" t="str">
        <f t="shared" si="176"/>
        <v/>
      </c>
      <c r="DR13" s="173" t="str">
        <f t="shared" si="177"/>
        <v/>
      </c>
      <c r="DS13" s="5" t="str">
        <f t="shared" si="178"/>
        <v/>
      </c>
      <c r="DT13" s="5" t="str">
        <f t="shared" si="179"/>
        <v/>
      </c>
      <c r="DU13" s="5" t="str">
        <f t="shared" si="180"/>
        <v/>
      </c>
      <c r="DV13" s="5" t="str">
        <f t="shared" si="181"/>
        <v/>
      </c>
      <c r="DW13" s="5" t="str">
        <f t="shared" si="182"/>
        <v/>
      </c>
      <c r="DX13" s="167" t="str">
        <f t="shared" si="183"/>
        <v/>
      </c>
      <c r="DY13" s="9" t="str">
        <f t="shared" si="184"/>
        <v/>
      </c>
      <c r="DZ13" s="5" t="str">
        <f t="shared" si="185"/>
        <v/>
      </c>
      <c r="EA13" s="10" t="str">
        <f t="shared" si="186"/>
        <v/>
      </c>
      <c r="EB13" s="6" t="str">
        <f t="shared" si="187"/>
        <v/>
      </c>
      <c r="EC13" s="173" t="str">
        <f t="shared" si="188"/>
        <v/>
      </c>
      <c r="ED13" s="5" t="str">
        <f t="shared" si="189"/>
        <v/>
      </c>
      <c r="EE13" s="4" t="str">
        <f t="shared" si="190"/>
        <v/>
      </c>
      <c r="EF13" s="5" t="str">
        <f t="shared" si="191"/>
        <v/>
      </c>
      <c r="EG13" s="10" t="str">
        <f t="shared" si="192"/>
        <v/>
      </c>
      <c r="EH13" s="9" t="str">
        <f t="shared" si="193"/>
        <v/>
      </c>
      <c r="EI13" s="5" t="str">
        <f t="shared" si="194"/>
        <v/>
      </c>
      <c r="EJ13" s="6" t="str">
        <f t="shared" si="195"/>
        <v/>
      </c>
      <c r="EK13" s="236" t="str">
        <f t="shared" si="196"/>
        <v/>
      </c>
      <c r="EL13" s="238" t="str">
        <f t="shared" si="197"/>
        <v/>
      </c>
      <c r="EM13" s="4" t="str">
        <f t="shared" si="198"/>
        <v/>
      </c>
      <c r="EN13" s="5" t="str">
        <f t="shared" si="199"/>
        <v/>
      </c>
      <c r="EO13" s="10" t="str">
        <f t="shared" si="200"/>
        <v/>
      </c>
      <c r="EP13" s="9" t="str">
        <f t="shared" si="201"/>
        <v/>
      </c>
      <c r="EQ13" s="5" t="str">
        <f t="shared" si="202"/>
        <v/>
      </c>
      <c r="ER13" s="7" t="str">
        <f t="shared" si="203"/>
        <v/>
      </c>
      <c r="ES13" s="21" t="str">
        <f t="shared" si="127"/>
        <v/>
      </c>
      <c r="ET13" s="5" t="str">
        <f t="shared" si="34"/>
        <v/>
      </c>
      <c r="EU13" s="10" t="str">
        <f t="shared" si="35"/>
        <v/>
      </c>
      <c r="EV13" s="174" t="str">
        <f>IF(ISNUMBER($AV13),IF(($EV$1-EP13)&lt;0,(360+($EV$1-EP13)),($EV$1-EP13)),"")</f>
        <v/>
      </c>
      <c r="EW13" s="9" t="str">
        <f t="shared" si="128"/>
        <v/>
      </c>
      <c r="EX13" s="5" t="str">
        <f t="shared" si="36"/>
        <v/>
      </c>
      <c r="EY13" s="6" t="str">
        <f t="shared" si="204"/>
        <v/>
      </c>
      <c r="EZ13" s="51" t="str">
        <f t="shared" si="205"/>
        <v/>
      </c>
      <c r="FA13" s="266" t="str">
        <f t="shared" si="129"/>
        <v/>
      </c>
      <c r="FB13" s="267" t="str">
        <f t="shared" si="130"/>
        <v/>
      </c>
      <c r="FC13" s="269" t="str">
        <f t="shared" si="37"/>
        <v/>
      </c>
      <c r="FD13" s="4" t="str">
        <f t="shared" si="131"/>
        <v/>
      </c>
      <c r="FE13" s="5" t="str">
        <f t="shared" si="38"/>
        <v/>
      </c>
      <c r="FF13" s="7" t="str">
        <f t="shared" si="206"/>
        <v/>
      </c>
      <c r="FG13" s="173" t="str">
        <f t="shared" si="207"/>
        <v/>
      </c>
      <c r="FH13" s="5" t="str">
        <f t="shared" si="39"/>
        <v/>
      </c>
      <c r="FI13" s="10" t="str">
        <f t="shared" si="40"/>
        <v/>
      </c>
      <c r="FJ13" s="279" t="str">
        <f t="shared" si="208"/>
        <v/>
      </c>
      <c r="FK13" s="4" t="str">
        <f t="shared" si="41"/>
        <v/>
      </c>
      <c r="FL13" s="5" t="str">
        <f t="shared" si="209"/>
        <v/>
      </c>
      <c r="FM13" s="8" t="str">
        <f t="shared" si="210"/>
        <v/>
      </c>
      <c r="FN13" s="9" t="str">
        <f t="shared" si="211"/>
        <v/>
      </c>
      <c r="FO13" s="10" t="str">
        <f t="shared" si="42"/>
        <v/>
      </c>
      <c r="FP13" s="277" t="str">
        <f t="shared" si="43"/>
        <v/>
      </c>
      <c r="FQ13" s="173" t="str">
        <f t="shared" si="240"/>
        <v/>
      </c>
      <c r="FR13" s="10" t="str">
        <f t="shared" si="212"/>
        <v/>
      </c>
      <c r="FS13" s="9" t="str">
        <f t="shared" si="213"/>
        <v/>
      </c>
      <c r="FT13" s="6" t="str">
        <f t="shared" si="214"/>
        <v/>
      </c>
      <c r="FU13" s="4" t="str">
        <f t="shared" si="215"/>
        <v/>
      </c>
      <c r="FV13" s="5" t="str">
        <f t="shared" si="216"/>
        <v/>
      </c>
      <c r="FW13" s="8" t="str">
        <f t="shared" si="241"/>
        <v/>
      </c>
      <c r="FX13" s="9" t="str">
        <f t="shared" si="242"/>
        <v/>
      </c>
      <c r="FY13" s="10" t="str">
        <f t="shared" si="44"/>
        <v/>
      </c>
      <c r="FZ13" s="277" t="str">
        <f t="shared" si="243"/>
        <v/>
      </c>
      <c r="GA13" s="177" t="str">
        <f t="shared" si="217"/>
        <v/>
      </c>
      <c r="GB13" s="4" t="str">
        <f t="shared" si="218"/>
        <v/>
      </c>
      <c r="GC13" s="5" t="str">
        <f t="shared" si="219"/>
        <v/>
      </c>
      <c r="GD13" s="10" t="str">
        <f t="shared" si="220"/>
        <v/>
      </c>
      <c r="GE13" s="311" t="str">
        <f t="shared" si="221"/>
        <v/>
      </c>
      <c r="GF13" s="341" t="str">
        <f t="shared" si="244"/>
        <v/>
      </c>
      <c r="GG13" s="285" t="str">
        <f t="shared" si="45"/>
        <v/>
      </c>
      <c r="GH13" s="286" t="str">
        <f t="shared" si="46"/>
        <v/>
      </c>
      <c r="GI13" s="281" t="str">
        <f t="shared" si="47"/>
        <v/>
      </c>
      <c r="GJ13" s="167" t="str">
        <f t="shared" si="222"/>
        <v/>
      </c>
      <c r="GK13" s="174" t="str">
        <f t="shared" si="48"/>
        <v/>
      </c>
      <c r="GL13" s="174" t="str">
        <f t="shared" si="223"/>
        <v/>
      </c>
      <c r="GM13" s="177" t="str">
        <f t="shared" si="245"/>
        <v/>
      </c>
      <c r="GN13" s="280" t="str">
        <f t="shared" si="224"/>
        <v/>
      </c>
      <c r="GO13" s="4" t="str">
        <f t="shared" si="225"/>
        <v/>
      </c>
      <c r="GP13" s="8" t="str">
        <f t="shared" si="246"/>
        <v/>
      </c>
      <c r="GQ13" s="177" t="str">
        <f t="shared" si="226"/>
        <v/>
      </c>
      <c r="GR13" s="371" t="str">
        <f t="shared" si="247"/>
        <v/>
      </c>
      <c r="GS13" s="342" t="str">
        <f t="shared" si="50"/>
        <v/>
      </c>
      <c r="GT13" s="343" t="str">
        <f t="shared" si="51"/>
        <v/>
      </c>
      <c r="GU13" s="344" t="str">
        <f t="shared" si="52"/>
        <v/>
      </c>
      <c r="GV13" s="343" t="str">
        <f>IF(ISNUMBER($AV13),GW13*$GL13,"")</f>
        <v/>
      </c>
      <c r="GW13" s="345" t="str">
        <f t="shared" si="53"/>
        <v/>
      </c>
      <c r="GX13" s="346" t="str">
        <f>IF(ISNUMBER($AV13),($GJ13/12)*$GV13,"")</f>
        <v/>
      </c>
      <c r="GY13" s="344" t="str">
        <f t="shared" si="55"/>
        <v/>
      </c>
      <c r="GZ13" s="345" t="str">
        <f t="shared" si="56"/>
        <v/>
      </c>
      <c r="HA13" s="342" t="str">
        <f t="shared" si="57"/>
        <v/>
      </c>
      <c r="HB13" s="5" t="str">
        <f t="shared" si="227"/>
        <v/>
      </c>
      <c r="HC13" s="343" t="str">
        <f t="shared" si="228"/>
        <v/>
      </c>
      <c r="HD13" s="345" t="str">
        <f t="shared" si="229"/>
        <v/>
      </c>
      <c r="HE13" s="344" t="str">
        <f t="shared" si="58"/>
        <v/>
      </c>
      <c r="HF13" s="5" t="str">
        <f t="shared" si="59"/>
        <v/>
      </c>
      <c r="HG13" s="343" t="str">
        <f t="shared" si="230"/>
        <v/>
      </c>
      <c r="HH13" s="349" t="str">
        <f t="shared" si="231"/>
        <v/>
      </c>
      <c r="HI13" s="317" t="str">
        <f t="shared" si="60"/>
        <v/>
      </c>
      <c r="HJ13" s="336"/>
      <c r="HK13" s="310" t="str">
        <f t="shared" si="132"/>
        <v/>
      </c>
      <c r="HL13" s="348" t="str">
        <f t="shared" si="61"/>
        <v/>
      </c>
      <c r="HM13" s="923" t="str">
        <f t="shared" si="62"/>
        <v/>
      </c>
      <c r="HN13" s="924" t="str">
        <f t="shared" si="63"/>
        <v/>
      </c>
      <c r="HO13" s="925"/>
      <c r="HP13" s="926"/>
      <c r="HQ13" s="924" t="str">
        <f t="shared" si="64"/>
        <v/>
      </c>
      <c r="HR13" s="927" t="str">
        <f t="shared" si="65"/>
        <v/>
      </c>
      <c r="HS13" s="879" t="str">
        <f t="shared" ref="HS13:HS41" si="250">IFERROR(SMALL($GJ$9:$GJ$150,($HK12+1)),"")</f>
        <v/>
      </c>
      <c r="HT13" s="889" t="str">
        <f t="shared" si="66"/>
        <v/>
      </c>
      <c r="HU13" s="890" t="str">
        <f t="shared" si="67"/>
        <v/>
      </c>
      <c r="HV13" s="886" t="str">
        <f t="shared" si="68"/>
        <v/>
      </c>
      <c r="HW13" s="880" t="str">
        <f t="shared" si="69"/>
        <v/>
      </c>
      <c r="HX13" s="881" t="str">
        <f t="shared" si="70"/>
        <v/>
      </c>
      <c r="HY13" s="880" t="str">
        <f t="shared" si="71"/>
        <v/>
      </c>
      <c r="HZ13" s="882" t="str">
        <f t="shared" si="72"/>
        <v/>
      </c>
      <c r="IA13" s="883" t="str">
        <f t="shared" si="73"/>
        <v/>
      </c>
      <c r="IB13" s="884" t="str">
        <f t="shared" si="74"/>
        <v/>
      </c>
      <c r="IC13" s="855" t="str">
        <f t="shared" si="75"/>
        <v/>
      </c>
      <c r="ID13" s="351" t="str">
        <f t="shared" si="76"/>
        <v/>
      </c>
      <c r="IE13" s="857" t="str">
        <f t="shared" si="77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2"/>
        <v>1.115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8"/>
        <v>1913</v>
      </c>
      <c r="IM13" s="482" t="str">
        <f t="shared" si="233"/>
        <v/>
      </c>
      <c r="IN13" s="670" t="str">
        <f t="shared" si="80"/>
        <v/>
      </c>
      <c r="IO13" s="702"/>
      <c r="IP13" s="5" t="str">
        <f t="shared" si="81"/>
        <v/>
      </c>
      <c r="IQ13" s="714"/>
      <c r="IR13" s="9" t="str">
        <f t="shared" si="8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92"/>
        <v>0.02</v>
      </c>
      <c r="B14" s="578">
        <f t="shared" ref="B14:D14" si="251">IFERROR(O169-($A14*E14),"")</f>
        <v>5.8758952141376733E-2</v>
      </c>
      <c r="C14" s="572">
        <f t="shared" si="251"/>
        <v>4.9929065491268574</v>
      </c>
      <c r="D14" s="576">
        <f t="shared" si="251"/>
        <v>-0.13601151579384982</v>
      </c>
      <c r="E14" s="580">
        <f t="shared" ref="E14:K14" si="252">R169</f>
        <v>-0.96406528178925688</v>
      </c>
      <c r="F14" s="572">
        <f t="shared" si="252"/>
        <v>7.6223870830805784E-3</v>
      </c>
      <c r="G14" s="579">
        <f t="shared" si="252"/>
        <v>0.26555608007303605</v>
      </c>
      <c r="H14" s="580">
        <f t="shared" si="252"/>
        <v>0.375</v>
      </c>
      <c r="I14" s="572">
        <f t="shared" si="252"/>
        <v>0.52</v>
      </c>
      <c r="J14" s="483">
        <f t="shared" si="95"/>
        <v>1.1200000000000001</v>
      </c>
      <c r="K14" s="806">
        <f t="shared" si="252"/>
        <v>1913</v>
      </c>
      <c r="L14" s="719" t="s">
        <v>358</v>
      </c>
      <c r="M14" s="164">
        <f t="shared" si="3"/>
        <v>1.1200000000000001</v>
      </c>
      <c r="N14" s="575">
        <f t="shared" si="4"/>
        <v>5.8758952141376733E-2</v>
      </c>
      <c r="O14" s="572">
        <f t="shared" si="5"/>
        <v>4.9929065491268574</v>
      </c>
      <c r="P14" s="576">
        <f t="shared" si="6"/>
        <v>-0.13601151579384982</v>
      </c>
      <c r="Q14" s="528">
        <f t="shared" si="135"/>
        <v>89.325746532080672</v>
      </c>
      <c r="R14" s="572">
        <f t="shared" si="96"/>
        <v>4.9932522891168452</v>
      </c>
      <c r="S14" s="577">
        <f>IF(M14="","",P14)</f>
        <v>-0.13601151579384982</v>
      </c>
      <c r="T14" s="578">
        <f t="shared" si="98"/>
        <v>4.9931595100140322</v>
      </c>
      <c r="U14" s="572">
        <f t="shared" si="99"/>
        <v>-3.043896067605343E-2</v>
      </c>
      <c r="V14" s="579">
        <f t="shared" si="136"/>
        <v>-0.13601151579384982</v>
      </c>
      <c r="W14" s="528">
        <f t="shared" si="7"/>
        <v>359.65072167788782</v>
      </c>
      <c r="X14" s="572">
        <f t="shared" si="100"/>
        <v>4.9932522891168452</v>
      </c>
      <c r="Y14" s="573">
        <f t="shared" si="8"/>
        <v>-0.13601151579384982</v>
      </c>
      <c r="Z14" s="575">
        <f t="shared" si="9"/>
        <v>0.96406528178925688</v>
      </c>
      <c r="AA14" s="572">
        <f t="shared" si="10"/>
        <v>-7.6223870830805784E-3</v>
      </c>
      <c r="AB14" s="572">
        <f t="shared" si="11"/>
        <v>-0.26555608007303605</v>
      </c>
      <c r="AC14" s="579">
        <f t="shared" si="101"/>
        <v>1</v>
      </c>
      <c r="AD14" s="580">
        <f>IF(M14="","",Z14*(1/SQRT(Z14^2+AA14^2+AB14^2)))</f>
        <v>0.96406528178925688</v>
      </c>
      <c r="AE14" s="572">
        <f t="shared" si="102"/>
        <v>-7.6223870830805784E-3</v>
      </c>
      <c r="AF14" s="576">
        <f t="shared" si="103"/>
        <v>-0.26555608007303605</v>
      </c>
      <c r="AG14" s="545">
        <f t="shared" si="104"/>
        <v>-1.6441375750432805</v>
      </c>
      <c r="AH14" s="546">
        <f t="shared" si="105"/>
        <v>15.406497812045329</v>
      </c>
      <c r="AI14" s="528">
        <f t="shared" si="106"/>
        <v>-74.60000222348458</v>
      </c>
      <c r="AJ14" s="529">
        <f t="shared" si="107"/>
        <v>89.547000065405101</v>
      </c>
      <c r="AK14" s="578">
        <f>IF(M14="","",(COS(RADIANS((90-$Q$8)-W14))*AD14)+(-SIN(RADIANS((90-$Q$8)-W14))*AE14))</f>
        <v>0.96408822626518365</v>
      </c>
      <c r="AL14" s="572">
        <f t="shared" si="108"/>
        <v>3.7229441434882176E-3</v>
      </c>
      <c r="AM14" s="577">
        <f t="shared" si="109"/>
        <v>-0.26555608007303605</v>
      </c>
      <c r="AN14" s="524">
        <f t="shared" si="110"/>
        <v>0.80320139340279006</v>
      </c>
      <c r="AO14" s="525">
        <f t="shared" si="111"/>
        <v>15.401548626149983</v>
      </c>
      <c r="AP14" s="528">
        <f>IF(M14="","",DEGREES(ATAN2(AK14,AL14)))</f>
        <v>0.22125353332445635</v>
      </c>
      <c r="AQ14" s="529">
        <f t="shared" si="12"/>
        <v>0.45655181229667841</v>
      </c>
      <c r="AS14" s="954">
        <f t="shared" si="138"/>
        <v>359.65072167788782</v>
      </c>
      <c r="AT14" s="950">
        <f>IF(M14="","",Y14+(((AS14-$AS$9)*$AS$6)*-1))</f>
        <v>-0.13737242773823846</v>
      </c>
      <c r="AU14" s="418"/>
      <c r="AV14" s="164" t="str">
        <f t="shared" si="14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39"/>
        <v/>
      </c>
      <c r="BA14" s="296" t="str">
        <f t="shared" si="15"/>
        <v/>
      </c>
      <c r="BB14" s="291" t="str">
        <f>IF(ISNUMBER($AV14),$AX14-($AT14+$AS$5),"")</f>
        <v/>
      </c>
      <c r="BC14" s="9"/>
      <c r="BD14" s="5" t="str">
        <f t="shared" si="141"/>
        <v/>
      </c>
      <c r="BE14" s="6" t="str">
        <f>IF(ISNUMBER(AV14),Y14+BB14,"")</f>
        <v/>
      </c>
      <c r="BF14" s="4" t="str">
        <f t="shared" si="17"/>
        <v/>
      </c>
      <c r="BG14" s="5" t="str">
        <f t="shared" si="18"/>
        <v/>
      </c>
      <c r="BH14" s="10" t="str">
        <f t="shared" si="19"/>
        <v/>
      </c>
      <c r="BI14" s="9" t="str">
        <f t="shared" si="142"/>
        <v/>
      </c>
      <c r="BJ14" s="5" t="str">
        <f t="shared" si="20"/>
        <v/>
      </c>
      <c r="BK14" s="8" t="str">
        <f t="shared" si="21"/>
        <v/>
      </c>
      <c r="BL14" s="173" t="str">
        <f t="shared" si="22"/>
        <v/>
      </c>
      <c r="BM14" s="5" t="str">
        <f t="shared" si="23"/>
        <v/>
      </c>
      <c r="BN14" s="6" t="str">
        <f t="shared" si="24"/>
        <v/>
      </c>
      <c r="BO14" s="4" t="str">
        <f t="shared" si="143"/>
        <v/>
      </c>
      <c r="BP14" s="5" t="str">
        <f t="shared" si="144"/>
        <v/>
      </c>
      <c r="BQ14" s="5" t="str">
        <f t="shared" si="145"/>
        <v/>
      </c>
      <c r="BR14" s="6" t="str">
        <f t="shared" si="146"/>
        <v/>
      </c>
      <c r="BS14" s="4" t="str">
        <f t="shared" si="113"/>
        <v/>
      </c>
      <c r="BT14" s="5" t="str">
        <f t="shared" si="113"/>
        <v/>
      </c>
      <c r="BU14" s="10" t="str">
        <f t="shared" si="114"/>
        <v/>
      </c>
      <c r="BV14" s="9" t="str">
        <f t="shared" si="115"/>
        <v/>
      </c>
      <c r="BW14" s="5" t="str">
        <f t="shared" si="116"/>
        <v/>
      </c>
      <c r="BX14" s="8" t="str">
        <f t="shared" si="117"/>
        <v/>
      </c>
      <c r="BY14" s="173" t="str">
        <f t="shared" si="118"/>
        <v/>
      </c>
      <c r="BZ14" s="5" t="str">
        <f t="shared" si="119"/>
        <v/>
      </c>
      <c r="CA14" s="6" t="str">
        <f t="shared" si="120"/>
        <v/>
      </c>
      <c r="CB14" s="4" t="str">
        <f t="shared" si="147"/>
        <v/>
      </c>
      <c r="CC14" s="5" t="str">
        <f t="shared" si="148"/>
        <v/>
      </c>
      <c r="CD14" s="5" t="str">
        <f t="shared" si="149"/>
        <v/>
      </c>
      <c r="CE14" s="6" t="str">
        <f t="shared" si="150"/>
        <v/>
      </c>
      <c r="CF14" s="4" t="str">
        <f t="shared" si="151"/>
        <v/>
      </c>
      <c r="CG14" s="5" t="str">
        <f t="shared" si="152"/>
        <v/>
      </c>
      <c r="CH14" s="5" t="str">
        <f t="shared" si="153"/>
        <v/>
      </c>
      <c r="CI14" s="4" t="str">
        <f t="shared" si="121"/>
        <v/>
      </c>
      <c r="CJ14" s="5" t="str">
        <f t="shared" si="122"/>
        <v/>
      </c>
      <c r="CK14" s="8" t="str">
        <f t="shared" si="123"/>
        <v/>
      </c>
      <c r="CL14" s="173" t="str">
        <f t="shared" si="124"/>
        <v/>
      </c>
      <c r="CM14" s="5" t="str">
        <f t="shared" si="125"/>
        <v/>
      </c>
      <c r="CN14" s="6" t="str">
        <f t="shared" si="126"/>
        <v/>
      </c>
      <c r="CO14" s="167" t="str">
        <f t="shared" si="25"/>
        <v/>
      </c>
      <c r="CP14" s="4" t="str">
        <f t="shared" si="237"/>
        <v/>
      </c>
      <c r="CQ14" s="5" t="str">
        <f t="shared" si="238"/>
        <v/>
      </c>
      <c r="CR14" s="5" t="str">
        <f t="shared" si="154"/>
        <v/>
      </c>
      <c r="CS14" s="8" t="str">
        <f t="shared" si="155"/>
        <v/>
      </c>
      <c r="CT14" s="9" t="str">
        <f t="shared" si="156"/>
        <v/>
      </c>
      <c r="CU14" s="6" t="str">
        <f t="shared" si="157"/>
        <v/>
      </c>
      <c r="CV14" s="4" t="str">
        <f>IF(ISNUMBER($AV14),CI14+($CT14*(CL14-CI14)),"")</f>
        <v/>
      </c>
      <c r="CW14" s="5" t="str">
        <f t="shared" si="158"/>
        <v/>
      </c>
      <c r="CX14" s="8" t="str">
        <f t="shared" si="159"/>
        <v/>
      </c>
      <c r="CY14" s="9" t="str">
        <f t="shared" si="160"/>
        <v/>
      </c>
      <c r="CZ14" s="5" t="str">
        <f t="shared" si="161"/>
        <v/>
      </c>
      <c r="DA14" s="6" t="str">
        <f t="shared" si="162"/>
        <v/>
      </c>
      <c r="DB14" s="4" t="str">
        <f t="shared" si="163"/>
        <v/>
      </c>
      <c r="DC14" s="5" t="str">
        <f t="shared" si="163"/>
        <v/>
      </c>
      <c r="DD14" s="10" t="str">
        <f t="shared" si="164"/>
        <v/>
      </c>
      <c r="DE14" s="9" t="str">
        <f t="shared" si="165"/>
        <v/>
      </c>
      <c r="DF14" s="5" t="str">
        <f t="shared" si="165"/>
        <v/>
      </c>
      <c r="DG14" s="10" t="str">
        <f t="shared" si="166"/>
        <v/>
      </c>
      <c r="DH14" s="70" t="str">
        <f t="shared" si="167"/>
        <v/>
      </c>
      <c r="DI14" s="4" t="str">
        <f t="shared" si="168"/>
        <v/>
      </c>
      <c r="DJ14" s="5" t="str">
        <f t="shared" si="169"/>
        <v/>
      </c>
      <c r="DK14" s="10" t="str">
        <f t="shared" si="170"/>
        <v/>
      </c>
      <c r="DL14" s="9" t="str">
        <f t="shared" si="171"/>
        <v/>
      </c>
      <c r="DM14" s="173" t="str">
        <f t="shared" si="172"/>
        <v/>
      </c>
      <c r="DN14" s="178" t="str">
        <f t="shared" si="173"/>
        <v/>
      </c>
      <c r="DO14" s="9" t="str">
        <f t="shared" si="174"/>
        <v/>
      </c>
      <c r="DP14" s="173" t="str">
        <f t="shared" si="175"/>
        <v/>
      </c>
      <c r="DQ14" s="11" t="str">
        <f t="shared" si="176"/>
        <v/>
      </c>
      <c r="DR14" s="173" t="str">
        <f t="shared" si="177"/>
        <v/>
      </c>
      <c r="DS14" s="5" t="str">
        <f t="shared" si="178"/>
        <v/>
      </c>
      <c r="DT14" s="5" t="str">
        <f t="shared" si="179"/>
        <v/>
      </c>
      <c r="DU14" s="5" t="str">
        <f t="shared" si="180"/>
        <v/>
      </c>
      <c r="DV14" s="5" t="str">
        <f t="shared" si="181"/>
        <v/>
      </c>
      <c r="DW14" s="5" t="str">
        <f t="shared" si="182"/>
        <v/>
      </c>
      <c r="DX14" s="167" t="str">
        <f t="shared" si="183"/>
        <v/>
      </c>
      <c r="DY14" s="9" t="str">
        <f t="shared" si="184"/>
        <v/>
      </c>
      <c r="DZ14" s="5" t="str">
        <f t="shared" si="185"/>
        <v/>
      </c>
      <c r="EA14" s="10" t="str">
        <f t="shared" si="186"/>
        <v/>
      </c>
      <c r="EB14" s="6" t="str">
        <f t="shared" si="187"/>
        <v/>
      </c>
      <c r="EC14" s="173" t="str">
        <f t="shared" si="188"/>
        <v/>
      </c>
      <c r="ED14" s="5" t="str">
        <f t="shared" si="189"/>
        <v/>
      </c>
      <c r="EE14" s="4" t="str">
        <f t="shared" si="190"/>
        <v/>
      </c>
      <c r="EF14" s="5" t="str">
        <f t="shared" si="191"/>
        <v/>
      </c>
      <c r="EG14" s="10" t="str">
        <f t="shared" si="192"/>
        <v/>
      </c>
      <c r="EH14" s="9" t="str">
        <f t="shared" si="193"/>
        <v/>
      </c>
      <c r="EI14" s="5" t="str">
        <f t="shared" si="194"/>
        <v/>
      </c>
      <c r="EJ14" s="6" t="str">
        <f t="shared" si="195"/>
        <v/>
      </c>
      <c r="EK14" s="236" t="str">
        <f t="shared" si="196"/>
        <v/>
      </c>
      <c r="EL14" s="238" t="str">
        <f t="shared" si="197"/>
        <v/>
      </c>
      <c r="EM14" s="4" t="str">
        <f t="shared" si="198"/>
        <v/>
      </c>
      <c r="EN14" s="5" t="str">
        <f t="shared" si="199"/>
        <v/>
      </c>
      <c r="EO14" s="10" t="str">
        <f t="shared" si="200"/>
        <v/>
      </c>
      <c r="EP14" s="9" t="str">
        <f t="shared" si="201"/>
        <v/>
      </c>
      <c r="EQ14" s="5" t="str">
        <f t="shared" si="202"/>
        <v/>
      </c>
      <c r="ER14" s="7" t="str">
        <f t="shared" si="203"/>
        <v/>
      </c>
      <c r="ES14" s="21" t="str">
        <f t="shared" si="127"/>
        <v/>
      </c>
      <c r="ET14" s="5" t="str">
        <f t="shared" si="34"/>
        <v/>
      </c>
      <c r="EU14" s="10" t="str">
        <f t="shared" si="35"/>
        <v/>
      </c>
      <c r="EV14" s="174" t="str">
        <f t="shared" ref="EV14:EV40" si="253">IF(ISNUMBER($AV14),IF(($EV$1-EP14)&lt;0,(360+($EV$1-EP14)),($EV$1-EP14)),"")</f>
        <v/>
      </c>
      <c r="EW14" s="9" t="str">
        <f t="shared" si="128"/>
        <v/>
      </c>
      <c r="EX14" s="5" t="str">
        <f t="shared" si="36"/>
        <v/>
      </c>
      <c r="EY14" s="6" t="str">
        <f t="shared" si="204"/>
        <v/>
      </c>
      <c r="EZ14" s="51" t="str">
        <f>IF(ISNUMBER($AV14),DEGREES(ATAN($AS$5/($EQ14*2*PI()))),"")</f>
        <v/>
      </c>
      <c r="FA14" s="266" t="str">
        <f t="shared" si="129"/>
        <v/>
      </c>
      <c r="FB14" s="267" t="str">
        <f t="shared" si="130"/>
        <v/>
      </c>
      <c r="FC14" s="269" t="str">
        <f t="shared" si="37"/>
        <v/>
      </c>
      <c r="FD14" s="4" t="str">
        <f t="shared" si="131"/>
        <v/>
      </c>
      <c r="FE14" s="5" t="str">
        <f t="shared" si="38"/>
        <v/>
      </c>
      <c r="FF14" s="7" t="str">
        <f t="shared" si="206"/>
        <v/>
      </c>
      <c r="FG14" s="173" t="str">
        <f t="shared" si="207"/>
        <v/>
      </c>
      <c r="FH14" s="5" t="str">
        <f t="shared" si="39"/>
        <v/>
      </c>
      <c r="FI14" s="10" t="str">
        <f t="shared" si="40"/>
        <v/>
      </c>
      <c r="FJ14" s="279" t="str">
        <f t="shared" si="208"/>
        <v/>
      </c>
      <c r="FK14" s="4" t="str">
        <f t="shared" si="41"/>
        <v/>
      </c>
      <c r="FL14" s="5" t="str">
        <f t="shared" si="209"/>
        <v/>
      </c>
      <c r="FM14" s="8" t="str">
        <f t="shared" si="210"/>
        <v/>
      </c>
      <c r="FN14" s="9" t="str">
        <f t="shared" si="211"/>
        <v/>
      </c>
      <c r="FO14" s="10" t="str">
        <f t="shared" si="42"/>
        <v/>
      </c>
      <c r="FP14" s="277" t="str">
        <f t="shared" si="43"/>
        <v/>
      </c>
      <c r="FQ14" s="173" t="str">
        <f t="shared" si="240"/>
        <v/>
      </c>
      <c r="FR14" s="10" t="str">
        <f t="shared" si="212"/>
        <v/>
      </c>
      <c r="FS14" s="9" t="str">
        <f t="shared" si="213"/>
        <v/>
      </c>
      <c r="FT14" s="6" t="str">
        <f t="shared" si="214"/>
        <v/>
      </c>
      <c r="FU14" s="4" t="str">
        <f t="shared" si="215"/>
        <v/>
      </c>
      <c r="FV14" s="5" t="str">
        <f t="shared" si="216"/>
        <v/>
      </c>
      <c r="FW14" s="8" t="str">
        <f t="shared" si="241"/>
        <v/>
      </c>
      <c r="FX14" s="9" t="str">
        <f t="shared" si="242"/>
        <v/>
      </c>
      <c r="FY14" s="10" t="str">
        <f t="shared" si="44"/>
        <v/>
      </c>
      <c r="FZ14" s="277" t="str">
        <f t="shared" si="243"/>
        <v/>
      </c>
      <c r="GA14" s="177" t="str">
        <f t="shared" si="217"/>
        <v/>
      </c>
      <c r="GB14" s="4" t="str">
        <f>IF(ISNUMBER($AV14),COS(RADIANS(FP14+90))*COS(RADIANS(FZ14)),"")</f>
        <v/>
      </c>
      <c r="GC14" s="5" t="str">
        <f t="shared" si="219"/>
        <v/>
      </c>
      <c r="GD14" s="10" t="str">
        <f t="shared" si="220"/>
        <v/>
      </c>
      <c r="GE14" s="311" t="str">
        <f t="shared" si="221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7"/>
        <v/>
      </c>
      <c r="GJ14" s="167" t="str">
        <f t="shared" si="222"/>
        <v/>
      </c>
      <c r="GK14" s="174" t="str">
        <f t="shared" si="48"/>
        <v/>
      </c>
      <c r="GL14" s="174" t="str">
        <f t="shared" si="223"/>
        <v/>
      </c>
      <c r="GM14" s="177" t="str">
        <f t="shared" si="245"/>
        <v/>
      </c>
      <c r="GN14" s="280" t="str">
        <f t="shared" si="224"/>
        <v/>
      </c>
      <c r="GO14" s="4" t="str">
        <f t="shared" si="225"/>
        <v/>
      </c>
      <c r="GP14" s="8" t="str">
        <f t="shared" si="246"/>
        <v/>
      </c>
      <c r="GQ14" s="177" t="str">
        <f t="shared" si="226"/>
        <v/>
      </c>
      <c r="GR14" s="371" t="str">
        <f t="shared" si="247"/>
        <v/>
      </c>
      <c r="GS14" s="342" t="str">
        <f>IF(ISNUMBER($AV14),GU14/GH14*GG14,"")</f>
        <v/>
      </c>
      <c r="GT14" s="343" t="str">
        <f t="shared" si="51"/>
        <v/>
      </c>
      <c r="GU14" s="344" t="str">
        <f t="shared" si="52"/>
        <v/>
      </c>
      <c r="GV14" s="343" t="str">
        <f t="shared" ref="GV14:GV74" si="254">IF(ISNUMBER($AV14),GW14*$GL14,"")</f>
        <v/>
      </c>
      <c r="GW14" s="345" t="str">
        <f t="shared" si="53"/>
        <v/>
      </c>
      <c r="GX14" s="346" t="str">
        <f t="shared" si="54"/>
        <v/>
      </c>
      <c r="GY14" s="344" t="str">
        <f t="shared" si="55"/>
        <v/>
      </c>
      <c r="GZ14" s="345" t="str">
        <f t="shared" si="56"/>
        <v/>
      </c>
      <c r="HA14" s="342" t="str">
        <f t="shared" si="57"/>
        <v/>
      </c>
      <c r="HB14" s="5" t="str">
        <f t="shared" si="227"/>
        <v/>
      </c>
      <c r="HC14" s="343" t="str">
        <f t="shared" si="228"/>
        <v/>
      </c>
      <c r="HD14" s="345" t="str">
        <f t="shared" si="229"/>
        <v/>
      </c>
      <c r="HE14" s="344" t="str">
        <f t="shared" si="58"/>
        <v/>
      </c>
      <c r="HF14" s="5" t="str">
        <f t="shared" si="59"/>
        <v/>
      </c>
      <c r="HG14" s="343" t="str">
        <f t="shared" si="230"/>
        <v/>
      </c>
      <c r="HH14" s="349" t="str">
        <f t="shared" si="231"/>
        <v/>
      </c>
      <c r="HI14" s="317" t="str">
        <f t="shared" si="60"/>
        <v/>
      </c>
      <c r="HJ14" s="336"/>
      <c r="HK14" s="310" t="str">
        <f t="shared" si="132"/>
        <v/>
      </c>
      <c r="HL14" s="348" t="str">
        <f t="shared" si="61"/>
        <v/>
      </c>
      <c r="HM14" s="923" t="str">
        <f t="shared" si="62"/>
        <v/>
      </c>
      <c r="HN14" s="924" t="str">
        <f t="shared" si="63"/>
        <v/>
      </c>
      <c r="HO14" s="925"/>
      <c r="HP14" s="926"/>
      <c r="HQ14" s="924" t="str">
        <f t="shared" si="64"/>
        <v/>
      </c>
      <c r="HR14" s="927" t="str">
        <f t="shared" si="65"/>
        <v/>
      </c>
      <c r="HS14" s="879" t="str">
        <f t="shared" si="250"/>
        <v/>
      </c>
      <c r="HT14" s="889" t="str">
        <f t="shared" si="66"/>
        <v/>
      </c>
      <c r="HU14" s="890" t="str">
        <f t="shared" si="67"/>
        <v/>
      </c>
      <c r="HV14" s="886" t="str">
        <f t="shared" si="68"/>
        <v/>
      </c>
      <c r="HW14" s="880" t="str">
        <f t="shared" si="69"/>
        <v/>
      </c>
      <c r="HX14" s="881" t="str">
        <f t="shared" si="70"/>
        <v/>
      </c>
      <c r="HY14" s="880" t="str">
        <f t="shared" si="71"/>
        <v/>
      </c>
      <c r="HZ14" s="882" t="str">
        <f t="shared" si="72"/>
        <v/>
      </c>
      <c r="IA14" s="883" t="str">
        <f t="shared" si="73"/>
        <v/>
      </c>
      <c r="IB14" s="884" t="str">
        <f t="shared" si="74"/>
        <v/>
      </c>
      <c r="IC14" s="855" t="str">
        <f t="shared" si="75"/>
        <v/>
      </c>
      <c r="ID14" s="351" t="str">
        <f t="shared" si="76"/>
        <v/>
      </c>
      <c r="IE14" s="857" t="str">
        <f t="shared" si="77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2"/>
        <v>1.1200000000000001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8"/>
        <v>1913</v>
      </c>
      <c r="IM14" s="482" t="str">
        <f t="shared" si="233"/>
        <v/>
      </c>
      <c r="IN14" s="670" t="str">
        <f t="shared" si="80"/>
        <v/>
      </c>
      <c r="IO14" s="702"/>
      <c r="IP14" s="5" t="str">
        <f t="shared" si="81"/>
        <v/>
      </c>
      <c r="IQ14" s="714"/>
      <c r="IR14" s="9" t="str">
        <f t="shared" si="8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92"/>
        <v>0.02</v>
      </c>
      <c r="B15" s="578">
        <f t="shared" ref="B15:D15" si="255">IFERROR(O170-($A15*E15),"")</f>
        <v>0.13152967538898511</v>
      </c>
      <c r="C15" s="572">
        <f t="shared" si="255"/>
        <v>5.8877030741434115</v>
      </c>
      <c r="D15" s="576">
        <f t="shared" si="255"/>
        <v>-0.24194253328770746</v>
      </c>
      <c r="E15" s="580">
        <f t="shared" ref="E15:K15" si="256">R170</f>
        <v>-0.9583173410829211</v>
      </c>
      <c r="F15" s="572">
        <f t="shared" si="256"/>
        <v>8.7145633605027084E-2</v>
      </c>
      <c r="G15" s="579">
        <f t="shared" si="256"/>
        <v>0.27209100007780246</v>
      </c>
      <c r="H15" s="580">
        <f t="shared" si="256"/>
        <v>0.375</v>
      </c>
      <c r="I15" s="572">
        <f t="shared" si="256"/>
        <v>0.52</v>
      </c>
      <c r="J15" s="483">
        <f t="shared" si="95"/>
        <v>1.125</v>
      </c>
      <c r="K15" s="806">
        <f t="shared" si="256"/>
        <v>1913</v>
      </c>
      <c r="L15" s="814" t="str">
        <f>IF($L14=$JJ$22,$JJ$29,IF($L14=$JK$22,$JK$29,""))</f>
        <v/>
      </c>
      <c r="M15" s="164">
        <f t="shared" si="3"/>
        <v>1.125</v>
      </c>
      <c r="N15" s="575">
        <f t="shared" si="4"/>
        <v>0.13152967538898511</v>
      </c>
      <c r="O15" s="572">
        <f t="shared" si="5"/>
        <v>5.8877030741434115</v>
      </c>
      <c r="P15" s="576">
        <f t="shared" si="6"/>
        <v>-0.24194253328770746</v>
      </c>
      <c r="Q15" s="528">
        <f t="shared" si="135"/>
        <v>88.720240831127626</v>
      </c>
      <c r="R15" s="572">
        <f t="shared" si="96"/>
        <v>5.8891720593633288</v>
      </c>
      <c r="S15" s="577">
        <f t="shared" si="97"/>
        <v>-0.24194253328770746</v>
      </c>
      <c r="T15" s="578">
        <f t="shared" si="98"/>
        <v>5.8883543871893886</v>
      </c>
      <c r="U15" s="572">
        <f t="shared" si="99"/>
        <v>-9.813335647570598E-2</v>
      </c>
      <c r="V15" s="579">
        <f t="shared" si="136"/>
        <v>-0.24194253328770746</v>
      </c>
      <c r="W15" s="528">
        <f t="shared" ref="W15:W78" si="257">IF(M15="","",IF(Q15-$Q$8&lt;0,360+Q15-$Q$8,Q15-$Q$8))</f>
        <v>359.0452159769348</v>
      </c>
      <c r="X15" s="572">
        <f>IF(M15="","",R15)</f>
        <v>5.8891720593633288</v>
      </c>
      <c r="Y15" s="573">
        <f t="shared" si="8"/>
        <v>-0.24194253328770746</v>
      </c>
      <c r="Z15" s="575">
        <f t="shared" si="9"/>
        <v>0.9583173410829211</v>
      </c>
      <c r="AA15" s="572">
        <f t="shared" si="10"/>
        <v>-8.7145633605027084E-2</v>
      </c>
      <c r="AB15" s="572">
        <f t="shared" si="11"/>
        <v>-0.27209100007780246</v>
      </c>
      <c r="AC15" s="579">
        <f t="shared" si="101"/>
        <v>1</v>
      </c>
      <c r="AD15" s="580">
        <f t="shared" si="137"/>
        <v>0.9583173410829211</v>
      </c>
      <c r="AE15" s="572">
        <f t="shared" si="102"/>
        <v>-8.7145633605027084E-2</v>
      </c>
      <c r="AF15" s="576">
        <f t="shared" si="103"/>
        <v>-0.27209100007780246</v>
      </c>
      <c r="AG15" s="545">
        <f t="shared" si="104"/>
        <v>-17.759285733178519</v>
      </c>
      <c r="AH15" s="546">
        <f t="shared" si="105"/>
        <v>16.601049540462558</v>
      </c>
      <c r="AI15" s="528">
        <f t="shared" si="106"/>
        <v>-74.211268497036315</v>
      </c>
      <c r="AJ15" s="529">
        <f t="shared" si="107"/>
        <v>84.804036745305666</v>
      </c>
      <c r="AK15" s="578">
        <f t="shared" si="236"/>
        <v>0.96002462400626676</v>
      </c>
      <c r="AL15" s="572">
        <f t="shared" si="108"/>
        <v>-6.5720689119085712E-2</v>
      </c>
      <c r="AM15" s="577">
        <f t="shared" si="109"/>
        <v>-0.27209100007780246</v>
      </c>
      <c r="AN15" s="524">
        <f>IF(M15="","",DEGREES(ATAN2(-AM15,AL15)))</f>
        <v>-13.579099980521862</v>
      </c>
      <c r="AO15" s="525">
        <f t="shared" si="111"/>
        <v>16.255165192602455</v>
      </c>
      <c r="AP15" s="528">
        <f t="shared" si="112"/>
        <v>-3.9162040858219771</v>
      </c>
      <c r="AQ15" s="529">
        <f t="shared" si="12"/>
        <v>0.38709888629474187</v>
      </c>
      <c r="AS15" s="954">
        <f t="shared" si="138"/>
        <v>359.0452159769348</v>
      </c>
      <c r="AT15" s="950">
        <f t="shared" si="13"/>
        <v>-0.24288295516198982</v>
      </c>
      <c r="AU15" s="418"/>
      <c r="AV15" s="164" t="str">
        <f t="shared" si="14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5"/>
        <v/>
      </c>
      <c r="BB15" s="291" t="str">
        <f t="shared" si="140"/>
        <v/>
      </c>
      <c r="BC15" s="9"/>
      <c r="BD15" s="5" t="str">
        <f t="shared" si="141"/>
        <v/>
      </c>
      <c r="BE15" s="6" t="str">
        <f t="shared" si="16"/>
        <v/>
      </c>
      <c r="BF15" s="4" t="str">
        <f t="shared" si="17"/>
        <v/>
      </c>
      <c r="BG15" s="5" t="str">
        <f t="shared" si="18"/>
        <v/>
      </c>
      <c r="BH15" s="10" t="str">
        <f t="shared" si="19"/>
        <v/>
      </c>
      <c r="BI15" s="9" t="str">
        <f t="shared" si="142"/>
        <v/>
      </c>
      <c r="BJ15" s="5" t="str">
        <f t="shared" si="20"/>
        <v/>
      </c>
      <c r="BK15" s="8" t="str">
        <f t="shared" si="21"/>
        <v/>
      </c>
      <c r="BL15" s="173" t="str">
        <f t="shared" si="22"/>
        <v/>
      </c>
      <c r="BM15" s="5" t="str">
        <f t="shared" si="23"/>
        <v/>
      </c>
      <c r="BN15" s="6" t="str">
        <f t="shared" si="24"/>
        <v/>
      </c>
      <c r="BO15" s="4" t="str">
        <f t="shared" si="143"/>
        <v/>
      </c>
      <c r="BP15" s="5" t="str">
        <f t="shared" si="144"/>
        <v/>
      </c>
      <c r="BQ15" s="5" t="str">
        <f t="shared" si="145"/>
        <v/>
      </c>
      <c r="BR15" s="6" t="str">
        <f t="shared" si="146"/>
        <v/>
      </c>
      <c r="BS15" s="4" t="str">
        <f t="shared" si="113"/>
        <v/>
      </c>
      <c r="BT15" s="5" t="str">
        <f t="shared" si="113"/>
        <v/>
      </c>
      <c r="BU15" s="10" t="str">
        <f t="shared" si="114"/>
        <v/>
      </c>
      <c r="BV15" s="9" t="str">
        <f t="shared" si="115"/>
        <v/>
      </c>
      <c r="BW15" s="5" t="str">
        <f t="shared" si="116"/>
        <v/>
      </c>
      <c r="BX15" s="8" t="str">
        <f t="shared" si="117"/>
        <v/>
      </c>
      <c r="BY15" s="173" t="str">
        <f t="shared" si="118"/>
        <v/>
      </c>
      <c r="BZ15" s="5" t="str">
        <f t="shared" si="119"/>
        <v/>
      </c>
      <c r="CA15" s="6" t="str">
        <f t="shared" si="120"/>
        <v/>
      </c>
      <c r="CB15" s="4" t="str">
        <f t="shared" si="147"/>
        <v/>
      </c>
      <c r="CC15" s="5" t="str">
        <f t="shared" si="148"/>
        <v/>
      </c>
      <c r="CD15" s="5" t="str">
        <f t="shared" si="149"/>
        <v/>
      </c>
      <c r="CE15" s="6" t="str">
        <f t="shared" si="150"/>
        <v/>
      </c>
      <c r="CF15" s="4" t="str">
        <f t="shared" si="151"/>
        <v/>
      </c>
      <c r="CG15" s="5" t="str">
        <f t="shared" si="152"/>
        <v/>
      </c>
      <c r="CH15" s="5" t="str">
        <f t="shared" si="153"/>
        <v/>
      </c>
      <c r="CI15" s="4" t="str">
        <f t="shared" si="121"/>
        <v/>
      </c>
      <c r="CJ15" s="5" t="str">
        <f t="shared" si="122"/>
        <v/>
      </c>
      <c r="CK15" s="8" t="str">
        <f t="shared" si="123"/>
        <v/>
      </c>
      <c r="CL15" s="173" t="str">
        <f t="shared" si="124"/>
        <v/>
      </c>
      <c r="CM15" s="5" t="str">
        <f t="shared" si="125"/>
        <v/>
      </c>
      <c r="CN15" s="6" t="str">
        <f t="shared" si="126"/>
        <v/>
      </c>
      <c r="CO15" s="167" t="str">
        <f t="shared" si="25"/>
        <v/>
      </c>
      <c r="CP15" s="4" t="str">
        <f t="shared" si="237"/>
        <v/>
      </c>
      <c r="CQ15" s="5" t="str">
        <f t="shared" si="238"/>
        <v/>
      </c>
      <c r="CR15" s="5" t="str">
        <f t="shared" si="154"/>
        <v/>
      </c>
      <c r="CS15" s="8" t="str">
        <f t="shared" si="155"/>
        <v/>
      </c>
      <c r="CT15" s="9" t="str">
        <f t="shared" si="156"/>
        <v/>
      </c>
      <c r="CU15" s="6" t="str">
        <f t="shared" si="157"/>
        <v/>
      </c>
      <c r="CV15" s="4" t="str">
        <f t="shared" si="239"/>
        <v/>
      </c>
      <c r="CW15" s="5" t="str">
        <f t="shared" si="158"/>
        <v/>
      </c>
      <c r="CX15" s="8" t="str">
        <f t="shared" si="159"/>
        <v/>
      </c>
      <c r="CY15" s="9" t="str">
        <f t="shared" si="160"/>
        <v/>
      </c>
      <c r="CZ15" s="5" t="str">
        <f t="shared" si="161"/>
        <v/>
      </c>
      <c r="DA15" s="6" t="str">
        <f t="shared" si="162"/>
        <v/>
      </c>
      <c r="DB15" s="4" t="str">
        <f t="shared" si="163"/>
        <v/>
      </c>
      <c r="DC15" s="5" t="str">
        <f t="shared" si="163"/>
        <v/>
      </c>
      <c r="DD15" s="10" t="str">
        <f t="shared" si="164"/>
        <v/>
      </c>
      <c r="DE15" s="9" t="str">
        <f t="shared" si="165"/>
        <v/>
      </c>
      <c r="DF15" s="5" t="str">
        <f t="shared" si="165"/>
        <v/>
      </c>
      <c r="DG15" s="10" t="str">
        <f t="shared" si="166"/>
        <v/>
      </c>
      <c r="DH15" s="70" t="str">
        <f t="shared" si="167"/>
        <v/>
      </c>
      <c r="DI15" s="4" t="str">
        <f t="shared" si="168"/>
        <v/>
      </c>
      <c r="DJ15" s="5" t="str">
        <f t="shared" si="169"/>
        <v/>
      </c>
      <c r="DK15" s="10" t="str">
        <f t="shared" si="170"/>
        <v/>
      </c>
      <c r="DL15" s="9" t="str">
        <f t="shared" si="171"/>
        <v/>
      </c>
      <c r="DM15" s="173" t="str">
        <f t="shared" si="172"/>
        <v/>
      </c>
      <c r="DN15" s="178" t="str">
        <f t="shared" si="173"/>
        <v/>
      </c>
      <c r="DO15" s="9" t="str">
        <f t="shared" si="174"/>
        <v/>
      </c>
      <c r="DP15" s="173" t="str">
        <f t="shared" si="175"/>
        <v/>
      </c>
      <c r="DQ15" s="11" t="str">
        <f t="shared" si="176"/>
        <v/>
      </c>
      <c r="DR15" s="173" t="str">
        <f t="shared" si="177"/>
        <v/>
      </c>
      <c r="DS15" s="5" t="str">
        <f t="shared" si="178"/>
        <v/>
      </c>
      <c r="DT15" s="5" t="str">
        <f t="shared" si="179"/>
        <v/>
      </c>
      <c r="DU15" s="5" t="str">
        <f t="shared" si="180"/>
        <v/>
      </c>
      <c r="DV15" s="5" t="str">
        <f t="shared" si="181"/>
        <v/>
      </c>
      <c r="DW15" s="5" t="str">
        <f t="shared" si="182"/>
        <v/>
      </c>
      <c r="DX15" s="167" t="str">
        <f t="shared" si="183"/>
        <v/>
      </c>
      <c r="DY15" s="9" t="str">
        <f t="shared" si="184"/>
        <v/>
      </c>
      <c r="DZ15" s="5" t="str">
        <f t="shared" si="185"/>
        <v/>
      </c>
      <c r="EA15" s="10" t="str">
        <f t="shared" si="186"/>
        <v/>
      </c>
      <c r="EB15" s="6" t="str">
        <f t="shared" si="187"/>
        <v/>
      </c>
      <c r="EC15" s="173" t="str">
        <f t="shared" si="188"/>
        <v/>
      </c>
      <c r="ED15" s="5" t="str">
        <f t="shared" si="189"/>
        <v/>
      </c>
      <c r="EE15" s="4" t="str">
        <f t="shared" si="190"/>
        <v/>
      </c>
      <c r="EF15" s="5" t="str">
        <f t="shared" si="191"/>
        <v/>
      </c>
      <c r="EG15" s="10" t="str">
        <f t="shared" si="192"/>
        <v/>
      </c>
      <c r="EH15" s="9" t="str">
        <f t="shared" si="193"/>
        <v/>
      </c>
      <c r="EI15" s="5" t="str">
        <f t="shared" si="194"/>
        <v/>
      </c>
      <c r="EJ15" s="6" t="str">
        <f t="shared" si="195"/>
        <v/>
      </c>
      <c r="EK15" s="236" t="str">
        <f t="shared" si="196"/>
        <v/>
      </c>
      <c r="EL15" s="238" t="str">
        <f t="shared" si="197"/>
        <v/>
      </c>
      <c r="EM15" s="4" t="str">
        <f t="shared" si="198"/>
        <v/>
      </c>
      <c r="EN15" s="5" t="str">
        <f t="shared" si="199"/>
        <v/>
      </c>
      <c r="EO15" s="10" t="str">
        <f t="shared" si="200"/>
        <v/>
      </c>
      <c r="EP15" s="9" t="str">
        <f t="shared" si="201"/>
        <v/>
      </c>
      <c r="EQ15" s="5" t="str">
        <f t="shared" si="202"/>
        <v/>
      </c>
      <c r="ER15" s="7" t="str">
        <f t="shared" si="203"/>
        <v/>
      </c>
      <c r="ES15" s="21" t="str">
        <f t="shared" si="127"/>
        <v/>
      </c>
      <c r="ET15" s="5" t="str">
        <f t="shared" si="34"/>
        <v/>
      </c>
      <c r="EU15" s="10" t="str">
        <f t="shared" si="35"/>
        <v/>
      </c>
      <c r="EV15" s="174" t="str">
        <f t="shared" si="253"/>
        <v/>
      </c>
      <c r="EW15" s="9" t="str">
        <f t="shared" si="128"/>
        <v/>
      </c>
      <c r="EX15" s="5" t="str">
        <f t="shared" si="36"/>
        <v/>
      </c>
      <c r="EY15" s="6" t="str">
        <f t="shared" si="204"/>
        <v/>
      </c>
      <c r="EZ15" s="51" t="str">
        <f t="shared" si="205"/>
        <v/>
      </c>
      <c r="FA15" s="266" t="str">
        <f t="shared" si="129"/>
        <v/>
      </c>
      <c r="FB15" s="267" t="str">
        <f t="shared" si="130"/>
        <v/>
      </c>
      <c r="FC15" s="269" t="str">
        <f t="shared" si="37"/>
        <v/>
      </c>
      <c r="FD15" s="4" t="str">
        <f t="shared" si="131"/>
        <v/>
      </c>
      <c r="FE15" s="5" t="str">
        <f t="shared" si="38"/>
        <v/>
      </c>
      <c r="FF15" s="7" t="str">
        <f t="shared" si="206"/>
        <v/>
      </c>
      <c r="FG15" s="173" t="str">
        <f t="shared" si="207"/>
        <v/>
      </c>
      <c r="FH15" s="5" t="str">
        <f t="shared" si="39"/>
        <v/>
      </c>
      <c r="FI15" s="10" t="str">
        <f t="shared" si="40"/>
        <v/>
      </c>
      <c r="FJ15" s="279" t="str">
        <f t="shared" si="208"/>
        <v/>
      </c>
      <c r="FK15" s="4" t="str">
        <f t="shared" si="41"/>
        <v/>
      </c>
      <c r="FL15" s="5" t="str">
        <f t="shared" si="209"/>
        <v/>
      </c>
      <c r="FM15" s="8" t="str">
        <f t="shared" si="210"/>
        <v/>
      </c>
      <c r="FN15" s="9" t="str">
        <f t="shared" si="211"/>
        <v/>
      </c>
      <c r="FO15" s="10" t="str">
        <f t="shared" si="42"/>
        <v/>
      </c>
      <c r="FP15" s="277" t="str">
        <f t="shared" si="43"/>
        <v/>
      </c>
      <c r="FQ15" s="173" t="str">
        <f>IF(ISNUMBER($AV15),SIN(RADIANS(FN15)),"")</f>
        <v/>
      </c>
      <c r="FR15" s="10" t="str">
        <f t="shared" si="212"/>
        <v/>
      </c>
      <c r="FS15" s="9" t="str">
        <f>IF(ISNUMBER($AV15),FQ15/(FQ15+FR15),"")</f>
        <v/>
      </c>
      <c r="FT15" s="6" t="str">
        <f t="shared" si="214"/>
        <v/>
      </c>
      <c r="FU15" s="4" t="str">
        <f t="shared" si="215"/>
        <v/>
      </c>
      <c r="FV15" s="5" t="str">
        <f t="shared" si="216"/>
        <v/>
      </c>
      <c r="FW15" s="8" t="str">
        <f t="shared" si="241"/>
        <v/>
      </c>
      <c r="FX15" s="9" t="str">
        <f t="shared" si="242"/>
        <v/>
      </c>
      <c r="FY15" s="10" t="str">
        <f t="shared" si="44"/>
        <v/>
      </c>
      <c r="FZ15" s="277" t="str">
        <f t="shared" si="243"/>
        <v/>
      </c>
      <c r="GA15" s="177" t="str">
        <f t="shared" si="217"/>
        <v/>
      </c>
      <c r="GB15" s="4" t="str">
        <f t="shared" si="218"/>
        <v/>
      </c>
      <c r="GC15" s="5" t="str">
        <f t="shared" si="219"/>
        <v/>
      </c>
      <c r="GD15" s="10" t="str">
        <f t="shared" si="220"/>
        <v/>
      </c>
      <c r="GE15" s="311" t="str">
        <f t="shared" si="221"/>
        <v/>
      </c>
      <c r="GF15" s="341" t="str">
        <f t="shared" si="244"/>
        <v/>
      </c>
      <c r="GG15" s="285" t="str">
        <f t="shared" si="45"/>
        <v/>
      </c>
      <c r="GH15" s="286" t="str">
        <f t="shared" si="46"/>
        <v/>
      </c>
      <c r="GI15" s="281" t="str">
        <f t="shared" si="47"/>
        <v/>
      </c>
      <c r="GJ15" s="167" t="str">
        <f t="shared" si="222"/>
        <v/>
      </c>
      <c r="GK15" s="174" t="str">
        <f t="shared" si="48"/>
        <v/>
      </c>
      <c r="GL15" s="174" t="str">
        <f t="shared" si="223"/>
        <v/>
      </c>
      <c r="GM15" s="177" t="str">
        <f t="shared" si="245"/>
        <v/>
      </c>
      <c r="GN15" s="280" t="str">
        <f t="shared" si="224"/>
        <v/>
      </c>
      <c r="GO15" s="4" t="str">
        <f t="shared" si="225"/>
        <v/>
      </c>
      <c r="GP15" s="8" t="str">
        <f t="shared" si="246"/>
        <v/>
      </c>
      <c r="GQ15" s="177" t="str">
        <f t="shared" si="226"/>
        <v/>
      </c>
      <c r="GR15" s="371" t="str">
        <f t="shared" si="247"/>
        <v/>
      </c>
      <c r="GS15" s="342" t="str">
        <f t="shared" si="50"/>
        <v/>
      </c>
      <c r="GT15" s="343" t="str">
        <f t="shared" si="51"/>
        <v/>
      </c>
      <c r="GU15" s="344" t="str">
        <f t="shared" si="52"/>
        <v/>
      </c>
      <c r="GV15" s="343" t="str">
        <f t="shared" si="254"/>
        <v/>
      </c>
      <c r="GW15" s="345" t="str">
        <f t="shared" si="53"/>
        <v/>
      </c>
      <c r="GX15" s="346" t="str">
        <f t="shared" si="54"/>
        <v/>
      </c>
      <c r="GY15" s="344" t="str">
        <f t="shared" si="55"/>
        <v/>
      </c>
      <c r="GZ15" s="345" t="str">
        <f t="shared" si="56"/>
        <v/>
      </c>
      <c r="HA15" s="342" t="str">
        <f t="shared" si="57"/>
        <v/>
      </c>
      <c r="HB15" s="5" t="str">
        <f t="shared" si="227"/>
        <v/>
      </c>
      <c r="HC15" s="343" t="str">
        <f t="shared" si="228"/>
        <v/>
      </c>
      <c r="HD15" s="345" t="str">
        <f t="shared" si="229"/>
        <v/>
      </c>
      <c r="HE15" s="344" t="str">
        <f t="shared" si="58"/>
        <v/>
      </c>
      <c r="HF15" s="5" t="str">
        <f t="shared" si="59"/>
        <v/>
      </c>
      <c r="HG15" s="343" t="str">
        <f t="shared" si="230"/>
        <v/>
      </c>
      <c r="HH15" s="349" t="str">
        <f t="shared" si="231"/>
        <v/>
      </c>
      <c r="HI15" s="317" t="str">
        <f t="shared" si="60"/>
        <v/>
      </c>
      <c r="HJ15" s="336"/>
      <c r="HK15" s="310" t="str">
        <f t="shared" si="132"/>
        <v/>
      </c>
      <c r="HL15" s="348" t="str">
        <f t="shared" si="61"/>
        <v/>
      </c>
      <c r="HM15" s="923" t="str">
        <f t="shared" si="62"/>
        <v/>
      </c>
      <c r="HN15" s="924" t="str">
        <f t="shared" si="63"/>
        <v/>
      </c>
      <c r="HO15" s="925"/>
      <c r="HP15" s="926"/>
      <c r="HQ15" s="924" t="str">
        <f t="shared" si="64"/>
        <v/>
      </c>
      <c r="HR15" s="927" t="str">
        <f t="shared" si="65"/>
        <v/>
      </c>
      <c r="HS15" s="879" t="str">
        <f t="shared" si="250"/>
        <v/>
      </c>
      <c r="HT15" s="889" t="str">
        <f t="shared" si="66"/>
        <v/>
      </c>
      <c r="HU15" s="890" t="str">
        <f t="shared" si="67"/>
        <v/>
      </c>
      <c r="HV15" s="886" t="str">
        <f t="shared" si="68"/>
        <v/>
      </c>
      <c r="HW15" s="880" t="str">
        <f t="shared" si="69"/>
        <v/>
      </c>
      <c r="HX15" s="881" t="str">
        <f t="shared" si="70"/>
        <v/>
      </c>
      <c r="HY15" s="880" t="str">
        <f t="shared" si="71"/>
        <v/>
      </c>
      <c r="HZ15" s="882" t="str">
        <f t="shared" si="72"/>
        <v/>
      </c>
      <c r="IA15" s="883" t="str">
        <f t="shared" si="73"/>
        <v/>
      </c>
      <c r="IB15" s="884" t="str">
        <f t="shared" si="74"/>
        <v/>
      </c>
      <c r="IC15" s="855" t="str">
        <f t="shared" si="75"/>
        <v/>
      </c>
      <c r="ID15" s="351" t="str">
        <f t="shared" si="76"/>
        <v/>
      </c>
      <c r="IE15" s="857" t="str">
        <f t="shared" si="77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2"/>
        <v>1.125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8"/>
        <v>1913</v>
      </c>
      <c r="IM15" s="482" t="str">
        <f t="shared" si="233"/>
        <v/>
      </c>
      <c r="IN15" s="670" t="str">
        <f t="shared" si="80"/>
        <v/>
      </c>
      <c r="IO15" s="702"/>
      <c r="IP15" s="5" t="str">
        <f t="shared" si="81"/>
        <v/>
      </c>
      <c r="IQ15" s="714"/>
      <c r="IR15" s="9" t="str">
        <f t="shared" si="8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92"/>
        <v>0.02</v>
      </c>
      <c r="B16" s="578">
        <f t="shared" ref="B16:D16" si="258">IFERROR(O171-($A16*E16),"")</f>
        <v>0.23291973384837908</v>
      </c>
      <c r="C16" s="572">
        <f t="shared" si="258"/>
        <v>6.7184598331136751</v>
      </c>
      <c r="D16" s="576">
        <f t="shared" si="258"/>
        <v>-0.58739704801225356</v>
      </c>
      <c r="E16" s="580">
        <f t="shared" ref="E16:K16" si="259">R171</f>
        <v>-0.94869911135455709</v>
      </c>
      <c r="F16" s="572">
        <f t="shared" si="259"/>
        <v>0.17282850542420253</v>
      </c>
      <c r="G16" s="579">
        <f t="shared" si="259"/>
        <v>0.2647646196679424</v>
      </c>
      <c r="H16" s="580">
        <f t="shared" si="259"/>
        <v>0.375</v>
      </c>
      <c r="I16" s="572">
        <f t="shared" si="259"/>
        <v>0.52</v>
      </c>
      <c r="J16" s="483">
        <f t="shared" si="95"/>
        <v>1.1299999999999999</v>
      </c>
      <c r="K16" s="806">
        <f t="shared" si="259"/>
        <v>1913</v>
      </c>
      <c r="L16" s="309"/>
      <c r="M16" s="164">
        <f t="shared" si="3"/>
        <v>1.1299999999999999</v>
      </c>
      <c r="N16" s="575">
        <f t="shared" si="4"/>
        <v>0.23291973384837908</v>
      </c>
      <c r="O16" s="572">
        <f t="shared" si="5"/>
        <v>6.7184598331136751</v>
      </c>
      <c r="P16" s="576">
        <f t="shared" si="6"/>
        <v>-0.58739704801225356</v>
      </c>
      <c r="Q16" s="528">
        <f>IF(M16="","",IF(DEGREES(ATAN2(N16,O16))&lt;0,DEGREES(ATAN2(N16,O16))+360,IF(DEGREES(ATAN2(N16,O16))&gt;360,DEGREES(ATAN2(N16,O16))-360,DEGREES(ATAN2(N16,O16)))))</f>
        <v>88.014429607295853</v>
      </c>
      <c r="R16" s="572">
        <f t="shared" si="96"/>
        <v>6.7224961235822089</v>
      </c>
      <c r="S16" s="577">
        <f t="shared" si="97"/>
        <v>-0.58739704801225356</v>
      </c>
      <c r="T16" s="578">
        <f t="shared" si="98"/>
        <v>6.7196728531491736</v>
      </c>
      <c r="U16" s="572">
        <f t="shared" si="99"/>
        <v>-0.19480985146516314</v>
      </c>
      <c r="V16" s="579">
        <f t="shared" si="136"/>
        <v>-0.58739704801225356</v>
      </c>
      <c r="W16" s="528">
        <f>IF(M16="","",IF(Q16-$Q$8&lt;0,360+Q16-$Q$8,Q16-$Q$8))</f>
        <v>358.339404753103</v>
      </c>
      <c r="X16" s="572">
        <f t="shared" si="100"/>
        <v>6.7224961235822089</v>
      </c>
      <c r="Y16" s="573">
        <f t="shared" ref="Y16:Y75" si="260">IF(M16="","",S16)</f>
        <v>-0.58739704801225356</v>
      </c>
      <c r="Z16" s="575">
        <f t="shared" si="9"/>
        <v>0.94869911135455709</v>
      </c>
      <c r="AA16" s="572">
        <f t="shared" si="10"/>
        <v>-0.17282850542420253</v>
      </c>
      <c r="AB16" s="572">
        <f t="shared" si="11"/>
        <v>-0.2647646196679424</v>
      </c>
      <c r="AC16" s="579">
        <f t="shared" si="101"/>
        <v>1</v>
      </c>
      <c r="AD16" s="580">
        <f t="shared" si="137"/>
        <v>0.94869911135455709</v>
      </c>
      <c r="AE16" s="572">
        <f t="shared" si="102"/>
        <v>-0.17282850542420253</v>
      </c>
      <c r="AF16" s="576">
        <f t="shared" si="103"/>
        <v>-0.2647646196679424</v>
      </c>
      <c r="AG16" s="545">
        <f t="shared" si="104"/>
        <v>-33.135009458506715</v>
      </c>
      <c r="AH16" s="546">
        <f t="shared" si="105"/>
        <v>18.432083471897567</v>
      </c>
      <c r="AI16" s="528">
        <f t="shared" si="106"/>
        <v>-74.647033066473199</v>
      </c>
      <c r="AJ16" s="529">
        <f t="shared" si="107"/>
        <v>79.675408956272207</v>
      </c>
      <c r="AK16" s="578">
        <f t="shared" si="236"/>
        <v>0.95411762608993511</v>
      </c>
      <c r="AL16" s="572">
        <f t="shared" si="108"/>
        <v>-0.13985439484190942</v>
      </c>
      <c r="AM16" s="577">
        <f t="shared" si="109"/>
        <v>-0.2647646196679424</v>
      </c>
      <c r="AN16" s="524">
        <f t="shared" si="110"/>
        <v>-27.843982442139975</v>
      </c>
      <c r="AO16" s="525">
        <f t="shared" si="111"/>
        <v>17.423494235698982</v>
      </c>
      <c r="AP16" s="528">
        <f t="shared" si="112"/>
        <v>-8.339020651023608</v>
      </c>
      <c r="AQ16" s="529">
        <f t="shared" si="12"/>
        <v>0.339115109898106</v>
      </c>
      <c r="AS16" s="954">
        <f t="shared" si="138"/>
        <v>358.339404753103</v>
      </c>
      <c r="AT16" s="950">
        <f t="shared" si="13"/>
        <v>-0.58784732320331945</v>
      </c>
      <c r="AU16" s="418"/>
      <c r="AV16" s="164" t="str">
        <f t="shared" si="14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39"/>
        <v/>
      </c>
      <c r="BA16" s="296" t="str">
        <f t="shared" si="15"/>
        <v/>
      </c>
      <c r="BB16" s="291" t="str">
        <f t="shared" si="140"/>
        <v/>
      </c>
      <c r="BC16" s="9"/>
      <c r="BD16" s="5" t="str">
        <f t="shared" si="141"/>
        <v/>
      </c>
      <c r="BE16" s="6" t="str">
        <f t="shared" si="16"/>
        <v/>
      </c>
      <c r="BF16" s="4" t="str">
        <f t="shared" si="17"/>
        <v/>
      </c>
      <c r="BG16" s="5" t="str">
        <f t="shared" si="18"/>
        <v/>
      </c>
      <c r="BH16" s="10" t="str">
        <f t="shared" si="19"/>
        <v/>
      </c>
      <c r="BI16" s="9" t="str">
        <f t="shared" si="142"/>
        <v/>
      </c>
      <c r="BJ16" s="5" t="str">
        <f t="shared" si="20"/>
        <v/>
      </c>
      <c r="BK16" s="8" t="str">
        <f t="shared" si="21"/>
        <v/>
      </c>
      <c r="BL16" s="173" t="str">
        <f t="shared" si="22"/>
        <v/>
      </c>
      <c r="BM16" s="5" t="str">
        <f t="shared" si="23"/>
        <v/>
      </c>
      <c r="BN16" s="6" t="str">
        <f t="shared" si="24"/>
        <v/>
      </c>
      <c r="BO16" s="4" t="str">
        <f t="shared" si="143"/>
        <v/>
      </c>
      <c r="BP16" s="5" t="str">
        <f t="shared" si="144"/>
        <v/>
      </c>
      <c r="BQ16" s="5" t="str">
        <f t="shared" si="145"/>
        <v/>
      </c>
      <c r="BR16" s="6" t="str">
        <f t="shared" si="146"/>
        <v/>
      </c>
      <c r="BS16" s="4" t="str">
        <f t="shared" si="113"/>
        <v/>
      </c>
      <c r="BT16" s="5" t="str">
        <f t="shared" si="113"/>
        <v/>
      </c>
      <c r="BU16" s="10" t="str">
        <f t="shared" si="114"/>
        <v/>
      </c>
      <c r="BV16" s="9" t="str">
        <f t="shared" si="115"/>
        <v/>
      </c>
      <c r="BW16" s="5" t="str">
        <f t="shared" si="116"/>
        <v/>
      </c>
      <c r="BX16" s="8" t="str">
        <f t="shared" si="117"/>
        <v/>
      </c>
      <c r="BY16" s="173" t="str">
        <f t="shared" si="118"/>
        <v/>
      </c>
      <c r="BZ16" s="5" t="str">
        <f t="shared" si="119"/>
        <v/>
      </c>
      <c r="CA16" s="6" t="str">
        <f t="shared" si="120"/>
        <v/>
      </c>
      <c r="CB16" s="4" t="str">
        <f t="shared" si="147"/>
        <v/>
      </c>
      <c r="CC16" s="5" t="str">
        <f t="shared" si="148"/>
        <v/>
      </c>
      <c r="CD16" s="5" t="str">
        <f t="shared" si="149"/>
        <v/>
      </c>
      <c r="CE16" s="6" t="str">
        <f t="shared" si="150"/>
        <v/>
      </c>
      <c r="CF16" s="4" t="str">
        <f t="shared" si="151"/>
        <v/>
      </c>
      <c r="CG16" s="5" t="str">
        <f t="shared" si="152"/>
        <v/>
      </c>
      <c r="CH16" s="5" t="str">
        <f t="shared" si="153"/>
        <v/>
      </c>
      <c r="CI16" s="4" t="str">
        <f t="shared" si="121"/>
        <v/>
      </c>
      <c r="CJ16" s="5" t="str">
        <f t="shared" si="122"/>
        <v/>
      </c>
      <c r="CK16" s="8" t="str">
        <f t="shared" si="123"/>
        <v/>
      </c>
      <c r="CL16" s="173" t="str">
        <f t="shared" si="124"/>
        <v/>
      </c>
      <c r="CM16" s="5" t="str">
        <f t="shared" si="125"/>
        <v/>
      </c>
      <c r="CN16" s="6" t="str">
        <f t="shared" si="126"/>
        <v/>
      </c>
      <c r="CO16" s="167" t="str">
        <f t="shared" si="25"/>
        <v/>
      </c>
      <c r="CP16" s="4" t="str">
        <f t="shared" si="237"/>
        <v/>
      </c>
      <c r="CQ16" s="5" t="str">
        <f t="shared" si="238"/>
        <v/>
      </c>
      <c r="CR16" s="5" t="str">
        <f>IF(ISNUMBER($AV16),BF16^2+BG16^2+BH16^2+CI16^2+CJ16^2+CK16^2-2*(BF16*CI16+BG16*CJ16+BH16*CK16)-CO16^2,"")</f>
        <v/>
      </c>
      <c r="CS16" s="8" t="str">
        <f t="shared" si="155"/>
        <v/>
      </c>
      <c r="CT16" s="9" t="str">
        <f t="shared" si="156"/>
        <v/>
      </c>
      <c r="CU16" s="6" t="str">
        <f t="shared" si="157"/>
        <v/>
      </c>
      <c r="CV16" s="4" t="str">
        <f t="shared" si="239"/>
        <v/>
      </c>
      <c r="CW16" s="5" t="str">
        <f t="shared" si="158"/>
        <v/>
      </c>
      <c r="CX16" s="8" t="str">
        <f t="shared" si="159"/>
        <v/>
      </c>
      <c r="CY16" s="9" t="str">
        <f t="shared" si="160"/>
        <v/>
      </c>
      <c r="CZ16" s="5" t="str">
        <f t="shared" si="161"/>
        <v/>
      </c>
      <c r="DA16" s="6" t="str">
        <f t="shared" si="162"/>
        <v/>
      </c>
      <c r="DB16" s="4" t="str">
        <f t="shared" si="163"/>
        <v/>
      </c>
      <c r="DC16" s="5" t="str">
        <f t="shared" si="163"/>
        <v/>
      </c>
      <c r="DD16" s="10" t="str">
        <f>IF(ISNUMBER($AV16),-10,"")</f>
        <v/>
      </c>
      <c r="DE16" s="9" t="str">
        <f t="shared" si="165"/>
        <v/>
      </c>
      <c r="DF16" s="5" t="str">
        <f t="shared" si="165"/>
        <v/>
      </c>
      <c r="DG16" s="10" t="str">
        <f t="shared" si="166"/>
        <v/>
      </c>
      <c r="DH16" s="70" t="str">
        <f t="shared" si="167"/>
        <v/>
      </c>
      <c r="DI16" s="4" t="str">
        <f t="shared" si="168"/>
        <v/>
      </c>
      <c r="DJ16" s="5" t="str">
        <f t="shared" si="169"/>
        <v/>
      </c>
      <c r="DK16" s="10" t="str">
        <f t="shared" si="170"/>
        <v/>
      </c>
      <c r="DL16" s="9" t="str">
        <f t="shared" si="171"/>
        <v/>
      </c>
      <c r="DM16" s="173" t="str">
        <f t="shared" si="172"/>
        <v/>
      </c>
      <c r="DN16" s="178" t="str">
        <f t="shared" si="173"/>
        <v/>
      </c>
      <c r="DO16" s="9" t="str">
        <f t="shared" si="174"/>
        <v/>
      </c>
      <c r="DP16" s="173" t="str">
        <f t="shared" si="175"/>
        <v/>
      </c>
      <c r="DQ16" s="11" t="str">
        <f t="shared" si="176"/>
        <v/>
      </c>
      <c r="DR16" s="173" t="str">
        <f t="shared" si="177"/>
        <v/>
      </c>
      <c r="DS16" s="5" t="str">
        <f t="shared" si="178"/>
        <v/>
      </c>
      <c r="DT16" s="5" t="str">
        <f t="shared" si="179"/>
        <v/>
      </c>
      <c r="DU16" s="5" t="str">
        <f t="shared" si="180"/>
        <v/>
      </c>
      <c r="DV16" s="5" t="str">
        <f t="shared" si="181"/>
        <v/>
      </c>
      <c r="DW16" s="5" t="str">
        <f t="shared" si="182"/>
        <v/>
      </c>
      <c r="DX16" s="167" t="str">
        <f t="shared" si="183"/>
        <v/>
      </c>
      <c r="DY16" s="9" t="str">
        <f t="shared" si="184"/>
        <v/>
      </c>
      <c r="DZ16" s="5" t="str">
        <f t="shared" si="185"/>
        <v/>
      </c>
      <c r="EA16" s="10" t="str">
        <f t="shared" si="186"/>
        <v/>
      </c>
      <c r="EB16" s="6" t="str">
        <f t="shared" si="187"/>
        <v/>
      </c>
      <c r="EC16" s="173" t="str">
        <f t="shared" si="188"/>
        <v/>
      </c>
      <c r="ED16" s="5" t="str">
        <f t="shared" si="189"/>
        <v/>
      </c>
      <c r="EE16" s="4" t="str">
        <f t="shared" si="190"/>
        <v/>
      </c>
      <c r="EF16" s="5" t="str">
        <f t="shared" si="191"/>
        <v/>
      </c>
      <c r="EG16" s="10" t="str">
        <f t="shared" si="192"/>
        <v/>
      </c>
      <c r="EH16" s="9" t="str">
        <f t="shared" si="193"/>
        <v/>
      </c>
      <c r="EI16" s="5" t="str">
        <f t="shared" si="194"/>
        <v/>
      </c>
      <c r="EJ16" s="6" t="str">
        <f t="shared" si="195"/>
        <v/>
      </c>
      <c r="EK16" s="236" t="str">
        <f t="shared" si="196"/>
        <v/>
      </c>
      <c r="EL16" s="238" t="str">
        <f t="shared" si="197"/>
        <v/>
      </c>
      <c r="EM16" s="4" t="str">
        <f t="shared" si="198"/>
        <v/>
      </c>
      <c r="EN16" s="5" t="str">
        <f t="shared" si="199"/>
        <v/>
      </c>
      <c r="EO16" s="10" t="str">
        <f t="shared" si="200"/>
        <v/>
      </c>
      <c r="EP16" s="9" t="str">
        <f t="shared" si="201"/>
        <v/>
      </c>
      <c r="EQ16" s="5" t="str">
        <f t="shared" si="202"/>
        <v/>
      </c>
      <c r="ER16" s="7" t="str">
        <f t="shared" si="203"/>
        <v/>
      </c>
      <c r="ES16" s="21" t="str">
        <f t="shared" si="127"/>
        <v/>
      </c>
      <c r="ET16" s="5" t="str">
        <f t="shared" si="34"/>
        <v/>
      </c>
      <c r="EU16" s="10" t="str">
        <f t="shared" si="35"/>
        <v/>
      </c>
      <c r="EV16" s="174" t="str">
        <f t="shared" si="253"/>
        <v/>
      </c>
      <c r="EW16" s="9" t="str">
        <f t="shared" si="128"/>
        <v/>
      </c>
      <c r="EX16" s="5" t="str">
        <f t="shared" si="36"/>
        <v/>
      </c>
      <c r="EY16" s="6" t="str">
        <f t="shared" si="204"/>
        <v/>
      </c>
      <c r="EZ16" s="51" t="str">
        <f t="shared" si="205"/>
        <v/>
      </c>
      <c r="FA16" s="266" t="str">
        <f>IF(ISNUMBER($AV16),SIN(RADIANS($EP16))*COS(RADIANS($EZ16)),"")</f>
        <v/>
      </c>
      <c r="FB16" s="267" t="str">
        <f t="shared" si="130"/>
        <v/>
      </c>
      <c r="FC16" s="269" t="str">
        <f t="shared" si="37"/>
        <v/>
      </c>
      <c r="FD16" s="4" t="str">
        <f t="shared" si="131"/>
        <v/>
      </c>
      <c r="FE16" s="5" t="str">
        <f t="shared" si="38"/>
        <v/>
      </c>
      <c r="FF16" s="7" t="str">
        <f t="shared" si="206"/>
        <v/>
      </c>
      <c r="FG16" s="173" t="str">
        <f t="shared" si="207"/>
        <v/>
      </c>
      <c r="FH16" s="5" t="str">
        <f t="shared" si="39"/>
        <v/>
      </c>
      <c r="FI16" s="10" t="str">
        <f t="shared" si="40"/>
        <v/>
      </c>
      <c r="FJ16" s="279" t="str">
        <f t="shared" si="208"/>
        <v/>
      </c>
      <c r="FK16" s="4" t="str">
        <f t="shared" si="41"/>
        <v/>
      </c>
      <c r="FL16" s="5" t="str">
        <f t="shared" si="209"/>
        <v/>
      </c>
      <c r="FM16" s="8" t="str">
        <f t="shared" si="210"/>
        <v/>
      </c>
      <c r="FN16" s="9" t="str">
        <f t="shared" si="211"/>
        <v/>
      </c>
      <c r="FO16" s="10" t="str">
        <f t="shared" si="42"/>
        <v/>
      </c>
      <c r="FP16" s="277" t="str">
        <f t="shared" si="43"/>
        <v/>
      </c>
      <c r="FQ16" s="173" t="str">
        <f t="shared" si="240"/>
        <v/>
      </c>
      <c r="FR16" s="10" t="str">
        <f t="shared" si="212"/>
        <v/>
      </c>
      <c r="FS16" s="9" t="str">
        <f t="shared" si="213"/>
        <v/>
      </c>
      <c r="FT16" s="6" t="str">
        <f t="shared" si="214"/>
        <v/>
      </c>
      <c r="FU16" s="4" t="str">
        <f t="shared" si="215"/>
        <v/>
      </c>
      <c r="FV16" s="5" t="str">
        <f t="shared" si="216"/>
        <v/>
      </c>
      <c r="FW16" s="8" t="str">
        <f t="shared" si="241"/>
        <v/>
      </c>
      <c r="FX16" s="9" t="str">
        <f t="shared" si="242"/>
        <v/>
      </c>
      <c r="FY16" s="10" t="str">
        <f t="shared" si="44"/>
        <v/>
      </c>
      <c r="FZ16" s="277" t="str">
        <f t="shared" si="243"/>
        <v/>
      </c>
      <c r="GA16" s="177" t="str">
        <f t="shared" si="217"/>
        <v/>
      </c>
      <c r="GB16" s="4" t="str">
        <f t="shared" si="218"/>
        <v/>
      </c>
      <c r="GC16" s="5" t="str">
        <f t="shared" si="219"/>
        <v/>
      </c>
      <c r="GD16" s="10" t="str">
        <f t="shared" si="220"/>
        <v/>
      </c>
      <c r="GE16" s="311" t="str">
        <f t="shared" si="221"/>
        <v/>
      </c>
      <c r="GF16" s="341" t="str">
        <f t="shared" si="244"/>
        <v/>
      </c>
      <c r="GG16" s="285" t="str">
        <f t="shared" si="45"/>
        <v/>
      </c>
      <c r="GH16" s="286" t="str">
        <f t="shared" si="46"/>
        <v/>
      </c>
      <c r="GI16" s="281" t="str">
        <f t="shared" si="47"/>
        <v/>
      </c>
      <c r="GJ16" s="167" t="str">
        <f t="shared" si="222"/>
        <v/>
      </c>
      <c r="GK16" s="174" t="str">
        <f t="shared" si="48"/>
        <v/>
      </c>
      <c r="GL16" s="174" t="str">
        <f t="shared" si="223"/>
        <v/>
      </c>
      <c r="GM16" s="177" t="str">
        <f t="shared" si="245"/>
        <v/>
      </c>
      <c r="GN16" s="280" t="str">
        <f t="shared" si="224"/>
        <v/>
      </c>
      <c r="GO16" s="4" t="str">
        <f t="shared" si="225"/>
        <v/>
      </c>
      <c r="GP16" s="8" t="str">
        <f t="shared" si="246"/>
        <v/>
      </c>
      <c r="GQ16" s="177" t="str">
        <f t="shared" si="226"/>
        <v/>
      </c>
      <c r="GR16" s="371" t="str">
        <f t="shared" si="247"/>
        <v/>
      </c>
      <c r="GS16" s="342" t="str">
        <f t="shared" si="50"/>
        <v/>
      </c>
      <c r="GT16" s="343" t="str">
        <f t="shared" si="51"/>
        <v/>
      </c>
      <c r="GU16" s="344" t="str">
        <f t="shared" si="52"/>
        <v/>
      </c>
      <c r="GV16" s="343" t="str">
        <f t="shared" si="254"/>
        <v/>
      </c>
      <c r="GW16" s="345" t="str">
        <f t="shared" si="53"/>
        <v/>
      </c>
      <c r="GX16" s="346" t="str">
        <f t="shared" si="54"/>
        <v/>
      </c>
      <c r="GY16" s="344" t="str">
        <f t="shared" si="55"/>
        <v/>
      </c>
      <c r="GZ16" s="345" t="str">
        <f t="shared" si="56"/>
        <v/>
      </c>
      <c r="HA16" s="342" t="str">
        <f t="shared" si="57"/>
        <v/>
      </c>
      <c r="HB16" s="5" t="str">
        <f t="shared" si="227"/>
        <v/>
      </c>
      <c r="HC16" s="343" t="str">
        <f t="shared" si="228"/>
        <v/>
      </c>
      <c r="HD16" s="345" t="str">
        <f t="shared" si="229"/>
        <v/>
      </c>
      <c r="HE16" s="344" t="str">
        <f t="shared" si="58"/>
        <v/>
      </c>
      <c r="HF16" s="5" t="str">
        <f t="shared" si="59"/>
        <v/>
      </c>
      <c r="HG16" s="343" t="str">
        <f t="shared" si="230"/>
        <v/>
      </c>
      <c r="HH16" s="349" t="str">
        <f t="shared" si="231"/>
        <v/>
      </c>
      <c r="HI16" s="317" t="str">
        <f t="shared" si="60"/>
        <v/>
      </c>
      <c r="HJ16" s="336"/>
      <c r="HK16" s="310" t="str">
        <f t="shared" si="132"/>
        <v/>
      </c>
      <c r="HL16" s="348" t="str">
        <f t="shared" si="61"/>
        <v/>
      </c>
      <c r="HM16" s="923" t="str">
        <f t="shared" si="62"/>
        <v/>
      </c>
      <c r="HN16" s="924" t="str">
        <f t="shared" si="63"/>
        <v/>
      </c>
      <c r="HO16" s="925"/>
      <c r="HP16" s="926"/>
      <c r="HQ16" s="924" t="str">
        <f t="shared" si="64"/>
        <v/>
      </c>
      <c r="HR16" s="927" t="str">
        <f t="shared" si="65"/>
        <v/>
      </c>
      <c r="HS16" s="879" t="str">
        <f t="shared" si="250"/>
        <v/>
      </c>
      <c r="HT16" s="889" t="str">
        <f t="shared" si="66"/>
        <v/>
      </c>
      <c r="HU16" s="890" t="str">
        <f t="shared" si="67"/>
        <v/>
      </c>
      <c r="HV16" s="886" t="str">
        <f t="shared" si="68"/>
        <v/>
      </c>
      <c r="HW16" s="880" t="str">
        <f t="shared" si="69"/>
        <v/>
      </c>
      <c r="HX16" s="881" t="str">
        <f t="shared" si="70"/>
        <v/>
      </c>
      <c r="HY16" s="880" t="str">
        <f t="shared" si="71"/>
        <v/>
      </c>
      <c r="HZ16" s="882" t="str">
        <f t="shared" si="72"/>
        <v/>
      </c>
      <c r="IA16" s="883" t="str">
        <f t="shared" si="73"/>
        <v/>
      </c>
      <c r="IB16" s="884" t="str">
        <f t="shared" si="74"/>
        <v/>
      </c>
      <c r="IC16" s="855" t="str">
        <f t="shared" si="75"/>
        <v/>
      </c>
      <c r="ID16" s="351" t="str">
        <f t="shared" si="76"/>
        <v/>
      </c>
      <c r="IE16" s="857" t="str">
        <f t="shared" si="77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2"/>
        <v>1.1299999999999999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8"/>
        <v>1913</v>
      </c>
      <c r="IM16" s="482" t="str">
        <f t="shared" si="233"/>
        <v/>
      </c>
      <c r="IN16" s="670" t="str">
        <f t="shared" si="80"/>
        <v/>
      </c>
      <c r="IO16" s="702"/>
      <c r="IP16" s="5" t="str">
        <f t="shared" si="81"/>
        <v/>
      </c>
      <c r="IQ16" s="714"/>
      <c r="IR16" s="9" t="str">
        <f t="shared" si="8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92"/>
        <v>0.02</v>
      </c>
      <c r="B17" s="578">
        <f t="shared" ref="B17:D17" si="261">IFERROR(O172-($A17*E17),"")</f>
        <v>0.34508999113737532</v>
      </c>
      <c r="C17" s="572">
        <f t="shared" si="261"/>
        <v>7.4254552906685287</v>
      </c>
      <c r="D17" s="576">
        <f t="shared" si="261"/>
        <v>-1.1426797711497745</v>
      </c>
      <c r="E17" s="580">
        <f t="shared" ref="E17:K17" si="262">R172</f>
        <v>-0.93557137470955032</v>
      </c>
      <c r="F17" s="572">
        <f t="shared" si="262"/>
        <v>0.26013969641669465</v>
      </c>
      <c r="G17" s="579">
        <f t="shared" si="262"/>
        <v>0.23881696165120331</v>
      </c>
      <c r="H17" s="580">
        <f t="shared" si="262"/>
        <v>0.375</v>
      </c>
      <c r="I17" s="572">
        <f t="shared" si="262"/>
        <v>0.52</v>
      </c>
      <c r="J17" s="483">
        <f t="shared" si="95"/>
        <v>1.135</v>
      </c>
      <c r="K17" s="806">
        <f t="shared" si="262"/>
        <v>1913</v>
      </c>
      <c r="M17" s="164">
        <f t="shared" si="3"/>
        <v>1.135</v>
      </c>
      <c r="N17" s="575">
        <f t="shared" si="4"/>
        <v>0.34508999113737532</v>
      </c>
      <c r="O17" s="572">
        <f t="shared" si="5"/>
        <v>7.4254552906685287</v>
      </c>
      <c r="P17" s="576">
        <f t="shared" si="6"/>
        <v>-1.1426797711497745</v>
      </c>
      <c r="Q17" s="528">
        <f>IF(M17="","",IF(DEGREES(ATAN2(N17,O17))&lt;0,DEGREES(ATAN2(N17,O17))+360,IF(DEGREES(ATAN2(N17,O17))&gt;360,DEGREES(ATAN2(N17,O17))-360,DEGREES(ATAN2(N17,O17)))))</f>
        <v>87.339155262656277</v>
      </c>
      <c r="R17" s="572">
        <f>IF(M17="","",SQRT(N17^2+O17^2))</f>
        <v>7.4334698072771133</v>
      </c>
      <c r="S17" s="577">
        <f>IF(M17="","",P17)</f>
        <v>-1.1426797711497745</v>
      </c>
      <c r="T17" s="578">
        <f>IF(M17="","",X17*COS(RADIANS(W17)))</f>
        <v>7.4272931521409538</v>
      </c>
      <c r="U17" s="572">
        <f>IF(M17="","",X17*SIN(RADIANS(W17)))</f>
        <v>-0.30296832814757396</v>
      </c>
      <c r="V17" s="579">
        <f>IF(M17="","",Y17)</f>
        <v>-1.1426797711497745</v>
      </c>
      <c r="W17" s="528">
        <f t="shared" si="257"/>
        <v>357.66413040846345</v>
      </c>
      <c r="X17" s="572">
        <f>IF(M17="","",R17)</f>
        <v>7.4334698072771133</v>
      </c>
      <c r="Y17" s="573">
        <f t="shared" si="260"/>
        <v>-1.1426797711497745</v>
      </c>
      <c r="Z17" s="575">
        <f t="shared" si="9"/>
        <v>0.93557137470955032</v>
      </c>
      <c r="AA17" s="572">
        <f t="shared" si="10"/>
        <v>-0.26013969641669465</v>
      </c>
      <c r="AB17" s="572">
        <f t="shared" si="11"/>
        <v>-0.23881696165120331</v>
      </c>
      <c r="AC17" s="579">
        <f>IF(M17="","",SQRT(Z17^2+AA17^2+AB17^2))</f>
        <v>1</v>
      </c>
      <c r="AD17" s="580">
        <f>IF(M17="","",Z17*(1/SQRT(Z17^2+AA17^2+AB17^2)))</f>
        <v>0.93557137470955032</v>
      </c>
      <c r="AE17" s="572">
        <f>IF(M17="","",AA17*(1/SQRT(Z17^2+AA17^2+AB17^2)))</f>
        <v>-0.26013969641669465</v>
      </c>
      <c r="AF17" s="576">
        <f>IF(M17="","",AB17*(1/SQRT(Z17^2+AA17^2+AB17^2)))</f>
        <v>-0.23881696165120331</v>
      </c>
      <c r="AG17" s="545">
        <f>IF(M17="","",DEGREES(ATAN2(-AF17,AE17)))</f>
        <v>-47.447025793607907</v>
      </c>
      <c r="AH17" s="546">
        <f>IF(M17="","",DEGREES(ACOS(AD17)))</f>
        <v>20.679348605368894</v>
      </c>
      <c r="AI17" s="528">
        <f>IF(M17="","",DEGREES(-ACOS(-AF17)))</f>
        <v>-76.183272993427778</v>
      </c>
      <c r="AJ17" s="529">
        <f>IF(M17="","",DEGREES(ATAN2(-AE17,AD17)))</f>
        <v>74.461178424271594</v>
      </c>
      <c r="AK17" s="578">
        <f>IF(M17="","",(COS(RADIANS((90-$Q$8)-W17))*AD17)+(-SIN(RADIANS((90-$Q$8)-W17))*AE17))</f>
        <v>0.94663934906645819</v>
      </c>
      <c r="AL17" s="572">
        <f>IF(M17="","",(SIN(RADIANS((90-$Q$8)-W17))*AD17)+(COS(RADIANS((90-$Q$8)-W17))*AE17))</f>
        <v>-0.21642643467635897</v>
      </c>
      <c r="AM17" s="577">
        <f>IF(M17="","",AF17)</f>
        <v>-0.23881696165120331</v>
      </c>
      <c r="AN17" s="524">
        <f>IF(M17="","",DEGREES(ATAN2(-AM17,AL17)))</f>
        <v>-42.18425404557955</v>
      </c>
      <c r="AO17" s="525">
        <f t="shared" si="111"/>
        <v>18.801762010826401</v>
      </c>
      <c r="AP17" s="528">
        <f>IF(M17="","",DEGREES(ATAN2(AK17,AL17)))</f>
        <v>-12.877976838384663</v>
      </c>
      <c r="AQ17" s="529">
        <f t="shared" si="12"/>
        <v>0.30668112192768959</v>
      </c>
      <c r="AS17" s="954">
        <f t="shared" si="138"/>
        <v>357.66413040846345</v>
      </c>
      <c r="AT17" s="950">
        <f t="shared" si="13"/>
        <v>-1.1426611058237295</v>
      </c>
      <c r="AU17" s="418"/>
      <c r="AV17" s="164" t="str">
        <f t="shared" si="14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39"/>
        <v/>
      </c>
      <c r="BA17" s="296" t="str">
        <f t="shared" si="15"/>
        <v/>
      </c>
      <c r="BB17" s="190" t="str">
        <f t="shared" si="140"/>
        <v/>
      </c>
      <c r="BC17" s="9"/>
      <c r="BD17" s="5" t="str">
        <f t="shared" si="141"/>
        <v/>
      </c>
      <c r="BE17" s="6" t="str">
        <f t="shared" si="16"/>
        <v/>
      </c>
      <c r="BF17" s="4" t="str">
        <f t="shared" si="17"/>
        <v/>
      </c>
      <c r="BG17" s="5" t="str">
        <f t="shared" si="18"/>
        <v/>
      </c>
      <c r="BH17" s="10" t="str">
        <f t="shared" si="19"/>
        <v/>
      </c>
      <c r="BI17" s="9" t="str">
        <f t="shared" si="142"/>
        <v/>
      </c>
      <c r="BJ17" s="5" t="str">
        <f t="shared" si="20"/>
        <v/>
      </c>
      <c r="BK17" s="8" t="str">
        <f t="shared" si="21"/>
        <v/>
      </c>
      <c r="BL17" s="173" t="str">
        <f t="shared" si="22"/>
        <v/>
      </c>
      <c r="BM17" s="5" t="str">
        <f t="shared" si="23"/>
        <v/>
      </c>
      <c r="BN17" s="6" t="str">
        <f t="shared" si="24"/>
        <v/>
      </c>
      <c r="BO17" s="4" t="str">
        <f t="shared" si="143"/>
        <v/>
      </c>
      <c r="BP17" s="5" t="str">
        <f t="shared" si="144"/>
        <v/>
      </c>
      <c r="BQ17" s="5" t="str">
        <f t="shared" si="145"/>
        <v/>
      </c>
      <c r="BR17" s="6" t="str">
        <f t="shared" si="146"/>
        <v/>
      </c>
      <c r="BS17" s="4" t="str">
        <f t="shared" si="113"/>
        <v/>
      </c>
      <c r="BT17" s="5" t="str">
        <f t="shared" si="113"/>
        <v/>
      </c>
      <c r="BU17" s="10" t="str">
        <f t="shared" si="114"/>
        <v/>
      </c>
      <c r="BV17" s="9" t="str">
        <f t="shared" si="115"/>
        <v/>
      </c>
      <c r="BW17" s="5" t="str">
        <f t="shared" si="116"/>
        <v/>
      </c>
      <c r="BX17" s="8" t="str">
        <f t="shared" si="117"/>
        <v/>
      </c>
      <c r="BY17" s="173" t="str">
        <f t="shared" si="118"/>
        <v/>
      </c>
      <c r="BZ17" s="5" t="str">
        <f t="shared" si="119"/>
        <v/>
      </c>
      <c r="CA17" s="6" t="str">
        <f t="shared" si="120"/>
        <v/>
      </c>
      <c r="CB17" s="4" t="str">
        <f t="shared" si="147"/>
        <v/>
      </c>
      <c r="CC17" s="5" t="str">
        <f t="shared" si="148"/>
        <v/>
      </c>
      <c r="CD17" s="5" t="str">
        <f t="shared" si="149"/>
        <v/>
      </c>
      <c r="CE17" s="6" t="str">
        <f t="shared" si="150"/>
        <v/>
      </c>
      <c r="CF17" s="4" t="str">
        <f t="shared" si="151"/>
        <v/>
      </c>
      <c r="CG17" s="5" t="str">
        <f t="shared" si="152"/>
        <v/>
      </c>
      <c r="CH17" s="5" t="str">
        <f t="shared" si="153"/>
        <v/>
      </c>
      <c r="CI17" s="4" t="str">
        <f t="shared" si="121"/>
        <v/>
      </c>
      <c r="CJ17" s="5" t="str">
        <f t="shared" si="122"/>
        <v/>
      </c>
      <c r="CK17" s="8" t="str">
        <f t="shared" si="123"/>
        <v/>
      </c>
      <c r="CL17" s="173" t="str">
        <f t="shared" si="124"/>
        <v/>
      </c>
      <c r="CM17" s="5" t="str">
        <f t="shared" si="125"/>
        <v/>
      </c>
      <c r="CN17" s="6" t="str">
        <f t="shared" si="126"/>
        <v/>
      </c>
      <c r="CO17" s="167" t="str">
        <f t="shared" si="25"/>
        <v/>
      </c>
      <c r="CP17" s="4" t="str">
        <f t="shared" si="237"/>
        <v/>
      </c>
      <c r="CQ17" s="5" t="str">
        <f t="shared" si="238"/>
        <v/>
      </c>
      <c r="CR17" s="5" t="str">
        <f t="shared" si="154"/>
        <v/>
      </c>
      <c r="CS17" s="8" t="str">
        <f t="shared" si="155"/>
        <v/>
      </c>
      <c r="CT17" s="9" t="str">
        <f t="shared" si="156"/>
        <v/>
      </c>
      <c r="CU17" s="6" t="str">
        <f t="shared" si="157"/>
        <v/>
      </c>
      <c r="CV17" s="4" t="str">
        <f t="shared" si="239"/>
        <v/>
      </c>
      <c r="CW17" s="5" t="str">
        <f t="shared" si="158"/>
        <v/>
      </c>
      <c r="CX17" s="8" t="str">
        <f t="shared" si="159"/>
        <v/>
      </c>
      <c r="CY17" s="9" t="str">
        <f t="shared" si="160"/>
        <v/>
      </c>
      <c r="CZ17" s="5" t="str">
        <f t="shared" si="161"/>
        <v/>
      </c>
      <c r="DA17" s="6" t="str">
        <f t="shared" si="162"/>
        <v/>
      </c>
      <c r="DB17" s="4" t="str">
        <f t="shared" si="163"/>
        <v/>
      </c>
      <c r="DC17" s="5" t="str">
        <f t="shared" si="163"/>
        <v/>
      </c>
      <c r="DD17" s="10" t="str">
        <f t="shared" si="164"/>
        <v/>
      </c>
      <c r="DE17" s="9" t="str">
        <f t="shared" si="165"/>
        <v/>
      </c>
      <c r="DF17" s="5" t="str">
        <f t="shared" si="165"/>
        <v/>
      </c>
      <c r="DG17" s="10" t="str">
        <f t="shared" si="166"/>
        <v/>
      </c>
      <c r="DH17" s="70" t="str">
        <f t="shared" si="167"/>
        <v/>
      </c>
      <c r="DI17" s="4" t="str">
        <f t="shared" si="168"/>
        <v/>
      </c>
      <c r="DJ17" s="5" t="str">
        <f t="shared" si="169"/>
        <v/>
      </c>
      <c r="DK17" s="10" t="str">
        <f t="shared" si="170"/>
        <v/>
      </c>
      <c r="DL17" s="9" t="str">
        <f t="shared" si="171"/>
        <v/>
      </c>
      <c r="DM17" s="173" t="str">
        <f t="shared" si="172"/>
        <v/>
      </c>
      <c r="DN17" s="178" t="str">
        <f t="shared" si="173"/>
        <v/>
      </c>
      <c r="DO17" s="9" t="str">
        <f t="shared" si="174"/>
        <v/>
      </c>
      <c r="DP17" s="173" t="str">
        <f t="shared" si="175"/>
        <v/>
      </c>
      <c r="DQ17" s="11" t="str">
        <f t="shared" si="176"/>
        <v/>
      </c>
      <c r="DR17" s="173" t="str">
        <f t="shared" si="177"/>
        <v/>
      </c>
      <c r="DS17" s="5" t="str">
        <f t="shared" si="178"/>
        <v/>
      </c>
      <c r="DT17" s="5" t="str">
        <f t="shared" si="179"/>
        <v/>
      </c>
      <c r="DU17" s="5" t="str">
        <f t="shared" si="180"/>
        <v/>
      </c>
      <c r="DV17" s="5" t="str">
        <f t="shared" si="181"/>
        <v/>
      </c>
      <c r="DW17" s="5" t="str">
        <f t="shared" si="182"/>
        <v/>
      </c>
      <c r="DX17" s="167" t="str">
        <f t="shared" si="183"/>
        <v/>
      </c>
      <c r="DY17" s="9" t="str">
        <f t="shared" si="184"/>
        <v/>
      </c>
      <c r="DZ17" s="5" t="str">
        <f t="shared" si="185"/>
        <v/>
      </c>
      <c r="EA17" s="10" t="str">
        <f t="shared" si="186"/>
        <v/>
      </c>
      <c r="EB17" s="6" t="str">
        <f t="shared" si="187"/>
        <v/>
      </c>
      <c r="EC17" s="173" t="str">
        <f t="shared" si="188"/>
        <v/>
      </c>
      <c r="ED17" s="5" t="str">
        <f t="shared" si="189"/>
        <v/>
      </c>
      <c r="EE17" s="4" t="str">
        <f t="shared" si="190"/>
        <v/>
      </c>
      <c r="EF17" s="5" t="str">
        <f t="shared" si="191"/>
        <v/>
      </c>
      <c r="EG17" s="10" t="str">
        <f t="shared" si="192"/>
        <v/>
      </c>
      <c r="EH17" s="9" t="str">
        <f t="shared" si="193"/>
        <v/>
      </c>
      <c r="EI17" s="5" t="str">
        <f t="shared" si="194"/>
        <v/>
      </c>
      <c r="EJ17" s="6" t="str">
        <f t="shared" si="195"/>
        <v/>
      </c>
      <c r="EK17" s="236" t="str">
        <f t="shared" si="196"/>
        <v/>
      </c>
      <c r="EL17" s="238" t="str">
        <f t="shared" si="197"/>
        <v/>
      </c>
      <c r="EM17" s="4" t="str">
        <f t="shared" si="198"/>
        <v/>
      </c>
      <c r="EN17" s="5" t="str">
        <f t="shared" si="199"/>
        <v/>
      </c>
      <c r="EO17" s="10" t="str">
        <f t="shared" si="200"/>
        <v/>
      </c>
      <c r="EP17" s="9" t="str">
        <f t="shared" si="201"/>
        <v/>
      </c>
      <c r="EQ17" s="5" t="str">
        <f t="shared" si="202"/>
        <v/>
      </c>
      <c r="ER17" s="7" t="str">
        <f t="shared" si="203"/>
        <v/>
      </c>
      <c r="ES17" s="21" t="str">
        <f t="shared" si="127"/>
        <v/>
      </c>
      <c r="ET17" s="5" t="str">
        <f t="shared" si="34"/>
        <v/>
      </c>
      <c r="EU17" s="10" t="str">
        <f t="shared" si="35"/>
        <v/>
      </c>
      <c r="EV17" s="174" t="str">
        <f t="shared" si="253"/>
        <v/>
      </c>
      <c r="EW17" s="9" t="str">
        <f t="shared" si="128"/>
        <v/>
      </c>
      <c r="EX17" s="5" t="str">
        <f t="shared" si="36"/>
        <v/>
      </c>
      <c r="EY17" s="6" t="str">
        <f t="shared" si="204"/>
        <v/>
      </c>
      <c r="EZ17" s="51" t="str">
        <f t="shared" si="205"/>
        <v/>
      </c>
      <c r="FA17" s="266" t="str">
        <f t="shared" si="129"/>
        <v/>
      </c>
      <c r="FB17" s="267" t="str">
        <f t="shared" si="130"/>
        <v/>
      </c>
      <c r="FC17" s="269" t="str">
        <f t="shared" si="37"/>
        <v/>
      </c>
      <c r="FD17" s="4" t="str">
        <f t="shared" si="131"/>
        <v/>
      </c>
      <c r="FE17" s="5" t="str">
        <f t="shared" si="38"/>
        <v/>
      </c>
      <c r="FF17" s="7" t="str">
        <f t="shared" si="206"/>
        <v/>
      </c>
      <c r="FG17" s="173" t="str">
        <f t="shared" si="207"/>
        <v/>
      </c>
      <c r="FH17" s="5" t="str">
        <f t="shared" si="39"/>
        <v/>
      </c>
      <c r="FI17" s="10" t="str">
        <f t="shared" si="40"/>
        <v/>
      </c>
      <c r="FJ17" s="279" t="str">
        <f t="shared" si="208"/>
        <v/>
      </c>
      <c r="FK17" s="4" t="str">
        <f t="shared" si="41"/>
        <v/>
      </c>
      <c r="FL17" s="5" t="str">
        <f t="shared" si="209"/>
        <v/>
      </c>
      <c r="FM17" s="8" t="str">
        <f t="shared" si="210"/>
        <v/>
      </c>
      <c r="FN17" s="9" t="str">
        <f t="shared" si="211"/>
        <v/>
      </c>
      <c r="FO17" s="10" t="str">
        <f t="shared" si="42"/>
        <v/>
      </c>
      <c r="FP17" s="277" t="str">
        <f t="shared" si="43"/>
        <v/>
      </c>
      <c r="FQ17" s="173" t="str">
        <f t="shared" si="240"/>
        <v/>
      </c>
      <c r="FR17" s="10" t="str">
        <f t="shared" si="212"/>
        <v/>
      </c>
      <c r="FS17" s="9" t="str">
        <f t="shared" si="213"/>
        <v/>
      </c>
      <c r="FT17" s="6" t="str">
        <f t="shared" si="214"/>
        <v/>
      </c>
      <c r="FU17" s="4" t="str">
        <f t="shared" si="215"/>
        <v/>
      </c>
      <c r="FV17" s="5" t="str">
        <f t="shared" si="216"/>
        <v/>
      </c>
      <c r="FW17" s="8" t="str">
        <f t="shared" si="241"/>
        <v/>
      </c>
      <c r="FX17" s="9" t="str">
        <f t="shared" si="242"/>
        <v/>
      </c>
      <c r="FY17" s="10" t="str">
        <f t="shared" si="44"/>
        <v/>
      </c>
      <c r="FZ17" s="277" t="str">
        <f t="shared" si="243"/>
        <v/>
      </c>
      <c r="GA17" s="177" t="str">
        <f t="shared" si="217"/>
        <v/>
      </c>
      <c r="GB17" s="4" t="str">
        <f t="shared" si="218"/>
        <v/>
      </c>
      <c r="GC17" s="5" t="str">
        <f t="shared" si="219"/>
        <v/>
      </c>
      <c r="GD17" s="10" t="str">
        <f t="shared" si="220"/>
        <v/>
      </c>
      <c r="GE17" s="311" t="str">
        <f t="shared" si="221"/>
        <v/>
      </c>
      <c r="GF17" s="341" t="str">
        <f t="shared" si="244"/>
        <v/>
      </c>
      <c r="GG17" s="285" t="str">
        <f t="shared" si="45"/>
        <v/>
      </c>
      <c r="GH17" s="286" t="str">
        <f t="shared" si="46"/>
        <v/>
      </c>
      <c r="GI17" s="281" t="str">
        <f t="shared" si="47"/>
        <v/>
      </c>
      <c r="GJ17" s="167" t="str">
        <f t="shared" si="222"/>
        <v/>
      </c>
      <c r="GK17" s="174" t="str">
        <f t="shared" si="48"/>
        <v/>
      </c>
      <c r="GL17" s="174" t="str">
        <f t="shared" si="223"/>
        <v/>
      </c>
      <c r="GM17" s="177" t="str">
        <f t="shared" si="245"/>
        <v/>
      </c>
      <c r="GN17" s="280" t="str">
        <f t="shared" si="224"/>
        <v/>
      </c>
      <c r="GO17" s="4" t="str">
        <f t="shared" si="225"/>
        <v/>
      </c>
      <c r="GP17" s="8" t="str">
        <f t="shared" si="246"/>
        <v/>
      </c>
      <c r="GQ17" s="177" t="str">
        <f t="shared" si="226"/>
        <v/>
      </c>
      <c r="GR17" s="371" t="str">
        <f t="shared" si="247"/>
        <v/>
      </c>
      <c r="GS17" s="342" t="str">
        <f t="shared" si="50"/>
        <v/>
      </c>
      <c r="GT17" s="343" t="str">
        <f t="shared" si="51"/>
        <v/>
      </c>
      <c r="GU17" s="344" t="str">
        <f t="shared" si="52"/>
        <v/>
      </c>
      <c r="GV17" s="343" t="str">
        <f t="shared" si="254"/>
        <v/>
      </c>
      <c r="GW17" s="345" t="str">
        <f t="shared" si="53"/>
        <v/>
      </c>
      <c r="GX17" s="346" t="str">
        <f t="shared" si="54"/>
        <v/>
      </c>
      <c r="GY17" s="344" t="str">
        <f t="shared" si="55"/>
        <v/>
      </c>
      <c r="GZ17" s="345" t="str">
        <f t="shared" si="56"/>
        <v/>
      </c>
      <c r="HA17" s="342" t="str">
        <f t="shared" si="57"/>
        <v/>
      </c>
      <c r="HB17" s="5" t="str">
        <f t="shared" si="227"/>
        <v/>
      </c>
      <c r="HC17" s="343" t="str">
        <f t="shared" si="228"/>
        <v/>
      </c>
      <c r="HD17" s="345" t="str">
        <f t="shared" si="229"/>
        <v/>
      </c>
      <c r="HE17" s="344" t="str">
        <f t="shared" si="58"/>
        <v/>
      </c>
      <c r="HF17" s="5" t="str">
        <f t="shared" si="59"/>
        <v/>
      </c>
      <c r="HG17" s="343" t="str">
        <f t="shared" si="230"/>
        <v/>
      </c>
      <c r="HH17" s="349" t="str">
        <f t="shared" si="231"/>
        <v/>
      </c>
      <c r="HI17" s="317" t="str">
        <f t="shared" si="60"/>
        <v/>
      </c>
      <c r="HJ17" s="336"/>
      <c r="HK17" s="310" t="str">
        <f t="shared" si="132"/>
        <v/>
      </c>
      <c r="HL17" s="348" t="str">
        <f t="shared" si="61"/>
        <v/>
      </c>
      <c r="HM17" s="923" t="str">
        <f t="shared" si="62"/>
        <v/>
      </c>
      <c r="HN17" s="924" t="str">
        <f t="shared" si="63"/>
        <v/>
      </c>
      <c r="HO17" s="925"/>
      <c r="HP17" s="926"/>
      <c r="HQ17" s="924" t="str">
        <f t="shared" si="64"/>
        <v/>
      </c>
      <c r="HR17" s="927" t="str">
        <f t="shared" si="65"/>
        <v/>
      </c>
      <c r="HS17" s="879" t="str">
        <f t="shared" si="250"/>
        <v/>
      </c>
      <c r="HT17" s="889" t="str">
        <f t="shared" si="66"/>
        <v/>
      </c>
      <c r="HU17" s="890" t="str">
        <f t="shared" si="67"/>
        <v/>
      </c>
      <c r="HV17" s="886" t="str">
        <f t="shared" si="68"/>
        <v/>
      </c>
      <c r="HW17" s="880" t="str">
        <f t="shared" si="69"/>
        <v/>
      </c>
      <c r="HX17" s="881" t="str">
        <f t="shared" si="70"/>
        <v/>
      </c>
      <c r="HY17" s="880" t="str">
        <f t="shared" si="71"/>
        <v/>
      </c>
      <c r="HZ17" s="882" t="str">
        <f t="shared" si="72"/>
        <v/>
      </c>
      <c r="IA17" s="883" t="str">
        <f t="shared" si="73"/>
        <v/>
      </c>
      <c r="IB17" s="884" t="str">
        <f t="shared" si="74"/>
        <v/>
      </c>
      <c r="IC17" s="855" t="str">
        <f t="shared" si="75"/>
        <v/>
      </c>
      <c r="ID17" s="351" t="str">
        <f t="shared" si="76"/>
        <v/>
      </c>
      <c r="IE17" s="857" t="str">
        <f t="shared" si="77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2"/>
        <v>1.135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8"/>
        <v>1913</v>
      </c>
      <c r="IM17" s="482" t="str">
        <f t="shared" si="233"/>
        <v/>
      </c>
      <c r="IN17" s="670" t="str">
        <f t="shared" si="80"/>
        <v/>
      </c>
      <c r="IO17" s="702"/>
      <c r="IP17" s="5" t="str">
        <f t="shared" si="81"/>
        <v/>
      </c>
      <c r="IQ17" s="714"/>
      <c r="IR17" s="9" t="str">
        <f t="shared" si="8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</row>
    <row r="18" spans="1:271" ht="15" customHeight="1" x14ac:dyDescent="0.25">
      <c r="A18" s="75">
        <f t="shared" si="92"/>
        <v>0.02</v>
      </c>
      <c r="B18" s="578">
        <f t="shared" ref="B18:D18" si="263">IFERROR(O173-($A18*E18),"")</f>
        <v>0.44660748514491899</v>
      </c>
      <c r="C18" s="572">
        <f t="shared" si="263"/>
        <v>7.9631140891153684</v>
      </c>
      <c r="D18" s="576">
        <f t="shared" si="263"/>
        <v>-1.8638585390317344</v>
      </c>
      <c r="E18" s="580">
        <f t="shared" ref="E18:K18" si="264">R173</f>
        <v>-0.91546358151887508</v>
      </c>
      <c r="F18" s="572">
        <f t="shared" si="264"/>
        <v>0.35051719033121509</v>
      </c>
      <c r="G18" s="579">
        <f t="shared" si="264"/>
        <v>0.19764647782074102</v>
      </c>
      <c r="H18" s="580">
        <f t="shared" si="264"/>
        <v>0.375</v>
      </c>
      <c r="I18" s="572">
        <f t="shared" si="264"/>
        <v>0.52</v>
      </c>
      <c r="J18" s="483">
        <f t="shared" si="95"/>
        <v>1.1399999999999999</v>
      </c>
      <c r="K18" s="806">
        <f t="shared" si="264"/>
        <v>1913</v>
      </c>
      <c r="L18" s="720" t="s">
        <v>322</v>
      </c>
      <c r="M18" s="164">
        <f t="shared" si="3"/>
        <v>1.1399999999999999</v>
      </c>
      <c r="N18" s="575">
        <f t="shared" si="4"/>
        <v>0.44660748514491899</v>
      </c>
      <c r="O18" s="572">
        <f t="shared" si="5"/>
        <v>7.9631140891153684</v>
      </c>
      <c r="P18" s="576">
        <f t="shared" si="6"/>
        <v>-1.8638585390317344</v>
      </c>
      <c r="Q18" s="528">
        <f t="shared" si="135"/>
        <v>86.789956205993533</v>
      </c>
      <c r="R18" s="572">
        <f>IF(M18="","",SQRT(N18^2+O18^2))</f>
        <v>7.9756281409087242</v>
      </c>
      <c r="S18" s="577">
        <f>IF(M18="","",P18)</f>
        <v>-1.8638585390317344</v>
      </c>
      <c r="T18" s="578">
        <f>IF(M18="","",X18*COS(RADIANS(W18)))</f>
        <v>7.9655190948845158</v>
      </c>
      <c r="U18" s="572">
        <f>IF(M18="","",X18*SIN(RADIANS(W18)))</f>
        <v>-0.40143466602339123</v>
      </c>
      <c r="V18" s="579">
        <f>IF(M18="","",Y18)</f>
        <v>-1.8638585390317344</v>
      </c>
      <c r="W18" s="528">
        <f t="shared" si="257"/>
        <v>357.11493135180069</v>
      </c>
      <c r="X18" s="572">
        <f>IF(M18="","",R18)</f>
        <v>7.9756281409087242</v>
      </c>
      <c r="Y18" s="573">
        <f t="shared" si="260"/>
        <v>-1.8638585390317344</v>
      </c>
      <c r="Z18" s="575">
        <f t="shared" si="9"/>
        <v>0.91546358151887508</v>
      </c>
      <c r="AA18" s="572">
        <f t="shared" si="10"/>
        <v>-0.35051719033121509</v>
      </c>
      <c r="AB18" s="572">
        <f t="shared" si="11"/>
        <v>-0.19764647782074102</v>
      </c>
      <c r="AC18" s="579">
        <f>IF(M18="","",SQRT(Z18^2+AA18^2+AB18^2))</f>
        <v>1</v>
      </c>
      <c r="AD18" s="580">
        <f>IF(M18="","",Z18*(1/SQRT(Z18^2+AA18^2+AB18^2)))</f>
        <v>0.91546358151887508</v>
      </c>
      <c r="AE18" s="572">
        <f>IF(M18="","",AA18*(1/SQRT(Z18^2+AA18^2+AB18^2)))</f>
        <v>-0.35051719033121509</v>
      </c>
      <c r="AF18" s="576">
        <f>IF(M18="","",AB18*(1/SQRT(Z18^2+AA18^2+AB18^2)))</f>
        <v>-0.19764647782074102</v>
      </c>
      <c r="AG18" s="545">
        <f>IF(M18="","",DEGREES(ATAN2(-AF18,AE18)))</f>
        <v>-60.582609576841691</v>
      </c>
      <c r="AH18" s="546">
        <f>IF(M18="","",DEGREES(ACOS(AD18)))</f>
        <v>23.728352226932245</v>
      </c>
      <c r="AI18" s="528">
        <f>IF(M18="","",DEGREES(-ACOS(-AF18)))</f>
        <v>-78.600634903964334</v>
      </c>
      <c r="AJ18" s="529">
        <f>IF(M18="","",DEGREES(ATAN2(-AE18,AD18)))</f>
        <v>69.048911026841196</v>
      </c>
      <c r="AK18" s="578">
        <f>IF(M18="","",(COS(RADIANS((90-$Q$8)-W18))*AD18)+(-SIN(RADIANS((90-$Q$8)-W18))*AE18))</f>
        <v>0.93365493142091527</v>
      </c>
      <c r="AL18" s="572">
        <f>IF(M18="","",(SIN(RADIANS((90-$Q$8)-W18))*AD18)+(COS(RADIANS((90-$Q$8)-W18))*AE18))</f>
        <v>-0.29870443391161944</v>
      </c>
      <c r="AM18" s="577">
        <f>IF(M18="","",AF18)</f>
        <v>-0.19764647782074102</v>
      </c>
      <c r="AN18" s="524">
        <f>IF(M18="","",DEGREES(ATAN2(-AM18,AL18)))</f>
        <v>-56.508226931563918</v>
      </c>
      <c r="AO18" s="525">
        <f t="shared" si="111"/>
        <v>20.988084943590614</v>
      </c>
      <c r="AP18" s="528">
        <f>IF(M18="","",DEGREES(ATAN2(AK18,AL18)))</f>
        <v>-17.741045179152305</v>
      </c>
      <c r="AQ18" s="529">
        <f t="shared" si="12"/>
        <v>0.28583425397035378</v>
      </c>
      <c r="AS18" s="954">
        <f t="shared" si="138"/>
        <v>357.11493135180069</v>
      </c>
      <c r="AT18" s="950">
        <f t="shared" si="13"/>
        <v>-1.8634584854718959</v>
      </c>
      <c r="AU18" s="418"/>
      <c r="AV18" s="164" t="str">
        <f t="shared" si="14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39"/>
        <v/>
      </c>
      <c r="BA18" s="296" t="str">
        <f t="shared" si="15"/>
        <v/>
      </c>
      <c r="BB18" s="190" t="str">
        <f t="shared" si="140"/>
        <v/>
      </c>
      <c r="BC18" s="9"/>
      <c r="BD18" s="5" t="str">
        <f t="shared" si="141"/>
        <v/>
      </c>
      <c r="BE18" s="6" t="str">
        <f t="shared" si="16"/>
        <v/>
      </c>
      <c r="BF18" s="4" t="str">
        <f t="shared" si="17"/>
        <v/>
      </c>
      <c r="BG18" s="5" t="str">
        <f t="shared" si="18"/>
        <v/>
      </c>
      <c r="BH18" s="10" t="str">
        <f t="shared" si="19"/>
        <v/>
      </c>
      <c r="BI18" s="9" t="str">
        <f t="shared" si="142"/>
        <v/>
      </c>
      <c r="BJ18" s="5" t="str">
        <f t="shared" si="20"/>
        <v/>
      </c>
      <c r="BK18" s="8" t="str">
        <f t="shared" si="21"/>
        <v/>
      </c>
      <c r="BL18" s="173" t="str">
        <f t="shared" si="22"/>
        <v/>
      </c>
      <c r="BM18" s="5" t="str">
        <f t="shared" si="23"/>
        <v/>
      </c>
      <c r="BN18" s="6" t="str">
        <f t="shared" si="24"/>
        <v/>
      </c>
      <c r="BO18" s="4" t="str">
        <f t="shared" si="143"/>
        <v/>
      </c>
      <c r="BP18" s="5" t="str">
        <f t="shared" si="144"/>
        <v/>
      </c>
      <c r="BQ18" s="5" t="str">
        <f t="shared" si="145"/>
        <v/>
      </c>
      <c r="BR18" s="6" t="str">
        <f t="shared" si="146"/>
        <v/>
      </c>
      <c r="BS18" s="4" t="str">
        <f t="shared" si="113"/>
        <v/>
      </c>
      <c r="BT18" s="5" t="str">
        <f t="shared" si="113"/>
        <v/>
      </c>
      <c r="BU18" s="10" t="str">
        <f t="shared" si="114"/>
        <v/>
      </c>
      <c r="BV18" s="9" t="str">
        <f t="shared" si="115"/>
        <v/>
      </c>
      <c r="BW18" s="5" t="str">
        <f t="shared" si="116"/>
        <v/>
      </c>
      <c r="BX18" s="8" t="str">
        <f t="shared" si="117"/>
        <v/>
      </c>
      <c r="BY18" s="173" t="str">
        <f t="shared" si="118"/>
        <v/>
      </c>
      <c r="BZ18" s="5" t="str">
        <f t="shared" si="119"/>
        <v/>
      </c>
      <c r="CA18" s="6" t="str">
        <f t="shared" si="120"/>
        <v/>
      </c>
      <c r="CB18" s="4" t="str">
        <f t="shared" si="147"/>
        <v/>
      </c>
      <c r="CC18" s="5" t="str">
        <f t="shared" si="148"/>
        <v/>
      </c>
      <c r="CD18" s="5" t="str">
        <f t="shared" si="149"/>
        <v/>
      </c>
      <c r="CE18" s="6" t="str">
        <f t="shared" si="150"/>
        <v/>
      </c>
      <c r="CF18" s="4" t="str">
        <f t="shared" si="151"/>
        <v/>
      </c>
      <c r="CG18" s="5" t="str">
        <f t="shared" si="152"/>
        <v/>
      </c>
      <c r="CH18" s="5" t="str">
        <f t="shared" si="153"/>
        <v/>
      </c>
      <c r="CI18" s="4" t="str">
        <f t="shared" si="121"/>
        <v/>
      </c>
      <c r="CJ18" s="5" t="str">
        <f t="shared" si="122"/>
        <v/>
      </c>
      <c r="CK18" s="8" t="str">
        <f t="shared" si="123"/>
        <v/>
      </c>
      <c r="CL18" s="173" t="str">
        <f t="shared" si="124"/>
        <v/>
      </c>
      <c r="CM18" s="5" t="str">
        <f t="shared" si="125"/>
        <v/>
      </c>
      <c r="CN18" s="6" t="str">
        <f t="shared" si="126"/>
        <v/>
      </c>
      <c r="CO18" s="167" t="str">
        <f t="shared" si="25"/>
        <v/>
      </c>
      <c r="CP18" s="4" t="str">
        <f t="shared" si="237"/>
        <v/>
      </c>
      <c r="CQ18" s="5" t="str">
        <f t="shared" si="238"/>
        <v/>
      </c>
      <c r="CR18" s="5" t="str">
        <f t="shared" si="154"/>
        <v/>
      </c>
      <c r="CS18" s="8" t="str">
        <f t="shared" si="155"/>
        <v/>
      </c>
      <c r="CT18" s="9" t="str">
        <f>IF(ISNUMBER($AV18),(-CQ18+SQRT(CS18))/(CP18*2),"")</f>
        <v/>
      </c>
      <c r="CU18" s="6" t="str">
        <f t="shared" si="157"/>
        <v/>
      </c>
      <c r="CV18" s="4" t="str">
        <f>IF(ISNUMBER($AV18),CI18+($CT18*(CL18-CI18)),"")</f>
        <v/>
      </c>
      <c r="CW18" s="5" t="str">
        <f t="shared" si="158"/>
        <v/>
      </c>
      <c r="CX18" s="8" t="str">
        <f t="shared" si="159"/>
        <v/>
      </c>
      <c r="CY18" s="9" t="str">
        <f t="shared" si="160"/>
        <v/>
      </c>
      <c r="CZ18" s="5" t="str">
        <f t="shared" si="161"/>
        <v/>
      </c>
      <c r="DA18" s="6" t="str">
        <f t="shared" si="162"/>
        <v/>
      </c>
      <c r="DB18" s="4" t="str">
        <f t="shared" si="163"/>
        <v/>
      </c>
      <c r="DC18" s="5" t="str">
        <f t="shared" si="163"/>
        <v/>
      </c>
      <c r="DD18" s="10" t="str">
        <f t="shared" si="164"/>
        <v/>
      </c>
      <c r="DE18" s="9" t="str">
        <f t="shared" si="165"/>
        <v/>
      </c>
      <c r="DF18" s="5" t="str">
        <f t="shared" si="165"/>
        <v/>
      </c>
      <c r="DG18" s="10" t="str">
        <f t="shared" si="166"/>
        <v/>
      </c>
      <c r="DH18" s="70" t="str">
        <f t="shared" si="167"/>
        <v/>
      </c>
      <c r="DI18" s="4" t="str">
        <f t="shared" si="168"/>
        <v/>
      </c>
      <c r="DJ18" s="5" t="str">
        <f t="shared" si="169"/>
        <v/>
      </c>
      <c r="DK18" s="10" t="str">
        <f t="shared" si="170"/>
        <v/>
      </c>
      <c r="DL18" s="9" t="str">
        <f>IF(ISNUMBER($AV18),CV18-DB18,"")</f>
        <v/>
      </c>
      <c r="DM18" s="173" t="str">
        <f t="shared" si="172"/>
        <v/>
      </c>
      <c r="DN18" s="178" t="str">
        <f t="shared" si="173"/>
        <v/>
      </c>
      <c r="DO18" s="9" t="str">
        <f t="shared" si="174"/>
        <v/>
      </c>
      <c r="DP18" s="173" t="str">
        <f t="shared" si="175"/>
        <v/>
      </c>
      <c r="DQ18" s="11" t="str">
        <f t="shared" si="176"/>
        <v/>
      </c>
      <c r="DR18" s="173" t="str">
        <f t="shared" si="177"/>
        <v/>
      </c>
      <c r="DS18" s="5" t="str">
        <f t="shared" si="178"/>
        <v/>
      </c>
      <c r="DT18" s="5" t="str">
        <f t="shared" si="179"/>
        <v/>
      </c>
      <c r="DU18" s="5" t="str">
        <f t="shared" si="180"/>
        <v/>
      </c>
      <c r="DV18" s="5" t="str">
        <f t="shared" si="181"/>
        <v/>
      </c>
      <c r="DW18" s="5" t="str">
        <f t="shared" si="182"/>
        <v/>
      </c>
      <c r="DX18" s="167" t="str">
        <f t="shared" si="183"/>
        <v/>
      </c>
      <c r="DY18" s="9" t="str">
        <f t="shared" si="184"/>
        <v/>
      </c>
      <c r="DZ18" s="5" t="str">
        <f t="shared" si="185"/>
        <v/>
      </c>
      <c r="EA18" s="10" t="str">
        <f t="shared" si="186"/>
        <v/>
      </c>
      <c r="EB18" s="6" t="str">
        <f t="shared" si="187"/>
        <v/>
      </c>
      <c r="EC18" s="173" t="str">
        <f t="shared" si="188"/>
        <v/>
      </c>
      <c r="ED18" s="5" t="str">
        <f t="shared" si="189"/>
        <v/>
      </c>
      <c r="EE18" s="4" t="str">
        <f t="shared" si="190"/>
        <v/>
      </c>
      <c r="EF18" s="5" t="str">
        <f t="shared" si="191"/>
        <v/>
      </c>
      <c r="EG18" s="10" t="str">
        <f t="shared" si="192"/>
        <v/>
      </c>
      <c r="EH18" s="9" t="str">
        <f t="shared" si="193"/>
        <v/>
      </c>
      <c r="EI18" s="5" t="str">
        <f t="shared" si="194"/>
        <v/>
      </c>
      <c r="EJ18" s="6" t="str">
        <f t="shared" si="195"/>
        <v/>
      </c>
      <c r="EK18" s="236" t="str">
        <f t="shared" si="196"/>
        <v/>
      </c>
      <c r="EL18" s="238" t="str">
        <f t="shared" si="197"/>
        <v/>
      </c>
      <c r="EM18" s="4" t="str">
        <f t="shared" si="198"/>
        <v/>
      </c>
      <c r="EN18" s="5" t="str">
        <f t="shared" si="199"/>
        <v/>
      </c>
      <c r="EO18" s="10" t="str">
        <f t="shared" si="200"/>
        <v/>
      </c>
      <c r="EP18" s="9" t="str">
        <f t="shared" si="201"/>
        <v/>
      </c>
      <c r="EQ18" s="5" t="str">
        <f t="shared" si="202"/>
        <v/>
      </c>
      <c r="ER18" s="7" t="str">
        <f t="shared" si="203"/>
        <v/>
      </c>
      <c r="ES18" s="21" t="str">
        <f t="shared" si="127"/>
        <v/>
      </c>
      <c r="ET18" s="5" t="str">
        <f t="shared" si="34"/>
        <v/>
      </c>
      <c r="EU18" s="10" t="str">
        <f t="shared" si="35"/>
        <v/>
      </c>
      <c r="EV18" s="174" t="str">
        <f t="shared" si="253"/>
        <v/>
      </c>
      <c r="EW18" s="9" t="str">
        <f t="shared" si="128"/>
        <v/>
      </c>
      <c r="EX18" s="5" t="str">
        <f t="shared" si="36"/>
        <v/>
      </c>
      <c r="EY18" s="6" t="str">
        <f t="shared" si="204"/>
        <v/>
      </c>
      <c r="EZ18" s="51" t="str">
        <f t="shared" si="205"/>
        <v/>
      </c>
      <c r="FA18" s="266" t="str">
        <f t="shared" si="129"/>
        <v/>
      </c>
      <c r="FB18" s="267" t="str">
        <f t="shared" si="130"/>
        <v/>
      </c>
      <c r="FC18" s="269" t="str">
        <f t="shared" si="37"/>
        <v/>
      </c>
      <c r="FD18" s="4" t="str">
        <f t="shared" si="131"/>
        <v/>
      </c>
      <c r="FE18" s="5" t="str">
        <f t="shared" si="38"/>
        <v/>
      </c>
      <c r="FF18" s="7" t="str">
        <f t="shared" si="206"/>
        <v/>
      </c>
      <c r="FG18" s="173" t="str">
        <f t="shared" si="207"/>
        <v/>
      </c>
      <c r="FH18" s="5" t="str">
        <f t="shared" si="39"/>
        <v/>
      </c>
      <c r="FI18" s="10" t="str">
        <f t="shared" si="40"/>
        <v/>
      </c>
      <c r="FJ18" s="279" t="str">
        <f t="shared" si="208"/>
        <v/>
      </c>
      <c r="FK18" s="4" t="str">
        <f t="shared" si="41"/>
        <v/>
      </c>
      <c r="FL18" s="5" t="str">
        <f t="shared" si="209"/>
        <v/>
      </c>
      <c r="FM18" s="8" t="str">
        <f t="shared" si="210"/>
        <v/>
      </c>
      <c r="FN18" s="9" t="str">
        <f t="shared" si="211"/>
        <v/>
      </c>
      <c r="FO18" s="10" t="str">
        <f t="shared" si="42"/>
        <v/>
      </c>
      <c r="FP18" s="277" t="str">
        <f t="shared" si="43"/>
        <v/>
      </c>
      <c r="FQ18" s="173" t="str">
        <f t="shared" si="240"/>
        <v/>
      </c>
      <c r="FR18" s="10" t="str">
        <f t="shared" si="212"/>
        <v/>
      </c>
      <c r="FS18" s="9" t="str">
        <f t="shared" si="213"/>
        <v/>
      </c>
      <c r="FT18" s="6" t="str">
        <f t="shared" si="214"/>
        <v/>
      </c>
      <c r="FU18" s="4" t="str">
        <f t="shared" si="215"/>
        <v/>
      </c>
      <c r="FV18" s="5" t="str">
        <f t="shared" si="216"/>
        <v/>
      </c>
      <c r="FW18" s="8" t="str">
        <f t="shared" si="241"/>
        <v/>
      </c>
      <c r="FX18" s="9" t="str">
        <f t="shared" si="242"/>
        <v/>
      </c>
      <c r="FY18" s="10" t="str">
        <f t="shared" si="44"/>
        <v/>
      </c>
      <c r="FZ18" s="277" t="str">
        <f t="shared" si="243"/>
        <v/>
      </c>
      <c r="GA18" s="177" t="str">
        <f t="shared" si="217"/>
        <v/>
      </c>
      <c r="GB18" s="4" t="str">
        <f t="shared" si="218"/>
        <v/>
      </c>
      <c r="GC18" s="5" t="str">
        <f t="shared" si="219"/>
        <v/>
      </c>
      <c r="GD18" s="10" t="str">
        <f t="shared" si="220"/>
        <v/>
      </c>
      <c r="GE18" s="311" t="str">
        <f t="shared" si="221"/>
        <v/>
      </c>
      <c r="GF18" s="341" t="str">
        <f t="shared" si="244"/>
        <v/>
      </c>
      <c r="GG18" s="285" t="str">
        <f t="shared" si="45"/>
        <v/>
      </c>
      <c r="GH18" s="286" t="str">
        <f t="shared" si="46"/>
        <v/>
      </c>
      <c r="GI18" s="281" t="str">
        <f t="shared" si="47"/>
        <v/>
      </c>
      <c r="GJ18" s="167" t="str">
        <f t="shared" si="222"/>
        <v/>
      </c>
      <c r="GK18" s="174" t="str">
        <f t="shared" si="48"/>
        <v/>
      </c>
      <c r="GL18" s="174" t="str">
        <f t="shared" si="223"/>
        <v/>
      </c>
      <c r="GM18" s="177" t="str">
        <f t="shared" si="245"/>
        <v/>
      </c>
      <c r="GN18" s="280" t="str">
        <f t="shared" si="224"/>
        <v/>
      </c>
      <c r="GO18" s="4" t="str">
        <f t="shared" si="225"/>
        <v/>
      </c>
      <c r="GP18" s="8" t="str">
        <f t="shared" si="246"/>
        <v/>
      </c>
      <c r="GQ18" s="177" t="str">
        <f t="shared" si="226"/>
        <v/>
      </c>
      <c r="GR18" s="371" t="str">
        <f t="shared" si="247"/>
        <v/>
      </c>
      <c r="GS18" s="342" t="str">
        <f t="shared" si="50"/>
        <v/>
      </c>
      <c r="GT18" s="343" t="str">
        <f t="shared" si="51"/>
        <v/>
      </c>
      <c r="GU18" s="344" t="str">
        <f t="shared" si="52"/>
        <v/>
      </c>
      <c r="GV18" s="343" t="str">
        <f t="shared" si="254"/>
        <v/>
      </c>
      <c r="GW18" s="345" t="str">
        <f t="shared" si="53"/>
        <v/>
      </c>
      <c r="GX18" s="346" t="str">
        <f t="shared" si="54"/>
        <v/>
      </c>
      <c r="GY18" s="344" t="str">
        <f t="shared" si="55"/>
        <v/>
      </c>
      <c r="GZ18" s="345" t="str">
        <f t="shared" si="56"/>
        <v/>
      </c>
      <c r="HA18" s="342" t="str">
        <f t="shared" si="57"/>
        <v/>
      </c>
      <c r="HB18" s="5" t="str">
        <f t="shared" si="227"/>
        <v/>
      </c>
      <c r="HC18" s="343" t="str">
        <f t="shared" si="228"/>
        <v/>
      </c>
      <c r="HD18" s="345" t="str">
        <f t="shared" si="229"/>
        <v/>
      </c>
      <c r="HE18" s="344" t="str">
        <f t="shared" si="58"/>
        <v/>
      </c>
      <c r="HF18" s="5" t="str">
        <f t="shared" si="59"/>
        <v/>
      </c>
      <c r="HG18" s="343" t="str">
        <f t="shared" si="230"/>
        <v/>
      </c>
      <c r="HH18" s="349" t="str">
        <f t="shared" si="231"/>
        <v/>
      </c>
      <c r="HI18" s="317" t="str">
        <f t="shared" si="60"/>
        <v/>
      </c>
      <c r="HJ18" s="336"/>
      <c r="HK18" s="310" t="str">
        <f t="shared" si="132"/>
        <v/>
      </c>
      <c r="HL18" s="348" t="str">
        <f t="shared" si="61"/>
        <v/>
      </c>
      <c r="HM18" s="923" t="str">
        <f t="shared" si="62"/>
        <v/>
      </c>
      <c r="HN18" s="924" t="str">
        <f t="shared" si="63"/>
        <v/>
      </c>
      <c r="HO18" s="925"/>
      <c r="HP18" s="926"/>
      <c r="HQ18" s="924" t="str">
        <f t="shared" si="64"/>
        <v/>
      </c>
      <c r="HR18" s="927" t="str">
        <f t="shared" si="65"/>
        <v/>
      </c>
      <c r="HS18" s="879" t="str">
        <f t="shared" si="250"/>
        <v/>
      </c>
      <c r="HT18" s="889" t="str">
        <f t="shared" si="66"/>
        <v/>
      </c>
      <c r="HU18" s="890" t="str">
        <f t="shared" si="67"/>
        <v/>
      </c>
      <c r="HV18" s="886" t="str">
        <f t="shared" si="68"/>
        <v/>
      </c>
      <c r="HW18" s="880" t="str">
        <f t="shared" si="69"/>
        <v/>
      </c>
      <c r="HX18" s="881" t="str">
        <f t="shared" si="70"/>
        <v/>
      </c>
      <c r="HY18" s="880" t="str">
        <f t="shared" si="71"/>
        <v/>
      </c>
      <c r="HZ18" s="882" t="str">
        <f t="shared" si="72"/>
        <v/>
      </c>
      <c r="IA18" s="883" t="str">
        <f t="shared" si="73"/>
        <v/>
      </c>
      <c r="IB18" s="884" t="str">
        <f t="shared" si="74"/>
        <v/>
      </c>
      <c r="IC18" s="855" t="str">
        <f t="shared" si="75"/>
        <v/>
      </c>
      <c r="ID18" s="351" t="str">
        <f t="shared" si="76"/>
        <v/>
      </c>
      <c r="IE18" s="857" t="str">
        <f t="shared" si="77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2"/>
        <v>1.1399999999999999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8"/>
        <v>1913</v>
      </c>
      <c r="IM18" s="482" t="str">
        <f t="shared" si="233"/>
        <v/>
      </c>
      <c r="IN18" s="670" t="str">
        <f t="shared" si="80"/>
        <v/>
      </c>
      <c r="IO18" s="702"/>
      <c r="IP18" s="5" t="str">
        <f t="shared" si="81"/>
        <v/>
      </c>
      <c r="IQ18" s="714"/>
      <c r="IR18" s="9" t="str">
        <f t="shared" si="8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</row>
    <row r="19" spans="1:271" ht="15" customHeight="1" thickBot="1" x14ac:dyDescent="0.3">
      <c r="A19" s="75">
        <f t="shared" si="92"/>
        <v>0.02</v>
      </c>
      <c r="B19" s="578">
        <f t="shared" ref="B19:D19" si="265">IFERROR(O174-($A19*E19),"")</f>
        <v>0.51759725147457136</v>
      </c>
      <c r="C19" s="572">
        <f t="shared" si="265"/>
        <v>8.3015123731355356</v>
      </c>
      <c r="D19" s="576">
        <f t="shared" si="265"/>
        <v>-2.7015982414921988</v>
      </c>
      <c r="E19" s="580">
        <f t="shared" ref="E19:K19" si="266">R174</f>
        <v>-0.87987583793531732</v>
      </c>
      <c r="F19" s="572">
        <f t="shared" si="266"/>
        <v>0.45426516317026999</v>
      </c>
      <c r="G19" s="579">
        <f t="shared" si="266"/>
        <v>0.13950509434250499</v>
      </c>
      <c r="H19" s="580">
        <f t="shared" si="266"/>
        <v>0.375</v>
      </c>
      <c r="I19" s="572">
        <f t="shared" si="266"/>
        <v>0.52</v>
      </c>
      <c r="J19" s="483">
        <f t="shared" si="95"/>
        <v>1.145</v>
      </c>
      <c r="K19" s="806">
        <f t="shared" si="266"/>
        <v>1913</v>
      </c>
      <c r="L19" s="718" t="s">
        <v>357</v>
      </c>
      <c r="M19" s="164">
        <f t="shared" si="3"/>
        <v>1.145</v>
      </c>
      <c r="N19" s="575">
        <f t="shared" si="4"/>
        <v>0.51759725147457136</v>
      </c>
      <c r="O19" s="572">
        <f t="shared" si="5"/>
        <v>8.3015123731355356</v>
      </c>
      <c r="P19" s="576">
        <f t="shared" si="6"/>
        <v>-2.7015982414921988</v>
      </c>
      <c r="Q19" s="528">
        <f t="shared" si="135"/>
        <v>86.432240690253792</v>
      </c>
      <c r="R19" s="572">
        <f>IF(M19="","",SQRT(N19^2+O19^2))</f>
        <v>8.317632751934676</v>
      </c>
      <c r="S19" s="577">
        <f>IF(M19="","",P19)</f>
        <v>-2.7015982414921988</v>
      </c>
      <c r="T19" s="578">
        <f>IF(M19="","",X19*COS(RADIANS(W19)))</f>
        <v>8.3043145794560367</v>
      </c>
      <c r="U19" s="572">
        <f>IF(M19="","",X19*SIN(RADIANS(W19)))</f>
        <v>-0.47050394418148744</v>
      </c>
      <c r="V19" s="579">
        <f>IF(M19="","",Y19)</f>
        <v>-2.7015982414921988</v>
      </c>
      <c r="W19" s="528">
        <f t="shared" si="257"/>
        <v>356.75721583606099</v>
      </c>
      <c r="X19" s="572">
        <f>IF(M19="","",R19)</f>
        <v>8.317632751934676</v>
      </c>
      <c r="Y19" s="573">
        <f t="shared" si="260"/>
        <v>-2.7015982414921988</v>
      </c>
      <c r="Z19" s="575">
        <f t="shared" si="9"/>
        <v>0.87987583793531732</v>
      </c>
      <c r="AA19" s="572">
        <f t="shared" si="10"/>
        <v>-0.45426516317026999</v>
      </c>
      <c r="AB19" s="572">
        <f t="shared" si="11"/>
        <v>-0.13950509434250499</v>
      </c>
      <c r="AC19" s="579">
        <f>IF(M19="","",SQRT(Z19^2+AA19^2+AB19^2))</f>
        <v>1</v>
      </c>
      <c r="AD19" s="580">
        <f>IF(M19="","",Z19*(1/SQRT(Z19^2+AA19^2+AB19^2)))</f>
        <v>0.87987583793531732</v>
      </c>
      <c r="AE19" s="572">
        <f>IF(M19="","",AA19*(1/SQRT(Z19^2+AA19^2+AB19^2)))</f>
        <v>-0.45426516317026999</v>
      </c>
      <c r="AF19" s="576">
        <f>IF(M19="","",AB19*(1/SQRT(Z19^2+AA19^2+AB19^2)))</f>
        <v>-0.13950509434250499</v>
      </c>
      <c r="AG19" s="545">
        <f>IF(M19="","",DEGREES(ATAN2(-AF19,AE19)))</f>
        <v>-72.928247570282025</v>
      </c>
      <c r="AH19" s="546">
        <f>IF(M19="","",DEGREES(ACOS(AD19)))</f>
        <v>28.372610543784642</v>
      </c>
      <c r="AI19" s="528">
        <f>IF(M19="","",DEGREES(-ACOS(-AF19)))</f>
        <v>-81.980790789135668</v>
      </c>
      <c r="AJ19" s="529">
        <f>IF(M19="","",DEGREES(ATAN2(-AE19,AD19)))</f>
        <v>62.693450582240388</v>
      </c>
      <c r="AK19" s="578">
        <f>IF(M19="","",(COS(RADIANS((90-$Q$8)-W19))*AD19)+(-SIN(RADIANS((90-$Q$8)-W19))*AE19))</f>
        <v>0.90643898092121777</v>
      </c>
      <c r="AL19" s="572">
        <f>IF(M19="","",(SIN(RADIANS((90-$Q$8)-W19))*AD19)+(COS(RADIANS((90-$Q$8)-W19))*AE19))</f>
        <v>-0.39863103556922536</v>
      </c>
      <c r="AM19" s="577">
        <f>IF(M19="","",AF19)</f>
        <v>-0.13950509434250499</v>
      </c>
      <c r="AN19" s="524">
        <f>IF(M19="","",DEGREES(ATAN2(-AM19,AL19)))</f>
        <v>-70.711972844795142</v>
      </c>
      <c r="AO19" s="525">
        <f t="shared" si="111"/>
        <v>24.982207679081078</v>
      </c>
      <c r="AP19" s="528">
        <f>IF(M19="","",DEGREES(ATAN2(AK19,AL19)))</f>
        <v>-23.738790108013418</v>
      </c>
      <c r="AQ19" s="529">
        <f t="shared" si="12"/>
        <v>0.27408149780986957</v>
      </c>
      <c r="AS19" s="954">
        <f t="shared" si="138"/>
        <v>356.75721583606099</v>
      </c>
      <c r="AT19" s="950">
        <f t="shared" si="13"/>
        <v>-2.7009497743797635</v>
      </c>
      <c r="AU19" s="418"/>
      <c r="AV19" s="164" t="str">
        <f t="shared" si="14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9"/>
        <v/>
      </c>
      <c r="BA19" s="296" t="str">
        <f t="shared" si="15"/>
        <v/>
      </c>
      <c r="BB19" s="190" t="str">
        <f t="shared" si="140"/>
        <v/>
      </c>
      <c r="BC19" s="9"/>
      <c r="BD19" s="5" t="str">
        <f t="shared" si="141"/>
        <v/>
      </c>
      <c r="BE19" s="6" t="str">
        <f t="shared" si="16"/>
        <v/>
      </c>
      <c r="BF19" s="4" t="str">
        <f t="shared" si="17"/>
        <v/>
      </c>
      <c r="BG19" s="5" t="str">
        <f t="shared" si="18"/>
        <v/>
      </c>
      <c r="BH19" s="10" t="str">
        <f t="shared" si="19"/>
        <v/>
      </c>
      <c r="BI19" s="9" t="str">
        <f t="shared" si="142"/>
        <v/>
      </c>
      <c r="BJ19" s="5" t="str">
        <f t="shared" si="20"/>
        <v/>
      </c>
      <c r="BK19" s="8" t="str">
        <f t="shared" si="21"/>
        <v/>
      </c>
      <c r="BL19" s="173" t="str">
        <f t="shared" si="22"/>
        <v/>
      </c>
      <c r="BM19" s="5" t="str">
        <f t="shared" si="23"/>
        <v/>
      </c>
      <c r="BN19" s="6" t="str">
        <f t="shared" si="24"/>
        <v/>
      </c>
      <c r="BO19" s="4" t="str">
        <f t="shared" si="143"/>
        <v/>
      </c>
      <c r="BP19" s="5" t="str">
        <f t="shared" si="144"/>
        <v/>
      </c>
      <c r="BQ19" s="5" t="str">
        <f t="shared" si="145"/>
        <v/>
      </c>
      <c r="BR19" s="6" t="str">
        <f t="shared" si="146"/>
        <v/>
      </c>
      <c r="BS19" s="4" t="str">
        <f t="shared" si="113"/>
        <v/>
      </c>
      <c r="BT19" s="5" t="str">
        <f t="shared" si="113"/>
        <v/>
      </c>
      <c r="BU19" s="10" t="str">
        <f t="shared" si="114"/>
        <v/>
      </c>
      <c r="BV19" s="9" t="str">
        <f t="shared" si="115"/>
        <v/>
      </c>
      <c r="BW19" s="5" t="str">
        <f t="shared" si="116"/>
        <v/>
      </c>
      <c r="BX19" s="8" t="str">
        <f t="shared" si="117"/>
        <v/>
      </c>
      <c r="BY19" s="173" t="str">
        <f t="shared" si="118"/>
        <v/>
      </c>
      <c r="BZ19" s="5" t="str">
        <f t="shared" si="119"/>
        <v/>
      </c>
      <c r="CA19" s="6" t="str">
        <f t="shared" si="120"/>
        <v/>
      </c>
      <c r="CB19" s="4" t="str">
        <f t="shared" si="147"/>
        <v/>
      </c>
      <c r="CC19" s="5" t="str">
        <f t="shared" si="148"/>
        <v/>
      </c>
      <c r="CD19" s="5" t="str">
        <f t="shared" si="149"/>
        <v/>
      </c>
      <c r="CE19" s="6" t="str">
        <f t="shared" si="150"/>
        <v/>
      </c>
      <c r="CF19" s="4" t="str">
        <f t="shared" si="151"/>
        <v/>
      </c>
      <c r="CG19" s="5" t="str">
        <f t="shared" si="152"/>
        <v/>
      </c>
      <c r="CH19" s="5" t="str">
        <f t="shared" si="153"/>
        <v/>
      </c>
      <c r="CI19" s="4" t="str">
        <f t="shared" si="121"/>
        <v/>
      </c>
      <c r="CJ19" s="5" t="str">
        <f t="shared" si="122"/>
        <v/>
      </c>
      <c r="CK19" s="8" t="str">
        <f t="shared" si="123"/>
        <v/>
      </c>
      <c r="CL19" s="173" t="str">
        <f t="shared" si="124"/>
        <v/>
      </c>
      <c r="CM19" s="5" t="str">
        <f t="shared" si="125"/>
        <v/>
      </c>
      <c r="CN19" s="6" t="str">
        <f t="shared" si="126"/>
        <v/>
      </c>
      <c r="CO19" s="167" t="str">
        <f t="shared" si="25"/>
        <v/>
      </c>
      <c r="CP19" s="4" t="str">
        <f t="shared" si="237"/>
        <v/>
      </c>
      <c r="CQ19" s="5" t="str">
        <f t="shared" si="238"/>
        <v/>
      </c>
      <c r="CR19" s="5" t="str">
        <f t="shared" si="154"/>
        <v/>
      </c>
      <c r="CS19" s="8" t="str">
        <f t="shared" si="155"/>
        <v/>
      </c>
      <c r="CT19" s="9" t="str">
        <f t="shared" si="156"/>
        <v/>
      </c>
      <c r="CU19" s="6" t="str">
        <f t="shared" si="157"/>
        <v/>
      </c>
      <c r="CV19" s="4" t="str">
        <f t="shared" si="239"/>
        <v/>
      </c>
      <c r="CW19" s="5" t="str">
        <f t="shared" si="158"/>
        <v/>
      </c>
      <c r="CX19" s="8" t="str">
        <f t="shared" si="159"/>
        <v/>
      </c>
      <c r="CY19" s="9" t="str">
        <f t="shared" si="160"/>
        <v/>
      </c>
      <c r="CZ19" s="5" t="str">
        <f t="shared" si="161"/>
        <v/>
      </c>
      <c r="DA19" s="6" t="str">
        <f t="shared" si="162"/>
        <v/>
      </c>
      <c r="DB19" s="4" t="str">
        <f t="shared" si="163"/>
        <v/>
      </c>
      <c r="DC19" s="5" t="str">
        <f t="shared" si="163"/>
        <v/>
      </c>
      <c r="DD19" s="10" t="str">
        <f t="shared" si="164"/>
        <v/>
      </c>
      <c r="DE19" s="9" t="str">
        <f t="shared" si="165"/>
        <v/>
      </c>
      <c r="DF19" s="5" t="str">
        <f t="shared" si="165"/>
        <v/>
      </c>
      <c r="DG19" s="10" t="str">
        <f t="shared" si="166"/>
        <v/>
      </c>
      <c r="DH19" s="70" t="str">
        <f t="shared" si="167"/>
        <v/>
      </c>
      <c r="DI19" s="4" t="str">
        <f t="shared" si="168"/>
        <v/>
      </c>
      <c r="DJ19" s="5" t="str">
        <f t="shared" si="169"/>
        <v/>
      </c>
      <c r="DK19" s="10" t="str">
        <f t="shared" si="170"/>
        <v/>
      </c>
      <c r="DL19" s="9" t="str">
        <f t="shared" si="171"/>
        <v/>
      </c>
      <c r="DM19" s="173" t="str">
        <f t="shared" si="172"/>
        <v/>
      </c>
      <c r="DN19" s="178" t="str">
        <f t="shared" si="173"/>
        <v/>
      </c>
      <c r="DO19" s="9" t="str">
        <f t="shared" si="174"/>
        <v/>
      </c>
      <c r="DP19" s="173" t="str">
        <f t="shared" si="175"/>
        <v/>
      </c>
      <c r="DQ19" s="11" t="str">
        <f t="shared" si="176"/>
        <v/>
      </c>
      <c r="DR19" s="173" t="str">
        <f t="shared" si="177"/>
        <v/>
      </c>
      <c r="DS19" s="5" t="str">
        <f t="shared" si="178"/>
        <v/>
      </c>
      <c r="DT19" s="5" t="str">
        <f t="shared" si="179"/>
        <v/>
      </c>
      <c r="DU19" s="5" t="str">
        <f t="shared" si="180"/>
        <v/>
      </c>
      <c r="DV19" s="5" t="str">
        <f t="shared" si="181"/>
        <v/>
      </c>
      <c r="DW19" s="5" t="str">
        <f t="shared" si="182"/>
        <v/>
      </c>
      <c r="DX19" s="167" t="str">
        <f t="shared" si="183"/>
        <v/>
      </c>
      <c r="DY19" s="9" t="str">
        <f t="shared" si="184"/>
        <v/>
      </c>
      <c r="DZ19" s="5" t="str">
        <f t="shared" si="185"/>
        <v/>
      </c>
      <c r="EA19" s="10" t="str">
        <f t="shared" si="186"/>
        <v/>
      </c>
      <c r="EB19" s="6" t="str">
        <f t="shared" si="187"/>
        <v/>
      </c>
      <c r="EC19" s="173" t="str">
        <f t="shared" si="188"/>
        <v/>
      </c>
      <c r="ED19" s="5" t="str">
        <f t="shared" si="189"/>
        <v/>
      </c>
      <c r="EE19" s="4" t="str">
        <f t="shared" si="190"/>
        <v/>
      </c>
      <c r="EF19" s="5" t="str">
        <f t="shared" si="191"/>
        <v/>
      </c>
      <c r="EG19" s="10" t="str">
        <f t="shared" si="192"/>
        <v/>
      </c>
      <c r="EH19" s="9" t="str">
        <f t="shared" si="193"/>
        <v/>
      </c>
      <c r="EI19" s="5" t="str">
        <f t="shared" si="194"/>
        <v/>
      </c>
      <c r="EJ19" s="6" t="str">
        <f t="shared" si="195"/>
        <v/>
      </c>
      <c r="EK19" s="236" t="str">
        <f t="shared" si="196"/>
        <v/>
      </c>
      <c r="EL19" s="238" t="str">
        <f t="shared" si="197"/>
        <v/>
      </c>
      <c r="EM19" s="4" t="str">
        <f t="shared" si="198"/>
        <v/>
      </c>
      <c r="EN19" s="5" t="str">
        <f t="shared" si="199"/>
        <v/>
      </c>
      <c r="EO19" s="10" t="str">
        <f t="shared" si="200"/>
        <v/>
      </c>
      <c r="EP19" s="9" t="str">
        <f t="shared" si="201"/>
        <v/>
      </c>
      <c r="EQ19" s="5" t="str">
        <f t="shared" si="202"/>
        <v/>
      </c>
      <c r="ER19" s="7" t="str">
        <f t="shared" si="203"/>
        <v/>
      </c>
      <c r="ES19" s="21" t="str">
        <f t="shared" si="127"/>
        <v/>
      </c>
      <c r="ET19" s="5" t="str">
        <f t="shared" si="34"/>
        <v/>
      </c>
      <c r="EU19" s="10" t="str">
        <f t="shared" si="35"/>
        <v/>
      </c>
      <c r="EV19" s="174" t="str">
        <f t="shared" si="253"/>
        <v/>
      </c>
      <c r="EW19" s="9" t="str">
        <f t="shared" si="128"/>
        <v/>
      </c>
      <c r="EX19" s="5" t="str">
        <f t="shared" si="36"/>
        <v/>
      </c>
      <c r="EY19" s="6" t="str">
        <f t="shared" si="204"/>
        <v/>
      </c>
      <c r="EZ19" s="51" t="str">
        <f t="shared" si="205"/>
        <v/>
      </c>
      <c r="FA19" s="266" t="str">
        <f t="shared" si="129"/>
        <v/>
      </c>
      <c r="FB19" s="267" t="str">
        <f t="shared" si="130"/>
        <v/>
      </c>
      <c r="FC19" s="269" t="str">
        <f t="shared" si="37"/>
        <v/>
      </c>
      <c r="FD19" s="4" t="str">
        <f t="shared" si="131"/>
        <v/>
      </c>
      <c r="FE19" s="5" t="str">
        <f t="shared" si="38"/>
        <v/>
      </c>
      <c r="FF19" s="7" t="str">
        <f t="shared" si="206"/>
        <v/>
      </c>
      <c r="FG19" s="173" t="str">
        <f t="shared" si="207"/>
        <v/>
      </c>
      <c r="FH19" s="5" t="str">
        <f t="shared" si="39"/>
        <v/>
      </c>
      <c r="FI19" s="10" t="str">
        <f t="shared" si="40"/>
        <v/>
      </c>
      <c r="FJ19" s="279" t="str">
        <f t="shared" si="208"/>
        <v/>
      </c>
      <c r="FK19" s="4" t="str">
        <f t="shared" si="41"/>
        <v/>
      </c>
      <c r="FL19" s="5" t="str">
        <f t="shared" si="209"/>
        <v/>
      </c>
      <c r="FM19" s="8" t="str">
        <f t="shared" si="210"/>
        <v/>
      </c>
      <c r="FN19" s="9" t="str">
        <f t="shared" si="211"/>
        <v/>
      </c>
      <c r="FO19" s="10" t="str">
        <f t="shared" si="42"/>
        <v/>
      </c>
      <c r="FP19" s="277" t="str">
        <f t="shared" si="43"/>
        <v/>
      </c>
      <c r="FQ19" s="173" t="str">
        <f t="shared" si="240"/>
        <v/>
      </c>
      <c r="FR19" s="10" t="str">
        <f t="shared" si="212"/>
        <v/>
      </c>
      <c r="FS19" s="9" t="str">
        <f t="shared" si="213"/>
        <v/>
      </c>
      <c r="FT19" s="6" t="str">
        <f t="shared" si="214"/>
        <v/>
      </c>
      <c r="FU19" s="4" t="str">
        <f t="shared" si="215"/>
        <v/>
      </c>
      <c r="FV19" s="5" t="str">
        <f t="shared" si="216"/>
        <v/>
      </c>
      <c r="FW19" s="8" t="str">
        <f t="shared" si="241"/>
        <v/>
      </c>
      <c r="FX19" s="9" t="str">
        <f t="shared" si="242"/>
        <v/>
      </c>
      <c r="FY19" s="10" t="str">
        <f t="shared" si="44"/>
        <v/>
      </c>
      <c r="FZ19" s="277" t="str">
        <f t="shared" si="243"/>
        <v/>
      </c>
      <c r="GA19" s="177" t="str">
        <f t="shared" si="217"/>
        <v/>
      </c>
      <c r="GB19" s="4" t="str">
        <f t="shared" si="218"/>
        <v/>
      </c>
      <c r="GC19" s="5" t="str">
        <f t="shared" si="219"/>
        <v/>
      </c>
      <c r="GD19" s="10" t="str">
        <f t="shared" si="220"/>
        <v/>
      </c>
      <c r="GE19" s="311" t="str">
        <f t="shared" si="221"/>
        <v/>
      </c>
      <c r="GF19" s="341" t="str">
        <f t="shared" si="244"/>
        <v/>
      </c>
      <c r="GG19" s="285" t="str">
        <f t="shared" si="45"/>
        <v/>
      </c>
      <c r="GH19" s="286" t="str">
        <f t="shared" si="46"/>
        <v/>
      </c>
      <c r="GI19" s="281" t="str">
        <f t="shared" si="47"/>
        <v/>
      </c>
      <c r="GJ19" s="167" t="str">
        <f t="shared" si="222"/>
        <v/>
      </c>
      <c r="GK19" s="174" t="str">
        <f t="shared" si="48"/>
        <v/>
      </c>
      <c r="GL19" s="174" t="str">
        <f t="shared" si="223"/>
        <v/>
      </c>
      <c r="GM19" s="177" t="str">
        <f t="shared" si="245"/>
        <v/>
      </c>
      <c r="GN19" s="280" t="str">
        <f t="shared" si="224"/>
        <v/>
      </c>
      <c r="GO19" s="4" t="str">
        <f t="shared" si="225"/>
        <v/>
      </c>
      <c r="GP19" s="8" t="str">
        <f t="shared" si="246"/>
        <v/>
      </c>
      <c r="GQ19" s="177" t="str">
        <f t="shared" si="226"/>
        <v/>
      </c>
      <c r="GR19" s="371" t="str">
        <f t="shared" si="247"/>
        <v/>
      </c>
      <c r="GS19" s="342" t="str">
        <f t="shared" si="50"/>
        <v/>
      </c>
      <c r="GT19" s="343" t="str">
        <f t="shared" si="51"/>
        <v/>
      </c>
      <c r="GU19" s="344" t="str">
        <f t="shared" si="52"/>
        <v/>
      </c>
      <c r="GV19" s="343" t="str">
        <f t="shared" si="254"/>
        <v/>
      </c>
      <c r="GW19" s="345" t="str">
        <f t="shared" si="53"/>
        <v/>
      </c>
      <c r="GX19" s="346" t="str">
        <f t="shared" si="54"/>
        <v/>
      </c>
      <c r="GY19" s="344" t="str">
        <f t="shared" si="55"/>
        <v/>
      </c>
      <c r="GZ19" s="345" t="str">
        <f t="shared" si="56"/>
        <v/>
      </c>
      <c r="HA19" s="342" t="str">
        <f t="shared" si="57"/>
        <v/>
      </c>
      <c r="HB19" s="5" t="str">
        <f t="shared" si="227"/>
        <v/>
      </c>
      <c r="HC19" s="343" t="str">
        <f t="shared" si="228"/>
        <v/>
      </c>
      <c r="HD19" s="345" t="str">
        <f t="shared" si="229"/>
        <v/>
      </c>
      <c r="HE19" s="344" t="str">
        <f t="shared" si="58"/>
        <v/>
      </c>
      <c r="HF19" s="5" t="str">
        <f t="shared" si="59"/>
        <v/>
      </c>
      <c r="HG19" s="343" t="str">
        <f t="shared" si="230"/>
        <v/>
      </c>
      <c r="HH19" s="349" t="str">
        <f t="shared" si="231"/>
        <v/>
      </c>
      <c r="HI19" s="317" t="str">
        <f t="shared" si="60"/>
        <v/>
      </c>
      <c r="HJ19" s="336"/>
      <c r="HK19" s="310" t="str">
        <f t="shared" si="132"/>
        <v/>
      </c>
      <c r="HL19" s="348" t="str">
        <f t="shared" si="61"/>
        <v/>
      </c>
      <c r="HM19" s="923" t="str">
        <f t="shared" si="62"/>
        <v/>
      </c>
      <c r="HN19" s="924" t="str">
        <f t="shared" si="63"/>
        <v/>
      </c>
      <c r="HO19" s="925"/>
      <c r="HP19" s="926"/>
      <c r="HQ19" s="924" t="str">
        <f t="shared" si="64"/>
        <v/>
      </c>
      <c r="HR19" s="927" t="str">
        <f t="shared" si="65"/>
        <v/>
      </c>
      <c r="HS19" s="879" t="str">
        <f t="shared" si="250"/>
        <v/>
      </c>
      <c r="HT19" s="889" t="str">
        <f t="shared" si="66"/>
        <v/>
      </c>
      <c r="HU19" s="890" t="str">
        <f t="shared" si="67"/>
        <v/>
      </c>
      <c r="HV19" s="886" t="str">
        <f t="shared" si="68"/>
        <v/>
      </c>
      <c r="HW19" s="880" t="str">
        <f t="shared" si="69"/>
        <v/>
      </c>
      <c r="HX19" s="881" t="str">
        <f t="shared" si="70"/>
        <v/>
      </c>
      <c r="HY19" s="880" t="str">
        <f t="shared" si="71"/>
        <v/>
      </c>
      <c r="HZ19" s="882" t="str">
        <f t="shared" si="72"/>
        <v/>
      </c>
      <c r="IA19" s="883" t="str">
        <f t="shared" si="73"/>
        <v/>
      </c>
      <c r="IB19" s="884" t="str">
        <f t="shared" si="74"/>
        <v/>
      </c>
      <c r="IC19" s="855" t="str">
        <f t="shared" si="75"/>
        <v/>
      </c>
      <c r="ID19" s="351" t="str">
        <f t="shared" si="76"/>
        <v/>
      </c>
      <c r="IE19" s="857" t="str">
        <f t="shared" si="77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2"/>
        <v>1.145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8"/>
        <v>1913</v>
      </c>
      <c r="IM19" s="482" t="str">
        <f t="shared" si="233"/>
        <v/>
      </c>
      <c r="IN19" s="670" t="str">
        <f t="shared" si="80"/>
        <v/>
      </c>
      <c r="IO19" s="702"/>
      <c r="IP19" s="5" t="str">
        <f t="shared" si="81"/>
        <v/>
      </c>
      <c r="IQ19" s="714"/>
      <c r="IR19" s="9" t="str">
        <f t="shared" si="8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30" t="s">
        <v>356</v>
      </c>
      <c r="JE19" s="1331"/>
      <c r="JF19" s="1331"/>
      <c r="JG19" s="1331"/>
      <c r="JH19" s="1331"/>
      <c r="JI19" s="1331"/>
      <c r="JJ19" s="1331"/>
      <c r="JK19" s="1332"/>
    </row>
    <row r="20" spans="1:271" ht="15" customHeight="1" x14ac:dyDescent="0.25">
      <c r="A20" s="75">
        <f t="shared" si="92"/>
        <v>0.02</v>
      </c>
      <c r="B20" s="578">
        <f t="shared" ref="B20:D20" si="267">IFERROR(O175-($A20*E20),"")</f>
        <v>0.54383005382238503</v>
      </c>
      <c r="C20" s="572">
        <f t="shared" si="267"/>
        <v>8.422041414599839</v>
      </c>
      <c r="D20" s="576">
        <f t="shared" si="267"/>
        <v>-3.5951823998886518</v>
      </c>
      <c r="E20" s="580">
        <f t="shared" ref="E20:K20" si="268">R175</f>
        <v>-0.83326207271149855</v>
      </c>
      <c r="F20" s="572">
        <f t="shared" si="268"/>
        <v>0.55115812477520687</v>
      </c>
      <c r="G20" s="579">
        <f t="shared" si="268"/>
        <v>4.3577972357774913E-2</v>
      </c>
      <c r="H20" s="580">
        <f t="shared" si="268"/>
        <v>0.375</v>
      </c>
      <c r="I20" s="572">
        <f t="shared" si="268"/>
        <v>0.52</v>
      </c>
      <c r="J20" s="483">
        <f t="shared" si="95"/>
        <v>1.1499999999999999</v>
      </c>
      <c r="K20" s="806">
        <f t="shared" si="268"/>
        <v>1913</v>
      </c>
      <c r="L20" s="717" t="str">
        <f>IF($L19=$JJ$22,$JJ$30,IF($L19=$JK$22,$JK$30,""))</f>
        <v/>
      </c>
      <c r="M20" s="164">
        <f t="shared" si="3"/>
        <v>1.1499999999999999</v>
      </c>
      <c r="N20" s="575">
        <f t="shared" si="4"/>
        <v>0.54383005382238503</v>
      </c>
      <c r="O20" s="572">
        <f t="shared" si="5"/>
        <v>8.422041414599839</v>
      </c>
      <c r="P20" s="576">
        <f t="shared" si="6"/>
        <v>-3.5951823998886518</v>
      </c>
      <c r="Q20" s="528">
        <f t="shared" si="135"/>
        <v>86.305412603610719</v>
      </c>
      <c r="R20" s="572">
        <f>IF(M20="","",SQRT(N20^2+O20^2))</f>
        <v>8.4395813116928569</v>
      </c>
      <c r="S20" s="577">
        <f>IF(M20="","",P20)</f>
        <v>-3.5951823998886518</v>
      </c>
      <c r="T20" s="578">
        <f>IF(M20="","",X20*COS(RADIANS(W20)))</f>
        <v>8.4249904708721832</v>
      </c>
      <c r="U20" s="572">
        <f>IF(M20="","",X20*SIN(RADIANS(W20)))</f>
        <v>-0.49605270122056128</v>
      </c>
      <c r="V20" s="579">
        <f>IF(M20="","",Y20)</f>
        <v>-3.5951823998886518</v>
      </c>
      <c r="W20" s="528">
        <f t="shared" si="257"/>
        <v>356.63038774941788</v>
      </c>
      <c r="X20" s="572">
        <f>IF(M20="","",R20)</f>
        <v>8.4395813116928569</v>
      </c>
      <c r="Y20" s="573">
        <f t="shared" si="260"/>
        <v>-3.5951823998886518</v>
      </c>
      <c r="Z20" s="575">
        <f t="shared" si="9"/>
        <v>0.83326207271149855</v>
      </c>
      <c r="AA20" s="572">
        <f t="shared" si="10"/>
        <v>-0.55115812477520687</v>
      </c>
      <c r="AB20" s="572">
        <f t="shared" si="11"/>
        <v>-4.3577972357774913E-2</v>
      </c>
      <c r="AC20" s="579">
        <f>IF(M20="","",SQRT(Z20^2+AA20^2+AB20^2))</f>
        <v>1</v>
      </c>
      <c r="AD20" s="580">
        <f>IF(M20="","",Z20*(1/SQRT(Z20^2+AA20^2+AB20^2)))</f>
        <v>0.83326207271149855</v>
      </c>
      <c r="AE20" s="572">
        <f>IF(M20="","",AA20*(1/SQRT(Z20^2+AA20^2+AB20^2)))</f>
        <v>-0.55115812477520687</v>
      </c>
      <c r="AF20" s="576">
        <f>IF(M20="","",AB20*(1/SQRT(Z20^2+AA20^2+AB20^2)))</f>
        <v>-4.3577972357774913E-2</v>
      </c>
      <c r="AG20" s="545">
        <f>IF(M20="","",DEGREES(ATAN2(-AF20,AE20)))</f>
        <v>-85.479245867010007</v>
      </c>
      <c r="AH20" s="546">
        <f>IF(M20="","",DEGREES(ACOS(AD20)))</f>
        <v>33.564695347815793</v>
      </c>
      <c r="AI20" s="528">
        <f>IF(M20="","",DEGREES(-ACOS(-AF20)))</f>
        <v>-87.502375163624507</v>
      </c>
      <c r="AJ20" s="529">
        <f>IF(M20="","",DEGREES(ATAN2(-AE20,AD20)))</f>
        <v>56.51750389740252</v>
      </c>
      <c r="AK20" s="578">
        <f>IF(M20="","",(COS(RADIANS((90-$Q$8)-W20))*AD20)+(-SIN(RADIANS((90-$Q$8)-W20))*AE20))</f>
        <v>0.86704586021518004</v>
      </c>
      <c r="AL20" s="572">
        <f>IF(M20="","",(SIN(RADIANS((90-$Q$8)-W20))*AD20)+(COS(RADIANS((90-$Q$8)-W20))*AE20))</f>
        <v>-0.49631888600868673</v>
      </c>
      <c r="AM20" s="577">
        <f>IF(M20="","",AF20)</f>
        <v>-4.3577972357774913E-2</v>
      </c>
      <c r="AN20" s="524">
        <f>IF(M20="","",DEGREES(ATAN2(-AM20,AL20)))</f>
        <v>-84.982163204260772</v>
      </c>
      <c r="AO20" s="525">
        <f t="shared" si="111"/>
        <v>29.882856809218101</v>
      </c>
      <c r="AP20" s="528">
        <f>IF(M20="","",DEGREES(ATAN2(AK20,AL20)))</f>
        <v>-29.787908706208182</v>
      </c>
      <c r="AQ20" s="529">
        <f t="shared" si="12"/>
        <v>0.27012118937902907</v>
      </c>
      <c r="AS20" s="954">
        <f t="shared" si="138"/>
        <v>356.63038774941788</v>
      </c>
      <c r="AT20" s="950">
        <f t="shared" si="13"/>
        <v>-3.5944458577160474</v>
      </c>
      <c r="AU20" s="418"/>
      <c r="AV20" s="164" t="str">
        <f t="shared" si="14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39"/>
        <v/>
      </c>
      <c r="BA20" s="296" t="str">
        <f t="shared" si="15"/>
        <v/>
      </c>
      <c r="BB20" s="190" t="str">
        <f t="shared" si="140"/>
        <v/>
      </c>
      <c r="BC20" s="9"/>
      <c r="BD20" s="5" t="str">
        <f t="shared" si="141"/>
        <v/>
      </c>
      <c r="BE20" s="6" t="str">
        <f t="shared" si="16"/>
        <v/>
      </c>
      <c r="BF20" s="4" t="str">
        <f t="shared" si="17"/>
        <v/>
      </c>
      <c r="BG20" s="5" t="str">
        <f t="shared" si="18"/>
        <v/>
      </c>
      <c r="BH20" s="10" t="str">
        <f t="shared" si="19"/>
        <v/>
      </c>
      <c r="BI20" s="9" t="str">
        <f t="shared" si="142"/>
        <v/>
      </c>
      <c r="BJ20" s="5" t="str">
        <f t="shared" si="20"/>
        <v/>
      </c>
      <c r="BK20" s="8" t="str">
        <f t="shared" si="21"/>
        <v/>
      </c>
      <c r="BL20" s="173" t="str">
        <f t="shared" si="22"/>
        <v/>
      </c>
      <c r="BM20" s="5" t="str">
        <f t="shared" si="23"/>
        <v/>
      </c>
      <c r="BN20" s="6" t="str">
        <f t="shared" si="24"/>
        <v/>
      </c>
      <c r="BO20" s="4" t="str">
        <f t="shared" si="143"/>
        <v/>
      </c>
      <c r="BP20" s="5" t="str">
        <f t="shared" si="144"/>
        <v/>
      </c>
      <c r="BQ20" s="5" t="str">
        <f t="shared" si="145"/>
        <v/>
      </c>
      <c r="BR20" s="6" t="str">
        <f t="shared" si="146"/>
        <v/>
      </c>
      <c r="BS20" s="4" t="str">
        <f t="shared" si="113"/>
        <v/>
      </c>
      <c r="BT20" s="5" t="str">
        <f t="shared" si="113"/>
        <v/>
      </c>
      <c r="BU20" s="10" t="str">
        <f t="shared" si="114"/>
        <v/>
      </c>
      <c r="BV20" s="9" t="str">
        <f t="shared" si="115"/>
        <v/>
      </c>
      <c r="BW20" s="5" t="str">
        <f t="shared" si="116"/>
        <v/>
      </c>
      <c r="BX20" s="8" t="str">
        <f t="shared" si="117"/>
        <v/>
      </c>
      <c r="BY20" s="173" t="str">
        <f t="shared" si="118"/>
        <v/>
      </c>
      <c r="BZ20" s="5" t="str">
        <f t="shared" si="119"/>
        <v/>
      </c>
      <c r="CA20" s="6" t="str">
        <f t="shared" si="120"/>
        <v/>
      </c>
      <c r="CB20" s="4" t="str">
        <f t="shared" si="147"/>
        <v/>
      </c>
      <c r="CC20" s="5" t="str">
        <f t="shared" si="148"/>
        <v/>
      </c>
      <c r="CD20" s="5" t="str">
        <f t="shared" si="149"/>
        <v/>
      </c>
      <c r="CE20" s="6" t="str">
        <f t="shared" si="150"/>
        <v/>
      </c>
      <c r="CF20" s="4" t="str">
        <f t="shared" si="151"/>
        <v/>
      </c>
      <c r="CG20" s="5" t="str">
        <f t="shared" si="152"/>
        <v/>
      </c>
      <c r="CH20" s="5" t="str">
        <f t="shared" si="153"/>
        <v/>
      </c>
      <c r="CI20" s="4" t="str">
        <f t="shared" si="121"/>
        <v/>
      </c>
      <c r="CJ20" s="5" t="str">
        <f t="shared" si="122"/>
        <v/>
      </c>
      <c r="CK20" s="8" t="str">
        <f t="shared" si="123"/>
        <v/>
      </c>
      <c r="CL20" s="173" t="str">
        <f t="shared" si="124"/>
        <v/>
      </c>
      <c r="CM20" s="5" t="str">
        <f t="shared" si="125"/>
        <v/>
      </c>
      <c r="CN20" s="6" t="str">
        <f t="shared" si="126"/>
        <v/>
      </c>
      <c r="CO20" s="167" t="str">
        <f t="shared" si="25"/>
        <v/>
      </c>
      <c r="CP20" s="4" t="str">
        <f t="shared" si="237"/>
        <v/>
      </c>
      <c r="CQ20" s="5" t="str">
        <f t="shared" si="238"/>
        <v/>
      </c>
      <c r="CR20" s="5" t="str">
        <f t="shared" si="154"/>
        <v/>
      </c>
      <c r="CS20" s="8" t="str">
        <f t="shared" si="155"/>
        <v/>
      </c>
      <c r="CT20" s="9" t="str">
        <f t="shared" si="156"/>
        <v/>
      </c>
      <c r="CU20" s="6" t="str">
        <f t="shared" si="157"/>
        <v/>
      </c>
      <c r="CV20" s="4" t="str">
        <f t="shared" si="239"/>
        <v/>
      </c>
      <c r="CW20" s="5" t="str">
        <f t="shared" si="158"/>
        <v/>
      </c>
      <c r="CX20" s="8" t="str">
        <f t="shared" si="159"/>
        <v/>
      </c>
      <c r="CY20" s="9" t="str">
        <f t="shared" si="160"/>
        <v/>
      </c>
      <c r="CZ20" s="5" t="str">
        <f t="shared" si="161"/>
        <v/>
      </c>
      <c r="DA20" s="6" t="str">
        <f t="shared" si="162"/>
        <v/>
      </c>
      <c r="DB20" s="4" t="str">
        <f t="shared" si="163"/>
        <v/>
      </c>
      <c r="DC20" s="5" t="str">
        <f t="shared" si="163"/>
        <v/>
      </c>
      <c r="DD20" s="10" t="str">
        <f t="shared" si="164"/>
        <v/>
      </c>
      <c r="DE20" s="9" t="str">
        <f t="shared" si="165"/>
        <v/>
      </c>
      <c r="DF20" s="5" t="str">
        <f t="shared" si="165"/>
        <v/>
      </c>
      <c r="DG20" s="10" t="str">
        <f t="shared" si="166"/>
        <v/>
      </c>
      <c r="DH20" s="70" t="str">
        <f t="shared" si="167"/>
        <v/>
      </c>
      <c r="DI20" s="4" t="str">
        <f t="shared" si="168"/>
        <v/>
      </c>
      <c r="DJ20" s="5" t="str">
        <f t="shared" si="169"/>
        <v/>
      </c>
      <c r="DK20" s="10" t="str">
        <f t="shared" si="170"/>
        <v/>
      </c>
      <c r="DL20" s="9" t="str">
        <f t="shared" si="171"/>
        <v/>
      </c>
      <c r="DM20" s="173" t="str">
        <f t="shared" si="172"/>
        <v/>
      </c>
      <c r="DN20" s="178" t="str">
        <f t="shared" si="173"/>
        <v/>
      </c>
      <c r="DO20" s="9" t="str">
        <f t="shared" si="174"/>
        <v/>
      </c>
      <c r="DP20" s="173" t="str">
        <f t="shared" si="175"/>
        <v/>
      </c>
      <c r="DQ20" s="11" t="str">
        <f t="shared" si="176"/>
        <v/>
      </c>
      <c r="DR20" s="173" t="str">
        <f t="shared" si="177"/>
        <v/>
      </c>
      <c r="DS20" s="5" t="str">
        <f t="shared" si="178"/>
        <v/>
      </c>
      <c r="DT20" s="5" t="str">
        <f t="shared" si="179"/>
        <v/>
      </c>
      <c r="DU20" s="5" t="str">
        <f t="shared" si="180"/>
        <v/>
      </c>
      <c r="DV20" s="5" t="str">
        <f t="shared" si="181"/>
        <v/>
      </c>
      <c r="DW20" s="5" t="str">
        <f t="shared" si="182"/>
        <v/>
      </c>
      <c r="DX20" s="167" t="str">
        <f t="shared" si="183"/>
        <v/>
      </c>
      <c r="DY20" s="9" t="str">
        <f t="shared" si="184"/>
        <v/>
      </c>
      <c r="DZ20" s="5" t="str">
        <f t="shared" si="185"/>
        <v/>
      </c>
      <c r="EA20" s="10" t="str">
        <f t="shared" si="186"/>
        <v/>
      </c>
      <c r="EB20" s="6" t="str">
        <f t="shared" si="187"/>
        <v/>
      </c>
      <c r="EC20" s="173" t="str">
        <f t="shared" si="188"/>
        <v/>
      </c>
      <c r="ED20" s="5" t="str">
        <f t="shared" si="189"/>
        <v/>
      </c>
      <c r="EE20" s="4" t="str">
        <f t="shared" si="190"/>
        <v/>
      </c>
      <c r="EF20" s="5" t="str">
        <f t="shared" si="191"/>
        <v/>
      </c>
      <c r="EG20" s="10" t="str">
        <f t="shared" si="192"/>
        <v/>
      </c>
      <c r="EH20" s="9" t="str">
        <f t="shared" si="193"/>
        <v/>
      </c>
      <c r="EI20" s="5" t="str">
        <f t="shared" si="194"/>
        <v/>
      </c>
      <c r="EJ20" s="6" t="str">
        <f t="shared" si="195"/>
        <v/>
      </c>
      <c r="EK20" s="236" t="str">
        <f t="shared" si="196"/>
        <v/>
      </c>
      <c r="EL20" s="238" t="str">
        <f t="shared" si="197"/>
        <v/>
      </c>
      <c r="EM20" s="4" t="str">
        <f t="shared" si="198"/>
        <v/>
      </c>
      <c r="EN20" s="5" t="str">
        <f t="shared" si="199"/>
        <v/>
      </c>
      <c r="EO20" s="10" t="str">
        <f t="shared" si="200"/>
        <v/>
      </c>
      <c r="EP20" s="9" t="str">
        <f t="shared" si="201"/>
        <v/>
      </c>
      <c r="EQ20" s="5" t="str">
        <f>IF(ISNUMBER($AV20),SQRT(EM20^2+EN20^2),"")</f>
        <v/>
      </c>
      <c r="ER20" s="7" t="str">
        <f t="shared" si="203"/>
        <v/>
      </c>
      <c r="ES20" s="21" t="str">
        <f t="shared" si="127"/>
        <v/>
      </c>
      <c r="ET20" s="5" t="str">
        <f t="shared" si="34"/>
        <v/>
      </c>
      <c r="EU20" s="10" t="str">
        <f t="shared" si="35"/>
        <v/>
      </c>
      <c r="EV20" s="174" t="str">
        <f>IF(ISNUMBER($AV20),IF(($EV$1-EP20)&lt;0,(360+($EV$1-EP20)),($EV$1-EP20)),"")</f>
        <v/>
      </c>
      <c r="EW20" s="9" t="str">
        <f t="shared" si="128"/>
        <v/>
      </c>
      <c r="EX20" s="5" t="str">
        <f t="shared" si="36"/>
        <v/>
      </c>
      <c r="EY20" s="6" t="str">
        <f t="shared" si="204"/>
        <v/>
      </c>
      <c r="EZ20" s="51" t="str">
        <f t="shared" si="205"/>
        <v/>
      </c>
      <c r="FA20" s="266" t="str">
        <f t="shared" si="129"/>
        <v/>
      </c>
      <c r="FB20" s="267" t="str">
        <f t="shared" si="130"/>
        <v/>
      </c>
      <c r="FC20" s="269" t="str">
        <f t="shared" si="37"/>
        <v/>
      </c>
      <c r="FD20" s="4" t="str">
        <f t="shared" si="131"/>
        <v/>
      </c>
      <c r="FE20" s="5" t="str">
        <f t="shared" si="38"/>
        <v/>
      </c>
      <c r="FF20" s="7" t="str">
        <f t="shared" si="206"/>
        <v/>
      </c>
      <c r="FG20" s="173" t="str">
        <f t="shared" si="207"/>
        <v/>
      </c>
      <c r="FH20" s="5" t="str">
        <f t="shared" si="39"/>
        <v/>
      </c>
      <c r="FI20" s="10" t="str">
        <f t="shared" si="40"/>
        <v/>
      </c>
      <c r="FJ20" s="279" t="str">
        <f t="shared" si="208"/>
        <v/>
      </c>
      <c r="FK20" s="4" t="str">
        <f t="shared" si="41"/>
        <v/>
      </c>
      <c r="FL20" s="5" t="str">
        <f t="shared" si="209"/>
        <v/>
      </c>
      <c r="FM20" s="8" t="str">
        <f t="shared" si="210"/>
        <v/>
      </c>
      <c r="FN20" s="9" t="str">
        <f t="shared" si="211"/>
        <v/>
      </c>
      <c r="FO20" s="10" t="str">
        <f t="shared" si="42"/>
        <v/>
      </c>
      <c r="FP20" s="277" t="str">
        <f t="shared" si="43"/>
        <v/>
      </c>
      <c r="FQ20" s="173" t="str">
        <f t="shared" si="240"/>
        <v/>
      </c>
      <c r="FR20" s="10" t="str">
        <f t="shared" si="212"/>
        <v/>
      </c>
      <c r="FS20" s="9" t="str">
        <f t="shared" si="213"/>
        <v/>
      </c>
      <c r="FT20" s="6" t="str">
        <f t="shared" si="214"/>
        <v/>
      </c>
      <c r="FU20" s="4" t="str">
        <f t="shared" si="215"/>
        <v/>
      </c>
      <c r="FV20" s="5" t="str">
        <f t="shared" si="216"/>
        <v/>
      </c>
      <c r="FW20" s="8" t="str">
        <f t="shared" si="241"/>
        <v/>
      </c>
      <c r="FX20" s="9" t="str">
        <f t="shared" si="242"/>
        <v/>
      </c>
      <c r="FY20" s="10" t="str">
        <f t="shared" si="44"/>
        <v/>
      </c>
      <c r="FZ20" s="277" t="str">
        <f t="shared" si="243"/>
        <v/>
      </c>
      <c r="GA20" s="177" t="str">
        <f t="shared" si="217"/>
        <v/>
      </c>
      <c r="GB20" s="4" t="str">
        <f t="shared" si="218"/>
        <v/>
      </c>
      <c r="GC20" s="5" t="str">
        <f t="shared" si="219"/>
        <v/>
      </c>
      <c r="GD20" s="10" t="str">
        <f t="shared" si="220"/>
        <v/>
      </c>
      <c r="GE20" s="311" t="str">
        <f t="shared" si="221"/>
        <v/>
      </c>
      <c r="GF20" s="341" t="str">
        <f t="shared" si="244"/>
        <v/>
      </c>
      <c r="GG20" s="285" t="str">
        <f t="shared" si="45"/>
        <v/>
      </c>
      <c r="GH20" s="286" t="str">
        <f t="shared" si="46"/>
        <v/>
      </c>
      <c r="GI20" s="281" t="str">
        <f t="shared" si="47"/>
        <v/>
      </c>
      <c r="GJ20" s="167" t="str">
        <f t="shared" si="222"/>
        <v/>
      </c>
      <c r="GK20" s="174" t="str">
        <f t="shared" si="48"/>
        <v/>
      </c>
      <c r="GL20" s="174" t="str">
        <f t="shared" si="223"/>
        <v/>
      </c>
      <c r="GM20" s="177" t="str">
        <f t="shared" si="245"/>
        <v/>
      </c>
      <c r="GN20" s="280" t="str">
        <f t="shared" si="224"/>
        <v/>
      </c>
      <c r="GO20" s="4" t="str">
        <f t="shared" si="225"/>
        <v/>
      </c>
      <c r="GP20" s="8" t="str">
        <f t="shared" si="246"/>
        <v/>
      </c>
      <c r="GQ20" s="177" t="str">
        <f t="shared" si="226"/>
        <v/>
      </c>
      <c r="GR20" s="371" t="str">
        <f t="shared" si="247"/>
        <v/>
      </c>
      <c r="GS20" s="342" t="str">
        <f t="shared" si="50"/>
        <v/>
      </c>
      <c r="GT20" s="343" t="str">
        <f t="shared" si="51"/>
        <v/>
      </c>
      <c r="GU20" s="344" t="str">
        <f t="shared" si="52"/>
        <v/>
      </c>
      <c r="GV20" s="343" t="str">
        <f t="shared" si="254"/>
        <v/>
      </c>
      <c r="GW20" s="345" t="str">
        <f t="shared" si="53"/>
        <v/>
      </c>
      <c r="GX20" s="346" t="str">
        <f t="shared" si="54"/>
        <v/>
      </c>
      <c r="GY20" s="344" t="str">
        <f t="shared" si="55"/>
        <v/>
      </c>
      <c r="GZ20" s="345" t="str">
        <f t="shared" si="56"/>
        <v/>
      </c>
      <c r="HA20" s="342" t="str">
        <f t="shared" si="57"/>
        <v/>
      </c>
      <c r="HB20" s="5" t="str">
        <f t="shared" si="227"/>
        <v/>
      </c>
      <c r="HC20" s="343" t="str">
        <f t="shared" si="228"/>
        <v/>
      </c>
      <c r="HD20" s="345" t="str">
        <f t="shared" si="229"/>
        <v/>
      </c>
      <c r="HE20" s="344" t="str">
        <f t="shared" si="58"/>
        <v/>
      </c>
      <c r="HF20" s="5" t="str">
        <f t="shared" si="59"/>
        <v/>
      </c>
      <c r="HG20" s="343" t="str">
        <f t="shared" si="230"/>
        <v/>
      </c>
      <c r="HH20" s="349" t="str">
        <f t="shared" si="231"/>
        <v/>
      </c>
      <c r="HI20" s="317" t="str">
        <f t="shared" si="60"/>
        <v/>
      </c>
      <c r="HJ20" s="336"/>
      <c r="HK20" s="310" t="str">
        <f t="shared" si="132"/>
        <v/>
      </c>
      <c r="HL20" s="348" t="str">
        <f t="shared" si="61"/>
        <v/>
      </c>
      <c r="HM20" s="923" t="str">
        <f t="shared" si="62"/>
        <v/>
      </c>
      <c r="HN20" s="924" t="str">
        <f t="shared" si="63"/>
        <v/>
      </c>
      <c r="HO20" s="925"/>
      <c r="HP20" s="926"/>
      <c r="HQ20" s="924" t="str">
        <f t="shared" si="64"/>
        <v/>
      </c>
      <c r="HR20" s="927" t="str">
        <f t="shared" si="65"/>
        <v/>
      </c>
      <c r="HS20" s="879" t="str">
        <f t="shared" si="250"/>
        <v/>
      </c>
      <c r="HT20" s="889" t="str">
        <f t="shared" si="66"/>
        <v/>
      </c>
      <c r="HU20" s="890" t="str">
        <f t="shared" si="67"/>
        <v/>
      </c>
      <c r="HV20" s="886" t="str">
        <f t="shared" si="68"/>
        <v/>
      </c>
      <c r="HW20" s="880" t="str">
        <f t="shared" si="69"/>
        <v/>
      </c>
      <c r="HX20" s="881" t="str">
        <f t="shared" si="70"/>
        <v/>
      </c>
      <c r="HY20" s="880" t="str">
        <f t="shared" si="71"/>
        <v/>
      </c>
      <c r="HZ20" s="882" t="str">
        <f t="shared" si="72"/>
        <v/>
      </c>
      <c r="IA20" s="883" t="str">
        <f t="shared" si="73"/>
        <v/>
      </c>
      <c r="IB20" s="884" t="str">
        <f t="shared" si="74"/>
        <v/>
      </c>
      <c r="IC20" s="855" t="str">
        <f t="shared" si="75"/>
        <v/>
      </c>
      <c r="ID20" s="351" t="str">
        <f t="shared" si="76"/>
        <v/>
      </c>
      <c r="IE20" s="857" t="str">
        <f t="shared" si="77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2"/>
        <v>1.1499999999999999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8"/>
        <v>1913</v>
      </c>
      <c r="IM20" s="482" t="str">
        <f t="shared" si="233"/>
        <v/>
      </c>
      <c r="IN20" s="670" t="str">
        <f t="shared" si="80"/>
        <v/>
      </c>
      <c r="IO20" s="702"/>
      <c r="IP20" s="5" t="str">
        <f t="shared" si="81"/>
        <v/>
      </c>
      <c r="IQ20" s="714"/>
      <c r="IR20" s="9" t="str">
        <f t="shared" si="8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33" t="s">
        <v>360</v>
      </c>
      <c r="JE20" s="1334"/>
      <c r="JF20" s="1334"/>
      <c r="JG20" s="1334"/>
      <c r="JH20" s="1131" t="s">
        <v>361</v>
      </c>
      <c r="JI20" s="1132"/>
      <c r="JJ20" s="1132"/>
      <c r="JK20" s="1133"/>
    </row>
    <row r="21" spans="1:271" ht="15" customHeight="1" x14ac:dyDescent="0.25">
      <c r="A21" s="75">
        <f t="shared" si="92"/>
        <v>0.02</v>
      </c>
      <c r="B21" s="578">
        <f t="shared" ref="B21:D21" si="269">IFERROR(O176-($A21*E21),"")</f>
        <v>0.5438487708403984</v>
      </c>
      <c r="C21" s="572">
        <f t="shared" si="269"/>
        <v>8.4223408310591665</v>
      </c>
      <c r="D21" s="576">
        <f t="shared" si="269"/>
        <v>-4.5014851332976944</v>
      </c>
      <c r="E21" s="580">
        <f t="shared" ref="E21:K21" si="270">R176</f>
        <v>-0.83326207271149855</v>
      </c>
      <c r="F21" s="572">
        <f t="shared" si="270"/>
        <v>0.55115812477520687</v>
      </c>
      <c r="G21" s="579">
        <f t="shared" si="270"/>
        <v>4.3577972357774865E-2</v>
      </c>
      <c r="H21" s="580">
        <f t="shared" si="270"/>
        <v>0.375</v>
      </c>
      <c r="I21" s="572">
        <f t="shared" si="270"/>
        <v>0.52</v>
      </c>
      <c r="J21" s="483">
        <f t="shared" si="95"/>
        <v>1.155</v>
      </c>
      <c r="K21" s="806">
        <f t="shared" si="270"/>
        <v>1913</v>
      </c>
      <c r="L21" s="719" t="s">
        <v>358</v>
      </c>
      <c r="M21" s="164">
        <f t="shared" si="3"/>
        <v>1.155</v>
      </c>
      <c r="N21" s="575">
        <f t="shared" si="4"/>
        <v>0.5438487708403984</v>
      </c>
      <c r="O21" s="572">
        <f t="shared" si="5"/>
        <v>8.4223408310591665</v>
      </c>
      <c r="P21" s="576">
        <f t="shared" si="6"/>
        <v>-4.5014851332976944</v>
      </c>
      <c r="Q21" s="528">
        <f t="shared" si="135"/>
        <v>86.305416783344313</v>
      </c>
      <c r="R21" s="572">
        <f>IF(M21="","",SQRT(N21^2+O21^2))</f>
        <v>8.4398813119658858</v>
      </c>
      <c r="S21" s="577">
        <f>IF(M21="","",P21)</f>
        <v>-4.5014851332976944</v>
      </c>
      <c r="T21" s="578">
        <f>IF(M21="","",X21*COS(RADIANS(W21)))</f>
        <v>8.4252899886755941</v>
      </c>
      <c r="U21" s="572">
        <f>IF(M21="","",X21*SIN(RADIANS(W21)))</f>
        <v>-0.49606971969051167</v>
      </c>
      <c r="V21" s="579">
        <f>IF(M21="","",Y21)</f>
        <v>-4.5014851332976944</v>
      </c>
      <c r="W21" s="528">
        <f t="shared" si="257"/>
        <v>356.63039192915147</v>
      </c>
      <c r="X21" s="572">
        <f>IF(M21="","",R21)</f>
        <v>8.4398813119658858</v>
      </c>
      <c r="Y21" s="573">
        <f t="shared" si="260"/>
        <v>-4.5014851332976944</v>
      </c>
      <c r="Z21" s="575">
        <f t="shared" si="9"/>
        <v>0.83326207271149855</v>
      </c>
      <c r="AA21" s="572">
        <f t="shared" si="10"/>
        <v>-0.55115812477520687</v>
      </c>
      <c r="AB21" s="572">
        <f t="shared" si="11"/>
        <v>-4.3577972357774865E-2</v>
      </c>
      <c r="AC21" s="579">
        <f>IF(M21="","",SQRT(Z21^2+AA21^2+AB21^2))</f>
        <v>1</v>
      </c>
      <c r="AD21" s="580">
        <f>IF(M21="","",Z21*(1/SQRT(Z21^2+AA21^2+AB21^2)))</f>
        <v>0.83326207271149855</v>
      </c>
      <c r="AE21" s="572">
        <f>IF(M21="","",AA21*(1/SQRT(Z21^2+AA21^2+AB21^2)))</f>
        <v>-0.55115812477520687</v>
      </c>
      <c r="AF21" s="576">
        <f>IF(M21="","",AB21*(1/SQRT(Z21^2+AA21^2+AB21^2)))</f>
        <v>-4.3577972357774865E-2</v>
      </c>
      <c r="AG21" s="545">
        <f>IF(M21="","",DEGREES(ATAN2(-AF21,AE21)))</f>
        <v>-85.479245867010007</v>
      </c>
      <c r="AH21" s="546">
        <f>IF(M21="","",DEGREES(ACOS(AD21)))</f>
        <v>33.564695347815793</v>
      </c>
      <c r="AI21" s="528">
        <f>IF(M21="","",DEGREES(-ACOS(-AF21)))</f>
        <v>-87.502375163624507</v>
      </c>
      <c r="AJ21" s="529">
        <f>IF(M21="","",DEGREES(ATAN2(-AE21,AD21)))</f>
        <v>56.51750389740252</v>
      </c>
      <c r="AK21" s="578">
        <f>IF(M21="","",(COS(RADIANS((90-$Q$8)-W21))*AD21)+(-SIN(RADIANS((90-$Q$8)-W21))*AE21))</f>
        <v>0.86704582400865871</v>
      </c>
      <c r="AL21" s="572">
        <f>IF(M21="","",(SIN(RADIANS((90-$Q$8)-W21))*AD21)+(COS(RADIANS((90-$Q$8)-W21))*AE21))</f>
        <v>-0.49631894925977926</v>
      </c>
      <c r="AM21" s="577">
        <f>IF(M21="","",AF21)</f>
        <v>-4.3577972357774865E-2</v>
      </c>
      <c r="AN21" s="524">
        <f>IF(M21="","",DEGREES(ATAN2(-AM21,AL21)))</f>
        <v>-84.982163840471188</v>
      </c>
      <c r="AO21" s="525">
        <f>IF(ROUND(IF(M21="",0,DEGREES(ACOS(AK21))),4)=90,0,IF(M21="","",DEGREES(ACOS(AK21))))</f>
        <v>29.88286097293296</v>
      </c>
      <c r="AP21" s="528">
        <f>IF(M21="","",DEGREES(ATAN2(AK21,AL21)))</f>
        <v>-29.787912885941793</v>
      </c>
      <c r="AQ21" s="529">
        <f t="shared" si="12"/>
        <v>0.27011158791345563</v>
      </c>
      <c r="AS21" s="954">
        <f t="shared" si="138"/>
        <v>356.63039192915147</v>
      </c>
      <c r="AT21" s="950">
        <f t="shared" si="13"/>
        <v>-4.5007485940276828</v>
      </c>
      <c r="AU21" s="418"/>
      <c r="AV21" s="164" t="str">
        <f t="shared" si="14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39"/>
        <v/>
      </c>
      <c r="BA21" s="296" t="str">
        <f t="shared" si="15"/>
        <v/>
      </c>
      <c r="BB21" s="190" t="str">
        <f t="shared" si="140"/>
        <v/>
      </c>
      <c r="BC21" s="9"/>
      <c r="BD21" s="5" t="str">
        <f t="shared" si="141"/>
        <v/>
      </c>
      <c r="BE21" s="6" t="str">
        <f t="shared" si="16"/>
        <v/>
      </c>
      <c r="BF21" s="4" t="str">
        <f t="shared" si="17"/>
        <v/>
      </c>
      <c r="BG21" s="5" t="str">
        <f t="shared" si="18"/>
        <v/>
      </c>
      <c r="BH21" s="10" t="str">
        <f t="shared" si="19"/>
        <v/>
      </c>
      <c r="BI21" s="9" t="str">
        <f t="shared" si="142"/>
        <v/>
      </c>
      <c r="BJ21" s="5" t="str">
        <f t="shared" si="20"/>
        <v/>
      </c>
      <c r="BK21" s="8" t="str">
        <f t="shared" si="21"/>
        <v/>
      </c>
      <c r="BL21" s="173" t="str">
        <f t="shared" si="22"/>
        <v/>
      </c>
      <c r="BM21" s="5" t="str">
        <f t="shared" si="23"/>
        <v/>
      </c>
      <c r="BN21" s="6" t="str">
        <f t="shared" si="24"/>
        <v/>
      </c>
      <c r="BO21" s="4" t="str">
        <f t="shared" si="143"/>
        <v/>
      </c>
      <c r="BP21" s="5" t="str">
        <f t="shared" si="144"/>
        <v/>
      </c>
      <c r="BQ21" s="5" t="str">
        <f t="shared" si="145"/>
        <v/>
      </c>
      <c r="BR21" s="6" t="str">
        <f t="shared" si="146"/>
        <v/>
      </c>
      <c r="BS21" s="4" t="str">
        <f t="shared" si="113"/>
        <v/>
      </c>
      <c r="BT21" s="5" t="str">
        <f t="shared" si="113"/>
        <v/>
      </c>
      <c r="BU21" s="10" t="str">
        <f t="shared" si="114"/>
        <v/>
      </c>
      <c r="BV21" s="9" t="str">
        <f t="shared" si="115"/>
        <v/>
      </c>
      <c r="BW21" s="5" t="str">
        <f t="shared" si="116"/>
        <v/>
      </c>
      <c r="BX21" s="8" t="str">
        <f t="shared" si="117"/>
        <v/>
      </c>
      <c r="BY21" s="173" t="str">
        <f t="shared" si="118"/>
        <v/>
      </c>
      <c r="BZ21" s="5" t="str">
        <f t="shared" si="119"/>
        <v/>
      </c>
      <c r="CA21" s="6" t="str">
        <f t="shared" si="120"/>
        <v/>
      </c>
      <c r="CB21" s="4" t="str">
        <f t="shared" si="147"/>
        <v/>
      </c>
      <c r="CC21" s="5" t="str">
        <f t="shared" si="148"/>
        <v/>
      </c>
      <c r="CD21" s="5" t="str">
        <f t="shared" si="149"/>
        <v/>
      </c>
      <c r="CE21" s="6" t="str">
        <f t="shared" si="150"/>
        <v/>
      </c>
      <c r="CF21" s="4" t="str">
        <f t="shared" si="151"/>
        <v/>
      </c>
      <c r="CG21" s="5" t="str">
        <f t="shared" si="152"/>
        <v/>
      </c>
      <c r="CH21" s="5" t="str">
        <f t="shared" si="153"/>
        <v/>
      </c>
      <c r="CI21" s="4" t="str">
        <f t="shared" si="121"/>
        <v/>
      </c>
      <c r="CJ21" s="5" t="str">
        <f>IF(ISNUMBER($AV21),(CD21*BR21-BQ21*CE21)/(BQ21*CC21-CD21*BP21),"")</f>
        <v/>
      </c>
      <c r="CK21" s="8" t="str">
        <f t="shared" si="123"/>
        <v/>
      </c>
      <c r="CL21" s="173" t="str">
        <f t="shared" si="124"/>
        <v/>
      </c>
      <c r="CM21" s="5" t="str">
        <f t="shared" si="125"/>
        <v/>
      </c>
      <c r="CN21" s="6" t="str">
        <f t="shared" si="126"/>
        <v/>
      </c>
      <c r="CO21" s="167" t="str">
        <f t="shared" si="25"/>
        <v/>
      </c>
      <c r="CP21" s="4" t="str">
        <f t="shared" si="237"/>
        <v/>
      </c>
      <c r="CQ21" s="5" t="str">
        <f t="shared" si="238"/>
        <v/>
      </c>
      <c r="CR21" s="5" t="str">
        <f t="shared" si="154"/>
        <v/>
      </c>
      <c r="CS21" s="8" t="str">
        <f t="shared" si="155"/>
        <v/>
      </c>
      <c r="CT21" s="9" t="str">
        <f>IF(ISNUMBER($AV21),(-CQ21+SQRT(CS21))/(CP21*2),"")</f>
        <v/>
      </c>
      <c r="CU21" s="6" t="str">
        <f t="shared" si="157"/>
        <v/>
      </c>
      <c r="CV21" s="4" t="str">
        <f t="shared" si="239"/>
        <v/>
      </c>
      <c r="CW21" s="5" t="str">
        <f t="shared" si="158"/>
        <v/>
      </c>
      <c r="CX21" s="8" t="str">
        <f t="shared" si="159"/>
        <v/>
      </c>
      <c r="CY21" s="9" t="str">
        <f t="shared" si="160"/>
        <v/>
      </c>
      <c r="CZ21" s="5" t="str">
        <f t="shared" si="161"/>
        <v/>
      </c>
      <c r="DA21" s="6" t="str">
        <f t="shared" si="162"/>
        <v/>
      </c>
      <c r="DB21" s="4" t="str">
        <f t="shared" si="163"/>
        <v/>
      </c>
      <c r="DC21" s="5" t="str">
        <f t="shared" si="163"/>
        <v/>
      </c>
      <c r="DD21" s="10" t="str">
        <f t="shared" si="164"/>
        <v/>
      </c>
      <c r="DE21" s="9" t="str">
        <f t="shared" si="165"/>
        <v/>
      </c>
      <c r="DF21" s="5" t="str">
        <f t="shared" si="165"/>
        <v/>
      </c>
      <c r="DG21" s="10" t="str">
        <f t="shared" si="166"/>
        <v/>
      </c>
      <c r="DH21" s="70" t="str">
        <f t="shared" si="167"/>
        <v/>
      </c>
      <c r="DI21" s="4" t="str">
        <f t="shared" si="168"/>
        <v/>
      </c>
      <c r="DJ21" s="5" t="str">
        <f t="shared" si="169"/>
        <v/>
      </c>
      <c r="DK21" s="10" t="str">
        <f t="shared" si="170"/>
        <v/>
      </c>
      <c r="DL21" s="9" t="str">
        <f t="shared" si="171"/>
        <v/>
      </c>
      <c r="DM21" s="173" t="str">
        <f t="shared" si="172"/>
        <v/>
      </c>
      <c r="DN21" s="178" t="str">
        <f t="shared" si="173"/>
        <v/>
      </c>
      <c r="DO21" s="9" t="str">
        <f t="shared" si="174"/>
        <v/>
      </c>
      <c r="DP21" s="173" t="str">
        <f t="shared" si="175"/>
        <v/>
      </c>
      <c r="DQ21" s="11" t="str">
        <f t="shared" si="176"/>
        <v/>
      </c>
      <c r="DR21" s="173" t="str">
        <f t="shared" si="177"/>
        <v/>
      </c>
      <c r="DS21" s="5" t="str">
        <f t="shared" si="178"/>
        <v/>
      </c>
      <c r="DT21" s="5" t="str">
        <f t="shared" si="179"/>
        <v/>
      </c>
      <c r="DU21" s="5" t="str">
        <f t="shared" si="180"/>
        <v/>
      </c>
      <c r="DV21" s="5" t="str">
        <f t="shared" si="181"/>
        <v/>
      </c>
      <c r="DW21" s="5" t="str">
        <f t="shared" si="182"/>
        <v/>
      </c>
      <c r="DX21" s="167" t="str">
        <f t="shared" si="183"/>
        <v/>
      </c>
      <c r="DY21" s="9" t="str">
        <f t="shared" si="184"/>
        <v/>
      </c>
      <c r="DZ21" s="5" t="str">
        <f t="shared" si="185"/>
        <v/>
      </c>
      <c r="EA21" s="10" t="str">
        <f t="shared" si="186"/>
        <v/>
      </c>
      <c r="EB21" s="6" t="str">
        <f t="shared" si="187"/>
        <v/>
      </c>
      <c r="EC21" s="173" t="str">
        <f t="shared" si="188"/>
        <v/>
      </c>
      <c r="ED21" s="5" t="str">
        <f t="shared" si="189"/>
        <v/>
      </c>
      <c r="EE21" s="4" t="str">
        <f t="shared" si="190"/>
        <v/>
      </c>
      <c r="EF21" s="5" t="str">
        <f t="shared" si="191"/>
        <v/>
      </c>
      <c r="EG21" s="10" t="str">
        <f t="shared" si="192"/>
        <v/>
      </c>
      <c r="EH21" s="9" t="str">
        <f t="shared" si="193"/>
        <v/>
      </c>
      <c r="EI21" s="5" t="str">
        <f t="shared" si="194"/>
        <v/>
      </c>
      <c r="EJ21" s="6" t="str">
        <f t="shared" si="195"/>
        <v/>
      </c>
      <c r="EK21" s="236" t="str">
        <f t="shared" si="196"/>
        <v/>
      </c>
      <c r="EL21" s="238" t="str">
        <f t="shared" si="197"/>
        <v/>
      </c>
      <c r="EM21" s="4" t="str">
        <f t="shared" si="198"/>
        <v/>
      </c>
      <c r="EN21" s="5" t="str">
        <f t="shared" si="199"/>
        <v/>
      </c>
      <c r="EO21" s="10" t="str">
        <f t="shared" si="200"/>
        <v/>
      </c>
      <c r="EP21" s="9" t="str">
        <f t="shared" si="201"/>
        <v/>
      </c>
      <c r="EQ21" s="5" t="str">
        <f t="shared" si="202"/>
        <v/>
      </c>
      <c r="ER21" s="7" t="str">
        <f t="shared" si="203"/>
        <v/>
      </c>
      <c r="ES21" s="21" t="str">
        <f t="shared" si="127"/>
        <v/>
      </c>
      <c r="ET21" s="5" t="str">
        <f t="shared" si="34"/>
        <v/>
      </c>
      <c r="EU21" s="10" t="str">
        <f t="shared" si="35"/>
        <v/>
      </c>
      <c r="EV21" s="174" t="str">
        <f t="shared" si="253"/>
        <v/>
      </c>
      <c r="EW21" s="9" t="str">
        <f t="shared" si="128"/>
        <v/>
      </c>
      <c r="EX21" s="5" t="str">
        <f t="shared" si="36"/>
        <v/>
      </c>
      <c r="EY21" s="6" t="str">
        <f t="shared" si="204"/>
        <v/>
      </c>
      <c r="EZ21" s="51" t="str">
        <f t="shared" si="205"/>
        <v/>
      </c>
      <c r="FA21" s="266" t="str">
        <f t="shared" si="129"/>
        <v/>
      </c>
      <c r="FB21" s="267" t="str">
        <f t="shared" si="130"/>
        <v/>
      </c>
      <c r="FC21" s="269" t="str">
        <f t="shared" si="37"/>
        <v/>
      </c>
      <c r="FD21" s="4" t="str">
        <f t="shared" si="131"/>
        <v/>
      </c>
      <c r="FE21" s="5" t="str">
        <f t="shared" si="38"/>
        <v/>
      </c>
      <c r="FF21" s="7" t="str">
        <f t="shared" si="206"/>
        <v/>
      </c>
      <c r="FG21" s="173" t="str">
        <f t="shared" si="207"/>
        <v/>
      </c>
      <c r="FH21" s="5" t="str">
        <f t="shared" si="39"/>
        <v/>
      </c>
      <c r="FI21" s="10" t="str">
        <f t="shared" si="40"/>
        <v/>
      </c>
      <c r="FJ21" s="279" t="str">
        <f t="shared" si="208"/>
        <v/>
      </c>
      <c r="FK21" s="4" t="str">
        <f t="shared" si="41"/>
        <v/>
      </c>
      <c r="FL21" s="5" t="str">
        <f t="shared" si="209"/>
        <v/>
      </c>
      <c r="FM21" s="8" t="str">
        <f t="shared" si="210"/>
        <v/>
      </c>
      <c r="FN21" s="9" t="str">
        <f t="shared" si="211"/>
        <v/>
      </c>
      <c r="FO21" s="10" t="str">
        <f t="shared" si="42"/>
        <v/>
      </c>
      <c r="FP21" s="277" t="str">
        <f t="shared" si="43"/>
        <v/>
      </c>
      <c r="FQ21" s="173" t="str">
        <f t="shared" si="240"/>
        <v/>
      </c>
      <c r="FR21" s="10" t="str">
        <f t="shared" si="212"/>
        <v/>
      </c>
      <c r="FS21" s="9" t="str">
        <f t="shared" si="213"/>
        <v/>
      </c>
      <c r="FT21" s="6" t="str">
        <f t="shared" si="214"/>
        <v/>
      </c>
      <c r="FU21" s="4" t="str">
        <f t="shared" si="215"/>
        <v/>
      </c>
      <c r="FV21" s="5" t="str">
        <f t="shared" si="216"/>
        <v/>
      </c>
      <c r="FW21" s="8" t="str">
        <f t="shared" si="241"/>
        <v/>
      </c>
      <c r="FX21" s="9" t="str">
        <f t="shared" si="242"/>
        <v/>
      </c>
      <c r="FY21" s="10" t="str">
        <f t="shared" si="44"/>
        <v/>
      </c>
      <c r="FZ21" s="277" t="str">
        <f t="shared" si="243"/>
        <v/>
      </c>
      <c r="GA21" s="177" t="str">
        <f t="shared" si="217"/>
        <v/>
      </c>
      <c r="GB21" s="4" t="str">
        <f t="shared" si="218"/>
        <v/>
      </c>
      <c r="GC21" s="5" t="str">
        <f t="shared" si="219"/>
        <v/>
      </c>
      <c r="GD21" s="10" t="str">
        <f t="shared" si="220"/>
        <v/>
      </c>
      <c r="GE21" s="311" t="str">
        <f t="shared" si="221"/>
        <v/>
      </c>
      <c r="GF21" s="341" t="str">
        <f t="shared" si="244"/>
        <v/>
      </c>
      <c r="GG21" s="285" t="str">
        <f t="shared" si="45"/>
        <v/>
      </c>
      <c r="GH21" s="286" t="str">
        <f t="shared" si="46"/>
        <v/>
      </c>
      <c r="GI21" s="281" t="str">
        <f t="shared" si="47"/>
        <v/>
      </c>
      <c r="GJ21" s="167" t="str">
        <f t="shared" si="222"/>
        <v/>
      </c>
      <c r="GK21" s="174" t="str">
        <f t="shared" si="48"/>
        <v/>
      </c>
      <c r="GL21" s="174" t="str">
        <f t="shared" si="223"/>
        <v/>
      </c>
      <c r="GM21" s="177" t="str">
        <f t="shared" si="245"/>
        <v/>
      </c>
      <c r="GN21" s="280" t="str">
        <f t="shared" si="224"/>
        <v/>
      </c>
      <c r="GO21" s="4" t="str">
        <f t="shared" si="225"/>
        <v/>
      </c>
      <c r="GP21" s="8" t="str">
        <f t="shared" si="246"/>
        <v/>
      </c>
      <c r="GQ21" s="177" t="str">
        <f t="shared" si="226"/>
        <v/>
      </c>
      <c r="GR21" s="371" t="str">
        <f t="shared" si="247"/>
        <v/>
      </c>
      <c r="GS21" s="342" t="str">
        <f t="shared" si="50"/>
        <v/>
      </c>
      <c r="GT21" s="343" t="str">
        <f t="shared" si="51"/>
        <v/>
      </c>
      <c r="GU21" s="344" t="str">
        <f t="shared" si="52"/>
        <v/>
      </c>
      <c r="GV21" s="343" t="str">
        <f t="shared" si="254"/>
        <v/>
      </c>
      <c r="GW21" s="345" t="str">
        <f t="shared" si="53"/>
        <v/>
      </c>
      <c r="GX21" s="346" t="str">
        <f t="shared" si="54"/>
        <v/>
      </c>
      <c r="GY21" s="344" t="str">
        <f t="shared" si="55"/>
        <v/>
      </c>
      <c r="GZ21" s="345" t="str">
        <f t="shared" si="56"/>
        <v/>
      </c>
      <c r="HA21" s="342" t="str">
        <f t="shared" si="57"/>
        <v/>
      </c>
      <c r="HB21" s="5" t="str">
        <f t="shared" si="227"/>
        <v/>
      </c>
      <c r="HC21" s="343" t="str">
        <f t="shared" si="228"/>
        <v/>
      </c>
      <c r="HD21" s="345" t="str">
        <f t="shared" si="229"/>
        <v/>
      </c>
      <c r="HE21" s="344" t="str">
        <f t="shared" si="58"/>
        <v/>
      </c>
      <c r="HF21" s="5" t="str">
        <f t="shared" si="59"/>
        <v/>
      </c>
      <c r="HG21" s="343" t="str">
        <f t="shared" si="230"/>
        <v/>
      </c>
      <c r="HH21" s="349" t="str">
        <f t="shared" si="231"/>
        <v/>
      </c>
      <c r="HI21" s="317" t="str">
        <f t="shared" si="60"/>
        <v/>
      </c>
      <c r="HJ21" s="336"/>
      <c r="HK21" s="310" t="str">
        <f t="shared" si="132"/>
        <v/>
      </c>
      <c r="HL21" s="348" t="str">
        <f t="shared" si="61"/>
        <v/>
      </c>
      <c r="HM21" s="923" t="str">
        <f t="shared" si="62"/>
        <v/>
      </c>
      <c r="HN21" s="924" t="str">
        <f t="shared" si="63"/>
        <v/>
      </c>
      <c r="HO21" s="925"/>
      <c r="HP21" s="926"/>
      <c r="HQ21" s="924" t="str">
        <f t="shared" si="64"/>
        <v/>
      </c>
      <c r="HR21" s="927" t="str">
        <f t="shared" si="65"/>
        <v/>
      </c>
      <c r="HS21" s="879" t="str">
        <f t="shared" si="250"/>
        <v/>
      </c>
      <c r="HT21" s="889" t="str">
        <f t="shared" si="66"/>
        <v/>
      </c>
      <c r="HU21" s="890" t="str">
        <f t="shared" si="67"/>
        <v/>
      </c>
      <c r="HV21" s="886" t="str">
        <f t="shared" si="68"/>
        <v/>
      </c>
      <c r="HW21" s="880" t="str">
        <f t="shared" si="69"/>
        <v/>
      </c>
      <c r="HX21" s="881" t="str">
        <f t="shared" si="70"/>
        <v/>
      </c>
      <c r="HY21" s="880" t="str">
        <f t="shared" si="71"/>
        <v/>
      </c>
      <c r="HZ21" s="882" t="str">
        <f t="shared" si="72"/>
        <v/>
      </c>
      <c r="IA21" s="883" t="str">
        <f t="shared" si="73"/>
        <v/>
      </c>
      <c r="IB21" s="884" t="str">
        <f t="shared" si="74"/>
        <v/>
      </c>
      <c r="IC21" s="855" t="str">
        <f t="shared" si="75"/>
        <v/>
      </c>
      <c r="ID21" s="351" t="str">
        <f t="shared" si="76"/>
        <v/>
      </c>
      <c r="IE21" s="857" t="str">
        <f t="shared" si="77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2"/>
        <v>1.155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8"/>
        <v>1913</v>
      </c>
      <c r="IM21" s="482" t="str">
        <f t="shared" si="233"/>
        <v/>
      </c>
      <c r="IN21" s="670" t="str">
        <f t="shared" si="80"/>
        <v/>
      </c>
      <c r="IO21" s="702"/>
      <c r="IP21" s="5" t="str">
        <f t="shared" si="81"/>
        <v/>
      </c>
      <c r="IQ21" s="714"/>
      <c r="IR21" s="9" t="str">
        <f t="shared" si="8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197"/>
      <c r="JE21" s="1198"/>
      <c r="JF21" s="1198"/>
      <c r="JG21" s="1198"/>
      <c r="JH21" s="1134" t="s">
        <v>349</v>
      </c>
      <c r="JI21" s="1135"/>
      <c r="JJ21" s="1335" t="s">
        <v>362</v>
      </c>
      <c r="JK21" s="1336"/>
    </row>
    <row r="22" spans="1:271" ht="15" customHeight="1" thickBot="1" x14ac:dyDescent="0.3">
      <c r="A22" s="75">
        <f t="shared" si="92"/>
        <v>0.02</v>
      </c>
      <c r="B22" s="578">
        <f t="shared" ref="B22:D22" si="271">IFERROR(O177-($A22*E22),"")</f>
        <v>3.304622624963145</v>
      </c>
      <c r="C22" s="572">
        <f t="shared" si="271"/>
        <v>0.86546842357140175</v>
      </c>
      <c r="D22" s="576">
        <f t="shared" si="271"/>
        <v>-0.50931417103235255</v>
      </c>
      <c r="E22" s="580">
        <f t="shared" ref="E22:K22" si="272">R177</f>
        <v>-0.28910794512627491</v>
      </c>
      <c r="F22" s="572">
        <f t="shared" si="272"/>
        <v>0.92253379980972239</v>
      </c>
      <c r="G22" s="579">
        <f t="shared" si="272"/>
        <v>0.2556325180283171</v>
      </c>
      <c r="H22" s="580">
        <f t="shared" si="272"/>
        <v>0.375</v>
      </c>
      <c r="I22" s="572">
        <f t="shared" si="272"/>
        <v>0.52</v>
      </c>
      <c r="J22" s="483">
        <f t="shared" si="95"/>
        <v>2.1110000000000002</v>
      </c>
      <c r="K22" s="806">
        <f t="shared" si="272"/>
        <v>1913</v>
      </c>
      <c r="L22" s="814" t="str">
        <f>IF($L21=$JJ$22,$JJ$30,IF($L21=$JK$22,$JK$30,""))</f>
        <v/>
      </c>
      <c r="M22" s="164">
        <f t="shared" si="3"/>
        <v>2.1110000000000002</v>
      </c>
      <c r="N22" s="575">
        <f t="shared" si="4"/>
        <v>3.304622624963145</v>
      </c>
      <c r="O22" s="572">
        <f t="shared" si="5"/>
        <v>0.86546842357140175</v>
      </c>
      <c r="P22" s="576">
        <f t="shared" si="6"/>
        <v>-0.50931417103235255</v>
      </c>
      <c r="Q22" s="528">
        <f t="shared" si="135"/>
        <v>14.675939186707676</v>
      </c>
      <c r="R22" s="572">
        <f t="shared" si="96"/>
        <v>3.4160746897012473</v>
      </c>
      <c r="S22" s="577">
        <f t="shared" si="97"/>
        <v>-0.50931417103235255</v>
      </c>
      <c r="T22" s="578">
        <f t="shared" si="98"/>
        <v>0.88419784565706505</v>
      </c>
      <c r="U22" s="572">
        <f t="shared" si="99"/>
        <v>-3.2996606576060024</v>
      </c>
      <c r="V22" s="579">
        <f t="shared" si="136"/>
        <v>-0.50931417103235255</v>
      </c>
      <c r="W22" s="528">
        <f t="shared" si="257"/>
        <v>285.00091433251487</v>
      </c>
      <c r="X22" s="572">
        <f t="shared" si="100"/>
        <v>3.4160746897012473</v>
      </c>
      <c r="Y22" s="573">
        <f t="shared" si="260"/>
        <v>-0.50931417103235255</v>
      </c>
      <c r="Z22" s="575">
        <f t="shared" si="9"/>
        <v>0.28910794512627491</v>
      </c>
      <c r="AA22" s="572">
        <f t="shared" si="10"/>
        <v>-0.92253379980972239</v>
      </c>
      <c r="AB22" s="572">
        <f t="shared" si="11"/>
        <v>-0.2556325180283171</v>
      </c>
      <c r="AC22" s="579">
        <f t="shared" si="101"/>
        <v>1</v>
      </c>
      <c r="AD22" s="580">
        <f t="shared" si="137"/>
        <v>0.28910794512627491</v>
      </c>
      <c r="AE22" s="572">
        <f t="shared" si="102"/>
        <v>-0.92253379980972239</v>
      </c>
      <c r="AF22" s="576">
        <f t="shared" si="103"/>
        <v>-0.2556325180283171</v>
      </c>
      <c r="AG22" s="545">
        <f t="shared" si="104"/>
        <v>-74.512039479740267</v>
      </c>
      <c r="AH22" s="546">
        <f t="shared" si="105"/>
        <v>73.195442460075824</v>
      </c>
      <c r="AI22" s="528">
        <f t="shared" si="106"/>
        <v>-75.188931961768461</v>
      </c>
      <c r="AJ22" s="529">
        <f t="shared" si="107"/>
        <v>17.400190960789224</v>
      </c>
      <c r="AK22" s="578">
        <f t="shared" si="236"/>
        <v>0.96568142218908382</v>
      </c>
      <c r="AL22" s="572">
        <f t="shared" si="108"/>
        <v>4.595004423687285E-2</v>
      </c>
      <c r="AM22" s="577">
        <f t="shared" si="109"/>
        <v>-0.2556325180283171</v>
      </c>
      <c r="AN22" s="524">
        <f t="shared" si="110"/>
        <v>10.190120224393253</v>
      </c>
      <c r="AO22" s="525">
        <f t="shared" si="111"/>
        <v>15.05400969178706</v>
      </c>
      <c r="AP22" s="528">
        <f t="shared" si="112"/>
        <v>2.7242517740815146</v>
      </c>
      <c r="AQ22" s="529">
        <f t="shared" si="12"/>
        <v>0.66732251338447512</v>
      </c>
      <c r="AS22" s="954">
        <f t="shared" si="138"/>
        <v>285.00091433251487</v>
      </c>
      <c r="AT22" s="950">
        <f t="shared" si="13"/>
        <v>-0.45883493898689887</v>
      </c>
      <c r="AU22" s="418"/>
      <c r="AV22" s="164" t="str">
        <f t="shared" si="14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39"/>
        <v/>
      </c>
      <c r="BA22" s="296" t="str">
        <f t="shared" si="15"/>
        <v/>
      </c>
      <c r="BB22" s="190" t="str">
        <f t="shared" si="140"/>
        <v/>
      </c>
      <c r="BC22" s="9"/>
      <c r="BD22" s="5" t="str">
        <f t="shared" si="141"/>
        <v/>
      </c>
      <c r="BE22" s="6" t="str">
        <f t="shared" si="16"/>
        <v/>
      </c>
      <c r="BF22" s="4" t="str">
        <f t="shared" si="17"/>
        <v/>
      </c>
      <c r="BG22" s="5" t="str">
        <f t="shared" si="18"/>
        <v/>
      </c>
      <c r="BH22" s="10" t="str">
        <f t="shared" si="19"/>
        <v/>
      </c>
      <c r="BI22" s="9" t="str">
        <f t="shared" si="142"/>
        <v/>
      </c>
      <c r="BJ22" s="5" t="str">
        <f t="shared" si="20"/>
        <v/>
      </c>
      <c r="BK22" s="8" t="str">
        <f t="shared" si="21"/>
        <v/>
      </c>
      <c r="BL22" s="173" t="str">
        <f t="shared" si="22"/>
        <v/>
      </c>
      <c r="BM22" s="5" t="str">
        <f t="shared" si="23"/>
        <v/>
      </c>
      <c r="BN22" s="6" t="str">
        <f t="shared" si="24"/>
        <v/>
      </c>
      <c r="BO22" s="4" t="str">
        <f t="shared" si="143"/>
        <v/>
      </c>
      <c r="BP22" s="5" t="str">
        <f t="shared" si="144"/>
        <v/>
      </c>
      <c r="BQ22" s="5" t="str">
        <f t="shared" si="145"/>
        <v/>
      </c>
      <c r="BR22" s="6" t="str">
        <f t="shared" si="146"/>
        <v/>
      </c>
      <c r="BS22" s="4" t="str">
        <f t="shared" si="113"/>
        <v/>
      </c>
      <c r="BT22" s="5" t="str">
        <f t="shared" si="113"/>
        <v/>
      </c>
      <c r="BU22" s="10" t="str">
        <f t="shared" si="114"/>
        <v/>
      </c>
      <c r="BV22" s="9" t="str">
        <f t="shared" si="115"/>
        <v/>
      </c>
      <c r="BW22" s="5" t="str">
        <f t="shared" si="116"/>
        <v/>
      </c>
      <c r="BX22" s="8" t="str">
        <f t="shared" si="117"/>
        <v/>
      </c>
      <c r="BY22" s="173" t="str">
        <f t="shared" si="118"/>
        <v/>
      </c>
      <c r="BZ22" s="5" t="str">
        <f t="shared" si="119"/>
        <v/>
      </c>
      <c r="CA22" s="6" t="str">
        <f t="shared" si="120"/>
        <v/>
      </c>
      <c r="CB22" s="4" t="str">
        <f t="shared" si="147"/>
        <v/>
      </c>
      <c r="CC22" s="5" t="str">
        <f t="shared" si="148"/>
        <v/>
      </c>
      <c r="CD22" s="5" t="str">
        <f t="shared" si="149"/>
        <v/>
      </c>
      <c r="CE22" s="6" t="str">
        <f t="shared" si="150"/>
        <v/>
      </c>
      <c r="CF22" s="4" t="str">
        <f t="shared" si="151"/>
        <v/>
      </c>
      <c r="CG22" s="5" t="str">
        <f t="shared" si="152"/>
        <v/>
      </c>
      <c r="CH22" s="5" t="str">
        <f t="shared" si="153"/>
        <v/>
      </c>
      <c r="CI22" s="4" t="str">
        <f t="shared" si="121"/>
        <v/>
      </c>
      <c r="CJ22" s="5" t="str">
        <f t="shared" si="122"/>
        <v/>
      </c>
      <c r="CK22" s="8" t="str">
        <f t="shared" si="123"/>
        <v/>
      </c>
      <c r="CL22" s="173" t="str">
        <f t="shared" si="124"/>
        <v/>
      </c>
      <c r="CM22" s="5" t="str">
        <f t="shared" si="125"/>
        <v/>
      </c>
      <c r="CN22" s="6" t="str">
        <f t="shared" si="126"/>
        <v/>
      </c>
      <c r="CO22" s="167" t="str">
        <f t="shared" si="25"/>
        <v/>
      </c>
      <c r="CP22" s="4" t="str">
        <f t="shared" si="237"/>
        <v/>
      </c>
      <c r="CQ22" s="5" t="str">
        <f t="shared" si="238"/>
        <v/>
      </c>
      <c r="CR22" s="5" t="str">
        <f t="shared" si="154"/>
        <v/>
      </c>
      <c r="CS22" s="8" t="str">
        <f t="shared" si="155"/>
        <v/>
      </c>
      <c r="CT22" s="9" t="str">
        <f t="shared" si="156"/>
        <v/>
      </c>
      <c r="CU22" s="6" t="str">
        <f t="shared" si="157"/>
        <v/>
      </c>
      <c r="CV22" s="4" t="str">
        <f t="shared" si="239"/>
        <v/>
      </c>
      <c r="CW22" s="5" t="str">
        <f t="shared" si="158"/>
        <v/>
      </c>
      <c r="CX22" s="8" t="str">
        <f t="shared" si="159"/>
        <v/>
      </c>
      <c r="CY22" s="9" t="str">
        <f t="shared" si="160"/>
        <v/>
      </c>
      <c r="CZ22" s="5" t="str">
        <f t="shared" si="161"/>
        <v/>
      </c>
      <c r="DA22" s="6" t="str">
        <f t="shared" si="162"/>
        <v/>
      </c>
      <c r="DB22" s="4" t="str">
        <f t="shared" si="163"/>
        <v/>
      </c>
      <c r="DC22" s="5" t="str">
        <f t="shared" si="163"/>
        <v/>
      </c>
      <c r="DD22" s="10" t="str">
        <f t="shared" si="164"/>
        <v/>
      </c>
      <c r="DE22" s="9" t="str">
        <f t="shared" si="165"/>
        <v/>
      </c>
      <c r="DF22" s="5" t="str">
        <f t="shared" si="165"/>
        <v/>
      </c>
      <c r="DG22" s="10" t="str">
        <f t="shared" si="166"/>
        <v/>
      </c>
      <c r="DH22" s="70" t="str">
        <f t="shared" si="167"/>
        <v/>
      </c>
      <c r="DI22" s="4" t="str">
        <f t="shared" si="168"/>
        <v/>
      </c>
      <c r="DJ22" s="5" t="str">
        <f t="shared" si="169"/>
        <v/>
      </c>
      <c r="DK22" s="10" t="str">
        <f t="shared" si="170"/>
        <v/>
      </c>
      <c r="DL22" s="9" t="str">
        <f t="shared" si="171"/>
        <v/>
      </c>
      <c r="DM22" s="173" t="str">
        <f t="shared" si="172"/>
        <v/>
      </c>
      <c r="DN22" s="178" t="str">
        <f t="shared" si="173"/>
        <v/>
      </c>
      <c r="DO22" s="9" t="str">
        <f t="shared" si="174"/>
        <v/>
      </c>
      <c r="DP22" s="173" t="str">
        <f t="shared" si="175"/>
        <v/>
      </c>
      <c r="DQ22" s="11" t="str">
        <f t="shared" si="176"/>
        <v/>
      </c>
      <c r="DR22" s="173" t="str">
        <f t="shared" si="177"/>
        <v/>
      </c>
      <c r="DS22" s="5" t="str">
        <f t="shared" si="178"/>
        <v/>
      </c>
      <c r="DT22" s="5" t="str">
        <f t="shared" si="179"/>
        <v/>
      </c>
      <c r="DU22" s="5" t="str">
        <f t="shared" si="180"/>
        <v/>
      </c>
      <c r="DV22" s="5" t="str">
        <f t="shared" si="181"/>
        <v/>
      </c>
      <c r="DW22" s="5" t="str">
        <f t="shared" si="182"/>
        <v/>
      </c>
      <c r="DX22" s="167" t="str">
        <f t="shared" si="183"/>
        <v/>
      </c>
      <c r="DY22" s="9" t="str">
        <f t="shared" si="184"/>
        <v/>
      </c>
      <c r="DZ22" s="5" t="str">
        <f t="shared" si="185"/>
        <v/>
      </c>
      <c r="EA22" s="10" t="str">
        <f t="shared" si="186"/>
        <v/>
      </c>
      <c r="EB22" s="6" t="str">
        <f t="shared" si="187"/>
        <v/>
      </c>
      <c r="EC22" s="173" t="str">
        <f t="shared" si="188"/>
        <v/>
      </c>
      <c r="ED22" s="5" t="str">
        <f t="shared" si="189"/>
        <v/>
      </c>
      <c r="EE22" s="4" t="str">
        <f t="shared" si="190"/>
        <v/>
      </c>
      <c r="EF22" s="5" t="str">
        <f t="shared" si="191"/>
        <v/>
      </c>
      <c r="EG22" s="10" t="str">
        <f t="shared" si="192"/>
        <v/>
      </c>
      <c r="EH22" s="9" t="str">
        <f t="shared" si="193"/>
        <v/>
      </c>
      <c r="EI22" s="5" t="str">
        <f t="shared" si="194"/>
        <v/>
      </c>
      <c r="EJ22" s="6" t="str">
        <f t="shared" si="195"/>
        <v/>
      </c>
      <c r="EK22" s="236" t="str">
        <f t="shared" si="196"/>
        <v/>
      </c>
      <c r="EL22" s="238" t="str">
        <f t="shared" si="197"/>
        <v/>
      </c>
      <c r="EM22" s="4" t="str">
        <f t="shared" si="198"/>
        <v/>
      </c>
      <c r="EN22" s="5" t="str">
        <f t="shared" si="199"/>
        <v/>
      </c>
      <c r="EO22" s="10" t="str">
        <f t="shared" si="200"/>
        <v/>
      </c>
      <c r="EP22" s="9" t="str">
        <f t="shared" si="201"/>
        <v/>
      </c>
      <c r="EQ22" s="5" t="str">
        <f t="shared" si="202"/>
        <v/>
      </c>
      <c r="ER22" s="7" t="str">
        <f t="shared" si="203"/>
        <v/>
      </c>
      <c r="ES22" s="21" t="str">
        <f t="shared" si="127"/>
        <v/>
      </c>
      <c r="ET22" s="5" t="str">
        <f t="shared" si="34"/>
        <v/>
      </c>
      <c r="EU22" s="10" t="str">
        <f t="shared" si="35"/>
        <v/>
      </c>
      <c r="EV22" s="174" t="str">
        <f t="shared" si="253"/>
        <v/>
      </c>
      <c r="EW22" s="9" t="str">
        <f t="shared" si="128"/>
        <v/>
      </c>
      <c r="EX22" s="5" t="str">
        <f t="shared" si="36"/>
        <v/>
      </c>
      <c r="EY22" s="6" t="str">
        <f t="shared" si="204"/>
        <v/>
      </c>
      <c r="EZ22" s="51" t="str">
        <f t="shared" si="205"/>
        <v/>
      </c>
      <c r="FA22" s="266" t="str">
        <f t="shared" si="129"/>
        <v/>
      </c>
      <c r="FB22" s="267" t="str">
        <f t="shared" si="130"/>
        <v/>
      </c>
      <c r="FC22" s="269" t="str">
        <f t="shared" si="37"/>
        <v/>
      </c>
      <c r="FD22" s="4" t="str">
        <f t="shared" si="131"/>
        <v/>
      </c>
      <c r="FE22" s="5" t="str">
        <f t="shared" si="38"/>
        <v/>
      </c>
      <c r="FF22" s="7" t="str">
        <f t="shared" si="206"/>
        <v/>
      </c>
      <c r="FG22" s="173" t="str">
        <f t="shared" si="207"/>
        <v/>
      </c>
      <c r="FH22" s="5" t="str">
        <f t="shared" si="39"/>
        <v/>
      </c>
      <c r="FI22" s="10" t="str">
        <f t="shared" si="40"/>
        <v/>
      </c>
      <c r="FJ22" s="279" t="str">
        <f t="shared" si="208"/>
        <v/>
      </c>
      <c r="FK22" s="4" t="str">
        <f t="shared" si="41"/>
        <v/>
      </c>
      <c r="FL22" s="5" t="str">
        <f t="shared" si="209"/>
        <v/>
      </c>
      <c r="FM22" s="8" t="str">
        <f t="shared" si="210"/>
        <v/>
      </c>
      <c r="FN22" s="9" t="str">
        <f t="shared" si="211"/>
        <v/>
      </c>
      <c r="FO22" s="10" t="str">
        <f t="shared" si="42"/>
        <v/>
      </c>
      <c r="FP22" s="277" t="str">
        <f t="shared" si="43"/>
        <v/>
      </c>
      <c r="FQ22" s="173" t="str">
        <f t="shared" si="240"/>
        <v/>
      </c>
      <c r="FR22" s="10" t="str">
        <f t="shared" si="212"/>
        <v/>
      </c>
      <c r="FS22" s="9" t="str">
        <f t="shared" si="213"/>
        <v/>
      </c>
      <c r="FT22" s="6" t="str">
        <f t="shared" si="214"/>
        <v/>
      </c>
      <c r="FU22" s="4" t="str">
        <f t="shared" si="215"/>
        <v/>
      </c>
      <c r="FV22" s="5" t="str">
        <f t="shared" si="216"/>
        <v/>
      </c>
      <c r="FW22" s="8" t="str">
        <f t="shared" si="241"/>
        <v/>
      </c>
      <c r="FX22" s="9" t="str">
        <f t="shared" si="242"/>
        <v/>
      </c>
      <c r="FY22" s="10" t="str">
        <f t="shared" si="44"/>
        <v/>
      </c>
      <c r="FZ22" s="277" t="str">
        <f t="shared" si="243"/>
        <v/>
      </c>
      <c r="GA22" s="177" t="str">
        <f t="shared" si="217"/>
        <v/>
      </c>
      <c r="GB22" s="4" t="str">
        <f t="shared" si="218"/>
        <v/>
      </c>
      <c r="GC22" s="5" t="str">
        <f t="shared" si="219"/>
        <v/>
      </c>
      <c r="GD22" s="10" t="str">
        <f t="shared" si="220"/>
        <v/>
      </c>
      <c r="GE22" s="311" t="str">
        <f t="shared" si="221"/>
        <v/>
      </c>
      <c r="GF22" s="341" t="str">
        <f t="shared" si="244"/>
        <v/>
      </c>
      <c r="GG22" s="285" t="str">
        <f t="shared" si="45"/>
        <v/>
      </c>
      <c r="GH22" s="286" t="str">
        <f t="shared" si="46"/>
        <v/>
      </c>
      <c r="GI22" s="281" t="str">
        <f t="shared" si="47"/>
        <v/>
      </c>
      <c r="GJ22" s="167" t="str">
        <f t="shared" si="222"/>
        <v/>
      </c>
      <c r="GK22" s="174" t="str">
        <f t="shared" si="48"/>
        <v/>
      </c>
      <c r="GL22" s="174" t="str">
        <f t="shared" si="223"/>
        <v/>
      </c>
      <c r="GM22" s="177" t="str">
        <f>IF(ISNUMBER($AV22),AZ22,"")</f>
        <v/>
      </c>
      <c r="GN22" s="280" t="str">
        <f t="shared" si="224"/>
        <v/>
      </c>
      <c r="GO22" s="4" t="str">
        <f t="shared" si="225"/>
        <v/>
      </c>
      <c r="GP22" s="8" t="str">
        <f t="shared" si="246"/>
        <v/>
      </c>
      <c r="GQ22" s="177" t="str">
        <f t="shared" si="226"/>
        <v/>
      </c>
      <c r="GR22" s="371" t="str">
        <f t="shared" si="247"/>
        <v/>
      </c>
      <c r="GS22" s="342" t="str">
        <f t="shared" si="50"/>
        <v/>
      </c>
      <c r="GT22" s="343" t="str">
        <f t="shared" si="51"/>
        <v/>
      </c>
      <c r="GU22" s="344" t="str">
        <f t="shared" si="52"/>
        <v/>
      </c>
      <c r="GV22" s="343" t="str">
        <f t="shared" si="254"/>
        <v/>
      </c>
      <c r="GW22" s="345" t="str">
        <f t="shared" si="53"/>
        <v/>
      </c>
      <c r="GX22" s="346" t="str">
        <f t="shared" si="54"/>
        <v/>
      </c>
      <c r="GY22" s="344" t="str">
        <f t="shared" si="55"/>
        <v/>
      </c>
      <c r="GZ22" s="345" t="str">
        <f t="shared" si="56"/>
        <v/>
      </c>
      <c r="HA22" s="342" t="str">
        <f t="shared" si="57"/>
        <v/>
      </c>
      <c r="HB22" s="5" t="str">
        <f t="shared" si="227"/>
        <v/>
      </c>
      <c r="HC22" s="343" t="str">
        <f t="shared" si="228"/>
        <v/>
      </c>
      <c r="HD22" s="345" t="str">
        <f t="shared" si="229"/>
        <v/>
      </c>
      <c r="HE22" s="344" t="str">
        <f t="shared" si="58"/>
        <v/>
      </c>
      <c r="HF22" s="5" t="str">
        <f t="shared" si="59"/>
        <v/>
      </c>
      <c r="HG22" s="343" t="str">
        <f t="shared" si="230"/>
        <v/>
      </c>
      <c r="HH22" s="349" t="str">
        <f t="shared" si="231"/>
        <v/>
      </c>
      <c r="HI22" s="317" t="str">
        <f t="shared" si="60"/>
        <v/>
      </c>
      <c r="HJ22" s="336"/>
      <c r="HK22" s="310" t="str">
        <f t="shared" si="132"/>
        <v/>
      </c>
      <c r="HL22" s="348" t="str">
        <f t="shared" si="61"/>
        <v/>
      </c>
      <c r="HM22" s="923" t="str">
        <f t="shared" si="62"/>
        <v/>
      </c>
      <c r="HN22" s="924" t="str">
        <f t="shared" si="63"/>
        <v/>
      </c>
      <c r="HO22" s="925"/>
      <c r="HP22" s="926"/>
      <c r="HQ22" s="924" t="str">
        <f t="shared" si="64"/>
        <v/>
      </c>
      <c r="HR22" s="927" t="str">
        <f t="shared" si="65"/>
        <v/>
      </c>
      <c r="HS22" s="879" t="str">
        <f t="shared" si="250"/>
        <v/>
      </c>
      <c r="HT22" s="889" t="str">
        <f t="shared" si="66"/>
        <v/>
      </c>
      <c r="HU22" s="890" t="str">
        <f t="shared" si="67"/>
        <v/>
      </c>
      <c r="HV22" s="886" t="str">
        <f t="shared" si="68"/>
        <v/>
      </c>
      <c r="HW22" s="880" t="str">
        <f t="shared" si="69"/>
        <v/>
      </c>
      <c r="HX22" s="881" t="str">
        <f t="shared" si="70"/>
        <v/>
      </c>
      <c r="HY22" s="880" t="str">
        <f t="shared" si="71"/>
        <v/>
      </c>
      <c r="HZ22" s="882" t="str">
        <f t="shared" si="72"/>
        <v/>
      </c>
      <c r="IA22" s="883" t="str">
        <f t="shared" si="73"/>
        <v/>
      </c>
      <c r="IB22" s="884" t="str">
        <f t="shared" si="74"/>
        <v/>
      </c>
      <c r="IC22" s="855" t="str">
        <f t="shared" si="75"/>
        <v/>
      </c>
      <c r="ID22" s="351" t="str">
        <f t="shared" si="76"/>
        <v/>
      </c>
      <c r="IE22" s="857" t="str">
        <f t="shared" si="77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2"/>
        <v>2.1110000000000002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8"/>
        <v>1913</v>
      </c>
      <c r="IM22" s="482" t="str">
        <f t="shared" si="233"/>
        <v/>
      </c>
      <c r="IN22" s="670" t="str">
        <f t="shared" si="80"/>
        <v/>
      </c>
      <c r="IO22" s="702"/>
      <c r="IP22" s="5" t="str">
        <f t="shared" si="81"/>
        <v/>
      </c>
      <c r="IQ22" s="714"/>
      <c r="IR22" s="9" t="str">
        <f t="shared" si="8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92"/>
        <v>0.02</v>
      </c>
      <c r="B23" s="578">
        <f t="shared" ref="B23:D23" si="273">IFERROR(O178-($A23*E23),"")</f>
        <v>4.1366227002919302</v>
      </c>
      <c r="C23" s="572">
        <f t="shared" si="273"/>
        <v>1.0801358419183482</v>
      </c>
      <c r="D23" s="576">
        <f t="shared" si="273"/>
        <v>-0.2246637707735322</v>
      </c>
      <c r="E23" s="580">
        <f t="shared" ref="E23:K23" si="274">R178</f>
        <v>-0.26570430689447705</v>
      </c>
      <c r="F23" s="572">
        <f t="shared" si="274"/>
        <v>0.92883792977772406</v>
      </c>
      <c r="G23" s="579">
        <f t="shared" si="274"/>
        <v>0.25818853867659863</v>
      </c>
      <c r="H23" s="580">
        <f t="shared" si="274"/>
        <v>0.375</v>
      </c>
      <c r="I23" s="572">
        <f t="shared" si="274"/>
        <v>0.52</v>
      </c>
      <c r="J23" s="483">
        <f t="shared" si="95"/>
        <v>2.1160000000000001</v>
      </c>
      <c r="K23" s="806">
        <f t="shared" si="274"/>
        <v>1913</v>
      </c>
      <c r="M23" s="164">
        <f t="shared" si="3"/>
        <v>2.1160000000000001</v>
      </c>
      <c r="N23" s="575">
        <f t="shared" si="4"/>
        <v>4.1366227002919302</v>
      </c>
      <c r="O23" s="572">
        <f t="shared" si="5"/>
        <v>1.0801358419183482</v>
      </c>
      <c r="P23" s="576">
        <f t="shared" si="6"/>
        <v>-0.2246637707735322</v>
      </c>
      <c r="Q23" s="528">
        <f t="shared" si="135"/>
        <v>14.634060385039064</v>
      </c>
      <c r="R23" s="572">
        <f t="shared" si="96"/>
        <v>4.2753176258106436</v>
      </c>
      <c r="S23" s="577">
        <f t="shared" si="97"/>
        <v>-0.2246637707735322</v>
      </c>
      <c r="T23" s="578">
        <f t="shared" si="98"/>
        <v>1.1035807955677914</v>
      </c>
      <c r="U23" s="572">
        <f t="shared" si="99"/>
        <v>-4.1304297874701996</v>
      </c>
      <c r="V23" s="579">
        <f t="shared" si="136"/>
        <v>-0.2246637707735322</v>
      </c>
      <c r="W23" s="528">
        <f t="shared" si="257"/>
        <v>284.95903553084622</v>
      </c>
      <c r="X23" s="572">
        <f t="shared" si="100"/>
        <v>4.2753176258106436</v>
      </c>
      <c r="Y23" s="573">
        <f t="shared" si="260"/>
        <v>-0.2246637707735322</v>
      </c>
      <c r="Z23" s="575">
        <f t="shared" si="9"/>
        <v>0.26570430689447705</v>
      </c>
      <c r="AA23" s="572">
        <f t="shared" si="10"/>
        <v>-0.92883792977772406</v>
      </c>
      <c r="AB23" s="572">
        <f t="shared" si="11"/>
        <v>-0.25818853867659863</v>
      </c>
      <c r="AC23" s="579">
        <f t="shared" si="101"/>
        <v>1</v>
      </c>
      <c r="AD23" s="580">
        <f t="shared" si="137"/>
        <v>0.26570430689447705</v>
      </c>
      <c r="AE23" s="572">
        <f t="shared" si="102"/>
        <v>-0.92883792977772406</v>
      </c>
      <c r="AF23" s="576">
        <f t="shared" si="103"/>
        <v>-0.25818853867659863</v>
      </c>
      <c r="AG23" s="545">
        <f t="shared" si="104"/>
        <v>-74.465695881316563</v>
      </c>
      <c r="AH23" s="546">
        <f t="shared" si="105"/>
        <v>74.591192980102292</v>
      </c>
      <c r="AI23" s="528">
        <f t="shared" si="106"/>
        <v>-75.037396454335777</v>
      </c>
      <c r="AJ23" s="529">
        <f t="shared" si="107"/>
        <v>15.963760210628955</v>
      </c>
      <c r="AK23" s="578">
        <f t="shared" si="236"/>
        <v>0.9658343945045591</v>
      </c>
      <c r="AL23" s="572">
        <f t="shared" si="108"/>
        <v>2.2418761965246531E-2</v>
      </c>
      <c r="AM23" s="577">
        <f t="shared" si="109"/>
        <v>-0.25818853867659863</v>
      </c>
      <c r="AN23" s="524">
        <f t="shared" si="110"/>
        <v>4.9626012078250463</v>
      </c>
      <c r="AO23" s="525">
        <f t="shared" si="111"/>
        <v>15.02022728538228</v>
      </c>
      <c r="AP23" s="528">
        <f t="shared" si="112"/>
        <v>1.3296998255899191</v>
      </c>
      <c r="AQ23" s="529">
        <f t="shared" si="12"/>
        <v>0.53321437536187988</v>
      </c>
      <c r="AS23" s="954">
        <f t="shared" si="138"/>
        <v>284.95903553084622</v>
      </c>
      <c r="AT23" s="950">
        <f t="shared" si="13"/>
        <v>-0.17415545622691972</v>
      </c>
      <c r="AU23" s="418"/>
      <c r="AV23" s="164" t="str">
        <f t="shared" si="14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39"/>
        <v/>
      </c>
      <c r="BA23" s="296" t="str">
        <f t="shared" si="15"/>
        <v/>
      </c>
      <c r="BB23" s="190" t="str">
        <f t="shared" si="140"/>
        <v/>
      </c>
      <c r="BC23" s="9"/>
      <c r="BD23" s="5" t="str">
        <f t="shared" si="141"/>
        <v/>
      </c>
      <c r="BE23" s="6" t="str">
        <f t="shared" si="16"/>
        <v/>
      </c>
      <c r="BF23" s="4" t="str">
        <f t="shared" si="17"/>
        <v/>
      </c>
      <c r="BG23" s="5" t="str">
        <f t="shared" si="18"/>
        <v/>
      </c>
      <c r="BH23" s="10" t="str">
        <f t="shared" si="19"/>
        <v/>
      </c>
      <c r="BI23" s="9" t="str">
        <f t="shared" si="142"/>
        <v/>
      </c>
      <c r="BJ23" s="5" t="str">
        <f t="shared" si="20"/>
        <v/>
      </c>
      <c r="BK23" s="8" t="str">
        <f t="shared" si="21"/>
        <v/>
      </c>
      <c r="BL23" s="173" t="str">
        <f t="shared" si="22"/>
        <v/>
      </c>
      <c r="BM23" s="5" t="str">
        <f t="shared" si="23"/>
        <v/>
      </c>
      <c r="BN23" s="6" t="str">
        <f t="shared" si="24"/>
        <v/>
      </c>
      <c r="BO23" s="4" t="str">
        <f t="shared" si="143"/>
        <v/>
      </c>
      <c r="BP23" s="5" t="str">
        <f t="shared" si="144"/>
        <v/>
      </c>
      <c r="BQ23" s="5" t="str">
        <f t="shared" si="145"/>
        <v/>
      </c>
      <c r="BR23" s="6" t="str">
        <f t="shared" si="146"/>
        <v/>
      </c>
      <c r="BS23" s="4" t="str">
        <f t="shared" si="113"/>
        <v/>
      </c>
      <c r="BT23" s="5" t="str">
        <f t="shared" si="113"/>
        <v/>
      </c>
      <c r="BU23" s="10" t="str">
        <f t="shared" si="114"/>
        <v/>
      </c>
      <c r="BV23" s="9" t="str">
        <f t="shared" si="115"/>
        <v/>
      </c>
      <c r="BW23" s="5" t="str">
        <f t="shared" si="116"/>
        <v/>
      </c>
      <c r="BX23" s="8" t="str">
        <f t="shared" si="117"/>
        <v/>
      </c>
      <c r="BY23" s="173" t="str">
        <f t="shared" si="118"/>
        <v/>
      </c>
      <c r="BZ23" s="5" t="str">
        <f t="shared" si="119"/>
        <v/>
      </c>
      <c r="CA23" s="6" t="str">
        <f t="shared" si="120"/>
        <v/>
      </c>
      <c r="CB23" s="4" t="str">
        <f t="shared" si="147"/>
        <v/>
      </c>
      <c r="CC23" s="5" t="str">
        <f t="shared" si="148"/>
        <v/>
      </c>
      <c r="CD23" s="5" t="str">
        <f t="shared" si="149"/>
        <v/>
      </c>
      <c r="CE23" s="6" t="str">
        <f t="shared" si="150"/>
        <v/>
      </c>
      <c r="CF23" s="4" t="str">
        <f t="shared" si="151"/>
        <v/>
      </c>
      <c r="CG23" s="5" t="str">
        <f t="shared" si="152"/>
        <v/>
      </c>
      <c r="CH23" s="5" t="str">
        <f t="shared" si="153"/>
        <v/>
      </c>
      <c r="CI23" s="4" t="str">
        <f t="shared" si="121"/>
        <v/>
      </c>
      <c r="CJ23" s="5" t="str">
        <f t="shared" si="122"/>
        <v/>
      </c>
      <c r="CK23" s="8" t="str">
        <f t="shared" si="123"/>
        <v/>
      </c>
      <c r="CL23" s="173" t="str">
        <f t="shared" si="124"/>
        <v/>
      </c>
      <c r="CM23" s="5" t="str">
        <f t="shared" si="125"/>
        <v/>
      </c>
      <c r="CN23" s="6" t="str">
        <f t="shared" si="126"/>
        <v/>
      </c>
      <c r="CO23" s="167" t="str">
        <f t="shared" si="25"/>
        <v/>
      </c>
      <c r="CP23" s="4" t="str">
        <f t="shared" si="237"/>
        <v/>
      </c>
      <c r="CQ23" s="5" t="str">
        <f t="shared" si="238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6"/>
        <v/>
      </c>
      <c r="CU23" s="6" t="str">
        <f t="shared" si="157"/>
        <v/>
      </c>
      <c r="CV23" s="4" t="str">
        <f t="shared" si="239"/>
        <v/>
      </c>
      <c r="CW23" s="5" t="str">
        <f t="shared" si="158"/>
        <v/>
      </c>
      <c r="CX23" s="8" t="str">
        <f t="shared" si="159"/>
        <v/>
      </c>
      <c r="CY23" s="9" t="str">
        <f t="shared" si="160"/>
        <v/>
      </c>
      <c r="CZ23" s="5" t="str">
        <f t="shared" si="161"/>
        <v/>
      </c>
      <c r="DA23" s="6" t="str">
        <f t="shared" si="162"/>
        <v/>
      </c>
      <c r="DB23" s="4" t="str">
        <f t="shared" si="163"/>
        <v/>
      </c>
      <c r="DC23" s="5" t="str">
        <f t="shared" si="163"/>
        <v/>
      </c>
      <c r="DD23" s="10" t="str">
        <f t="shared" si="164"/>
        <v/>
      </c>
      <c r="DE23" s="9" t="str">
        <f t="shared" si="165"/>
        <v/>
      </c>
      <c r="DF23" s="5" t="str">
        <f t="shared" si="165"/>
        <v/>
      </c>
      <c r="DG23" s="10" t="str">
        <f t="shared" si="166"/>
        <v/>
      </c>
      <c r="DH23" s="70" t="str">
        <f t="shared" si="167"/>
        <v/>
      </c>
      <c r="DI23" s="4" t="str">
        <f t="shared" si="168"/>
        <v/>
      </c>
      <c r="DJ23" s="5" t="str">
        <f t="shared" si="169"/>
        <v/>
      </c>
      <c r="DK23" s="10" t="str">
        <f t="shared" si="170"/>
        <v/>
      </c>
      <c r="DL23" s="9" t="str">
        <f t="shared" si="171"/>
        <v/>
      </c>
      <c r="DM23" s="173" t="str">
        <f t="shared" si="172"/>
        <v/>
      </c>
      <c r="DN23" s="178" t="str">
        <f t="shared" si="173"/>
        <v/>
      </c>
      <c r="DO23" s="9" t="str">
        <f t="shared" si="174"/>
        <v/>
      </c>
      <c r="DP23" s="173" t="str">
        <f t="shared" si="175"/>
        <v/>
      </c>
      <c r="DQ23" s="11" t="str">
        <f t="shared" si="176"/>
        <v/>
      </c>
      <c r="DR23" s="173" t="str">
        <f t="shared" si="177"/>
        <v/>
      </c>
      <c r="DS23" s="5" t="str">
        <f t="shared" si="178"/>
        <v/>
      </c>
      <c r="DT23" s="5" t="str">
        <f t="shared" si="179"/>
        <v/>
      </c>
      <c r="DU23" s="5" t="str">
        <f t="shared" si="180"/>
        <v/>
      </c>
      <c r="DV23" s="5" t="str">
        <f t="shared" si="181"/>
        <v/>
      </c>
      <c r="DW23" s="5" t="str">
        <f t="shared" si="182"/>
        <v/>
      </c>
      <c r="DX23" s="167" t="str">
        <f t="shared" si="183"/>
        <v/>
      </c>
      <c r="DY23" s="9" t="str">
        <f t="shared" si="184"/>
        <v/>
      </c>
      <c r="DZ23" s="5" t="str">
        <f t="shared" si="185"/>
        <v/>
      </c>
      <c r="EA23" s="10" t="str">
        <f t="shared" si="186"/>
        <v/>
      </c>
      <c r="EB23" s="6" t="str">
        <f t="shared" si="187"/>
        <v/>
      </c>
      <c r="EC23" s="173" t="str">
        <f t="shared" si="188"/>
        <v/>
      </c>
      <c r="ED23" s="5" t="str">
        <f t="shared" si="189"/>
        <v/>
      </c>
      <c r="EE23" s="4" t="str">
        <f t="shared" si="190"/>
        <v/>
      </c>
      <c r="EF23" s="5" t="str">
        <f t="shared" si="191"/>
        <v/>
      </c>
      <c r="EG23" s="10" t="str">
        <f t="shared" si="192"/>
        <v/>
      </c>
      <c r="EH23" s="9" t="str">
        <f t="shared" si="193"/>
        <v/>
      </c>
      <c r="EI23" s="5" t="str">
        <f t="shared" si="194"/>
        <v/>
      </c>
      <c r="EJ23" s="6" t="str">
        <f t="shared" si="195"/>
        <v/>
      </c>
      <c r="EK23" s="236" t="str">
        <f t="shared" si="196"/>
        <v/>
      </c>
      <c r="EL23" s="238" t="str">
        <f t="shared" si="197"/>
        <v/>
      </c>
      <c r="EM23" s="4" t="str">
        <f t="shared" si="198"/>
        <v/>
      </c>
      <c r="EN23" s="5" t="str">
        <f t="shared" si="199"/>
        <v/>
      </c>
      <c r="EO23" s="10" t="str">
        <f t="shared" si="200"/>
        <v/>
      </c>
      <c r="EP23" s="9" t="str">
        <f t="shared" si="201"/>
        <v/>
      </c>
      <c r="EQ23" s="5" t="str">
        <f t="shared" si="202"/>
        <v/>
      </c>
      <c r="ER23" s="7" t="str">
        <f t="shared" si="203"/>
        <v/>
      </c>
      <c r="ES23" s="21" t="str">
        <f t="shared" si="127"/>
        <v/>
      </c>
      <c r="ET23" s="5" t="str">
        <f t="shared" si="34"/>
        <v/>
      </c>
      <c r="EU23" s="10" t="str">
        <f t="shared" si="35"/>
        <v/>
      </c>
      <c r="EV23" s="174" t="str">
        <f t="shared" si="253"/>
        <v/>
      </c>
      <c r="EW23" s="9" t="str">
        <f t="shared" si="128"/>
        <v/>
      </c>
      <c r="EX23" s="5" t="str">
        <f t="shared" si="36"/>
        <v/>
      </c>
      <c r="EY23" s="6" t="str">
        <f t="shared" si="204"/>
        <v/>
      </c>
      <c r="EZ23" s="51" t="str">
        <f t="shared" si="205"/>
        <v/>
      </c>
      <c r="FA23" s="266" t="str">
        <f t="shared" si="129"/>
        <v/>
      </c>
      <c r="FB23" s="267" t="str">
        <f t="shared" si="130"/>
        <v/>
      </c>
      <c r="FC23" s="269" t="str">
        <f t="shared" si="37"/>
        <v/>
      </c>
      <c r="FD23" s="4" t="str">
        <f t="shared" si="131"/>
        <v/>
      </c>
      <c r="FE23" s="5" t="str">
        <f t="shared" si="38"/>
        <v/>
      </c>
      <c r="FF23" s="7" t="str">
        <f t="shared" si="206"/>
        <v/>
      </c>
      <c r="FG23" s="173" t="str">
        <f t="shared" si="207"/>
        <v/>
      </c>
      <c r="FH23" s="5" t="str">
        <f t="shared" si="39"/>
        <v/>
      </c>
      <c r="FI23" s="10" t="str">
        <f t="shared" si="40"/>
        <v/>
      </c>
      <c r="FJ23" s="279" t="str">
        <f t="shared" si="208"/>
        <v/>
      </c>
      <c r="FK23" s="4" t="str">
        <f t="shared" si="41"/>
        <v/>
      </c>
      <c r="FL23" s="5" t="str">
        <f t="shared" si="209"/>
        <v/>
      </c>
      <c r="FM23" s="8" t="str">
        <f t="shared" si="210"/>
        <v/>
      </c>
      <c r="FN23" s="9" t="str">
        <f t="shared" si="211"/>
        <v/>
      </c>
      <c r="FO23" s="10" t="str">
        <f t="shared" si="42"/>
        <v/>
      </c>
      <c r="FP23" s="277" t="str">
        <f t="shared" si="43"/>
        <v/>
      </c>
      <c r="FQ23" s="173" t="str">
        <f t="shared" si="240"/>
        <v/>
      </c>
      <c r="FR23" s="10" t="str">
        <f t="shared" si="212"/>
        <v/>
      </c>
      <c r="FS23" s="9" t="str">
        <f t="shared" si="213"/>
        <v/>
      </c>
      <c r="FT23" s="6" t="str">
        <f t="shared" si="214"/>
        <v/>
      </c>
      <c r="FU23" s="4" t="str">
        <f t="shared" si="215"/>
        <v/>
      </c>
      <c r="FV23" s="5" t="str">
        <f t="shared" si="216"/>
        <v/>
      </c>
      <c r="FW23" s="8" t="str">
        <f t="shared" si="241"/>
        <v/>
      </c>
      <c r="FX23" s="9" t="str">
        <f t="shared" si="242"/>
        <v/>
      </c>
      <c r="FY23" s="10" t="str">
        <f t="shared" si="44"/>
        <v/>
      </c>
      <c r="FZ23" s="277" t="str">
        <f t="shared" si="243"/>
        <v/>
      </c>
      <c r="GA23" s="177" t="str">
        <f t="shared" si="217"/>
        <v/>
      </c>
      <c r="GB23" s="4" t="str">
        <f t="shared" si="218"/>
        <v/>
      </c>
      <c r="GC23" s="5" t="str">
        <f t="shared" si="219"/>
        <v/>
      </c>
      <c r="GD23" s="10" t="str">
        <f t="shared" si="220"/>
        <v/>
      </c>
      <c r="GE23" s="311" t="str">
        <f t="shared" si="221"/>
        <v/>
      </c>
      <c r="GF23" s="341" t="str">
        <f t="shared" si="244"/>
        <v/>
      </c>
      <c r="GG23" s="285" t="str">
        <f t="shared" si="45"/>
        <v/>
      </c>
      <c r="GH23" s="286" t="str">
        <f t="shared" si="46"/>
        <v/>
      </c>
      <c r="GI23" s="281" t="str">
        <f t="shared" si="47"/>
        <v/>
      </c>
      <c r="GJ23" s="167" t="str">
        <f t="shared" si="222"/>
        <v/>
      </c>
      <c r="GK23" s="174" t="str">
        <f t="shared" si="48"/>
        <v/>
      </c>
      <c r="GL23" s="174" t="str">
        <f t="shared" si="223"/>
        <v/>
      </c>
      <c r="GM23" s="177" t="str">
        <f t="shared" si="245"/>
        <v/>
      </c>
      <c r="GN23" s="280" t="str">
        <f t="shared" si="224"/>
        <v/>
      </c>
      <c r="GO23" s="4" t="str">
        <f t="shared" si="225"/>
        <v/>
      </c>
      <c r="GP23" s="8" t="str">
        <f t="shared" si="246"/>
        <v/>
      </c>
      <c r="GQ23" s="177" t="str">
        <f t="shared" si="226"/>
        <v/>
      </c>
      <c r="GR23" s="371" t="str">
        <f t="shared" si="247"/>
        <v/>
      </c>
      <c r="GS23" s="342" t="str">
        <f t="shared" si="50"/>
        <v/>
      </c>
      <c r="GT23" s="343" t="str">
        <f t="shared" si="51"/>
        <v/>
      </c>
      <c r="GU23" s="344" t="str">
        <f t="shared" si="52"/>
        <v/>
      </c>
      <c r="GV23" s="343" t="str">
        <f t="shared" si="254"/>
        <v/>
      </c>
      <c r="GW23" s="345" t="str">
        <f t="shared" si="53"/>
        <v/>
      </c>
      <c r="GX23" s="346" t="str">
        <f t="shared" si="54"/>
        <v/>
      </c>
      <c r="GY23" s="344" t="str">
        <f t="shared" si="55"/>
        <v/>
      </c>
      <c r="GZ23" s="345" t="str">
        <f t="shared" si="56"/>
        <v/>
      </c>
      <c r="HA23" s="342" t="str">
        <f t="shared" si="57"/>
        <v/>
      </c>
      <c r="HB23" s="5" t="str">
        <f t="shared" si="227"/>
        <v/>
      </c>
      <c r="HC23" s="343" t="str">
        <f t="shared" si="228"/>
        <v/>
      </c>
      <c r="HD23" s="345" t="str">
        <f t="shared" si="229"/>
        <v/>
      </c>
      <c r="HE23" s="344" t="str">
        <f t="shared" si="58"/>
        <v/>
      </c>
      <c r="HF23" s="5" t="str">
        <f t="shared" si="59"/>
        <v/>
      </c>
      <c r="HG23" s="343" t="str">
        <f t="shared" si="230"/>
        <v/>
      </c>
      <c r="HH23" s="349" t="str">
        <f t="shared" si="231"/>
        <v/>
      </c>
      <c r="HI23" s="317" t="str">
        <f t="shared" si="60"/>
        <v/>
      </c>
      <c r="HJ23" s="336"/>
      <c r="HK23" s="310" t="str">
        <f t="shared" si="132"/>
        <v/>
      </c>
      <c r="HL23" s="348" t="str">
        <f t="shared" si="61"/>
        <v/>
      </c>
      <c r="HM23" s="923" t="str">
        <f t="shared" si="62"/>
        <v/>
      </c>
      <c r="HN23" s="924" t="str">
        <f t="shared" si="63"/>
        <v/>
      </c>
      <c r="HO23" s="925"/>
      <c r="HP23" s="926"/>
      <c r="HQ23" s="924" t="str">
        <f t="shared" si="64"/>
        <v/>
      </c>
      <c r="HR23" s="927" t="str">
        <f t="shared" si="65"/>
        <v/>
      </c>
      <c r="HS23" s="879" t="str">
        <f t="shared" si="250"/>
        <v/>
      </c>
      <c r="HT23" s="889" t="str">
        <f t="shared" si="66"/>
        <v/>
      </c>
      <c r="HU23" s="890" t="str">
        <f t="shared" si="67"/>
        <v/>
      </c>
      <c r="HV23" s="886" t="str">
        <f t="shared" si="68"/>
        <v/>
      </c>
      <c r="HW23" s="880" t="str">
        <f t="shared" si="69"/>
        <v/>
      </c>
      <c r="HX23" s="881" t="str">
        <f t="shared" si="70"/>
        <v/>
      </c>
      <c r="HY23" s="880" t="str">
        <f t="shared" si="71"/>
        <v/>
      </c>
      <c r="HZ23" s="882" t="str">
        <f t="shared" si="72"/>
        <v/>
      </c>
      <c r="IA23" s="883" t="str">
        <f t="shared" si="73"/>
        <v/>
      </c>
      <c r="IB23" s="884" t="str">
        <f t="shared" si="74"/>
        <v/>
      </c>
      <c r="IC23" s="855" t="str">
        <f t="shared" si="75"/>
        <v/>
      </c>
      <c r="ID23" s="351" t="str">
        <f t="shared" si="76"/>
        <v/>
      </c>
      <c r="IE23" s="857" t="str">
        <f t="shared" si="77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2"/>
        <v>2.1160000000000001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8"/>
        <v>1913</v>
      </c>
      <c r="IM23" s="482" t="str">
        <f t="shared" si="233"/>
        <v/>
      </c>
      <c r="IN23" s="670" t="str">
        <f t="shared" si="80"/>
        <v/>
      </c>
      <c r="IO23" s="702"/>
      <c r="IP23" s="5" t="str">
        <f t="shared" si="81"/>
        <v/>
      </c>
      <c r="IQ23" s="714"/>
      <c r="IR23" s="9" t="str">
        <f t="shared" si="8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92"/>
        <v>0.02</v>
      </c>
      <c r="B24" s="578">
        <f t="shared" ref="B24:D24" si="275">IFERROR(O179-($A24*E24),"")</f>
        <v>5.015754470724394</v>
      </c>
      <c r="C24" s="572">
        <f t="shared" si="275"/>
        <v>1.2710117843223772</v>
      </c>
      <c r="D24" s="576">
        <f t="shared" si="275"/>
        <v>-0.13727237240276324</v>
      </c>
      <c r="E24" s="580">
        <f t="shared" ref="E24:K24" si="276">R179</f>
        <v>-0.22734332432919749</v>
      </c>
      <c r="F24" s="572">
        <f t="shared" si="276"/>
        <v>0.93603938771970441</v>
      </c>
      <c r="G24" s="579">
        <f t="shared" si="276"/>
        <v>0.26859872955818331</v>
      </c>
      <c r="H24" s="580">
        <f t="shared" si="276"/>
        <v>0.375</v>
      </c>
      <c r="I24" s="572">
        <f t="shared" si="276"/>
        <v>0.52</v>
      </c>
      <c r="J24" s="483">
        <f t="shared" si="95"/>
        <v>2.121</v>
      </c>
      <c r="K24" s="806">
        <f t="shared" si="276"/>
        <v>1913</v>
      </c>
      <c r="L24" s="82"/>
      <c r="M24" s="164">
        <f t="shared" si="3"/>
        <v>2.121</v>
      </c>
      <c r="N24" s="575">
        <f t="shared" si="4"/>
        <v>5.015754470724394</v>
      </c>
      <c r="O24" s="572">
        <f t="shared" si="5"/>
        <v>1.2710117843223772</v>
      </c>
      <c r="P24" s="576">
        <f t="shared" si="6"/>
        <v>-0.13727237240276324</v>
      </c>
      <c r="Q24" s="528">
        <f t="shared" si="135"/>
        <v>14.219653178221279</v>
      </c>
      <c r="R24" s="572">
        <f t="shared" si="96"/>
        <v>5.1742887304902201</v>
      </c>
      <c r="S24" s="577">
        <f t="shared" si="97"/>
        <v>-0.13727237240276324</v>
      </c>
      <c r="T24" s="578">
        <f t="shared" si="98"/>
        <v>1.2994399764055209</v>
      </c>
      <c r="U24" s="572">
        <f t="shared" si="99"/>
        <v>-5.0084647961423583</v>
      </c>
      <c r="V24" s="579">
        <f t="shared" si="136"/>
        <v>-0.13727237240276324</v>
      </c>
      <c r="W24" s="528">
        <f t="shared" si="257"/>
        <v>284.54462832402845</v>
      </c>
      <c r="X24" s="572">
        <f t="shared" si="100"/>
        <v>5.1742887304902201</v>
      </c>
      <c r="Y24" s="573">
        <f t="shared" si="260"/>
        <v>-0.13727237240276324</v>
      </c>
      <c r="Z24" s="575">
        <f t="shared" si="9"/>
        <v>0.22734332432919749</v>
      </c>
      <c r="AA24" s="572">
        <f t="shared" si="10"/>
        <v>-0.93603938771970441</v>
      </c>
      <c r="AB24" s="572">
        <f t="shared" si="11"/>
        <v>-0.26859872955818331</v>
      </c>
      <c r="AC24" s="579">
        <f t="shared" si="101"/>
        <v>1</v>
      </c>
      <c r="AD24" s="580">
        <f t="shared" si="137"/>
        <v>0.22734332432919749</v>
      </c>
      <c r="AE24" s="572">
        <f t="shared" si="102"/>
        <v>-0.93603938771970441</v>
      </c>
      <c r="AF24" s="576">
        <f t="shared" si="103"/>
        <v>-0.26859872955818331</v>
      </c>
      <c r="AG24" s="545">
        <f t="shared" si="104"/>
        <v>-73.989041801160013</v>
      </c>
      <c r="AH24" s="546">
        <f t="shared" si="105"/>
        <v>76.859287569370679</v>
      </c>
      <c r="AI24" s="528">
        <f t="shared" si="106"/>
        <v>-74.419099897846706</v>
      </c>
      <c r="AJ24" s="529">
        <f t="shared" si="107"/>
        <v>13.651544704178393</v>
      </c>
      <c r="AK24" s="578">
        <f>IF(M24="","",(COS(RADIANS((90-$Q$8)-W24))*AD24)+(-SIN(RADIANS((90-$Q$8)-W24))*AE24))</f>
        <v>0.96320480893737892</v>
      </c>
      <c r="AL24" s="572">
        <f t="shared" si="108"/>
        <v>-9.5508386876290985E-3</v>
      </c>
      <c r="AM24" s="577">
        <f t="shared" si="109"/>
        <v>-0.26859872955818331</v>
      </c>
      <c r="AN24" s="524">
        <f t="shared" si="110"/>
        <v>-2.0364664127307872</v>
      </c>
      <c r="AO24" s="525">
        <f t="shared" si="111"/>
        <v>15.590997400113812</v>
      </c>
      <c r="AP24" s="528">
        <f t="shared" si="112"/>
        <v>-0.56810847404289311</v>
      </c>
      <c r="AQ24" s="529">
        <f t="shared" si="12"/>
        <v>0.44057875733813773</v>
      </c>
      <c r="AS24" s="954">
        <f t="shared" si="138"/>
        <v>284.54462832402845</v>
      </c>
      <c r="AT24" s="950">
        <f t="shared" si="13"/>
        <v>-8.647627507363842E-2</v>
      </c>
      <c r="AU24" s="418"/>
      <c r="AV24" s="164" t="str">
        <f t="shared" si="14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39"/>
        <v/>
      </c>
      <c r="BA24" s="296" t="str">
        <f t="shared" si="15"/>
        <v/>
      </c>
      <c r="BB24" s="190" t="str">
        <f t="shared" si="140"/>
        <v/>
      </c>
      <c r="BC24" s="9"/>
      <c r="BD24" s="5" t="str">
        <f t="shared" si="141"/>
        <v/>
      </c>
      <c r="BE24" s="6" t="str">
        <f t="shared" si="16"/>
        <v/>
      </c>
      <c r="BF24" s="4" t="str">
        <f t="shared" si="17"/>
        <v/>
      </c>
      <c r="BG24" s="5" t="str">
        <f t="shared" si="18"/>
        <v/>
      </c>
      <c r="BH24" s="10" t="str">
        <f t="shared" si="19"/>
        <v/>
      </c>
      <c r="BI24" s="9" t="str">
        <f t="shared" si="142"/>
        <v/>
      </c>
      <c r="BJ24" s="5" t="str">
        <f t="shared" si="20"/>
        <v/>
      </c>
      <c r="BK24" s="8" t="str">
        <f t="shared" si="21"/>
        <v/>
      </c>
      <c r="BL24" s="173" t="str">
        <f t="shared" si="22"/>
        <v/>
      </c>
      <c r="BM24" s="5" t="str">
        <f t="shared" si="23"/>
        <v/>
      </c>
      <c r="BN24" s="6" t="str">
        <f t="shared" si="24"/>
        <v/>
      </c>
      <c r="BO24" s="4" t="str">
        <f t="shared" si="143"/>
        <v/>
      </c>
      <c r="BP24" s="5" t="str">
        <f t="shared" si="144"/>
        <v/>
      </c>
      <c r="BQ24" s="5" t="str">
        <f t="shared" si="145"/>
        <v/>
      </c>
      <c r="BR24" s="6" t="str">
        <f t="shared" si="146"/>
        <v/>
      </c>
      <c r="BS24" s="4" t="str">
        <f t="shared" si="113"/>
        <v/>
      </c>
      <c r="BT24" s="5" t="str">
        <f t="shared" si="113"/>
        <v/>
      </c>
      <c r="BU24" s="10" t="str">
        <f t="shared" si="114"/>
        <v/>
      </c>
      <c r="BV24" s="9" t="str">
        <f t="shared" si="115"/>
        <v/>
      </c>
      <c r="BW24" s="5" t="str">
        <f t="shared" si="116"/>
        <v/>
      </c>
      <c r="BX24" s="8" t="str">
        <f t="shared" si="117"/>
        <v/>
      </c>
      <c r="BY24" s="173" t="str">
        <f t="shared" si="118"/>
        <v/>
      </c>
      <c r="BZ24" s="5" t="str">
        <f t="shared" si="119"/>
        <v/>
      </c>
      <c r="CA24" s="6" t="str">
        <f t="shared" si="120"/>
        <v/>
      </c>
      <c r="CB24" s="4" t="str">
        <f t="shared" si="147"/>
        <v/>
      </c>
      <c r="CC24" s="5" t="str">
        <f t="shared" si="148"/>
        <v/>
      </c>
      <c r="CD24" s="5" t="str">
        <f t="shared" si="149"/>
        <v/>
      </c>
      <c r="CE24" s="6" t="str">
        <f t="shared" si="150"/>
        <v/>
      </c>
      <c r="CF24" s="4" t="str">
        <f t="shared" si="151"/>
        <v/>
      </c>
      <c r="CG24" s="5" t="str">
        <f t="shared" si="152"/>
        <v/>
      </c>
      <c r="CH24" s="5" t="str">
        <f t="shared" si="153"/>
        <v/>
      </c>
      <c r="CI24" s="4" t="str">
        <f t="shared" si="121"/>
        <v/>
      </c>
      <c r="CJ24" s="5" t="str">
        <f t="shared" si="122"/>
        <v/>
      </c>
      <c r="CK24" s="8" t="str">
        <f t="shared" si="123"/>
        <v/>
      </c>
      <c r="CL24" s="173" t="str">
        <f t="shared" si="124"/>
        <v/>
      </c>
      <c r="CM24" s="5" t="str">
        <f t="shared" si="125"/>
        <v/>
      </c>
      <c r="CN24" s="6" t="str">
        <f t="shared" si="126"/>
        <v/>
      </c>
      <c r="CO24" s="167" t="str">
        <f t="shared" si="25"/>
        <v/>
      </c>
      <c r="CP24" s="4" t="str">
        <f t="shared" si="237"/>
        <v/>
      </c>
      <c r="CQ24" s="5" t="str">
        <f t="shared" si="238"/>
        <v/>
      </c>
      <c r="CR24" s="5" t="str">
        <f t="shared" si="154"/>
        <v/>
      </c>
      <c r="CS24" s="8" t="str">
        <f t="shared" si="155"/>
        <v/>
      </c>
      <c r="CT24" s="9" t="str">
        <f t="shared" si="156"/>
        <v/>
      </c>
      <c r="CU24" s="6" t="str">
        <f t="shared" si="157"/>
        <v/>
      </c>
      <c r="CV24" s="4" t="str">
        <f t="shared" si="239"/>
        <v/>
      </c>
      <c r="CW24" s="5" t="str">
        <f t="shared" si="158"/>
        <v/>
      </c>
      <c r="CX24" s="8" t="str">
        <f t="shared" si="159"/>
        <v/>
      </c>
      <c r="CY24" s="9" t="str">
        <f t="shared" si="160"/>
        <v/>
      </c>
      <c r="CZ24" s="5" t="str">
        <f t="shared" si="161"/>
        <v/>
      </c>
      <c r="DA24" s="6" t="str">
        <f t="shared" si="162"/>
        <v/>
      </c>
      <c r="DB24" s="4" t="str">
        <f t="shared" si="163"/>
        <v/>
      </c>
      <c r="DC24" s="5" t="str">
        <f t="shared" si="163"/>
        <v/>
      </c>
      <c r="DD24" s="10" t="str">
        <f t="shared" si="164"/>
        <v/>
      </c>
      <c r="DE24" s="9" t="str">
        <f t="shared" si="165"/>
        <v/>
      </c>
      <c r="DF24" s="5" t="str">
        <f t="shared" si="165"/>
        <v/>
      </c>
      <c r="DG24" s="10" t="str">
        <f t="shared" si="166"/>
        <v/>
      </c>
      <c r="DH24" s="70" t="str">
        <f t="shared" si="167"/>
        <v/>
      </c>
      <c r="DI24" s="4" t="str">
        <f t="shared" si="168"/>
        <v/>
      </c>
      <c r="DJ24" s="5" t="str">
        <f t="shared" si="169"/>
        <v/>
      </c>
      <c r="DK24" s="10" t="str">
        <f t="shared" si="170"/>
        <v/>
      </c>
      <c r="DL24" s="9" t="str">
        <f t="shared" si="171"/>
        <v/>
      </c>
      <c r="DM24" s="173" t="str">
        <f t="shared" si="172"/>
        <v/>
      </c>
      <c r="DN24" s="178" t="str">
        <f t="shared" si="173"/>
        <v/>
      </c>
      <c r="DO24" s="9" t="str">
        <f t="shared" si="174"/>
        <v/>
      </c>
      <c r="DP24" s="173" t="str">
        <f t="shared" si="175"/>
        <v/>
      </c>
      <c r="DQ24" s="11" t="str">
        <f t="shared" si="176"/>
        <v/>
      </c>
      <c r="DR24" s="173" t="str">
        <f t="shared" si="177"/>
        <v/>
      </c>
      <c r="DS24" s="5" t="str">
        <f t="shared" si="178"/>
        <v/>
      </c>
      <c r="DT24" s="5" t="str">
        <f t="shared" si="179"/>
        <v/>
      </c>
      <c r="DU24" s="5" t="str">
        <f t="shared" si="180"/>
        <v/>
      </c>
      <c r="DV24" s="5" t="str">
        <f t="shared" si="181"/>
        <v/>
      </c>
      <c r="DW24" s="5" t="str">
        <f t="shared" si="182"/>
        <v/>
      </c>
      <c r="DX24" s="167" t="str">
        <f t="shared" si="183"/>
        <v/>
      </c>
      <c r="DY24" s="9" t="str">
        <f t="shared" si="184"/>
        <v/>
      </c>
      <c r="DZ24" s="5" t="str">
        <f t="shared" si="185"/>
        <v/>
      </c>
      <c r="EA24" s="10" t="str">
        <f t="shared" si="186"/>
        <v/>
      </c>
      <c r="EB24" s="6" t="str">
        <f t="shared" si="187"/>
        <v/>
      </c>
      <c r="EC24" s="173" t="str">
        <f t="shared" si="188"/>
        <v/>
      </c>
      <c r="ED24" s="5" t="str">
        <f t="shared" si="189"/>
        <v/>
      </c>
      <c r="EE24" s="4" t="str">
        <f t="shared" si="190"/>
        <v/>
      </c>
      <c r="EF24" s="5" t="str">
        <f t="shared" si="191"/>
        <v/>
      </c>
      <c r="EG24" s="10" t="str">
        <f t="shared" si="192"/>
        <v/>
      </c>
      <c r="EH24" s="9" t="str">
        <f t="shared" si="193"/>
        <v/>
      </c>
      <c r="EI24" s="5" t="str">
        <f t="shared" si="194"/>
        <v/>
      </c>
      <c r="EJ24" s="6" t="str">
        <f t="shared" si="195"/>
        <v/>
      </c>
      <c r="EK24" s="236" t="str">
        <f t="shared" si="196"/>
        <v/>
      </c>
      <c r="EL24" s="238" t="str">
        <f t="shared" si="197"/>
        <v/>
      </c>
      <c r="EM24" s="4" t="str">
        <f t="shared" si="198"/>
        <v/>
      </c>
      <c r="EN24" s="5" t="str">
        <f t="shared" si="199"/>
        <v/>
      </c>
      <c r="EO24" s="10" t="str">
        <f t="shared" si="200"/>
        <v/>
      </c>
      <c r="EP24" s="9" t="str">
        <f t="shared" si="201"/>
        <v/>
      </c>
      <c r="EQ24" s="5" t="str">
        <f t="shared" si="202"/>
        <v/>
      </c>
      <c r="ER24" s="7" t="str">
        <f t="shared" si="203"/>
        <v/>
      </c>
      <c r="ES24" s="21" t="str">
        <f t="shared" si="127"/>
        <v/>
      </c>
      <c r="ET24" s="5" t="str">
        <f t="shared" si="34"/>
        <v/>
      </c>
      <c r="EU24" s="10" t="str">
        <f t="shared" si="35"/>
        <v/>
      </c>
      <c r="EV24" s="174" t="str">
        <f t="shared" si="253"/>
        <v/>
      </c>
      <c r="EW24" s="9" t="str">
        <f t="shared" si="128"/>
        <v/>
      </c>
      <c r="EX24" s="5" t="str">
        <f t="shared" si="36"/>
        <v/>
      </c>
      <c r="EY24" s="6" t="str">
        <f t="shared" si="204"/>
        <v/>
      </c>
      <c r="EZ24" s="51" t="str">
        <f t="shared" si="205"/>
        <v/>
      </c>
      <c r="FA24" s="266" t="str">
        <f t="shared" si="129"/>
        <v/>
      </c>
      <c r="FB24" s="267" t="str">
        <f t="shared" si="130"/>
        <v/>
      </c>
      <c r="FC24" s="269" t="str">
        <f t="shared" si="37"/>
        <v/>
      </c>
      <c r="FD24" s="4" t="str">
        <f t="shared" si="131"/>
        <v/>
      </c>
      <c r="FE24" s="5" t="str">
        <f t="shared" si="38"/>
        <v/>
      </c>
      <c r="FF24" s="7" t="str">
        <f t="shared" si="206"/>
        <v/>
      </c>
      <c r="FG24" s="173" t="str">
        <f t="shared" si="207"/>
        <v/>
      </c>
      <c r="FH24" s="5" t="str">
        <f t="shared" si="39"/>
        <v/>
      </c>
      <c r="FI24" s="10" t="str">
        <f t="shared" si="40"/>
        <v/>
      </c>
      <c r="FJ24" s="279" t="str">
        <f t="shared" si="208"/>
        <v/>
      </c>
      <c r="FK24" s="4" t="str">
        <f t="shared" si="41"/>
        <v/>
      </c>
      <c r="FL24" s="5" t="str">
        <f t="shared" si="209"/>
        <v/>
      </c>
      <c r="FM24" s="8" t="str">
        <f t="shared" si="210"/>
        <v/>
      </c>
      <c r="FN24" s="9" t="str">
        <f t="shared" si="211"/>
        <v/>
      </c>
      <c r="FO24" s="10" t="str">
        <f t="shared" si="42"/>
        <v/>
      </c>
      <c r="FP24" s="277" t="str">
        <f t="shared" si="43"/>
        <v/>
      </c>
      <c r="FQ24" s="173" t="str">
        <f t="shared" si="240"/>
        <v/>
      </c>
      <c r="FR24" s="10" t="str">
        <f t="shared" si="212"/>
        <v/>
      </c>
      <c r="FS24" s="9" t="str">
        <f t="shared" si="213"/>
        <v/>
      </c>
      <c r="FT24" s="6" t="str">
        <f t="shared" si="214"/>
        <v/>
      </c>
      <c r="FU24" s="4" t="str">
        <f t="shared" si="215"/>
        <v/>
      </c>
      <c r="FV24" s="5" t="str">
        <f t="shared" si="216"/>
        <v/>
      </c>
      <c r="FW24" s="8" t="str">
        <f t="shared" si="241"/>
        <v/>
      </c>
      <c r="FX24" s="9" t="str">
        <f t="shared" si="242"/>
        <v/>
      </c>
      <c r="FY24" s="10" t="str">
        <f t="shared" si="44"/>
        <v/>
      </c>
      <c r="FZ24" s="277" t="str">
        <f t="shared" si="243"/>
        <v/>
      </c>
      <c r="GA24" s="177" t="str">
        <f t="shared" si="217"/>
        <v/>
      </c>
      <c r="GB24" s="4" t="str">
        <f t="shared" si="218"/>
        <v/>
      </c>
      <c r="GC24" s="5" t="str">
        <f t="shared" si="219"/>
        <v/>
      </c>
      <c r="GD24" s="10" t="str">
        <f t="shared" si="220"/>
        <v/>
      </c>
      <c r="GE24" s="311" t="str">
        <f t="shared" si="221"/>
        <v/>
      </c>
      <c r="GF24" s="341" t="str">
        <f t="shared" si="244"/>
        <v/>
      </c>
      <c r="GG24" s="285" t="str">
        <f t="shared" si="45"/>
        <v/>
      </c>
      <c r="GH24" s="286" t="str">
        <f t="shared" si="46"/>
        <v/>
      </c>
      <c r="GI24" s="281" t="str">
        <f t="shared" si="47"/>
        <v/>
      </c>
      <c r="GJ24" s="167" t="str">
        <f t="shared" si="222"/>
        <v/>
      </c>
      <c r="GK24" s="174" t="str">
        <f t="shared" si="48"/>
        <v/>
      </c>
      <c r="GL24" s="174" t="str">
        <f t="shared" si="223"/>
        <v/>
      </c>
      <c r="GM24" s="177" t="str">
        <f t="shared" si="245"/>
        <v/>
      </c>
      <c r="GN24" s="280" t="str">
        <f t="shared" si="224"/>
        <v/>
      </c>
      <c r="GO24" s="4" t="str">
        <f t="shared" si="225"/>
        <v/>
      </c>
      <c r="GP24" s="8" t="str">
        <f t="shared" si="246"/>
        <v/>
      </c>
      <c r="GQ24" s="177" t="str">
        <f t="shared" si="226"/>
        <v/>
      </c>
      <c r="GR24" s="371" t="str">
        <f t="shared" si="247"/>
        <v/>
      </c>
      <c r="GS24" s="342" t="str">
        <f t="shared" si="50"/>
        <v/>
      </c>
      <c r="GT24" s="343" t="str">
        <f t="shared" si="51"/>
        <v/>
      </c>
      <c r="GU24" s="344" t="str">
        <f t="shared" si="52"/>
        <v/>
      </c>
      <c r="GV24" s="343" t="str">
        <f t="shared" si="254"/>
        <v/>
      </c>
      <c r="GW24" s="345" t="str">
        <f t="shared" si="53"/>
        <v/>
      </c>
      <c r="GX24" s="346" t="str">
        <f t="shared" si="54"/>
        <v/>
      </c>
      <c r="GY24" s="344" t="str">
        <f t="shared" si="55"/>
        <v/>
      </c>
      <c r="GZ24" s="345" t="str">
        <f t="shared" si="56"/>
        <v/>
      </c>
      <c r="HA24" s="342" t="str">
        <f t="shared" si="57"/>
        <v/>
      </c>
      <c r="HB24" s="5" t="str">
        <f t="shared" si="227"/>
        <v/>
      </c>
      <c r="HC24" s="343" t="str">
        <f t="shared" si="228"/>
        <v/>
      </c>
      <c r="HD24" s="363" t="str">
        <f t="shared" si="229"/>
        <v/>
      </c>
      <c r="HE24" s="344" t="str">
        <f t="shared" si="58"/>
        <v/>
      </c>
      <c r="HF24" s="5" t="str">
        <f t="shared" si="59"/>
        <v/>
      </c>
      <c r="HG24" s="343" t="str">
        <f t="shared" si="230"/>
        <v/>
      </c>
      <c r="HH24" s="349" t="str">
        <f t="shared" si="231"/>
        <v/>
      </c>
      <c r="HI24" s="317" t="str">
        <f t="shared" si="60"/>
        <v/>
      </c>
      <c r="HJ24" s="336"/>
      <c r="HK24" s="310" t="str">
        <f t="shared" si="132"/>
        <v/>
      </c>
      <c r="HL24" s="348" t="str">
        <f t="shared" si="61"/>
        <v/>
      </c>
      <c r="HM24" s="923" t="str">
        <f t="shared" si="62"/>
        <v/>
      </c>
      <c r="HN24" s="924" t="str">
        <f t="shared" si="63"/>
        <v/>
      </c>
      <c r="HO24" s="925"/>
      <c r="HP24" s="926"/>
      <c r="HQ24" s="924" t="str">
        <f t="shared" si="64"/>
        <v/>
      </c>
      <c r="HR24" s="927" t="str">
        <f t="shared" si="65"/>
        <v/>
      </c>
      <c r="HS24" s="879" t="str">
        <f t="shared" si="250"/>
        <v/>
      </c>
      <c r="HT24" s="889" t="str">
        <f t="shared" si="66"/>
        <v/>
      </c>
      <c r="HU24" s="890" t="str">
        <f t="shared" si="67"/>
        <v/>
      </c>
      <c r="HV24" s="886" t="str">
        <f t="shared" si="68"/>
        <v/>
      </c>
      <c r="HW24" s="880" t="str">
        <f t="shared" si="69"/>
        <v/>
      </c>
      <c r="HX24" s="881" t="str">
        <f t="shared" si="70"/>
        <v/>
      </c>
      <c r="HY24" s="880" t="str">
        <f t="shared" si="71"/>
        <v/>
      </c>
      <c r="HZ24" s="882" t="str">
        <f t="shared" si="72"/>
        <v/>
      </c>
      <c r="IA24" s="883" t="str">
        <f t="shared" si="73"/>
        <v/>
      </c>
      <c r="IB24" s="884" t="str">
        <f t="shared" si="74"/>
        <v/>
      </c>
      <c r="IC24" s="855" t="str">
        <f t="shared" si="75"/>
        <v/>
      </c>
      <c r="ID24" s="351" t="str">
        <f t="shared" si="76"/>
        <v/>
      </c>
      <c r="IE24" s="857" t="str">
        <f t="shared" si="77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2"/>
        <v>2.121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8"/>
        <v>1913</v>
      </c>
      <c r="IM24" s="482" t="str">
        <f t="shared" si="233"/>
        <v/>
      </c>
      <c r="IN24" s="670" t="str">
        <f t="shared" si="80"/>
        <v/>
      </c>
      <c r="IO24" s="702"/>
      <c r="IP24" s="5" t="str">
        <f t="shared" si="81"/>
        <v/>
      </c>
      <c r="IQ24" s="714"/>
      <c r="IR24" s="9" t="str">
        <f t="shared" si="8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92"/>
        <v>0.02</v>
      </c>
      <c r="B25" s="578">
        <f t="shared" ref="B25:D25" si="277">IFERROR(O180-($A25*E25),"")</f>
        <v>5.8933446682697692</v>
      </c>
      <c r="C25" s="572">
        <f t="shared" si="277"/>
        <v>1.4237618426893708</v>
      </c>
      <c r="D25" s="576">
        <f t="shared" si="277"/>
        <v>-0.29253296970299714</v>
      </c>
      <c r="E25" s="580">
        <f t="shared" ref="E25:K25" si="278">R180</f>
        <v>-0.14745470695835447</v>
      </c>
      <c r="F25" s="572">
        <f t="shared" si="278"/>
        <v>0.95104559826361235</v>
      </c>
      <c r="G25" s="579">
        <f t="shared" si="278"/>
        <v>0.27160519033927455</v>
      </c>
      <c r="H25" s="580">
        <f t="shared" si="278"/>
        <v>0.375</v>
      </c>
      <c r="I25" s="572">
        <f t="shared" si="278"/>
        <v>0.52</v>
      </c>
      <c r="J25" s="483">
        <f t="shared" si="95"/>
        <v>2.1259999999999999</v>
      </c>
      <c r="K25" s="806">
        <f t="shared" si="278"/>
        <v>1913</v>
      </c>
      <c r="L25" s="82"/>
      <c r="M25" s="164">
        <f t="shared" si="3"/>
        <v>2.1259999999999999</v>
      </c>
      <c r="N25" s="575">
        <f t="shared" si="4"/>
        <v>5.8933446682697692</v>
      </c>
      <c r="O25" s="572">
        <f t="shared" si="5"/>
        <v>1.4237618426893708</v>
      </c>
      <c r="P25" s="576">
        <f t="shared" si="6"/>
        <v>-0.29253296970299714</v>
      </c>
      <c r="Q25" s="528">
        <f t="shared" si="135"/>
        <v>13.581737084993897</v>
      </c>
      <c r="R25" s="572">
        <f>IF(M25="","",SQRT(N25^2+O25^2))</f>
        <v>6.0628878567661095</v>
      </c>
      <c r="S25" s="577">
        <f>IF(M25="","",P25)</f>
        <v>-0.29253296970299714</v>
      </c>
      <c r="T25" s="578">
        <f>IF(M25="","",X25*COS(RADIANS(W25)))</f>
        <v>1.4571651428857939</v>
      </c>
      <c r="U25" s="572">
        <f>IF(M25="","",X25*SIN(RADIANS(W25)))</f>
        <v>-5.8851745012429815</v>
      </c>
      <c r="V25" s="579">
        <f>IF(M25="","",Y25)</f>
        <v>-0.29253296970299714</v>
      </c>
      <c r="W25" s="528">
        <f t="shared" si="257"/>
        <v>283.90671223080108</v>
      </c>
      <c r="X25" s="572">
        <f>IF(M25="","",R25)</f>
        <v>6.0628878567661095</v>
      </c>
      <c r="Y25" s="573">
        <f t="shared" si="260"/>
        <v>-0.29253296970299714</v>
      </c>
      <c r="Z25" s="575">
        <f t="shared" si="9"/>
        <v>0.14745470695835447</v>
      </c>
      <c r="AA25" s="572">
        <f t="shared" si="10"/>
        <v>-0.95104559826361235</v>
      </c>
      <c r="AB25" s="572">
        <f t="shared" si="11"/>
        <v>-0.27160519033927455</v>
      </c>
      <c r="AC25" s="579">
        <f>IF(M25="","",SQRT(Z25^2+AA25^2+AB25^2))</f>
        <v>1</v>
      </c>
      <c r="AD25" s="580">
        <f>IF(M25="","",Z25*(1/SQRT(Z25^2+AA25^2+AB25^2)))</f>
        <v>0.14745470695835447</v>
      </c>
      <c r="AE25" s="572">
        <f>IF(M25="","",AA25*(1/SQRT(Z25^2+AA25^2+AB25^2)))</f>
        <v>-0.95104559826361235</v>
      </c>
      <c r="AF25" s="576">
        <f>IF(M25="","",AB25*(1/SQRT(Z25^2+AA25^2+AB25^2)))</f>
        <v>-0.27160519033927455</v>
      </c>
      <c r="AG25" s="545">
        <f>IF(M25="","",DEGREES(ATAN2(-AF25,AE25)))</f>
        <v>-74.061406391504079</v>
      </c>
      <c r="AH25" s="546">
        <f>IF(M25="","",DEGREES(ACOS(AD25)))</f>
        <v>81.520548212169487</v>
      </c>
      <c r="AI25" s="528">
        <f>IF(M25="","",DEGREES(-ACOS(-AF25)))</f>
        <v>-74.240192622561494</v>
      </c>
      <c r="AJ25" s="529">
        <f>IF(M25="","",DEGREES(ATAN2(-AE25,AD25)))</f>
        <v>8.8132415033601941</v>
      </c>
      <c r="AK25" s="578">
        <f>IF(M25="","",(COS(RADIANS((90-$Q$8)-W25))*AD25)+(-SIN(RADIANS((90-$Q$8)-W25))*AE25))</f>
        <v>0.95907759280279548</v>
      </c>
      <c r="AL25" s="572">
        <f>IF(M25="","",(SIN(RADIANS((90-$Q$8)-W25))*AD25)+(COS(RADIANS((90-$Q$8)-W25))*AE25))</f>
        <v>-8.0004947124297593E-2</v>
      </c>
      <c r="AM25" s="577">
        <f>IF(M25="","",AF25)</f>
        <v>-0.27160519033927455</v>
      </c>
      <c r="AN25" s="524">
        <f>IF(M25="","",DEGREES(ATAN2(-AM25,AL25)))</f>
        <v>-16.413043605455464</v>
      </c>
      <c r="AO25" s="525">
        <f>IF(ROUND(IF(M25="",0,DEGREES(ACOS(AK25))),4)=90,0,IF(M25="","",DEGREES(ACOS(AK25))))</f>
        <v>16.44790110835897</v>
      </c>
      <c r="AP25" s="528">
        <f>IF(M25="","",DEGREES(ATAN2(AK25,AL25)))</f>
        <v>-4.7684955816337276</v>
      </c>
      <c r="AQ25" s="529">
        <f t="shared" si="12"/>
        <v>0.37600792863229587</v>
      </c>
      <c r="AS25" s="954">
        <f t="shared" si="138"/>
        <v>283.90671223080108</v>
      </c>
      <c r="AT25" s="950">
        <f t="shared" si="13"/>
        <v>-0.24129387508690886</v>
      </c>
      <c r="AU25" s="418"/>
      <c r="AV25" s="164" t="str">
        <f t="shared" si="14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39"/>
        <v/>
      </c>
      <c r="BA25" s="296" t="str">
        <f t="shared" si="15"/>
        <v/>
      </c>
      <c r="BB25" s="190" t="str">
        <f t="shared" si="140"/>
        <v/>
      </c>
      <c r="BC25" s="9"/>
      <c r="BD25" s="5" t="str">
        <f t="shared" si="141"/>
        <v/>
      </c>
      <c r="BE25" s="6" t="str">
        <f t="shared" si="16"/>
        <v/>
      </c>
      <c r="BF25" s="4" t="str">
        <f t="shared" si="17"/>
        <v/>
      </c>
      <c r="BG25" s="5" t="str">
        <f t="shared" si="18"/>
        <v/>
      </c>
      <c r="BH25" s="10" t="str">
        <f t="shared" si="19"/>
        <v/>
      </c>
      <c r="BI25" s="9" t="str">
        <f t="shared" si="142"/>
        <v/>
      </c>
      <c r="BJ25" s="5" t="str">
        <f t="shared" si="20"/>
        <v/>
      </c>
      <c r="BK25" s="8" t="str">
        <f t="shared" si="21"/>
        <v/>
      </c>
      <c r="BL25" s="173" t="str">
        <f t="shared" si="22"/>
        <v/>
      </c>
      <c r="BM25" s="5" t="str">
        <f t="shared" si="23"/>
        <v/>
      </c>
      <c r="BN25" s="6" t="str">
        <f t="shared" si="24"/>
        <v/>
      </c>
      <c r="BO25" s="4" t="str">
        <f t="shared" si="143"/>
        <v/>
      </c>
      <c r="BP25" s="5" t="str">
        <f t="shared" si="144"/>
        <v/>
      </c>
      <c r="BQ25" s="5" t="str">
        <f t="shared" si="145"/>
        <v/>
      </c>
      <c r="BR25" s="6" t="str">
        <f t="shared" si="146"/>
        <v/>
      </c>
      <c r="BS25" s="4" t="str">
        <f t="shared" si="113"/>
        <v/>
      </c>
      <c r="BT25" s="5" t="str">
        <f t="shared" si="113"/>
        <v/>
      </c>
      <c r="BU25" s="10" t="str">
        <f t="shared" si="114"/>
        <v/>
      </c>
      <c r="BV25" s="9" t="str">
        <f t="shared" si="115"/>
        <v/>
      </c>
      <c r="BW25" s="5" t="str">
        <f t="shared" si="116"/>
        <v/>
      </c>
      <c r="BX25" s="8" t="str">
        <f t="shared" si="117"/>
        <v/>
      </c>
      <c r="BY25" s="173" t="str">
        <f t="shared" si="118"/>
        <v/>
      </c>
      <c r="BZ25" s="5" t="str">
        <f t="shared" si="119"/>
        <v/>
      </c>
      <c r="CA25" s="6" t="str">
        <f t="shared" si="120"/>
        <v/>
      </c>
      <c r="CB25" s="4" t="str">
        <f t="shared" si="147"/>
        <v/>
      </c>
      <c r="CC25" s="5" t="str">
        <f t="shared" si="148"/>
        <v/>
      </c>
      <c r="CD25" s="5" t="str">
        <f t="shared" si="149"/>
        <v/>
      </c>
      <c r="CE25" s="6" t="str">
        <f t="shared" si="150"/>
        <v/>
      </c>
      <c r="CF25" s="4" t="str">
        <f t="shared" si="151"/>
        <v/>
      </c>
      <c r="CG25" s="5" t="str">
        <f t="shared" si="152"/>
        <v/>
      </c>
      <c r="CH25" s="5" t="str">
        <f t="shared" si="153"/>
        <v/>
      </c>
      <c r="CI25" s="4" t="str">
        <f t="shared" si="121"/>
        <v/>
      </c>
      <c r="CJ25" s="5" t="str">
        <f t="shared" si="122"/>
        <v/>
      </c>
      <c r="CK25" s="8" t="str">
        <f t="shared" si="123"/>
        <v/>
      </c>
      <c r="CL25" s="173" t="str">
        <f t="shared" si="124"/>
        <v/>
      </c>
      <c r="CM25" s="5" t="str">
        <f t="shared" si="125"/>
        <v/>
      </c>
      <c r="CN25" s="6" t="str">
        <f t="shared" si="126"/>
        <v/>
      </c>
      <c r="CO25" s="167" t="str">
        <f t="shared" si="25"/>
        <v/>
      </c>
      <c r="CP25" s="4" t="str">
        <f t="shared" si="237"/>
        <v/>
      </c>
      <c r="CQ25" s="5" t="str">
        <f t="shared" si="238"/>
        <v/>
      </c>
      <c r="CR25" s="5" t="str">
        <f t="shared" si="154"/>
        <v/>
      </c>
      <c r="CS25" s="8" t="str">
        <f t="shared" si="155"/>
        <v/>
      </c>
      <c r="CT25" s="9" t="str">
        <f t="shared" si="156"/>
        <v/>
      </c>
      <c r="CU25" s="6" t="str">
        <f t="shared" si="157"/>
        <v/>
      </c>
      <c r="CV25" s="4" t="str">
        <f t="shared" si="239"/>
        <v/>
      </c>
      <c r="CW25" s="5" t="str">
        <f t="shared" si="158"/>
        <v/>
      </c>
      <c r="CX25" s="8" t="str">
        <f t="shared" si="159"/>
        <v/>
      </c>
      <c r="CY25" s="9" t="str">
        <f t="shared" si="160"/>
        <v/>
      </c>
      <c r="CZ25" s="5" t="str">
        <f t="shared" si="161"/>
        <v/>
      </c>
      <c r="DA25" s="6" t="str">
        <f t="shared" si="162"/>
        <v/>
      </c>
      <c r="DB25" s="4" t="str">
        <f t="shared" si="163"/>
        <v/>
      </c>
      <c r="DC25" s="5" t="str">
        <f t="shared" si="163"/>
        <v/>
      </c>
      <c r="DD25" s="10" t="str">
        <f t="shared" si="164"/>
        <v/>
      </c>
      <c r="DE25" s="9" t="str">
        <f t="shared" si="165"/>
        <v/>
      </c>
      <c r="DF25" s="5" t="str">
        <f t="shared" si="165"/>
        <v/>
      </c>
      <c r="DG25" s="10" t="str">
        <f t="shared" si="166"/>
        <v/>
      </c>
      <c r="DH25" s="70" t="str">
        <f t="shared" si="167"/>
        <v/>
      </c>
      <c r="DI25" s="4" t="str">
        <f t="shared" si="168"/>
        <v/>
      </c>
      <c r="DJ25" s="5" t="str">
        <f t="shared" si="169"/>
        <v/>
      </c>
      <c r="DK25" s="10" t="str">
        <f t="shared" si="170"/>
        <v/>
      </c>
      <c r="DL25" s="9" t="str">
        <f t="shared" si="171"/>
        <v/>
      </c>
      <c r="DM25" s="173" t="str">
        <f t="shared" si="172"/>
        <v/>
      </c>
      <c r="DN25" s="178" t="str">
        <f t="shared" si="173"/>
        <v/>
      </c>
      <c r="DO25" s="9" t="str">
        <f t="shared" si="174"/>
        <v/>
      </c>
      <c r="DP25" s="173" t="str">
        <f t="shared" si="175"/>
        <v/>
      </c>
      <c r="DQ25" s="11" t="str">
        <f t="shared" si="176"/>
        <v/>
      </c>
      <c r="DR25" s="173" t="str">
        <f t="shared" si="177"/>
        <v/>
      </c>
      <c r="DS25" s="5" t="str">
        <f t="shared" si="178"/>
        <v/>
      </c>
      <c r="DT25" s="5" t="str">
        <f t="shared" si="179"/>
        <v/>
      </c>
      <c r="DU25" s="5" t="str">
        <f t="shared" si="180"/>
        <v/>
      </c>
      <c r="DV25" s="5" t="str">
        <f t="shared" si="181"/>
        <v/>
      </c>
      <c r="DW25" s="5" t="str">
        <f t="shared" si="182"/>
        <v/>
      </c>
      <c r="DX25" s="167" t="str">
        <f t="shared" si="183"/>
        <v/>
      </c>
      <c r="DY25" s="9" t="str">
        <f t="shared" si="184"/>
        <v/>
      </c>
      <c r="DZ25" s="5" t="str">
        <f t="shared" si="185"/>
        <v/>
      </c>
      <c r="EA25" s="10" t="str">
        <f t="shared" si="186"/>
        <v/>
      </c>
      <c r="EB25" s="6" t="str">
        <f t="shared" si="187"/>
        <v/>
      </c>
      <c r="EC25" s="173" t="str">
        <f t="shared" si="188"/>
        <v/>
      </c>
      <c r="ED25" s="5" t="str">
        <f t="shared" si="189"/>
        <v/>
      </c>
      <c r="EE25" s="4" t="str">
        <f t="shared" si="190"/>
        <v/>
      </c>
      <c r="EF25" s="5" t="str">
        <f t="shared" si="191"/>
        <v/>
      </c>
      <c r="EG25" s="10" t="str">
        <f t="shared" si="192"/>
        <v/>
      </c>
      <c r="EH25" s="9" t="str">
        <f t="shared" si="193"/>
        <v/>
      </c>
      <c r="EI25" s="5" t="str">
        <f t="shared" si="194"/>
        <v/>
      </c>
      <c r="EJ25" s="6" t="str">
        <f t="shared" si="195"/>
        <v/>
      </c>
      <c r="EK25" s="236" t="str">
        <f t="shared" si="196"/>
        <v/>
      </c>
      <c r="EL25" s="238" t="str">
        <f t="shared" si="197"/>
        <v/>
      </c>
      <c r="EM25" s="4" t="str">
        <f t="shared" si="198"/>
        <v/>
      </c>
      <c r="EN25" s="5" t="str">
        <f t="shared" si="199"/>
        <v/>
      </c>
      <c r="EO25" s="10" t="str">
        <f t="shared" si="200"/>
        <v/>
      </c>
      <c r="EP25" s="9" t="str">
        <f t="shared" si="201"/>
        <v/>
      </c>
      <c r="EQ25" s="5" t="str">
        <f t="shared" si="202"/>
        <v/>
      </c>
      <c r="ER25" s="7" t="str">
        <f t="shared" si="203"/>
        <v/>
      </c>
      <c r="ES25" s="21" t="str">
        <f t="shared" si="127"/>
        <v/>
      </c>
      <c r="ET25" s="5" t="str">
        <f t="shared" si="34"/>
        <v/>
      </c>
      <c r="EU25" s="10" t="str">
        <f t="shared" si="35"/>
        <v/>
      </c>
      <c r="EV25" s="174" t="str">
        <f t="shared" si="253"/>
        <v/>
      </c>
      <c r="EW25" s="9" t="str">
        <f t="shared" si="128"/>
        <v/>
      </c>
      <c r="EX25" s="5" t="str">
        <f t="shared" si="36"/>
        <v/>
      </c>
      <c r="EY25" s="6" t="str">
        <f t="shared" si="204"/>
        <v/>
      </c>
      <c r="EZ25" s="51" t="str">
        <f t="shared" si="205"/>
        <v/>
      </c>
      <c r="FA25" s="266" t="str">
        <f t="shared" si="129"/>
        <v/>
      </c>
      <c r="FB25" s="267" t="str">
        <f t="shared" si="130"/>
        <v/>
      </c>
      <c r="FC25" s="269" t="str">
        <f t="shared" si="37"/>
        <v/>
      </c>
      <c r="FD25" s="4" t="str">
        <f t="shared" si="131"/>
        <v/>
      </c>
      <c r="FE25" s="5" t="str">
        <f t="shared" si="38"/>
        <v/>
      </c>
      <c r="FF25" s="7" t="str">
        <f t="shared" si="206"/>
        <v/>
      </c>
      <c r="FG25" s="173" t="str">
        <f t="shared" si="207"/>
        <v/>
      </c>
      <c r="FH25" s="5" t="str">
        <f t="shared" si="39"/>
        <v/>
      </c>
      <c r="FI25" s="10" t="str">
        <f t="shared" si="40"/>
        <v/>
      </c>
      <c r="FJ25" s="279" t="str">
        <f t="shared" si="208"/>
        <v/>
      </c>
      <c r="FK25" s="4" t="str">
        <f t="shared" si="41"/>
        <v/>
      </c>
      <c r="FL25" s="5" t="str">
        <f t="shared" si="209"/>
        <v/>
      </c>
      <c r="FM25" s="8" t="str">
        <f t="shared" si="210"/>
        <v/>
      </c>
      <c r="FN25" s="9" t="str">
        <f t="shared" si="211"/>
        <v/>
      </c>
      <c r="FO25" s="10" t="str">
        <f t="shared" si="42"/>
        <v/>
      </c>
      <c r="FP25" s="277" t="str">
        <f t="shared" si="43"/>
        <v/>
      </c>
      <c r="FQ25" s="173" t="str">
        <f t="shared" si="240"/>
        <v/>
      </c>
      <c r="FR25" s="10" t="str">
        <f t="shared" si="212"/>
        <v/>
      </c>
      <c r="FS25" s="9" t="str">
        <f t="shared" si="213"/>
        <v/>
      </c>
      <c r="FT25" s="6" t="str">
        <f t="shared" si="214"/>
        <v/>
      </c>
      <c r="FU25" s="4" t="str">
        <f t="shared" si="215"/>
        <v/>
      </c>
      <c r="FV25" s="5" t="str">
        <f t="shared" si="216"/>
        <v/>
      </c>
      <c r="FW25" s="8" t="str">
        <f t="shared" si="241"/>
        <v/>
      </c>
      <c r="FX25" s="9" t="str">
        <f t="shared" si="242"/>
        <v/>
      </c>
      <c r="FY25" s="10" t="str">
        <f t="shared" si="44"/>
        <v/>
      </c>
      <c r="FZ25" s="277" t="str">
        <f t="shared" si="243"/>
        <v/>
      </c>
      <c r="GA25" s="177" t="str">
        <f t="shared" si="217"/>
        <v/>
      </c>
      <c r="GB25" s="4" t="str">
        <f t="shared" si="218"/>
        <v/>
      </c>
      <c r="GC25" s="5" t="str">
        <f t="shared" si="219"/>
        <v/>
      </c>
      <c r="GD25" s="10" t="str">
        <f t="shared" si="220"/>
        <v/>
      </c>
      <c r="GE25" s="311" t="str">
        <f t="shared" si="221"/>
        <v/>
      </c>
      <c r="GF25" s="341" t="str">
        <f t="shared" si="244"/>
        <v/>
      </c>
      <c r="GG25" s="285" t="str">
        <f t="shared" si="45"/>
        <v/>
      </c>
      <c r="GH25" s="286" t="str">
        <f t="shared" si="46"/>
        <v/>
      </c>
      <c r="GI25" s="281" t="str">
        <f t="shared" si="47"/>
        <v/>
      </c>
      <c r="GJ25" s="167" t="str">
        <f t="shared" si="222"/>
        <v/>
      </c>
      <c r="GK25" s="174" t="str">
        <f t="shared" si="48"/>
        <v/>
      </c>
      <c r="GL25" s="174" t="str">
        <f t="shared" si="223"/>
        <v/>
      </c>
      <c r="GM25" s="177" t="str">
        <f t="shared" si="245"/>
        <v/>
      </c>
      <c r="GN25" s="280" t="str">
        <f t="shared" si="224"/>
        <v/>
      </c>
      <c r="GO25" s="4" t="str">
        <f t="shared" si="225"/>
        <v/>
      </c>
      <c r="GP25" s="8" t="str">
        <f t="shared" si="246"/>
        <v/>
      </c>
      <c r="GQ25" s="177" t="str">
        <f t="shared" si="226"/>
        <v/>
      </c>
      <c r="GR25" s="371" t="str">
        <f t="shared" si="247"/>
        <v/>
      </c>
      <c r="GS25" s="342" t="str">
        <f t="shared" si="50"/>
        <v/>
      </c>
      <c r="GT25" s="343" t="str">
        <f t="shared" si="51"/>
        <v/>
      </c>
      <c r="GU25" s="344" t="str">
        <f t="shared" si="52"/>
        <v/>
      </c>
      <c r="GV25" s="343" t="str">
        <f t="shared" si="254"/>
        <v/>
      </c>
      <c r="GW25" s="345" t="str">
        <f t="shared" si="53"/>
        <v/>
      </c>
      <c r="GX25" s="346" t="str">
        <f t="shared" si="54"/>
        <v/>
      </c>
      <c r="GY25" s="344" t="str">
        <f t="shared" si="55"/>
        <v/>
      </c>
      <c r="GZ25" s="345" t="str">
        <f t="shared" si="56"/>
        <v/>
      </c>
      <c r="HA25" s="342" t="str">
        <f t="shared" si="57"/>
        <v/>
      </c>
      <c r="HB25" s="5" t="str">
        <f t="shared" si="227"/>
        <v/>
      </c>
      <c r="HC25" s="343" t="str">
        <f t="shared" si="228"/>
        <v/>
      </c>
      <c r="HD25" s="363" t="str">
        <f t="shared" si="229"/>
        <v/>
      </c>
      <c r="HE25" s="344" t="str">
        <f t="shared" si="58"/>
        <v/>
      </c>
      <c r="HF25" s="5" t="str">
        <f t="shared" si="59"/>
        <v/>
      </c>
      <c r="HG25" s="343" t="str">
        <f t="shared" si="230"/>
        <v/>
      </c>
      <c r="HH25" s="349" t="str">
        <f t="shared" si="231"/>
        <v/>
      </c>
      <c r="HI25" s="317" t="str">
        <f t="shared" si="60"/>
        <v/>
      </c>
      <c r="HJ25" s="336"/>
      <c r="HK25" s="310" t="str">
        <f t="shared" si="132"/>
        <v/>
      </c>
      <c r="HL25" s="348" t="str">
        <f t="shared" si="61"/>
        <v/>
      </c>
      <c r="HM25" s="923" t="str">
        <f t="shared" si="62"/>
        <v/>
      </c>
      <c r="HN25" s="924" t="str">
        <f t="shared" si="63"/>
        <v/>
      </c>
      <c r="HO25" s="925"/>
      <c r="HP25" s="926"/>
      <c r="HQ25" s="924" t="str">
        <f t="shared" si="64"/>
        <v/>
      </c>
      <c r="HR25" s="927" t="str">
        <f t="shared" si="65"/>
        <v/>
      </c>
      <c r="HS25" s="879" t="str">
        <f t="shared" si="250"/>
        <v/>
      </c>
      <c r="HT25" s="889" t="str">
        <f t="shared" si="66"/>
        <v/>
      </c>
      <c r="HU25" s="890" t="str">
        <f t="shared" si="67"/>
        <v/>
      </c>
      <c r="HV25" s="886" t="str">
        <f t="shared" si="68"/>
        <v/>
      </c>
      <c r="HW25" s="880" t="str">
        <f t="shared" si="69"/>
        <v/>
      </c>
      <c r="HX25" s="881" t="str">
        <f t="shared" si="70"/>
        <v/>
      </c>
      <c r="HY25" s="880" t="str">
        <f t="shared" si="71"/>
        <v/>
      </c>
      <c r="HZ25" s="882" t="str">
        <f t="shared" si="72"/>
        <v/>
      </c>
      <c r="IA25" s="883" t="str">
        <f t="shared" si="73"/>
        <v/>
      </c>
      <c r="IB25" s="884" t="str">
        <f t="shared" si="74"/>
        <v/>
      </c>
      <c r="IC25" s="855" t="str">
        <f t="shared" si="75"/>
        <v/>
      </c>
      <c r="ID25" s="351" t="str">
        <f t="shared" si="76"/>
        <v/>
      </c>
      <c r="IE25" s="857" t="str">
        <f t="shared" si="77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2"/>
        <v>2.1259999999999999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8"/>
        <v>1913</v>
      </c>
      <c r="IM25" s="482" t="str">
        <f t="shared" si="233"/>
        <v/>
      </c>
      <c r="IN25" s="670" t="str">
        <f t="shared" si="80"/>
        <v/>
      </c>
      <c r="IO25" s="702"/>
      <c r="IP25" s="5" t="str">
        <f t="shared" si="81"/>
        <v/>
      </c>
      <c r="IQ25" s="714"/>
      <c r="IR25" s="9" t="str">
        <f t="shared" si="8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92"/>
        <v>0.02</v>
      </c>
      <c r="B26" s="578">
        <f t="shared" ref="B26:D26" si="279">IFERROR(O181-($A26*E26),"")</f>
        <v>6.7033483747863167</v>
      </c>
      <c r="C26" s="572">
        <f t="shared" si="279"/>
        <v>1.5319827830499262</v>
      </c>
      <c r="D26" s="576">
        <f t="shared" si="279"/>
        <v>-0.68293166023504615</v>
      </c>
      <c r="E26" s="580">
        <f t="shared" ref="E26:K26" si="280">R181</f>
        <v>-6.0420186302752518E-2</v>
      </c>
      <c r="F26" s="572">
        <f t="shared" si="280"/>
        <v>0.96331572438555135</v>
      </c>
      <c r="G26" s="579">
        <f t="shared" si="280"/>
        <v>0.26148081428410985</v>
      </c>
      <c r="H26" s="580">
        <f t="shared" si="280"/>
        <v>0.375</v>
      </c>
      <c r="I26" s="572">
        <f t="shared" si="280"/>
        <v>0.52</v>
      </c>
      <c r="J26" s="483">
        <f t="shared" si="95"/>
        <v>2.1309999999999998</v>
      </c>
      <c r="K26" s="806">
        <f t="shared" si="280"/>
        <v>1913</v>
      </c>
      <c r="L26" s="309"/>
      <c r="M26" s="164">
        <f t="shared" si="3"/>
        <v>2.1309999999999998</v>
      </c>
      <c r="N26" s="575">
        <f t="shared" si="4"/>
        <v>6.7033483747863167</v>
      </c>
      <c r="O26" s="572">
        <f t="shared" si="5"/>
        <v>1.5319827830499262</v>
      </c>
      <c r="P26" s="576">
        <f t="shared" si="6"/>
        <v>-0.68293166023504615</v>
      </c>
      <c r="Q26" s="528">
        <f t="shared" si="135"/>
        <v>12.873286538882633</v>
      </c>
      <c r="R26" s="572">
        <f>IF(M26="","",SQRT(N26^2+O26^2))</f>
        <v>6.8761799482933652</v>
      </c>
      <c r="S26" s="577">
        <f>IF(M26="","",P26)</f>
        <v>-0.68293166023504615</v>
      </c>
      <c r="T26" s="578">
        <f>IF(M26="","",X26*COS(RADIANS(W26)))</f>
        <v>1.5699785667792034</v>
      </c>
      <c r="U26" s="572">
        <f>IF(M26="","",X26*SIN(RADIANS(W26)))</f>
        <v>-6.694551365189878</v>
      </c>
      <c r="V26" s="579">
        <f>IF(M26="","",Y26)</f>
        <v>-0.68293166023504615</v>
      </c>
      <c r="W26" s="528">
        <f t="shared" si="257"/>
        <v>283.19826168468978</v>
      </c>
      <c r="X26" s="572">
        <f>IF(M26="","",R26)</f>
        <v>6.8761799482933652</v>
      </c>
      <c r="Y26" s="573">
        <f t="shared" si="260"/>
        <v>-0.68293166023504615</v>
      </c>
      <c r="Z26" s="575">
        <f t="shared" si="9"/>
        <v>6.0420186302752518E-2</v>
      </c>
      <c r="AA26" s="572">
        <f t="shared" si="10"/>
        <v>-0.96331572438555135</v>
      </c>
      <c r="AB26" s="572">
        <f t="shared" si="11"/>
        <v>-0.26148081428410985</v>
      </c>
      <c r="AC26" s="579">
        <f>IF(M26="","",SQRT(Z26^2+AA26^2+AB26^2))</f>
        <v>1</v>
      </c>
      <c r="AD26" s="580">
        <f>IF(M26="","",Z26*(1/SQRT(Z26^2+AA26^2+AB26^2)))</f>
        <v>6.0420186302752518E-2</v>
      </c>
      <c r="AE26" s="572">
        <f>IF(M26="","",AA26*(1/SQRT(Z26^2+AA26^2+AB26^2)))</f>
        <v>-0.96331572438555135</v>
      </c>
      <c r="AF26" s="576">
        <f>IF(M26="","",AB26*(1/SQRT(Z26^2+AA26^2+AB26^2)))</f>
        <v>-0.26148081428410985</v>
      </c>
      <c r="AG26" s="545">
        <f>IF(M26="","",DEGREES(ATAN2(-AF26,AE26)))</f>
        <v>-74.813641825451896</v>
      </c>
      <c r="AH26" s="546">
        <f>IF(M26="","",DEGREES(ACOS(AD26)))</f>
        <v>86.536068572704039</v>
      </c>
      <c r="AI26" s="528">
        <f>IF(M26="","",DEGREES(-ACOS(-AF26)))</f>
        <v>-74.842053421380072</v>
      </c>
      <c r="AJ26" s="529">
        <f>IF(M26="","",DEGREES(ATAN2(-AE26,AD26)))</f>
        <v>3.5889508979377074</v>
      </c>
      <c r="AK26" s="578">
        <f>IF(M26="","",(COS(RADIANS((90-$Q$8)-W26))*AD26)+(-SIN(RADIANS((90-$Q$8)-W26))*AE26))</f>
        <v>0.95256430603683584</v>
      </c>
      <c r="AL26" s="572">
        <f>IF(M26="","",(SIN(RADIANS((90-$Q$8)-W26))*AD26)+(COS(RADIANS((90-$Q$8)-W26))*AE26))</f>
        <v>-0.15572098967666595</v>
      </c>
      <c r="AM26" s="577">
        <f>IF(M26="","",AF26)</f>
        <v>-0.26148081428410985</v>
      </c>
      <c r="AN26" s="524">
        <f>IF(M26="","",DEGREES(ATAN2(-AM26,AL26)))</f>
        <v>-30.775280930996999</v>
      </c>
      <c r="AO26" s="525">
        <f t="shared" si="111"/>
        <v>17.718303748312241</v>
      </c>
      <c r="AP26" s="528">
        <f>IF(M26="","",DEGREES(ATAN2(AK26,AL26)))</f>
        <v>-9.2843356409449118</v>
      </c>
      <c r="AQ26" s="529">
        <f t="shared" si="12"/>
        <v>0.33153599898380198</v>
      </c>
      <c r="AS26" s="954">
        <f t="shared" si="138"/>
        <v>283.19826168468978</v>
      </c>
      <c r="AT26" s="950">
        <f t="shared" si="13"/>
        <v>-0.6312005860730473</v>
      </c>
      <c r="AU26" s="418"/>
      <c r="AV26" s="164" t="str">
        <f t="shared" si="14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39"/>
        <v/>
      </c>
      <c r="BA26" s="296" t="str">
        <f t="shared" si="15"/>
        <v/>
      </c>
      <c r="BB26" s="190" t="str">
        <f t="shared" si="140"/>
        <v/>
      </c>
      <c r="BC26" s="9"/>
      <c r="BD26" s="5" t="str">
        <f t="shared" si="141"/>
        <v/>
      </c>
      <c r="BE26" s="6" t="str">
        <f t="shared" si="16"/>
        <v/>
      </c>
      <c r="BF26" s="4" t="str">
        <f t="shared" si="17"/>
        <v/>
      </c>
      <c r="BG26" s="5" t="str">
        <f t="shared" si="18"/>
        <v/>
      </c>
      <c r="BH26" s="10" t="str">
        <f t="shared" si="19"/>
        <v/>
      </c>
      <c r="BI26" s="9" t="str">
        <f t="shared" si="142"/>
        <v/>
      </c>
      <c r="BJ26" s="5" t="str">
        <f t="shared" si="20"/>
        <v/>
      </c>
      <c r="BK26" s="8" t="str">
        <f t="shared" si="21"/>
        <v/>
      </c>
      <c r="BL26" s="173" t="str">
        <f t="shared" si="22"/>
        <v/>
      </c>
      <c r="BM26" s="5" t="str">
        <f t="shared" si="23"/>
        <v/>
      </c>
      <c r="BN26" s="6" t="str">
        <f t="shared" si="24"/>
        <v/>
      </c>
      <c r="BO26" s="4" t="str">
        <f t="shared" si="143"/>
        <v/>
      </c>
      <c r="BP26" s="5" t="str">
        <f t="shared" si="144"/>
        <v/>
      </c>
      <c r="BQ26" s="5" t="str">
        <f t="shared" si="145"/>
        <v/>
      </c>
      <c r="BR26" s="6" t="str">
        <f t="shared" si="146"/>
        <v/>
      </c>
      <c r="BS26" s="4" t="str">
        <f t="shared" si="113"/>
        <v/>
      </c>
      <c r="BT26" s="5" t="str">
        <f t="shared" si="113"/>
        <v/>
      </c>
      <c r="BU26" s="10" t="str">
        <f t="shared" si="114"/>
        <v/>
      </c>
      <c r="BV26" s="9" t="str">
        <f t="shared" si="115"/>
        <v/>
      </c>
      <c r="BW26" s="5" t="str">
        <f t="shared" si="116"/>
        <v/>
      </c>
      <c r="BX26" s="8" t="str">
        <f t="shared" si="117"/>
        <v/>
      </c>
      <c r="BY26" s="173" t="str">
        <f t="shared" si="118"/>
        <v/>
      </c>
      <c r="BZ26" s="5" t="str">
        <f t="shared" si="119"/>
        <v/>
      </c>
      <c r="CA26" s="6" t="str">
        <f t="shared" si="120"/>
        <v/>
      </c>
      <c r="CB26" s="4" t="str">
        <f t="shared" si="147"/>
        <v/>
      </c>
      <c r="CC26" s="5" t="str">
        <f t="shared" si="148"/>
        <v/>
      </c>
      <c r="CD26" s="5" t="str">
        <f t="shared" si="149"/>
        <v/>
      </c>
      <c r="CE26" s="6" t="str">
        <f t="shared" si="150"/>
        <v/>
      </c>
      <c r="CF26" s="4" t="str">
        <f t="shared" si="151"/>
        <v/>
      </c>
      <c r="CG26" s="5" t="str">
        <f t="shared" si="152"/>
        <v/>
      </c>
      <c r="CH26" s="5" t="str">
        <f t="shared" si="153"/>
        <v/>
      </c>
      <c r="CI26" s="4" t="str">
        <f t="shared" si="121"/>
        <v/>
      </c>
      <c r="CJ26" s="5" t="str">
        <f t="shared" si="122"/>
        <v/>
      </c>
      <c r="CK26" s="8" t="str">
        <f t="shared" si="123"/>
        <v/>
      </c>
      <c r="CL26" s="173" t="str">
        <f t="shared" si="124"/>
        <v/>
      </c>
      <c r="CM26" s="5" t="str">
        <f t="shared" si="125"/>
        <v/>
      </c>
      <c r="CN26" s="6" t="str">
        <f t="shared" si="126"/>
        <v/>
      </c>
      <c r="CO26" s="167" t="str">
        <f t="shared" si="25"/>
        <v/>
      </c>
      <c r="CP26" s="4" t="str">
        <f t="shared" si="237"/>
        <v/>
      </c>
      <c r="CQ26" s="5" t="str">
        <f t="shared" si="238"/>
        <v/>
      </c>
      <c r="CR26" s="5" t="str">
        <f t="shared" si="154"/>
        <v/>
      </c>
      <c r="CS26" s="8" t="str">
        <f t="shared" si="155"/>
        <v/>
      </c>
      <c r="CT26" s="9" t="str">
        <f t="shared" si="156"/>
        <v/>
      </c>
      <c r="CU26" s="6" t="str">
        <f t="shared" si="157"/>
        <v/>
      </c>
      <c r="CV26" s="4" t="str">
        <f t="shared" si="239"/>
        <v/>
      </c>
      <c r="CW26" s="5" t="str">
        <f t="shared" si="158"/>
        <v/>
      </c>
      <c r="CX26" s="8" t="str">
        <f t="shared" si="159"/>
        <v/>
      </c>
      <c r="CY26" s="9" t="str">
        <f t="shared" si="160"/>
        <v/>
      </c>
      <c r="CZ26" s="5" t="str">
        <f t="shared" si="161"/>
        <v/>
      </c>
      <c r="DA26" s="6" t="str">
        <f t="shared" si="162"/>
        <v/>
      </c>
      <c r="DB26" s="4" t="str">
        <f t="shared" si="163"/>
        <v/>
      </c>
      <c r="DC26" s="5" t="str">
        <f t="shared" si="163"/>
        <v/>
      </c>
      <c r="DD26" s="10" t="str">
        <f t="shared" si="164"/>
        <v/>
      </c>
      <c r="DE26" s="9" t="str">
        <f t="shared" si="165"/>
        <v/>
      </c>
      <c r="DF26" s="5" t="str">
        <f t="shared" si="165"/>
        <v/>
      </c>
      <c r="DG26" s="10" t="str">
        <f t="shared" si="166"/>
        <v/>
      </c>
      <c r="DH26" s="70" t="str">
        <f t="shared" si="167"/>
        <v/>
      </c>
      <c r="DI26" s="4" t="str">
        <f t="shared" si="168"/>
        <v/>
      </c>
      <c r="DJ26" s="5" t="str">
        <f t="shared" si="169"/>
        <v/>
      </c>
      <c r="DK26" s="10" t="str">
        <f t="shared" si="170"/>
        <v/>
      </c>
      <c r="DL26" s="9" t="str">
        <f t="shared" si="171"/>
        <v/>
      </c>
      <c r="DM26" s="173" t="str">
        <f t="shared" si="172"/>
        <v/>
      </c>
      <c r="DN26" s="178" t="str">
        <f t="shared" si="173"/>
        <v/>
      </c>
      <c r="DO26" s="9" t="str">
        <f t="shared" si="174"/>
        <v/>
      </c>
      <c r="DP26" s="173" t="str">
        <f t="shared" si="175"/>
        <v/>
      </c>
      <c r="DQ26" s="11" t="str">
        <f t="shared" si="176"/>
        <v/>
      </c>
      <c r="DR26" s="173" t="str">
        <f t="shared" si="177"/>
        <v/>
      </c>
      <c r="DS26" s="5" t="str">
        <f t="shared" si="178"/>
        <v/>
      </c>
      <c r="DT26" s="5" t="str">
        <f t="shared" si="179"/>
        <v/>
      </c>
      <c r="DU26" s="5" t="str">
        <f t="shared" si="180"/>
        <v/>
      </c>
      <c r="DV26" s="5" t="str">
        <f t="shared" si="181"/>
        <v/>
      </c>
      <c r="DW26" s="5" t="str">
        <f t="shared" si="182"/>
        <v/>
      </c>
      <c r="DX26" s="167" t="str">
        <f t="shared" si="183"/>
        <v/>
      </c>
      <c r="DY26" s="9" t="str">
        <f t="shared" si="184"/>
        <v/>
      </c>
      <c r="DZ26" s="5" t="str">
        <f t="shared" si="185"/>
        <v/>
      </c>
      <c r="EA26" s="10" t="str">
        <f t="shared" si="186"/>
        <v/>
      </c>
      <c r="EB26" s="6" t="str">
        <f t="shared" si="187"/>
        <v/>
      </c>
      <c r="EC26" s="173" t="str">
        <f t="shared" si="188"/>
        <v/>
      </c>
      <c r="ED26" s="5" t="str">
        <f t="shared" si="189"/>
        <v/>
      </c>
      <c r="EE26" s="4" t="str">
        <f t="shared" si="190"/>
        <v/>
      </c>
      <c r="EF26" s="5" t="str">
        <f t="shared" si="191"/>
        <v/>
      </c>
      <c r="EG26" s="10" t="str">
        <f t="shared" si="192"/>
        <v/>
      </c>
      <c r="EH26" s="9" t="str">
        <f t="shared" si="193"/>
        <v/>
      </c>
      <c r="EI26" s="5" t="str">
        <f t="shared" si="194"/>
        <v/>
      </c>
      <c r="EJ26" s="6" t="str">
        <f t="shared" si="195"/>
        <v/>
      </c>
      <c r="EK26" s="236" t="str">
        <f t="shared" si="196"/>
        <v/>
      </c>
      <c r="EL26" s="238" t="str">
        <f t="shared" si="197"/>
        <v/>
      </c>
      <c r="EM26" s="4" t="str">
        <f t="shared" si="198"/>
        <v/>
      </c>
      <c r="EN26" s="5" t="str">
        <f t="shared" si="199"/>
        <v/>
      </c>
      <c r="EO26" s="10" t="str">
        <f t="shared" si="200"/>
        <v/>
      </c>
      <c r="EP26" s="9" t="str">
        <f t="shared" si="201"/>
        <v/>
      </c>
      <c r="EQ26" s="5" t="str">
        <f t="shared" si="202"/>
        <v/>
      </c>
      <c r="ER26" s="7" t="str">
        <f t="shared" si="203"/>
        <v/>
      </c>
      <c r="ES26" s="21" t="str">
        <f t="shared" si="127"/>
        <v/>
      </c>
      <c r="ET26" s="5" t="str">
        <f t="shared" si="34"/>
        <v/>
      </c>
      <c r="EU26" s="10" t="str">
        <f t="shared" si="35"/>
        <v/>
      </c>
      <c r="EV26" s="174" t="str">
        <f t="shared" si="253"/>
        <v/>
      </c>
      <c r="EW26" s="9" t="str">
        <f t="shared" si="128"/>
        <v/>
      </c>
      <c r="EX26" s="5" t="str">
        <f t="shared" si="36"/>
        <v/>
      </c>
      <c r="EY26" s="6" t="str">
        <f t="shared" si="204"/>
        <v/>
      </c>
      <c r="EZ26" s="51" t="str">
        <f t="shared" si="205"/>
        <v/>
      </c>
      <c r="FA26" s="266" t="str">
        <f t="shared" si="129"/>
        <v/>
      </c>
      <c r="FB26" s="267" t="str">
        <f t="shared" si="130"/>
        <v/>
      </c>
      <c r="FC26" s="269" t="str">
        <f t="shared" si="37"/>
        <v/>
      </c>
      <c r="FD26" s="4" t="str">
        <f t="shared" si="131"/>
        <v/>
      </c>
      <c r="FE26" s="5" t="str">
        <f t="shared" si="38"/>
        <v/>
      </c>
      <c r="FF26" s="7" t="str">
        <f t="shared" si="206"/>
        <v/>
      </c>
      <c r="FG26" s="173" t="str">
        <f t="shared" si="207"/>
        <v/>
      </c>
      <c r="FH26" s="5" t="str">
        <f t="shared" si="39"/>
        <v/>
      </c>
      <c r="FI26" s="10" t="str">
        <f t="shared" si="40"/>
        <v/>
      </c>
      <c r="FJ26" s="279" t="str">
        <f t="shared" si="208"/>
        <v/>
      </c>
      <c r="FK26" s="4" t="str">
        <f t="shared" si="41"/>
        <v/>
      </c>
      <c r="FL26" s="5" t="str">
        <f t="shared" si="209"/>
        <v/>
      </c>
      <c r="FM26" s="8" t="str">
        <f t="shared" si="210"/>
        <v/>
      </c>
      <c r="FN26" s="9" t="str">
        <f t="shared" si="211"/>
        <v/>
      </c>
      <c r="FO26" s="10" t="str">
        <f t="shared" si="42"/>
        <v/>
      </c>
      <c r="FP26" s="277" t="str">
        <f t="shared" si="43"/>
        <v/>
      </c>
      <c r="FQ26" s="173" t="str">
        <f t="shared" si="240"/>
        <v/>
      </c>
      <c r="FR26" s="10" t="str">
        <f t="shared" si="212"/>
        <v/>
      </c>
      <c r="FS26" s="9" t="str">
        <f>IF(ISNUMBER($AV26),FQ26/(FQ26+FR26),"")</f>
        <v/>
      </c>
      <c r="FT26" s="6" t="str">
        <f t="shared" si="214"/>
        <v/>
      </c>
      <c r="FU26" s="4" t="str">
        <f t="shared" si="215"/>
        <v/>
      </c>
      <c r="FV26" s="5" t="str">
        <f t="shared" si="216"/>
        <v/>
      </c>
      <c r="FW26" s="8" t="str">
        <f t="shared" si="241"/>
        <v/>
      </c>
      <c r="FX26" s="9" t="str">
        <f t="shared" si="242"/>
        <v/>
      </c>
      <c r="FY26" s="10" t="str">
        <f t="shared" si="44"/>
        <v/>
      </c>
      <c r="FZ26" s="277" t="str">
        <f t="shared" si="243"/>
        <v/>
      </c>
      <c r="GA26" s="177" t="str">
        <f t="shared" si="217"/>
        <v/>
      </c>
      <c r="GB26" s="4" t="str">
        <f t="shared" si="218"/>
        <v/>
      </c>
      <c r="GC26" s="5" t="str">
        <f t="shared" si="219"/>
        <v/>
      </c>
      <c r="GD26" s="10" t="str">
        <f t="shared" si="220"/>
        <v/>
      </c>
      <c r="GE26" s="311" t="str">
        <f t="shared" si="221"/>
        <v/>
      </c>
      <c r="GF26" s="341" t="str">
        <f>IF(ISNUMBER($AV26),1/GE26,"")</f>
        <v/>
      </c>
      <c r="GG26" s="285" t="str">
        <f t="shared" si="45"/>
        <v/>
      </c>
      <c r="GH26" s="286" t="str">
        <f t="shared" si="46"/>
        <v/>
      </c>
      <c r="GI26" s="281" t="str">
        <f t="shared" si="47"/>
        <v/>
      </c>
      <c r="GJ26" s="167" t="str">
        <f t="shared" si="222"/>
        <v/>
      </c>
      <c r="GK26" s="174" t="str">
        <f t="shared" si="48"/>
        <v/>
      </c>
      <c r="GL26" s="174" t="str">
        <f t="shared" si="223"/>
        <v/>
      </c>
      <c r="GM26" s="177" t="str">
        <f t="shared" si="245"/>
        <v/>
      </c>
      <c r="GN26" s="280" t="str">
        <f t="shared" si="224"/>
        <v/>
      </c>
      <c r="GO26" s="4" t="str">
        <f t="shared" si="225"/>
        <v/>
      </c>
      <c r="GP26" s="8" t="str">
        <f t="shared" si="246"/>
        <v/>
      </c>
      <c r="GQ26" s="177" t="str">
        <f t="shared" si="226"/>
        <v/>
      </c>
      <c r="GR26" s="371" t="str">
        <f t="shared" si="247"/>
        <v/>
      </c>
      <c r="GS26" s="342" t="str">
        <f t="shared" si="50"/>
        <v/>
      </c>
      <c r="GT26" s="343" t="str">
        <f t="shared" si="51"/>
        <v/>
      </c>
      <c r="GU26" s="344" t="str">
        <f t="shared" si="52"/>
        <v/>
      </c>
      <c r="GV26" s="343" t="str">
        <f t="shared" si="254"/>
        <v/>
      </c>
      <c r="GW26" s="345" t="str">
        <f t="shared" si="53"/>
        <v/>
      </c>
      <c r="GX26" s="346" t="str">
        <f t="shared" si="54"/>
        <v/>
      </c>
      <c r="GY26" s="344" t="str">
        <f t="shared" si="55"/>
        <v/>
      </c>
      <c r="GZ26" s="345" t="str">
        <f t="shared" si="56"/>
        <v/>
      </c>
      <c r="HA26" s="342" t="str">
        <f t="shared" si="57"/>
        <v/>
      </c>
      <c r="HB26" s="5" t="str">
        <f t="shared" si="227"/>
        <v/>
      </c>
      <c r="HC26" s="343" t="str">
        <f t="shared" si="228"/>
        <v/>
      </c>
      <c r="HD26" s="363" t="str">
        <f t="shared" si="229"/>
        <v/>
      </c>
      <c r="HE26" s="344" t="str">
        <f t="shared" si="58"/>
        <v/>
      </c>
      <c r="HF26" s="5" t="str">
        <f t="shared" si="59"/>
        <v/>
      </c>
      <c r="HG26" s="343" t="str">
        <f t="shared" si="230"/>
        <v/>
      </c>
      <c r="HH26" s="349" t="str">
        <f t="shared" si="231"/>
        <v/>
      </c>
      <c r="HI26" s="317" t="str">
        <f t="shared" si="60"/>
        <v/>
      </c>
      <c r="HJ26" s="336"/>
      <c r="HK26" s="310" t="str">
        <f t="shared" si="132"/>
        <v/>
      </c>
      <c r="HL26" s="348" t="str">
        <f t="shared" si="61"/>
        <v/>
      </c>
      <c r="HM26" s="923" t="str">
        <f t="shared" si="62"/>
        <v/>
      </c>
      <c r="HN26" s="924" t="str">
        <f t="shared" si="63"/>
        <v/>
      </c>
      <c r="HO26" s="925"/>
      <c r="HP26" s="926"/>
      <c r="HQ26" s="924" t="str">
        <f t="shared" si="64"/>
        <v/>
      </c>
      <c r="HR26" s="927" t="str">
        <f t="shared" si="65"/>
        <v/>
      </c>
      <c r="HS26" s="879" t="str">
        <f t="shared" si="250"/>
        <v/>
      </c>
      <c r="HT26" s="889" t="str">
        <f t="shared" si="66"/>
        <v/>
      </c>
      <c r="HU26" s="890" t="str">
        <f t="shared" si="67"/>
        <v/>
      </c>
      <c r="HV26" s="886" t="str">
        <f t="shared" si="68"/>
        <v/>
      </c>
      <c r="HW26" s="880" t="str">
        <f t="shared" si="69"/>
        <v/>
      </c>
      <c r="HX26" s="881" t="str">
        <f t="shared" si="70"/>
        <v/>
      </c>
      <c r="HY26" s="880" t="str">
        <f t="shared" si="71"/>
        <v/>
      </c>
      <c r="HZ26" s="882" t="str">
        <f t="shared" si="72"/>
        <v/>
      </c>
      <c r="IA26" s="883" t="str">
        <f t="shared" si="73"/>
        <v/>
      </c>
      <c r="IB26" s="884" t="str">
        <f t="shared" si="74"/>
        <v/>
      </c>
      <c r="IC26" s="855" t="str">
        <f t="shared" si="75"/>
        <v/>
      </c>
      <c r="ID26" s="351" t="str">
        <f t="shared" si="76"/>
        <v/>
      </c>
      <c r="IE26" s="857" t="str">
        <f t="shared" si="77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2"/>
        <v>2.1309999999999998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8"/>
        <v>1913</v>
      </c>
      <c r="IM26" s="482" t="str">
        <f t="shared" si="233"/>
        <v/>
      </c>
      <c r="IN26" s="670" t="str">
        <f t="shared" si="80"/>
        <v/>
      </c>
      <c r="IO26" s="702"/>
      <c r="IP26" s="5" t="str">
        <f t="shared" si="81"/>
        <v/>
      </c>
      <c r="IQ26" s="714"/>
      <c r="IR26" s="9" t="str">
        <f t="shared" si="8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92"/>
        <v>0.02</v>
      </c>
      <c r="B27" s="578">
        <f t="shared" ref="B27:D27" si="281">IFERROR(O182-($A27*E27),"")</f>
        <v>7.3855433914488202</v>
      </c>
      <c r="C27" s="572">
        <f t="shared" si="281"/>
        <v>1.5990713327007349</v>
      </c>
      <c r="D27" s="576">
        <f t="shared" si="281"/>
        <v>-1.2752302931769985</v>
      </c>
      <c r="E27" s="580">
        <f t="shared" ref="E27:K27" si="282">R182</f>
        <v>2.6193810941374199E-2</v>
      </c>
      <c r="F27" s="572">
        <f t="shared" si="282"/>
        <v>0.97252430816818602</v>
      </c>
      <c r="G27" s="579">
        <f t="shared" si="282"/>
        <v>0.23132305179198803</v>
      </c>
      <c r="H27" s="580">
        <f t="shared" si="282"/>
        <v>0.375</v>
      </c>
      <c r="I27" s="572">
        <f t="shared" si="282"/>
        <v>0.52</v>
      </c>
      <c r="J27" s="483">
        <f t="shared" si="95"/>
        <v>2.1360000000000001</v>
      </c>
      <c r="K27" s="806">
        <f t="shared" si="282"/>
        <v>1913</v>
      </c>
      <c r="L27" s="309"/>
      <c r="M27" s="164">
        <f t="shared" si="3"/>
        <v>2.1360000000000001</v>
      </c>
      <c r="N27" s="575">
        <f t="shared" si="4"/>
        <v>7.3855433914488202</v>
      </c>
      <c r="O27" s="572">
        <f t="shared" si="5"/>
        <v>1.5990713327007349</v>
      </c>
      <c r="P27" s="576">
        <f t="shared" si="6"/>
        <v>-1.2752302931769985</v>
      </c>
      <c r="Q27" s="528">
        <f t="shared" si="135"/>
        <v>12.216751103241117</v>
      </c>
      <c r="R27" s="572">
        <f t="shared" si="96"/>
        <v>7.5566712455974061</v>
      </c>
      <c r="S27" s="577">
        <f t="shared" si="97"/>
        <v>-1.2752302931769985</v>
      </c>
      <c r="T27" s="578">
        <f t="shared" si="98"/>
        <v>1.6409353491138055</v>
      </c>
      <c r="U27" s="572">
        <f t="shared" si="99"/>
        <v>-7.3763548920904967</v>
      </c>
      <c r="V27" s="579">
        <f t="shared" si="136"/>
        <v>-1.2752302931769985</v>
      </c>
      <c r="W27" s="528">
        <f t="shared" si="257"/>
        <v>282.54172624904828</v>
      </c>
      <c r="X27" s="572">
        <f t="shared" si="100"/>
        <v>7.5566712455974061</v>
      </c>
      <c r="Y27" s="573">
        <f t="shared" si="260"/>
        <v>-1.2752302931769985</v>
      </c>
      <c r="Z27" s="575">
        <f t="shared" si="9"/>
        <v>-2.6193810941374199E-2</v>
      </c>
      <c r="AA27" s="572">
        <f t="shared" si="10"/>
        <v>-0.97252430816818602</v>
      </c>
      <c r="AB27" s="572">
        <f t="shared" si="11"/>
        <v>-0.23132305179198803</v>
      </c>
      <c r="AC27" s="579">
        <f t="shared" si="101"/>
        <v>1</v>
      </c>
      <c r="AD27" s="580">
        <f t="shared" si="137"/>
        <v>-2.6193810941374199E-2</v>
      </c>
      <c r="AE27" s="572">
        <f t="shared" si="102"/>
        <v>-0.97252430816818602</v>
      </c>
      <c r="AF27" s="576">
        <f t="shared" si="103"/>
        <v>-0.23132305179198803</v>
      </c>
      <c r="AG27" s="545">
        <f t="shared" si="104"/>
        <v>-76.620346104214619</v>
      </c>
      <c r="AH27" s="546">
        <f t="shared" si="105"/>
        <v>91.500966489136204</v>
      </c>
      <c r="AI27" s="528">
        <f t="shared" si="106"/>
        <v>-76.625022150058129</v>
      </c>
      <c r="AJ27" s="529">
        <f t="shared" si="107"/>
        <v>-1.5428221727762681</v>
      </c>
      <c r="AK27" s="578">
        <f t="shared" si="236"/>
        <v>0.94495770332798501</v>
      </c>
      <c r="AL27" s="572">
        <f t="shared" si="108"/>
        <v>-0.23139702813722815</v>
      </c>
      <c r="AM27" s="577">
        <f t="shared" si="109"/>
        <v>-0.23132305179198803</v>
      </c>
      <c r="AN27" s="524">
        <f t="shared" si="110"/>
        <v>-45.009160035437837</v>
      </c>
      <c r="AO27" s="525">
        <f t="shared" si="111"/>
        <v>19.098460608337874</v>
      </c>
      <c r="AP27" s="528">
        <f t="shared" si="112"/>
        <v>-13.759573276017374</v>
      </c>
      <c r="AQ27" s="529">
        <f t="shared" si="12"/>
        <v>0.3016811887583189</v>
      </c>
      <c r="AS27" s="954">
        <f t="shared" si="138"/>
        <v>282.54172624904828</v>
      </c>
      <c r="AT27" s="950">
        <f t="shared" si="13"/>
        <v>-1.2230432916291374</v>
      </c>
      <c r="AU27" s="418"/>
      <c r="AV27" s="164" t="str">
        <f t="shared" si="14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9"/>
        <v/>
      </c>
      <c r="BA27" s="296" t="str">
        <f t="shared" si="15"/>
        <v/>
      </c>
      <c r="BB27" s="190" t="str">
        <f t="shared" si="140"/>
        <v/>
      </c>
      <c r="BC27" s="9"/>
      <c r="BD27" s="5" t="str">
        <f t="shared" si="141"/>
        <v/>
      </c>
      <c r="BE27" s="6" t="str">
        <f t="shared" si="16"/>
        <v/>
      </c>
      <c r="BF27" s="4" t="str">
        <f t="shared" si="17"/>
        <v/>
      </c>
      <c r="BG27" s="5" t="str">
        <f t="shared" si="18"/>
        <v/>
      </c>
      <c r="BH27" s="10" t="str">
        <f t="shared" si="19"/>
        <v/>
      </c>
      <c r="BI27" s="9" t="str">
        <f>IF(ISNUMBER($AV27),BF27+0,"")</f>
        <v/>
      </c>
      <c r="BJ27" s="5" t="str">
        <f t="shared" si="20"/>
        <v/>
      </c>
      <c r="BK27" s="8" t="str">
        <f t="shared" si="21"/>
        <v/>
      </c>
      <c r="BL27" s="173" t="str">
        <f t="shared" si="22"/>
        <v/>
      </c>
      <c r="BM27" s="5" t="str">
        <f t="shared" si="23"/>
        <v/>
      </c>
      <c r="BN27" s="6" t="str">
        <f t="shared" si="24"/>
        <v/>
      </c>
      <c r="BO27" s="4" t="str">
        <f t="shared" si="143"/>
        <v/>
      </c>
      <c r="BP27" s="5" t="str">
        <f t="shared" si="144"/>
        <v/>
      </c>
      <c r="BQ27" s="5" t="str">
        <f t="shared" si="145"/>
        <v/>
      </c>
      <c r="BR27" s="6" t="str">
        <f t="shared" si="146"/>
        <v/>
      </c>
      <c r="BS27" s="4" t="str">
        <f t="shared" si="113"/>
        <v/>
      </c>
      <c r="BT27" s="5" t="str">
        <f t="shared" si="113"/>
        <v/>
      </c>
      <c r="BU27" s="10" t="str">
        <f t="shared" si="114"/>
        <v/>
      </c>
      <c r="BV27" s="9" t="str">
        <f t="shared" si="115"/>
        <v/>
      </c>
      <c r="BW27" s="5" t="str">
        <f t="shared" si="116"/>
        <v/>
      </c>
      <c r="BX27" s="8" t="str">
        <f t="shared" si="117"/>
        <v/>
      </c>
      <c r="BY27" s="173" t="str">
        <f t="shared" si="118"/>
        <v/>
      </c>
      <c r="BZ27" s="5" t="str">
        <f t="shared" si="119"/>
        <v/>
      </c>
      <c r="CA27" s="6" t="str">
        <f t="shared" si="120"/>
        <v/>
      </c>
      <c r="CB27" s="4" t="str">
        <f t="shared" si="147"/>
        <v/>
      </c>
      <c r="CC27" s="5" t="str">
        <f t="shared" si="148"/>
        <v/>
      </c>
      <c r="CD27" s="5" t="str">
        <f t="shared" si="149"/>
        <v/>
      </c>
      <c r="CE27" s="6" t="str">
        <f t="shared" si="150"/>
        <v/>
      </c>
      <c r="CF27" s="4" t="str">
        <f t="shared" si="151"/>
        <v/>
      </c>
      <c r="CG27" s="5" t="str">
        <f t="shared" si="152"/>
        <v/>
      </c>
      <c r="CH27" s="5" t="str">
        <f t="shared" si="153"/>
        <v/>
      </c>
      <c r="CI27" s="4" t="str">
        <f t="shared" si="121"/>
        <v/>
      </c>
      <c r="CJ27" s="5" t="str">
        <f t="shared" si="122"/>
        <v/>
      </c>
      <c r="CK27" s="8" t="str">
        <f t="shared" si="123"/>
        <v/>
      </c>
      <c r="CL27" s="173" t="str">
        <f t="shared" si="124"/>
        <v/>
      </c>
      <c r="CM27" s="5" t="str">
        <f t="shared" si="125"/>
        <v/>
      </c>
      <c r="CN27" s="6" t="str">
        <f t="shared" si="126"/>
        <v/>
      </c>
      <c r="CO27" s="167" t="str">
        <f t="shared" si="25"/>
        <v/>
      </c>
      <c r="CP27" s="4" t="str">
        <f t="shared" si="237"/>
        <v/>
      </c>
      <c r="CQ27" s="5" t="str">
        <f t="shared" si="238"/>
        <v/>
      </c>
      <c r="CR27" s="5" t="str">
        <f t="shared" si="154"/>
        <v/>
      </c>
      <c r="CS27" s="8" t="str">
        <f>IF(ISNUMBER($AV27),CQ27^2-(4*CP27*CR27),"")</f>
        <v/>
      </c>
      <c r="CT27" s="9" t="str">
        <f t="shared" si="156"/>
        <v/>
      </c>
      <c r="CU27" s="6" t="str">
        <f t="shared" si="157"/>
        <v/>
      </c>
      <c r="CV27" s="4" t="str">
        <f t="shared" si="239"/>
        <v/>
      </c>
      <c r="CW27" s="5" t="str">
        <f t="shared" si="158"/>
        <v/>
      </c>
      <c r="CX27" s="8" t="str">
        <f t="shared" si="159"/>
        <v/>
      </c>
      <c r="CY27" s="9" t="str">
        <f t="shared" si="160"/>
        <v/>
      </c>
      <c r="CZ27" s="5" t="str">
        <f t="shared" si="161"/>
        <v/>
      </c>
      <c r="DA27" s="6" t="str">
        <f t="shared" si="162"/>
        <v/>
      </c>
      <c r="DB27" s="4" t="str">
        <f t="shared" si="163"/>
        <v/>
      </c>
      <c r="DC27" s="5" t="str">
        <f t="shared" si="163"/>
        <v/>
      </c>
      <c r="DD27" s="10" t="str">
        <f t="shared" si="164"/>
        <v/>
      </c>
      <c r="DE27" s="9" t="str">
        <f t="shared" si="165"/>
        <v/>
      </c>
      <c r="DF27" s="5" t="str">
        <f t="shared" si="165"/>
        <v/>
      </c>
      <c r="DG27" s="10" t="str">
        <f t="shared" si="166"/>
        <v/>
      </c>
      <c r="DH27" s="70" t="str">
        <f t="shared" si="167"/>
        <v/>
      </c>
      <c r="DI27" s="4" t="str">
        <f t="shared" si="168"/>
        <v/>
      </c>
      <c r="DJ27" s="5" t="str">
        <f t="shared" si="169"/>
        <v/>
      </c>
      <c r="DK27" s="10" t="str">
        <f t="shared" si="170"/>
        <v/>
      </c>
      <c r="DL27" s="9" t="str">
        <f t="shared" si="171"/>
        <v/>
      </c>
      <c r="DM27" s="173" t="str">
        <f t="shared" si="172"/>
        <v/>
      </c>
      <c r="DN27" s="178" t="str">
        <f t="shared" si="173"/>
        <v/>
      </c>
      <c r="DO27" s="9" t="str">
        <f t="shared" si="174"/>
        <v/>
      </c>
      <c r="DP27" s="173" t="str">
        <f t="shared" si="175"/>
        <v/>
      </c>
      <c r="DQ27" s="11" t="str">
        <f t="shared" si="176"/>
        <v/>
      </c>
      <c r="DR27" s="173" t="str">
        <f t="shared" si="177"/>
        <v/>
      </c>
      <c r="DS27" s="5" t="str">
        <f t="shared" si="178"/>
        <v/>
      </c>
      <c r="DT27" s="5" t="str">
        <f t="shared" si="179"/>
        <v/>
      </c>
      <c r="DU27" s="5" t="str">
        <f t="shared" si="180"/>
        <v/>
      </c>
      <c r="DV27" s="5" t="str">
        <f t="shared" si="181"/>
        <v/>
      </c>
      <c r="DW27" s="5" t="str">
        <f t="shared" si="182"/>
        <v/>
      </c>
      <c r="DX27" s="167" t="str">
        <f t="shared" si="183"/>
        <v/>
      </c>
      <c r="DY27" s="9" t="str">
        <f t="shared" si="184"/>
        <v/>
      </c>
      <c r="DZ27" s="5" t="str">
        <f t="shared" si="185"/>
        <v/>
      </c>
      <c r="EA27" s="10" t="str">
        <f t="shared" si="186"/>
        <v/>
      </c>
      <c r="EB27" s="6" t="str">
        <f t="shared" si="187"/>
        <v/>
      </c>
      <c r="EC27" s="173" t="str">
        <f t="shared" si="188"/>
        <v/>
      </c>
      <c r="ED27" s="5" t="str">
        <f t="shared" si="189"/>
        <v/>
      </c>
      <c r="EE27" s="4" t="str">
        <f t="shared" si="190"/>
        <v/>
      </c>
      <c r="EF27" s="5" t="str">
        <f t="shared" si="191"/>
        <v/>
      </c>
      <c r="EG27" s="10" t="str">
        <f t="shared" si="192"/>
        <v/>
      </c>
      <c r="EH27" s="9" t="str">
        <f t="shared" si="193"/>
        <v/>
      </c>
      <c r="EI27" s="5" t="str">
        <f t="shared" si="194"/>
        <v/>
      </c>
      <c r="EJ27" s="6" t="str">
        <f t="shared" si="195"/>
        <v/>
      </c>
      <c r="EK27" s="236" t="str">
        <f t="shared" si="196"/>
        <v/>
      </c>
      <c r="EL27" s="238" t="str">
        <f t="shared" si="197"/>
        <v/>
      </c>
      <c r="EM27" s="4" t="str">
        <f t="shared" si="198"/>
        <v/>
      </c>
      <c r="EN27" s="5" t="str">
        <f t="shared" si="199"/>
        <v/>
      </c>
      <c r="EO27" s="10" t="str">
        <f t="shared" si="200"/>
        <v/>
      </c>
      <c r="EP27" s="9" t="str">
        <f t="shared" si="201"/>
        <v/>
      </c>
      <c r="EQ27" s="5" t="str">
        <f t="shared" si="202"/>
        <v/>
      </c>
      <c r="ER27" s="7" t="str">
        <f t="shared" si="203"/>
        <v/>
      </c>
      <c r="ES27" s="21" t="str">
        <f t="shared" si="127"/>
        <v/>
      </c>
      <c r="ET27" s="5" t="str">
        <f t="shared" si="34"/>
        <v/>
      </c>
      <c r="EU27" s="10" t="str">
        <f t="shared" si="35"/>
        <v/>
      </c>
      <c r="EV27" s="174" t="str">
        <f t="shared" si="253"/>
        <v/>
      </c>
      <c r="EW27" s="9" t="str">
        <f t="shared" si="128"/>
        <v/>
      </c>
      <c r="EX27" s="5" t="str">
        <f t="shared" si="36"/>
        <v/>
      </c>
      <c r="EY27" s="6" t="str">
        <f t="shared" si="204"/>
        <v/>
      </c>
      <c r="EZ27" s="51" t="str">
        <f t="shared" si="205"/>
        <v/>
      </c>
      <c r="FA27" s="266" t="str">
        <f t="shared" si="129"/>
        <v/>
      </c>
      <c r="FB27" s="267" t="str">
        <f t="shared" si="130"/>
        <v/>
      </c>
      <c r="FC27" s="269" t="str">
        <f t="shared" si="37"/>
        <v/>
      </c>
      <c r="FD27" s="4" t="str">
        <f t="shared" si="131"/>
        <v/>
      </c>
      <c r="FE27" s="5" t="str">
        <f t="shared" si="38"/>
        <v/>
      </c>
      <c r="FF27" s="7" t="str">
        <f t="shared" si="206"/>
        <v/>
      </c>
      <c r="FG27" s="173" t="str">
        <f t="shared" si="207"/>
        <v/>
      </c>
      <c r="FH27" s="5" t="str">
        <f t="shared" si="39"/>
        <v/>
      </c>
      <c r="FI27" s="10" t="str">
        <f t="shared" si="40"/>
        <v/>
      </c>
      <c r="FJ27" s="279" t="str">
        <f t="shared" si="208"/>
        <v/>
      </c>
      <c r="FK27" s="4" t="str">
        <f t="shared" si="41"/>
        <v/>
      </c>
      <c r="FL27" s="5" t="str">
        <f t="shared" si="209"/>
        <v/>
      </c>
      <c r="FM27" s="8" t="str">
        <f t="shared" si="210"/>
        <v/>
      </c>
      <c r="FN27" s="9" t="str">
        <f t="shared" si="211"/>
        <v/>
      </c>
      <c r="FO27" s="10" t="str">
        <f t="shared" si="42"/>
        <v/>
      </c>
      <c r="FP27" s="277" t="str">
        <f t="shared" si="43"/>
        <v/>
      </c>
      <c r="FQ27" s="173" t="str">
        <f t="shared" si="240"/>
        <v/>
      </c>
      <c r="FR27" s="10" t="str">
        <f t="shared" si="212"/>
        <v/>
      </c>
      <c r="FS27" s="9" t="str">
        <f t="shared" si="213"/>
        <v/>
      </c>
      <c r="FT27" s="6" t="str">
        <f t="shared" si="214"/>
        <v/>
      </c>
      <c r="FU27" s="4" t="str">
        <f t="shared" si="215"/>
        <v/>
      </c>
      <c r="FV27" s="5" t="str">
        <f t="shared" si="216"/>
        <v/>
      </c>
      <c r="FW27" s="8" t="str">
        <f t="shared" si="241"/>
        <v/>
      </c>
      <c r="FX27" s="9" t="str">
        <f t="shared" si="242"/>
        <v/>
      </c>
      <c r="FY27" s="10" t="str">
        <f t="shared" si="44"/>
        <v/>
      </c>
      <c r="FZ27" s="277" t="str">
        <f t="shared" si="243"/>
        <v/>
      </c>
      <c r="GA27" s="177" t="str">
        <f t="shared" si="217"/>
        <v/>
      </c>
      <c r="GB27" s="4" t="str">
        <f t="shared" si="218"/>
        <v/>
      </c>
      <c r="GC27" s="5" t="str">
        <f t="shared" si="219"/>
        <v/>
      </c>
      <c r="GD27" s="10" t="str">
        <f t="shared" si="220"/>
        <v/>
      </c>
      <c r="GE27" s="311" t="str">
        <f t="shared" si="221"/>
        <v/>
      </c>
      <c r="GF27" s="341" t="str">
        <f t="shared" si="244"/>
        <v/>
      </c>
      <c r="GG27" s="285" t="str">
        <f t="shared" si="45"/>
        <v/>
      </c>
      <c r="GH27" s="286" t="str">
        <f t="shared" si="46"/>
        <v/>
      </c>
      <c r="GI27" s="281" t="str">
        <f t="shared" si="47"/>
        <v/>
      </c>
      <c r="GJ27" s="167" t="str">
        <f t="shared" si="222"/>
        <v/>
      </c>
      <c r="GK27" s="174" t="str">
        <f t="shared" si="48"/>
        <v/>
      </c>
      <c r="GL27" s="174" t="str">
        <f t="shared" si="223"/>
        <v/>
      </c>
      <c r="GM27" s="177" t="str">
        <f t="shared" si="245"/>
        <v/>
      </c>
      <c r="GN27" s="280" t="str">
        <f t="shared" si="224"/>
        <v/>
      </c>
      <c r="GO27" s="4" t="str">
        <f t="shared" si="225"/>
        <v/>
      </c>
      <c r="GP27" s="8" t="str">
        <f t="shared" si="246"/>
        <v/>
      </c>
      <c r="GQ27" s="177" t="str">
        <f t="shared" si="226"/>
        <v/>
      </c>
      <c r="GR27" s="371" t="str">
        <f t="shared" si="247"/>
        <v/>
      </c>
      <c r="GS27" s="342" t="str">
        <f t="shared" si="50"/>
        <v/>
      </c>
      <c r="GT27" s="343" t="str">
        <f t="shared" si="51"/>
        <v/>
      </c>
      <c r="GU27" s="344" t="str">
        <f t="shared" si="52"/>
        <v/>
      </c>
      <c r="GV27" s="343" t="str">
        <f t="shared" si="254"/>
        <v/>
      </c>
      <c r="GW27" s="345" t="str">
        <f t="shared" si="53"/>
        <v/>
      </c>
      <c r="GX27" s="346" t="str">
        <f t="shared" si="54"/>
        <v/>
      </c>
      <c r="GY27" s="344" t="str">
        <f t="shared" si="55"/>
        <v/>
      </c>
      <c r="GZ27" s="345" t="str">
        <f t="shared" si="56"/>
        <v/>
      </c>
      <c r="HA27" s="342" t="str">
        <f t="shared" si="57"/>
        <v/>
      </c>
      <c r="HB27" s="5" t="str">
        <f t="shared" si="227"/>
        <v/>
      </c>
      <c r="HC27" s="343" t="str">
        <f t="shared" si="228"/>
        <v/>
      </c>
      <c r="HD27" s="363" t="str">
        <f t="shared" si="229"/>
        <v/>
      </c>
      <c r="HE27" s="344" t="str">
        <f t="shared" si="58"/>
        <v/>
      </c>
      <c r="HF27" s="5" t="str">
        <f t="shared" si="59"/>
        <v/>
      </c>
      <c r="HG27" s="343" t="str">
        <f t="shared" si="230"/>
        <v/>
      </c>
      <c r="HH27" s="349" t="str">
        <f t="shared" si="231"/>
        <v/>
      </c>
      <c r="HI27" s="317" t="str">
        <f t="shared" si="60"/>
        <v/>
      </c>
      <c r="HJ27" s="336"/>
      <c r="HK27" s="310" t="str">
        <f t="shared" si="132"/>
        <v/>
      </c>
      <c r="HL27" s="348" t="str">
        <f t="shared" si="61"/>
        <v/>
      </c>
      <c r="HM27" s="923" t="str">
        <f t="shared" si="62"/>
        <v/>
      </c>
      <c r="HN27" s="924" t="str">
        <f t="shared" si="63"/>
        <v/>
      </c>
      <c r="HO27" s="925"/>
      <c r="HP27" s="926"/>
      <c r="HQ27" s="924" t="str">
        <f t="shared" si="64"/>
        <v/>
      </c>
      <c r="HR27" s="927" t="str">
        <f t="shared" si="65"/>
        <v/>
      </c>
      <c r="HS27" s="879" t="str">
        <f t="shared" si="250"/>
        <v/>
      </c>
      <c r="HT27" s="889" t="str">
        <f t="shared" si="66"/>
        <v/>
      </c>
      <c r="HU27" s="890" t="str">
        <f t="shared" si="67"/>
        <v/>
      </c>
      <c r="HV27" s="886" t="str">
        <f t="shared" si="68"/>
        <v/>
      </c>
      <c r="HW27" s="880" t="str">
        <f t="shared" si="69"/>
        <v/>
      </c>
      <c r="HX27" s="881" t="str">
        <f t="shared" si="70"/>
        <v/>
      </c>
      <c r="HY27" s="880" t="str">
        <f t="shared" si="71"/>
        <v/>
      </c>
      <c r="HZ27" s="882" t="str">
        <f t="shared" si="72"/>
        <v/>
      </c>
      <c r="IA27" s="883" t="str">
        <f t="shared" si="73"/>
        <v/>
      </c>
      <c r="IB27" s="884" t="str">
        <f t="shared" si="74"/>
        <v/>
      </c>
      <c r="IC27" s="855" t="str">
        <f t="shared" si="75"/>
        <v/>
      </c>
      <c r="ID27" s="351" t="str">
        <f t="shared" si="76"/>
        <v/>
      </c>
      <c r="IE27" s="857" t="str">
        <f t="shared" si="77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2"/>
        <v>2.1360000000000001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8"/>
        <v>1913</v>
      </c>
      <c r="IM27" s="482" t="str">
        <f t="shared" si="233"/>
        <v/>
      </c>
      <c r="IN27" s="670" t="str">
        <f t="shared" si="80"/>
        <v/>
      </c>
      <c r="IO27" s="702"/>
      <c r="IP27" s="5" t="str">
        <f t="shared" si="81"/>
        <v/>
      </c>
      <c r="IQ27" s="714"/>
      <c r="IR27" s="9" t="str">
        <f t="shared" si="8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92"/>
        <v>0.02</v>
      </c>
      <c r="B28" s="578">
        <f t="shared" ref="B28:D28" si="283">IFERROR(O183-($A28*E28),"")</f>
        <v>7.893210362778639</v>
      </c>
      <c r="C28" s="572">
        <f t="shared" si="283"/>
        <v>1.6348876931775358</v>
      </c>
      <c r="D28" s="576">
        <f t="shared" si="283"/>
        <v>-2.0234757603415878</v>
      </c>
      <c r="E28" s="580">
        <f t="shared" ref="E28:K28" si="284">R183</f>
        <v>0.12277006351253321</v>
      </c>
      <c r="F28" s="572">
        <f t="shared" si="284"/>
        <v>0.97437236327545018</v>
      </c>
      <c r="G28" s="579">
        <f t="shared" si="284"/>
        <v>0.18848344540076442</v>
      </c>
      <c r="H28" s="580">
        <f t="shared" si="284"/>
        <v>0.375</v>
      </c>
      <c r="I28" s="572">
        <f t="shared" si="284"/>
        <v>0.52</v>
      </c>
      <c r="J28" s="483">
        <f t="shared" si="95"/>
        <v>2.141</v>
      </c>
      <c r="K28" s="806">
        <f t="shared" si="284"/>
        <v>1913</v>
      </c>
      <c r="L28" s="309"/>
      <c r="M28" s="164">
        <f t="shared" si="3"/>
        <v>2.141</v>
      </c>
      <c r="N28" s="575">
        <f t="shared" si="4"/>
        <v>7.893210362778639</v>
      </c>
      <c r="O28" s="572">
        <f t="shared" si="5"/>
        <v>1.6348876931775358</v>
      </c>
      <c r="P28" s="576">
        <f t="shared" si="6"/>
        <v>-2.0234757603415878</v>
      </c>
      <c r="Q28" s="528">
        <f t="shared" si="135"/>
        <v>11.701965651995252</v>
      </c>
      <c r="R28" s="572">
        <f t="shared" si="96"/>
        <v>8.0607460945237239</v>
      </c>
      <c r="S28" s="577">
        <f t="shared" si="97"/>
        <v>-2.0234757603415878</v>
      </c>
      <c r="T28" s="578">
        <f t="shared" si="98"/>
        <v>1.679630547372317</v>
      </c>
      <c r="U28" s="572">
        <f t="shared" si="99"/>
        <v>-7.88381055230992</v>
      </c>
      <c r="V28" s="579">
        <f t="shared" si="136"/>
        <v>-2.0234757603415878</v>
      </c>
      <c r="W28" s="528">
        <f t="shared" si="257"/>
        <v>282.02694079780241</v>
      </c>
      <c r="X28" s="572">
        <f t="shared" si="100"/>
        <v>8.0607460945237239</v>
      </c>
      <c r="Y28" s="573">
        <f t="shared" si="260"/>
        <v>-2.0234757603415878</v>
      </c>
      <c r="Z28" s="575">
        <f t="shared" si="9"/>
        <v>-0.12277006351253321</v>
      </c>
      <c r="AA28" s="572">
        <f t="shared" si="10"/>
        <v>-0.97437236327545018</v>
      </c>
      <c r="AB28" s="572">
        <f t="shared" si="11"/>
        <v>-0.18848344540076442</v>
      </c>
      <c r="AC28" s="579">
        <f t="shared" si="101"/>
        <v>1</v>
      </c>
      <c r="AD28" s="580">
        <f t="shared" si="137"/>
        <v>-0.12277006351253321</v>
      </c>
      <c r="AE28" s="572">
        <f t="shared" si="102"/>
        <v>-0.97437236327545018</v>
      </c>
      <c r="AF28" s="576">
        <f t="shared" si="103"/>
        <v>-0.18848344540076442</v>
      </c>
      <c r="AG28" s="545">
        <f t="shared" si="104"/>
        <v>-79.051874875324472</v>
      </c>
      <c r="AH28" s="546">
        <f t="shared" si="105"/>
        <v>97.051997927933527</v>
      </c>
      <c r="AI28" s="528">
        <f t="shared" si="106"/>
        <v>-79.135706977085107</v>
      </c>
      <c r="AJ28" s="529">
        <f t="shared" si="107"/>
        <v>-7.1813742463916546</v>
      </c>
      <c r="AK28" s="578">
        <f t="shared" si="236"/>
        <v>0.9292205313565578</v>
      </c>
      <c r="AL28" s="572">
        <f t="shared" si="108"/>
        <v>-0.31784146191976537</v>
      </c>
      <c r="AM28" s="577">
        <f t="shared" si="109"/>
        <v>-0.18848344540076442</v>
      </c>
      <c r="AN28" s="524">
        <f t="shared" si="110"/>
        <v>-59.331597898513671</v>
      </c>
      <c r="AO28" s="525">
        <f t="shared" si="111"/>
        <v>21.686365711636885</v>
      </c>
      <c r="AP28" s="528">
        <f t="shared" si="112"/>
        <v>-18.883339898386875</v>
      </c>
      <c r="AQ28" s="529">
        <f t="shared" si="12"/>
        <v>0.28281601853804539</v>
      </c>
      <c r="AS28" s="954">
        <f t="shared" si="138"/>
        <v>282.02694079780241</v>
      </c>
      <c r="AT28" s="950">
        <f t="shared" si="13"/>
        <v>-1.9709312688970282</v>
      </c>
      <c r="AU28" s="418"/>
      <c r="AV28" s="164" t="str">
        <f t="shared" si="14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39"/>
        <v/>
      </c>
      <c r="BA28" s="296" t="str">
        <f t="shared" si="15"/>
        <v/>
      </c>
      <c r="BB28" s="190" t="str">
        <f t="shared" si="140"/>
        <v/>
      </c>
      <c r="BC28" s="9"/>
      <c r="BD28" s="5" t="str">
        <f t="shared" si="141"/>
        <v/>
      </c>
      <c r="BE28" s="6" t="str">
        <f t="shared" si="16"/>
        <v/>
      </c>
      <c r="BF28" s="4" t="str">
        <f t="shared" si="17"/>
        <v/>
      </c>
      <c r="BG28" s="5" t="str">
        <f t="shared" si="18"/>
        <v/>
      </c>
      <c r="BH28" s="10" t="str">
        <f t="shared" si="19"/>
        <v/>
      </c>
      <c r="BI28" s="9" t="str">
        <f t="shared" si="142"/>
        <v/>
      </c>
      <c r="BJ28" s="5" t="str">
        <f t="shared" si="20"/>
        <v/>
      </c>
      <c r="BK28" s="8" t="str">
        <f t="shared" si="21"/>
        <v/>
      </c>
      <c r="BL28" s="173" t="str">
        <f t="shared" si="22"/>
        <v/>
      </c>
      <c r="BM28" s="5" t="str">
        <f t="shared" si="23"/>
        <v/>
      </c>
      <c r="BN28" s="6" t="str">
        <f t="shared" si="24"/>
        <v/>
      </c>
      <c r="BO28" s="4" t="str">
        <f t="shared" si="143"/>
        <v/>
      </c>
      <c r="BP28" s="5" t="str">
        <f t="shared" si="144"/>
        <v/>
      </c>
      <c r="BQ28" s="5" t="str">
        <f t="shared" si="145"/>
        <v/>
      </c>
      <c r="BR28" s="6" t="str">
        <f t="shared" si="146"/>
        <v/>
      </c>
      <c r="BS28" s="4" t="str">
        <f t="shared" si="113"/>
        <v/>
      </c>
      <c r="BT28" s="5" t="str">
        <f t="shared" si="113"/>
        <v/>
      </c>
      <c r="BU28" s="10" t="str">
        <f t="shared" si="114"/>
        <v/>
      </c>
      <c r="BV28" s="9" t="str">
        <f t="shared" si="115"/>
        <v/>
      </c>
      <c r="BW28" s="5" t="str">
        <f t="shared" si="116"/>
        <v/>
      </c>
      <c r="BX28" s="8" t="str">
        <f t="shared" si="117"/>
        <v/>
      </c>
      <c r="BY28" s="173" t="str">
        <f t="shared" si="118"/>
        <v/>
      </c>
      <c r="BZ28" s="5" t="str">
        <f t="shared" si="119"/>
        <v/>
      </c>
      <c r="CA28" s="6" t="str">
        <f t="shared" si="120"/>
        <v/>
      </c>
      <c r="CB28" s="4" t="str">
        <f t="shared" si="147"/>
        <v/>
      </c>
      <c r="CC28" s="5" t="str">
        <f t="shared" si="148"/>
        <v/>
      </c>
      <c r="CD28" s="5" t="str">
        <f t="shared" si="149"/>
        <v/>
      </c>
      <c r="CE28" s="6" t="str">
        <f t="shared" si="150"/>
        <v/>
      </c>
      <c r="CF28" s="4" t="str">
        <f t="shared" si="151"/>
        <v/>
      </c>
      <c r="CG28" s="5" t="str">
        <f t="shared" si="152"/>
        <v/>
      </c>
      <c r="CH28" s="5" t="str">
        <f t="shared" si="153"/>
        <v/>
      </c>
      <c r="CI28" s="4" t="str">
        <f t="shared" si="121"/>
        <v/>
      </c>
      <c r="CJ28" s="5" t="str">
        <f t="shared" si="122"/>
        <v/>
      </c>
      <c r="CK28" s="8" t="str">
        <f t="shared" si="123"/>
        <v/>
      </c>
      <c r="CL28" s="173" t="str">
        <f t="shared" si="124"/>
        <v/>
      </c>
      <c r="CM28" s="5" t="str">
        <f t="shared" si="125"/>
        <v/>
      </c>
      <c r="CN28" s="6" t="str">
        <f t="shared" si="126"/>
        <v/>
      </c>
      <c r="CO28" s="167" t="str">
        <f t="shared" si="25"/>
        <v/>
      </c>
      <c r="CP28" s="4" t="str">
        <f t="shared" si="237"/>
        <v/>
      </c>
      <c r="CQ28" s="5" t="str">
        <f t="shared" si="238"/>
        <v/>
      </c>
      <c r="CR28" s="5" t="str">
        <f t="shared" si="154"/>
        <v/>
      </c>
      <c r="CS28" s="8" t="str">
        <f t="shared" si="155"/>
        <v/>
      </c>
      <c r="CT28" s="9" t="str">
        <f t="shared" si="156"/>
        <v/>
      </c>
      <c r="CU28" s="6" t="str">
        <f t="shared" si="157"/>
        <v/>
      </c>
      <c r="CV28" s="4" t="str">
        <f t="shared" si="239"/>
        <v/>
      </c>
      <c r="CW28" s="5" t="str">
        <f t="shared" si="158"/>
        <v/>
      </c>
      <c r="CX28" s="8" t="str">
        <f t="shared" si="159"/>
        <v/>
      </c>
      <c r="CY28" s="9" t="str">
        <f t="shared" si="160"/>
        <v/>
      </c>
      <c r="CZ28" s="5" t="str">
        <f t="shared" si="161"/>
        <v/>
      </c>
      <c r="DA28" s="6" t="str">
        <f t="shared" si="162"/>
        <v/>
      </c>
      <c r="DB28" s="4" t="str">
        <f t="shared" si="163"/>
        <v/>
      </c>
      <c r="DC28" s="5" t="str">
        <f t="shared" si="163"/>
        <v/>
      </c>
      <c r="DD28" s="10" t="str">
        <f t="shared" si="164"/>
        <v/>
      </c>
      <c r="DE28" s="9" t="str">
        <f t="shared" si="165"/>
        <v/>
      </c>
      <c r="DF28" s="5" t="str">
        <f t="shared" si="165"/>
        <v/>
      </c>
      <c r="DG28" s="10" t="str">
        <f t="shared" si="166"/>
        <v/>
      </c>
      <c r="DH28" s="70" t="str">
        <f t="shared" si="167"/>
        <v/>
      </c>
      <c r="DI28" s="4" t="str">
        <f t="shared" si="168"/>
        <v/>
      </c>
      <c r="DJ28" s="5" t="str">
        <f t="shared" si="169"/>
        <v/>
      </c>
      <c r="DK28" s="10" t="str">
        <f t="shared" si="170"/>
        <v/>
      </c>
      <c r="DL28" s="9" t="str">
        <f t="shared" si="171"/>
        <v/>
      </c>
      <c r="DM28" s="173" t="str">
        <f t="shared" si="172"/>
        <v/>
      </c>
      <c r="DN28" s="178" t="str">
        <f t="shared" si="173"/>
        <v/>
      </c>
      <c r="DO28" s="9" t="str">
        <f t="shared" si="174"/>
        <v/>
      </c>
      <c r="DP28" s="173" t="str">
        <f t="shared" si="175"/>
        <v/>
      </c>
      <c r="DQ28" s="11" t="str">
        <f t="shared" si="176"/>
        <v/>
      </c>
      <c r="DR28" s="173" t="str">
        <f t="shared" si="177"/>
        <v/>
      </c>
      <c r="DS28" s="5" t="str">
        <f t="shared" si="178"/>
        <v/>
      </c>
      <c r="DT28" s="5" t="str">
        <f t="shared" si="179"/>
        <v/>
      </c>
      <c r="DU28" s="5" t="str">
        <f t="shared" si="180"/>
        <v/>
      </c>
      <c r="DV28" s="5" t="str">
        <f t="shared" si="181"/>
        <v/>
      </c>
      <c r="DW28" s="5" t="str">
        <f t="shared" si="182"/>
        <v/>
      </c>
      <c r="DX28" s="167" t="str">
        <f t="shared" si="183"/>
        <v/>
      </c>
      <c r="DY28" s="9" t="str">
        <f t="shared" si="184"/>
        <v/>
      </c>
      <c r="DZ28" s="5" t="str">
        <f t="shared" si="185"/>
        <v/>
      </c>
      <c r="EA28" s="10" t="str">
        <f t="shared" si="186"/>
        <v/>
      </c>
      <c r="EB28" s="6" t="str">
        <f t="shared" si="187"/>
        <v/>
      </c>
      <c r="EC28" s="173" t="str">
        <f t="shared" si="188"/>
        <v/>
      </c>
      <c r="ED28" s="5" t="str">
        <f t="shared" si="189"/>
        <v/>
      </c>
      <c r="EE28" s="4" t="str">
        <f t="shared" si="190"/>
        <v/>
      </c>
      <c r="EF28" s="5" t="str">
        <f t="shared" si="191"/>
        <v/>
      </c>
      <c r="EG28" s="10" t="str">
        <f t="shared" si="192"/>
        <v/>
      </c>
      <c r="EH28" s="9" t="str">
        <f t="shared" si="193"/>
        <v/>
      </c>
      <c r="EI28" s="5" t="str">
        <f t="shared" si="194"/>
        <v/>
      </c>
      <c r="EJ28" s="6" t="str">
        <f t="shared" si="195"/>
        <v/>
      </c>
      <c r="EK28" s="236" t="str">
        <f t="shared" si="196"/>
        <v/>
      </c>
      <c r="EL28" s="238" t="str">
        <f t="shared" si="197"/>
        <v/>
      </c>
      <c r="EM28" s="4" t="str">
        <f t="shared" si="198"/>
        <v/>
      </c>
      <c r="EN28" s="5" t="str">
        <f t="shared" si="199"/>
        <v/>
      </c>
      <c r="EO28" s="10" t="str">
        <f t="shared" si="200"/>
        <v/>
      </c>
      <c r="EP28" s="9" t="str">
        <f t="shared" si="201"/>
        <v/>
      </c>
      <c r="EQ28" s="5" t="str">
        <f t="shared" si="202"/>
        <v/>
      </c>
      <c r="ER28" s="7" t="str">
        <f t="shared" si="203"/>
        <v/>
      </c>
      <c r="ES28" s="21" t="str">
        <f t="shared" si="127"/>
        <v/>
      </c>
      <c r="ET28" s="5" t="str">
        <f t="shared" si="34"/>
        <v/>
      </c>
      <c r="EU28" s="10" t="str">
        <f t="shared" si="35"/>
        <v/>
      </c>
      <c r="EV28" s="174" t="str">
        <f t="shared" si="253"/>
        <v/>
      </c>
      <c r="EW28" s="9" t="str">
        <f t="shared" si="128"/>
        <v/>
      </c>
      <c r="EX28" s="5" t="str">
        <f t="shared" si="36"/>
        <v/>
      </c>
      <c r="EY28" s="6" t="str">
        <f t="shared" si="204"/>
        <v/>
      </c>
      <c r="EZ28" s="51" t="str">
        <f t="shared" si="205"/>
        <v/>
      </c>
      <c r="FA28" s="266" t="str">
        <f t="shared" si="129"/>
        <v/>
      </c>
      <c r="FB28" s="267" t="str">
        <f t="shared" si="130"/>
        <v/>
      </c>
      <c r="FC28" s="269" t="str">
        <f t="shared" si="37"/>
        <v/>
      </c>
      <c r="FD28" s="4" t="str">
        <f t="shared" si="131"/>
        <v/>
      </c>
      <c r="FE28" s="5" t="str">
        <f t="shared" si="38"/>
        <v/>
      </c>
      <c r="FF28" s="7" t="str">
        <f t="shared" si="206"/>
        <v/>
      </c>
      <c r="FG28" s="173" t="str">
        <f t="shared" si="207"/>
        <v/>
      </c>
      <c r="FH28" s="5" t="str">
        <f t="shared" si="39"/>
        <v/>
      </c>
      <c r="FI28" s="10" t="str">
        <f t="shared" si="40"/>
        <v/>
      </c>
      <c r="FJ28" s="279" t="str">
        <f t="shared" si="208"/>
        <v/>
      </c>
      <c r="FK28" s="4" t="str">
        <f t="shared" si="41"/>
        <v/>
      </c>
      <c r="FL28" s="5" t="str">
        <f t="shared" si="209"/>
        <v/>
      </c>
      <c r="FM28" s="8" t="str">
        <f t="shared" si="210"/>
        <v/>
      </c>
      <c r="FN28" s="9" t="str">
        <f t="shared" si="211"/>
        <v/>
      </c>
      <c r="FO28" s="10" t="str">
        <f t="shared" si="42"/>
        <v/>
      </c>
      <c r="FP28" s="277" t="str">
        <f t="shared" si="43"/>
        <v/>
      </c>
      <c r="FQ28" s="173" t="str">
        <f t="shared" si="240"/>
        <v/>
      </c>
      <c r="FR28" s="10" t="str">
        <f t="shared" si="212"/>
        <v/>
      </c>
      <c r="FS28" s="9" t="str">
        <f t="shared" si="213"/>
        <v/>
      </c>
      <c r="FT28" s="6" t="str">
        <f t="shared" si="214"/>
        <v/>
      </c>
      <c r="FU28" s="4" t="str">
        <f t="shared" si="215"/>
        <v/>
      </c>
      <c r="FV28" s="5" t="str">
        <f t="shared" si="216"/>
        <v/>
      </c>
      <c r="FW28" s="8" t="str">
        <f t="shared" si="241"/>
        <v/>
      </c>
      <c r="FX28" s="9" t="str">
        <f t="shared" si="242"/>
        <v/>
      </c>
      <c r="FY28" s="10" t="str">
        <f t="shared" si="44"/>
        <v/>
      </c>
      <c r="FZ28" s="277" t="str">
        <f t="shared" si="243"/>
        <v/>
      </c>
      <c r="GA28" s="177" t="str">
        <f t="shared" si="217"/>
        <v/>
      </c>
      <c r="GB28" s="4" t="str">
        <f t="shared" si="218"/>
        <v/>
      </c>
      <c r="GC28" s="5" t="str">
        <f t="shared" si="219"/>
        <v/>
      </c>
      <c r="GD28" s="10" t="str">
        <f t="shared" si="220"/>
        <v/>
      </c>
      <c r="GE28" s="311" t="str">
        <f t="shared" si="221"/>
        <v/>
      </c>
      <c r="GF28" s="341" t="str">
        <f t="shared" si="244"/>
        <v/>
      </c>
      <c r="GG28" s="285" t="str">
        <f t="shared" si="45"/>
        <v/>
      </c>
      <c r="GH28" s="286" t="str">
        <f t="shared" si="46"/>
        <v/>
      </c>
      <c r="GI28" s="281" t="str">
        <f t="shared" si="47"/>
        <v/>
      </c>
      <c r="GJ28" s="167" t="str">
        <f t="shared" si="222"/>
        <v/>
      </c>
      <c r="GK28" s="174" t="str">
        <f t="shared" si="48"/>
        <v/>
      </c>
      <c r="GL28" s="174" t="str">
        <f t="shared" si="223"/>
        <v/>
      </c>
      <c r="GM28" s="177" t="str">
        <f t="shared" si="245"/>
        <v/>
      </c>
      <c r="GN28" s="280" t="str">
        <f t="shared" si="224"/>
        <v/>
      </c>
      <c r="GO28" s="4" t="str">
        <f t="shared" si="225"/>
        <v/>
      </c>
      <c r="GP28" s="8" t="str">
        <f t="shared" si="246"/>
        <v/>
      </c>
      <c r="GQ28" s="177" t="str">
        <f t="shared" si="226"/>
        <v/>
      </c>
      <c r="GR28" s="371" t="str">
        <f t="shared" si="247"/>
        <v/>
      </c>
      <c r="GS28" s="342" t="str">
        <f t="shared" si="50"/>
        <v/>
      </c>
      <c r="GT28" s="343" t="str">
        <f t="shared" si="51"/>
        <v/>
      </c>
      <c r="GU28" s="344" t="str">
        <f t="shared" si="52"/>
        <v/>
      </c>
      <c r="GV28" s="343" t="str">
        <f t="shared" si="254"/>
        <v/>
      </c>
      <c r="GW28" s="345" t="str">
        <f t="shared" si="53"/>
        <v/>
      </c>
      <c r="GX28" s="346" t="str">
        <f t="shared" si="54"/>
        <v/>
      </c>
      <c r="GY28" s="344" t="str">
        <f t="shared" si="55"/>
        <v/>
      </c>
      <c r="GZ28" s="345" t="str">
        <f t="shared" si="56"/>
        <v/>
      </c>
      <c r="HA28" s="342" t="str">
        <f t="shared" si="57"/>
        <v/>
      </c>
      <c r="HB28" s="5" t="str">
        <f t="shared" si="227"/>
        <v/>
      </c>
      <c r="HC28" s="343" t="str">
        <f t="shared" si="228"/>
        <v/>
      </c>
      <c r="HD28" s="363" t="str">
        <f t="shared" si="229"/>
        <v/>
      </c>
      <c r="HE28" s="344" t="str">
        <f t="shared" si="58"/>
        <v/>
      </c>
      <c r="HF28" s="5" t="str">
        <f t="shared" si="59"/>
        <v/>
      </c>
      <c r="HG28" s="343" t="str">
        <f t="shared" si="230"/>
        <v/>
      </c>
      <c r="HH28" s="349" t="str">
        <f t="shared" si="231"/>
        <v/>
      </c>
      <c r="HI28" s="317" t="str">
        <f t="shared" si="60"/>
        <v/>
      </c>
      <c r="HJ28" s="336"/>
      <c r="HK28" s="310" t="str">
        <f t="shared" si="132"/>
        <v/>
      </c>
      <c r="HL28" s="348" t="str">
        <f t="shared" si="61"/>
        <v/>
      </c>
      <c r="HM28" s="923" t="str">
        <f t="shared" si="62"/>
        <v/>
      </c>
      <c r="HN28" s="924" t="str">
        <f t="shared" si="63"/>
        <v/>
      </c>
      <c r="HO28" s="925"/>
      <c r="HP28" s="926"/>
      <c r="HQ28" s="924" t="str">
        <f t="shared" si="64"/>
        <v/>
      </c>
      <c r="HR28" s="927" t="str">
        <f t="shared" si="65"/>
        <v/>
      </c>
      <c r="HS28" s="879" t="str">
        <f t="shared" si="250"/>
        <v/>
      </c>
      <c r="HT28" s="889" t="str">
        <f t="shared" si="66"/>
        <v/>
      </c>
      <c r="HU28" s="890" t="str">
        <f t="shared" si="67"/>
        <v/>
      </c>
      <c r="HV28" s="886" t="str">
        <f t="shared" si="68"/>
        <v/>
      </c>
      <c r="HW28" s="880" t="str">
        <f t="shared" si="69"/>
        <v/>
      </c>
      <c r="HX28" s="881" t="str">
        <f t="shared" si="70"/>
        <v/>
      </c>
      <c r="HY28" s="880" t="str">
        <f t="shared" si="71"/>
        <v/>
      </c>
      <c r="HZ28" s="882" t="str">
        <f t="shared" si="72"/>
        <v/>
      </c>
      <c r="IA28" s="883" t="str">
        <f t="shared" si="73"/>
        <v/>
      </c>
      <c r="IB28" s="884" t="str">
        <f t="shared" si="74"/>
        <v/>
      </c>
      <c r="IC28" s="855" t="str">
        <f t="shared" si="75"/>
        <v/>
      </c>
      <c r="ID28" s="351" t="str">
        <f t="shared" si="76"/>
        <v/>
      </c>
      <c r="IE28" s="857" t="str">
        <f t="shared" si="77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2"/>
        <v>2.141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8"/>
        <v>1913</v>
      </c>
      <c r="IM28" s="482" t="str">
        <f t="shared" si="233"/>
        <v/>
      </c>
      <c r="IN28" s="670" t="str">
        <f t="shared" si="80"/>
        <v/>
      </c>
      <c r="IO28" s="702"/>
      <c r="IP28" s="5" t="str">
        <f t="shared" si="81"/>
        <v/>
      </c>
      <c r="IQ28" s="714"/>
      <c r="IR28" s="9" t="str">
        <f t="shared" si="8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92"/>
        <v>0.02</v>
      </c>
      <c r="B29" s="578">
        <f t="shared" ref="B29:D29" si="285">IFERROR(O184-($A29*E29),"")</f>
        <v>8.1952202450236928</v>
      </c>
      <c r="C29" s="572">
        <f t="shared" si="285"/>
        <v>1.650639692161334</v>
      </c>
      <c r="D29" s="576">
        <f t="shared" si="285"/>
        <v>-2.8774781978416111</v>
      </c>
      <c r="E29" s="580">
        <f t="shared" ref="E29:K29" si="286">R184</f>
        <v>0.23455661367129621</v>
      </c>
      <c r="F29" s="572">
        <f t="shared" si="286"/>
        <v>0.96422859750807965</v>
      </c>
      <c r="G29" s="579">
        <f t="shared" si="286"/>
        <v>0.12347634077286292</v>
      </c>
      <c r="H29" s="580">
        <f t="shared" si="286"/>
        <v>0.375</v>
      </c>
      <c r="I29" s="572">
        <f t="shared" si="286"/>
        <v>0.52</v>
      </c>
      <c r="J29" s="483">
        <f t="shared" si="95"/>
        <v>2.1459999999999999</v>
      </c>
      <c r="K29" s="806">
        <f t="shared" si="286"/>
        <v>1913</v>
      </c>
      <c r="L29" s="82"/>
      <c r="M29" s="164">
        <f t="shared" si="3"/>
        <v>2.1459999999999999</v>
      </c>
      <c r="N29" s="575">
        <f t="shared" si="4"/>
        <v>8.1952202450236928</v>
      </c>
      <c r="O29" s="572">
        <f t="shared" si="5"/>
        <v>1.650639692161334</v>
      </c>
      <c r="P29" s="576">
        <f t="shared" si="6"/>
        <v>-2.8774781978416111</v>
      </c>
      <c r="Q29" s="528">
        <f t="shared" si="135"/>
        <v>11.387862546742225</v>
      </c>
      <c r="R29" s="572">
        <f>IF(M29="","",SQRT(N29^2+O29^2))</f>
        <v>8.3597994149252575</v>
      </c>
      <c r="S29" s="577">
        <f>IF(M29="","",P29)</f>
        <v>-2.8774781978416111</v>
      </c>
      <c r="T29" s="578">
        <f>IF(M29="","",X29*COS(RADIANS(W29)))</f>
        <v>1.6970952495071301</v>
      </c>
      <c r="U29" s="572">
        <f>IF(M29="","",X29*SIN(RADIANS(W29)))</f>
        <v>-8.18572623362674</v>
      </c>
      <c r="V29" s="579">
        <f>IF(M29="","",Y29)</f>
        <v>-2.8774781978416111</v>
      </c>
      <c r="W29" s="528">
        <f t="shared" si="257"/>
        <v>281.71283769254939</v>
      </c>
      <c r="X29" s="572">
        <f>IF(M29="","",R29)</f>
        <v>8.3597994149252575</v>
      </c>
      <c r="Y29" s="573">
        <f t="shared" si="260"/>
        <v>-2.8774781978416111</v>
      </c>
      <c r="Z29" s="575">
        <f t="shared" si="9"/>
        <v>-0.23455661367129621</v>
      </c>
      <c r="AA29" s="572">
        <f t="shared" si="10"/>
        <v>-0.96422859750807965</v>
      </c>
      <c r="AB29" s="572">
        <f t="shared" si="11"/>
        <v>-0.12347634077286292</v>
      </c>
      <c r="AC29" s="579">
        <f>IF(M29="","",SQRT(Z29^2+AA29^2+AB29^2))</f>
        <v>1</v>
      </c>
      <c r="AD29" s="580">
        <f>IF(M29="","",Z29*(1/SQRT(Z29^2+AA29^2+AB29^2)))</f>
        <v>-0.23455661367129621</v>
      </c>
      <c r="AE29" s="572">
        <f>IF(M29="","",AA29*(1/SQRT(Z29^2+AA29^2+AB29^2)))</f>
        <v>-0.96422859750807965</v>
      </c>
      <c r="AF29" s="576">
        <f>IF(M29="","",AB29*(1/SQRT(Z29^2+AA29^2+AB29^2)))</f>
        <v>-0.12347634077286292</v>
      </c>
      <c r="AG29" s="545">
        <f>IF(M29="","",DEGREES(ATAN2(-AF29,AE29)))</f>
        <v>-82.702583528035944</v>
      </c>
      <c r="AH29" s="546">
        <f>IF(M29="","",DEGREES(ACOS(AD29)))</f>
        <v>103.56548811706358</v>
      </c>
      <c r="AI29" s="528">
        <f>IF(M29="","",DEGREES(-ACOS(-AF29)))</f>
        <v>-82.907225109108225</v>
      </c>
      <c r="AJ29" s="529">
        <f>IF(M29="","",DEGREES(ATAN2(-AE29,AD29)))</f>
        <v>-13.672121863738846</v>
      </c>
      <c r="AK29" s="578">
        <f>IF(M29="","",(COS(RADIANS((90-$Q$8)-W29))*AD29)+(-SIN(RADIANS((90-$Q$8)-W29))*AE29))</f>
        <v>0.8989327247645944</v>
      </c>
      <c r="AL29" s="572">
        <f>IF(M29="","",(SIN(RADIANS((90-$Q$8)-W29))*AD29)+(COS(RADIANS((90-$Q$8)-W29))*AE29))</f>
        <v>-0.42032552815246171</v>
      </c>
      <c r="AM29" s="577">
        <f>IF(M29="","",AF29)</f>
        <v>-0.12347634077286292</v>
      </c>
      <c r="AN29" s="524">
        <f>IF(M29="","",DEGREES(ATAN2(-AM29,AL29)))</f>
        <v>-73.629131720698709</v>
      </c>
      <c r="AO29" s="525">
        <f t="shared" si="111"/>
        <v>25.98186863008879</v>
      </c>
      <c r="AP29" s="528">
        <f>IF(M29="","",DEGREES(ATAN2(AK29,AL29)))</f>
        <v>-25.059984410481071</v>
      </c>
      <c r="AQ29" s="529">
        <f t="shared" si="12"/>
        <v>0.27269905708359976</v>
      </c>
      <c r="AS29" s="954">
        <f t="shared" si="138"/>
        <v>281.71283769254939</v>
      </c>
      <c r="AT29" s="950">
        <f t="shared" si="13"/>
        <v>-2.824715579240626</v>
      </c>
      <c r="AU29" s="418"/>
      <c r="AV29" s="164" t="str">
        <f t="shared" si="14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39"/>
        <v/>
      </c>
      <c r="BA29" s="296" t="str">
        <f t="shared" si="15"/>
        <v/>
      </c>
      <c r="BB29" s="190" t="str">
        <f t="shared" si="140"/>
        <v/>
      </c>
      <c r="BC29" s="9"/>
      <c r="BD29" s="5" t="str">
        <f t="shared" si="141"/>
        <v/>
      </c>
      <c r="BE29" s="6" t="str">
        <f t="shared" si="16"/>
        <v/>
      </c>
      <c r="BF29" s="4" t="str">
        <f t="shared" si="17"/>
        <v/>
      </c>
      <c r="BG29" s="5" t="str">
        <f t="shared" si="18"/>
        <v/>
      </c>
      <c r="BH29" s="10" t="str">
        <f t="shared" si="19"/>
        <v/>
      </c>
      <c r="BI29" s="9" t="str">
        <f t="shared" si="142"/>
        <v/>
      </c>
      <c r="BJ29" s="5" t="str">
        <f t="shared" si="20"/>
        <v/>
      </c>
      <c r="BK29" s="8" t="str">
        <f t="shared" si="21"/>
        <v/>
      </c>
      <c r="BL29" s="173" t="str">
        <f t="shared" si="22"/>
        <v/>
      </c>
      <c r="BM29" s="5" t="str">
        <f t="shared" si="23"/>
        <v/>
      </c>
      <c r="BN29" s="6" t="str">
        <f t="shared" si="24"/>
        <v/>
      </c>
      <c r="BO29" s="4" t="str">
        <f t="shared" si="143"/>
        <v/>
      </c>
      <c r="BP29" s="5" t="str">
        <f t="shared" si="144"/>
        <v/>
      </c>
      <c r="BQ29" s="5" t="str">
        <f t="shared" si="145"/>
        <v/>
      </c>
      <c r="BR29" s="6" t="str">
        <f t="shared" si="146"/>
        <v/>
      </c>
      <c r="BS29" s="4" t="str">
        <f t="shared" si="113"/>
        <v/>
      </c>
      <c r="BT29" s="5" t="str">
        <f t="shared" si="113"/>
        <v/>
      </c>
      <c r="BU29" s="10" t="str">
        <f t="shared" si="114"/>
        <v/>
      </c>
      <c r="BV29" s="9" t="str">
        <f t="shared" si="115"/>
        <v/>
      </c>
      <c r="BW29" s="5" t="str">
        <f t="shared" si="116"/>
        <v/>
      </c>
      <c r="BX29" s="8" t="str">
        <f t="shared" si="117"/>
        <v/>
      </c>
      <c r="BY29" s="173" t="str">
        <f t="shared" si="118"/>
        <v/>
      </c>
      <c r="BZ29" s="5" t="str">
        <f t="shared" si="119"/>
        <v/>
      </c>
      <c r="CA29" s="6" t="str">
        <f t="shared" si="120"/>
        <v/>
      </c>
      <c r="CB29" s="4" t="str">
        <f t="shared" si="147"/>
        <v/>
      </c>
      <c r="CC29" s="5" t="str">
        <f t="shared" si="148"/>
        <v/>
      </c>
      <c r="CD29" s="5" t="str">
        <f t="shared" si="149"/>
        <v/>
      </c>
      <c r="CE29" s="6" t="str">
        <f t="shared" si="150"/>
        <v/>
      </c>
      <c r="CF29" s="4" t="str">
        <f t="shared" si="151"/>
        <v/>
      </c>
      <c r="CG29" s="5" t="str">
        <f t="shared" si="152"/>
        <v/>
      </c>
      <c r="CH29" s="5" t="str">
        <f t="shared" si="153"/>
        <v/>
      </c>
      <c r="CI29" s="4" t="str">
        <f t="shared" si="121"/>
        <v/>
      </c>
      <c r="CJ29" s="5" t="str">
        <f t="shared" si="122"/>
        <v/>
      </c>
      <c r="CK29" s="8" t="str">
        <f t="shared" si="123"/>
        <v/>
      </c>
      <c r="CL29" s="173" t="str">
        <f t="shared" si="124"/>
        <v/>
      </c>
      <c r="CM29" s="5" t="str">
        <f t="shared" si="125"/>
        <v/>
      </c>
      <c r="CN29" s="6" t="str">
        <f t="shared" si="126"/>
        <v/>
      </c>
      <c r="CO29" s="167" t="str">
        <f t="shared" si="25"/>
        <v/>
      </c>
      <c r="CP29" s="4" t="str">
        <f t="shared" si="237"/>
        <v/>
      </c>
      <c r="CQ29" s="5" t="str">
        <f t="shared" si="238"/>
        <v/>
      </c>
      <c r="CR29" s="5" t="str">
        <f t="shared" si="154"/>
        <v/>
      </c>
      <c r="CS29" s="8" t="str">
        <f t="shared" si="155"/>
        <v/>
      </c>
      <c r="CT29" s="9" t="str">
        <f t="shared" si="156"/>
        <v/>
      </c>
      <c r="CU29" s="6" t="str">
        <f t="shared" si="157"/>
        <v/>
      </c>
      <c r="CV29" s="4" t="str">
        <f t="shared" si="239"/>
        <v/>
      </c>
      <c r="CW29" s="5" t="str">
        <f t="shared" si="158"/>
        <v/>
      </c>
      <c r="CX29" s="8" t="str">
        <f t="shared" si="159"/>
        <v/>
      </c>
      <c r="CY29" s="9" t="str">
        <f t="shared" si="160"/>
        <v/>
      </c>
      <c r="CZ29" s="5" t="str">
        <f t="shared" si="161"/>
        <v/>
      </c>
      <c r="DA29" s="6" t="str">
        <f t="shared" si="162"/>
        <v/>
      </c>
      <c r="DB29" s="4" t="str">
        <f t="shared" si="163"/>
        <v/>
      </c>
      <c r="DC29" s="5" t="str">
        <f t="shared" si="163"/>
        <v/>
      </c>
      <c r="DD29" s="10" t="str">
        <f t="shared" si="164"/>
        <v/>
      </c>
      <c r="DE29" s="9" t="str">
        <f t="shared" si="165"/>
        <v/>
      </c>
      <c r="DF29" s="5" t="str">
        <f t="shared" si="165"/>
        <v/>
      </c>
      <c r="DG29" s="10" t="str">
        <f t="shared" si="166"/>
        <v/>
      </c>
      <c r="DH29" s="70" t="str">
        <f t="shared" si="167"/>
        <v/>
      </c>
      <c r="DI29" s="4" t="str">
        <f t="shared" si="168"/>
        <v/>
      </c>
      <c r="DJ29" s="5" t="str">
        <f t="shared" si="169"/>
        <v/>
      </c>
      <c r="DK29" s="10" t="str">
        <f t="shared" si="170"/>
        <v/>
      </c>
      <c r="DL29" s="9" t="str">
        <f t="shared" si="171"/>
        <v/>
      </c>
      <c r="DM29" s="173" t="str">
        <f t="shared" si="172"/>
        <v/>
      </c>
      <c r="DN29" s="178" t="str">
        <f t="shared" si="173"/>
        <v/>
      </c>
      <c r="DO29" s="9" t="str">
        <f t="shared" si="174"/>
        <v/>
      </c>
      <c r="DP29" s="173" t="str">
        <f t="shared" si="175"/>
        <v/>
      </c>
      <c r="DQ29" s="11" t="str">
        <f t="shared" si="176"/>
        <v/>
      </c>
      <c r="DR29" s="173" t="str">
        <f t="shared" si="177"/>
        <v/>
      </c>
      <c r="DS29" s="5" t="str">
        <f t="shared" si="178"/>
        <v/>
      </c>
      <c r="DT29" s="5" t="str">
        <f t="shared" si="179"/>
        <v/>
      </c>
      <c r="DU29" s="5" t="str">
        <f t="shared" si="180"/>
        <v/>
      </c>
      <c r="DV29" s="5" t="str">
        <f t="shared" si="181"/>
        <v/>
      </c>
      <c r="DW29" s="5" t="str">
        <f t="shared" si="182"/>
        <v/>
      </c>
      <c r="DX29" s="167" t="str">
        <f t="shared" si="183"/>
        <v/>
      </c>
      <c r="DY29" s="9" t="str">
        <f t="shared" si="184"/>
        <v/>
      </c>
      <c r="DZ29" s="5" t="str">
        <f t="shared" si="185"/>
        <v/>
      </c>
      <c r="EA29" s="10" t="str">
        <f t="shared" si="186"/>
        <v/>
      </c>
      <c r="EB29" s="6" t="str">
        <f t="shared" si="187"/>
        <v/>
      </c>
      <c r="EC29" s="173" t="str">
        <f t="shared" si="188"/>
        <v/>
      </c>
      <c r="ED29" s="5" t="str">
        <f t="shared" si="189"/>
        <v/>
      </c>
      <c r="EE29" s="4" t="str">
        <f t="shared" si="190"/>
        <v/>
      </c>
      <c r="EF29" s="5" t="str">
        <f t="shared" si="191"/>
        <v/>
      </c>
      <c r="EG29" s="10" t="str">
        <f t="shared" si="192"/>
        <v/>
      </c>
      <c r="EH29" s="9" t="str">
        <f t="shared" si="193"/>
        <v/>
      </c>
      <c r="EI29" s="5" t="str">
        <f t="shared" si="194"/>
        <v/>
      </c>
      <c r="EJ29" s="6" t="str">
        <f t="shared" si="195"/>
        <v/>
      </c>
      <c r="EK29" s="236" t="str">
        <f t="shared" si="196"/>
        <v/>
      </c>
      <c r="EL29" s="238" t="str">
        <f t="shared" si="197"/>
        <v/>
      </c>
      <c r="EM29" s="4" t="str">
        <f t="shared" si="198"/>
        <v/>
      </c>
      <c r="EN29" s="5" t="str">
        <f t="shared" si="199"/>
        <v/>
      </c>
      <c r="EO29" s="10" t="str">
        <f t="shared" si="200"/>
        <v/>
      </c>
      <c r="EP29" s="9" t="str">
        <f t="shared" si="201"/>
        <v/>
      </c>
      <c r="EQ29" s="5" t="str">
        <f t="shared" si="202"/>
        <v/>
      </c>
      <c r="ER29" s="7" t="str">
        <f t="shared" si="203"/>
        <v/>
      </c>
      <c r="ES29" s="21" t="str">
        <f t="shared" si="127"/>
        <v/>
      </c>
      <c r="ET29" s="5" t="str">
        <f t="shared" si="34"/>
        <v/>
      </c>
      <c r="EU29" s="10" t="str">
        <f t="shared" si="35"/>
        <v/>
      </c>
      <c r="EV29" s="174" t="str">
        <f t="shared" si="253"/>
        <v/>
      </c>
      <c r="EW29" s="9" t="str">
        <f t="shared" si="128"/>
        <v/>
      </c>
      <c r="EX29" s="5" t="str">
        <f t="shared" si="36"/>
        <v/>
      </c>
      <c r="EY29" s="6" t="str">
        <f t="shared" si="204"/>
        <v/>
      </c>
      <c r="EZ29" s="51" t="str">
        <f t="shared" si="205"/>
        <v/>
      </c>
      <c r="FA29" s="266" t="str">
        <f t="shared" si="129"/>
        <v/>
      </c>
      <c r="FB29" s="267" t="str">
        <f t="shared" si="130"/>
        <v/>
      </c>
      <c r="FC29" s="269" t="str">
        <f t="shared" si="37"/>
        <v/>
      </c>
      <c r="FD29" s="4" t="str">
        <f t="shared" si="131"/>
        <v/>
      </c>
      <c r="FE29" s="5" t="str">
        <f t="shared" si="38"/>
        <v/>
      </c>
      <c r="FF29" s="7" t="str">
        <f t="shared" si="206"/>
        <v/>
      </c>
      <c r="FG29" s="173" t="str">
        <f t="shared" si="207"/>
        <v/>
      </c>
      <c r="FH29" s="5" t="str">
        <f t="shared" si="39"/>
        <v/>
      </c>
      <c r="FI29" s="10" t="str">
        <f t="shared" si="40"/>
        <v/>
      </c>
      <c r="FJ29" s="279" t="str">
        <f t="shared" si="208"/>
        <v/>
      </c>
      <c r="FK29" s="4" t="str">
        <f t="shared" si="41"/>
        <v/>
      </c>
      <c r="FL29" s="5" t="str">
        <f t="shared" si="209"/>
        <v/>
      </c>
      <c r="FM29" s="8" t="str">
        <f t="shared" si="210"/>
        <v/>
      </c>
      <c r="FN29" s="9" t="str">
        <f t="shared" si="211"/>
        <v/>
      </c>
      <c r="FO29" s="10" t="str">
        <f t="shared" si="42"/>
        <v/>
      </c>
      <c r="FP29" s="277" t="str">
        <f t="shared" si="43"/>
        <v/>
      </c>
      <c r="FQ29" s="173" t="str">
        <f t="shared" si="240"/>
        <v/>
      </c>
      <c r="FR29" s="10" t="str">
        <f t="shared" si="212"/>
        <v/>
      </c>
      <c r="FS29" s="9" t="str">
        <f t="shared" si="213"/>
        <v/>
      </c>
      <c r="FT29" s="6" t="str">
        <f t="shared" si="214"/>
        <v/>
      </c>
      <c r="FU29" s="4" t="str">
        <f t="shared" si="215"/>
        <v/>
      </c>
      <c r="FV29" s="5" t="str">
        <f t="shared" si="216"/>
        <v/>
      </c>
      <c r="FW29" s="8" t="str">
        <f t="shared" si="241"/>
        <v/>
      </c>
      <c r="FX29" s="9" t="str">
        <f t="shared" si="242"/>
        <v/>
      </c>
      <c r="FY29" s="10" t="str">
        <f t="shared" si="44"/>
        <v/>
      </c>
      <c r="FZ29" s="277" t="str">
        <f t="shared" si="243"/>
        <v/>
      </c>
      <c r="GA29" s="177" t="str">
        <f t="shared" si="217"/>
        <v/>
      </c>
      <c r="GB29" s="4" t="str">
        <f t="shared" si="218"/>
        <v/>
      </c>
      <c r="GC29" s="5" t="str">
        <f t="shared" si="219"/>
        <v/>
      </c>
      <c r="GD29" s="10" t="str">
        <f t="shared" si="220"/>
        <v/>
      </c>
      <c r="GE29" s="311" t="str">
        <f t="shared" si="221"/>
        <v/>
      </c>
      <c r="GF29" s="341" t="str">
        <f t="shared" si="244"/>
        <v/>
      </c>
      <c r="GG29" s="285" t="str">
        <f t="shared" si="45"/>
        <v/>
      </c>
      <c r="GH29" s="286" t="str">
        <f t="shared" si="46"/>
        <v/>
      </c>
      <c r="GI29" s="281" t="str">
        <f t="shared" si="47"/>
        <v/>
      </c>
      <c r="GJ29" s="167" t="str">
        <f t="shared" si="222"/>
        <v/>
      </c>
      <c r="GK29" s="174" t="str">
        <f t="shared" si="48"/>
        <v/>
      </c>
      <c r="GL29" s="174" t="str">
        <f t="shared" si="223"/>
        <v/>
      </c>
      <c r="GM29" s="177" t="str">
        <f t="shared" si="245"/>
        <v/>
      </c>
      <c r="GN29" s="280" t="str">
        <f t="shared" si="224"/>
        <v/>
      </c>
      <c r="GO29" s="4" t="str">
        <f t="shared" si="225"/>
        <v/>
      </c>
      <c r="GP29" s="8" t="str">
        <f t="shared" si="246"/>
        <v/>
      </c>
      <c r="GQ29" s="177" t="str">
        <f t="shared" si="226"/>
        <v/>
      </c>
      <c r="GR29" s="371" t="str">
        <f t="shared" si="247"/>
        <v/>
      </c>
      <c r="GS29" s="342" t="str">
        <f t="shared" si="50"/>
        <v/>
      </c>
      <c r="GT29" s="343" t="str">
        <f t="shared" si="51"/>
        <v/>
      </c>
      <c r="GU29" s="344" t="str">
        <f t="shared" si="52"/>
        <v/>
      </c>
      <c r="GV29" s="343" t="str">
        <f t="shared" si="254"/>
        <v/>
      </c>
      <c r="GW29" s="345" t="str">
        <f t="shared" si="53"/>
        <v/>
      </c>
      <c r="GX29" s="346" t="str">
        <f t="shared" si="54"/>
        <v/>
      </c>
      <c r="GY29" s="344" t="str">
        <f t="shared" si="55"/>
        <v/>
      </c>
      <c r="GZ29" s="345" t="str">
        <f t="shared" si="56"/>
        <v/>
      </c>
      <c r="HA29" s="342" t="str">
        <f t="shared" si="57"/>
        <v/>
      </c>
      <c r="HB29" s="5" t="str">
        <f t="shared" si="227"/>
        <v/>
      </c>
      <c r="HC29" s="343" t="str">
        <f t="shared" si="228"/>
        <v/>
      </c>
      <c r="HD29" s="363" t="str">
        <f t="shared" si="229"/>
        <v/>
      </c>
      <c r="HE29" s="344" t="str">
        <f t="shared" si="58"/>
        <v/>
      </c>
      <c r="HF29" s="5" t="str">
        <f t="shared" si="59"/>
        <v/>
      </c>
      <c r="HG29" s="343" t="str">
        <f t="shared" si="230"/>
        <v/>
      </c>
      <c r="HH29" s="349" t="str">
        <f t="shared" si="231"/>
        <v/>
      </c>
      <c r="HI29" s="317" t="str">
        <f t="shared" si="60"/>
        <v/>
      </c>
      <c r="HJ29" s="336"/>
      <c r="HK29" s="310" t="str">
        <f t="shared" si="132"/>
        <v/>
      </c>
      <c r="HL29" s="348" t="str">
        <f t="shared" si="61"/>
        <v/>
      </c>
      <c r="HM29" s="923" t="str">
        <f t="shared" si="62"/>
        <v/>
      </c>
      <c r="HN29" s="924" t="str">
        <f t="shared" si="63"/>
        <v/>
      </c>
      <c r="HO29" s="925"/>
      <c r="HP29" s="926"/>
      <c r="HQ29" s="924" t="str">
        <f t="shared" si="64"/>
        <v/>
      </c>
      <c r="HR29" s="927" t="str">
        <f t="shared" si="65"/>
        <v/>
      </c>
      <c r="HS29" s="879" t="str">
        <f t="shared" si="250"/>
        <v/>
      </c>
      <c r="HT29" s="889" t="str">
        <f t="shared" si="66"/>
        <v/>
      </c>
      <c r="HU29" s="890" t="str">
        <f t="shared" si="67"/>
        <v/>
      </c>
      <c r="HV29" s="886" t="str">
        <f t="shared" si="68"/>
        <v/>
      </c>
      <c r="HW29" s="880" t="str">
        <f t="shared" si="69"/>
        <v/>
      </c>
      <c r="HX29" s="881" t="str">
        <f t="shared" si="70"/>
        <v/>
      </c>
      <c r="HY29" s="880" t="str">
        <f t="shared" si="71"/>
        <v/>
      </c>
      <c r="HZ29" s="882" t="str">
        <f t="shared" si="72"/>
        <v/>
      </c>
      <c r="IA29" s="883" t="str">
        <f t="shared" si="73"/>
        <v/>
      </c>
      <c r="IB29" s="884" t="str">
        <f t="shared" si="74"/>
        <v/>
      </c>
      <c r="IC29" s="855" t="str">
        <f t="shared" si="75"/>
        <v/>
      </c>
      <c r="ID29" s="351" t="str">
        <f t="shared" si="76"/>
        <v/>
      </c>
      <c r="IE29" s="857" t="str">
        <f t="shared" si="77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2"/>
        <v>2.1459999999999999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8"/>
        <v>1913</v>
      </c>
      <c r="IM29" s="482" t="str">
        <f t="shared" si="233"/>
        <v/>
      </c>
      <c r="IN29" s="670" t="str">
        <f t="shared" si="80"/>
        <v/>
      </c>
      <c r="IO29" s="702"/>
      <c r="IP29" s="5" t="str">
        <f t="shared" si="81"/>
        <v/>
      </c>
      <c r="IQ29" s="714"/>
      <c r="IR29" s="9" t="str">
        <f t="shared" si="8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92"/>
        <v>0.02</v>
      </c>
      <c r="B30" s="578">
        <f t="shared" ref="B30:D30" si="287">IFERROR(O185-($A30*E30),"")</f>
        <v>8.276116134343166</v>
      </c>
      <c r="C30" s="572">
        <f t="shared" si="287"/>
        <v>1.6545386942999671</v>
      </c>
      <c r="D30" s="576">
        <f t="shared" si="287"/>
        <v>-3.7764829466911016</v>
      </c>
      <c r="E30" s="580">
        <f t="shared" ref="E30:K30" si="288">R185</f>
        <v>0.31671445360325257</v>
      </c>
      <c r="F30" s="572">
        <f t="shared" si="288"/>
        <v>0.94751934819505312</v>
      </c>
      <c r="G30" s="579">
        <f t="shared" si="288"/>
        <v>4.35779723577749E-2</v>
      </c>
      <c r="H30" s="580">
        <f t="shared" si="288"/>
        <v>0.375</v>
      </c>
      <c r="I30" s="572">
        <f t="shared" si="288"/>
        <v>0.52</v>
      </c>
      <c r="J30" s="483">
        <f t="shared" si="95"/>
        <v>2.1509999999999998</v>
      </c>
      <c r="K30" s="806">
        <f t="shared" si="288"/>
        <v>1913</v>
      </c>
      <c r="L30" s="82"/>
      <c r="M30" s="164">
        <f t="shared" si="3"/>
        <v>2.1509999999999998</v>
      </c>
      <c r="N30" s="575">
        <f t="shared" si="4"/>
        <v>8.276116134343166</v>
      </c>
      <c r="O30" s="572">
        <f t="shared" si="5"/>
        <v>1.6545386942999671</v>
      </c>
      <c r="P30" s="576">
        <f t="shared" si="6"/>
        <v>-3.7764829466911016</v>
      </c>
      <c r="Q30" s="528">
        <f t="shared" si="135"/>
        <v>11.305375634441409</v>
      </c>
      <c r="R30" s="572">
        <f>IF(M30="","",SQRT(N30^2+O30^2))</f>
        <v>8.4398813119658929</v>
      </c>
      <c r="S30" s="577">
        <f>IF(M30="","",P30)</f>
        <v>-3.7764829466911016</v>
      </c>
      <c r="T30" s="578">
        <f>IF(M30="","",X30*COS(RADIANS(W30)))</f>
        <v>1.7014530187546473</v>
      </c>
      <c r="U30" s="572">
        <f>IF(M30="","",X30*SIN(RADIANS(W30)))</f>
        <v>-8.2665987071492602</v>
      </c>
      <c r="V30" s="579">
        <f>IF(M30="","",Y30)</f>
        <v>-3.7764829466911016</v>
      </c>
      <c r="W30" s="528">
        <f t="shared" si="257"/>
        <v>281.63035078024859</v>
      </c>
      <c r="X30" s="572">
        <f>IF(M30="","",R30)</f>
        <v>8.4398813119658929</v>
      </c>
      <c r="Y30" s="573">
        <f t="shared" si="260"/>
        <v>-3.7764829466911016</v>
      </c>
      <c r="Z30" s="575">
        <f t="shared" si="9"/>
        <v>-0.31671445360325257</v>
      </c>
      <c r="AA30" s="572">
        <f t="shared" si="10"/>
        <v>-0.94751934819505312</v>
      </c>
      <c r="AB30" s="572">
        <f t="shared" si="11"/>
        <v>-4.35779723577749E-2</v>
      </c>
      <c r="AC30" s="579">
        <f>IF(M30="","",SQRT(Z30^2+AA30^2+AB30^2))</f>
        <v>1</v>
      </c>
      <c r="AD30" s="580">
        <f>IF(M30="","",Z30*(1/SQRT(Z30^2+AA30^2+AB30^2)))</f>
        <v>-0.31671445360325257</v>
      </c>
      <c r="AE30" s="572">
        <f>IF(M30="","",AA30*(1/SQRT(Z30^2+AA30^2+AB30^2)))</f>
        <v>-0.94751934819505312</v>
      </c>
      <c r="AF30" s="576">
        <f>IF(M30="","",AB30*(1/SQRT(Z30^2+AA30^2+AB30^2)))</f>
        <v>-4.35779723577749E-2</v>
      </c>
      <c r="AG30" s="545">
        <f>IF(M30="","",DEGREES(ATAN2(-AF30,AE30)))</f>
        <v>-87.366728530570455</v>
      </c>
      <c r="AH30" s="546">
        <f>IF(M30="","",DEGREES(ACOS(AD30)))</f>
        <v>108.46434486117367</v>
      </c>
      <c r="AI30" s="528">
        <f>IF(M30="","",DEGREES(-ACOS(-AF30)))</f>
        <v>-87.502375163624507</v>
      </c>
      <c r="AJ30" s="529">
        <f>IF(M30="","",DEGREES(ATAN2(-AE30,AD30)))</f>
        <v>-18.482537251500379</v>
      </c>
      <c r="AK30" s="578">
        <f>IF(M30="","",(COS(RADIANS((90-$Q$8)-W30))*AD30)+(-SIN(RADIANS((90-$Q$8)-W30))*AE30))</f>
        <v>0.86704582400865848</v>
      </c>
      <c r="AL30" s="572">
        <f>IF(M30="","",(SIN(RADIANS((90-$Q$8)-W30))*AD30)+(COS(RADIANS((90-$Q$8)-W30))*AE30))</f>
        <v>-0.49631894925977937</v>
      </c>
      <c r="AM30" s="577">
        <f>IF(M30="","",AF30)</f>
        <v>-4.35779723577749E-2</v>
      </c>
      <c r="AN30" s="524">
        <f>IF(M30="","",DEGREES(ATAN2(-AM30,AL30)))</f>
        <v>-84.982163840471188</v>
      </c>
      <c r="AO30" s="525">
        <f>IF(ROUND(IF(M30="",0,DEGREES(ACOS(AK30))),4)=90,0,IF(M30="","",DEGREES(ACOS(AK30))))</f>
        <v>29.882860972932985</v>
      </c>
      <c r="AP30" s="528">
        <f>IF(M30="","",DEGREES(ATAN2(AK30,AL30)))</f>
        <v>-29.7879128859418</v>
      </c>
      <c r="AQ30" s="529">
        <f t="shared" si="12"/>
        <v>0.27011158791345541</v>
      </c>
      <c r="AS30" s="954">
        <f t="shared" si="138"/>
        <v>281.63035078024859</v>
      </c>
      <c r="AT30" s="950">
        <f t="shared" si="13"/>
        <v>-3.7236630455121298</v>
      </c>
      <c r="AU30" s="418"/>
      <c r="AV30" s="164" t="str">
        <f t="shared" si="14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39"/>
        <v/>
      </c>
      <c r="BA30" s="296" t="str">
        <f t="shared" si="15"/>
        <v/>
      </c>
      <c r="BB30" s="177" t="str">
        <f t="shared" si="140"/>
        <v/>
      </c>
      <c r="BC30" s="9"/>
      <c r="BD30" s="5" t="str">
        <f t="shared" si="141"/>
        <v/>
      </c>
      <c r="BE30" s="6" t="str">
        <f t="shared" si="16"/>
        <v/>
      </c>
      <c r="BF30" s="4" t="str">
        <f t="shared" si="17"/>
        <v/>
      </c>
      <c r="BG30" s="5" t="str">
        <f t="shared" si="18"/>
        <v/>
      </c>
      <c r="BH30" s="10" t="str">
        <f t="shared" si="19"/>
        <v/>
      </c>
      <c r="BI30" s="9" t="str">
        <f t="shared" si="142"/>
        <v/>
      </c>
      <c r="BJ30" s="5" t="str">
        <f t="shared" si="20"/>
        <v/>
      </c>
      <c r="BK30" s="8" t="str">
        <f t="shared" si="21"/>
        <v/>
      </c>
      <c r="BL30" s="173" t="str">
        <f t="shared" si="22"/>
        <v/>
      </c>
      <c r="BM30" s="5" t="str">
        <f t="shared" si="23"/>
        <v/>
      </c>
      <c r="BN30" s="6" t="str">
        <f t="shared" si="24"/>
        <v/>
      </c>
      <c r="BO30" s="4" t="str">
        <f t="shared" si="143"/>
        <v/>
      </c>
      <c r="BP30" s="5" t="str">
        <f t="shared" si="144"/>
        <v/>
      </c>
      <c r="BQ30" s="5" t="str">
        <f t="shared" si="145"/>
        <v/>
      </c>
      <c r="BR30" s="6" t="str">
        <f t="shared" si="146"/>
        <v/>
      </c>
      <c r="BS30" s="4" t="str">
        <f t="shared" si="113"/>
        <v/>
      </c>
      <c r="BT30" s="5" t="str">
        <f t="shared" si="113"/>
        <v/>
      </c>
      <c r="BU30" s="10" t="str">
        <f t="shared" si="114"/>
        <v/>
      </c>
      <c r="BV30" s="9" t="str">
        <f t="shared" si="115"/>
        <v/>
      </c>
      <c r="BW30" s="5" t="str">
        <f t="shared" si="116"/>
        <v/>
      </c>
      <c r="BX30" s="8" t="str">
        <f t="shared" si="117"/>
        <v/>
      </c>
      <c r="BY30" s="173" t="str">
        <f t="shared" si="118"/>
        <v/>
      </c>
      <c r="BZ30" s="5" t="str">
        <f t="shared" si="119"/>
        <v/>
      </c>
      <c r="CA30" s="6" t="str">
        <f t="shared" si="120"/>
        <v/>
      </c>
      <c r="CB30" s="4" t="str">
        <f t="shared" si="147"/>
        <v/>
      </c>
      <c r="CC30" s="5" t="str">
        <f t="shared" si="148"/>
        <v/>
      </c>
      <c r="CD30" s="5" t="str">
        <f t="shared" si="149"/>
        <v/>
      </c>
      <c r="CE30" s="6" t="str">
        <f t="shared" si="150"/>
        <v/>
      </c>
      <c r="CF30" s="4" t="str">
        <f t="shared" si="151"/>
        <v/>
      </c>
      <c r="CG30" s="5" t="str">
        <f t="shared" si="152"/>
        <v/>
      </c>
      <c r="CH30" s="5" t="str">
        <f t="shared" si="153"/>
        <v/>
      </c>
      <c r="CI30" s="4" t="str">
        <f t="shared" si="121"/>
        <v/>
      </c>
      <c r="CJ30" s="5" t="str">
        <f t="shared" si="122"/>
        <v/>
      </c>
      <c r="CK30" s="8" t="str">
        <f t="shared" si="123"/>
        <v/>
      </c>
      <c r="CL30" s="173" t="str">
        <f t="shared" si="124"/>
        <v/>
      </c>
      <c r="CM30" s="5" t="str">
        <f t="shared" si="125"/>
        <v/>
      </c>
      <c r="CN30" s="6" t="str">
        <f t="shared" si="126"/>
        <v/>
      </c>
      <c r="CO30" s="167" t="str">
        <f t="shared" si="25"/>
        <v/>
      </c>
      <c r="CP30" s="4" t="str">
        <f t="shared" si="237"/>
        <v/>
      </c>
      <c r="CQ30" s="5" t="str">
        <f t="shared" si="238"/>
        <v/>
      </c>
      <c r="CR30" s="5" t="str">
        <f t="shared" si="154"/>
        <v/>
      </c>
      <c r="CS30" s="8" t="str">
        <f t="shared" si="155"/>
        <v/>
      </c>
      <c r="CT30" s="9" t="str">
        <f t="shared" si="156"/>
        <v/>
      </c>
      <c r="CU30" s="6" t="str">
        <f t="shared" si="157"/>
        <v/>
      </c>
      <c r="CV30" s="4" t="str">
        <f t="shared" si="239"/>
        <v/>
      </c>
      <c r="CW30" s="5" t="str">
        <f t="shared" si="158"/>
        <v/>
      </c>
      <c r="CX30" s="8" t="str">
        <f t="shared" si="159"/>
        <v/>
      </c>
      <c r="CY30" s="9" t="str">
        <f t="shared" si="160"/>
        <v/>
      </c>
      <c r="CZ30" s="5" t="str">
        <f t="shared" si="161"/>
        <v/>
      </c>
      <c r="DA30" s="6" t="str">
        <f t="shared" si="162"/>
        <v/>
      </c>
      <c r="DB30" s="4" t="str">
        <f t="shared" si="163"/>
        <v/>
      </c>
      <c r="DC30" s="5" t="str">
        <f t="shared" si="163"/>
        <v/>
      </c>
      <c r="DD30" s="10" t="str">
        <f t="shared" si="164"/>
        <v/>
      </c>
      <c r="DE30" s="9" t="str">
        <f t="shared" si="165"/>
        <v/>
      </c>
      <c r="DF30" s="5" t="str">
        <f t="shared" si="165"/>
        <v/>
      </c>
      <c r="DG30" s="10" t="str">
        <f t="shared" si="166"/>
        <v/>
      </c>
      <c r="DH30" s="70" t="str">
        <f t="shared" si="167"/>
        <v/>
      </c>
      <c r="DI30" s="4" t="str">
        <f t="shared" si="168"/>
        <v/>
      </c>
      <c r="DJ30" s="5" t="str">
        <f t="shared" si="169"/>
        <v/>
      </c>
      <c r="DK30" s="10" t="str">
        <f t="shared" si="170"/>
        <v/>
      </c>
      <c r="DL30" s="9" t="str">
        <f t="shared" si="171"/>
        <v/>
      </c>
      <c r="DM30" s="173" t="str">
        <f t="shared" si="172"/>
        <v/>
      </c>
      <c r="DN30" s="178" t="str">
        <f t="shared" si="173"/>
        <v/>
      </c>
      <c r="DO30" s="9" t="str">
        <f t="shared" si="174"/>
        <v/>
      </c>
      <c r="DP30" s="173" t="str">
        <f t="shared" si="175"/>
        <v/>
      </c>
      <c r="DQ30" s="11" t="str">
        <f t="shared" si="176"/>
        <v/>
      </c>
      <c r="DR30" s="173" t="str">
        <f t="shared" si="177"/>
        <v/>
      </c>
      <c r="DS30" s="5" t="str">
        <f t="shared" si="178"/>
        <v/>
      </c>
      <c r="DT30" s="5" t="str">
        <f t="shared" si="179"/>
        <v/>
      </c>
      <c r="DU30" s="5" t="str">
        <f t="shared" si="180"/>
        <v/>
      </c>
      <c r="DV30" s="5" t="str">
        <f t="shared" si="181"/>
        <v/>
      </c>
      <c r="DW30" s="5" t="str">
        <f t="shared" si="182"/>
        <v/>
      </c>
      <c r="DX30" s="167" t="str">
        <f t="shared" si="183"/>
        <v/>
      </c>
      <c r="DY30" s="9" t="str">
        <f t="shared" si="184"/>
        <v/>
      </c>
      <c r="DZ30" s="5" t="str">
        <f t="shared" si="185"/>
        <v/>
      </c>
      <c r="EA30" s="10" t="str">
        <f t="shared" si="186"/>
        <v/>
      </c>
      <c r="EB30" s="6" t="str">
        <f t="shared" si="187"/>
        <v/>
      </c>
      <c r="EC30" s="173" t="str">
        <f t="shared" si="188"/>
        <v/>
      </c>
      <c r="ED30" s="5" t="str">
        <f t="shared" si="189"/>
        <v/>
      </c>
      <c r="EE30" s="4" t="str">
        <f t="shared" si="190"/>
        <v/>
      </c>
      <c r="EF30" s="5" t="str">
        <f t="shared" si="191"/>
        <v/>
      </c>
      <c r="EG30" s="10" t="str">
        <f t="shared" si="192"/>
        <v/>
      </c>
      <c r="EH30" s="9" t="str">
        <f t="shared" si="193"/>
        <v/>
      </c>
      <c r="EI30" s="5" t="str">
        <f t="shared" si="194"/>
        <v/>
      </c>
      <c r="EJ30" s="6" t="str">
        <f t="shared" si="195"/>
        <v/>
      </c>
      <c r="EK30" s="236" t="str">
        <f t="shared" si="196"/>
        <v/>
      </c>
      <c r="EL30" s="238" t="str">
        <f t="shared" si="197"/>
        <v/>
      </c>
      <c r="EM30" s="4" t="str">
        <f t="shared" si="198"/>
        <v/>
      </c>
      <c r="EN30" s="5" t="str">
        <f t="shared" si="199"/>
        <v/>
      </c>
      <c r="EO30" s="10" t="str">
        <f t="shared" si="200"/>
        <v/>
      </c>
      <c r="EP30" s="9" t="str">
        <f t="shared" si="201"/>
        <v/>
      </c>
      <c r="EQ30" s="5" t="str">
        <f t="shared" si="202"/>
        <v/>
      </c>
      <c r="ER30" s="7" t="str">
        <f t="shared" si="203"/>
        <v/>
      </c>
      <c r="ES30" s="21" t="str">
        <f t="shared" si="127"/>
        <v/>
      </c>
      <c r="ET30" s="5" t="str">
        <f t="shared" si="34"/>
        <v/>
      </c>
      <c r="EU30" s="10" t="str">
        <f t="shared" si="35"/>
        <v/>
      </c>
      <c r="EV30" s="174" t="str">
        <f t="shared" si="253"/>
        <v/>
      </c>
      <c r="EW30" s="9" t="str">
        <f t="shared" si="128"/>
        <v/>
      </c>
      <c r="EX30" s="5" t="str">
        <f t="shared" si="36"/>
        <v/>
      </c>
      <c r="EY30" s="6" t="str">
        <f t="shared" si="204"/>
        <v/>
      </c>
      <c r="EZ30" s="51" t="str">
        <f t="shared" si="205"/>
        <v/>
      </c>
      <c r="FA30" s="266" t="str">
        <f t="shared" si="129"/>
        <v/>
      </c>
      <c r="FB30" s="267" t="str">
        <f t="shared" si="130"/>
        <v/>
      </c>
      <c r="FC30" s="269" t="str">
        <f t="shared" si="37"/>
        <v/>
      </c>
      <c r="FD30" s="4" t="str">
        <f t="shared" si="131"/>
        <v/>
      </c>
      <c r="FE30" s="5" t="str">
        <f t="shared" si="38"/>
        <v/>
      </c>
      <c r="FF30" s="7" t="str">
        <f t="shared" si="206"/>
        <v/>
      </c>
      <c r="FG30" s="173" t="str">
        <f t="shared" si="207"/>
        <v/>
      </c>
      <c r="FH30" s="5" t="str">
        <f t="shared" si="39"/>
        <v/>
      </c>
      <c r="FI30" s="10" t="str">
        <f t="shared" si="40"/>
        <v/>
      </c>
      <c r="FJ30" s="279" t="str">
        <f t="shared" si="208"/>
        <v/>
      </c>
      <c r="FK30" s="4" t="str">
        <f t="shared" si="41"/>
        <v/>
      </c>
      <c r="FL30" s="5" t="str">
        <f t="shared" si="209"/>
        <v/>
      </c>
      <c r="FM30" s="8" t="str">
        <f t="shared" si="210"/>
        <v/>
      </c>
      <c r="FN30" s="9" t="str">
        <f t="shared" si="211"/>
        <v/>
      </c>
      <c r="FO30" s="10" t="str">
        <f t="shared" si="42"/>
        <v/>
      </c>
      <c r="FP30" s="277" t="str">
        <f t="shared" si="43"/>
        <v/>
      </c>
      <c r="FQ30" s="173" t="str">
        <f t="shared" si="240"/>
        <v/>
      </c>
      <c r="FR30" s="10" t="str">
        <f t="shared" si="212"/>
        <v/>
      </c>
      <c r="FS30" s="9" t="str">
        <f t="shared" si="213"/>
        <v/>
      </c>
      <c r="FT30" s="6" t="str">
        <f t="shared" si="214"/>
        <v/>
      </c>
      <c r="FU30" s="4" t="str">
        <f t="shared" si="215"/>
        <v/>
      </c>
      <c r="FV30" s="5" t="str">
        <f t="shared" si="216"/>
        <v/>
      </c>
      <c r="FW30" s="8" t="str">
        <f t="shared" si="241"/>
        <v/>
      </c>
      <c r="FX30" s="9" t="str">
        <f t="shared" si="242"/>
        <v/>
      </c>
      <c r="FY30" s="10" t="str">
        <f t="shared" si="44"/>
        <v/>
      </c>
      <c r="FZ30" s="277" t="str">
        <f t="shared" si="243"/>
        <v/>
      </c>
      <c r="GA30" s="177" t="str">
        <f t="shared" si="217"/>
        <v/>
      </c>
      <c r="GB30" s="4" t="str">
        <f t="shared" si="218"/>
        <v/>
      </c>
      <c r="GC30" s="5" t="str">
        <f t="shared" si="219"/>
        <v/>
      </c>
      <c r="GD30" s="10" t="str">
        <f t="shared" si="220"/>
        <v/>
      </c>
      <c r="GE30" s="311" t="str">
        <f t="shared" si="221"/>
        <v/>
      </c>
      <c r="GF30" s="341" t="str">
        <f t="shared" si="244"/>
        <v/>
      </c>
      <c r="GG30" s="285" t="str">
        <f t="shared" si="45"/>
        <v/>
      </c>
      <c r="GH30" s="286" t="str">
        <f t="shared" si="46"/>
        <v/>
      </c>
      <c r="GI30" s="281" t="str">
        <f t="shared" si="47"/>
        <v/>
      </c>
      <c r="GJ30" s="167" t="str">
        <f t="shared" si="222"/>
        <v/>
      </c>
      <c r="GK30" s="174" t="str">
        <f t="shared" si="48"/>
        <v/>
      </c>
      <c r="GL30" s="174" t="str">
        <f t="shared" si="223"/>
        <v/>
      </c>
      <c r="GM30" s="177" t="str">
        <f t="shared" si="245"/>
        <v/>
      </c>
      <c r="GN30" s="280" t="str">
        <f t="shared" si="224"/>
        <v/>
      </c>
      <c r="GO30" s="4" t="str">
        <f t="shared" si="225"/>
        <v/>
      </c>
      <c r="GP30" s="8" t="str">
        <f t="shared" si="246"/>
        <v/>
      </c>
      <c r="GQ30" s="177" t="str">
        <f t="shared" si="226"/>
        <v/>
      </c>
      <c r="GR30" s="371" t="str">
        <f t="shared" si="247"/>
        <v/>
      </c>
      <c r="GS30" s="342" t="str">
        <f t="shared" si="50"/>
        <v/>
      </c>
      <c r="GT30" s="343" t="str">
        <f t="shared" si="51"/>
        <v/>
      </c>
      <c r="GU30" s="344" t="str">
        <f t="shared" si="52"/>
        <v/>
      </c>
      <c r="GV30" s="343" t="str">
        <f t="shared" si="254"/>
        <v/>
      </c>
      <c r="GW30" s="345" t="str">
        <f t="shared" si="53"/>
        <v/>
      </c>
      <c r="GX30" s="346" t="str">
        <f t="shared" si="54"/>
        <v/>
      </c>
      <c r="GY30" s="344" t="str">
        <f t="shared" si="55"/>
        <v/>
      </c>
      <c r="GZ30" s="345" t="str">
        <f t="shared" si="56"/>
        <v/>
      </c>
      <c r="HA30" s="342" t="str">
        <f t="shared" si="57"/>
        <v/>
      </c>
      <c r="HB30" s="5" t="str">
        <f t="shared" si="227"/>
        <v/>
      </c>
      <c r="HC30" s="343" t="str">
        <f t="shared" si="228"/>
        <v/>
      </c>
      <c r="HD30" s="363" t="str">
        <f t="shared" si="229"/>
        <v/>
      </c>
      <c r="HE30" s="344" t="str">
        <f t="shared" si="58"/>
        <v/>
      </c>
      <c r="HF30" s="5" t="str">
        <f t="shared" si="59"/>
        <v/>
      </c>
      <c r="HG30" s="343" t="str">
        <f t="shared" si="230"/>
        <v/>
      </c>
      <c r="HH30" s="349" t="str">
        <f t="shared" si="231"/>
        <v/>
      </c>
      <c r="HI30" s="317" t="str">
        <f t="shared" si="60"/>
        <v/>
      </c>
      <c r="HJ30" s="336"/>
      <c r="HK30" s="310" t="str">
        <f t="shared" si="132"/>
        <v/>
      </c>
      <c r="HL30" s="348" t="str">
        <f t="shared" si="61"/>
        <v/>
      </c>
      <c r="HM30" s="923" t="str">
        <f t="shared" si="62"/>
        <v/>
      </c>
      <c r="HN30" s="924" t="str">
        <f t="shared" si="63"/>
        <v/>
      </c>
      <c r="HO30" s="925"/>
      <c r="HP30" s="926"/>
      <c r="HQ30" s="924" t="str">
        <f t="shared" si="64"/>
        <v/>
      </c>
      <c r="HR30" s="927" t="str">
        <f t="shared" si="65"/>
        <v/>
      </c>
      <c r="HS30" s="879" t="str">
        <f t="shared" si="250"/>
        <v/>
      </c>
      <c r="HT30" s="889" t="str">
        <f t="shared" si="66"/>
        <v/>
      </c>
      <c r="HU30" s="890" t="str">
        <f t="shared" si="67"/>
        <v/>
      </c>
      <c r="HV30" s="886" t="str">
        <f t="shared" si="68"/>
        <v/>
      </c>
      <c r="HW30" s="880" t="str">
        <f t="shared" si="69"/>
        <v/>
      </c>
      <c r="HX30" s="881" t="str">
        <f t="shared" si="70"/>
        <v/>
      </c>
      <c r="HY30" s="880" t="str">
        <f t="shared" si="71"/>
        <v/>
      </c>
      <c r="HZ30" s="882" t="str">
        <f t="shared" si="72"/>
        <v/>
      </c>
      <c r="IA30" s="883" t="str">
        <f t="shared" si="73"/>
        <v/>
      </c>
      <c r="IB30" s="884" t="str">
        <f t="shared" si="74"/>
        <v/>
      </c>
      <c r="IC30" s="855" t="str">
        <f t="shared" si="75"/>
        <v/>
      </c>
      <c r="ID30" s="351" t="str">
        <f t="shared" si="76"/>
        <v/>
      </c>
      <c r="IE30" s="857" t="str">
        <f t="shared" si="77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2"/>
        <v>2.1509999999999998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8"/>
        <v>1913</v>
      </c>
      <c r="IM30" s="482" t="str">
        <f t="shared" si="233"/>
        <v/>
      </c>
      <c r="IN30" s="670" t="str">
        <f t="shared" si="80"/>
        <v/>
      </c>
      <c r="IO30" s="702"/>
      <c r="IP30" s="5" t="str">
        <f t="shared" si="81"/>
        <v/>
      </c>
      <c r="IQ30" s="714"/>
      <c r="IR30" s="9" t="str">
        <f t="shared" si="8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92"/>
        <v>0.02</v>
      </c>
      <c r="B31" s="578">
        <f t="shared" ref="B31:D31" si="289">IFERROR(O186-($A31*E31),"")</f>
        <v>0.52138334900970462</v>
      </c>
      <c r="C31" s="572">
        <f t="shared" si="289"/>
        <v>-0.65103560258421922</v>
      </c>
      <c r="D31" s="576">
        <f t="shared" si="289"/>
        <v>-1.4501241198099719</v>
      </c>
      <c r="E31" s="580">
        <f t="shared" ref="E31:K31" si="290">R186</f>
        <v>0.6708600934776705</v>
      </c>
      <c r="F31" s="572">
        <f t="shared" si="290"/>
        <v>0.68422035860334196</v>
      </c>
      <c r="G31" s="579">
        <f t="shared" si="290"/>
        <v>0.28598817432167595</v>
      </c>
      <c r="H31" s="580">
        <f t="shared" si="290"/>
        <v>0.375</v>
      </c>
      <c r="I31" s="572">
        <f t="shared" si="290"/>
        <v>0.52</v>
      </c>
      <c r="J31" s="483">
        <f t="shared" si="95"/>
        <v>3.1019999999999999</v>
      </c>
      <c r="K31" s="806">
        <f t="shared" si="290"/>
        <v>1913</v>
      </c>
      <c r="L31" s="309"/>
      <c r="M31" s="164">
        <f t="shared" si="3"/>
        <v>3.1019999999999999</v>
      </c>
      <c r="N31" s="575">
        <f t="shared" si="4"/>
        <v>0.52138334900970462</v>
      </c>
      <c r="O31" s="572">
        <f t="shared" si="5"/>
        <v>-0.65103560258421922</v>
      </c>
      <c r="P31" s="576">
        <f t="shared" si="6"/>
        <v>-1.4501241198099719</v>
      </c>
      <c r="Q31" s="528">
        <f t="shared" si="135"/>
        <v>308.68957164017553</v>
      </c>
      <c r="R31" s="572">
        <f>IF(M31="","",SQRT(N31^2+O31^2))</f>
        <v>0.83407910443600786</v>
      </c>
      <c r="S31" s="577">
        <f>IF(M31="","",P31)</f>
        <v>-1.4501241198099719</v>
      </c>
      <c r="T31" s="578">
        <f>IF(M31="","",X31*COS(RADIANS(W31)))</f>
        <v>-0.6480679194000698</v>
      </c>
      <c r="U31" s="572">
        <f>IF(M31="","",X31*SIN(RADIANS(W31)))</f>
        <v>-0.52506754260879385</v>
      </c>
      <c r="V31" s="579">
        <f>IF(M31="","",Y31)</f>
        <v>-1.4501241198099719</v>
      </c>
      <c r="W31" s="528">
        <f t="shared" si="257"/>
        <v>219.0145467859827</v>
      </c>
      <c r="X31" s="572">
        <f>IF(M31="","",R31)</f>
        <v>0.83407910443600786</v>
      </c>
      <c r="Y31" s="573">
        <f t="shared" si="260"/>
        <v>-1.4501241198099719</v>
      </c>
      <c r="Z31" s="575">
        <f t="shared" si="9"/>
        <v>-0.6708600934776705</v>
      </c>
      <c r="AA31" s="572">
        <f t="shared" si="10"/>
        <v>-0.68422035860334196</v>
      </c>
      <c r="AB31" s="572">
        <f t="shared" si="11"/>
        <v>-0.28598817432167595</v>
      </c>
      <c r="AC31" s="579">
        <f>IF(M31="","",SQRT(Z31^2+AA31^2+AB31^2))</f>
        <v>1</v>
      </c>
      <c r="AD31" s="580">
        <f>IF(M31="","",Z31*(1/SQRT(Z31^2+AA31^2+AB31^2)))</f>
        <v>-0.6708600934776705</v>
      </c>
      <c r="AE31" s="572">
        <f>IF(M31="","",AA31*(1/SQRT(Z31^2+AA31^2+AB31^2)))</f>
        <v>-0.68422035860334196</v>
      </c>
      <c r="AF31" s="576">
        <f>IF(M31="","",AB31*(1/SQRT(Z31^2+AA31^2+AB31^2)))</f>
        <v>-0.28598817432167595</v>
      </c>
      <c r="AG31" s="545">
        <f>IF(M31="","",DEGREES(ATAN2(-AF31,AE31)))</f>
        <v>-67.316208406429226</v>
      </c>
      <c r="AH31" s="546">
        <f>IF(M31="","",DEGREES(ACOS(AD31)))</f>
        <v>132.13348198047282</v>
      </c>
      <c r="AI31" s="528">
        <f>IF(M31="","",DEGREES(-ACOS(-AF31)))</f>
        <v>-73.38207443627887</v>
      </c>
      <c r="AJ31" s="529">
        <f>IF(M31="","",DEGREES(ATAN2(-AE31,AD31)))</f>
        <v>-44.435116932393818</v>
      </c>
      <c r="AK31" s="578">
        <f>IF(M31="","",(COS(RADIANS((90-$Q$8)-W31))*AD31)+(-SIN(RADIANS((90-$Q$8)-W31))*AE31))</f>
        <v>0.95134250818178945</v>
      </c>
      <c r="AL31" s="572">
        <f>IF(M31="","",(SIN(RADIANS((90-$Q$8)-W31))*AD31)+(COS(RADIANS((90-$Q$8)-W31))*AE31))</f>
        <v>0.11470918130008939</v>
      </c>
      <c r="AM31" s="577">
        <f>IF(M31="","",AF31)</f>
        <v>-0.28598817432167595</v>
      </c>
      <c r="AN31" s="524">
        <f>IF(M31="","",DEGREES(ATAN2(-AM31,AL31)))</f>
        <v>21.855604510695915</v>
      </c>
      <c r="AO31" s="525">
        <f t="shared" si="111"/>
        <v>17.946897632620072</v>
      </c>
      <c r="AP31" s="528">
        <f>IF(M31="","",DEGREES(ATAN2(AK31,AL31)))</f>
        <v>6.8753114274306624</v>
      </c>
      <c r="AQ31" s="529">
        <f t="shared" si="12"/>
        <v>2.7311554614027731</v>
      </c>
      <c r="AS31" s="954">
        <f t="shared" si="138"/>
        <v>219.0145467859827</v>
      </c>
      <c r="AT31" s="950">
        <f t="shared" si="13"/>
        <v>-1.3538210214127597</v>
      </c>
      <c r="AU31" s="418"/>
      <c r="AV31" s="164" t="str">
        <f t="shared" si="14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39"/>
        <v/>
      </c>
      <c r="BA31" s="296" t="str">
        <f t="shared" si="15"/>
        <v/>
      </c>
      <c r="BB31" s="190" t="str">
        <f t="shared" si="140"/>
        <v/>
      </c>
      <c r="BC31" s="9"/>
      <c r="BD31" s="5" t="str">
        <f t="shared" si="141"/>
        <v/>
      </c>
      <c r="BE31" s="6" t="str">
        <f t="shared" si="16"/>
        <v/>
      </c>
      <c r="BF31" s="4" t="str">
        <f t="shared" si="17"/>
        <v/>
      </c>
      <c r="BG31" s="5" t="str">
        <f t="shared" si="18"/>
        <v/>
      </c>
      <c r="BH31" s="10" t="str">
        <f t="shared" si="19"/>
        <v/>
      </c>
      <c r="BI31" s="9" t="str">
        <f t="shared" si="142"/>
        <v/>
      </c>
      <c r="BJ31" s="5" t="str">
        <f t="shared" si="20"/>
        <v/>
      </c>
      <c r="BK31" s="8" t="str">
        <f t="shared" si="21"/>
        <v/>
      </c>
      <c r="BL31" s="173" t="str">
        <f t="shared" si="22"/>
        <v/>
      </c>
      <c r="BM31" s="5" t="str">
        <f t="shared" si="23"/>
        <v/>
      </c>
      <c r="BN31" s="6" t="str">
        <f t="shared" si="24"/>
        <v/>
      </c>
      <c r="BO31" s="4" t="str">
        <f t="shared" si="143"/>
        <v/>
      </c>
      <c r="BP31" s="5" t="str">
        <f t="shared" si="144"/>
        <v/>
      </c>
      <c r="BQ31" s="5" t="str">
        <f t="shared" si="145"/>
        <v/>
      </c>
      <c r="BR31" s="6" t="str">
        <f t="shared" si="146"/>
        <v/>
      </c>
      <c r="BS31" s="4" t="str">
        <f t="shared" si="113"/>
        <v/>
      </c>
      <c r="BT31" s="5" t="str">
        <f t="shared" si="113"/>
        <v/>
      </c>
      <c r="BU31" s="10" t="str">
        <f t="shared" si="114"/>
        <v/>
      </c>
      <c r="BV31" s="9" t="str">
        <f t="shared" si="115"/>
        <v/>
      </c>
      <c r="BW31" s="5" t="str">
        <f t="shared" si="116"/>
        <v/>
      </c>
      <c r="BX31" s="8" t="str">
        <f t="shared" si="117"/>
        <v/>
      </c>
      <c r="BY31" s="173" t="str">
        <f t="shared" si="118"/>
        <v/>
      </c>
      <c r="BZ31" s="5" t="str">
        <f t="shared" si="119"/>
        <v/>
      </c>
      <c r="CA31" s="6" t="str">
        <f t="shared" si="120"/>
        <v/>
      </c>
      <c r="CB31" s="4" t="str">
        <f t="shared" si="147"/>
        <v/>
      </c>
      <c r="CC31" s="5" t="str">
        <f t="shared" si="148"/>
        <v/>
      </c>
      <c r="CD31" s="5" t="str">
        <f t="shared" si="149"/>
        <v/>
      </c>
      <c r="CE31" s="6" t="str">
        <f t="shared" si="150"/>
        <v/>
      </c>
      <c r="CF31" s="4" t="str">
        <f t="shared" si="151"/>
        <v/>
      </c>
      <c r="CG31" s="5" t="str">
        <f t="shared" si="152"/>
        <v/>
      </c>
      <c r="CH31" s="5" t="str">
        <f t="shared" si="153"/>
        <v/>
      </c>
      <c r="CI31" s="4" t="str">
        <f t="shared" si="121"/>
        <v/>
      </c>
      <c r="CJ31" s="5" t="str">
        <f t="shared" si="122"/>
        <v/>
      </c>
      <c r="CK31" s="8" t="str">
        <f t="shared" si="123"/>
        <v/>
      </c>
      <c r="CL31" s="173" t="str">
        <f t="shared" si="124"/>
        <v/>
      </c>
      <c r="CM31" s="5" t="str">
        <f t="shared" si="125"/>
        <v/>
      </c>
      <c r="CN31" s="6" t="str">
        <f t="shared" si="126"/>
        <v/>
      </c>
      <c r="CO31" s="167" t="str">
        <f t="shared" si="25"/>
        <v/>
      </c>
      <c r="CP31" s="4" t="str">
        <f t="shared" si="237"/>
        <v/>
      </c>
      <c r="CQ31" s="5" t="str">
        <f t="shared" si="238"/>
        <v/>
      </c>
      <c r="CR31" s="5" t="str">
        <f t="shared" si="154"/>
        <v/>
      </c>
      <c r="CS31" s="8" t="str">
        <f t="shared" si="155"/>
        <v/>
      </c>
      <c r="CT31" s="9" t="str">
        <f t="shared" si="156"/>
        <v/>
      </c>
      <c r="CU31" s="6" t="str">
        <f t="shared" si="157"/>
        <v/>
      </c>
      <c r="CV31" s="4" t="str">
        <f t="shared" si="239"/>
        <v/>
      </c>
      <c r="CW31" s="5" t="str">
        <f t="shared" si="158"/>
        <v/>
      </c>
      <c r="CX31" s="8" t="str">
        <f t="shared" si="159"/>
        <v/>
      </c>
      <c r="CY31" s="9" t="str">
        <f t="shared" si="160"/>
        <v/>
      </c>
      <c r="CZ31" s="5" t="str">
        <f t="shared" si="161"/>
        <v/>
      </c>
      <c r="DA31" s="6" t="str">
        <f t="shared" si="162"/>
        <v/>
      </c>
      <c r="DB31" s="4" t="str">
        <f t="shared" si="163"/>
        <v/>
      </c>
      <c r="DC31" s="5" t="str">
        <f t="shared" si="163"/>
        <v/>
      </c>
      <c r="DD31" s="10" t="str">
        <f t="shared" si="164"/>
        <v/>
      </c>
      <c r="DE31" s="9" t="str">
        <f t="shared" si="165"/>
        <v/>
      </c>
      <c r="DF31" s="5" t="str">
        <f t="shared" si="165"/>
        <v/>
      </c>
      <c r="DG31" s="10" t="str">
        <f t="shared" si="166"/>
        <v/>
      </c>
      <c r="DH31" s="70" t="str">
        <f t="shared" si="167"/>
        <v/>
      </c>
      <c r="DI31" s="4" t="str">
        <f t="shared" si="168"/>
        <v/>
      </c>
      <c r="DJ31" s="5" t="str">
        <f t="shared" si="169"/>
        <v/>
      </c>
      <c r="DK31" s="10" t="str">
        <f t="shared" si="170"/>
        <v/>
      </c>
      <c r="DL31" s="9" t="str">
        <f t="shared" si="171"/>
        <v/>
      </c>
      <c r="DM31" s="173" t="str">
        <f t="shared" si="172"/>
        <v/>
      </c>
      <c r="DN31" s="178" t="str">
        <f t="shared" si="173"/>
        <v/>
      </c>
      <c r="DO31" s="9" t="str">
        <f t="shared" si="174"/>
        <v/>
      </c>
      <c r="DP31" s="173" t="str">
        <f t="shared" si="175"/>
        <v/>
      </c>
      <c r="DQ31" s="11" t="str">
        <f t="shared" si="176"/>
        <v/>
      </c>
      <c r="DR31" s="173" t="str">
        <f t="shared" si="177"/>
        <v/>
      </c>
      <c r="DS31" s="5" t="str">
        <f t="shared" si="178"/>
        <v/>
      </c>
      <c r="DT31" s="5" t="str">
        <f t="shared" si="179"/>
        <v/>
      </c>
      <c r="DU31" s="5" t="str">
        <f t="shared" si="180"/>
        <v/>
      </c>
      <c r="DV31" s="5" t="str">
        <f t="shared" si="181"/>
        <v/>
      </c>
      <c r="DW31" s="5" t="str">
        <f t="shared" si="182"/>
        <v/>
      </c>
      <c r="DX31" s="167" t="str">
        <f t="shared" si="183"/>
        <v/>
      </c>
      <c r="DY31" s="9" t="str">
        <f t="shared" si="184"/>
        <v/>
      </c>
      <c r="DZ31" s="5" t="str">
        <f t="shared" si="185"/>
        <v/>
      </c>
      <c r="EA31" s="10" t="str">
        <f t="shared" si="186"/>
        <v/>
      </c>
      <c r="EB31" s="6" t="str">
        <f t="shared" si="187"/>
        <v/>
      </c>
      <c r="EC31" s="173" t="str">
        <f t="shared" si="188"/>
        <v/>
      </c>
      <c r="ED31" s="5" t="str">
        <f t="shared" si="189"/>
        <v/>
      </c>
      <c r="EE31" s="4" t="str">
        <f t="shared" si="190"/>
        <v/>
      </c>
      <c r="EF31" s="5" t="str">
        <f t="shared" si="191"/>
        <v/>
      </c>
      <c r="EG31" s="10" t="str">
        <f t="shared" si="192"/>
        <v/>
      </c>
      <c r="EH31" s="9" t="str">
        <f t="shared" si="193"/>
        <v/>
      </c>
      <c r="EI31" s="5" t="str">
        <f t="shared" si="194"/>
        <v/>
      </c>
      <c r="EJ31" s="6" t="str">
        <f t="shared" si="195"/>
        <v/>
      </c>
      <c r="EK31" s="236" t="str">
        <f t="shared" si="196"/>
        <v/>
      </c>
      <c r="EL31" s="238" t="str">
        <f t="shared" si="197"/>
        <v/>
      </c>
      <c r="EM31" s="4" t="str">
        <f t="shared" si="198"/>
        <v/>
      </c>
      <c r="EN31" s="5" t="str">
        <f t="shared" si="199"/>
        <v/>
      </c>
      <c r="EO31" s="10" t="str">
        <f t="shared" si="200"/>
        <v/>
      </c>
      <c r="EP31" s="9" t="str">
        <f t="shared" si="201"/>
        <v/>
      </c>
      <c r="EQ31" s="5" t="str">
        <f t="shared" si="202"/>
        <v/>
      </c>
      <c r="ER31" s="7" t="str">
        <f t="shared" si="203"/>
        <v/>
      </c>
      <c r="ES31" s="21" t="str">
        <f t="shared" si="127"/>
        <v/>
      </c>
      <c r="ET31" s="5" t="str">
        <f t="shared" si="34"/>
        <v/>
      </c>
      <c r="EU31" s="10" t="str">
        <f t="shared" si="35"/>
        <v/>
      </c>
      <c r="EV31" s="174" t="str">
        <f t="shared" si="253"/>
        <v/>
      </c>
      <c r="EW31" s="9" t="str">
        <f t="shared" si="128"/>
        <v/>
      </c>
      <c r="EX31" s="5" t="str">
        <f t="shared" si="36"/>
        <v/>
      </c>
      <c r="EY31" s="6" t="str">
        <f t="shared" si="204"/>
        <v/>
      </c>
      <c r="EZ31" s="51" t="str">
        <f t="shared" si="205"/>
        <v/>
      </c>
      <c r="FA31" s="266" t="str">
        <f t="shared" si="129"/>
        <v/>
      </c>
      <c r="FB31" s="267" t="str">
        <f t="shared" si="130"/>
        <v/>
      </c>
      <c r="FC31" s="269" t="str">
        <f t="shared" si="37"/>
        <v/>
      </c>
      <c r="FD31" s="4" t="str">
        <f t="shared" si="131"/>
        <v/>
      </c>
      <c r="FE31" s="5" t="str">
        <f t="shared" si="38"/>
        <v/>
      </c>
      <c r="FF31" s="7" t="str">
        <f t="shared" si="206"/>
        <v/>
      </c>
      <c r="FG31" s="173" t="str">
        <f t="shared" si="207"/>
        <v/>
      </c>
      <c r="FH31" s="5" t="str">
        <f t="shared" si="39"/>
        <v/>
      </c>
      <c r="FI31" s="10" t="str">
        <f t="shared" si="40"/>
        <v/>
      </c>
      <c r="FJ31" s="279" t="str">
        <f t="shared" si="208"/>
        <v/>
      </c>
      <c r="FK31" s="4" t="str">
        <f t="shared" si="41"/>
        <v/>
      </c>
      <c r="FL31" s="5" t="str">
        <f t="shared" si="209"/>
        <v/>
      </c>
      <c r="FM31" s="8" t="str">
        <f t="shared" si="210"/>
        <v/>
      </c>
      <c r="FN31" s="9" t="str">
        <f t="shared" si="211"/>
        <v/>
      </c>
      <c r="FO31" s="10" t="str">
        <f t="shared" si="42"/>
        <v/>
      </c>
      <c r="FP31" s="277" t="str">
        <f t="shared" si="43"/>
        <v/>
      </c>
      <c r="FQ31" s="173" t="str">
        <f t="shared" si="240"/>
        <v/>
      </c>
      <c r="FR31" s="10" t="str">
        <f t="shared" si="212"/>
        <v/>
      </c>
      <c r="FS31" s="9" t="str">
        <f t="shared" si="213"/>
        <v/>
      </c>
      <c r="FT31" s="6" t="str">
        <f t="shared" si="214"/>
        <v/>
      </c>
      <c r="FU31" s="4" t="str">
        <f t="shared" si="215"/>
        <v/>
      </c>
      <c r="FV31" s="5" t="str">
        <f t="shared" si="216"/>
        <v/>
      </c>
      <c r="FW31" s="8" t="str">
        <f t="shared" si="241"/>
        <v/>
      </c>
      <c r="FX31" s="9" t="str">
        <f t="shared" si="242"/>
        <v/>
      </c>
      <c r="FY31" s="10" t="str">
        <f t="shared" si="44"/>
        <v/>
      </c>
      <c r="FZ31" s="277" t="str">
        <f t="shared" si="243"/>
        <v/>
      </c>
      <c r="GA31" s="177" t="str">
        <f t="shared" si="217"/>
        <v/>
      </c>
      <c r="GB31" s="4" t="str">
        <f t="shared" si="218"/>
        <v/>
      </c>
      <c r="GC31" s="5" t="str">
        <f t="shared" si="219"/>
        <v/>
      </c>
      <c r="GD31" s="10" t="str">
        <f t="shared" si="220"/>
        <v/>
      </c>
      <c r="GE31" s="311" t="str">
        <f t="shared" si="221"/>
        <v/>
      </c>
      <c r="GF31" s="341" t="str">
        <f t="shared" si="244"/>
        <v/>
      </c>
      <c r="GG31" s="285" t="str">
        <f t="shared" si="45"/>
        <v/>
      </c>
      <c r="GH31" s="286" t="str">
        <f t="shared" si="46"/>
        <v/>
      </c>
      <c r="GI31" s="281" t="str">
        <f t="shared" si="47"/>
        <v/>
      </c>
      <c r="GJ31" s="167" t="str">
        <f t="shared" si="222"/>
        <v/>
      </c>
      <c r="GK31" s="174" t="str">
        <f t="shared" si="48"/>
        <v/>
      </c>
      <c r="GL31" s="174" t="str">
        <f t="shared" si="223"/>
        <v/>
      </c>
      <c r="GM31" s="177" t="str">
        <f t="shared" si="245"/>
        <v/>
      </c>
      <c r="GN31" s="280" t="str">
        <f t="shared" si="224"/>
        <v/>
      </c>
      <c r="GO31" s="4" t="str">
        <f t="shared" si="225"/>
        <v/>
      </c>
      <c r="GP31" s="8" t="str">
        <f t="shared" si="246"/>
        <v/>
      </c>
      <c r="GQ31" s="177" t="str">
        <f t="shared" si="226"/>
        <v/>
      </c>
      <c r="GR31" s="371" t="str">
        <f t="shared" si="247"/>
        <v/>
      </c>
      <c r="GS31" s="342" t="str">
        <f t="shared" si="50"/>
        <v/>
      </c>
      <c r="GT31" s="343" t="str">
        <f t="shared" si="51"/>
        <v/>
      </c>
      <c r="GU31" s="344" t="str">
        <f t="shared" si="52"/>
        <v/>
      </c>
      <c r="GV31" s="343" t="str">
        <f t="shared" si="254"/>
        <v/>
      </c>
      <c r="GW31" s="345" t="str">
        <f t="shared" si="53"/>
        <v/>
      </c>
      <c r="GX31" s="346" t="str">
        <f t="shared" si="54"/>
        <v/>
      </c>
      <c r="GY31" s="344" t="str">
        <f t="shared" si="55"/>
        <v/>
      </c>
      <c r="GZ31" s="345" t="str">
        <f t="shared" si="56"/>
        <v/>
      </c>
      <c r="HA31" s="342" t="str">
        <f t="shared" si="57"/>
        <v/>
      </c>
      <c r="HB31" s="5" t="str">
        <f t="shared" si="227"/>
        <v/>
      </c>
      <c r="HC31" s="343" t="str">
        <f t="shared" si="228"/>
        <v/>
      </c>
      <c r="HD31" s="363" t="str">
        <f t="shared" si="229"/>
        <v/>
      </c>
      <c r="HE31" s="344" t="str">
        <f t="shared" si="58"/>
        <v/>
      </c>
      <c r="HF31" s="5" t="str">
        <f t="shared" si="59"/>
        <v/>
      </c>
      <c r="HG31" s="343" t="str">
        <f t="shared" si="230"/>
        <v/>
      </c>
      <c r="HH31" s="349" t="str">
        <f t="shared" si="231"/>
        <v/>
      </c>
      <c r="HI31" s="317" t="str">
        <f t="shared" si="60"/>
        <v/>
      </c>
      <c r="HJ31" s="336"/>
      <c r="HK31" s="310" t="str">
        <f t="shared" si="132"/>
        <v/>
      </c>
      <c r="HL31" s="348" t="str">
        <f t="shared" si="61"/>
        <v/>
      </c>
      <c r="HM31" s="923" t="str">
        <f t="shared" si="62"/>
        <v/>
      </c>
      <c r="HN31" s="924" t="str">
        <f t="shared" si="63"/>
        <v/>
      </c>
      <c r="HO31" s="925"/>
      <c r="HP31" s="926"/>
      <c r="HQ31" s="924" t="str">
        <f t="shared" si="64"/>
        <v/>
      </c>
      <c r="HR31" s="927" t="str">
        <f t="shared" si="65"/>
        <v/>
      </c>
      <c r="HS31" s="879" t="str">
        <f t="shared" si="250"/>
        <v/>
      </c>
      <c r="HT31" s="889" t="str">
        <f t="shared" si="66"/>
        <v/>
      </c>
      <c r="HU31" s="890" t="str">
        <f t="shared" si="67"/>
        <v/>
      </c>
      <c r="HV31" s="886" t="str">
        <f t="shared" si="68"/>
        <v/>
      </c>
      <c r="HW31" s="880" t="str">
        <f t="shared" si="69"/>
        <v/>
      </c>
      <c r="HX31" s="881" t="str">
        <f t="shared" si="70"/>
        <v/>
      </c>
      <c r="HY31" s="880" t="str">
        <f t="shared" si="71"/>
        <v/>
      </c>
      <c r="HZ31" s="882" t="str">
        <f t="shared" si="72"/>
        <v/>
      </c>
      <c r="IA31" s="883" t="str">
        <f t="shared" si="73"/>
        <v/>
      </c>
      <c r="IB31" s="884" t="str">
        <f t="shared" si="74"/>
        <v/>
      </c>
      <c r="IC31" s="855" t="str">
        <f t="shared" si="75"/>
        <v/>
      </c>
      <c r="ID31" s="351" t="str">
        <f t="shared" si="76"/>
        <v/>
      </c>
      <c r="IE31" s="857" t="str">
        <f t="shared" si="77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2"/>
        <v>3.1019999999999999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8"/>
        <v>1913</v>
      </c>
      <c r="IM31" s="482" t="str">
        <f t="shared" si="233"/>
        <v/>
      </c>
      <c r="IN31" s="670" t="str">
        <f t="shared" si="80"/>
        <v/>
      </c>
      <c r="IO31" s="702"/>
      <c r="IP31" s="5" t="str">
        <f t="shared" si="81"/>
        <v/>
      </c>
      <c r="IQ31" s="714"/>
      <c r="IR31" s="9" t="str">
        <f t="shared" si="8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</row>
    <row r="32" spans="1:271" ht="15" customHeight="1" x14ac:dyDescent="0.25">
      <c r="A32" s="75">
        <f t="shared" si="92"/>
        <v>0.02</v>
      </c>
      <c r="B32" s="578">
        <f t="shared" ref="B32:D32" si="291">IFERROR(O187-($A32*E32),"")</f>
        <v>1.0683180503468586</v>
      </c>
      <c r="C32" s="572">
        <f t="shared" si="291"/>
        <v>-1.3032276045932469</v>
      </c>
      <c r="D32" s="576">
        <f t="shared" si="291"/>
        <v>-1.1394792777026392</v>
      </c>
      <c r="E32" s="580">
        <f t="shared" ref="E32:K32" si="292">R187</f>
        <v>0.69408591176276679</v>
      </c>
      <c r="F32" s="572">
        <f t="shared" si="292"/>
        <v>0.67553452077410125</v>
      </c>
      <c r="G32" s="579">
        <f t="shared" si="292"/>
        <v>0.24879280201596291</v>
      </c>
      <c r="H32" s="580">
        <f t="shared" si="292"/>
        <v>0.375</v>
      </c>
      <c r="I32" s="572">
        <f t="shared" si="292"/>
        <v>0.52</v>
      </c>
      <c r="J32" s="483">
        <f t="shared" si="95"/>
        <v>3.1040000000000001</v>
      </c>
      <c r="K32" s="806">
        <f t="shared" si="292"/>
        <v>1913</v>
      </c>
      <c r="L32" s="309"/>
      <c r="M32" s="164">
        <f t="shared" si="3"/>
        <v>3.1040000000000001</v>
      </c>
      <c r="N32" s="575">
        <f t="shared" si="4"/>
        <v>1.0683180503468586</v>
      </c>
      <c r="O32" s="572">
        <f t="shared" si="5"/>
        <v>-1.3032276045932469</v>
      </c>
      <c r="P32" s="576">
        <f t="shared" si="6"/>
        <v>-1.1394792777026392</v>
      </c>
      <c r="Q32" s="528">
        <f t="shared" si="135"/>
        <v>309.34311361220858</v>
      </c>
      <c r="R32" s="572">
        <f t="shared" si="96"/>
        <v>1.6851426189111607</v>
      </c>
      <c r="S32" s="577">
        <f t="shared" si="97"/>
        <v>-1.1394792777026392</v>
      </c>
      <c r="T32" s="578">
        <f t="shared" si="98"/>
        <v>-1.2971472960364456</v>
      </c>
      <c r="U32" s="572">
        <f t="shared" si="99"/>
        <v>-1.075692585479747</v>
      </c>
      <c r="V32" s="579">
        <f t="shared" si="136"/>
        <v>-1.1394792777026392</v>
      </c>
      <c r="W32" s="528">
        <f t="shared" si="257"/>
        <v>219.66808875801576</v>
      </c>
      <c r="X32" s="572">
        <f t="shared" si="100"/>
        <v>1.6851426189111607</v>
      </c>
      <c r="Y32" s="573">
        <f t="shared" si="260"/>
        <v>-1.1394792777026392</v>
      </c>
      <c r="Z32" s="575">
        <f t="shared" si="9"/>
        <v>-0.69408591176276679</v>
      </c>
      <c r="AA32" s="572">
        <f t="shared" si="10"/>
        <v>-0.67553452077410125</v>
      </c>
      <c r="AB32" s="572">
        <f t="shared" si="11"/>
        <v>-0.24879280201596291</v>
      </c>
      <c r="AC32" s="579">
        <f t="shared" si="101"/>
        <v>1</v>
      </c>
      <c r="AD32" s="580">
        <f t="shared" si="137"/>
        <v>-0.69408591176276679</v>
      </c>
      <c r="AE32" s="572">
        <f t="shared" si="102"/>
        <v>-0.67553452077410125</v>
      </c>
      <c r="AF32" s="576">
        <f t="shared" si="103"/>
        <v>-0.24879280201596291</v>
      </c>
      <c r="AG32" s="545">
        <f t="shared" si="104"/>
        <v>-69.781737782690342</v>
      </c>
      <c r="AH32" s="546">
        <f t="shared" si="105"/>
        <v>133.95442087722199</v>
      </c>
      <c r="AI32" s="528">
        <f t="shared" si="106"/>
        <v>-75.593912069401554</v>
      </c>
      <c r="AJ32" s="529">
        <f t="shared" si="107"/>
        <v>-45.776018951753151</v>
      </c>
      <c r="AK32" s="578">
        <f t="shared" si="236"/>
        <v>0.96504451557618065</v>
      </c>
      <c r="AL32" s="572">
        <f t="shared" si="108"/>
        <v>8.240888678644237E-2</v>
      </c>
      <c r="AM32" s="577">
        <f t="shared" si="109"/>
        <v>-0.24879280201596291</v>
      </c>
      <c r="AN32" s="524">
        <f t="shared" si="110"/>
        <v>18.326678340239905</v>
      </c>
      <c r="AO32" s="525">
        <f t="shared" si="111"/>
        <v>15.193875388401565</v>
      </c>
      <c r="AP32" s="528">
        <f t="shared" si="112"/>
        <v>4.8808674360382591</v>
      </c>
      <c r="AQ32" s="529">
        <f t="shared" si="12"/>
        <v>1.3525876663477667</v>
      </c>
      <c r="AS32" s="954">
        <f t="shared" si="138"/>
        <v>219.66808875801576</v>
      </c>
      <c r="AT32" s="950">
        <f t="shared" si="13"/>
        <v>-1.0436300278971167</v>
      </c>
      <c r="AU32" s="418"/>
      <c r="AV32" s="164" t="str">
        <f t="shared" si="14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39"/>
        <v/>
      </c>
      <c r="BA32" s="296" t="str">
        <f t="shared" si="15"/>
        <v/>
      </c>
      <c r="BB32" s="190" t="str">
        <f t="shared" si="140"/>
        <v/>
      </c>
      <c r="BC32" s="9"/>
      <c r="BD32" s="5" t="str">
        <f t="shared" si="141"/>
        <v/>
      </c>
      <c r="BE32" s="6" t="str">
        <f t="shared" si="16"/>
        <v/>
      </c>
      <c r="BF32" s="4" t="str">
        <f t="shared" si="17"/>
        <v/>
      </c>
      <c r="BG32" s="5" t="str">
        <f t="shared" si="18"/>
        <v/>
      </c>
      <c r="BH32" s="10" t="str">
        <f t="shared" si="19"/>
        <v/>
      </c>
      <c r="BI32" s="9" t="str">
        <f t="shared" si="142"/>
        <v/>
      </c>
      <c r="BJ32" s="5" t="str">
        <f t="shared" si="20"/>
        <v/>
      </c>
      <c r="BK32" s="8" t="str">
        <f t="shared" si="21"/>
        <v/>
      </c>
      <c r="BL32" s="173" t="str">
        <f t="shared" si="22"/>
        <v/>
      </c>
      <c r="BM32" s="5" t="str">
        <f t="shared" si="23"/>
        <v/>
      </c>
      <c r="BN32" s="6" t="str">
        <f t="shared" si="24"/>
        <v/>
      </c>
      <c r="BO32" s="4" t="str">
        <f t="shared" si="143"/>
        <v/>
      </c>
      <c r="BP32" s="5" t="str">
        <f t="shared" si="144"/>
        <v/>
      </c>
      <c r="BQ32" s="5" t="str">
        <f t="shared" si="145"/>
        <v/>
      </c>
      <c r="BR32" s="6" t="str">
        <f t="shared" si="146"/>
        <v/>
      </c>
      <c r="BS32" s="4" t="str">
        <f t="shared" si="113"/>
        <v/>
      </c>
      <c r="BT32" s="5" t="str">
        <f t="shared" si="113"/>
        <v/>
      </c>
      <c r="BU32" s="10" t="str">
        <f t="shared" si="114"/>
        <v/>
      </c>
      <c r="BV32" s="9" t="str">
        <f t="shared" si="115"/>
        <v/>
      </c>
      <c r="BW32" s="5" t="str">
        <f t="shared" si="116"/>
        <v/>
      </c>
      <c r="BX32" s="8" t="str">
        <f t="shared" si="117"/>
        <v/>
      </c>
      <c r="BY32" s="173" t="str">
        <f t="shared" si="118"/>
        <v/>
      </c>
      <c r="BZ32" s="5" t="str">
        <f t="shared" si="119"/>
        <v/>
      </c>
      <c r="CA32" s="6" t="str">
        <f t="shared" si="120"/>
        <v/>
      </c>
      <c r="CB32" s="4" t="str">
        <f t="shared" si="147"/>
        <v/>
      </c>
      <c r="CC32" s="5" t="str">
        <f t="shared" si="148"/>
        <v/>
      </c>
      <c r="CD32" s="5" t="str">
        <f t="shared" si="149"/>
        <v/>
      </c>
      <c r="CE32" s="6" t="str">
        <f t="shared" si="150"/>
        <v/>
      </c>
      <c r="CF32" s="4" t="str">
        <f t="shared" si="151"/>
        <v/>
      </c>
      <c r="CG32" s="5" t="str">
        <f t="shared" si="152"/>
        <v/>
      </c>
      <c r="CH32" s="5" t="str">
        <f t="shared" si="153"/>
        <v/>
      </c>
      <c r="CI32" s="4" t="str">
        <f t="shared" si="121"/>
        <v/>
      </c>
      <c r="CJ32" s="5" t="str">
        <f t="shared" si="122"/>
        <v/>
      </c>
      <c r="CK32" s="8" t="str">
        <f t="shared" si="123"/>
        <v/>
      </c>
      <c r="CL32" s="173" t="str">
        <f t="shared" si="124"/>
        <v/>
      </c>
      <c r="CM32" s="5" t="str">
        <f t="shared" si="125"/>
        <v/>
      </c>
      <c r="CN32" s="6" t="str">
        <f t="shared" si="126"/>
        <v/>
      </c>
      <c r="CO32" s="167" t="str">
        <f t="shared" si="25"/>
        <v/>
      </c>
      <c r="CP32" s="4" t="str">
        <f t="shared" si="237"/>
        <v/>
      </c>
      <c r="CQ32" s="5" t="str">
        <f t="shared" si="238"/>
        <v/>
      </c>
      <c r="CR32" s="5" t="str">
        <f t="shared" si="154"/>
        <v/>
      </c>
      <c r="CS32" s="8" t="str">
        <f t="shared" si="155"/>
        <v/>
      </c>
      <c r="CT32" s="9" t="str">
        <f t="shared" si="156"/>
        <v/>
      </c>
      <c r="CU32" s="6" t="str">
        <f t="shared" si="157"/>
        <v/>
      </c>
      <c r="CV32" s="4" t="str">
        <f t="shared" si="239"/>
        <v/>
      </c>
      <c r="CW32" s="5" t="str">
        <f t="shared" si="158"/>
        <v/>
      </c>
      <c r="CX32" s="8" t="str">
        <f t="shared" si="159"/>
        <v/>
      </c>
      <c r="CY32" s="9" t="str">
        <f t="shared" si="160"/>
        <v/>
      </c>
      <c r="CZ32" s="5" t="str">
        <f t="shared" si="161"/>
        <v/>
      </c>
      <c r="DA32" s="6" t="str">
        <f t="shared" si="162"/>
        <v/>
      </c>
      <c r="DB32" s="4" t="str">
        <f t="shared" si="163"/>
        <v/>
      </c>
      <c r="DC32" s="5" t="str">
        <f t="shared" si="163"/>
        <v/>
      </c>
      <c r="DD32" s="10" t="str">
        <f t="shared" si="164"/>
        <v/>
      </c>
      <c r="DE32" s="9" t="str">
        <f t="shared" si="165"/>
        <v/>
      </c>
      <c r="DF32" s="5" t="str">
        <f t="shared" si="165"/>
        <v/>
      </c>
      <c r="DG32" s="10" t="str">
        <f t="shared" si="166"/>
        <v/>
      </c>
      <c r="DH32" s="70" t="str">
        <f t="shared" si="167"/>
        <v/>
      </c>
      <c r="DI32" s="4" t="str">
        <f t="shared" si="168"/>
        <v/>
      </c>
      <c r="DJ32" s="5" t="str">
        <f t="shared" si="169"/>
        <v/>
      </c>
      <c r="DK32" s="10" t="str">
        <f t="shared" si="170"/>
        <v/>
      </c>
      <c r="DL32" s="9" t="str">
        <f t="shared" si="171"/>
        <v/>
      </c>
      <c r="DM32" s="173" t="str">
        <f t="shared" si="172"/>
        <v/>
      </c>
      <c r="DN32" s="178" t="str">
        <f t="shared" si="173"/>
        <v/>
      </c>
      <c r="DO32" s="9" t="str">
        <f t="shared" si="174"/>
        <v/>
      </c>
      <c r="DP32" s="173" t="str">
        <f t="shared" si="175"/>
        <v/>
      </c>
      <c r="DQ32" s="11" t="str">
        <f t="shared" si="176"/>
        <v/>
      </c>
      <c r="DR32" s="173" t="str">
        <f t="shared" si="177"/>
        <v/>
      </c>
      <c r="DS32" s="5" t="str">
        <f t="shared" si="178"/>
        <v/>
      </c>
      <c r="DT32" s="5" t="str">
        <f t="shared" si="179"/>
        <v/>
      </c>
      <c r="DU32" s="5" t="str">
        <f t="shared" si="180"/>
        <v/>
      </c>
      <c r="DV32" s="5" t="str">
        <f t="shared" si="181"/>
        <v/>
      </c>
      <c r="DW32" s="5" t="str">
        <f t="shared" si="182"/>
        <v/>
      </c>
      <c r="DX32" s="167" t="str">
        <f t="shared" si="183"/>
        <v/>
      </c>
      <c r="DY32" s="9" t="str">
        <f t="shared" si="184"/>
        <v/>
      </c>
      <c r="DZ32" s="5" t="str">
        <f t="shared" si="185"/>
        <v/>
      </c>
      <c r="EA32" s="10" t="str">
        <f t="shared" si="186"/>
        <v/>
      </c>
      <c r="EB32" s="6" t="str">
        <f t="shared" si="187"/>
        <v/>
      </c>
      <c r="EC32" s="173" t="str">
        <f t="shared" si="188"/>
        <v/>
      </c>
      <c r="ED32" s="5" t="str">
        <f t="shared" si="189"/>
        <v/>
      </c>
      <c r="EE32" s="4" t="str">
        <f t="shared" si="190"/>
        <v/>
      </c>
      <c r="EF32" s="5" t="str">
        <f t="shared" si="191"/>
        <v/>
      </c>
      <c r="EG32" s="10" t="str">
        <f t="shared" si="192"/>
        <v/>
      </c>
      <c r="EH32" s="9" t="str">
        <f t="shared" si="193"/>
        <v/>
      </c>
      <c r="EI32" s="5" t="str">
        <f t="shared" si="194"/>
        <v/>
      </c>
      <c r="EJ32" s="6" t="str">
        <f t="shared" si="195"/>
        <v/>
      </c>
      <c r="EK32" s="236" t="str">
        <f t="shared" si="196"/>
        <v/>
      </c>
      <c r="EL32" s="238" t="str">
        <f t="shared" si="197"/>
        <v/>
      </c>
      <c r="EM32" s="4" t="str">
        <f t="shared" si="198"/>
        <v/>
      </c>
      <c r="EN32" s="5" t="str">
        <f t="shared" si="199"/>
        <v/>
      </c>
      <c r="EO32" s="10" t="str">
        <f t="shared" si="200"/>
        <v/>
      </c>
      <c r="EP32" s="9" t="str">
        <f t="shared" si="201"/>
        <v/>
      </c>
      <c r="EQ32" s="5" t="str">
        <f t="shared" si="202"/>
        <v/>
      </c>
      <c r="ER32" s="7" t="str">
        <f t="shared" si="203"/>
        <v/>
      </c>
      <c r="ES32" s="21" t="str">
        <f t="shared" si="127"/>
        <v/>
      </c>
      <c r="ET32" s="5" t="str">
        <f t="shared" si="34"/>
        <v/>
      </c>
      <c r="EU32" s="10" t="str">
        <f t="shared" si="35"/>
        <v/>
      </c>
      <c r="EV32" s="174" t="str">
        <f t="shared" si="253"/>
        <v/>
      </c>
      <c r="EW32" s="9" t="str">
        <f t="shared" si="128"/>
        <v/>
      </c>
      <c r="EX32" s="5" t="str">
        <f t="shared" si="36"/>
        <v/>
      </c>
      <c r="EY32" s="6" t="str">
        <f t="shared" si="204"/>
        <v/>
      </c>
      <c r="EZ32" s="51" t="str">
        <f t="shared" si="205"/>
        <v/>
      </c>
      <c r="FA32" s="266" t="str">
        <f t="shared" si="129"/>
        <v/>
      </c>
      <c r="FB32" s="267" t="str">
        <f t="shared" si="130"/>
        <v/>
      </c>
      <c r="FC32" s="269" t="str">
        <f t="shared" si="37"/>
        <v/>
      </c>
      <c r="FD32" s="4" t="str">
        <f t="shared" si="131"/>
        <v/>
      </c>
      <c r="FE32" s="5" t="str">
        <f t="shared" si="38"/>
        <v/>
      </c>
      <c r="FF32" s="7" t="str">
        <f t="shared" si="206"/>
        <v/>
      </c>
      <c r="FG32" s="173" t="str">
        <f t="shared" si="207"/>
        <v/>
      </c>
      <c r="FH32" s="5" t="str">
        <f t="shared" si="39"/>
        <v/>
      </c>
      <c r="FI32" s="10" t="str">
        <f t="shared" si="40"/>
        <v/>
      </c>
      <c r="FJ32" s="279" t="str">
        <f t="shared" si="208"/>
        <v/>
      </c>
      <c r="FK32" s="4" t="str">
        <f t="shared" si="41"/>
        <v/>
      </c>
      <c r="FL32" s="5" t="str">
        <f t="shared" si="209"/>
        <v/>
      </c>
      <c r="FM32" s="8" t="str">
        <f t="shared" si="210"/>
        <v/>
      </c>
      <c r="FN32" s="9" t="str">
        <f t="shared" si="211"/>
        <v/>
      </c>
      <c r="FO32" s="10" t="str">
        <f t="shared" si="42"/>
        <v/>
      </c>
      <c r="FP32" s="277" t="str">
        <f t="shared" si="43"/>
        <v/>
      </c>
      <c r="FQ32" s="173" t="str">
        <f t="shared" si="240"/>
        <v/>
      </c>
      <c r="FR32" s="10" t="str">
        <f t="shared" si="212"/>
        <v/>
      </c>
      <c r="FS32" s="9" t="str">
        <f t="shared" si="213"/>
        <v/>
      </c>
      <c r="FT32" s="6" t="str">
        <f t="shared" si="214"/>
        <v/>
      </c>
      <c r="FU32" s="4" t="str">
        <f t="shared" si="215"/>
        <v/>
      </c>
      <c r="FV32" s="5" t="str">
        <f t="shared" si="216"/>
        <v/>
      </c>
      <c r="FW32" s="8" t="str">
        <f t="shared" si="241"/>
        <v/>
      </c>
      <c r="FX32" s="9" t="str">
        <f t="shared" si="242"/>
        <v/>
      </c>
      <c r="FY32" s="10" t="str">
        <f t="shared" si="44"/>
        <v/>
      </c>
      <c r="FZ32" s="277" t="str">
        <f t="shared" si="243"/>
        <v/>
      </c>
      <c r="GA32" s="177" t="str">
        <f t="shared" si="217"/>
        <v/>
      </c>
      <c r="GB32" s="4" t="str">
        <f t="shared" si="218"/>
        <v/>
      </c>
      <c r="GC32" s="5" t="str">
        <f t="shared" si="219"/>
        <v/>
      </c>
      <c r="GD32" s="10" t="str">
        <f t="shared" si="220"/>
        <v/>
      </c>
      <c r="GE32" s="311" t="str">
        <f t="shared" si="221"/>
        <v/>
      </c>
      <c r="GF32" s="341" t="str">
        <f t="shared" si="244"/>
        <v/>
      </c>
      <c r="GG32" s="285" t="str">
        <f t="shared" si="45"/>
        <v/>
      </c>
      <c r="GH32" s="286" t="str">
        <f t="shared" si="46"/>
        <v/>
      </c>
      <c r="GI32" s="281" t="str">
        <f t="shared" si="47"/>
        <v/>
      </c>
      <c r="GJ32" s="167" t="str">
        <f t="shared" si="222"/>
        <v/>
      </c>
      <c r="GK32" s="174" t="str">
        <f t="shared" si="48"/>
        <v/>
      </c>
      <c r="GL32" s="174" t="str">
        <f t="shared" si="223"/>
        <v/>
      </c>
      <c r="GM32" s="177" t="str">
        <f t="shared" si="245"/>
        <v/>
      </c>
      <c r="GN32" s="280" t="str">
        <f t="shared" si="224"/>
        <v/>
      </c>
      <c r="GO32" s="4" t="str">
        <f t="shared" si="225"/>
        <v/>
      </c>
      <c r="GP32" s="8" t="str">
        <f t="shared" si="246"/>
        <v/>
      </c>
      <c r="GQ32" s="177" t="str">
        <f t="shared" si="226"/>
        <v/>
      </c>
      <c r="GR32" s="371" t="str">
        <f t="shared" si="247"/>
        <v/>
      </c>
      <c r="GS32" s="342" t="str">
        <f t="shared" si="50"/>
        <v/>
      </c>
      <c r="GT32" s="343" t="str">
        <f t="shared" si="51"/>
        <v/>
      </c>
      <c r="GU32" s="344" t="str">
        <f t="shared" si="52"/>
        <v/>
      </c>
      <c r="GV32" s="343" t="str">
        <f t="shared" si="254"/>
        <v/>
      </c>
      <c r="GW32" s="345" t="str">
        <f t="shared" si="53"/>
        <v/>
      </c>
      <c r="GX32" s="346" t="str">
        <f t="shared" si="54"/>
        <v/>
      </c>
      <c r="GY32" s="344" t="str">
        <f t="shared" si="55"/>
        <v/>
      </c>
      <c r="GZ32" s="345" t="str">
        <f t="shared" si="56"/>
        <v/>
      </c>
      <c r="HA32" s="342" t="str">
        <f t="shared" si="57"/>
        <v/>
      </c>
      <c r="HB32" s="5" t="str">
        <f t="shared" si="227"/>
        <v/>
      </c>
      <c r="HC32" s="343" t="str">
        <f t="shared" si="228"/>
        <v/>
      </c>
      <c r="HD32" s="363" t="str">
        <f t="shared" si="229"/>
        <v/>
      </c>
      <c r="HE32" s="344" t="str">
        <f t="shared" si="58"/>
        <v/>
      </c>
      <c r="HF32" s="5" t="str">
        <f t="shared" si="59"/>
        <v/>
      </c>
      <c r="HG32" s="343" t="str">
        <f t="shared" si="230"/>
        <v/>
      </c>
      <c r="HH32" s="349" t="str">
        <f t="shared" si="231"/>
        <v/>
      </c>
      <c r="HI32" s="317" t="str">
        <f t="shared" si="60"/>
        <v/>
      </c>
      <c r="HJ32" s="336"/>
      <c r="HK32" s="310" t="str">
        <f t="shared" si="132"/>
        <v/>
      </c>
      <c r="HL32" s="348" t="str">
        <f t="shared" si="61"/>
        <v/>
      </c>
      <c r="HM32" s="923" t="str">
        <f t="shared" si="62"/>
        <v/>
      </c>
      <c r="HN32" s="924" t="str">
        <f t="shared" si="63"/>
        <v/>
      </c>
      <c r="HO32" s="925"/>
      <c r="HP32" s="926"/>
      <c r="HQ32" s="924" t="str">
        <f t="shared" si="64"/>
        <v/>
      </c>
      <c r="HR32" s="927" t="str">
        <f t="shared" si="65"/>
        <v/>
      </c>
      <c r="HS32" s="879" t="str">
        <f t="shared" si="250"/>
        <v/>
      </c>
      <c r="HT32" s="889" t="str">
        <f t="shared" si="66"/>
        <v/>
      </c>
      <c r="HU32" s="890" t="str">
        <f t="shared" si="67"/>
        <v/>
      </c>
      <c r="HV32" s="886" t="str">
        <f t="shared" si="68"/>
        <v/>
      </c>
      <c r="HW32" s="880" t="str">
        <f t="shared" si="69"/>
        <v/>
      </c>
      <c r="HX32" s="881" t="str">
        <f t="shared" si="70"/>
        <v/>
      </c>
      <c r="HY32" s="880" t="str">
        <f t="shared" si="71"/>
        <v/>
      </c>
      <c r="HZ32" s="882" t="str">
        <f t="shared" si="72"/>
        <v/>
      </c>
      <c r="IA32" s="883" t="str">
        <f t="shared" si="73"/>
        <v/>
      </c>
      <c r="IB32" s="884" t="str">
        <f t="shared" si="74"/>
        <v/>
      </c>
      <c r="IC32" s="855" t="str">
        <f t="shared" si="75"/>
        <v/>
      </c>
      <c r="ID32" s="351" t="str">
        <f t="shared" si="76"/>
        <v/>
      </c>
      <c r="IE32" s="857" t="str">
        <f t="shared" si="77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2"/>
        <v>3.1040000000000001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8"/>
        <v>1913</v>
      </c>
      <c r="IM32" s="482" t="str">
        <f t="shared" si="233"/>
        <v/>
      </c>
      <c r="IN32" s="670" t="str">
        <f t="shared" si="80"/>
        <v/>
      </c>
      <c r="IO32" s="702"/>
      <c r="IP32" s="5" t="str">
        <f t="shared" si="81"/>
        <v/>
      </c>
      <c r="IQ32" s="714"/>
      <c r="IR32" s="9" t="str">
        <f t="shared" si="8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</row>
    <row r="33" spans="1:269" ht="15" customHeight="1" x14ac:dyDescent="0.25">
      <c r="A33" s="75">
        <f t="shared" si="92"/>
        <v>0.02</v>
      </c>
      <c r="B33" s="578">
        <f t="shared" ref="B33:D33" si="293">IFERROR(O188-($A33*E33),"")</f>
        <v>1.6155486189921782</v>
      </c>
      <c r="C33" s="572">
        <f t="shared" si="293"/>
        <v>-1.9553923350123632</v>
      </c>
      <c r="D33" s="576">
        <f t="shared" si="293"/>
        <v>-0.82954619662102214</v>
      </c>
      <c r="E33" s="580">
        <f t="shared" ref="E33:K33" si="294">R188</f>
        <v>0.70251836463961592</v>
      </c>
      <c r="F33" s="572">
        <f t="shared" si="294"/>
        <v>0.66548510344930523</v>
      </c>
      <c r="G33" s="579">
        <f t="shared" si="294"/>
        <v>0.25218549607609708</v>
      </c>
      <c r="H33" s="580">
        <f t="shared" si="294"/>
        <v>0.375</v>
      </c>
      <c r="I33" s="572">
        <f t="shared" si="294"/>
        <v>0.52</v>
      </c>
      <c r="J33" s="483">
        <f t="shared" si="95"/>
        <v>3.1070000000000002</v>
      </c>
      <c r="K33" s="806">
        <f t="shared" si="294"/>
        <v>1913</v>
      </c>
      <c r="L33" s="309"/>
      <c r="M33" s="164">
        <f t="shared" si="3"/>
        <v>3.1070000000000002</v>
      </c>
      <c r="N33" s="575">
        <f t="shared" si="4"/>
        <v>1.6155486189921782</v>
      </c>
      <c r="O33" s="572">
        <f t="shared" si="5"/>
        <v>-1.9553923350123632</v>
      </c>
      <c r="P33" s="576">
        <f t="shared" si="6"/>
        <v>-0.82954619662102214</v>
      </c>
      <c r="Q33" s="528">
        <f t="shared" si="135"/>
        <v>309.56357797570428</v>
      </c>
      <c r="R33" s="572">
        <f t="shared" si="96"/>
        <v>2.536445647782076</v>
      </c>
      <c r="S33" s="577">
        <f t="shared" si="97"/>
        <v>-0.82954619662102214</v>
      </c>
      <c r="T33" s="578">
        <f t="shared" si="98"/>
        <v>-1.946197723404848</v>
      </c>
      <c r="U33" s="572">
        <f t="shared" si="99"/>
        <v>-1.6266133362192818</v>
      </c>
      <c r="V33" s="579">
        <f t="shared" si="136"/>
        <v>-0.82954619662102214</v>
      </c>
      <c r="W33" s="528">
        <f t="shared" si="257"/>
        <v>219.88855312151145</v>
      </c>
      <c r="X33" s="572">
        <f t="shared" si="100"/>
        <v>2.536445647782076</v>
      </c>
      <c r="Y33" s="573">
        <f t="shared" si="260"/>
        <v>-0.82954619662102214</v>
      </c>
      <c r="Z33" s="575">
        <f t="shared" si="9"/>
        <v>-0.70251836463961592</v>
      </c>
      <c r="AA33" s="572">
        <f t="shared" si="10"/>
        <v>-0.66548510344930523</v>
      </c>
      <c r="AB33" s="572">
        <f t="shared" si="11"/>
        <v>-0.25218549607609708</v>
      </c>
      <c r="AC33" s="579">
        <f t="shared" si="101"/>
        <v>1</v>
      </c>
      <c r="AD33" s="580">
        <f t="shared" si="137"/>
        <v>-0.70251836463961592</v>
      </c>
      <c r="AE33" s="572">
        <f t="shared" si="102"/>
        <v>-0.66548510344930523</v>
      </c>
      <c r="AF33" s="576">
        <f t="shared" si="103"/>
        <v>-0.25218549607609708</v>
      </c>
      <c r="AG33" s="545">
        <f t="shared" si="104"/>
        <v>-69.245803150685262</v>
      </c>
      <c r="AH33" s="546">
        <f t="shared" si="105"/>
        <v>134.62940357880947</v>
      </c>
      <c r="AI33" s="528">
        <f t="shared" si="106"/>
        <v>-75.393123645096239</v>
      </c>
      <c r="AJ33" s="529">
        <f t="shared" si="107"/>
        <v>-46.550676967749496</v>
      </c>
      <c r="AK33" s="578">
        <f t="shared" si="236"/>
        <v>0.96545438196179023</v>
      </c>
      <c r="AL33" s="572">
        <f t="shared" si="108"/>
        <v>6.557676356477482E-2</v>
      </c>
      <c r="AM33" s="577">
        <f t="shared" si="109"/>
        <v>-0.25218549607609708</v>
      </c>
      <c r="AN33" s="524">
        <f t="shared" si="110"/>
        <v>14.576032436172593</v>
      </c>
      <c r="AO33" s="525">
        <f t="shared" si="111"/>
        <v>15.104013175284674</v>
      </c>
      <c r="AP33" s="528">
        <f t="shared" si="112"/>
        <v>3.8857450565462317</v>
      </c>
      <c r="AQ33" s="529">
        <f t="shared" si="12"/>
        <v>0.89871417755621097</v>
      </c>
      <c r="AS33" s="954">
        <f t="shared" si="138"/>
        <v>219.88855312151145</v>
      </c>
      <c r="AT33" s="950">
        <f t="shared" si="13"/>
        <v>-0.73385004706792722</v>
      </c>
      <c r="AU33" s="418"/>
      <c r="AV33" s="164" t="str">
        <f t="shared" si="14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39"/>
        <v/>
      </c>
      <c r="BA33" s="296" t="str">
        <f t="shared" si="15"/>
        <v/>
      </c>
      <c r="BB33" s="190" t="str">
        <f t="shared" si="140"/>
        <v/>
      </c>
      <c r="BC33" s="9"/>
      <c r="BD33" s="5" t="str">
        <f t="shared" si="141"/>
        <v/>
      </c>
      <c r="BE33" s="6" t="str">
        <f t="shared" si="16"/>
        <v/>
      </c>
      <c r="BF33" s="4" t="str">
        <f t="shared" si="17"/>
        <v/>
      </c>
      <c r="BG33" s="5" t="str">
        <f t="shared" si="18"/>
        <v/>
      </c>
      <c r="BH33" s="10" t="str">
        <f t="shared" si="19"/>
        <v/>
      </c>
      <c r="BI33" s="9" t="str">
        <f t="shared" si="142"/>
        <v/>
      </c>
      <c r="BJ33" s="5" t="str">
        <f t="shared" si="20"/>
        <v/>
      </c>
      <c r="BK33" s="8" t="str">
        <f t="shared" si="21"/>
        <v/>
      </c>
      <c r="BL33" s="173" t="str">
        <f t="shared" si="22"/>
        <v/>
      </c>
      <c r="BM33" s="5" t="str">
        <f t="shared" si="23"/>
        <v/>
      </c>
      <c r="BN33" s="6" t="str">
        <f t="shared" si="24"/>
        <v/>
      </c>
      <c r="BO33" s="4" t="str">
        <f t="shared" si="143"/>
        <v/>
      </c>
      <c r="BP33" s="5" t="str">
        <f t="shared" si="144"/>
        <v/>
      </c>
      <c r="BQ33" s="5" t="str">
        <f t="shared" si="145"/>
        <v/>
      </c>
      <c r="BR33" s="6" t="str">
        <f t="shared" si="146"/>
        <v/>
      </c>
      <c r="BS33" s="4" t="str">
        <f t="shared" si="113"/>
        <v/>
      </c>
      <c r="BT33" s="5" t="str">
        <f t="shared" si="113"/>
        <v/>
      </c>
      <c r="BU33" s="10" t="str">
        <f t="shared" si="114"/>
        <v/>
      </c>
      <c r="BV33" s="9" t="str">
        <f t="shared" si="115"/>
        <v/>
      </c>
      <c r="BW33" s="5" t="str">
        <f t="shared" si="116"/>
        <v/>
      </c>
      <c r="BX33" s="8" t="str">
        <f t="shared" si="117"/>
        <v/>
      </c>
      <c r="BY33" s="173" t="str">
        <f t="shared" si="118"/>
        <v/>
      </c>
      <c r="BZ33" s="5" t="str">
        <f t="shared" si="119"/>
        <v/>
      </c>
      <c r="CA33" s="6" t="str">
        <f t="shared" si="120"/>
        <v/>
      </c>
      <c r="CB33" s="4" t="str">
        <f t="shared" si="147"/>
        <v/>
      </c>
      <c r="CC33" s="5" t="str">
        <f t="shared" si="148"/>
        <v/>
      </c>
      <c r="CD33" s="5" t="str">
        <f t="shared" si="149"/>
        <v/>
      </c>
      <c r="CE33" s="6" t="str">
        <f t="shared" si="150"/>
        <v/>
      </c>
      <c r="CF33" s="4" t="str">
        <f t="shared" si="151"/>
        <v/>
      </c>
      <c r="CG33" s="5" t="str">
        <f t="shared" si="152"/>
        <v/>
      </c>
      <c r="CH33" s="5" t="str">
        <f t="shared" si="153"/>
        <v/>
      </c>
      <c r="CI33" s="4" t="str">
        <f t="shared" si="121"/>
        <v/>
      </c>
      <c r="CJ33" s="5" t="str">
        <f t="shared" si="122"/>
        <v/>
      </c>
      <c r="CK33" s="8" t="str">
        <f t="shared" si="123"/>
        <v/>
      </c>
      <c r="CL33" s="173" t="str">
        <f t="shared" si="124"/>
        <v/>
      </c>
      <c r="CM33" s="5" t="str">
        <f t="shared" si="125"/>
        <v/>
      </c>
      <c r="CN33" s="6" t="str">
        <f t="shared" si="126"/>
        <v/>
      </c>
      <c r="CO33" s="167" t="str">
        <f t="shared" si="25"/>
        <v/>
      </c>
      <c r="CP33" s="4" t="str">
        <f t="shared" si="237"/>
        <v/>
      </c>
      <c r="CQ33" s="5" t="str">
        <f t="shared" si="238"/>
        <v/>
      </c>
      <c r="CR33" s="5" t="str">
        <f t="shared" si="154"/>
        <v/>
      </c>
      <c r="CS33" s="8" t="str">
        <f t="shared" si="155"/>
        <v/>
      </c>
      <c r="CT33" s="9" t="str">
        <f t="shared" si="156"/>
        <v/>
      </c>
      <c r="CU33" s="6" t="str">
        <f t="shared" si="157"/>
        <v/>
      </c>
      <c r="CV33" s="4" t="str">
        <f t="shared" si="239"/>
        <v/>
      </c>
      <c r="CW33" s="5" t="str">
        <f t="shared" si="158"/>
        <v/>
      </c>
      <c r="CX33" s="8" t="str">
        <f t="shared" si="159"/>
        <v/>
      </c>
      <c r="CY33" s="9" t="str">
        <f t="shared" si="160"/>
        <v/>
      </c>
      <c r="CZ33" s="5" t="str">
        <f t="shared" si="161"/>
        <v/>
      </c>
      <c r="DA33" s="6" t="str">
        <f t="shared" si="162"/>
        <v/>
      </c>
      <c r="DB33" s="4" t="str">
        <f t="shared" si="163"/>
        <v/>
      </c>
      <c r="DC33" s="5" t="str">
        <f t="shared" si="163"/>
        <v/>
      </c>
      <c r="DD33" s="10" t="str">
        <f t="shared" si="164"/>
        <v/>
      </c>
      <c r="DE33" s="9" t="str">
        <f t="shared" si="165"/>
        <v/>
      </c>
      <c r="DF33" s="5" t="str">
        <f t="shared" si="165"/>
        <v/>
      </c>
      <c r="DG33" s="10" t="str">
        <f t="shared" si="166"/>
        <v/>
      </c>
      <c r="DH33" s="70" t="str">
        <f t="shared" si="167"/>
        <v/>
      </c>
      <c r="DI33" s="4" t="str">
        <f t="shared" si="168"/>
        <v/>
      </c>
      <c r="DJ33" s="5" t="str">
        <f t="shared" si="169"/>
        <v/>
      </c>
      <c r="DK33" s="10" t="str">
        <f t="shared" si="170"/>
        <v/>
      </c>
      <c r="DL33" s="9" t="str">
        <f t="shared" si="171"/>
        <v/>
      </c>
      <c r="DM33" s="173" t="str">
        <f t="shared" si="172"/>
        <v/>
      </c>
      <c r="DN33" s="178" t="str">
        <f t="shared" si="173"/>
        <v/>
      </c>
      <c r="DO33" s="9" t="str">
        <f t="shared" si="174"/>
        <v/>
      </c>
      <c r="DP33" s="173" t="str">
        <f t="shared" si="175"/>
        <v/>
      </c>
      <c r="DQ33" s="11" t="str">
        <f t="shared" si="176"/>
        <v/>
      </c>
      <c r="DR33" s="173" t="str">
        <f t="shared" si="177"/>
        <v/>
      </c>
      <c r="DS33" s="5" t="str">
        <f t="shared" si="178"/>
        <v/>
      </c>
      <c r="DT33" s="5" t="str">
        <f t="shared" si="179"/>
        <v/>
      </c>
      <c r="DU33" s="5" t="str">
        <f t="shared" si="180"/>
        <v/>
      </c>
      <c r="DV33" s="5" t="str">
        <f t="shared" si="181"/>
        <v/>
      </c>
      <c r="DW33" s="5" t="str">
        <f t="shared" si="182"/>
        <v/>
      </c>
      <c r="DX33" s="167" t="str">
        <f t="shared" si="183"/>
        <v/>
      </c>
      <c r="DY33" s="9" t="str">
        <f t="shared" si="184"/>
        <v/>
      </c>
      <c r="DZ33" s="5" t="str">
        <f t="shared" si="185"/>
        <v/>
      </c>
      <c r="EA33" s="10" t="str">
        <f t="shared" si="186"/>
        <v/>
      </c>
      <c r="EB33" s="6" t="str">
        <f t="shared" si="187"/>
        <v/>
      </c>
      <c r="EC33" s="173" t="str">
        <f t="shared" si="188"/>
        <v/>
      </c>
      <c r="ED33" s="5" t="str">
        <f t="shared" si="189"/>
        <v/>
      </c>
      <c r="EE33" s="4" t="str">
        <f t="shared" si="190"/>
        <v/>
      </c>
      <c r="EF33" s="5" t="str">
        <f t="shared" si="191"/>
        <v/>
      </c>
      <c r="EG33" s="10" t="str">
        <f t="shared" si="192"/>
        <v/>
      </c>
      <c r="EH33" s="9" t="str">
        <f t="shared" si="193"/>
        <v/>
      </c>
      <c r="EI33" s="5" t="str">
        <f t="shared" si="194"/>
        <v/>
      </c>
      <c r="EJ33" s="6" t="str">
        <f t="shared" si="195"/>
        <v/>
      </c>
      <c r="EK33" s="236" t="str">
        <f t="shared" si="196"/>
        <v/>
      </c>
      <c r="EL33" s="238" t="str">
        <f t="shared" si="197"/>
        <v/>
      </c>
      <c r="EM33" s="272" t="str">
        <f t="shared" si="198"/>
        <v/>
      </c>
      <c r="EN33" s="267" t="str">
        <f t="shared" si="199"/>
        <v/>
      </c>
      <c r="EO33" s="273" t="str">
        <f t="shared" si="200"/>
        <v/>
      </c>
      <c r="EP33" s="9" t="str">
        <f t="shared" si="201"/>
        <v/>
      </c>
      <c r="EQ33" s="5" t="str">
        <f t="shared" si="202"/>
        <v/>
      </c>
      <c r="ER33" s="7" t="str">
        <f t="shared" si="203"/>
        <v/>
      </c>
      <c r="ES33" s="274" t="str">
        <f t="shared" si="127"/>
        <v/>
      </c>
      <c r="ET33" s="267" t="str">
        <f t="shared" si="34"/>
        <v/>
      </c>
      <c r="EU33" s="273" t="str">
        <f t="shared" si="35"/>
        <v/>
      </c>
      <c r="EV33" s="174" t="str">
        <f t="shared" si="253"/>
        <v/>
      </c>
      <c r="EW33" s="9" t="str">
        <f t="shared" si="128"/>
        <v/>
      </c>
      <c r="EX33" s="5" t="str">
        <f t="shared" si="36"/>
        <v/>
      </c>
      <c r="EY33" s="6" t="str">
        <f t="shared" si="204"/>
        <v/>
      </c>
      <c r="EZ33" s="51" t="str">
        <f t="shared" si="205"/>
        <v/>
      </c>
      <c r="FA33" s="266" t="str">
        <f t="shared" si="129"/>
        <v/>
      </c>
      <c r="FB33" s="267" t="str">
        <f t="shared" si="130"/>
        <v/>
      </c>
      <c r="FC33" s="269" t="str">
        <f t="shared" si="37"/>
        <v/>
      </c>
      <c r="FD33" s="4" t="str">
        <f t="shared" si="131"/>
        <v/>
      </c>
      <c r="FE33" s="5" t="str">
        <f t="shared" si="38"/>
        <v/>
      </c>
      <c r="FF33" s="7" t="str">
        <f t="shared" si="206"/>
        <v/>
      </c>
      <c r="FG33" s="173" t="str">
        <f t="shared" si="207"/>
        <v/>
      </c>
      <c r="FH33" s="5" t="str">
        <f t="shared" si="39"/>
        <v/>
      </c>
      <c r="FI33" s="10" t="str">
        <f t="shared" si="40"/>
        <v/>
      </c>
      <c r="FJ33" s="279" t="str">
        <f t="shared" si="208"/>
        <v/>
      </c>
      <c r="FK33" s="4" t="str">
        <f t="shared" si="41"/>
        <v/>
      </c>
      <c r="FL33" s="5" t="str">
        <f t="shared" si="209"/>
        <v/>
      </c>
      <c r="FM33" s="8" t="str">
        <f t="shared" si="210"/>
        <v/>
      </c>
      <c r="FN33" s="9" t="str">
        <f t="shared" si="211"/>
        <v/>
      </c>
      <c r="FO33" s="10" t="str">
        <f t="shared" si="42"/>
        <v/>
      </c>
      <c r="FP33" s="277" t="str">
        <f t="shared" si="43"/>
        <v/>
      </c>
      <c r="FQ33" s="173" t="str">
        <f t="shared" si="240"/>
        <v/>
      </c>
      <c r="FR33" s="10" t="str">
        <f t="shared" si="212"/>
        <v/>
      </c>
      <c r="FS33" s="9" t="str">
        <f t="shared" si="213"/>
        <v/>
      </c>
      <c r="FT33" s="6" t="str">
        <f t="shared" si="214"/>
        <v/>
      </c>
      <c r="FU33" s="4" t="str">
        <f t="shared" si="215"/>
        <v/>
      </c>
      <c r="FV33" s="5" t="str">
        <f t="shared" si="216"/>
        <v/>
      </c>
      <c r="FW33" s="8" t="str">
        <f t="shared" si="241"/>
        <v/>
      </c>
      <c r="FX33" s="9" t="str">
        <f t="shared" si="242"/>
        <v/>
      </c>
      <c r="FY33" s="10" t="str">
        <f t="shared" si="44"/>
        <v/>
      </c>
      <c r="FZ33" s="277" t="str">
        <f t="shared" si="243"/>
        <v/>
      </c>
      <c r="GA33" s="177" t="str">
        <f t="shared" si="217"/>
        <v/>
      </c>
      <c r="GB33" s="4" t="str">
        <f t="shared" si="218"/>
        <v/>
      </c>
      <c r="GC33" s="5" t="str">
        <f t="shared" si="219"/>
        <v/>
      </c>
      <c r="GD33" s="10" t="str">
        <f t="shared" si="220"/>
        <v/>
      </c>
      <c r="GE33" s="311" t="str">
        <f t="shared" si="221"/>
        <v/>
      </c>
      <c r="GF33" s="341" t="str">
        <f t="shared" si="244"/>
        <v/>
      </c>
      <c r="GG33" s="285" t="str">
        <f t="shared" si="45"/>
        <v/>
      </c>
      <c r="GH33" s="286" t="str">
        <f t="shared" si="46"/>
        <v/>
      </c>
      <c r="GI33" s="281" t="str">
        <f t="shared" si="47"/>
        <v/>
      </c>
      <c r="GJ33" s="167" t="str">
        <f t="shared" si="222"/>
        <v/>
      </c>
      <c r="GK33" s="174" t="str">
        <f t="shared" si="48"/>
        <v/>
      </c>
      <c r="GL33" s="174" t="str">
        <f t="shared" si="223"/>
        <v/>
      </c>
      <c r="GM33" s="177" t="str">
        <f t="shared" si="245"/>
        <v/>
      </c>
      <c r="GN33" s="280" t="str">
        <f t="shared" si="224"/>
        <v/>
      </c>
      <c r="GO33" s="4" t="str">
        <f t="shared" si="225"/>
        <v/>
      </c>
      <c r="GP33" s="8" t="str">
        <f t="shared" si="246"/>
        <v/>
      </c>
      <c r="GQ33" s="177" t="str">
        <f t="shared" si="226"/>
        <v/>
      </c>
      <c r="GR33" s="371" t="str">
        <f t="shared" si="247"/>
        <v/>
      </c>
      <c r="GS33" s="342" t="str">
        <f t="shared" si="50"/>
        <v/>
      </c>
      <c r="GT33" s="343" t="str">
        <f t="shared" si="51"/>
        <v/>
      </c>
      <c r="GU33" s="344" t="str">
        <f t="shared" si="52"/>
        <v/>
      </c>
      <c r="GV33" s="343" t="str">
        <f t="shared" si="254"/>
        <v/>
      </c>
      <c r="GW33" s="345" t="str">
        <f t="shared" si="53"/>
        <v/>
      </c>
      <c r="GX33" s="346" t="str">
        <f t="shared" si="54"/>
        <v/>
      </c>
      <c r="GY33" s="344" t="str">
        <f t="shared" si="55"/>
        <v/>
      </c>
      <c r="GZ33" s="345" t="str">
        <f t="shared" si="56"/>
        <v/>
      </c>
      <c r="HA33" s="342" t="str">
        <f t="shared" si="57"/>
        <v/>
      </c>
      <c r="HB33" s="5" t="str">
        <f t="shared" si="227"/>
        <v/>
      </c>
      <c r="HC33" s="343" t="str">
        <f t="shared" si="228"/>
        <v/>
      </c>
      <c r="HD33" s="363" t="str">
        <f t="shared" si="229"/>
        <v/>
      </c>
      <c r="HE33" s="344" t="str">
        <f t="shared" si="58"/>
        <v/>
      </c>
      <c r="HF33" s="5" t="str">
        <f t="shared" si="59"/>
        <v/>
      </c>
      <c r="HG33" s="343" t="str">
        <f t="shared" si="230"/>
        <v/>
      </c>
      <c r="HH33" s="349" t="str">
        <f t="shared" si="231"/>
        <v/>
      </c>
      <c r="HI33" s="317" t="str">
        <f t="shared" si="60"/>
        <v/>
      </c>
      <c r="HJ33" s="336"/>
      <c r="HK33" s="310" t="str">
        <f t="shared" si="132"/>
        <v/>
      </c>
      <c r="HL33" s="348" t="str">
        <f t="shared" si="61"/>
        <v/>
      </c>
      <c r="HM33" s="923" t="str">
        <f t="shared" si="62"/>
        <v/>
      </c>
      <c r="HN33" s="924" t="str">
        <f t="shared" si="63"/>
        <v/>
      </c>
      <c r="HO33" s="925"/>
      <c r="HP33" s="926"/>
      <c r="HQ33" s="924" t="str">
        <f t="shared" si="64"/>
        <v/>
      </c>
      <c r="HR33" s="927" t="str">
        <f t="shared" si="65"/>
        <v/>
      </c>
      <c r="HS33" s="879" t="str">
        <f t="shared" si="250"/>
        <v/>
      </c>
      <c r="HT33" s="889" t="str">
        <f t="shared" si="66"/>
        <v/>
      </c>
      <c r="HU33" s="890" t="str">
        <f t="shared" si="67"/>
        <v/>
      </c>
      <c r="HV33" s="886" t="str">
        <f t="shared" si="68"/>
        <v/>
      </c>
      <c r="HW33" s="880" t="str">
        <f t="shared" si="69"/>
        <v/>
      </c>
      <c r="HX33" s="881" t="str">
        <f t="shared" si="70"/>
        <v/>
      </c>
      <c r="HY33" s="880" t="str">
        <f t="shared" si="71"/>
        <v/>
      </c>
      <c r="HZ33" s="882" t="str">
        <f t="shared" si="72"/>
        <v/>
      </c>
      <c r="IA33" s="883" t="str">
        <f t="shared" si="73"/>
        <v/>
      </c>
      <c r="IB33" s="884" t="str">
        <f t="shared" si="74"/>
        <v/>
      </c>
      <c r="IC33" s="855" t="str">
        <f t="shared" si="75"/>
        <v/>
      </c>
      <c r="ID33" s="351" t="str">
        <f t="shared" si="76"/>
        <v/>
      </c>
      <c r="IE33" s="857" t="str">
        <f t="shared" si="77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2"/>
        <v>3.1070000000000002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8"/>
        <v>1913</v>
      </c>
      <c r="IM33" s="482" t="str">
        <f t="shared" si="233"/>
        <v/>
      </c>
      <c r="IN33" s="670" t="str">
        <f t="shared" si="80"/>
        <v/>
      </c>
      <c r="IO33" s="702"/>
      <c r="IP33" s="5" t="str">
        <f t="shared" si="81"/>
        <v/>
      </c>
      <c r="IQ33" s="714"/>
      <c r="IR33" s="9" t="str">
        <f t="shared" si="8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</row>
    <row r="34" spans="1:269" ht="15" customHeight="1" x14ac:dyDescent="0.25">
      <c r="A34" s="75">
        <f t="shared" si="92"/>
        <v>0.02</v>
      </c>
      <c r="B34" s="578">
        <f t="shared" ref="B34:D34" si="295">IFERROR(O189-($A34*E34),"")</f>
        <v>2.2903846256906046</v>
      </c>
      <c r="C34" s="572">
        <f t="shared" si="295"/>
        <v>-2.7596314758832392</v>
      </c>
      <c r="D34" s="576">
        <f t="shared" si="295"/>
        <v>-0.44732733768957278</v>
      </c>
      <c r="E34" s="580">
        <f t="shared" ref="E34:K34" si="296">R189</f>
        <v>0.71678885835317385</v>
      </c>
      <c r="F34" s="572">
        <f t="shared" si="296"/>
        <v>0.64847817215032988</v>
      </c>
      <c r="G34" s="579">
        <f t="shared" si="296"/>
        <v>0.25630020051751973</v>
      </c>
      <c r="H34" s="580">
        <f t="shared" si="296"/>
        <v>0.375</v>
      </c>
      <c r="I34" s="572">
        <f t="shared" si="296"/>
        <v>0.52</v>
      </c>
      <c r="J34" s="483">
        <f t="shared" si="95"/>
        <v>3.1120000000000001</v>
      </c>
      <c r="K34" s="806">
        <f t="shared" si="296"/>
        <v>1913</v>
      </c>
      <c r="L34" s="309"/>
      <c r="M34" s="164">
        <f t="shared" si="3"/>
        <v>3.1120000000000001</v>
      </c>
      <c r="N34" s="575">
        <f t="shared" si="4"/>
        <v>2.2903846256906046</v>
      </c>
      <c r="O34" s="572">
        <f t="shared" si="5"/>
        <v>-2.7596314758832392</v>
      </c>
      <c r="P34" s="576">
        <f t="shared" si="6"/>
        <v>-0.44732733768957278</v>
      </c>
      <c r="Q34" s="528">
        <f t="shared" si="135"/>
        <v>309.69132701947359</v>
      </c>
      <c r="R34" s="572">
        <f>IF(M34="","",SQRT(N34^2+O34^2))</f>
        <v>3.5862832593487921</v>
      </c>
      <c r="S34" s="577">
        <f>IF(M34="","",P34)</f>
        <v>-0.44732733768957278</v>
      </c>
      <c r="T34" s="578">
        <f>IF(M34="","",X34*COS(RADIANS(W34)))</f>
        <v>-2.746596355439392</v>
      </c>
      <c r="U34" s="572">
        <f>IF(M34="","",X34*SIN(RADIANS(W34)))</f>
        <v>-2.306000016602872</v>
      </c>
      <c r="V34" s="579">
        <f>IF(M34="","",Y34)</f>
        <v>-0.44732733768957278</v>
      </c>
      <c r="W34" s="528">
        <f t="shared" si="257"/>
        <v>220.01630216528076</v>
      </c>
      <c r="X34" s="572">
        <f>IF(M34="","",R34)</f>
        <v>3.5862832593487921</v>
      </c>
      <c r="Y34" s="573">
        <f t="shared" si="260"/>
        <v>-0.44732733768957278</v>
      </c>
      <c r="Z34" s="575">
        <f t="shared" si="9"/>
        <v>-0.71678885835317385</v>
      </c>
      <c r="AA34" s="572">
        <f t="shared" si="10"/>
        <v>-0.64847817215032988</v>
      </c>
      <c r="AB34" s="572">
        <f t="shared" si="11"/>
        <v>-0.25630020051751973</v>
      </c>
      <c r="AC34" s="579">
        <f>IF(M34="","",SQRT(Z34^2+AA34^2+AB34^2))</f>
        <v>1</v>
      </c>
      <c r="AD34" s="580">
        <f>IF(M34="","",Z34*(1/SQRT(Z34^2+AA34^2+AB34^2)))</f>
        <v>-0.71678885835317385</v>
      </c>
      <c r="AE34" s="572">
        <f>IF(M34="","",AA34*(1/SQRT(Z34^2+AA34^2+AB34^2)))</f>
        <v>-0.64847817215032988</v>
      </c>
      <c r="AF34" s="576">
        <f>IF(M34="","",AB34*(1/SQRT(Z34^2+AA34^2+AB34^2)))</f>
        <v>-0.25630020051751973</v>
      </c>
      <c r="AG34" s="545">
        <f>IF(M34="","",DEGREES(ATAN2(-AF34,AE34)))</f>
        <v>-68.43441552330539</v>
      </c>
      <c r="AH34" s="546">
        <f>IF(M34="","",DEGREES(ACOS(AD34)))</f>
        <v>135.78999506048046</v>
      </c>
      <c r="AI34" s="528">
        <f>IF(M34="","",DEGREES(-ACOS(-AF34)))</f>
        <v>-75.149358199573641</v>
      </c>
      <c r="AJ34" s="529">
        <f>IF(M34="","",DEGREES(ATAN2(-AE34,AD34)))</f>
        <v>-47.864386750041163</v>
      </c>
      <c r="AK34" s="578">
        <f>IF(M34="","",(COS(RADIANS((90-$Q$8)-W34))*AD34)+(-SIN(RADIANS((90-$Q$8)-W34))*AE34))</f>
        <v>0.96571778641148809</v>
      </c>
      <c r="AL34" s="572">
        <f>IF(M34="","",(SIN(RADIANS((90-$Q$8)-W34))*AD34)+(COS(RADIANS((90-$Q$8)-W34))*AE34))</f>
        <v>4.1223345608705331E-2</v>
      </c>
      <c r="AM34" s="577">
        <f>IF(M34="","",AF34)</f>
        <v>-0.25630020051751973</v>
      </c>
      <c r="AN34" s="524">
        <f>IF(M34="","",DEGREES(ATAN2(-AM34,AL34)))</f>
        <v>9.1372025361221461</v>
      </c>
      <c r="AO34" s="525">
        <f t="shared" si="111"/>
        <v>15.045985730725002</v>
      </c>
      <c r="AP34" s="528">
        <f>IF(M34="","",DEGREES(ATAN2(AK34,AL34)))</f>
        <v>2.4442862304852415</v>
      </c>
      <c r="AQ34" s="529">
        <f t="shared" si="12"/>
        <v>0.6356533868148071</v>
      </c>
      <c r="AS34" s="954">
        <f t="shared" si="138"/>
        <v>220.01630216528076</v>
      </c>
      <c r="AT34" s="950">
        <f t="shared" si="13"/>
        <v>-0.35171990275020648</v>
      </c>
      <c r="AU34" s="418"/>
      <c r="AV34" s="164" t="str">
        <f t="shared" si="14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39"/>
        <v/>
      </c>
      <c r="BA34" s="296" t="str">
        <f t="shared" si="15"/>
        <v/>
      </c>
      <c r="BB34" s="190" t="str">
        <f t="shared" si="140"/>
        <v/>
      </c>
      <c r="BC34" s="9"/>
      <c r="BD34" s="5" t="str">
        <f t="shared" si="141"/>
        <v/>
      </c>
      <c r="BE34" s="6" t="str">
        <f t="shared" si="16"/>
        <v/>
      </c>
      <c r="BF34" s="4" t="str">
        <f t="shared" si="17"/>
        <v/>
      </c>
      <c r="BG34" s="5" t="str">
        <f t="shared" si="18"/>
        <v/>
      </c>
      <c r="BH34" s="10" t="str">
        <f t="shared" si="19"/>
        <v/>
      </c>
      <c r="BI34" s="9" t="str">
        <f t="shared" si="142"/>
        <v/>
      </c>
      <c r="BJ34" s="5" t="str">
        <f t="shared" si="20"/>
        <v/>
      </c>
      <c r="BK34" s="8" t="str">
        <f t="shared" si="21"/>
        <v/>
      </c>
      <c r="BL34" s="173" t="str">
        <f t="shared" si="22"/>
        <v/>
      </c>
      <c r="BM34" s="5" t="str">
        <f t="shared" si="23"/>
        <v/>
      </c>
      <c r="BN34" s="6" t="str">
        <f t="shared" si="24"/>
        <v/>
      </c>
      <c r="BO34" s="4" t="str">
        <f t="shared" si="143"/>
        <v/>
      </c>
      <c r="BP34" s="5" t="str">
        <f t="shared" si="144"/>
        <v/>
      </c>
      <c r="BQ34" s="5" t="str">
        <f t="shared" si="145"/>
        <v/>
      </c>
      <c r="BR34" s="6" t="str">
        <f t="shared" si="146"/>
        <v/>
      </c>
      <c r="BS34" s="4" t="str">
        <f t="shared" si="113"/>
        <v/>
      </c>
      <c r="BT34" s="5" t="str">
        <f t="shared" si="113"/>
        <v/>
      </c>
      <c r="BU34" s="10" t="str">
        <f t="shared" si="114"/>
        <v/>
      </c>
      <c r="BV34" s="9" t="str">
        <f t="shared" si="115"/>
        <v/>
      </c>
      <c r="BW34" s="5" t="str">
        <f t="shared" si="116"/>
        <v/>
      </c>
      <c r="BX34" s="8" t="str">
        <f t="shared" si="117"/>
        <v/>
      </c>
      <c r="BY34" s="173" t="str">
        <f t="shared" si="118"/>
        <v/>
      </c>
      <c r="BZ34" s="5" t="str">
        <f t="shared" si="119"/>
        <v/>
      </c>
      <c r="CA34" s="6" t="str">
        <f t="shared" si="120"/>
        <v/>
      </c>
      <c r="CB34" s="4" t="str">
        <f t="shared" si="147"/>
        <v/>
      </c>
      <c r="CC34" s="5" t="str">
        <f t="shared" si="148"/>
        <v/>
      </c>
      <c r="CD34" s="5" t="str">
        <f t="shared" si="149"/>
        <v/>
      </c>
      <c r="CE34" s="6" t="str">
        <f t="shared" si="150"/>
        <v/>
      </c>
      <c r="CF34" s="4" t="str">
        <f t="shared" si="151"/>
        <v/>
      </c>
      <c r="CG34" s="5" t="str">
        <f t="shared" si="152"/>
        <v/>
      </c>
      <c r="CH34" s="5" t="str">
        <f t="shared" si="153"/>
        <v/>
      </c>
      <c r="CI34" s="4" t="str">
        <f t="shared" si="121"/>
        <v/>
      </c>
      <c r="CJ34" s="5" t="str">
        <f t="shared" si="122"/>
        <v/>
      </c>
      <c r="CK34" s="8" t="str">
        <f t="shared" si="123"/>
        <v/>
      </c>
      <c r="CL34" s="173" t="str">
        <f t="shared" si="124"/>
        <v/>
      </c>
      <c r="CM34" s="5" t="str">
        <f t="shared" si="125"/>
        <v/>
      </c>
      <c r="CN34" s="6" t="str">
        <f t="shared" si="126"/>
        <v/>
      </c>
      <c r="CO34" s="167" t="str">
        <f t="shared" si="25"/>
        <v/>
      </c>
      <c r="CP34" s="4" t="str">
        <f t="shared" si="237"/>
        <v/>
      </c>
      <c r="CQ34" s="5" t="str">
        <f t="shared" si="238"/>
        <v/>
      </c>
      <c r="CR34" s="5" t="str">
        <f t="shared" si="154"/>
        <v/>
      </c>
      <c r="CS34" s="8" t="str">
        <f t="shared" si="155"/>
        <v/>
      </c>
      <c r="CT34" s="9" t="str">
        <f t="shared" si="156"/>
        <v/>
      </c>
      <c r="CU34" s="6" t="str">
        <f t="shared" si="157"/>
        <v/>
      </c>
      <c r="CV34" s="4" t="str">
        <f t="shared" si="239"/>
        <v/>
      </c>
      <c r="CW34" s="5" t="str">
        <f t="shared" si="158"/>
        <v/>
      </c>
      <c r="CX34" s="8" t="str">
        <f t="shared" si="159"/>
        <v/>
      </c>
      <c r="CY34" s="9" t="str">
        <f t="shared" si="160"/>
        <v/>
      </c>
      <c r="CZ34" s="5" t="str">
        <f t="shared" si="161"/>
        <v/>
      </c>
      <c r="DA34" s="6" t="str">
        <f t="shared" si="162"/>
        <v/>
      </c>
      <c r="DB34" s="4" t="str">
        <f t="shared" si="163"/>
        <v/>
      </c>
      <c r="DC34" s="5" t="str">
        <f t="shared" si="163"/>
        <v/>
      </c>
      <c r="DD34" s="10" t="str">
        <f t="shared" si="164"/>
        <v/>
      </c>
      <c r="DE34" s="9" t="str">
        <f t="shared" si="165"/>
        <v/>
      </c>
      <c r="DF34" s="5" t="str">
        <f t="shared" si="165"/>
        <v/>
      </c>
      <c r="DG34" s="10" t="str">
        <f t="shared" si="166"/>
        <v/>
      </c>
      <c r="DH34" s="70" t="str">
        <f t="shared" si="167"/>
        <v/>
      </c>
      <c r="DI34" s="4" t="str">
        <f t="shared" si="168"/>
        <v/>
      </c>
      <c r="DJ34" s="5" t="str">
        <f t="shared" si="169"/>
        <v/>
      </c>
      <c r="DK34" s="10" t="str">
        <f t="shared" si="170"/>
        <v/>
      </c>
      <c r="DL34" s="9" t="str">
        <f t="shared" si="171"/>
        <v/>
      </c>
      <c r="DM34" s="173" t="str">
        <f t="shared" si="172"/>
        <v/>
      </c>
      <c r="DN34" s="178" t="str">
        <f t="shared" si="173"/>
        <v/>
      </c>
      <c r="DO34" s="9" t="str">
        <f t="shared" si="174"/>
        <v/>
      </c>
      <c r="DP34" s="173" t="str">
        <f t="shared" si="175"/>
        <v/>
      </c>
      <c r="DQ34" s="11" t="str">
        <f t="shared" si="176"/>
        <v/>
      </c>
      <c r="DR34" s="173" t="str">
        <f t="shared" si="177"/>
        <v/>
      </c>
      <c r="DS34" s="5" t="str">
        <f t="shared" si="178"/>
        <v/>
      </c>
      <c r="DT34" s="5" t="str">
        <f t="shared" si="179"/>
        <v/>
      </c>
      <c r="DU34" s="5" t="str">
        <f t="shared" si="180"/>
        <v/>
      </c>
      <c r="DV34" s="5" t="str">
        <f t="shared" si="181"/>
        <v/>
      </c>
      <c r="DW34" s="5" t="str">
        <f t="shared" si="182"/>
        <v/>
      </c>
      <c r="DX34" s="167" t="str">
        <f t="shared" si="183"/>
        <v/>
      </c>
      <c r="DY34" s="9" t="str">
        <f t="shared" si="184"/>
        <v/>
      </c>
      <c r="DZ34" s="5" t="str">
        <f t="shared" si="185"/>
        <v/>
      </c>
      <c r="EA34" s="10" t="str">
        <f t="shared" si="186"/>
        <v/>
      </c>
      <c r="EB34" s="6" t="str">
        <f t="shared" si="187"/>
        <v/>
      </c>
      <c r="EC34" s="173" t="str">
        <f t="shared" si="188"/>
        <v/>
      </c>
      <c r="ED34" s="5" t="str">
        <f t="shared" si="189"/>
        <v/>
      </c>
      <c r="EE34" s="4" t="str">
        <f t="shared" si="190"/>
        <v/>
      </c>
      <c r="EF34" s="5" t="str">
        <f t="shared" si="191"/>
        <v/>
      </c>
      <c r="EG34" s="10" t="str">
        <f t="shared" si="192"/>
        <v/>
      </c>
      <c r="EH34" s="9" t="str">
        <f t="shared" si="193"/>
        <v/>
      </c>
      <c r="EI34" s="5" t="str">
        <f t="shared" si="194"/>
        <v/>
      </c>
      <c r="EJ34" s="6" t="str">
        <f t="shared" si="195"/>
        <v/>
      </c>
      <c r="EK34" s="236" t="str">
        <f t="shared" si="196"/>
        <v/>
      </c>
      <c r="EL34" s="238" t="str">
        <f t="shared" si="197"/>
        <v/>
      </c>
      <c r="EM34" s="4" t="str">
        <f t="shared" si="198"/>
        <v/>
      </c>
      <c r="EN34" s="5" t="str">
        <f t="shared" si="199"/>
        <v/>
      </c>
      <c r="EO34" s="10" t="str">
        <f t="shared" si="200"/>
        <v/>
      </c>
      <c r="EP34" s="9" t="str">
        <f t="shared" si="201"/>
        <v/>
      </c>
      <c r="EQ34" s="5" t="str">
        <f t="shared" si="202"/>
        <v/>
      </c>
      <c r="ER34" s="7" t="str">
        <f t="shared" si="203"/>
        <v/>
      </c>
      <c r="ES34" s="21" t="str">
        <f t="shared" si="127"/>
        <v/>
      </c>
      <c r="ET34" s="5" t="str">
        <f t="shared" si="34"/>
        <v/>
      </c>
      <c r="EU34" s="10" t="str">
        <f t="shared" si="35"/>
        <v/>
      </c>
      <c r="EV34" s="174" t="str">
        <f t="shared" si="253"/>
        <v/>
      </c>
      <c r="EW34" s="9" t="str">
        <f t="shared" si="128"/>
        <v/>
      </c>
      <c r="EX34" s="5" t="str">
        <f t="shared" si="36"/>
        <v/>
      </c>
      <c r="EY34" s="6" t="str">
        <f t="shared" si="204"/>
        <v/>
      </c>
      <c r="EZ34" s="51" t="str">
        <f t="shared" si="205"/>
        <v/>
      </c>
      <c r="FA34" s="266" t="str">
        <f t="shared" si="129"/>
        <v/>
      </c>
      <c r="FB34" s="267" t="str">
        <f t="shared" si="130"/>
        <v/>
      </c>
      <c r="FC34" s="269" t="str">
        <f t="shared" si="37"/>
        <v/>
      </c>
      <c r="FD34" s="4" t="str">
        <f t="shared" si="131"/>
        <v/>
      </c>
      <c r="FE34" s="5" t="str">
        <f t="shared" si="38"/>
        <v/>
      </c>
      <c r="FF34" s="7" t="str">
        <f t="shared" si="206"/>
        <v/>
      </c>
      <c r="FG34" s="173" t="str">
        <f t="shared" si="207"/>
        <v/>
      </c>
      <c r="FH34" s="5" t="str">
        <f t="shared" si="39"/>
        <v/>
      </c>
      <c r="FI34" s="10" t="str">
        <f t="shared" si="40"/>
        <v/>
      </c>
      <c r="FJ34" s="279" t="str">
        <f t="shared" si="208"/>
        <v/>
      </c>
      <c r="FK34" s="4" t="str">
        <f t="shared" si="41"/>
        <v/>
      </c>
      <c r="FL34" s="5" t="str">
        <f t="shared" si="209"/>
        <v/>
      </c>
      <c r="FM34" s="8" t="str">
        <f t="shared" si="210"/>
        <v/>
      </c>
      <c r="FN34" s="9" t="str">
        <f t="shared" si="211"/>
        <v/>
      </c>
      <c r="FO34" s="10" t="str">
        <f t="shared" si="42"/>
        <v/>
      </c>
      <c r="FP34" s="277" t="str">
        <f t="shared" si="43"/>
        <v/>
      </c>
      <c r="FQ34" s="173" t="str">
        <f t="shared" si="240"/>
        <v/>
      </c>
      <c r="FR34" s="10" t="str">
        <f t="shared" si="212"/>
        <v/>
      </c>
      <c r="FS34" s="9" t="str">
        <f t="shared" si="213"/>
        <v/>
      </c>
      <c r="FT34" s="6" t="str">
        <f t="shared" si="214"/>
        <v/>
      </c>
      <c r="FU34" s="4" t="str">
        <f t="shared" si="215"/>
        <v/>
      </c>
      <c r="FV34" s="5" t="str">
        <f t="shared" si="216"/>
        <v/>
      </c>
      <c r="FW34" s="8" t="str">
        <f t="shared" si="241"/>
        <v/>
      </c>
      <c r="FX34" s="9" t="str">
        <f t="shared" si="242"/>
        <v/>
      </c>
      <c r="FY34" s="10" t="str">
        <f t="shared" si="44"/>
        <v/>
      </c>
      <c r="FZ34" s="277" t="str">
        <f t="shared" si="243"/>
        <v/>
      </c>
      <c r="GA34" s="177" t="str">
        <f t="shared" si="217"/>
        <v/>
      </c>
      <c r="GB34" s="4" t="str">
        <f t="shared" si="218"/>
        <v/>
      </c>
      <c r="GC34" s="5" t="str">
        <f t="shared" si="219"/>
        <v/>
      </c>
      <c r="GD34" s="10" t="str">
        <f t="shared" si="220"/>
        <v/>
      </c>
      <c r="GE34" s="311" t="str">
        <f t="shared" si="221"/>
        <v/>
      </c>
      <c r="GF34" s="341" t="str">
        <f t="shared" si="244"/>
        <v/>
      </c>
      <c r="GG34" s="285" t="str">
        <f t="shared" si="45"/>
        <v/>
      </c>
      <c r="GH34" s="286" t="str">
        <f t="shared" si="46"/>
        <v/>
      </c>
      <c r="GI34" s="281" t="str">
        <f t="shared" si="47"/>
        <v/>
      </c>
      <c r="GJ34" s="167" t="str">
        <f t="shared" si="222"/>
        <v/>
      </c>
      <c r="GK34" s="174" t="str">
        <f t="shared" si="48"/>
        <v/>
      </c>
      <c r="GL34" s="174" t="str">
        <f t="shared" si="223"/>
        <v/>
      </c>
      <c r="GM34" s="177" t="str">
        <f t="shared" si="245"/>
        <v/>
      </c>
      <c r="GN34" s="280" t="str">
        <f t="shared" si="224"/>
        <v/>
      </c>
      <c r="GO34" s="4" t="str">
        <f t="shared" si="225"/>
        <v/>
      </c>
      <c r="GP34" s="8" t="str">
        <f t="shared" si="246"/>
        <v/>
      </c>
      <c r="GQ34" s="177" t="str">
        <f t="shared" si="226"/>
        <v/>
      </c>
      <c r="GR34" s="371" t="str">
        <f t="shared" si="247"/>
        <v/>
      </c>
      <c r="GS34" s="342" t="str">
        <f t="shared" si="50"/>
        <v/>
      </c>
      <c r="GT34" s="343" t="str">
        <f t="shared" si="51"/>
        <v/>
      </c>
      <c r="GU34" s="344" t="str">
        <f t="shared" si="52"/>
        <v/>
      </c>
      <c r="GV34" s="343" t="str">
        <f t="shared" si="254"/>
        <v/>
      </c>
      <c r="GW34" s="345" t="str">
        <f t="shared" si="53"/>
        <v/>
      </c>
      <c r="GX34" s="346" t="str">
        <f t="shared" si="54"/>
        <v/>
      </c>
      <c r="GY34" s="344" t="str">
        <f t="shared" si="55"/>
        <v/>
      </c>
      <c r="GZ34" s="345" t="str">
        <f t="shared" si="56"/>
        <v/>
      </c>
      <c r="HA34" s="342" t="str">
        <f t="shared" si="57"/>
        <v/>
      </c>
      <c r="HB34" s="5" t="str">
        <f t="shared" si="227"/>
        <v/>
      </c>
      <c r="HC34" s="343" t="str">
        <f t="shared" si="228"/>
        <v/>
      </c>
      <c r="HD34" s="363" t="str">
        <f t="shared" si="229"/>
        <v/>
      </c>
      <c r="HE34" s="344" t="str">
        <f t="shared" si="58"/>
        <v/>
      </c>
      <c r="HF34" s="5" t="str">
        <f t="shared" si="59"/>
        <v/>
      </c>
      <c r="HG34" s="343" t="str">
        <f t="shared" si="230"/>
        <v/>
      </c>
      <c r="HH34" s="349" t="str">
        <f t="shared" si="231"/>
        <v/>
      </c>
      <c r="HI34" s="317" t="str">
        <f t="shared" si="60"/>
        <v/>
      </c>
      <c r="HJ34" s="336"/>
      <c r="HK34" s="310" t="str">
        <f t="shared" si="132"/>
        <v/>
      </c>
      <c r="HL34" s="348" t="str">
        <f t="shared" si="61"/>
        <v/>
      </c>
      <c r="HM34" s="923" t="str">
        <f t="shared" si="62"/>
        <v/>
      </c>
      <c r="HN34" s="924" t="str">
        <f t="shared" si="63"/>
        <v/>
      </c>
      <c r="HO34" s="925"/>
      <c r="HP34" s="926"/>
      <c r="HQ34" s="924" t="str">
        <f t="shared" si="64"/>
        <v/>
      </c>
      <c r="HR34" s="927" t="str">
        <f t="shared" si="65"/>
        <v/>
      </c>
      <c r="HS34" s="879" t="str">
        <f t="shared" si="250"/>
        <v/>
      </c>
      <c r="HT34" s="889" t="str">
        <f t="shared" si="66"/>
        <v/>
      </c>
      <c r="HU34" s="890" t="str">
        <f t="shared" si="67"/>
        <v/>
      </c>
      <c r="HV34" s="886" t="str">
        <f t="shared" si="68"/>
        <v/>
      </c>
      <c r="HW34" s="880" t="str">
        <f t="shared" si="69"/>
        <v/>
      </c>
      <c r="HX34" s="881" t="str">
        <f t="shared" si="70"/>
        <v/>
      </c>
      <c r="HY34" s="880" t="str">
        <f t="shared" si="71"/>
        <v/>
      </c>
      <c r="HZ34" s="882" t="str">
        <f t="shared" si="72"/>
        <v/>
      </c>
      <c r="IA34" s="883" t="str">
        <f t="shared" si="73"/>
        <v/>
      </c>
      <c r="IB34" s="884" t="str">
        <f t="shared" si="74"/>
        <v/>
      </c>
      <c r="IC34" s="855" t="str">
        <f t="shared" si="75"/>
        <v/>
      </c>
      <c r="ID34" s="351" t="str">
        <f t="shared" si="76"/>
        <v/>
      </c>
      <c r="IE34" s="857" t="str">
        <f t="shared" si="77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2"/>
        <v>3.1120000000000001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8"/>
        <v>1913</v>
      </c>
      <c r="IM34" s="482" t="str">
        <f t="shared" si="233"/>
        <v/>
      </c>
      <c r="IN34" s="670" t="str">
        <f t="shared" si="80"/>
        <v/>
      </c>
      <c r="IO34" s="702"/>
      <c r="IP34" s="5" t="str">
        <f t="shared" si="81"/>
        <v/>
      </c>
      <c r="IQ34" s="714"/>
      <c r="IR34" s="9" t="str">
        <f t="shared" si="8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</row>
    <row r="35" spans="1:269" ht="15" customHeight="1" x14ac:dyDescent="0.25">
      <c r="A35" s="75">
        <f t="shared" si="92"/>
        <v>0.02</v>
      </c>
      <c r="B35" s="578">
        <f t="shared" ref="B35:D35" si="297">IFERROR(O190-($A35*E35),"")</f>
        <v>2.8369922575295417</v>
      </c>
      <c r="C35" s="572">
        <f t="shared" si="297"/>
        <v>-3.4320769034901311</v>
      </c>
      <c r="D35" s="576">
        <f t="shared" si="297"/>
        <v>-0.18860350232973547</v>
      </c>
      <c r="E35" s="580">
        <f t="shared" ref="E35:K35" si="298">R190</f>
        <v>0.73274470396839364</v>
      </c>
      <c r="F35" s="572">
        <f t="shared" si="298"/>
        <v>0.62881515410060573</v>
      </c>
      <c r="G35" s="579">
        <f t="shared" si="298"/>
        <v>0.26014745968335484</v>
      </c>
      <c r="H35" s="580">
        <f t="shared" si="298"/>
        <v>0.375</v>
      </c>
      <c r="I35" s="572">
        <f t="shared" si="298"/>
        <v>0.52</v>
      </c>
      <c r="J35" s="483">
        <f t="shared" si="95"/>
        <v>3.117</v>
      </c>
      <c r="K35" s="806">
        <f t="shared" si="298"/>
        <v>1913</v>
      </c>
      <c r="L35" s="309"/>
      <c r="M35" s="164">
        <f t="shared" si="3"/>
        <v>3.117</v>
      </c>
      <c r="N35" s="575">
        <f t="shared" si="4"/>
        <v>2.8369922575295417</v>
      </c>
      <c r="O35" s="572">
        <f t="shared" si="5"/>
        <v>-3.4320769034901311</v>
      </c>
      <c r="P35" s="576">
        <f t="shared" si="6"/>
        <v>-0.18860350232973547</v>
      </c>
      <c r="Q35" s="528">
        <f t="shared" si="135"/>
        <v>309.57750736706049</v>
      </c>
      <c r="R35" s="572">
        <f>IF(M35="","",SQRT(N35^2+O35^2))</f>
        <v>4.4528279711609082</v>
      </c>
      <c r="S35" s="577">
        <f>IF(M35="","",P35)</f>
        <v>-0.18860350232973547</v>
      </c>
      <c r="T35" s="578">
        <f>IF(M35="","",X35*COS(RADIANS(W35)))</f>
        <v>-3.4159306869862309</v>
      </c>
      <c r="U35" s="572">
        <f>IF(M35="","",X35*SIN(RADIANS(W35)))</f>
        <v>-2.8564128697474298</v>
      </c>
      <c r="V35" s="579">
        <f>IF(M35="","",Y35)</f>
        <v>-0.18860350232973547</v>
      </c>
      <c r="W35" s="528">
        <f t="shared" si="257"/>
        <v>219.90248251286766</v>
      </c>
      <c r="X35" s="572">
        <f>IF(M35="","",R35)</f>
        <v>4.4528279711609082</v>
      </c>
      <c r="Y35" s="573">
        <f t="shared" si="260"/>
        <v>-0.18860350232973547</v>
      </c>
      <c r="Z35" s="575">
        <f t="shared" si="9"/>
        <v>-0.73274470396839364</v>
      </c>
      <c r="AA35" s="572">
        <f t="shared" si="10"/>
        <v>-0.62881515410060573</v>
      </c>
      <c r="AB35" s="572">
        <f t="shared" si="11"/>
        <v>-0.26014745968335484</v>
      </c>
      <c r="AC35" s="579">
        <f>IF(M35="","",SQRT(Z35^2+AA35^2+AB35^2))</f>
        <v>1</v>
      </c>
      <c r="AD35" s="580">
        <f>IF(M35="","",Z35*(1/SQRT(Z35^2+AA35^2+AB35^2)))</f>
        <v>-0.73274470396839364</v>
      </c>
      <c r="AE35" s="572">
        <f>IF(M35="","",AA35*(1/SQRT(Z35^2+AA35^2+AB35^2)))</f>
        <v>-0.62881515410060573</v>
      </c>
      <c r="AF35" s="576">
        <f>IF(M35="","",AB35*(1/SQRT(Z35^2+AA35^2+AB35^2)))</f>
        <v>-0.26014745968335484</v>
      </c>
      <c r="AG35" s="545">
        <f>IF(M35="","",DEGREES(ATAN2(-AF35,AE35)))</f>
        <v>-67.524604475292051</v>
      </c>
      <c r="AH35" s="546">
        <f>IF(M35="","",DEGREES(ACOS(AD35)))</f>
        <v>137.11698850561089</v>
      </c>
      <c r="AI35" s="528">
        <f>IF(M35="","",DEGREES(-ACOS(-AF35)))</f>
        <v>-74.92118794225253</v>
      </c>
      <c r="AJ35" s="529">
        <f>IF(M35="","",DEGREES(ATAN2(-AE35,AD35)))</f>
        <v>-49.364993442680678</v>
      </c>
      <c r="AK35" s="578">
        <f>IF(M35="","",(COS(RADIANS((90-$Q$8)-W35))*AD35)+(-SIN(RADIANS((90-$Q$8)-W35))*AE35))</f>
        <v>0.96540444097249845</v>
      </c>
      <c r="AL35" s="572">
        <f>IF(M35="","",(SIN(RADIANS((90-$Q$8)-W35))*AD35)+(COS(RADIANS((90-$Q$8)-W35))*AE35))</f>
        <v>1.7820341491540104E-2</v>
      </c>
      <c r="AM35" s="577">
        <f>IF(M35="","",AF35)</f>
        <v>-0.26014745968335484</v>
      </c>
      <c r="AN35" s="524">
        <f>IF(M35="","",DEGREES(ATAN2(-AM35,AL35)))</f>
        <v>3.9186921901626506</v>
      </c>
      <c r="AO35" s="525">
        <f t="shared" si="111"/>
        <v>15.114990529790031</v>
      </c>
      <c r="AP35" s="528">
        <f>IF(M35="","",DEGREES(ATAN2(AK35,AL35)))</f>
        <v>1.0574991902588466</v>
      </c>
      <c r="AQ35" s="529">
        <f t="shared" si="12"/>
        <v>0.51195913576687968</v>
      </c>
      <c r="AS35" s="954">
        <f t="shared" si="138"/>
        <v>219.90248251286766</v>
      </c>
      <c r="AT35" s="950">
        <f t="shared" si="13"/>
        <v>-9.291702596508232E-2</v>
      </c>
      <c r="AU35" s="418"/>
      <c r="AV35" s="164" t="str">
        <f t="shared" si="14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9"/>
        <v/>
      </c>
      <c r="BA35" s="296" t="str">
        <f t="shared" si="15"/>
        <v/>
      </c>
      <c r="BB35" s="190" t="str">
        <f t="shared" si="140"/>
        <v/>
      </c>
      <c r="BC35" s="9"/>
      <c r="BD35" s="5" t="str">
        <f t="shared" si="141"/>
        <v/>
      </c>
      <c r="BE35" s="6" t="str">
        <f t="shared" si="16"/>
        <v/>
      </c>
      <c r="BF35" s="4" t="str">
        <f t="shared" si="17"/>
        <v/>
      </c>
      <c r="BG35" s="5" t="str">
        <f t="shared" si="18"/>
        <v/>
      </c>
      <c r="BH35" s="10" t="str">
        <f t="shared" si="19"/>
        <v/>
      </c>
      <c r="BI35" s="9" t="str">
        <f t="shared" si="142"/>
        <v/>
      </c>
      <c r="BJ35" s="5" t="str">
        <f t="shared" si="20"/>
        <v/>
      </c>
      <c r="BK35" s="8" t="str">
        <f t="shared" si="21"/>
        <v/>
      </c>
      <c r="BL35" s="173" t="str">
        <f t="shared" si="22"/>
        <v/>
      </c>
      <c r="BM35" s="5" t="str">
        <f t="shared" si="23"/>
        <v/>
      </c>
      <c r="BN35" s="6" t="str">
        <f t="shared" si="24"/>
        <v/>
      </c>
      <c r="BO35" s="4" t="str">
        <f t="shared" si="143"/>
        <v/>
      </c>
      <c r="BP35" s="5" t="str">
        <f t="shared" si="144"/>
        <v/>
      </c>
      <c r="BQ35" s="5" t="str">
        <f t="shared" si="145"/>
        <v/>
      </c>
      <c r="BR35" s="6" t="str">
        <f t="shared" si="146"/>
        <v/>
      </c>
      <c r="BS35" s="4" t="str">
        <f t="shared" si="113"/>
        <v/>
      </c>
      <c r="BT35" s="5" t="str">
        <f t="shared" si="113"/>
        <v/>
      </c>
      <c r="BU35" s="10" t="str">
        <f t="shared" si="114"/>
        <v/>
      </c>
      <c r="BV35" s="9" t="str">
        <f t="shared" si="115"/>
        <v/>
      </c>
      <c r="BW35" s="5" t="str">
        <f t="shared" si="116"/>
        <v/>
      </c>
      <c r="BX35" s="8" t="str">
        <f t="shared" si="117"/>
        <v/>
      </c>
      <c r="BY35" s="173" t="str">
        <f t="shared" si="118"/>
        <v/>
      </c>
      <c r="BZ35" s="5" t="str">
        <f t="shared" si="119"/>
        <v/>
      </c>
      <c r="CA35" s="6" t="str">
        <f t="shared" si="120"/>
        <v/>
      </c>
      <c r="CB35" s="4" t="str">
        <f t="shared" si="147"/>
        <v/>
      </c>
      <c r="CC35" s="5" t="str">
        <f t="shared" si="148"/>
        <v/>
      </c>
      <c r="CD35" s="5" t="str">
        <f t="shared" si="149"/>
        <v/>
      </c>
      <c r="CE35" s="6" t="str">
        <f t="shared" si="150"/>
        <v/>
      </c>
      <c r="CF35" s="4" t="str">
        <f t="shared" si="151"/>
        <v/>
      </c>
      <c r="CG35" s="5" t="str">
        <f t="shared" si="152"/>
        <v/>
      </c>
      <c r="CH35" s="5" t="str">
        <f t="shared" si="153"/>
        <v/>
      </c>
      <c r="CI35" s="4" t="str">
        <f t="shared" si="121"/>
        <v/>
      </c>
      <c r="CJ35" s="5" t="str">
        <f t="shared" si="122"/>
        <v/>
      </c>
      <c r="CK35" s="8" t="str">
        <f t="shared" si="123"/>
        <v/>
      </c>
      <c r="CL35" s="173" t="str">
        <f t="shared" si="124"/>
        <v/>
      </c>
      <c r="CM35" s="5" t="str">
        <f t="shared" si="125"/>
        <v/>
      </c>
      <c r="CN35" s="6" t="str">
        <f t="shared" si="126"/>
        <v/>
      </c>
      <c r="CO35" s="167" t="str">
        <f t="shared" si="25"/>
        <v/>
      </c>
      <c r="CP35" s="4" t="str">
        <f t="shared" si="237"/>
        <v/>
      </c>
      <c r="CQ35" s="5" t="str">
        <f t="shared" si="238"/>
        <v/>
      </c>
      <c r="CR35" s="5" t="str">
        <f t="shared" si="154"/>
        <v/>
      </c>
      <c r="CS35" s="8" t="str">
        <f t="shared" si="155"/>
        <v/>
      </c>
      <c r="CT35" s="9" t="str">
        <f t="shared" si="156"/>
        <v/>
      </c>
      <c r="CU35" s="6" t="str">
        <f t="shared" si="157"/>
        <v/>
      </c>
      <c r="CV35" s="4" t="str">
        <f t="shared" si="239"/>
        <v/>
      </c>
      <c r="CW35" s="5" t="str">
        <f t="shared" si="158"/>
        <v/>
      </c>
      <c r="CX35" s="8" t="str">
        <f t="shared" si="159"/>
        <v/>
      </c>
      <c r="CY35" s="9" t="str">
        <f t="shared" si="160"/>
        <v/>
      </c>
      <c r="CZ35" s="5" t="str">
        <f t="shared" si="161"/>
        <v/>
      </c>
      <c r="DA35" s="6" t="str">
        <f t="shared" si="162"/>
        <v/>
      </c>
      <c r="DB35" s="4" t="str">
        <f t="shared" si="163"/>
        <v/>
      </c>
      <c r="DC35" s="5" t="str">
        <f t="shared" si="163"/>
        <v/>
      </c>
      <c r="DD35" s="10" t="str">
        <f t="shared" si="164"/>
        <v/>
      </c>
      <c r="DE35" s="9" t="str">
        <f t="shared" si="165"/>
        <v/>
      </c>
      <c r="DF35" s="5" t="str">
        <f t="shared" si="165"/>
        <v/>
      </c>
      <c r="DG35" s="10" t="str">
        <f t="shared" si="166"/>
        <v/>
      </c>
      <c r="DH35" s="70" t="str">
        <f t="shared" si="167"/>
        <v/>
      </c>
      <c r="DI35" s="4" t="str">
        <f t="shared" si="168"/>
        <v/>
      </c>
      <c r="DJ35" s="5" t="str">
        <f t="shared" si="169"/>
        <v/>
      </c>
      <c r="DK35" s="10" t="str">
        <f t="shared" si="170"/>
        <v/>
      </c>
      <c r="DL35" s="9" t="str">
        <f t="shared" si="171"/>
        <v/>
      </c>
      <c r="DM35" s="173" t="str">
        <f t="shared" si="172"/>
        <v/>
      </c>
      <c r="DN35" s="178" t="str">
        <f t="shared" si="173"/>
        <v/>
      </c>
      <c r="DO35" s="9" t="str">
        <f t="shared" si="174"/>
        <v/>
      </c>
      <c r="DP35" s="173" t="str">
        <f t="shared" si="175"/>
        <v/>
      </c>
      <c r="DQ35" s="11" t="str">
        <f t="shared" si="176"/>
        <v/>
      </c>
      <c r="DR35" s="173" t="str">
        <f t="shared" si="177"/>
        <v/>
      </c>
      <c r="DS35" s="5" t="str">
        <f t="shared" si="178"/>
        <v/>
      </c>
      <c r="DT35" s="5" t="str">
        <f t="shared" si="179"/>
        <v/>
      </c>
      <c r="DU35" s="5" t="str">
        <f t="shared" si="180"/>
        <v/>
      </c>
      <c r="DV35" s="5" t="str">
        <f t="shared" si="181"/>
        <v/>
      </c>
      <c r="DW35" s="5" t="str">
        <f t="shared" si="182"/>
        <v/>
      </c>
      <c r="DX35" s="167" t="str">
        <f t="shared" si="183"/>
        <v/>
      </c>
      <c r="DY35" s="9" t="str">
        <f t="shared" si="184"/>
        <v/>
      </c>
      <c r="DZ35" s="5" t="str">
        <f t="shared" si="185"/>
        <v/>
      </c>
      <c r="EA35" s="10" t="str">
        <f t="shared" si="186"/>
        <v/>
      </c>
      <c r="EB35" s="6" t="str">
        <f t="shared" si="187"/>
        <v/>
      </c>
      <c r="EC35" s="173" t="str">
        <f t="shared" si="188"/>
        <v/>
      </c>
      <c r="ED35" s="5" t="str">
        <f t="shared" si="189"/>
        <v/>
      </c>
      <c r="EE35" s="4" t="str">
        <f t="shared" si="190"/>
        <v/>
      </c>
      <c r="EF35" s="5" t="str">
        <f t="shared" si="191"/>
        <v/>
      </c>
      <c r="EG35" s="10" t="str">
        <f t="shared" si="192"/>
        <v/>
      </c>
      <c r="EH35" s="9" t="str">
        <f t="shared" si="193"/>
        <v/>
      </c>
      <c r="EI35" s="5" t="str">
        <f t="shared" si="194"/>
        <v/>
      </c>
      <c r="EJ35" s="6" t="str">
        <f t="shared" si="195"/>
        <v/>
      </c>
      <c r="EK35" s="236" t="str">
        <f t="shared" si="196"/>
        <v/>
      </c>
      <c r="EL35" s="238" t="str">
        <f t="shared" si="197"/>
        <v/>
      </c>
      <c r="EM35" s="4" t="str">
        <f t="shared" si="198"/>
        <v/>
      </c>
      <c r="EN35" s="5" t="str">
        <f t="shared" si="199"/>
        <v/>
      </c>
      <c r="EO35" s="10" t="str">
        <f t="shared" si="200"/>
        <v/>
      </c>
      <c r="EP35" s="9" t="str">
        <f t="shared" si="201"/>
        <v/>
      </c>
      <c r="EQ35" s="5" t="str">
        <f t="shared" si="202"/>
        <v/>
      </c>
      <c r="ER35" s="7" t="str">
        <f t="shared" si="203"/>
        <v/>
      </c>
      <c r="ES35" s="21" t="str">
        <f t="shared" si="127"/>
        <v/>
      </c>
      <c r="ET35" s="5" t="str">
        <f t="shared" si="34"/>
        <v/>
      </c>
      <c r="EU35" s="10" t="str">
        <f t="shared" si="35"/>
        <v/>
      </c>
      <c r="EV35" s="174" t="str">
        <f t="shared" si="253"/>
        <v/>
      </c>
      <c r="EW35" s="9" t="str">
        <f t="shared" si="128"/>
        <v/>
      </c>
      <c r="EX35" s="5" t="str">
        <f t="shared" si="36"/>
        <v/>
      </c>
      <c r="EY35" s="6" t="str">
        <f t="shared" si="204"/>
        <v/>
      </c>
      <c r="EZ35" s="51" t="str">
        <f t="shared" si="205"/>
        <v/>
      </c>
      <c r="FA35" s="266" t="str">
        <f t="shared" si="129"/>
        <v/>
      </c>
      <c r="FB35" s="267" t="str">
        <f t="shared" si="130"/>
        <v/>
      </c>
      <c r="FC35" s="269" t="str">
        <f t="shared" si="37"/>
        <v/>
      </c>
      <c r="FD35" s="4" t="str">
        <f t="shared" si="131"/>
        <v/>
      </c>
      <c r="FE35" s="5" t="str">
        <f t="shared" si="38"/>
        <v/>
      </c>
      <c r="FF35" s="7" t="str">
        <f t="shared" si="206"/>
        <v/>
      </c>
      <c r="FG35" s="173" t="str">
        <f t="shared" si="207"/>
        <v/>
      </c>
      <c r="FH35" s="5" t="str">
        <f t="shared" si="39"/>
        <v/>
      </c>
      <c r="FI35" s="10" t="str">
        <f t="shared" si="40"/>
        <v/>
      </c>
      <c r="FJ35" s="279" t="str">
        <f t="shared" si="208"/>
        <v/>
      </c>
      <c r="FK35" s="4" t="str">
        <f t="shared" si="41"/>
        <v/>
      </c>
      <c r="FL35" s="5" t="str">
        <f t="shared" si="209"/>
        <v/>
      </c>
      <c r="FM35" s="8" t="str">
        <f t="shared" si="210"/>
        <v/>
      </c>
      <c r="FN35" s="9" t="str">
        <f t="shared" si="211"/>
        <v/>
      </c>
      <c r="FO35" s="10" t="str">
        <f t="shared" si="42"/>
        <v/>
      </c>
      <c r="FP35" s="277" t="str">
        <f t="shared" si="43"/>
        <v/>
      </c>
      <c r="FQ35" s="173" t="str">
        <f t="shared" si="240"/>
        <v/>
      </c>
      <c r="FR35" s="10" t="str">
        <f t="shared" si="212"/>
        <v/>
      </c>
      <c r="FS35" s="9" t="str">
        <f t="shared" si="213"/>
        <v/>
      </c>
      <c r="FT35" s="6" t="str">
        <f t="shared" si="214"/>
        <v/>
      </c>
      <c r="FU35" s="4" t="str">
        <f t="shared" si="215"/>
        <v/>
      </c>
      <c r="FV35" s="5" t="str">
        <f t="shared" si="216"/>
        <v/>
      </c>
      <c r="FW35" s="8" t="str">
        <f t="shared" si="241"/>
        <v/>
      </c>
      <c r="FX35" s="9" t="str">
        <f t="shared" si="242"/>
        <v/>
      </c>
      <c r="FY35" s="10" t="str">
        <f t="shared" si="44"/>
        <v/>
      </c>
      <c r="FZ35" s="277" t="str">
        <f t="shared" si="243"/>
        <v/>
      </c>
      <c r="GA35" s="177" t="str">
        <f t="shared" si="217"/>
        <v/>
      </c>
      <c r="GB35" s="4" t="str">
        <f t="shared" si="218"/>
        <v/>
      </c>
      <c r="GC35" s="5" t="str">
        <f t="shared" si="219"/>
        <v/>
      </c>
      <c r="GD35" s="10" t="str">
        <f t="shared" si="220"/>
        <v/>
      </c>
      <c r="GE35" s="311" t="str">
        <f t="shared" si="221"/>
        <v/>
      </c>
      <c r="GF35" s="341" t="str">
        <f t="shared" si="244"/>
        <v/>
      </c>
      <c r="GG35" s="285" t="str">
        <f t="shared" si="45"/>
        <v/>
      </c>
      <c r="GH35" s="286" t="str">
        <f t="shared" si="46"/>
        <v/>
      </c>
      <c r="GI35" s="281" t="str">
        <f t="shared" si="47"/>
        <v/>
      </c>
      <c r="GJ35" s="167" t="str">
        <f t="shared" si="222"/>
        <v/>
      </c>
      <c r="GK35" s="174" t="str">
        <f t="shared" si="48"/>
        <v/>
      </c>
      <c r="GL35" s="174" t="str">
        <f t="shared" si="223"/>
        <v/>
      </c>
      <c r="GM35" s="177" t="str">
        <f t="shared" si="245"/>
        <v/>
      </c>
      <c r="GN35" s="280" t="str">
        <f t="shared" si="224"/>
        <v/>
      </c>
      <c r="GO35" s="4" t="str">
        <f t="shared" si="225"/>
        <v/>
      </c>
      <c r="GP35" s="8" t="str">
        <f t="shared" si="246"/>
        <v/>
      </c>
      <c r="GQ35" s="177" t="str">
        <f t="shared" si="226"/>
        <v/>
      </c>
      <c r="GR35" s="371" t="str">
        <f t="shared" si="247"/>
        <v/>
      </c>
      <c r="GS35" s="342" t="str">
        <f t="shared" si="50"/>
        <v/>
      </c>
      <c r="GT35" s="343" t="str">
        <f t="shared" si="51"/>
        <v/>
      </c>
      <c r="GU35" s="344" t="str">
        <f t="shared" si="52"/>
        <v/>
      </c>
      <c r="GV35" s="343" t="str">
        <f t="shared" si="254"/>
        <v/>
      </c>
      <c r="GW35" s="345" t="str">
        <f t="shared" si="53"/>
        <v/>
      </c>
      <c r="GX35" s="346" t="str">
        <f t="shared" si="54"/>
        <v/>
      </c>
      <c r="GY35" s="344" t="str">
        <f t="shared" si="55"/>
        <v/>
      </c>
      <c r="GZ35" s="345" t="str">
        <f t="shared" si="56"/>
        <v/>
      </c>
      <c r="HA35" s="342" t="str">
        <f t="shared" si="57"/>
        <v/>
      </c>
      <c r="HB35" s="5" t="str">
        <f t="shared" si="227"/>
        <v/>
      </c>
      <c r="HC35" s="343" t="str">
        <f t="shared" si="228"/>
        <v/>
      </c>
      <c r="HD35" s="363" t="str">
        <f t="shared" si="229"/>
        <v/>
      </c>
      <c r="HE35" s="344" t="str">
        <f t="shared" si="58"/>
        <v/>
      </c>
      <c r="HF35" s="5" t="str">
        <f t="shared" si="59"/>
        <v/>
      </c>
      <c r="HG35" s="343" t="str">
        <f t="shared" si="230"/>
        <v/>
      </c>
      <c r="HH35" s="349" t="str">
        <f t="shared" si="231"/>
        <v/>
      </c>
      <c r="HI35" s="317" t="str">
        <f t="shared" si="60"/>
        <v/>
      </c>
      <c r="HJ35" s="336"/>
      <c r="HK35" s="310" t="str">
        <f t="shared" si="132"/>
        <v/>
      </c>
      <c r="HL35" s="348" t="str">
        <f t="shared" si="61"/>
        <v/>
      </c>
      <c r="HM35" s="923" t="str">
        <f t="shared" si="62"/>
        <v/>
      </c>
      <c r="HN35" s="924" t="str">
        <f t="shared" si="63"/>
        <v/>
      </c>
      <c r="HO35" s="925"/>
      <c r="HP35" s="926"/>
      <c r="HQ35" s="924" t="str">
        <f t="shared" si="64"/>
        <v/>
      </c>
      <c r="HR35" s="927" t="str">
        <f t="shared" si="65"/>
        <v/>
      </c>
      <c r="HS35" s="879" t="str">
        <f t="shared" si="250"/>
        <v/>
      </c>
      <c r="HT35" s="889" t="str">
        <f t="shared" si="66"/>
        <v/>
      </c>
      <c r="HU35" s="890" t="str">
        <f t="shared" si="67"/>
        <v/>
      </c>
      <c r="HV35" s="886" t="str">
        <f t="shared" si="68"/>
        <v/>
      </c>
      <c r="HW35" s="880" t="str">
        <f t="shared" si="69"/>
        <v/>
      </c>
      <c r="HX35" s="881" t="str">
        <f t="shared" si="70"/>
        <v/>
      </c>
      <c r="HY35" s="880" t="str">
        <f t="shared" si="71"/>
        <v/>
      </c>
      <c r="HZ35" s="882" t="str">
        <f t="shared" si="72"/>
        <v/>
      </c>
      <c r="IA35" s="883" t="str">
        <f t="shared" si="73"/>
        <v/>
      </c>
      <c r="IB35" s="884" t="str">
        <f t="shared" si="74"/>
        <v/>
      </c>
      <c r="IC35" s="855" t="str">
        <f t="shared" si="75"/>
        <v/>
      </c>
      <c r="ID35" s="351" t="str">
        <f t="shared" si="76"/>
        <v/>
      </c>
      <c r="IE35" s="857" t="str">
        <f t="shared" si="77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2"/>
        <v>3.117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8"/>
        <v>1913</v>
      </c>
      <c r="IM35" s="482" t="str">
        <f t="shared" si="233"/>
        <v/>
      </c>
      <c r="IN35" s="670" t="str">
        <f t="shared" si="80"/>
        <v/>
      </c>
      <c r="IO35" s="702"/>
      <c r="IP35" s="5" t="str">
        <f t="shared" si="81"/>
        <v/>
      </c>
      <c r="IQ35" s="714"/>
      <c r="IR35" s="9" t="str">
        <f t="shared" si="8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</row>
    <row r="36" spans="1:269" ht="15" customHeight="1" x14ac:dyDescent="0.25">
      <c r="A36" s="75">
        <f t="shared" si="92"/>
        <v>0.02</v>
      </c>
      <c r="B36" s="578">
        <f t="shared" ref="B36:D36" si="299">IFERROR(O191-($A36*E36),"")</f>
        <v>3.3775738483539901</v>
      </c>
      <c r="C36" s="572">
        <f t="shared" si="299"/>
        <v>-4.155368910242264</v>
      </c>
      <c r="D36" s="576">
        <f t="shared" si="299"/>
        <v>-0.14848568046069269</v>
      </c>
      <c r="E36" s="580">
        <f t="shared" ref="E36:K36" si="300">R191</f>
        <v>0.76187955151887365</v>
      </c>
      <c r="F36" s="572">
        <f t="shared" si="300"/>
        <v>0.58909870607856185</v>
      </c>
      <c r="G36" s="579">
        <f t="shared" si="300"/>
        <v>0.26926244348955219</v>
      </c>
      <c r="H36" s="580">
        <f t="shared" si="300"/>
        <v>0.375</v>
      </c>
      <c r="I36" s="572">
        <f t="shared" si="300"/>
        <v>0.52</v>
      </c>
      <c r="J36" s="483">
        <f t="shared" si="95"/>
        <v>3.1219999999999999</v>
      </c>
      <c r="K36" s="806">
        <f t="shared" si="300"/>
        <v>1913</v>
      </c>
      <c r="L36" s="309"/>
      <c r="M36" s="164">
        <f t="shared" si="3"/>
        <v>3.1219999999999999</v>
      </c>
      <c r="N36" s="575">
        <f t="shared" si="4"/>
        <v>3.3775738483539901</v>
      </c>
      <c r="O36" s="572">
        <f t="shared" si="5"/>
        <v>-4.155368910242264</v>
      </c>
      <c r="P36" s="576">
        <f t="shared" si="6"/>
        <v>-0.14848568046069269</v>
      </c>
      <c r="Q36" s="528">
        <f t="shared" si="135"/>
        <v>309.10495829954311</v>
      </c>
      <c r="R36" s="572">
        <f>IF(M36="","",SQRT(N36^2+O36^2))</f>
        <v>5.3549132468502947</v>
      </c>
      <c r="S36" s="577">
        <f>IF(M36="","",P36)</f>
        <v>-0.14848568046069269</v>
      </c>
      <c r="T36" s="578">
        <f>IF(M36="","",X36*COS(RADIANS(W36)))</f>
        <v>-4.1361449586419106</v>
      </c>
      <c r="U36" s="572">
        <f>IF(M36="","",X36*SIN(RADIANS(W36)))</f>
        <v>-3.4010881732754119</v>
      </c>
      <c r="V36" s="579">
        <f>IF(M36="","",Y36)</f>
        <v>-0.14848568046069269</v>
      </c>
      <c r="W36" s="528">
        <f t="shared" si="257"/>
        <v>219.42993344535029</v>
      </c>
      <c r="X36" s="572">
        <f>IF(M36="","",R36)</f>
        <v>5.3549132468502947</v>
      </c>
      <c r="Y36" s="573">
        <f t="shared" si="260"/>
        <v>-0.14848568046069269</v>
      </c>
      <c r="Z36" s="575">
        <f t="shared" si="9"/>
        <v>-0.76187955151887365</v>
      </c>
      <c r="AA36" s="572">
        <f t="shared" si="10"/>
        <v>-0.58909870607856185</v>
      </c>
      <c r="AB36" s="572">
        <f t="shared" si="11"/>
        <v>-0.26926244348955219</v>
      </c>
      <c r="AC36" s="579">
        <f>IF(M36="","",SQRT(Z36^2+AA36^2+AB36^2))</f>
        <v>1</v>
      </c>
      <c r="AD36" s="580">
        <f>IF(M36="","",Z36*(1/SQRT(Z36^2+AA36^2+AB36^2)))</f>
        <v>-0.76187955151887365</v>
      </c>
      <c r="AE36" s="572">
        <f>IF(M36="","",AA36*(1/SQRT(Z36^2+AA36^2+AB36^2)))</f>
        <v>-0.58909870607856185</v>
      </c>
      <c r="AF36" s="576">
        <f>IF(M36="","",AB36*(1/SQRT(Z36^2+AA36^2+AB36^2)))</f>
        <v>-0.26926244348955219</v>
      </c>
      <c r="AG36" s="545">
        <f>IF(M36="","",DEGREES(ATAN2(-AF36,AE36)))</f>
        <v>-65.436032375837399</v>
      </c>
      <c r="AH36" s="546">
        <f>IF(M36="","",DEGREES(ACOS(AD36)))</f>
        <v>139.63017634926007</v>
      </c>
      <c r="AI36" s="528">
        <f>IF(M36="","",DEGREES(-ACOS(-AF36)))</f>
        <v>-74.379617334888181</v>
      </c>
      <c r="AJ36" s="529">
        <f>IF(M36="","",DEGREES(ATAN2(-AE36,AD36)))</f>
        <v>-52.288172046396944</v>
      </c>
      <c r="AK36" s="578">
        <f>IF(M36="","",(COS(RADIANS((90-$Q$8)-W36))*AD36)+(-SIN(RADIANS((90-$Q$8)-W36))*AE36))</f>
        <v>0.96278216804230232</v>
      </c>
      <c r="AL36" s="572">
        <f>IF(M36="","",(SIN(RADIANS((90-$Q$8)-W36))*AD36)+(COS(RADIANS((90-$Q$8)-W36))*AE36))</f>
        <v>-2.3414385018610318E-2</v>
      </c>
      <c r="AM36" s="577">
        <f>IF(M36="","",AF36)</f>
        <v>-0.26926244348955219</v>
      </c>
      <c r="AN36" s="524">
        <f>IF(M36="","",DEGREES(ATAN2(-AM36,AL36)))</f>
        <v>-4.9697955316895035</v>
      </c>
      <c r="AO36" s="525">
        <f t="shared" si="111"/>
        <v>15.680843120502749</v>
      </c>
      <c r="AP36" s="528">
        <f>IF(M36="","",DEGREES(ATAN2(AK36,AL36)))</f>
        <v>-1.3931303459400397</v>
      </c>
      <c r="AQ36" s="529">
        <f t="shared" si="12"/>
        <v>0.42571832145752259</v>
      </c>
      <c r="AS36" s="954">
        <f t="shared" si="138"/>
        <v>219.42993344535029</v>
      </c>
      <c r="AT36" s="950">
        <f t="shared" si="13"/>
        <v>-5.2471045021374702E-2</v>
      </c>
      <c r="AU36" s="418"/>
      <c r="AV36" s="164" t="str">
        <f t="shared" si="14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39"/>
        <v/>
      </c>
      <c r="BA36" s="296" t="str">
        <f t="shared" si="15"/>
        <v/>
      </c>
      <c r="BB36" s="190" t="str">
        <f t="shared" si="140"/>
        <v/>
      </c>
      <c r="BC36" s="9"/>
      <c r="BD36" s="5" t="str">
        <f t="shared" si="141"/>
        <v/>
      </c>
      <c r="BE36" s="6" t="str">
        <f t="shared" si="16"/>
        <v/>
      </c>
      <c r="BF36" s="4" t="str">
        <f t="shared" si="17"/>
        <v/>
      </c>
      <c r="BG36" s="5" t="str">
        <f t="shared" si="18"/>
        <v/>
      </c>
      <c r="BH36" s="10" t="str">
        <f t="shared" si="19"/>
        <v/>
      </c>
      <c r="BI36" s="9" t="str">
        <f t="shared" si="142"/>
        <v/>
      </c>
      <c r="BJ36" s="5" t="str">
        <f t="shared" si="20"/>
        <v/>
      </c>
      <c r="BK36" s="8" t="str">
        <f t="shared" si="21"/>
        <v/>
      </c>
      <c r="BL36" s="173" t="str">
        <f t="shared" si="22"/>
        <v/>
      </c>
      <c r="BM36" s="5" t="str">
        <f t="shared" si="23"/>
        <v/>
      </c>
      <c r="BN36" s="6" t="str">
        <f t="shared" si="24"/>
        <v/>
      </c>
      <c r="BO36" s="4" t="str">
        <f t="shared" si="143"/>
        <v/>
      </c>
      <c r="BP36" s="5" t="str">
        <f t="shared" si="144"/>
        <v/>
      </c>
      <c r="BQ36" s="5" t="str">
        <f t="shared" si="145"/>
        <v/>
      </c>
      <c r="BR36" s="6" t="str">
        <f t="shared" si="146"/>
        <v/>
      </c>
      <c r="BS36" s="4" t="str">
        <f t="shared" si="113"/>
        <v/>
      </c>
      <c r="BT36" s="5" t="str">
        <f t="shared" si="113"/>
        <v/>
      </c>
      <c r="BU36" s="10" t="str">
        <f t="shared" si="114"/>
        <v/>
      </c>
      <c r="BV36" s="9" t="str">
        <f t="shared" si="115"/>
        <v/>
      </c>
      <c r="BW36" s="5" t="str">
        <f t="shared" si="116"/>
        <v/>
      </c>
      <c r="BX36" s="8" t="str">
        <f t="shared" si="117"/>
        <v/>
      </c>
      <c r="BY36" s="173" t="str">
        <f t="shared" si="118"/>
        <v/>
      </c>
      <c r="BZ36" s="5" t="str">
        <f t="shared" si="119"/>
        <v/>
      </c>
      <c r="CA36" s="6" t="str">
        <f t="shared" si="120"/>
        <v/>
      </c>
      <c r="CB36" s="4" t="str">
        <f t="shared" si="147"/>
        <v/>
      </c>
      <c r="CC36" s="5" t="str">
        <f t="shared" si="148"/>
        <v/>
      </c>
      <c r="CD36" s="5" t="str">
        <f t="shared" si="149"/>
        <v/>
      </c>
      <c r="CE36" s="6" t="str">
        <f t="shared" si="150"/>
        <v/>
      </c>
      <c r="CF36" s="4" t="str">
        <f t="shared" si="151"/>
        <v/>
      </c>
      <c r="CG36" s="5" t="str">
        <f t="shared" si="152"/>
        <v/>
      </c>
      <c r="CH36" s="5" t="str">
        <f t="shared" si="153"/>
        <v/>
      </c>
      <c r="CI36" s="4" t="str">
        <f t="shared" si="121"/>
        <v/>
      </c>
      <c r="CJ36" s="5" t="str">
        <f t="shared" si="122"/>
        <v/>
      </c>
      <c r="CK36" s="8" t="str">
        <f t="shared" si="123"/>
        <v/>
      </c>
      <c r="CL36" s="173" t="str">
        <f t="shared" si="124"/>
        <v/>
      </c>
      <c r="CM36" s="5" t="str">
        <f t="shared" si="125"/>
        <v/>
      </c>
      <c r="CN36" s="6" t="str">
        <f t="shared" si="126"/>
        <v/>
      </c>
      <c r="CO36" s="167" t="str">
        <f t="shared" si="25"/>
        <v/>
      </c>
      <c r="CP36" s="4" t="str">
        <f t="shared" si="237"/>
        <v/>
      </c>
      <c r="CQ36" s="5" t="str">
        <f t="shared" si="238"/>
        <v/>
      </c>
      <c r="CR36" s="5" t="str">
        <f t="shared" si="154"/>
        <v/>
      </c>
      <c r="CS36" s="8" t="str">
        <f t="shared" si="155"/>
        <v/>
      </c>
      <c r="CT36" s="9" t="str">
        <f t="shared" si="156"/>
        <v/>
      </c>
      <c r="CU36" s="6" t="str">
        <f t="shared" si="157"/>
        <v/>
      </c>
      <c r="CV36" s="4" t="str">
        <f t="shared" si="239"/>
        <v/>
      </c>
      <c r="CW36" s="5" t="str">
        <f t="shared" si="158"/>
        <v/>
      </c>
      <c r="CX36" s="8" t="str">
        <f t="shared" si="159"/>
        <v/>
      </c>
      <c r="CY36" s="9" t="str">
        <f t="shared" si="160"/>
        <v/>
      </c>
      <c r="CZ36" s="5" t="str">
        <f t="shared" si="161"/>
        <v/>
      </c>
      <c r="DA36" s="6" t="str">
        <f t="shared" si="162"/>
        <v/>
      </c>
      <c r="DB36" s="4" t="str">
        <f t="shared" si="163"/>
        <v/>
      </c>
      <c r="DC36" s="5" t="str">
        <f t="shared" si="163"/>
        <v/>
      </c>
      <c r="DD36" s="10" t="str">
        <f t="shared" si="164"/>
        <v/>
      </c>
      <c r="DE36" s="9" t="str">
        <f t="shared" si="165"/>
        <v/>
      </c>
      <c r="DF36" s="5" t="str">
        <f t="shared" si="165"/>
        <v/>
      </c>
      <c r="DG36" s="10" t="str">
        <f t="shared" si="166"/>
        <v/>
      </c>
      <c r="DH36" s="70" t="str">
        <f t="shared" si="167"/>
        <v/>
      </c>
      <c r="DI36" s="4" t="str">
        <f t="shared" si="168"/>
        <v/>
      </c>
      <c r="DJ36" s="5" t="str">
        <f t="shared" si="169"/>
        <v/>
      </c>
      <c r="DK36" s="10" t="str">
        <f t="shared" si="170"/>
        <v/>
      </c>
      <c r="DL36" s="9" t="str">
        <f t="shared" si="171"/>
        <v/>
      </c>
      <c r="DM36" s="173" t="str">
        <f t="shared" si="172"/>
        <v/>
      </c>
      <c r="DN36" s="178" t="str">
        <f t="shared" si="173"/>
        <v/>
      </c>
      <c r="DO36" s="9" t="str">
        <f t="shared" si="174"/>
        <v/>
      </c>
      <c r="DP36" s="173" t="str">
        <f t="shared" si="175"/>
        <v/>
      </c>
      <c r="DQ36" s="11" t="str">
        <f t="shared" si="176"/>
        <v/>
      </c>
      <c r="DR36" s="173" t="str">
        <f t="shared" si="177"/>
        <v/>
      </c>
      <c r="DS36" s="5" t="str">
        <f t="shared" si="178"/>
        <v/>
      </c>
      <c r="DT36" s="5" t="str">
        <f t="shared" si="179"/>
        <v/>
      </c>
      <c r="DU36" s="5" t="str">
        <f t="shared" si="180"/>
        <v/>
      </c>
      <c r="DV36" s="5" t="str">
        <f t="shared" si="181"/>
        <v/>
      </c>
      <c r="DW36" s="5" t="str">
        <f t="shared" si="182"/>
        <v/>
      </c>
      <c r="DX36" s="167" t="str">
        <f t="shared" si="183"/>
        <v/>
      </c>
      <c r="DY36" s="9" t="str">
        <f t="shared" si="184"/>
        <v/>
      </c>
      <c r="DZ36" s="5" t="str">
        <f t="shared" si="185"/>
        <v/>
      </c>
      <c r="EA36" s="10" t="str">
        <f t="shared" si="186"/>
        <v/>
      </c>
      <c r="EB36" s="6" t="str">
        <f t="shared" si="187"/>
        <v/>
      </c>
      <c r="EC36" s="173" t="str">
        <f t="shared" si="188"/>
        <v/>
      </c>
      <c r="ED36" s="5" t="str">
        <f t="shared" si="189"/>
        <v/>
      </c>
      <c r="EE36" s="4" t="str">
        <f t="shared" si="190"/>
        <v/>
      </c>
      <c r="EF36" s="5" t="str">
        <f t="shared" si="191"/>
        <v/>
      </c>
      <c r="EG36" s="10" t="str">
        <f t="shared" si="192"/>
        <v/>
      </c>
      <c r="EH36" s="9" t="str">
        <f t="shared" si="193"/>
        <v/>
      </c>
      <c r="EI36" s="5" t="str">
        <f t="shared" si="194"/>
        <v/>
      </c>
      <c r="EJ36" s="6" t="str">
        <f t="shared" si="195"/>
        <v/>
      </c>
      <c r="EK36" s="236" t="str">
        <f t="shared" si="196"/>
        <v/>
      </c>
      <c r="EL36" s="238" t="str">
        <f t="shared" si="197"/>
        <v/>
      </c>
      <c r="EM36" s="4" t="str">
        <f t="shared" si="198"/>
        <v/>
      </c>
      <c r="EN36" s="5" t="str">
        <f t="shared" si="199"/>
        <v/>
      </c>
      <c r="EO36" s="10" t="str">
        <f t="shared" si="200"/>
        <v/>
      </c>
      <c r="EP36" s="9" t="str">
        <f t="shared" si="201"/>
        <v/>
      </c>
      <c r="EQ36" s="5" t="str">
        <f t="shared" si="202"/>
        <v/>
      </c>
      <c r="ER36" s="7" t="str">
        <f t="shared" si="203"/>
        <v/>
      </c>
      <c r="ES36" s="21" t="str">
        <f t="shared" si="127"/>
        <v/>
      </c>
      <c r="ET36" s="5" t="str">
        <f t="shared" si="34"/>
        <v/>
      </c>
      <c r="EU36" s="10" t="str">
        <f t="shared" si="35"/>
        <v/>
      </c>
      <c r="EV36" s="174" t="str">
        <f t="shared" si="253"/>
        <v/>
      </c>
      <c r="EW36" s="9" t="str">
        <f t="shared" si="128"/>
        <v/>
      </c>
      <c r="EX36" s="5" t="str">
        <f t="shared" si="36"/>
        <v/>
      </c>
      <c r="EY36" s="6" t="str">
        <f t="shared" si="204"/>
        <v/>
      </c>
      <c r="EZ36" s="51" t="str">
        <f t="shared" si="205"/>
        <v/>
      </c>
      <c r="FA36" s="266" t="str">
        <f t="shared" si="129"/>
        <v/>
      </c>
      <c r="FB36" s="267" t="str">
        <f t="shared" si="130"/>
        <v/>
      </c>
      <c r="FC36" s="269" t="str">
        <f t="shared" si="37"/>
        <v/>
      </c>
      <c r="FD36" s="4" t="str">
        <f t="shared" si="131"/>
        <v/>
      </c>
      <c r="FE36" s="5" t="str">
        <f t="shared" si="38"/>
        <v/>
      </c>
      <c r="FF36" s="7" t="str">
        <f t="shared" si="206"/>
        <v/>
      </c>
      <c r="FG36" s="173" t="str">
        <f t="shared" si="207"/>
        <v/>
      </c>
      <c r="FH36" s="5" t="str">
        <f t="shared" si="39"/>
        <v/>
      </c>
      <c r="FI36" s="10" t="str">
        <f t="shared" si="40"/>
        <v/>
      </c>
      <c r="FJ36" s="279" t="str">
        <f t="shared" si="208"/>
        <v/>
      </c>
      <c r="FK36" s="4" t="str">
        <f t="shared" si="41"/>
        <v/>
      </c>
      <c r="FL36" s="5" t="str">
        <f t="shared" si="209"/>
        <v/>
      </c>
      <c r="FM36" s="8" t="str">
        <f t="shared" si="210"/>
        <v/>
      </c>
      <c r="FN36" s="9" t="str">
        <f t="shared" si="211"/>
        <v/>
      </c>
      <c r="FO36" s="10" t="str">
        <f t="shared" si="42"/>
        <v/>
      </c>
      <c r="FP36" s="277" t="str">
        <f t="shared" si="43"/>
        <v/>
      </c>
      <c r="FQ36" s="173" t="str">
        <f t="shared" si="240"/>
        <v/>
      </c>
      <c r="FR36" s="10" t="str">
        <f t="shared" si="212"/>
        <v/>
      </c>
      <c r="FS36" s="9" t="str">
        <f t="shared" si="213"/>
        <v/>
      </c>
      <c r="FT36" s="6" t="str">
        <f t="shared" si="214"/>
        <v/>
      </c>
      <c r="FU36" s="4" t="str">
        <f t="shared" si="215"/>
        <v/>
      </c>
      <c r="FV36" s="5" t="str">
        <f t="shared" si="216"/>
        <v/>
      </c>
      <c r="FW36" s="8" t="str">
        <f t="shared" si="241"/>
        <v/>
      </c>
      <c r="FX36" s="9" t="str">
        <f t="shared" si="242"/>
        <v/>
      </c>
      <c r="FY36" s="10" t="str">
        <f t="shared" si="44"/>
        <v/>
      </c>
      <c r="FZ36" s="277" t="str">
        <f t="shared" si="243"/>
        <v/>
      </c>
      <c r="GA36" s="177" t="str">
        <f t="shared" si="217"/>
        <v/>
      </c>
      <c r="GB36" s="4" t="str">
        <f t="shared" si="218"/>
        <v/>
      </c>
      <c r="GC36" s="5" t="str">
        <f t="shared" si="219"/>
        <v/>
      </c>
      <c r="GD36" s="10" t="str">
        <f t="shared" si="220"/>
        <v/>
      </c>
      <c r="GE36" s="311" t="str">
        <f t="shared" si="221"/>
        <v/>
      </c>
      <c r="GF36" s="341" t="str">
        <f t="shared" si="244"/>
        <v/>
      </c>
      <c r="GG36" s="285" t="str">
        <f t="shared" si="45"/>
        <v/>
      </c>
      <c r="GH36" s="286" t="str">
        <f t="shared" si="46"/>
        <v/>
      </c>
      <c r="GI36" s="281" t="str">
        <f t="shared" si="47"/>
        <v/>
      </c>
      <c r="GJ36" s="167" t="str">
        <f t="shared" si="222"/>
        <v/>
      </c>
      <c r="GK36" s="174" t="str">
        <f t="shared" si="48"/>
        <v/>
      </c>
      <c r="GL36" s="174" t="str">
        <f t="shared" si="223"/>
        <v/>
      </c>
      <c r="GM36" s="177" t="str">
        <f t="shared" si="245"/>
        <v/>
      </c>
      <c r="GN36" s="280" t="str">
        <f t="shared" si="224"/>
        <v/>
      </c>
      <c r="GO36" s="4" t="str">
        <f t="shared" si="225"/>
        <v/>
      </c>
      <c r="GP36" s="8" t="str">
        <f t="shared" si="246"/>
        <v/>
      </c>
      <c r="GQ36" s="177" t="str">
        <f t="shared" si="226"/>
        <v/>
      </c>
      <c r="GR36" s="371" t="str">
        <f t="shared" si="247"/>
        <v/>
      </c>
      <c r="GS36" s="342" t="str">
        <f t="shared" si="50"/>
        <v/>
      </c>
      <c r="GT36" s="343" t="str">
        <f t="shared" si="51"/>
        <v/>
      </c>
      <c r="GU36" s="344" t="str">
        <f t="shared" si="52"/>
        <v/>
      </c>
      <c r="GV36" s="343" t="str">
        <f t="shared" si="254"/>
        <v/>
      </c>
      <c r="GW36" s="345" t="str">
        <f t="shared" si="53"/>
        <v/>
      </c>
      <c r="GX36" s="346" t="str">
        <f t="shared" si="54"/>
        <v/>
      </c>
      <c r="GY36" s="344" t="str">
        <f t="shared" si="55"/>
        <v/>
      </c>
      <c r="GZ36" s="345" t="str">
        <f t="shared" si="56"/>
        <v/>
      </c>
      <c r="HA36" s="342" t="str">
        <f t="shared" si="57"/>
        <v/>
      </c>
      <c r="HB36" s="5" t="str">
        <f t="shared" si="227"/>
        <v/>
      </c>
      <c r="HC36" s="343" t="str">
        <f t="shared" si="228"/>
        <v/>
      </c>
      <c r="HD36" s="363" t="str">
        <f t="shared" si="229"/>
        <v/>
      </c>
      <c r="HE36" s="344" t="str">
        <f t="shared" si="58"/>
        <v/>
      </c>
      <c r="HF36" s="5" t="str">
        <f t="shared" si="59"/>
        <v/>
      </c>
      <c r="HG36" s="343" t="str">
        <f t="shared" si="230"/>
        <v/>
      </c>
      <c r="HH36" s="349" t="str">
        <f t="shared" si="231"/>
        <v/>
      </c>
      <c r="HI36" s="317" t="str">
        <f t="shared" si="60"/>
        <v/>
      </c>
      <c r="HJ36" s="336"/>
      <c r="HK36" s="310" t="str">
        <f t="shared" si="132"/>
        <v/>
      </c>
      <c r="HL36" s="348" t="str">
        <f t="shared" si="61"/>
        <v/>
      </c>
      <c r="HM36" s="923" t="str">
        <f t="shared" si="62"/>
        <v/>
      </c>
      <c r="HN36" s="924" t="str">
        <f t="shared" si="63"/>
        <v/>
      </c>
      <c r="HO36" s="925"/>
      <c r="HP36" s="926"/>
      <c r="HQ36" s="924" t="str">
        <f t="shared" si="64"/>
        <v/>
      </c>
      <c r="HR36" s="927" t="str">
        <f t="shared" si="65"/>
        <v/>
      </c>
      <c r="HS36" s="879" t="str">
        <f t="shared" si="250"/>
        <v/>
      </c>
      <c r="HT36" s="889" t="str">
        <f t="shared" si="66"/>
        <v/>
      </c>
      <c r="HU36" s="890" t="str">
        <f t="shared" si="67"/>
        <v/>
      </c>
      <c r="HV36" s="886" t="str">
        <f t="shared" si="68"/>
        <v/>
      </c>
      <c r="HW36" s="880" t="str">
        <f t="shared" si="69"/>
        <v/>
      </c>
      <c r="HX36" s="881" t="str">
        <f t="shared" si="70"/>
        <v/>
      </c>
      <c r="HY36" s="880" t="str">
        <f t="shared" si="71"/>
        <v/>
      </c>
      <c r="HZ36" s="882" t="str">
        <f t="shared" si="72"/>
        <v/>
      </c>
      <c r="IA36" s="883" t="str">
        <f t="shared" si="73"/>
        <v/>
      </c>
      <c r="IB36" s="884" t="str">
        <f t="shared" si="74"/>
        <v/>
      </c>
      <c r="IC36" s="855" t="str">
        <f t="shared" si="75"/>
        <v/>
      </c>
      <c r="ID36" s="351" t="str">
        <f t="shared" si="76"/>
        <v/>
      </c>
      <c r="IE36" s="857" t="str">
        <f t="shared" si="77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2"/>
        <v>3.1219999999999999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8"/>
        <v>1913</v>
      </c>
      <c r="IM36" s="482" t="str">
        <f t="shared" si="233"/>
        <v/>
      </c>
      <c r="IN36" s="670" t="str">
        <f t="shared" si="80"/>
        <v/>
      </c>
      <c r="IO36" s="702"/>
      <c r="IP36" s="5" t="str">
        <f t="shared" si="81"/>
        <v/>
      </c>
      <c r="IQ36" s="714"/>
      <c r="IR36" s="9" t="str">
        <f t="shared" si="8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</row>
    <row r="37" spans="1:269" ht="15" customHeight="1" x14ac:dyDescent="0.25">
      <c r="A37" s="75">
        <f t="shared" si="92"/>
        <v>0.02</v>
      </c>
      <c r="B37" s="578">
        <f t="shared" ref="B37:D37" si="301">IFERROR(O192-($A37*E37),"")</f>
        <v>3.8755593784690796</v>
      </c>
      <c r="C37" s="572">
        <f t="shared" si="301"/>
        <v>-4.8823851668719715</v>
      </c>
      <c r="D37" s="576">
        <f t="shared" si="301"/>
        <v>-0.35263993568064156</v>
      </c>
      <c r="E37" s="580">
        <f t="shared" ref="E37:K37" si="302">R192</f>
        <v>0.80908300574314951</v>
      </c>
      <c r="F37" s="572">
        <f t="shared" si="302"/>
        <v>0.52099032517222876</v>
      </c>
      <c r="G37" s="579">
        <f t="shared" si="302"/>
        <v>0.27194442611417191</v>
      </c>
      <c r="H37" s="580">
        <f t="shared" si="302"/>
        <v>0.375</v>
      </c>
      <c r="I37" s="572">
        <f t="shared" si="302"/>
        <v>0.52</v>
      </c>
      <c r="J37" s="483">
        <f t="shared" si="95"/>
        <v>3.1269999999999998</v>
      </c>
      <c r="K37" s="806">
        <f t="shared" si="302"/>
        <v>1913</v>
      </c>
      <c r="L37" s="309"/>
      <c r="M37" s="164">
        <f t="shared" si="3"/>
        <v>3.1269999999999998</v>
      </c>
      <c r="N37" s="575">
        <f t="shared" si="4"/>
        <v>3.8755593784690796</v>
      </c>
      <c r="O37" s="572">
        <f t="shared" si="5"/>
        <v>-4.8823851668719715</v>
      </c>
      <c r="P37" s="576">
        <f t="shared" si="6"/>
        <v>-0.35263993568064156</v>
      </c>
      <c r="Q37" s="528">
        <f t="shared" si="135"/>
        <v>308.4419849235473</v>
      </c>
      <c r="R37" s="572">
        <f t="shared" si="96"/>
        <v>6.2335900902875458</v>
      </c>
      <c r="S37" s="577">
        <f t="shared" si="97"/>
        <v>-0.35263993568064156</v>
      </c>
      <c r="T37" s="578">
        <f t="shared" si="98"/>
        <v>-4.8603250189872078</v>
      </c>
      <c r="U37" s="572">
        <f t="shared" si="99"/>
        <v>-3.9031892246646316</v>
      </c>
      <c r="V37" s="579">
        <f t="shared" si="136"/>
        <v>-0.35263993568064156</v>
      </c>
      <c r="W37" s="528">
        <f t="shared" si="257"/>
        <v>218.76696006935447</v>
      </c>
      <c r="X37" s="572">
        <f t="shared" si="100"/>
        <v>6.2335900902875458</v>
      </c>
      <c r="Y37" s="573">
        <f t="shared" si="260"/>
        <v>-0.35263993568064156</v>
      </c>
      <c r="Z37" s="575">
        <f t="shared" si="9"/>
        <v>-0.80908300574314951</v>
      </c>
      <c r="AA37" s="572">
        <f t="shared" si="10"/>
        <v>-0.52099032517222876</v>
      </c>
      <c r="AB37" s="572">
        <f t="shared" si="11"/>
        <v>-0.27194442611417191</v>
      </c>
      <c r="AC37" s="579">
        <f t="shared" si="101"/>
        <v>1</v>
      </c>
      <c r="AD37" s="580">
        <f t="shared" si="137"/>
        <v>-0.80908300574314951</v>
      </c>
      <c r="AE37" s="572">
        <f t="shared" si="102"/>
        <v>-0.52099032517222876</v>
      </c>
      <c r="AF37" s="576">
        <f t="shared" si="103"/>
        <v>-0.27194442611417191</v>
      </c>
      <c r="AG37" s="545">
        <f t="shared" si="104"/>
        <v>-62.436523433856451</v>
      </c>
      <c r="AH37" s="546">
        <f t="shared" si="105"/>
        <v>144.00643511410124</v>
      </c>
      <c r="AI37" s="528">
        <f t="shared" si="106"/>
        <v>-74.219995647817058</v>
      </c>
      <c r="AJ37" s="529">
        <f t="shared" si="107"/>
        <v>-57.221424685327875</v>
      </c>
      <c r="AK37" s="578">
        <f t="shared" si="236"/>
        <v>0.95761571106868715</v>
      </c>
      <c r="AL37" s="572">
        <f t="shared" si="108"/>
        <v>-9.4965146342468276E-2</v>
      </c>
      <c r="AM37" s="577">
        <f t="shared" si="109"/>
        <v>-0.27194442611417191</v>
      </c>
      <c r="AN37" s="524">
        <f t="shared" si="110"/>
        <v>-19.249605891945691</v>
      </c>
      <c r="AO37" s="525">
        <f t="shared" si="111"/>
        <v>16.741180548765715</v>
      </c>
      <c r="AP37" s="528">
        <f t="shared" si="112"/>
        <v>-5.6634096088751518</v>
      </c>
      <c r="AQ37" s="529">
        <f t="shared" si="12"/>
        <v>0.36571151445298644</v>
      </c>
      <c r="AS37" s="954">
        <f t="shared" si="138"/>
        <v>218.76696006935447</v>
      </c>
      <c r="AT37" s="950">
        <f t="shared" si="13"/>
        <v>-0.25616490206354869</v>
      </c>
      <c r="AU37" s="418"/>
      <c r="AV37" s="164" t="str">
        <f t="shared" si="14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39"/>
        <v/>
      </c>
      <c r="BA37" s="296" t="str">
        <f t="shared" si="15"/>
        <v/>
      </c>
      <c r="BB37" s="177" t="str">
        <f t="shared" si="140"/>
        <v/>
      </c>
      <c r="BC37" s="9"/>
      <c r="BD37" s="5" t="str">
        <f t="shared" si="141"/>
        <v/>
      </c>
      <c r="BE37" s="6" t="str">
        <f t="shared" si="16"/>
        <v/>
      </c>
      <c r="BF37" s="4" t="str">
        <f t="shared" si="17"/>
        <v/>
      </c>
      <c r="BG37" s="5" t="str">
        <f t="shared" si="18"/>
        <v/>
      </c>
      <c r="BH37" s="10" t="str">
        <f t="shared" si="19"/>
        <v/>
      </c>
      <c r="BI37" s="9" t="str">
        <f t="shared" si="142"/>
        <v/>
      </c>
      <c r="BJ37" s="5" t="str">
        <f t="shared" si="20"/>
        <v/>
      </c>
      <c r="BK37" s="8" t="str">
        <f t="shared" si="21"/>
        <v/>
      </c>
      <c r="BL37" s="173" t="str">
        <f t="shared" si="22"/>
        <v/>
      </c>
      <c r="BM37" s="5" t="str">
        <f t="shared" si="23"/>
        <v/>
      </c>
      <c r="BN37" s="6" t="str">
        <f t="shared" si="24"/>
        <v/>
      </c>
      <c r="BO37" s="4" t="str">
        <f t="shared" si="143"/>
        <v/>
      </c>
      <c r="BP37" s="5" t="str">
        <f t="shared" si="144"/>
        <v/>
      </c>
      <c r="BQ37" s="5" t="str">
        <f t="shared" si="145"/>
        <v/>
      </c>
      <c r="BR37" s="6" t="str">
        <f t="shared" si="146"/>
        <v/>
      </c>
      <c r="BS37" s="4" t="str">
        <f t="shared" si="113"/>
        <v/>
      </c>
      <c r="BT37" s="5" t="str">
        <f t="shared" si="113"/>
        <v/>
      </c>
      <c r="BU37" s="10" t="str">
        <f t="shared" si="114"/>
        <v/>
      </c>
      <c r="BV37" s="9" t="str">
        <f t="shared" si="115"/>
        <v/>
      </c>
      <c r="BW37" s="5" t="str">
        <f t="shared" si="116"/>
        <v/>
      </c>
      <c r="BX37" s="8" t="str">
        <f t="shared" si="117"/>
        <v/>
      </c>
      <c r="BY37" s="173" t="str">
        <f t="shared" si="118"/>
        <v/>
      </c>
      <c r="BZ37" s="5" t="str">
        <f t="shared" si="119"/>
        <v/>
      </c>
      <c r="CA37" s="6" t="str">
        <f t="shared" si="120"/>
        <v/>
      </c>
      <c r="CB37" s="4" t="str">
        <f t="shared" si="147"/>
        <v/>
      </c>
      <c r="CC37" s="5" t="str">
        <f t="shared" si="148"/>
        <v/>
      </c>
      <c r="CD37" s="5" t="str">
        <f t="shared" si="149"/>
        <v/>
      </c>
      <c r="CE37" s="6" t="str">
        <f t="shared" si="150"/>
        <v/>
      </c>
      <c r="CF37" s="4" t="str">
        <f t="shared" si="151"/>
        <v/>
      </c>
      <c r="CG37" s="5" t="str">
        <f t="shared" si="152"/>
        <v/>
      </c>
      <c r="CH37" s="5" t="str">
        <f t="shared" si="153"/>
        <v/>
      </c>
      <c r="CI37" s="4" t="str">
        <f t="shared" si="121"/>
        <v/>
      </c>
      <c r="CJ37" s="5" t="str">
        <f t="shared" si="122"/>
        <v/>
      </c>
      <c r="CK37" s="8" t="str">
        <f t="shared" si="123"/>
        <v/>
      </c>
      <c r="CL37" s="173" t="str">
        <f t="shared" si="124"/>
        <v/>
      </c>
      <c r="CM37" s="5" t="str">
        <f t="shared" si="125"/>
        <v/>
      </c>
      <c r="CN37" s="6" t="str">
        <f t="shared" si="126"/>
        <v/>
      </c>
      <c r="CO37" s="167" t="str">
        <f t="shared" si="25"/>
        <v/>
      </c>
      <c r="CP37" s="4" t="str">
        <f t="shared" si="237"/>
        <v/>
      </c>
      <c r="CQ37" s="5" t="str">
        <f t="shared" si="238"/>
        <v/>
      </c>
      <c r="CR37" s="5" t="str">
        <f t="shared" si="154"/>
        <v/>
      </c>
      <c r="CS37" s="8" t="str">
        <f t="shared" si="155"/>
        <v/>
      </c>
      <c r="CT37" s="9" t="str">
        <f t="shared" si="156"/>
        <v/>
      </c>
      <c r="CU37" s="6" t="str">
        <f t="shared" si="157"/>
        <v/>
      </c>
      <c r="CV37" s="4" t="str">
        <f t="shared" si="239"/>
        <v/>
      </c>
      <c r="CW37" s="5" t="str">
        <f t="shared" si="158"/>
        <v/>
      </c>
      <c r="CX37" s="8" t="str">
        <f t="shared" si="159"/>
        <v/>
      </c>
      <c r="CY37" s="9" t="str">
        <f t="shared" si="160"/>
        <v/>
      </c>
      <c r="CZ37" s="5" t="str">
        <f t="shared" si="161"/>
        <v/>
      </c>
      <c r="DA37" s="6" t="str">
        <f t="shared" si="162"/>
        <v/>
      </c>
      <c r="DB37" s="4" t="str">
        <f t="shared" si="163"/>
        <v/>
      </c>
      <c r="DC37" s="5" t="str">
        <f t="shared" si="163"/>
        <v/>
      </c>
      <c r="DD37" s="10" t="str">
        <f t="shared" si="164"/>
        <v/>
      </c>
      <c r="DE37" s="9" t="str">
        <f t="shared" si="165"/>
        <v/>
      </c>
      <c r="DF37" s="5" t="str">
        <f t="shared" si="165"/>
        <v/>
      </c>
      <c r="DG37" s="10" t="str">
        <f t="shared" si="166"/>
        <v/>
      </c>
      <c r="DH37" s="70" t="str">
        <f t="shared" si="167"/>
        <v/>
      </c>
      <c r="DI37" s="4" t="str">
        <f t="shared" si="168"/>
        <v/>
      </c>
      <c r="DJ37" s="5" t="str">
        <f t="shared" si="169"/>
        <v/>
      </c>
      <c r="DK37" s="10" t="str">
        <f t="shared" si="170"/>
        <v/>
      </c>
      <c r="DL37" s="9" t="str">
        <f t="shared" si="171"/>
        <v/>
      </c>
      <c r="DM37" s="173" t="str">
        <f t="shared" si="172"/>
        <v/>
      </c>
      <c r="DN37" s="178" t="str">
        <f t="shared" si="173"/>
        <v/>
      </c>
      <c r="DO37" s="9" t="str">
        <f t="shared" si="174"/>
        <v/>
      </c>
      <c r="DP37" s="173" t="str">
        <f t="shared" si="175"/>
        <v/>
      </c>
      <c r="DQ37" s="11" t="str">
        <f t="shared" si="176"/>
        <v/>
      </c>
      <c r="DR37" s="173" t="str">
        <f t="shared" si="177"/>
        <v/>
      </c>
      <c r="DS37" s="5" t="str">
        <f t="shared" si="178"/>
        <v/>
      </c>
      <c r="DT37" s="5" t="str">
        <f t="shared" si="179"/>
        <v/>
      </c>
      <c r="DU37" s="5" t="str">
        <f t="shared" si="180"/>
        <v/>
      </c>
      <c r="DV37" s="5" t="str">
        <f t="shared" si="181"/>
        <v/>
      </c>
      <c r="DW37" s="5" t="str">
        <f t="shared" si="182"/>
        <v/>
      </c>
      <c r="DX37" s="167" t="str">
        <f t="shared" si="183"/>
        <v/>
      </c>
      <c r="DY37" s="9" t="str">
        <f t="shared" si="184"/>
        <v/>
      </c>
      <c r="DZ37" s="5" t="str">
        <f t="shared" si="185"/>
        <v/>
      </c>
      <c r="EA37" s="10" t="str">
        <f t="shared" si="186"/>
        <v/>
      </c>
      <c r="EB37" s="6" t="str">
        <f t="shared" si="187"/>
        <v/>
      </c>
      <c r="EC37" s="173" t="str">
        <f t="shared" si="188"/>
        <v/>
      </c>
      <c r="ED37" s="5" t="str">
        <f t="shared" si="189"/>
        <v/>
      </c>
      <c r="EE37" s="4" t="str">
        <f t="shared" si="190"/>
        <v/>
      </c>
      <c r="EF37" s="5" t="str">
        <f t="shared" si="191"/>
        <v/>
      </c>
      <c r="EG37" s="10" t="str">
        <f t="shared" si="192"/>
        <v/>
      </c>
      <c r="EH37" s="9" t="str">
        <f t="shared" si="193"/>
        <v/>
      </c>
      <c r="EI37" s="5" t="str">
        <f t="shared" si="194"/>
        <v/>
      </c>
      <c r="EJ37" s="6" t="str">
        <f t="shared" si="195"/>
        <v/>
      </c>
      <c r="EK37" s="236" t="str">
        <f t="shared" si="196"/>
        <v/>
      </c>
      <c r="EL37" s="238" t="str">
        <f t="shared" si="197"/>
        <v/>
      </c>
      <c r="EM37" s="4" t="str">
        <f t="shared" si="198"/>
        <v/>
      </c>
      <c r="EN37" s="5" t="str">
        <f t="shared" si="199"/>
        <v/>
      </c>
      <c r="EO37" s="10" t="str">
        <f t="shared" si="200"/>
        <v/>
      </c>
      <c r="EP37" s="9" t="str">
        <f t="shared" si="201"/>
        <v/>
      </c>
      <c r="EQ37" s="5" t="str">
        <f t="shared" si="202"/>
        <v/>
      </c>
      <c r="ER37" s="7" t="str">
        <f t="shared" si="203"/>
        <v/>
      </c>
      <c r="ES37" s="21" t="str">
        <f t="shared" si="127"/>
        <v/>
      </c>
      <c r="ET37" s="5" t="str">
        <f t="shared" si="34"/>
        <v/>
      </c>
      <c r="EU37" s="10" t="str">
        <f t="shared" si="35"/>
        <v/>
      </c>
      <c r="EV37" s="174" t="str">
        <f t="shared" si="253"/>
        <v/>
      </c>
      <c r="EW37" s="9" t="str">
        <f t="shared" si="128"/>
        <v/>
      </c>
      <c r="EX37" s="5" t="str">
        <f t="shared" si="36"/>
        <v/>
      </c>
      <c r="EY37" s="6" t="str">
        <f t="shared" si="204"/>
        <v/>
      </c>
      <c r="EZ37" s="51" t="str">
        <f t="shared" si="205"/>
        <v/>
      </c>
      <c r="FA37" s="266" t="str">
        <f t="shared" si="129"/>
        <v/>
      </c>
      <c r="FB37" s="267" t="str">
        <f t="shared" si="130"/>
        <v/>
      </c>
      <c r="FC37" s="269" t="str">
        <f t="shared" si="37"/>
        <v/>
      </c>
      <c r="FD37" s="4" t="str">
        <f t="shared" si="131"/>
        <v/>
      </c>
      <c r="FE37" s="5" t="str">
        <f t="shared" si="38"/>
        <v/>
      </c>
      <c r="FF37" s="7" t="str">
        <f t="shared" si="206"/>
        <v/>
      </c>
      <c r="FG37" s="173" t="str">
        <f t="shared" si="207"/>
        <v/>
      </c>
      <c r="FH37" s="5" t="str">
        <f t="shared" si="39"/>
        <v/>
      </c>
      <c r="FI37" s="10" t="str">
        <f t="shared" si="40"/>
        <v/>
      </c>
      <c r="FJ37" s="279" t="str">
        <f t="shared" si="208"/>
        <v/>
      </c>
      <c r="FK37" s="4" t="str">
        <f t="shared" si="41"/>
        <v/>
      </c>
      <c r="FL37" s="5" t="str">
        <f t="shared" si="209"/>
        <v/>
      </c>
      <c r="FM37" s="8" t="str">
        <f t="shared" si="210"/>
        <v/>
      </c>
      <c r="FN37" s="9" t="str">
        <f t="shared" si="211"/>
        <v/>
      </c>
      <c r="FO37" s="10" t="str">
        <f t="shared" si="42"/>
        <v/>
      </c>
      <c r="FP37" s="277" t="str">
        <f t="shared" si="43"/>
        <v/>
      </c>
      <c r="FQ37" s="173" t="str">
        <f t="shared" si="240"/>
        <v/>
      </c>
      <c r="FR37" s="10" t="str">
        <f t="shared" si="212"/>
        <v/>
      </c>
      <c r="FS37" s="9" t="str">
        <f t="shared" si="213"/>
        <v/>
      </c>
      <c r="FT37" s="6" t="str">
        <f t="shared" si="214"/>
        <v/>
      </c>
      <c r="FU37" s="4" t="str">
        <f t="shared" si="215"/>
        <v/>
      </c>
      <c r="FV37" s="5" t="str">
        <f t="shared" si="216"/>
        <v/>
      </c>
      <c r="FW37" s="8" t="str">
        <f t="shared" si="241"/>
        <v/>
      </c>
      <c r="FX37" s="9" t="str">
        <f t="shared" si="242"/>
        <v/>
      </c>
      <c r="FY37" s="10" t="str">
        <f t="shared" si="44"/>
        <v/>
      </c>
      <c r="FZ37" s="277" t="str">
        <f t="shared" si="243"/>
        <v/>
      </c>
      <c r="GA37" s="177" t="str">
        <f t="shared" si="217"/>
        <v/>
      </c>
      <c r="GB37" s="4" t="str">
        <f t="shared" si="218"/>
        <v/>
      </c>
      <c r="GC37" s="5" t="str">
        <f t="shared" si="219"/>
        <v/>
      </c>
      <c r="GD37" s="10" t="str">
        <f t="shared" si="220"/>
        <v/>
      </c>
      <c r="GE37" s="311" t="str">
        <f t="shared" si="221"/>
        <v/>
      </c>
      <c r="GF37" s="341" t="str">
        <f t="shared" si="244"/>
        <v/>
      </c>
      <c r="GG37" s="285" t="str">
        <f t="shared" si="45"/>
        <v/>
      </c>
      <c r="GH37" s="286" t="str">
        <f t="shared" si="46"/>
        <v/>
      </c>
      <c r="GI37" s="281" t="str">
        <f t="shared" si="47"/>
        <v/>
      </c>
      <c r="GJ37" s="167" t="str">
        <f t="shared" si="222"/>
        <v/>
      </c>
      <c r="GK37" s="174" t="str">
        <f t="shared" si="48"/>
        <v/>
      </c>
      <c r="GL37" s="174" t="str">
        <f t="shared" si="223"/>
        <v/>
      </c>
      <c r="GM37" s="177" t="str">
        <f t="shared" si="245"/>
        <v/>
      </c>
      <c r="GN37" s="280" t="str">
        <f t="shared" si="224"/>
        <v/>
      </c>
      <c r="GO37" s="4" t="str">
        <f t="shared" si="225"/>
        <v/>
      </c>
      <c r="GP37" s="8" t="str">
        <f t="shared" si="246"/>
        <v/>
      </c>
      <c r="GQ37" s="177" t="str">
        <f t="shared" si="226"/>
        <v/>
      </c>
      <c r="GR37" s="371" t="str">
        <f t="shared" si="247"/>
        <v/>
      </c>
      <c r="GS37" s="342" t="str">
        <f t="shared" si="50"/>
        <v/>
      </c>
      <c r="GT37" s="343" t="str">
        <f t="shared" si="51"/>
        <v/>
      </c>
      <c r="GU37" s="344" t="str">
        <f t="shared" si="52"/>
        <v/>
      </c>
      <c r="GV37" s="343" t="str">
        <f t="shared" si="254"/>
        <v/>
      </c>
      <c r="GW37" s="345" t="str">
        <f t="shared" si="53"/>
        <v/>
      </c>
      <c r="GX37" s="346" t="str">
        <f t="shared" si="54"/>
        <v/>
      </c>
      <c r="GY37" s="344" t="str">
        <f t="shared" si="55"/>
        <v/>
      </c>
      <c r="GZ37" s="345" t="str">
        <f t="shared" si="56"/>
        <v/>
      </c>
      <c r="HA37" s="342" t="str">
        <f t="shared" si="57"/>
        <v/>
      </c>
      <c r="HB37" s="5" t="str">
        <f t="shared" si="227"/>
        <v/>
      </c>
      <c r="HC37" s="343" t="str">
        <f t="shared" si="228"/>
        <v/>
      </c>
      <c r="HD37" s="363" t="str">
        <f t="shared" si="229"/>
        <v/>
      </c>
      <c r="HE37" s="344" t="str">
        <f t="shared" si="58"/>
        <v/>
      </c>
      <c r="HF37" s="5" t="str">
        <f t="shared" si="59"/>
        <v/>
      </c>
      <c r="HG37" s="343" t="str">
        <f t="shared" si="230"/>
        <v/>
      </c>
      <c r="HH37" s="349" t="str">
        <f t="shared" si="231"/>
        <v/>
      </c>
      <c r="HI37" s="317" t="str">
        <f t="shared" si="60"/>
        <v/>
      </c>
      <c r="HJ37" s="336"/>
      <c r="HK37" s="310" t="str">
        <f t="shared" si="132"/>
        <v/>
      </c>
      <c r="HL37" s="348" t="str">
        <f t="shared" si="61"/>
        <v/>
      </c>
      <c r="HM37" s="923" t="str">
        <f t="shared" si="62"/>
        <v/>
      </c>
      <c r="HN37" s="924" t="str">
        <f t="shared" si="63"/>
        <v/>
      </c>
      <c r="HO37" s="925"/>
      <c r="HP37" s="926"/>
      <c r="HQ37" s="924" t="str">
        <f t="shared" si="64"/>
        <v/>
      </c>
      <c r="HR37" s="927" t="str">
        <f t="shared" si="65"/>
        <v/>
      </c>
      <c r="HS37" s="879" t="str">
        <f t="shared" si="250"/>
        <v/>
      </c>
      <c r="HT37" s="889" t="str">
        <f t="shared" si="66"/>
        <v/>
      </c>
      <c r="HU37" s="890" t="str">
        <f t="shared" si="67"/>
        <v/>
      </c>
      <c r="HV37" s="886" t="str">
        <f t="shared" si="68"/>
        <v/>
      </c>
      <c r="HW37" s="880" t="str">
        <f t="shared" si="69"/>
        <v/>
      </c>
      <c r="HX37" s="881" t="str">
        <f t="shared" si="70"/>
        <v/>
      </c>
      <c r="HY37" s="880" t="str">
        <f t="shared" si="71"/>
        <v/>
      </c>
      <c r="HZ37" s="882" t="str">
        <f t="shared" si="72"/>
        <v/>
      </c>
      <c r="IA37" s="883" t="str">
        <f t="shared" si="73"/>
        <v/>
      </c>
      <c r="IB37" s="884" t="str">
        <f t="shared" si="74"/>
        <v/>
      </c>
      <c r="IC37" s="855" t="str">
        <f t="shared" si="75"/>
        <v/>
      </c>
      <c r="ID37" s="351" t="str">
        <f t="shared" si="76"/>
        <v/>
      </c>
      <c r="IE37" s="857" t="str">
        <f t="shared" si="77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2"/>
        <v>3.1269999999999998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8"/>
        <v>1913</v>
      </c>
      <c r="IM37" s="482" t="str">
        <f t="shared" si="233"/>
        <v/>
      </c>
      <c r="IN37" s="670" t="str">
        <f t="shared" si="80"/>
        <v/>
      </c>
      <c r="IO37" s="702"/>
      <c r="IP37" s="5" t="str">
        <f t="shared" si="81"/>
        <v/>
      </c>
      <c r="IQ37" s="714"/>
      <c r="IR37" s="9" t="str">
        <f t="shared" si="8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</row>
    <row r="38" spans="1:269" ht="15" customHeight="1" x14ac:dyDescent="0.25">
      <c r="A38" s="75">
        <f t="shared" si="92"/>
        <v>0.02</v>
      </c>
      <c r="B38" s="578">
        <f t="shared" ref="B38:D38" si="303">IFERROR(O193-($A38*E38),"")</f>
        <v>4.2990431638985331</v>
      </c>
      <c r="C38" s="572">
        <f t="shared" si="303"/>
        <v>-5.5553308590099952</v>
      </c>
      <c r="D38" s="576">
        <f t="shared" si="303"/>
        <v>-0.78652609026823217</v>
      </c>
      <c r="E38" s="580">
        <f t="shared" ref="E38:K38" si="304">R193</f>
        <v>0.85669049405546427</v>
      </c>
      <c r="F38" s="572">
        <f t="shared" si="304"/>
        <v>0.44771618626425047</v>
      </c>
      <c r="G38" s="579">
        <f t="shared" si="304"/>
        <v>0.25618667793622585</v>
      </c>
      <c r="H38" s="580">
        <f t="shared" si="304"/>
        <v>0.375</v>
      </c>
      <c r="I38" s="572">
        <f t="shared" si="304"/>
        <v>0.52</v>
      </c>
      <c r="J38" s="483">
        <f t="shared" si="95"/>
        <v>3.1320000000000001</v>
      </c>
      <c r="K38" s="806">
        <f t="shared" si="304"/>
        <v>1913</v>
      </c>
      <c r="L38" s="309"/>
      <c r="M38" s="164">
        <f t="shared" si="3"/>
        <v>3.1320000000000001</v>
      </c>
      <c r="N38" s="575">
        <f t="shared" si="4"/>
        <v>4.2990431638985331</v>
      </c>
      <c r="O38" s="572">
        <f t="shared" si="5"/>
        <v>-5.5553308590099952</v>
      </c>
      <c r="P38" s="576">
        <f t="shared" si="6"/>
        <v>-0.78652609026823217</v>
      </c>
      <c r="Q38" s="528">
        <f t="shared" si="135"/>
        <v>307.73482109356769</v>
      </c>
      <c r="R38" s="572">
        <f t="shared" si="96"/>
        <v>7.0244909479713504</v>
      </c>
      <c r="S38" s="577">
        <f t="shared" si="97"/>
        <v>-0.78652609026823217</v>
      </c>
      <c r="T38" s="578">
        <f t="shared" si="98"/>
        <v>-5.5308579477294293</v>
      </c>
      <c r="U38" s="572">
        <f t="shared" si="99"/>
        <v>-4.3304830492878796</v>
      </c>
      <c r="V38" s="579">
        <f t="shared" si="136"/>
        <v>-0.78652609026823217</v>
      </c>
      <c r="W38" s="528">
        <f t="shared" si="257"/>
        <v>218.05979623937486</v>
      </c>
      <c r="X38" s="572">
        <f t="shared" si="100"/>
        <v>7.0244909479713504</v>
      </c>
      <c r="Y38" s="573">
        <f t="shared" si="260"/>
        <v>-0.78652609026823217</v>
      </c>
      <c r="Z38" s="575">
        <f t="shared" si="9"/>
        <v>-0.85669049405546427</v>
      </c>
      <c r="AA38" s="572">
        <f t="shared" si="10"/>
        <v>-0.44771618626425047</v>
      </c>
      <c r="AB38" s="572">
        <f t="shared" si="11"/>
        <v>-0.25618667793622585</v>
      </c>
      <c r="AC38" s="579">
        <f t="shared" si="101"/>
        <v>1</v>
      </c>
      <c r="AD38" s="580">
        <f t="shared" si="137"/>
        <v>-0.85669049405546427</v>
      </c>
      <c r="AE38" s="572">
        <f t="shared" si="102"/>
        <v>-0.44771618626425047</v>
      </c>
      <c r="AF38" s="576">
        <f t="shared" si="103"/>
        <v>-0.25618667793622585</v>
      </c>
      <c r="AG38" s="545">
        <f t="shared" si="104"/>
        <v>-60.221474947366843</v>
      </c>
      <c r="AH38" s="546">
        <f t="shared" si="105"/>
        <v>148.94699809520705</v>
      </c>
      <c r="AI38" s="528">
        <f t="shared" si="106"/>
        <v>-75.156087231396072</v>
      </c>
      <c r="AJ38" s="529">
        <f t="shared" si="107"/>
        <v>-62.407920326284774</v>
      </c>
      <c r="AK38" s="578">
        <f t="shared" si="236"/>
        <v>0.95152095684644455</v>
      </c>
      <c r="AL38" s="572">
        <f t="shared" si="108"/>
        <v>-0.17022413086876631</v>
      </c>
      <c r="AM38" s="577">
        <f t="shared" si="109"/>
        <v>-0.25618667793622585</v>
      </c>
      <c r="AN38" s="524">
        <f t="shared" si="110"/>
        <v>-33.602189067155663</v>
      </c>
      <c r="AO38" s="525">
        <f t="shared" si="111"/>
        <v>17.913686542747687</v>
      </c>
      <c r="AP38" s="528">
        <f t="shared" si="112"/>
        <v>-10.142741419852468</v>
      </c>
      <c r="AQ38" s="529">
        <f t="shared" si="12"/>
        <v>0.32453629284671787</v>
      </c>
      <c r="AS38" s="954">
        <f t="shared" si="138"/>
        <v>218.05979623937486</v>
      </c>
      <c r="AT38" s="950">
        <f t="shared" si="13"/>
        <v>-0.68955997065809793</v>
      </c>
      <c r="AU38" s="418"/>
      <c r="AV38" s="164" t="str">
        <f t="shared" si="14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9"/>
        <v/>
      </c>
      <c r="BA38" s="296" t="str">
        <f t="shared" si="15"/>
        <v/>
      </c>
      <c r="BB38" s="190" t="str">
        <f t="shared" si="140"/>
        <v/>
      </c>
      <c r="BC38" s="9"/>
      <c r="BD38" s="5" t="str">
        <f t="shared" si="141"/>
        <v/>
      </c>
      <c r="BE38" s="6" t="str">
        <f t="shared" si="16"/>
        <v/>
      </c>
      <c r="BF38" s="4" t="str">
        <f t="shared" si="17"/>
        <v/>
      </c>
      <c r="BG38" s="5" t="str">
        <f t="shared" si="18"/>
        <v/>
      </c>
      <c r="BH38" s="10" t="str">
        <f t="shared" si="19"/>
        <v/>
      </c>
      <c r="BI38" s="9" t="str">
        <f t="shared" si="142"/>
        <v/>
      </c>
      <c r="BJ38" s="5" t="str">
        <f t="shared" si="20"/>
        <v/>
      </c>
      <c r="BK38" s="8" t="str">
        <f t="shared" si="21"/>
        <v/>
      </c>
      <c r="BL38" s="173" t="str">
        <f t="shared" si="22"/>
        <v/>
      </c>
      <c r="BM38" s="5" t="str">
        <f t="shared" si="23"/>
        <v/>
      </c>
      <c r="BN38" s="6" t="str">
        <f t="shared" si="24"/>
        <v/>
      </c>
      <c r="BO38" s="4" t="str">
        <f t="shared" si="143"/>
        <v/>
      </c>
      <c r="BP38" s="5" t="str">
        <f t="shared" si="144"/>
        <v/>
      </c>
      <c r="BQ38" s="5" t="str">
        <f t="shared" si="145"/>
        <v/>
      </c>
      <c r="BR38" s="6" t="str">
        <f t="shared" si="146"/>
        <v/>
      </c>
      <c r="BS38" s="4" t="str">
        <f t="shared" si="113"/>
        <v/>
      </c>
      <c r="BT38" s="5" t="str">
        <f t="shared" si="113"/>
        <v/>
      </c>
      <c r="BU38" s="10" t="str">
        <f t="shared" si="114"/>
        <v/>
      </c>
      <c r="BV38" s="9" t="str">
        <f t="shared" si="115"/>
        <v/>
      </c>
      <c r="BW38" s="5" t="str">
        <f t="shared" si="116"/>
        <v/>
      </c>
      <c r="BX38" s="8" t="str">
        <f t="shared" si="117"/>
        <v/>
      </c>
      <c r="BY38" s="173" t="str">
        <f t="shared" si="118"/>
        <v/>
      </c>
      <c r="BZ38" s="5" t="str">
        <f t="shared" si="119"/>
        <v/>
      </c>
      <c r="CA38" s="6" t="str">
        <f t="shared" si="120"/>
        <v/>
      </c>
      <c r="CB38" s="4" t="str">
        <f t="shared" si="147"/>
        <v/>
      </c>
      <c r="CC38" s="5" t="str">
        <f t="shared" si="148"/>
        <v/>
      </c>
      <c r="CD38" s="5" t="str">
        <f t="shared" si="149"/>
        <v/>
      </c>
      <c r="CE38" s="6" t="str">
        <f t="shared" si="150"/>
        <v/>
      </c>
      <c r="CF38" s="4" t="str">
        <f t="shared" si="151"/>
        <v/>
      </c>
      <c r="CG38" s="5" t="str">
        <f t="shared" si="152"/>
        <v/>
      </c>
      <c r="CH38" s="5" t="str">
        <f t="shared" si="153"/>
        <v/>
      </c>
      <c r="CI38" s="4" t="str">
        <f t="shared" si="121"/>
        <v/>
      </c>
      <c r="CJ38" s="5" t="str">
        <f t="shared" si="122"/>
        <v/>
      </c>
      <c r="CK38" s="8" t="str">
        <f t="shared" si="123"/>
        <v/>
      </c>
      <c r="CL38" s="173" t="str">
        <f t="shared" si="124"/>
        <v/>
      </c>
      <c r="CM38" s="5" t="str">
        <f t="shared" si="125"/>
        <v/>
      </c>
      <c r="CN38" s="6" t="str">
        <f t="shared" si="126"/>
        <v/>
      </c>
      <c r="CO38" s="167" t="str">
        <f t="shared" si="25"/>
        <v/>
      </c>
      <c r="CP38" s="4" t="str">
        <f t="shared" si="237"/>
        <v/>
      </c>
      <c r="CQ38" s="5" t="str">
        <f t="shared" si="238"/>
        <v/>
      </c>
      <c r="CR38" s="5" t="str">
        <f t="shared" si="154"/>
        <v/>
      </c>
      <c r="CS38" s="8" t="str">
        <f t="shared" si="155"/>
        <v/>
      </c>
      <c r="CT38" s="9" t="str">
        <f t="shared" si="156"/>
        <v/>
      </c>
      <c r="CU38" s="6" t="str">
        <f t="shared" si="157"/>
        <v/>
      </c>
      <c r="CV38" s="4" t="str">
        <f t="shared" si="239"/>
        <v/>
      </c>
      <c r="CW38" s="5" t="str">
        <f t="shared" si="158"/>
        <v/>
      </c>
      <c r="CX38" s="8" t="str">
        <f t="shared" si="159"/>
        <v/>
      </c>
      <c r="CY38" s="9" t="str">
        <f t="shared" si="160"/>
        <v/>
      </c>
      <c r="CZ38" s="5" t="str">
        <f t="shared" si="161"/>
        <v/>
      </c>
      <c r="DA38" s="6" t="str">
        <f t="shared" si="162"/>
        <v/>
      </c>
      <c r="DB38" s="4" t="str">
        <f t="shared" si="163"/>
        <v/>
      </c>
      <c r="DC38" s="5" t="str">
        <f t="shared" si="163"/>
        <v/>
      </c>
      <c r="DD38" s="10" t="str">
        <f t="shared" si="164"/>
        <v/>
      </c>
      <c r="DE38" s="9" t="str">
        <f t="shared" si="165"/>
        <v/>
      </c>
      <c r="DF38" s="5" t="str">
        <f t="shared" si="165"/>
        <v/>
      </c>
      <c r="DG38" s="10" t="str">
        <f t="shared" si="166"/>
        <v/>
      </c>
      <c r="DH38" s="70" t="str">
        <f t="shared" si="167"/>
        <v/>
      </c>
      <c r="DI38" s="4" t="str">
        <f t="shared" si="168"/>
        <v/>
      </c>
      <c r="DJ38" s="5" t="str">
        <f t="shared" si="169"/>
        <v/>
      </c>
      <c r="DK38" s="10" t="str">
        <f t="shared" si="170"/>
        <v/>
      </c>
      <c r="DL38" s="9" t="str">
        <f t="shared" si="171"/>
        <v/>
      </c>
      <c r="DM38" s="173" t="str">
        <f t="shared" si="172"/>
        <v/>
      </c>
      <c r="DN38" s="178" t="str">
        <f t="shared" si="173"/>
        <v/>
      </c>
      <c r="DO38" s="9" t="str">
        <f t="shared" si="174"/>
        <v/>
      </c>
      <c r="DP38" s="173" t="str">
        <f t="shared" si="175"/>
        <v/>
      </c>
      <c r="DQ38" s="11" t="str">
        <f t="shared" si="176"/>
        <v/>
      </c>
      <c r="DR38" s="173" t="str">
        <f t="shared" si="177"/>
        <v/>
      </c>
      <c r="DS38" s="5" t="str">
        <f t="shared" si="178"/>
        <v/>
      </c>
      <c r="DT38" s="5" t="str">
        <f t="shared" si="179"/>
        <v/>
      </c>
      <c r="DU38" s="5" t="str">
        <f t="shared" si="180"/>
        <v/>
      </c>
      <c r="DV38" s="5" t="str">
        <f t="shared" si="181"/>
        <v/>
      </c>
      <c r="DW38" s="5" t="str">
        <f t="shared" si="182"/>
        <v/>
      </c>
      <c r="DX38" s="167" t="str">
        <f t="shared" si="183"/>
        <v/>
      </c>
      <c r="DY38" s="9" t="str">
        <f t="shared" si="184"/>
        <v/>
      </c>
      <c r="DZ38" s="5" t="str">
        <f t="shared" si="185"/>
        <v/>
      </c>
      <c r="EA38" s="10" t="str">
        <f t="shared" si="186"/>
        <v/>
      </c>
      <c r="EB38" s="6" t="str">
        <f t="shared" si="187"/>
        <v/>
      </c>
      <c r="EC38" s="173" t="str">
        <f t="shared" si="188"/>
        <v/>
      </c>
      <c r="ED38" s="5" t="str">
        <f t="shared" si="189"/>
        <v/>
      </c>
      <c r="EE38" s="4" t="str">
        <f t="shared" si="190"/>
        <v/>
      </c>
      <c r="EF38" s="5" t="str">
        <f t="shared" si="191"/>
        <v/>
      </c>
      <c r="EG38" s="10" t="str">
        <f t="shared" si="192"/>
        <v/>
      </c>
      <c r="EH38" s="9" t="str">
        <f t="shared" si="193"/>
        <v/>
      </c>
      <c r="EI38" s="5" t="str">
        <f t="shared" si="194"/>
        <v/>
      </c>
      <c r="EJ38" s="6" t="str">
        <f t="shared" si="195"/>
        <v/>
      </c>
      <c r="EK38" s="236" t="str">
        <f t="shared" si="196"/>
        <v/>
      </c>
      <c r="EL38" s="238" t="str">
        <f t="shared" si="197"/>
        <v/>
      </c>
      <c r="EM38" s="4" t="str">
        <f t="shared" si="198"/>
        <v/>
      </c>
      <c r="EN38" s="5" t="str">
        <f t="shared" si="199"/>
        <v/>
      </c>
      <c r="EO38" s="10" t="str">
        <f t="shared" si="200"/>
        <v/>
      </c>
      <c r="EP38" s="9" t="str">
        <f t="shared" si="201"/>
        <v/>
      </c>
      <c r="EQ38" s="5" t="str">
        <f t="shared" si="202"/>
        <v/>
      </c>
      <c r="ER38" s="7" t="str">
        <f t="shared" si="203"/>
        <v/>
      </c>
      <c r="ES38" s="21" t="str">
        <f t="shared" si="127"/>
        <v/>
      </c>
      <c r="ET38" s="5" t="str">
        <f t="shared" si="34"/>
        <v/>
      </c>
      <c r="EU38" s="10" t="str">
        <f t="shared" si="35"/>
        <v/>
      </c>
      <c r="EV38" s="174" t="str">
        <f t="shared" si="253"/>
        <v/>
      </c>
      <c r="EW38" s="9" t="str">
        <f t="shared" si="128"/>
        <v/>
      </c>
      <c r="EX38" s="5" t="str">
        <f t="shared" si="36"/>
        <v/>
      </c>
      <c r="EY38" s="6" t="str">
        <f t="shared" si="204"/>
        <v/>
      </c>
      <c r="EZ38" s="51" t="str">
        <f t="shared" si="205"/>
        <v/>
      </c>
      <c r="FA38" s="266" t="str">
        <f t="shared" si="129"/>
        <v/>
      </c>
      <c r="FB38" s="267" t="str">
        <f t="shared" si="130"/>
        <v/>
      </c>
      <c r="FC38" s="269" t="str">
        <f t="shared" si="37"/>
        <v/>
      </c>
      <c r="FD38" s="4" t="str">
        <f t="shared" si="131"/>
        <v/>
      </c>
      <c r="FE38" s="5" t="str">
        <f t="shared" si="38"/>
        <v/>
      </c>
      <c r="FF38" s="7" t="str">
        <f t="shared" si="206"/>
        <v/>
      </c>
      <c r="FG38" s="173" t="str">
        <f t="shared" si="207"/>
        <v/>
      </c>
      <c r="FH38" s="5" t="str">
        <f t="shared" si="39"/>
        <v/>
      </c>
      <c r="FI38" s="10" t="str">
        <f t="shared" si="40"/>
        <v/>
      </c>
      <c r="FJ38" s="279" t="str">
        <f t="shared" si="208"/>
        <v/>
      </c>
      <c r="FK38" s="4" t="str">
        <f t="shared" si="41"/>
        <v/>
      </c>
      <c r="FL38" s="5" t="str">
        <f t="shared" si="209"/>
        <v/>
      </c>
      <c r="FM38" s="8" t="str">
        <f t="shared" si="210"/>
        <v/>
      </c>
      <c r="FN38" s="9" t="str">
        <f t="shared" si="211"/>
        <v/>
      </c>
      <c r="FO38" s="10" t="str">
        <f t="shared" si="42"/>
        <v/>
      </c>
      <c r="FP38" s="277" t="str">
        <f t="shared" si="43"/>
        <v/>
      </c>
      <c r="FQ38" s="173" t="str">
        <f t="shared" si="240"/>
        <v/>
      </c>
      <c r="FR38" s="10" t="str">
        <f t="shared" si="212"/>
        <v/>
      </c>
      <c r="FS38" s="9" t="str">
        <f t="shared" si="213"/>
        <v/>
      </c>
      <c r="FT38" s="6" t="str">
        <f t="shared" si="214"/>
        <v/>
      </c>
      <c r="FU38" s="4" t="str">
        <f t="shared" si="215"/>
        <v/>
      </c>
      <c r="FV38" s="5" t="str">
        <f t="shared" si="216"/>
        <v/>
      </c>
      <c r="FW38" s="8" t="str">
        <f t="shared" si="241"/>
        <v/>
      </c>
      <c r="FX38" s="9" t="str">
        <f t="shared" si="242"/>
        <v/>
      </c>
      <c r="FY38" s="10" t="str">
        <f t="shared" si="44"/>
        <v/>
      </c>
      <c r="FZ38" s="277" t="str">
        <f t="shared" si="243"/>
        <v/>
      </c>
      <c r="GA38" s="177" t="str">
        <f t="shared" si="217"/>
        <v/>
      </c>
      <c r="GB38" s="4" t="str">
        <f t="shared" si="218"/>
        <v/>
      </c>
      <c r="GC38" s="5" t="str">
        <f t="shared" si="219"/>
        <v/>
      </c>
      <c r="GD38" s="10" t="str">
        <f t="shared" si="220"/>
        <v/>
      </c>
      <c r="GE38" s="311" t="str">
        <f t="shared" si="221"/>
        <v/>
      </c>
      <c r="GF38" s="341" t="str">
        <f t="shared" si="244"/>
        <v/>
      </c>
      <c r="GG38" s="285" t="str">
        <f t="shared" si="45"/>
        <v/>
      </c>
      <c r="GH38" s="286" t="str">
        <f t="shared" si="46"/>
        <v/>
      </c>
      <c r="GI38" s="281" t="str">
        <f t="shared" si="47"/>
        <v/>
      </c>
      <c r="GJ38" s="167" t="str">
        <f t="shared" si="222"/>
        <v/>
      </c>
      <c r="GK38" s="174" t="str">
        <f t="shared" si="48"/>
        <v/>
      </c>
      <c r="GL38" s="174" t="str">
        <f t="shared" si="223"/>
        <v/>
      </c>
      <c r="GM38" s="177" t="str">
        <f t="shared" si="245"/>
        <v/>
      </c>
      <c r="GN38" s="280" t="str">
        <f t="shared" si="224"/>
        <v/>
      </c>
      <c r="GO38" s="4" t="str">
        <f t="shared" si="225"/>
        <v/>
      </c>
      <c r="GP38" s="8" t="str">
        <f t="shared" si="246"/>
        <v/>
      </c>
      <c r="GQ38" s="177" t="str">
        <f t="shared" si="226"/>
        <v/>
      </c>
      <c r="GR38" s="371" t="str">
        <f t="shared" si="247"/>
        <v/>
      </c>
      <c r="GS38" s="342" t="str">
        <f t="shared" si="50"/>
        <v/>
      </c>
      <c r="GT38" s="343" t="str">
        <f t="shared" si="51"/>
        <v/>
      </c>
      <c r="GU38" s="344" t="str">
        <f t="shared" si="52"/>
        <v/>
      </c>
      <c r="GV38" s="343" t="str">
        <f t="shared" si="254"/>
        <v/>
      </c>
      <c r="GW38" s="345" t="str">
        <f t="shared" si="53"/>
        <v/>
      </c>
      <c r="GX38" s="346" t="str">
        <f t="shared" si="54"/>
        <v/>
      </c>
      <c r="GY38" s="344" t="str">
        <f t="shared" si="55"/>
        <v/>
      </c>
      <c r="GZ38" s="345" t="str">
        <f t="shared" si="56"/>
        <v/>
      </c>
      <c r="HA38" s="342" t="str">
        <f t="shared" si="57"/>
        <v/>
      </c>
      <c r="HB38" s="5" t="str">
        <f t="shared" si="227"/>
        <v/>
      </c>
      <c r="HC38" s="343" t="str">
        <f t="shared" si="228"/>
        <v/>
      </c>
      <c r="HD38" s="363" t="str">
        <f t="shared" si="229"/>
        <v/>
      </c>
      <c r="HE38" s="344" t="str">
        <f t="shared" si="58"/>
        <v/>
      </c>
      <c r="HF38" s="5" t="str">
        <f t="shared" si="59"/>
        <v/>
      </c>
      <c r="HG38" s="343" t="str">
        <f t="shared" si="230"/>
        <v/>
      </c>
      <c r="HH38" s="349" t="str">
        <f t="shared" si="231"/>
        <v/>
      </c>
      <c r="HI38" s="317" t="str">
        <f t="shared" si="60"/>
        <v/>
      </c>
      <c r="HJ38" s="336"/>
      <c r="HK38" s="310" t="str">
        <f t="shared" si="132"/>
        <v/>
      </c>
      <c r="HL38" s="348" t="str">
        <f t="shared" si="61"/>
        <v/>
      </c>
      <c r="HM38" s="923" t="str">
        <f t="shared" si="62"/>
        <v/>
      </c>
      <c r="HN38" s="924" t="str">
        <f t="shared" si="63"/>
        <v/>
      </c>
      <c r="HO38" s="925"/>
      <c r="HP38" s="926"/>
      <c r="HQ38" s="924" t="str">
        <f t="shared" si="64"/>
        <v/>
      </c>
      <c r="HR38" s="927" t="str">
        <f t="shared" si="65"/>
        <v/>
      </c>
      <c r="HS38" s="879" t="str">
        <f t="shared" si="250"/>
        <v/>
      </c>
      <c r="HT38" s="889" t="str">
        <f t="shared" si="66"/>
        <v/>
      </c>
      <c r="HU38" s="890" t="str">
        <f t="shared" si="67"/>
        <v/>
      </c>
      <c r="HV38" s="886" t="str">
        <f t="shared" si="68"/>
        <v/>
      </c>
      <c r="HW38" s="880" t="str">
        <f t="shared" si="69"/>
        <v/>
      </c>
      <c r="HX38" s="881" t="str">
        <f t="shared" si="70"/>
        <v/>
      </c>
      <c r="HY38" s="880" t="str">
        <f t="shared" si="71"/>
        <v/>
      </c>
      <c r="HZ38" s="882" t="str">
        <f t="shared" si="72"/>
        <v/>
      </c>
      <c r="IA38" s="883" t="str">
        <f t="shared" si="73"/>
        <v/>
      </c>
      <c r="IB38" s="884" t="str">
        <f t="shared" si="74"/>
        <v/>
      </c>
      <c r="IC38" s="855" t="str">
        <f t="shared" si="75"/>
        <v/>
      </c>
      <c r="ID38" s="351" t="str">
        <f t="shared" si="76"/>
        <v/>
      </c>
      <c r="IE38" s="857" t="str">
        <f t="shared" si="77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2"/>
        <v>3.1320000000000001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8"/>
        <v>1913</v>
      </c>
      <c r="IM38" s="482" t="str">
        <f t="shared" si="233"/>
        <v/>
      </c>
      <c r="IN38" s="670" t="str">
        <f t="shared" si="80"/>
        <v/>
      </c>
      <c r="IO38" s="702"/>
      <c r="IP38" s="5" t="str">
        <f t="shared" si="81"/>
        <v/>
      </c>
      <c r="IQ38" s="714"/>
      <c r="IR38" s="9" t="str">
        <f t="shared" si="8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</row>
    <row r="39" spans="1:269" ht="15" customHeight="1" x14ac:dyDescent="0.25">
      <c r="A39" s="75">
        <f t="shared" si="92"/>
        <v>0.02</v>
      </c>
      <c r="B39" s="578">
        <f t="shared" ref="B39:D39" si="305">IFERROR(O194-($A39*E39),"")</f>
        <v>4.6281833744507201</v>
      </c>
      <c r="C39" s="572">
        <f t="shared" si="305"/>
        <v>-6.1197166984830691</v>
      </c>
      <c r="D39" s="576">
        <f t="shared" si="305"/>
        <v>-1.4139760383207314</v>
      </c>
      <c r="E39" s="580">
        <f t="shared" ref="E39:K39" si="306">R194</f>
        <v>0.90131109447363578</v>
      </c>
      <c r="F39" s="572">
        <f t="shared" si="306"/>
        <v>0.37100688379521052</v>
      </c>
      <c r="G39" s="579">
        <f t="shared" si="306"/>
        <v>0.22358936279551433</v>
      </c>
      <c r="H39" s="580">
        <f t="shared" si="306"/>
        <v>0.375</v>
      </c>
      <c r="I39" s="572">
        <f t="shared" si="306"/>
        <v>0.52</v>
      </c>
      <c r="J39" s="483">
        <f t="shared" si="95"/>
        <v>3.137</v>
      </c>
      <c r="K39" s="806">
        <f t="shared" si="306"/>
        <v>1913</v>
      </c>
      <c r="L39" s="309"/>
      <c r="M39" s="164">
        <f t="shared" si="3"/>
        <v>3.137</v>
      </c>
      <c r="N39" s="575">
        <f t="shared" si="4"/>
        <v>4.6281833744507201</v>
      </c>
      <c r="O39" s="572">
        <f t="shared" si="5"/>
        <v>-6.1197166984830691</v>
      </c>
      <c r="P39" s="576">
        <f t="shared" si="6"/>
        <v>-1.4139760383207314</v>
      </c>
      <c r="Q39" s="528">
        <f t="shared" si="135"/>
        <v>307.09927329730203</v>
      </c>
      <c r="R39" s="572">
        <f t="shared" si="96"/>
        <v>7.6727448685092199</v>
      </c>
      <c r="S39" s="577">
        <f t="shared" si="97"/>
        <v>-1.4139760383207314</v>
      </c>
      <c r="T39" s="578">
        <f t="shared" si="98"/>
        <v>-6.0933678731622125</v>
      </c>
      <c r="U39" s="572">
        <f t="shared" si="99"/>
        <v>-4.6628190807224312</v>
      </c>
      <c r="V39" s="579">
        <f t="shared" si="136"/>
        <v>-1.4139760383207314</v>
      </c>
      <c r="W39" s="528">
        <f t="shared" si="257"/>
        <v>217.42424844310921</v>
      </c>
      <c r="X39" s="572">
        <f t="shared" si="100"/>
        <v>7.6727448685092199</v>
      </c>
      <c r="Y39" s="573">
        <f t="shared" si="260"/>
        <v>-1.4139760383207314</v>
      </c>
      <c r="Z39" s="575">
        <f t="shared" si="9"/>
        <v>-0.90131109447363578</v>
      </c>
      <c r="AA39" s="572">
        <f t="shared" si="10"/>
        <v>-0.37100688379521052</v>
      </c>
      <c r="AB39" s="572">
        <f t="shared" si="11"/>
        <v>-0.22358936279551433</v>
      </c>
      <c r="AC39" s="579">
        <f t="shared" si="101"/>
        <v>1</v>
      </c>
      <c r="AD39" s="580">
        <f t="shared" si="137"/>
        <v>-0.90131109447363578</v>
      </c>
      <c r="AE39" s="572">
        <f t="shared" si="102"/>
        <v>-0.37100688379521052</v>
      </c>
      <c r="AF39" s="576">
        <f t="shared" si="103"/>
        <v>-0.22358936279551433</v>
      </c>
      <c r="AG39" s="545">
        <f t="shared" si="104"/>
        <v>-58.924497610117506</v>
      </c>
      <c r="AH39" s="546">
        <f t="shared" si="105"/>
        <v>154.33094350839681</v>
      </c>
      <c r="AI39" s="528">
        <f t="shared" si="106"/>
        <v>-77.080058516677155</v>
      </c>
      <c r="AJ39" s="529">
        <f t="shared" si="107"/>
        <v>-67.626453684689338</v>
      </c>
      <c r="AK39" s="578">
        <f t="shared" si="236"/>
        <v>0.94266870210314135</v>
      </c>
      <c r="AL39" s="572">
        <f t="shared" si="108"/>
        <v>-0.24775696744970671</v>
      </c>
      <c r="AM39" s="577">
        <f t="shared" si="109"/>
        <v>-0.22358936279551433</v>
      </c>
      <c r="AN39" s="524">
        <f t="shared" si="110"/>
        <v>-47.935188245223848</v>
      </c>
      <c r="AO39" s="525">
        <f t="shared" si="111"/>
        <v>19.495328868978767</v>
      </c>
      <c r="AP39" s="528">
        <f t="shared" si="112"/>
        <v>-14.725726981991356</v>
      </c>
      <c r="AQ39" s="529">
        <f t="shared" si="12"/>
        <v>0.29711742487011567</v>
      </c>
      <c r="AS39" s="954">
        <f t="shared" si="138"/>
        <v>217.42424844310921</v>
      </c>
      <c r="AT39" s="950">
        <f t="shared" si="13"/>
        <v>-1.3165685660743016</v>
      </c>
      <c r="AU39" s="418"/>
      <c r="AV39" s="164" t="str">
        <f t="shared" si="14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39"/>
        <v/>
      </c>
      <c r="BA39" s="296" t="str">
        <f t="shared" si="15"/>
        <v/>
      </c>
      <c r="BB39" s="190" t="str">
        <f t="shared" si="140"/>
        <v/>
      </c>
      <c r="BC39" s="9"/>
      <c r="BD39" s="5" t="str">
        <f t="shared" si="141"/>
        <v/>
      </c>
      <c r="BE39" s="6" t="str">
        <f t="shared" si="16"/>
        <v/>
      </c>
      <c r="BF39" s="4" t="str">
        <f t="shared" si="17"/>
        <v/>
      </c>
      <c r="BG39" s="5" t="str">
        <f t="shared" si="18"/>
        <v/>
      </c>
      <c r="BH39" s="10" t="str">
        <f t="shared" si="19"/>
        <v/>
      </c>
      <c r="BI39" s="9" t="str">
        <f t="shared" si="142"/>
        <v/>
      </c>
      <c r="BJ39" s="5" t="str">
        <f t="shared" si="20"/>
        <v/>
      </c>
      <c r="BK39" s="8" t="str">
        <f t="shared" si="21"/>
        <v/>
      </c>
      <c r="BL39" s="173" t="str">
        <f t="shared" si="22"/>
        <v/>
      </c>
      <c r="BM39" s="5" t="str">
        <f t="shared" si="23"/>
        <v/>
      </c>
      <c r="BN39" s="6" t="str">
        <f t="shared" si="24"/>
        <v/>
      </c>
      <c r="BO39" s="4" t="str">
        <f t="shared" si="143"/>
        <v/>
      </c>
      <c r="BP39" s="5" t="str">
        <f t="shared" si="144"/>
        <v/>
      </c>
      <c r="BQ39" s="5" t="str">
        <f t="shared" si="145"/>
        <v/>
      </c>
      <c r="BR39" s="6" t="str">
        <f t="shared" si="146"/>
        <v/>
      </c>
      <c r="BS39" s="4" t="str">
        <f t="shared" si="113"/>
        <v/>
      </c>
      <c r="BT39" s="5" t="str">
        <f t="shared" si="113"/>
        <v/>
      </c>
      <c r="BU39" s="10" t="str">
        <f t="shared" si="114"/>
        <v/>
      </c>
      <c r="BV39" s="9" t="str">
        <f t="shared" si="115"/>
        <v/>
      </c>
      <c r="BW39" s="5" t="str">
        <f t="shared" si="116"/>
        <v/>
      </c>
      <c r="BX39" s="8" t="str">
        <f t="shared" si="117"/>
        <v/>
      </c>
      <c r="BY39" s="173" t="str">
        <f t="shared" si="118"/>
        <v/>
      </c>
      <c r="BZ39" s="5" t="str">
        <f t="shared" si="119"/>
        <v/>
      </c>
      <c r="CA39" s="6" t="str">
        <f t="shared" si="120"/>
        <v/>
      </c>
      <c r="CB39" s="4" t="str">
        <f t="shared" si="147"/>
        <v/>
      </c>
      <c r="CC39" s="5" t="str">
        <f t="shared" si="148"/>
        <v/>
      </c>
      <c r="CD39" s="5" t="str">
        <f t="shared" si="149"/>
        <v/>
      </c>
      <c r="CE39" s="6" t="str">
        <f t="shared" si="150"/>
        <v/>
      </c>
      <c r="CF39" s="4" t="str">
        <f t="shared" si="151"/>
        <v/>
      </c>
      <c r="CG39" s="5" t="str">
        <f t="shared" si="152"/>
        <v/>
      </c>
      <c r="CH39" s="5" t="str">
        <f t="shared" si="153"/>
        <v/>
      </c>
      <c r="CI39" s="4" t="str">
        <f t="shared" si="121"/>
        <v/>
      </c>
      <c r="CJ39" s="5" t="str">
        <f t="shared" si="122"/>
        <v/>
      </c>
      <c r="CK39" s="8" t="str">
        <f t="shared" si="123"/>
        <v/>
      </c>
      <c r="CL39" s="173" t="str">
        <f t="shared" si="124"/>
        <v/>
      </c>
      <c r="CM39" s="5" t="str">
        <f t="shared" si="125"/>
        <v/>
      </c>
      <c r="CN39" s="6" t="str">
        <f t="shared" si="126"/>
        <v/>
      </c>
      <c r="CO39" s="167" t="str">
        <f t="shared" si="25"/>
        <v/>
      </c>
      <c r="CP39" s="4" t="str">
        <f t="shared" si="237"/>
        <v/>
      </c>
      <c r="CQ39" s="5" t="str">
        <f t="shared" si="238"/>
        <v/>
      </c>
      <c r="CR39" s="5" t="str">
        <f t="shared" si="154"/>
        <v/>
      </c>
      <c r="CS39" s="8" t="str">
        <f t="shared" si="155"/>
        <v/>
      </c>
      <c r="CT39" s="9" t="str">
        <f t="shared" si="156"/>
        <v/>
      </c>
      <c r="CU39" s="6" t="str">
        <f t="shared" si="157"/>
        <v/>
      </c>
      <c r="CV39" s="4" t="str">
        <f t="shared" si="239"/>
        <v/>
      </c>
      <c r="CW39" s="5" t="str">
        <f t="shared" si="158"/>
        <v/>
      </c>
      <c r="CX39" s="8" t="str">
        <f t="shared" si="159"/>
        <v/>
      </c>
      <c r="CY39" s="9" t="str">
        <f t="shared" si="160"/>
        <v/>
      </c>
      <c r="CZ39" s="5" t="str">
        <f t="shared" si="161"/>
        <v/>
      </c>
      <c r="DA39" s="6" t="str">
        <f t="shared" si="162"/>
        <v/>
      </c>
      <c r="DB39" s="4" t="str">
        <f t="shared" si="163"/>
        <v/>
      </c>
      <c r="DC39" s="5" t="str">
        <f t="shared" si="163"/>
        <v/>
      </c>
      <c r="DD39" s="10" t="str">
        <f t="shared" si="164"/>
        <v/>
      </c>
      <c r="DE39" s="9" t="str">
        <f t="shared" si="165"/>
        <v/>
      </c>
      <c r="DF39" s="5" t="str">
        <f t="shared" si="165"/>
        <v/>
      </c>
      <c r="DG39" s="10" t="str">
        <f t="shared" si="166"/>
        <v/>
      </c>
      <c r="DH39" s="70" t="str">
        <f t="shared" si="167"/>
        <v/>
      </c>
      <c r="DI39" s="4" t="str">
        <f t="shared" si="168"/>
        <v/>
      </c>
      <c r="DJ39" s="5" t="str">
        <f t="shared" si="169"/>
        <v/>
      </c>
      <c r="DK39" s="10" t="str">
        <f t="shared" si="170"/>
        <v/>
      </c>
      <c r="DL39" s="9" t="str">
        <f t="shared" si="171"/>
        <v/>
      </c>
      <c r="DM39" s="173" t="str">
        <f t="shared" si="172"/>
        <v/>
      </c>
      <c r="DN39" s="178" t="str">
        <f t="shared" si="173"/>
        <v/>
      </c>
      <c r="DO39" s="9" t="str">
        <f t="shared" si="174"/>
        <v/>
      </c>
      <c r="DP39" s="173" t="str">
        <f t="shared" si="175"/>
        <v/>
      </c>
      <c r="DQ39" s="11" t="str">
        <f t="shared" si="176"/>
        <v/>
      </c>
      <c r="DR39" s="173" t="str">
        <f t="shared" si="177"/>
        <v/>
      </c>
      <c r="DS39" s="5" t="str">
        <f t="shared" si="178"/>
        <v/>
      </c>
      <c r="DT39" s="5" t="str">
        <f t="shared" si="179"/>
        <v/>
      </c>
      <c r="DU39" s="5" t="str">
        <f t="shared" si="180"/>
        <v/>
      </c>
      <c r="DV39" s="5" t="str">
        <f t="shared" si="181"/>
        <v/>
      </c>
      <c r="DW39" s="5" t="str">
        <f t="shared" si="182"/>
        <v/>
      </c>
      <c r="DX39" s="167" t="str">
        <f t="shared" si="183"/>
        <v/>
      </c>
      <c r="DY39" s="9" t="str">
        <f t="shared" si="184"/>
        <v/>
      </c>
      <c r="DZ39" s="5" t="str">
        <f t="shared" si="185"/>
        <v/>
      </c>
      <c r="EA39" s="10" t="str">
        <f t="shared" si="186"/>
        <v/>
      </c>
      <c r="EB39" s="6" t="str">
        <f t="shared" si="187"/>
        <v/>
      </c>
      <c r="EC39" s="173" t="str">
        <f t="shared" si="188"/>
        <v/>
      </c>
      <c r="ED39" s="5" t="str">
        <f t="shared" si="189"/>
        <v/>
      </c>
      <c r="EE39" s="4" t="str">
        <f t="shared" si="190"/>
        <v/>
      </c>
      <c r="EF39" s="5" t="str">
        <f t="shared" si="191"/>
        <v/>
      </c>
      <c r="EG39" s="10" t="str">
        <f t="shared" si="192"/>
        <v/>
      </c>
      <c r="EH39" s="9" t="str">
        <f t="shared" si="193"/>
        <v/>
      </c>
      <c r="EI39" s="5" t="str">
        <f t="shared" si="194"/>
        <v/>
      </c>
      <c r="EJ39" s="6" t="str">
        <f t="shared" si="195"/>
        <v/>
      </c>
      <c r="EK39" s="236" t="str">
        <f t="shared" si="196"/>
        <v/>
      </c>
      <c r="EL39" s="238" t="str">
        <f t="shared" si="197"/>
        <v/>
      </c>
      <c r="EM39" s="4" t="str">
        <f t="shared" si="198"/>
        <v/>
      </c>
      <c r="EN39" s="5" t="str">
        <f t="shared" si="199"/>
        <v/>
      </c>
      <c r="EO39" s="10" t="str">
        <f t="shared" si="200"/>
        <v/>
      </c>
      <c r="EP39" s="9" t="str">
        <f t="shared" si="201"/>
        <v/>
      </c>
      <c r="EQ39" s="5" t="str">
        <f t="shared" si="202"/>
        <v/>
      </c>
      <c r="ER39" s="7" t="str">
        <f t="shared" si="203"/>
        <v/>
      </c>
      <c r="ES39" s="21" t="str">
        <f t="shared" si="127"/>
        <v/>
      </c>
      <c r="ET39" s="5" t="str">
        <f t="shared" si="34"/>
        <v/>
      </c>
      <c r="EU39" s="10" t="str">
        <f t="shared" si="35"/>
        <v/>
      </c>
      <c r="EV39" s="174" t="str">
        <f t="shared" si="253"/>
        <v/>
      </c>
      <c r="EW39" s="9" t="str">
        <f t="shared" si="128"/>
        <v/>
      </c>
      <c r="EX39" s="5" t="str">
        <f t="shared" si="36"/>
        <v/>
      </c>
      <c r="EY39" s="6" t="str">
        <f t="shared" si="204"/>
        <v/>
      </c>
      <c r="EZ39" s="51" t="str">
        <f t="shared" si="205"/>
        <v/>
      </c>
      <c r="FA39" s="266" t="str">
        <f t="shared" si="129"/>
        <v/>
      </c>
      <c r="FB39" s="267" t="str">
        <f t="shared" si="130"/>
        <v/>
      </c>
      <c r="FC39" s="269" t="str">
        <f t="shared" si="37"/>
        <v/>
      </c>
      <c r="FD39" s="4" t="str">
        <f t="shared" si="131"/>
        <v/>
      </c>
      <c r="FE39" s="5" t="str">
        <f t="shared" si="38"/>
        <v/>
      </c>
      <c r="FF39" s="7" t="str">
        <f t="shared" si="206"/>
        <v/>
      </c>
      <c r="FG39" s="173" t="str">
        <f t="shared" si="207"/>
        <v/>
      </c>
      <c r="FH39" s="5" t="str">
        <f t="shared" si="39"/>
        <v/>
      </c>
      <c r="FI39" s="10" t="str">
        <f t="shared" si="40"/>
        <v/>
      </c>
      <c r="FJ39" s="279" t="str">
        <f t="shared" si="208"/>
        <v/>
      </c>
      <c r="FK39" s="4" t="str">
        <f t="shared" si="41"/>
        <v/>
      </c>
      <c r="FL39" s="5" t="str">
        <f t="shared" si="209"/>
        <v/>
      </c>
      <c r="FM39" s="8" t="str">
        <f t="shared" si="210"/>
        <v/>
      </c>
      <c r="FN39" s="9" t="str">
        <f t="shared" si="211"/>
        <v/>
      </c>
      <c r="FO39" s="10" t="str">
        <f t="shared" si="42"/>
        <v/>
      </c>
      <c r="FP39" s="277" t="str">
        <f t="shared" si="43"/>
        <v/>
      </c>
      <c r="FQ39" s="173" t="str">
        <f t="shared" si="240"/>
        <v/>
      </c>
      <c r="FR39" s="10" t="str">
        <f t="shared" si="212"/>
        <v/>
      </c>
      <c r="FS39" s="9" t="str">
        <f t="shared" si="213"/>
        <v/>
      </c>
      <c r="FT39" s="6" t="str">
        <f t="shared" si="214"/>
        <v/>
      </c>
      <c r="FU39" s="4" t="str">
        <f t="shared" si="215"/>
        <v/>
      </c>
      <c r="FV39" s="5" t="str">
        <f t="shared" si="216"/>
        <v/>
      </c>
      <c r="FW39" s="8" t="str">
        <f t="shared" si="241"/>
        <v/>
      </c>
      <c r="FX39" s="9" t="str">
        <f t="shared" si="242"/>
        <v/>
      </c>
      <c r="FY39" s="10" t="str">
        <f t="shared" si="44"/>
        <v/>
      </c>
      <c r="FZ39" s="277" t="str">
        <f t="shared" si="243"/>
        <v/>
      </c>
      <c r="GA39" s="177" t="str">
        <f t="shared" si="217"/>
        <v/>
      </c>
      <c r="GB39" s="4" t="str">
        <f t="shared" si="218"/>
        <v/>
      </c>
      <c r="GC39" s="5" t="str">
        <f t="shared" si="219"/>
        <v/>
      </c>
      <c r="GD39" s="10" t="str">
        <f t="shared" si="220"/>
        <v/>
      </c>
      <c r="GE39" s="311" t="str">
        <f t="shared" si="221"/>
        <v/>
      </c>
      <c r="GF39" s="341" t="str">
        <f t="shared" si="244"/>
        <v/>
      </c>
      <c r="GG39" s="285" t="str">
        <f t="shared" si="45"/>
        <v/>
      </c>
      <c r="GH39" s="286" t="str">
        <f t="shared" si="46"/>
        <v/>
      </c>
      <c r="GI39" s="281" t="str">
        <f t="shared" si="47"/>
        <v/>
      </c>
      <c r="GJ39" s="167" t="str">
        <f t="shared" si="222"/>
        <v/>
      </c>
      <c r="GK39" s="174" t="str">
        <f t="shared" si="48"/>
        <v/>
      </c>
      <c r="GL39" s="174" t="str">
        <f t="shared" si="223"/>
        <v/>
      </c>
      <c r="GM39" s="177" t="str">
        <f t="shared" si="245"/>
        <v/>
      </c>
      <c r="GN39" s="280" t="str">
        <f t="shared" si="224"/>
        <v/>
      </c>
      <c r="GO39" s="4" t="str">
        <f t="shared" si="225"/>
        <v/>
      </c>
      <c r="GP39" s="8" t="str">
        <f t="shared" si="246"/>
        <v/>
      </c>
      <c r="GQ39" s="177" t="str">
        <f t="shared" si="226"/>
        <v/>
      </c>
      <c r="GR39" s="371" t="str">
        <f t="shared" si="247"/>
        <v/>
      </c>
      <c r="GS39" s="342" t="str">
        <f t="shared" si="50"/>
        <v/>
      </c>
      <c r="GT39" s="343" t="str">
        <f t="shared" si="51"/>
        <v/>
      </c>
      <c r="GU39" s="344" t="str">
        <f t="shared" si="52"/>
        <v/>
      </c>
      <c r="GV39" s="343" t="str">
        <f t="shared" si="254"/>
        <v/>
      </c>
      <c r="GW39" s="345" t="str">
        <f t="shared" si="53"/>
        <v/>
      </c>
      <c r="GX39" s="346" t="str">
        <f t="shared" si="54"/>
        <v/>
      </c>
      <c r="GY39" s="344" t="str">
        <f t="shared" si="55"/>
        <v/>
      </c>
      <c r="GZ39" s="345" t="str">
        <f t="shared" si="56"/>
        <v/>
      </c>
      <c r="HA39" s="342" t="str">
        <f t="shared" si="57"/>
        <v/>
      </c>
      <c r="HB39" s="5" t="str">
        <f t="shared" si="227"/>
        <v/>
      </c>
      <c r="HC39" s="343" t="str">
        <f t="shared" si="228"/>
        <v/>
      </c>
      <c r="HD39" s="363" t="str">
        <f t="shared" si="229"/>
        <v/>
      </c>
      <c r="HE39" s="344" t="str">
        <f t="shared" si="58"/>
        <v/>
      </c>
      <c r="HF39" s="5" t="str">
        <f t="shared" si="59"/>
        <v/>
      </c>
      <c r="HG39" s="343" t="str">
        <f t="shared" si="230"/>
        <v/>
      </c>
      <c r="HH39" s="349" t="str">
        <f t="shared" si="231"/>
        <v/>
      </c>
      <c r="HI39" s="317" t="str">
        <f t="shared" si="60"/>
        <v/>
      </c>
      <c r="HJ39" s="336"/>
      <c r="HK39" s="310" t="str">
        <f t="shared" si="132"/>
        <v/>
      </c>
      <c r="HL39" s="348" t="str">
        <f t="shared" si="61"/>
        <v/>
      </c>
      <c r="HM39" s="923" t="str">
        <f t="shared" si="62"/>
        <v/>
      </c>
      <c r="HN39" s="924" t="str">
        <f t="shared" si="63"/>
        <v/>
      </c>
      <c r="HO39" s="925"/>
      <c r="HP39" s="926"/>
      <c r="HQ39" s="924" t="str">
        <f t="shared" si="64"/>
        <v/>
      </c>
      <c r="HR39" s="927" t="str">
        <f t="shared" si="65"/>
        <v/>
      </c>
      <c r="HS39" s="879" t="str">
        <f t="shared" si="250"/>
        <v/>
      </c>
      <c r="HT39" s="889" t="str">
        <f t="shared" si="66"/>
        <v/>
      </c>
      <c r="HU39" s="890" t="str">
        <f t="shared" si="67"/>
        <v/>
      </c>
      <c r="HV39" s="886" t="str">
        <f t="shared" si="68"/>
        <v/>
      </c>
      <c r="HW39" s="880" t="str">
        <f t="shared" si="69"/>
        <v/>
      </c>
      <c r="HX39" s="881" t="str">
        <f t="shared" si="70"/>
        <v/>
      </c>
      <c r="HY39" s="880" t="str">
        <f t="shared" si="71"/>
        <v/>
      </c>
      <c r="HZ39" s="882" t="str">
        <f t="shared" si="72"/>
        <v/>
      </c>
      <c r="IA39" s="883" t="str">
        <f t="shared" si="73"/>
        <v/>
      </c>
      <c r="IB39" s="884" t="str">
        <f t="shared" si="74"/>
        <v/>
      </c>
      <c r="IC39" s="855" t="str">
        <f t="shared" si="75"/>
        <v/>
      </c>
      <c r="ID39" s="351" t="str">
        <f t="shared" si="76"/>
        <v/>
      </c>
      <c r="IE39" s="857" t="str">
        <f t="shared" si="77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2"/>
        <v>3.137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8"/>
        <v>1913</v>
      </c>
      <c r="IM39" s="482" t="str">
        <f t="shared" si="233"/>
        <v/>
      </c>
      <c r="IN39" s="670" t="str">
        <f t="shared" si="80"/>
        <v/>
      </c>
      <c r="IO39" s="702"/>
      <c r="IP39" s="5" t="str">
        <f t="shared" si="81"/>
        <v/>
      </c>
      <c r="IQ39" s="714"/>
      <c r="IR39" s="9" t="str">
        <f t="shared" si="8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</row>
    <row r="40" spans="1:269" ht="15" customHeight="1" x14ac:dyDescent="0.25">
      <c r="A40" s="75">
        <f t="shared" si="92"/>
        <v>0.02</v>
      </c>
      <c r="B40" s="578">
        <f t="shared" ref="B40:D40" si="307">IFERROR(O195-($A40*E40),"")</f>
        <v>4.8543143645237041</v>
      </c>
      <c r="C40" s="572">
        <f t="shared" si="307"/>
        <v>-6.5311302103570394</v>
      </c>
      <c r="D40" s="576">
        <f t="shared" si="307"/>
        <v>-2.1872643336272404</v>
      </c>
      <c r="E40" s="580">
        <f t="shared" ref="E40:K40" si="308">R195</f>
        <v>0.94297991988379937</v>
      </c>
      <c r="F40" s="572">
        <f t="shared" si="308"/>
        <v>0.28132712506756324</v>
      </c>
      <c r="G40" s="579">
        <f t="shared" si="308"/>
        <v>0.17788737840882057</v>
      </c>
      <c r="H40" s="580">
        <f t="shared" si="308"/>
        <v>0.375</v>
      </c>
      <c r="I40" s="572">
        <f t="shared" si="308"/>
        <v>0.52</v>
      </c>
      <c r="J40" s="483">
        <f t="shared" si="95"/>
        <v>3.1419999999999999</v>
      </c>
      <c r="K40" s="806">
        <f t="shared" si="308"/>
        <v>1913</v>
      </c>
      <c r="L40" s="309"/>
      <c r="M40" s="164">
        <f t="shared" si="3"/>
        <v>3.1419999999999999</v>
      </c>
      <c r="N40" s="575">
        <f t="shared" si="4"/>
        <v>4.8543143645237041</v>
      </c>
      <c r="O40" s="572">
        <f t="shared" si="5"/>
        <v>-6.5311302103570394</v>
      </c>
      <c r="P40" s="576">
        <f t="shared" si="6"/>
        <v>-2.1872643336272404</v>
      </c>
      <c r="Q40" s="528">
        <f t="shared" si="135"/>
        <v>306.62186979081605</v>
      </c>
      <c r="R40" s="572">
        <f t="shared" si="96"/>
        <v>8.1375690334558488</v>
      </c>
      <c r="S40" s="577">
        <f t="shared" si="97"/>
        <v>-2.1872643336272404</v>
      </c>
      <c r="T40" s="578">
        <f t="shared" si="98"/>
        <v>-6.5034921850235623</v>
      </c>
      <c r="U40" s="572">
        <f t="shared" si="99"/>
        <v>-4.8912799115974757</v>
      </c>
      <c r="V40" s="579">
        <f t="shared" si="136"/>
        <v>-2.1872643336272404</v>
      </c>
      <c r="W40" s="528">
        <f t="shared" si="257"/>
        <v>216.94684493662322</v>
      </c>
      <c r="X40" s="572">
        <f t="shared" si="100"/>
        <v>8.1375690334558488</v>
      </c>
      <c r="Y40" s="573">
        <f t="shared" si="260"/>
        <v>-2.1872643336272404</v>
      </c>
      <c r="Z40" s="575">
        <f t="shared" si="9"/>
        <v>-0.94297991988379937</v>
      </c>
      <c r="AA40" s="572">
        <f t="shared" si="10"/>
        <v>-0.28132712506756324</v>
      </c>
      <c r="AB40" s="572">
        <f t="shared" si="11"/>
        <v>-0.17788737840882057</v>
      </c>
      <c r="AC40" s="579">
        <f t="shared" si="101"/>
        <v>1</v>
      </c>
      <c r="AD40" s="580">
        <f t="shared" si="137"/>
        <v>-0.94297991988379937</v>
      </c>
      <c r="AE40" s="572">
        <f t="shared" si="102"/>
        <v>-0.28132712506756324</v>
      </c>
      <c r="AF40" s="576">
        <f t="shared" si="103"/>
        <v>-0.17788737840882057</v>
      </c>
      <c r="AG40" s="545">
        <f t="shared" si="104"/>
        <v>-57.694215959268966</v>
      </c>
      <c r="AH40" s="546">
        <f t="shared" si="105"/>
        <v>160.55817250807016</v>
      </c>
      <c r="AI40" s="528">
        <f t="shared" si="106"/>
        <v>-79.753270311050301</v>
      </c>
      <c r="AJ40" s="529">
        <f t="shared" si="107"/>
        <v>-73.388137303219679</v>
      </c>
      <c r="AK40" s="578">
        <f t="shared" si="236"/>
        <v>0.92464652722747243</v>
      </c>
      <c r="AL40" s="572">
        <f t="shared" si="108"/>
        <v>-0.33672671454610181</v>
      </c>
      <c r="AM40" s="577">
        <f t="shared" si="109"/>
        <v>-0.17788737840882057</v>
      </c>
      <c r="AN40" s="524">
        <f t="shared" si="110"/>
        <v>-62.153217276286313</v>
      </c>
      <c r="AO40" s="525">
        <f t="shared" si="111"/>
        <v>22.384885460501771</v>
      </c>
      <c r="AP40" s="528">
        <f t="shared" si="112"/>
        <v>-20.010007094035732</v>
      </c>
      <c r="AQ40" s="529">
        <f t="shared" si="12"/>
        <v>0.28014612907802927</v>
      </c>
      <c r="AS40" s="954">
        <f t="shared" si="138"/>
        <v>216.94684493662322</v>
      </c>
      <c r="AT40" s="950">
        <f t="shared" si="13"/>
        <v>-2.0895253311679731</v>
      </c>
      <c r="AU40" s="418"/>
      <c r="AV40" s="164" t="str">
        <f t="shared" si="14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39"/>
        <v/>
      </c>
      <c r="BA40" s="296" t="str">
        <f t="shared" si="15"/>
        <v/>
      </c>
      <c r="BB40" s="190" t="str">
        <f t="shared" si="140"/>
        <v/>
      </c>
      <c r="BC40" s="9"/>
      <c r="BD40" s="5" t="str">
        <f t="shared" si="141"/>
        <v/>
      </c>
      <c r="BE40" s="6" t="str">
        <f t="shared" si="16"/>
        <v/>
      </c>
      <c r="BF40" s="4" t="str">
        <f t="shared" si="17"/>
        <v/>
      </c>
      <c r="BG40" s="5" t="str">
        <f t="shared" si="18"/>
        <v/>
      </c>
      <c r="BH40" s="10" t="str">
        <f t="shared" si="19"/>
        <v/>
      </c>
      <c r="BI40" s="9" t="str">
        <f t="shared" si="142"/>
        <v/>
      </c>
      <c r="BJ40" s="5" t="str">
        <f t="shared" si="20"/>
        <v/>
      </c>
      <c r="BK40" s="8" t="str">
        <f t="shared" si="21"/>
        <v/>
      </c>
      <c r="BL40" s="173" t="str">
        <f t="shared" si="22"/>
        <v/>
      </c>
      <c r="BM40" s="5" t="str">
        <f t="shared" si="23"/>
        <v/>
      </c>
      <c r="BN40" s="6" t="str">
        <f t="shared" si="24"/>
        <v/>
      </c>
      <c r="BO40" s="4" t="str">
        <f t="shared" si="143"/>
        <v/>
      </c>
      <c r="BP40" s="5" t="str">
        <f t="shared" si="144"/>
        <v/>
      </c>
      <c r="BQ40" s="5" t="str">
        <f t="shared" si="145"/>
        <v/>
      </c>
      <c r="BR40" s="6" t="str">
        <f t="shared" si="146"/>
        <v/>
      </c>
      <c r="BS40" s="4" t="str">
        <f t="shared" si="113"/>
        <v/>
      </c>
      <c r="BT40" s="5" t="str">
        <f t="shared" si="113"/>
        <v/>
      </c>
      <c r="BU40" s="10" t="str">
        <f t="shared" si="114"/>
        <v/>
      </c>
      <c r="BV40" s="9" t="str">
        <f t="shared" si="115"/>
        <v/>
      </c>
      <c r="BW40" s="5" t="str">
        <f t="shared" si="116"/>
        <v/>
      </c>
      <c r="BX40" s="8" t="str">
        <f t="shared" si="117"/>
        <v/>
      </c>
      <c r="BY40" s="173" t="str">
        <f t="shared" si="118"/>
        <v/>
      </c>
      <c r="BZ40" s="5" t="str">
        <f t="shared" si="119"/>
        <v/>
      </c>
      <c r="CA40" s="6" t="str">
        <f t="shared" si="120"/>
        <v/>
      </c>
      <c r="CB40" s="4" t="str">
        <f t="shared" si="147"/>
        <v/>
      </c>
      <c r="CC40" s="5" t="str">
        <f t="shared" si="148"/>
        <v/>
      </c>
      <c r="CD40" s="5" t="str">
        <f t="shared" si="149"/>
        <v/>
      </c>
      <c r="CE40" s="6" t="str">
        <f t="shared" si="150"/>
        <v/>
      </c>
      <c r="CF40" s="4" t="str">
        <f t="shared" si="151"/>
        <v/>
      </c>
      <c r="CG40" s="5" t="str">
        <f t="shared" si="152"/>
        <v/>
      </c>
      <c r="CH40" s="5" t="str">
        <f t="shared" si="153"/>
        <v/>
      </c>
      <c r="CI40" s="4" t="str">
        <f t="shared" si="121"/>
        <v/>
      </c>
      <c r="CJ40" s="5" t="str">
        <f t="shared" si="122"/>
        <v/>
      </c>
      <c r="CK40" s="8" t="str">
        <f t="shared" si="123"/>
        <v/>
      </c>
      <c r="CL40" s="173" t="str">
        <f t="shared" si="124"/>
        <v/>
      </c>
      <c r="CM40" s="5" t="str">
        <f t="shared" si="125"/>
        <v/>
      </c>
      <c r="CN40" s="6" t="str">
        <f t="shared" si="126"/>
        <v/>
      </c>
      <c r="CO40" s="167" t="str">
        <f t="shared" si="25"/>
        <v/>
      </c>
      <c r="CP40" s="4" t="str">
        <f t="shared" si="237"/>
        <v/>
      </c>
      <c r="CQ40" s="5" t="str">
        <f t="shared" si="238"/>
        <v/>
      </c>
      <c r="CR40" s="5" t="str">
        <f t="shared" si="154"/>
        <v/>
      </c>
      <c r="CS40" s="8" t="str">
        <f t="shared" si="155"/>
        <v/>
      </c>
      <c r="CT40" s="9" t="str">
        <f t="shared" si="156"/>
        <v/>
      </c>
      <c r="CU40" s="6" t="str">
        <f t="shared" si="157"/>
        <v/>
      </c>
      <c r="CV40" s="4" t="str">
        <f t="shared" si="239"/>
        <v/>
      </c>
      <c r="CW40" s="5" t="str">
        <f t="shared" si="158"/>
        <v/>
      </c>
      <c r="CX40" s="8" t="str">
        <f t="shared" si="159"/>
        <v/>
      </c>
      <c r="CY40" s="9" t="str">
        <f t="shared" si="160"/>
        <v/>
      </c>
      <c r="CZ40" s="5" t="str">
        <f t="shared" si="161"/>
        <v/>
      </c>
      <c r="DA40" s="6" t="str">
        <f t="shared" si="162"/>
        <v/>
      </c>
      <c r="DB40" s="4" t="str">
        <f t="shared" si="163"/>
        <v/>
      </c>
      <c r="DC40" s="5" t="str">
        <f t="shared" si="163"/>
        <v/>
      </c>
      <c r="DD40" s="10" t="str">
        <f t="shared" si="164"/>
        <v/>
      </c>
      <c r="DE40" s="9" t="str">
        <f t="shared" si="165"/>
        <v/>
      </c>
      <c r="DF40" s="5" t="str">
        <f t="shared" si="165"/>
        <v/>
      </c>
      <c r="DG40" s="10" t="str">
        <f t="shared" si="166"/>
        <v/>
      </c>
      <c r="DH40" s="70" t="str">
        <f t="shared" si="167"/>
        <v/>
      </c>
      <c r="DI40" s="4" t="str">
        <f t="shared" si="168"/>
        <v/>
      </c>
      <c r="DJ40" s="5" t="str">
        <f t="shared" si="169"/>
        <v/>
      </c>
      <c r="DK40" s="10" t="str">
        <f t="shared" si="170"/>
        <v/>
      </c>
      <c r="DL40" s="9" t="str">
        <f t="shared" si="171"/>
        <v/>
      </c>
      <c r="DM40" s="173" t="str">
        <f t="shared" si="172"/>
        <v/>
      </c>
      <c r="DN40" s="178" t="str">
        <f t="shared" si="173"/>
        <v/>
      </c>
      <c r="DO40" s="9" t="str">
        <f t="shared" si="174"/>
        <v/>
      </c>
      <c r="DP40" s="173" t="str">
        <f t="shared" si="175"/>
        <v/>
      </c>
      <c r="DQ40" s="11" t="str">
        <f t="shared" si="176"/>
        <v/>
      </c>
      <c r="DR40" s="173" t="str">
        <f t="shared" si="177"/>
        <v/>
      </c>
      <c r="DS40" s="5" t="str">
        <f t="shared" si="178"/>
        <v/>
      </c>
      <c r="DT40" s="5" t="str">
        <f t="shared" si="179"/>
        <v/>
      </c>
      <c r="DU40" s="5" t="str">
        <f t="shared" si="180"/>
        <v/>
      </c>
      <c r="DV40" s="5" t="str">
        <f t="shared" si="181"/>
        <v/>
      </c>
      <c r="DW40" s="5" t="str">
        <f t="shared" si="182"/>
        <v/>
      </c>
      <c r="DX40" s="167" t="str">
        <f t="shared" si="183"/>
        <v/>
      </c>
      <c r="DY40" s="9" t="str">
        <f t="shared" si="184"/>
        <v/>
      </c>
      <c r="DZ40" s="5" t="str">
        <f t="shared" si="185"/>
        <v/>
      </c>
      <c r="EA40" s="10" t="str">
        <f t="shared" si="186"/>
        <v/>
      </c>
      <c r="EB40" s="6" t="str">
        <f t="shared" si="187"/>
        <v/>
      </c>
      <c r="EC40" s="173" t="str">
        <f t="shared" si="188"/>
        <v/>
      </c>
      <c r="ED40" s="5" t="str">
        <f t="shared" si="189"/>
        <v/>
      </c>
      <c r="EE40" s="4" t="str">
        <f t="shared" si="190"/>
        <v/>
      </c>
      <c r="EF40" s="5" t="str">
        <f t="shared" si="191"/>
        <v/>
      </c>
      <c r="EG40" s="10" t="str">
        <f t="shared" si="192"/>
        <v/>
      </c>
      <c r="EH40" s="9" t="str">
        <f t="shared" si="193"/>
        <v/>
      </c>
      <c r="EI40" s="5" t="str">
        <f t="shared" si="194"/>
        <v/>
      </c>
      <c r="EJ40" s="6" t="str">
        <f t="shared" si="195"/>
        <v/>
      </c>
      <c r="EK40" s="236" t="str">
        <f t="shared" si="196"/>
        <v/>
      </c>
      <c r="EL40" s="238" t="str">
        <f t="shared" si="197"/>
        <v/>
      </c>
      <c r="EM40" s="4" t="str">
        <f t="shared" si="198"/>
        <v/>
      </c>
      <c r="EN40" s="5" t="str">
        <f t="shared" si="199"/>
        <v/>
      </c>
      <c r="EO40" s="10" t="str">
        <f t="shared" si="200"/>
        <v/>
      </c>
      <c r="EP40" s="9" t="str">
        <f t="shared" si="201"/>
        <v/>
      </c>
      <c r="EQ40" s="5" t="str">
        <f t="shared" si="202"/>
        <v/>
      </c>
      <c r="ER40" s="7" t="str">
        <f t="shared" si="203"/>
        <v/>
      </c>
      <c r="ES40" s="21" t="str">
        <f t="shared" si="127"/>
        <v/>
      </c>
      <c r="ET40" s="5" t="str">
        <f t="shared" si="34"/>
        <v/>
      </c>
      <c r="EU40" s="10" t="str">
        <f t="shared" si="35"/>
        <v/>
      </c>
      <c r="EV40" s="174" t="str">
        <f t="shared" si="253"/>
        <v/>
      </c>
      <c r="EW40" s="9" t="str">
        <f t="shared" si="128"/>
        <v/>
      </c>
      <c r="EX40" s="5" t="str">
        <f t="shared" si="36"/>
        <v/>
      </c>
      <c r="EY40" s="6" t="str">
        <f t="shared" si="204"/>
        <v/>
      </c>
      <c r="EZ40" s="51" t="str">
        <f t="shared" si="205"/>
        <v/>
      </c>
      <c r="FA40" s="266" t="str">
        <f t="shared" si="129"/>
        <v/>
      </c>
      <c r="FB40" s="267" t="str">
        <f t="shared" si="130"/>
        <v/>
      </c>
      <c r="FC40" s="269" t="str">
        <f t="shared" si="37"/>
        <v/>
      </c>
      <c r="FD40" s="4" t="str">
        <f t="shared" si="131"/>
        <v/>
      </c>
      <c r="FE40" s="5" t="str">
        <f t="shared" si="38"/>
        <v/>
      </c>
      <c r="FF40" s="7" t="str">
        <f t="shared" si="206"/>
        <v/>
      </c>
      <c r="FG40" s="173" t="str">
        <f t="shared" si="207"/>
        <v/>
      </c>
      <c r="FH40" s="5" t="str">
        <f t="shared" si="39"/>
        <v/>
      </c>
      <c r="FI40" s="10" t="str">
        <f t="shared" si="40"/>
        <v/>
      </c>
      <c r="FJ40" s="279" t="str">
        <f t="shared" si="208"/>
        <v/>
      </c>
      <c r="FK40" s="4" t="str">
        <f t="shared" si="41"/>
        <v/>
      </c>
      <c r="FL40" s="5" t="str">
        <f t="shared" si="209"/>
        <v/>
      </c>
      <c r="FM40" s="8" t="str">
        <f t="shared" si="210"/>
        <v/>
      </c>
      <c r="FN40" s="9" t="str">
        <f t="shared" si="211"/>
        <v/>
      </c>
      <c r="FO40" s="10" t="str">
        <f t="shared" si="42"/>
        <v/>
      </c>
      <c r="FP40" s="277" t="str">
        <f t="shared" si="43"/>
        <v/>
      </c>
      <c r="FQ40" s="173" t="str">
        <f t="shared" si="240"/>
        <v/>
      </c>
      <c r="FR40" s="10" t="str">
        <f t="shared" si="212"/>
        <v/>
      </c>
      <c r="FS40" s="9" t="str">
        <f t="shared" si="213"/>
        <v/>
      </c>
      <c r="FT40" s="6" t="str">
        <f t="shared" si="214"/>
        <v/>
      </c>
      <c r="FU40" s="4" t="str">
        <f t="shared" si="215"/>
        <v/>
      </c>
      <c r="FV40" s="5" t="str">
        <f t="shared" si="216"/>
        <v/>
      </c>
      <c r="FW40" s="8" t="str">
        <f t="shared" si="241"/>
        <v/>
      </c>
      <c r="FX40" s="9" t="str">
        <f t="shared" si="242"/>
        <v/>
      </c>
      <c r="FY40" s="10" t="str">
        <f t="shared" si="44"/>
        <v/>
      </c>
      <c r="FZ40" s="277" t="str">
        <f t="shared" si="243"/>
        <v/>
      </c>
      <c r="GA40" s="177" t="str">
        <f t="shared" si="217"/>
        <v/>
      </c>
      <c r="GB40" s="4" t="str">
        <f t="shared" si="218"/>
        <v/>
      </c>
      <c r="GC40" s="5" t="str">
        <f t="shared" si="219"/>
        <v/>
      </c>
      <c r="GD40" s="10" t="str">
        <f t="shared" si="220"/>
        <v/>
      </c>
      <c r="GE40" s="311" t="str">
        <f t="shared" si="221"/>
        <v/>
      </c>
      <c r="GF40" s="341" t="str">
        <f t="shared" si="244"/>
        <v/>
      </c>
      <c r="GG40" s="285" t="str">
        <f t="shared" si="45"/>
        <v/>
      </c>
      <c r="GH40" s="286" t="str">
        <f t="shared" si="46"/>
        <v/>
      </c>
      <c r="GI40" s="281" t="str">
        <f t="shared" si="47"/>
        <v/>
      </c>
      <c r="GJ40" s="167" t="str">
        <f t="shared" si="222"/>
        <v/>
      </c>
      <c r="GK40" s="174" t="str">
        <f t="shared" si="48"/>
        <v/>
      </c>
      <c r="GL40" s="174" t="str">
        <f t="shared" si="223"/>
        <v/>
      </c>
      <c r="GM40" s="177" t="str">
        <f t="shared" si="245"/>
        <v/>
      </c>
      <c r="GN40" s="280" t="str">
        <f t="shared" si="224"/>
        <v/>
      </c>
      <c r="GO40" s="4" t="str">
        <f t="shared" si="225"/>
        <v/>
      </c>
      <c r="GP40" s="8" t="str">
        <f t="shared" si="246"/>
        <v/>
      </c>
      <c r="GQ40" s="177" t="str">
        <f t="shared" si="226"/>
        <v/>
      </c>
      <c r="GR40" s="371" t="str">
        <f t="shared" si="247"/>
        <v/>
      </c>
      <c r="GS40" s="342" t="str">
        <f t="shared" si="50"/>
        <v/>
      </c>
      <c r="GT40" s="343" t="str">
        <f t="shared" si="51"/>
        <v/>
      </c>
      <c r="GU40" s="344" t="str">
        <f t="shared" si="52"/>
        <v/>
      </c>
      <c r="GV40" s="343" t="str">
        <f t="shared" si="254"/>
        <v/>
      </c>
      <c r="GW40" s="345" t="str">
        <f t="shared" si="53"/>
        <v/>
      </c>
      <c r="GX40" s="346" t="str">
        <f t="shared" si="54"/>
        <v/>
      </c>
      <c r="GY40" s="344" t="str">
        <f t="shared" si="55"/>
        <v/>
      </c>
      <c r="GZ40" s="345" t="str">
        <f t="shared" si="56"/>
        <v/>
      </c>
      <c r="HA40" s="342" t="str">
        <f t="shared" si="57"/>
        <v/>
      </c>
      <c r="HB40" s="5" t="str">
        <f t="shared" si="227"/>
        <v/>
      </c>
      <c r="HC40" s="343" t="str">
        <f t="shared" si="228"/>
        <v/>
      </c>
      <c r="HD40" s="363" t="str">
        <f t="shared" si="229"/>
        <v/>
      </c>
      <c r="HE40" s="344" t="str">
        <f t="shared" si="58"/>
        <v/>
      </c>
      <c r="HF40" s="5" t="str">
        <f t="shared" si="59"/>
        <v/>
      </c>
      <c r="HG40" s="343" t="str">
        <f t="shared" si="230"/>
        <v/>
      </c>
      <c r="HH40" s="349" t="str">
        <f t="shared" si="231"/>
        <v/>
      </c>
      <c r="HI40" s="317" t="str">
        <f t="shared" si="60"/>
        <v/>
      </c>
      <c r="HJ40" s="336"/>
      <c r="HK40" s="310" t="str">
        <f t="shared" si="132"/>
        <v/>
      </c>
      <c r="HL40" s="348" t="str">
        <f t="shared" si="61"/>
        <v/>
      </c>
      <c r="HM40" s="923" t="str">
        <f t="shared" si="62"/>
        <v/>
      </c>
      <c r="HN40" s="924" t="str">
        <f t="shared" si="63"/>
        <v/>
      </c>
      <c r="HO40" s="925"/>
      <c r="HP40" s="926"/>
      <c r="HQ40" s="924" t="str">
        <f t="shared" si="64"/>
        <v/>
      </c>
      <c r="HR40" s="927" t="str">
        <f t="shared" si="65"/>
        <v/>
      </c>
      <c r="HS40" s="879" t="str">
        <f t="shared" si="250"/>
        <v/>
      </c>
      <c r="HT40" s="889" t="str">
        <f t="shared" si="66"/>
        <v/>
      </c>
      <c r="HU40" s="890" t="str">
        <f t="shared" si="67"/>
        <v/>
      </c>
      <c r="HV40" s="886" t="str">
        <f t="shared" si="68"/>
        <v/>
      </c>
      <c r="HW40" s="880" t="str">
        <f t="shared" si="69"/>
        <v/>
      </c>
      <c r="HX40" s="881" t="str">
        <f t="shared" si="70"/>
        <v/>
      </c>
      <c r="HY40" s="880" t="str">
        <f t="shared" si="71"/>
        <v/>
      </c>
      <c r="HZ40" s="882" t="str">
        <f t="shared" si="72"/>
        <v/>
      </c>
      <c r="IA40" s="883" t="str">
        <f t="shared" si="73"/>
        <v/>
      </c>
      <c r="IB40" s="884" t="str">
        <f t="shared" si="74"/>
        <v/>
      </c>
      <c r="IC40" s="855" t="str">
        <f t="shared" si="75"/>
        <v/>
      </c>
      <c r="ID40" s="351" t="str">
        <f t="shared" si="76"/>
        <v/>
      </c>
      <c r="IE40" s="857" t="str">
        <f t="shared" si="77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2"/>
        <v>3.1419999999999999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8"/>
        <v>1913</v>
      </c>
      <c r="IM40" s="482" t="str">
        <f t="shared" si="233"/>
        <v/>
      </c>
      <c r="IN40" s="670" t="str">
        <f t="shared" si="80"/>
        <v/>
      </c>
      <c r="IO40" s="702"/>
      <c r="IP40" s="5" t="str">
        <f t="shared" si="81"/>
        <v/>
      </c>
      <c r="IQ40" s="714"/>
      <c r="IR40" s="9" t="str">
        <f t="shared" si="8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</row>
    <row r="41" spans="1:269" ht="15" customHeight="1" x14ac:dyDescent="0.25">
      <c r="A41" s="75">
        <f t="shared" si="92"/>
        <v>0.02</v>
      </c>
      <c r="B41" s="578">
        <f t="shared" ref="B41:D41" si="309">IFERROR(O196-($A41*E41),"")</f>
        <v>4.9751817477651405</v>
      </c>
      <c r="C41" s="572">
        <f t="shared" si="309"/>
        <v>-6.7596687842795955</v>
      </c>
      <c r="D41" s="576">
        <f t="shared" si="309"/>
        <v>-3.0552361065338016</v>
      </c>
      <c r="E41" s="580">
        <f t="shared" ref="E41:K41" si="310">R196</f>
        <v>0.97916093866781528</v>
      </c>
      <c r="F41" s="572">
        <f t="shared" si="310"/>
        <v>0.17301622652426968</v>
      </c>
      <c r="G41" s="579">
        <f t="shared" si="310"/>
        <v>0.10634491782151868</v>
      </c>
      <c r="H41" s="580">
        <f t="shared" si="310"/>
        <v>0.375</v>
      </c>
      <c r="I41" s="572">
        <f t="shared" si="310"/>
        <v>0.52</v>
      </c>
      <c r="J41" s="483">
        <f t="shared" si="95"/>
        <v>3.1469999999999998</v>
      </c>
      <c r="K41" s="806">
        <f t="shared" si="310"/>
        <v>1913</v>
      </c>
      <c r="L41" s="309"/>
      <c r="M41" s="164">
        <f t="shared" ref="M41:M72" si="311">IF(J41="","",VALUE(J41))</f>
        <v>3.1469999999999998</v>
      </c>
      <c r="N41" s="575">
        <f t="shared" ref="N41:N72" si="312">IF(M41="","",B41)</f>
        <v>4.9751817477651405</v>
      </c>
      <c r="O41" s="572">
        <f t="shared" ref="O41:O72" si="313">IF(M41="","",C41)</f>
        <v>-6.7596687842795955</v>
      </c>
      <c r="P41" s="576">
        <f t="shared" ref="P41:P72" si="314">IF(M41="","",D41)</f>
        <v>-3.0552361065338016</v>
      </c>
      <c r="Q41" s="528">
        <f t="shared" si="135"/>
        <v>306.35342852808242</v>
      </c>
      <c r="R41" s="572">
        <f t="shared" si="96"/>
        <v>8.3931850626838536</v>
      </c>
      <c r="S41" s="577">
        <f t="shared" si="97"/>
        <v>-3.0552361065338016</v>
      </c>
      <c r="T41" s="578">
        <f t="shared" si="98"/>
        <v>-6.7313415405022292</v>
      </c>
      <c r="U41" s="572">
        <f t="shared" si="99"/>
        <v>-5.0134415885266321</v>
      </c>
      <c r="V41" s="579">
        <f t="shared" si="136"/>
        <v>-3.0552361065338016</v>
      </c>
      <c r="W41" s="528">
        <f t="shared" si="257"/>
        <v>216.67840367388959</v>
      </c>
      <c r="X41" s="572">
        <f t="shared" si="100"/>
        <v>8.3931850626838536</v>
      </c>
      <c r="Y41" s="573">
        <f t="shared" si="260"/>
        <v>-3.0552361065338016</v>
      </c>
      <c r="Z41" s="575">
        <f t="shared" ref="Z41:Z72" si="315">IF(M41="","",-E41)</f>
        <v>-0.97916093866781528</v>
      </c>
      <c r="AA41" s="572">
        <f t="shared" ref="AA41:AA72" si="316">IF(M41="","",-F41)</f>
        <v>-0.17301622652426968</v>
      </c>
      <c r="AB41" s="572">
        <f t="shared" ref="AB41:AB72" si="317">IF(M41="","",-G41)</f>
        <v>-0.10634491782151868</v>
      </c>
      <c r="AC41" s="579">
        <f t="shared" si="101"/>
        <v>1</v>
      </c>
      <c r="AD41" s="580">
        <f t="shared" si="137"/>
        <v>-0.97916093866781528</v>
      </c>
      <c r="AE41" s="572">
        <f t="shared" si="102"/>
        <v>-0.17301622652426968</v>
      </c>
      <c r="AF41" s="576">
        <f t="shared" si="103"/>
        <v>-0.10634491782151868</v>
      </c>
      <c r="AG41" s="545">
        <f t="shared" si="104"/>
        <v>-58.422918044739532</v>
      </c>
      <c r="AH41" s="546">
        <f t="shared" si="105"/>
        <v>168.28253147822269</v>
      </c>
      <c r="AI41" s="528">
        <f t="shared" si="106"/>
        <v>-83.895341440450082</v>
      </c>
      <c r="AJ41" s="529">
        <f t="shared" si="107"/>
        <v>-79.979359108256688</v>
      </c>
      <c r="AK41" s="578">
        <f t="shared" si="236"/>
        <v>0.8911504688993197</v>
      </c>
      <c r="AL41" s="572">
        <f t="shared" si="108"/>
        <v>-0.44106870239686818</v>
      </c>
      <c r="AM41" s="577">
        <f t="shared" si="109"/>
        <v>-0.10634491782151868</v>
      </c>
      <c r="AN41" s="524">
        <f t="shared" si="110"/>
        <v>-76.444289361667046</v>
      </c>
      <c r="AO41" s="525">
        <f t="shared" si="111"/>
        <v>26.981827830650261</v>
      </c>
      <c r="AP41" s="528">
        <f t="shared" si="112"/>
        <v>-26.332787636339109</v>
      </c>
      <c r="AQ41" s="529">
        <f t="shared" ref="AQ41:AQ72" si="318">IF(M41="","",DEGREES(ATAN(($AS$5*SIN(RADIANS(90)))/(($X41*2*PI())-($AS$5*COS(RADIANS(90)))))))</f>
        <v>0.2716143558736549</v>
      </c>
      <c r="AS41" s="954">
        <f t="shared" si="138"/>
        <v>216.67840367388959</v>
      </c>
      <c r="AT41" s="950">
        <f t="shared" ref="AT41:AT72" si="319">IF(M41="","",Y41+(((AS41-$AS$9)*$AS$6)*-1))</f>
        <v>-2.9573106865309691</v>
      </c>
      <c r="AU41" s="418"/>
      <c r="AV41" s="164" t="str">
        <f t="shared" ref="AV41:AV72" si="320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21">IF(ISNUMBER(AV41),$AY41*SQRT((2*PI()*$AW41)^2+$AS$5^2),"")</f>
        <v/>
      </c>
      <c r="BA41" s="296" t="str">
        <f t="shared" ref="BA41:BA72" si="322">IF(ISNUMBER(AV41),AZ41/$AZ$151,"")</f>
        <v/>
      </c>
      <c r="BB41" s="190" t="str">
        <f t="shared" si="140"/>
        <v/>
      </c>
      <c r="BC41" s="9"/>
      <c r="BD41" s="5" t="str">
        <f t="shared" ref="BD41:BD53" si="323">IF(ISNUMBER(AV41),AW41,"")</f>
        <v/>
      </c>
      <c r="BE41" s="6" t="str">
        <f t="shared" ref="BE41:BE72" si="324">IF(ISNUMBER(AV41),Y41+BB41,"")</f>
        <v/>
      </c>
      <c r="BF41" s="4" t="str">
        <f t="shared" ref="BF41:BF72" si="325">IF(ISNUMBER($AV41),N41,"")</f>
        <v/>
      </c>
      <c r="BG41" s="5" t="str">
        <f t="shared" ref="BG41:BG72" si="326">IF(ISNUMBER($AV41),O41,"")</f>
        <v/>
      </c>
      <c r="BH41" s="10" t="str">
        <f t="shared" ref="BH41:BH72" si="327">IF(ISNUMBER($AV41),P41,"")</f>
        <v/>
      </c>
      <c r="BI41" s="9" t="str">
        <f t="shared" ref="BI41:BI53" si="328">IF(ISNUMBER($AV41),BF41+0,"")</f>
        <v/>
      </c>
      <c r="BJ41" s="5" t="str">
        <f t="shared" ref="BJ41:BJ72" si="329">IF(ISNUMBER($AV41),BG41+COS(RADIANS($AG41)),"")</f>
        <v/>
      </c>
      <c r="BK41" s="8" t="str">
        <f t="shared" ref="BK41:BK72" si="330">IF(ISNUMBER($AV41),BH41+SIN(RADIANS($AG41)),"")</f>
        <v/>
      </c>
      <c r="BL41" s="173" t="str">
        <f t="shared" ref="BL41:BL72" si="331">IF(ISNUMBER($AV41),BF41+SIN(RADIANS($AH41)),"")</f>
        <v/>
      </c>
      <c r="BM41" s="5" t="str">
        <f t="shared" ref="BM41:BM72" si="332">IF(ISNUMBER($AV41),BG41-SIN(RADIANS($AG41))*COS(RADIANS($AH41)),"")</f>
        <v/>
      </c>
      <c r="BN41" s="6" t="str">
        <f t="shared" ref="BN41:BN72" si="333">IF(ISNUMBER($AV41),BH41+COS(RADIANS($AG41))*COS(RADIANS($AH41)),"")</f>
        <v/>
      </c>
      <c r="BO41" s="4" t="str">
        <f t="shared" ref="BO41:BO53" si="334">IF(ISNUMBER($AV41),BJ41*BN41-BM41*BK41-BG41*(BN41-BK41)+BH41*(BM41-BJ41),"")</f>
        <v/>
      </c>
      <c r="BP41" s="5" t="str">
        <f t="shared" ref="BP41:BP53" si="335">IF(ISNUMBER($AV41),BF41*(BN41-BK41)-(BI41*BN41-BL41*BK41)+BH41*(BI41-BL41),"")</f>
        <v/>
      </c>
      <c r="BQ41" s="5" t="str">
        <f t="shared" ref="BQ41:BQ53" si="336">IF(ISNUMBER($AV41),BF41*(BJ41-BM41)-BG41*(BI41-BL41)+(BI41*BM41-BL41*BJ41),"")</f>
        <v/>
      </c>
      <c r="BR41" s="6" t="str">
        <f t="shared" ref="BR41:BR53" si="337">IF(ISNUMBER($AV41),-(BF41*(BJ41*BN41-BM41*BK41)-BG41*(BI41*BN41-BL41*BK41)+BH41*(BI41*BM41-BL41*BJ41)),"")</f>
        <v/>
      </c>
      <c r="BS41" s="4" t="str">
        <f t="shared" si="113"/>
        <v/>
      </c>
      <c r="BT41" s="5" t="str">
        <f t="shared" si="113"/>
        <v/>
      </c>
      <c r="BU41" s="10" t="str">
        <f t="shared" si="114"/>
        <v/>
      </c>
      <c r="BV41" s="9" t="str">
        <f t="shared" si="115"/>
        <v/>
      </c>
      <c r="BW41" s="5" t="str">
        <f t="shared" si="116"/>
        <v/>
      </c>
      <c r="BX41" s="8" t="str">
        <f t="shared" si="117"/>
        <v/>
      </c>
      <c r="BY41" s="173" t="str">
        <f t="shared" si="118"/>
        <v/>
      </c>
      <c r="BZ41" s="5" t="str">
        <f t="shared" si="119"/>
        <v/>
      </c>
      <c r="CA41" s="6" t="str">
        <f t="shared" si="120"/>
        <v/>
      </c>
      <c r="CB41" s="4" t="str">
        <f t="shared" ref="CB41:CB53" si="338">IF(ISNUMBER($AV41),BW41*CA41-BZ41*BX41-BT41*(CA41-BX41)+BU41*(BZ41-BW41),"")</f>
        <v/>
      </c>
      <c r="CC41" s="5" t="str">
        <f t="shared" ref="CC41:CC53" si="339">IF(ISNUMBER($AV41),BS41*(CA41-BX41)-(BV41*CA41-BY41*BX41)+BU41*(BV41-BY41),"")</f>
        <v/>
      </c>
      <c r="CD41" s="5" t="str">
        <f t="shared" ref="CD41:CD53" si="340">IF(ISNUMBER($AV41),BS41*(BW41-BZ41)-BT41*(BV41-BY41)+(BV41*BZ41-BY41*BW41),"")</f>
        <v/>
      </c>
      <c r="CE41" s="6" t="str">
        <f t="shared" ref="CE41:CE53" si="341">IF(ISNUMBER($AV41),-(BS41*(BW41*CA41-BZ41*BX41)-BT41*(BV41*CA41-BY41*BX41)+BU41*(BV41*BZ41-BY41*BW41)),"")</f>
        <v/>
      </c>
      <c r="CF41" s="4" t="str">
        <f t="shared" ref="CF41:CF53" si="342">IF(ISNUMBER($AV41),(BP41*CD41)-(BQ41*CC41),"")</f>
        <v/>
      </c>
      <c r="CG41" s="5" t="str">
        <f t="shared" ref="CG41:CG53" si="343">IF(ISNUMBER($AV41),(BQ41*CB41)-(BO41*CD41),"")</f>
        <v/>
      </c>
      <c r="CH41" s="5" t="str">
        <f t="shared" ref="CH41:CH53" si="344">IF(ISNUMBER($AV41),(BO41*CC41)-(BP41*CB41),"")</f>
        <v/>
      </c>
      <c r="CI41" s="4" t="str">
        <f t="shared" si="121"/>
        <v/>
      </c>
      <c r="CJ41" s="5" t="str">
        <f t="shared" ref="CJ41:CJ53" si="345">IF(ISNUMBER($AV41),(CD41*BR41-BQ41*CE41)/(BQ41*CC41-CD41*BP41),"")</f>
        <v/>
      </c>
      <c r="CK41" s="8" t="str">
        <f t="shared" ref="CK41:CK53" si="346">IF(ISNUMBER($AV41),(CC41*BR41-BP41*CE41)/(-CC41*BQ41+BP41*CD41),"")</f>
        <v/>
      </c>
      <c r="CL41" s="173" t="str">
        <f t="shared" ref="CL41:CL53" si="347">IF(ISNUMBER($AV41),CI41+CF41,"")</f>
        <v/>
      </c>
      <c r="CM41" s="5" t="str">
        <f t="shared" ref="CM41:CM53" si="348">IF(ISNUMBER($AV41),CJ41+CG41,"")</f>
        <v/>
      </c>
      <c r="CN41" s="6" t="str">
        <f t="shared" ref="CN41:CN53" si="349">IF(ISNUMBER($AV41),CK41+CH41,"")</f>
        <v/>
      </c>
      <c r="CO41" s="167" t="str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51">IF(ISNUMBER($AV41),(CL41-CI41)^2+(CM41-CJ41)^2+(CN41-CK41)^2,"")</f>
        <v/>
      </c>
      <c r="CQ41" s="5" t="str">
        <f t="shared" ref="CQ41:CQ53" si="352">IF(ISNUMBER($AV41),2*((CL41-CI41)*(CI41-BF41)+(CM41-CJ41)*(CJ41-BG41)+(CN41-CK41)*(CK41-BH41)),"")</f>
        <v/>
      </c>
      <c r="CR41" s="5" t="str">
        <f t="shared" ref="CR41:CR53" si="353">IF(ISNUMBER($AV41),BF41^2+BG41^2+BH41^2+CI41^2+CJ41^2+CK41^2-2*(BF41*CI41+BG41*CJ41+BH41*CK41)-CO41^2,"")</f>
        <v/>
      </c>
      <c r="CS41" s="8" t="str">
        <f t="shared" ref="CS41:CS53" si="354">IF(ISNUMBER($AV41),CQ41^2-(4*CP41*CR41),"")</f>
        <v/>
      </c>
      <c r="CT41" s="9" t="str">
        <f t="shared" si="156"/>
        <v/>
      </c>
      <c r="CU41" s="6" t="str">
        <f t="shared" ref="CU41:CU53" si="355">IF(ISNUMBER($AV41),(-CQ41-SQRT(CS41))/(CP41*2),"")</f>
        <v/>
      </c>
      <c r="CV41" s="4" t="str">
        <f t="shared" ref="CV41:CV53" si="356">IF(ISNUMBER($AV41),CI41+($CT41*(CL41-CI41)),"")</f>
        <v/>
      </c>
      <c r="CW41" s="5" t="str">
        <f t="shared" ref="CW41:CW53" si="357">IF(ISNUMBER($AV41),CJ41+($CT41*(CM41-CJ41)),"")</f>
        <v/>
      </c>
      <c r="CX41" s="8" t="str">
        <f t="shared" ref="CX41:CX53" si="358">IF(ISNUMBER($AV41),CK41+($CT41*(CN41-CK41)),"")</f>
        <v/>
      </c>
      <c r="CY41" s="9" t="str">
        <f t="shared" ref="CY41:CY53" si="359">IF(ISNUMBER($AV41),CI41+($CU41*(CL41-CI41)),"")</f>
        <v/>
      </c>
      <c r="CZ41" s="5" t="str">
        <f t="shared" ref="CZ41:CZ53" si="360">IF(ISNUMBER($AV41),CJ41+($CU41*(CM41-CJ41)),"")</f>
        <v/>
      </c>
      <c r="DA41" s="6" t="str">
        <f t="shared" ref="DA41:DA53" si="361">IF(ISNUMBER($AV41),CK41+($CU41*(CN41-CK41)),"")</f>
        <v/>
      </c>
      <c r="DB41" s="4" t="str">
        <f t="shared" si="163"/>
        <v/>
      </c>
      <c r="DC41" s="5" t="str">
        <f t="shared" si="163"/>
        <v/>
      </c>
      <c r="DD41" s="10" t="str">
        <f t="shared" si="164"/>
        <v/>
      </c>
      <c r="DE41" s="9" t="str">
        <f t="shared" si="165"/>
        <v/>
      </c>
      <c r="DF41" s="5" t="str">
        <f t="shared" si="165"/>
        <v/>
      </c>
      <c r="DG41" s="10" t="str">
        <f t="shared" si="166"/>
        <v/>
      </c>
      <c r="DH41" s="70" t="str">
        <f t="shared" ref="DH41:DH53" si="362">IF(ISNUMBER($AV41),BD41,"")</f>
        <v/>
      </c>
      <c r="DI41" s="4" t="str">
        <f t="shared" ref="DI41:DI53" si="363">IF(ISNUMBER($AV41),DE41-DB41,"")</f>
        <v/>
      </c>
      <c r="DJ41" s="5" t="str">
        <f t="shared" ref="DJ41:DJ53" si="364">IF(ISNUMBER($AV41),DF41-DC41,"")</f>
        <v/>
      </c>
      <c r="DK41" s="10" t="str">
        <f t="shared" ref="DK41:DK53" si="365">IF(ISNUMBER($AV41),DG41-DD41,"")</f>
        <v/>
      </c>
      <c r="DL41" s="9" t="str">
        <f t="shared" ref="DL41:DL53" si="366">IF(ISNUMBER($AV41),CV41-DB41,"")</f>
        <v/>
      </c>
      <c r="DM41" s="173" t="str">
        <f t="shared" ref="DM41:DM53" si="367">IF(ISNUMBER($AV41),CW41-DC41,"")</f>
        <v/>
      </c>
      <c r="DN41" s="178" t="str">
        <f t="shared" ref="DN41:DN53" si="368">IF(ISNUMBER($AV41),CX41-DD41,"")</f>
        <v/>
      </c>
      <c r="DO41" s="9" t="str">
        <f t="shared" ref="DO41:DO53" si="369">IF(ISNUMBER($AV41),CY41-CV41,"")</f>
        <v/>
      </c>
      <c r="DP41" s="173" t="str">
        <f t="shared" ref="DP41:DP53" si="370">IF(ISNUMBER($AV41),CZ41-CW41,"")</f>
        <v/>
      </c>
      <c r="DQ41" s="11" t="str">
        <f t="shared" ref="DQ41:DQ53" si="371">IF(ISNUMBER($AV41),DA41-CX41,"")</f>
        <v/>
      </c>
      <c r="DR41" s="173" t="str">
        <f t="shared" ref="DR41:DR53" si="372">IF(ISNUMBER($AV41),SUMPRODUCT(DI41:DK41,DL41:DN41),"")</f>
        <v/>
      </c>
      <c r="DS41" s="5" t="str">
        <f t="shared" ref="DS41:DS53" si="373">IF(ISNUMBER($AV41),SUMPRODUCT(DO41:DQ41,DI41:DK41),"")</f>
        <v/>
      </c>
      <c r="DT41" s="5" t="str">
        <f t="shared" ref="DT41:DT53" si="374">IF(ISNUMBER($AV41),SUMPRODUCT(DI41:DK41,DI41:DK41),"")</f>
        <v/>
      </c>
      <c r="DU41" s="5" t="str">
        <f t="shared" ref="DU41:DU53" si="375">IF(ISNUMBER($AV41),SUMPRODUCT(DO41:DQ41,DO41:DQ41),"")</f>
        <v/>
      </c>
      <c r="DV41" s="5" t="str">
        <f t="shared" ref="DV41:DV53" si="376">IF(ISNUMBER($AV41),SUMPRODUCT(DL41:DN41,DO41:DQ41),"")</f>
        <v/>
      </c>
      <c r="DW41" s="5" t="str">
        <f t="shared" ref="DW41:DW53" si="377">IF(ISNUMBER($AV41),SUMPRODUCT(DL41:DN41,DL41:DN41),"")</f>
        <v/>
      </c>
      <c r="DX41" s="167" t="str">
        <f t="shared" ref="DX41:DX53" si="378">IF(ISNUMBER($AV41),DW41-DH41*DH41,"")</f>
        <v/>
      </c>
      <c r="DY41" s="9" t="str">
        <f t="shared" ref="DY41:DY53" si="379">IF(ISNUMBER($AV41),DT41*DU41-DS41*DS41,"")</f>
        <v/>
      </c>
      <c r="DZ41" s="5" t="str">
        <f t="shared" ref="DZ41:DZ53" si="380">IF(ISNUMBER($AV41),DT41*DV41-DS41*DR41,"")</f>
        <v/>
      </c>
      <c r="EA41" s="10" t="str">
        <f t="shared" ref="EA41:EA53" si="381">IF(ISNUMBER($AV41),DT41*DX41-DR41*DR41,"")</f>
        <v/>
      </c>
      <c r="EB41" s="6" t="str">
        <f t="shared" ref="EB41:EB53" si="382">IF(ISNUMBER($AV41),DZ41*DZ41-DY41*EA41,"")</f>
        <v/>
      </c>
      <c r="EC41" s="173" t="str">
        <f t="shared" ref="EC41:EC53" si="383">IF(ISNUMBER($AV41),(-DZ41+SQRT(DZ41^2-DY41*EA41))/DY41,"")</f>
        <v/>
      </c>
      <c r="ED41" s="5" t="str">
        <f t="shared" ref="ED41:ED53" si="384">IF(ISNUMBER($AV41),(-DZ41-SQRT(DZ41^2-DY41*EA41))/DY41,"")</f>
        <v/>
      </c>
      <c r="EE41" s="4" t="str">
        <f t="shared" ref="EE41:EE53" si="385">IF(ISNUMBER($AV41),CV41+DO41*$EC41,"")</f>
        <v/>
      </c>
      <c r="EF41" s="5" t="str">
        <f t="shared" ref="EF41:EF53" si="386">IF(ISNUMBER($AV41),CW41+DP41*$EC41,"")</f>
        <v/>
      </c>
      <c r="EG41" s="10" t="str">
        <f t="shared" ref="EG41:EG53" si="387">IF(ISNUMBER($AV41),CX41+DQ41*$EC41,"")</f>
        <v/>
      </c>
      <c r="EH41" s="9" t="str">
        <f t="shared" ref="EH41:EH53" si="388">IF(ISNUMBER($AV41),CV41+DO41*$ED41,"")</f>
        <v/>
      </c>
      <c r="EI41" s="5" t="str">
        <f t="shared" ref="EI41:EI53" si="389">IF(ISNUMBER($AV41),CW41+DP41*$ED41,"")</f>
        <v/>
      </c>
      <c r="EJ41" s="6" t="str">
        <f t="shared" ref="EJ41:EJ53" si="390">IF(ISNUMBER($AV41),CX41+DQ41*$ED41,"")</f>
        <v/>
      </c>
      <c r="EK41" s="236" t="str">
        <f t="shared" si="196"/>
        <v/>
      </c>
      <c r="EL41" s="238" t="str">
        <f t="shared" si="197"/>
        <v/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str">
        <f t="shared" ref="EP41:EP53" si="39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95">IF(ISNUMBER($AV41),SQRT(EM41^2+EN41^2),"")</f>
        <v/>
      </c>
      <c r="ER41" s="7" t="str">
        <f t="shared" ref="ER41:ER53" si="396">IF(ISNUMBER($AV41),EO41,"")</f>
        <v/>
      </c>
      <c r="ES41" s="21" t="str">
        <f t="shared" ref="ES41:ES72" si="397">IF(ISNUMBER($AV41),AD41,"")</f>
        <v/>
      </c>
      <c r="ET41" s="5" t="str">
        <f t="shared" ref="ET41:ET72" si="398">IF(ISNUMBER($AV41),AE41,"")</f>
        <v/>
      </c>
      <c r="EU41" s="10" t="str">
        <f t="shared" ref="EU41:EU72" si="399">IF(ISNUMBER($AV41),AF41,"")</f>
        <v/>
      </c>
      <c r="EV41" s="174" t="str">
        <f t="shared" ref="EV41:EV53" si="400">IF(ISNUMBER($AV41),IF(($EV$1-EP41)&lt;0,(360+($EV$1-EP41)),($EV$1-EP41)),"")</f>
        <v/>
      </c>
      <c r="EW41" s="9" t="str">
        <f t="shared" ref="EW41:EW53" si="401">IF(ISNUMBER($AV41),(COS(RADIANS($EV41))*ES41)+(-SIN(RADIANS($EV41))*ET41),"")</f>
        <v/>
      </c>
      <c r="EX41" s="5" t="str">
        <f t="shared" ref="EX41:EX53" si="402">IF(ISNUMBER($AV41),(SIN(RADIANS($EV41))*ES41)+(COS(RADIANS($EV41))*ET41),"")</f>
        <v/>
      </c>
      <c r="EY41" s="6" t="str">
        <f t="shared" ref="EY41:EY53" si="403">IF(ISNUMBER($AV41),EU41,"")</f>
        <v/>
      </c>
      <c r="EZ41" s="51" t="str">
        <f t="shared" si="205"/>
        <v/>
      </c>
      <c r="FA41" s="266" t="str">
        <f t="shared" si="129"/>
        <v/>
      </c>
      <c r="FB41" s="267" t="str">
        <f t="shared" si="130"/>
        <v/>
      </c>
      <c r="FC41" s="269" t="str">
        <f t="shared" si="37"/>
        <v/>
      </c>
      <c r="FD41" s="4" t="str">
        <f t="shared" ref="FD41:FD53" si="404">IF(ISNUMBER($AV41),(COS(RADIANS($EV41))*FA41)+(-SIN(RADIANS($EV41))*FB41),"")</f>
        <v/>
      </c>
      <c r="FE41" s="5" t="str">
        <f t="shared" ref="FE41:FE53" si="405">IF(ISNUMBER($AV41),(SIN(RADIANS($EV41))*FA41)+(COS(RADIANS($EV41))*FB41),"")</f>
        <v/>
      </c>
      <c r="FF41" s="7" t="str">
        <f t="shared" ref="FF41:FF53" si="406">IF(ISNUMBER($AV41),FC41,"")</f>
        <v/>
      </c>
      <c r="FG41" s="173" t="str">
        <f t="shared" ref="FG41:FG53" si="407">IF(ISNUMBER($AV41),EW41-FD41,"")</f>
        <v/>
      </c>
      <c r="FH41" s="5" t="str">
        <f t="shared" ref="FH41:FH53" si="408">IF(ISNUMBER($AV41),EX41-FE41,"")</f>
        <v/>
      </c>
      <c r="FI41" s="10" t="str">
        <f t="shared" ref="FI41:FI53" si="409">IF(ISNUMBER($AV41),EY41-FF41,"")</f>
        <v/>
      </c>
      <c r="FJ41" s="279" t="str">
        <f t="shared" ref="FJ41:FJ53" si="410">IF(ISNUMBER($AV41),DEGREES(ACOS((2-SQRT((FG41)^2+(FH41)^2+(FI41)^2)^2)/2)),"")</f>
        <v/>
      </c>
      <c r="FK41" s="4" t="str">
        <f t="shared" ref="FK41:FK53" si="411">IF(ISNUMBER($AV41),SQRT(ES41^2+ET41^2),"")</f>
        <v/>
      </c>
      <c r="FL41" s="5" t="str">
        <f t="shared" ref="FL41:FL53" si="412">IF(ISNUMBER($AV41),SQRT(FA41^2+FB41^2),"")</f>
        <v/>
      </c>
      <c r="FM41" s="8" t="str">
        <f t="shared" ref="FM41:FM53" si="413">IF(ISNUMBER($AV41),SQRT(FG41^2+FH41^2),"")</f>
        <v/>
      </c>
      <c r="FN41" s="9" t="str">
        <f t="shared" ref="FN41:FN53" si="414">IF(ISNUMBER($AV41),DEGREES(ACOS((FK41^2+FL41^2-FM41^2)/(2*FK41*FL41))),"")</f>
        <v/>
      </c>
      <c r="FO41" s="10" t="str">
        <f t="shared" ref="FO41:FO53" si="415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16">IF(ISNUMBER($AV41),FN41*FO41,"")</f>
        <v/>
      </c>
      <c r="FQ41" s="173" t="str">
        <f t="shared" ref="FQ41:FQ53" si="417">IF(ISNUMBER($AV41),SIN(RADIANS(FN41)),"")</f>
        <v/>
      </c>
      <c r="FR41" s="10" t="str">
        <f t="shared" ref="FR41:FR53" si="418">IF(ISNUMBER($AV41),COS(RADIANS(FN41)),"")</f>
        <v/>
      </c>
      <c r="FS41" s="9" t="str">
        <f t="shared" ref="FS41:FS53" si="419">IF(ISNUMBER($AV41),FQ41/(FQ41+FR41),"")</f>
        <v/>
      </c>
      <c r="FT41" s="6" t="str">
        <f t="shared" ref="FT41:FT53" si="420">IF(ISNUMBER($AV41),FR41/(FQ41+FR41),"")</f>
        <v/>
      </c>
      <c r="FU41" s="4" t="str">
        <f t="shared" ref="FU41:FU53" si="421">IF(ISNUMBER($AV41),SQRT(EW41^2+EY41^2),"")</f>
        <v/>
      </c>
      <c r="FV41" s="5" t="str">
        <f t="shared" ref="FV41:FV53" si="422">IF(ISNUMBER($AV41),SQRT(FD41^2+FF41^2),"")</f>
        <v/>
      </c>
      <c r="FW41" s="8" t="str">
        <f t="shared" ref="FW41:FW53" si="423">IF(ISNUMBER($AV41),SQRT(FG41^2+FI41^2),"")</f>
        <v/>
      </c>
      <c r="FX41" s="9" t="str">
        <f t="shared" ref="FX41:FX53" si="424">IF(ISNUMBER($AV41),DEGREES(ACOS((FU41^2+FV41^2-FW41^2)/(2*FU41*FV41))),"")</f>
        <v/>
      </c>
      <c r="FY41" s="10" t="str">
        <f t="shared" ref="FY41:FY53" si="425">IF(ISNUMBER($AV41),IF(EU41&lt;FC41,1,-1),"")</f>
        <v/>
      </c>
      <c r="FZ41" s="277" t="str">
        <f t="shared" ref="FZ41:FZ53" si="426">IF(ISNUMBER($AV41),FX41*FY41,"")</f>
        <v/>
      </c>
      <c r="GA41" s="177" t="str">
        <f t="shared" ref="GA41:GA53" si="427">IF(ISNUMBER($AV41),DEGREES(FZ41*SIN(RADIANS(FU41))),"")</f>
        <v/>
      </c>
      <c r="GB41" s="4" t="str">
        <f t="shared" ref="GB41:GB53" si="428">IF(ISNUMBER($AV41),COS(RADIANS(FP41+90))*COS(RADIANS(FZ41)),"")</f>
        <v/>
      </c>
      <c r="GC41" s="5" t="str">
        <f t="shared" ref="GC41:GC53" si="429">IF(ISNUMBER($AV41),SIN(RADIANS(FP41+90))*COS(RADIANS(FZ41)),"")</f>
        <v/>
      </c>
      <c r="GD41" s="10" t="str">
        <f t="shared" ref="GD41:GD53" si="430">IF(ISNUMBER($AV41),-SIN(RADIANS(FZ41)),"")</f>
        <v/>
      </c>
      <c r="GE41" s="311" t="str">
        <f t="shared" ref="GE41:GE53" si="431">IF(ISNUMBER($AV41),SUM(ABS(GB41),ABS(GC41),ABS(GD41)),"")</f>
        <v/>
      </c>
      <c r="GF41" s="341" t="str">
        <f t="shared" ref="GF41:GF53" si="432">IF(ISNUMBER($AV41),1/GE41,"")</f>
        <v/>
      </c>
      <c r="GG41" s="285" t="str">
        <f t="shared" ref="GG41:GG53" si="433">IF(ISNUMBER($AV41),ABS(GB41)/(ABS($GB41)+ABS($GC41)+ABS($GD41)),"")</f>
        <v/>
      </c>
      <c r="GH41" s="286" t="str">
        <f t="shared" ref="GH41:GH53" si="434">IF(ISNUMBER($AV41),ABS(GC41)/(ABS($GB41)+ABS($GC41)+ABS($GD41)),"")</f>
        <v/>
      </c>
      <c r="GI41" s="281" t="str">
        <f t="shared" ref="GI41:GI53" si="435">IF(ISNUMBER($AV41),ABS(GD41)/(ABS($GB41)+ABS($GC41)+ABS($GD41)),"")</f>
        <v/>
      </c>
      <c r="GJ41" s="167" t="str">
        <f t="shared" ref="GJ41:GJ53" si="436">IF(ISNUMBER($AV41),AW41,"")</f>
        <v/>
      </c>
      <c r="GK41" s="174" t="str">
        <f t="shared" si="48"/>
        <v/>
      </c>
      <c r="GL41" s="174" t="str">
        <f t="shared" ref="GL41:GL53" si="437">IF(ISNUMBER($AV41),AY41,"")</f>
        <v/>
      </c>
      <c r="GM41" s="177" t="str">
        <f t="shared" ref="GM41:GM53" si="438">IF(ISNUMBER($AV41),AZ41,"")</f>
        <v/>
      </c>
      <c r="GN41" s="280" t="str">
        <f t="shared" ref="GN41:GN53" si="439">IF(ISNUMBER($AV41),BA41,"")</f>
        <v/>
      </c>
      <c r="GO41" s="4" t="str">
        <f t="shared" ref="GO41:GO53" si="440">IF(ISNUMBER($AV41),FP41,"")</f>
        <v/>
      </c>
      <c r="GP41" s="8" t="str">
        <f t="shared" ref="GP41:GP53" si="441">IF(ISNUMBER($AV41),FZ41,"")</f>
        <v/>
      </c>
      <c r="GQ41" s="177" t="str">
        <f t="shared" ref="GQ41:GQ53" si="442">IF(ISNUMBER($AV41),FJ41,"")</f>
        <v/>
      </c>
      <c r="GR41" s="371" t="str">
        <f t="shared" ref="GR41:GR53" si="443">IF(ISNUMBER($AV41),GS41+GU41+GY41,"")</f>
        <v/>
      </c>
      <c r="GS41" s="342" t="str">
        <f t="shared" ref="GS41:GS53" si="444">IF(ISNUMBER($AV41),GU41/GH41*GG41,"")</f>
        <v/>
      </c>
      <c r="GT41" s="343" t="str">
        <f t="shared" ref="GT41:GT53" si="445">IF(ISNUMBER($AV41),GS41/$GK41,"")</f>
        <v/>
      </c>
      <c r="GU41" s="344" t="str">
        <f t="shared" si="52"/>
        <v/>
      </c>
      <c r="GV41" s="343" t="str">
        <f t="shared" ref="GV41:GV53" si="446">IF(ISNUMBER($AV41),GW41*$GL41,"")</f>
        <v/>
      </c>
      <c r="GW41" s="345" t="str">
        <f t="shared" si="53"/>
        <v/>
      </c>
      <c r="GX41" s="346" t="str">
        <f t="shared" si="54"/>
        <v/>
      </c>
      <c r="GY41" s="344" t="str">
        <f t="shared" ref="GY41:GY53" si="447">IF(ISNUMBER($AV41),GU41/GH41*GI41,"")</f>
        <v/>
      </c>
      <c r="GZ41" s="345" t="str">
        <f t="shared" ref="GZ41:GZ53" si="448">IF(ISNUMBER($AV41),GY41/$GK41,"")</f>
        <v/>
      </c>
      <c r="HA41" s="342" t="str">
        <f t="shared" si="57"/>
        <v/>
      </c>
      <c r="HB41" s="5" t="str">
        <f t="shared" si="227"/>
        <v/>
      </c>
      <c r="HC41" s="343" t="str">
        <f t="shared" ref="HC41:HC53" si="449">IF(ISNUMBER($AV41),HA41*COS(RADIANS(HB41)),"")</f>
        <v/>
      </c>
      <c r="HD41" s="345" t="str">
        <f t="shared" ref="HD41:HD53" si="450">IF(ISNUMBER($AV41),HA41*SIN(RADIANS(HB41)),"")</f>
        <v/>
      </c>
      <c r="HE41" s="344" t="str">
        <f t="shared" si="58"/>
        <v/>
      </c>
      <c r="HF41" s="5" t="str">
        <f t="shared" si="59"/>
        <v/>
      </c>
      <c r="HG41" s="343" t="str">
        <f t="shared" ref="HG41:HG53" si="451">IF(ISNUMBER($AV41),HE41*COS(RADIANS(HF41)),"")</f>
        <v/>
      </c>
      <c r="HH41" s="349" t="str">
        <f t="shared" ref="HH41:HH53" si="452">IF(ISNUMBER($AV41),HE41*SIN(RADIANS(HF41)),"")</f>
        <v/>
      </c>
      <c r="HI41" s="317" t="str">
        <f t="shared" ref="HI41:HI72" si="453">IF(ISNUMBER($AV41),$M41,"")</f>
        <v/>
      </c>
      <c r="HJ41" s="336"/>
      <c r="HK41" s="310" t="str">
        <f t="shared" si="132"/>
        <v/>
      </c>
      <c r="HL41" s="348" t="str">
        <f t="shared" ref="HL41:HL72" si="454">IF(ISNUMBER($HS41),INDEX(HI$9:HI$150,MATCH($HS41,$GJ$9:$GJ$150,0)),"")</f>
        <v/>
      </c>
      <c r="HM41" s="923" t="str">
        <f t="shared" ref="HM41:HM72" si="455">IF(ISNUMBER($HL41),INDEX(GO$9:GO$150,MATCH($HL41,$AV$9:$AV$150,0)),"")</f>
        <v/>
      </c>
      <c r="HN41" s="924" t="str">
        <f t="shared" ref="HN41:HN72" si="456">IF(ISNUMBER($HL41),INDEX(AO$9:AO$150,MATCH($HL41,$AV$9:$AV$150,0)),"")</f>
        <v/>
      </c>
      <c r="HO41" s="925"/>
      <c r="HP41" s="926"/>
      <c r="HQ41" s="924" t="str">
        <f t="shared" ref="HQ41:HQ72" si="457">IF(ISNUMBER($HL41),INDEX(GQ$9:GQ$150,MATCH($HL41,$AV$9:$AV$150,0)),"")</f>
        <v/>
      </c>
      <c r="HR41" s="927" t="str">
        <f t="shared" ref="HR41:HR72" si="458">IF(ISNUMBER($HL41),INDEX(GP$9:GP$150,MATCH($HL41,$AV$9:$AV$150,0)),"")</f>
        <v/>
      </c>
      <c r="HS41" s="879" t="str">
        <f t="shared" si="250"/>
        <v/>
      </c>
      <c r="HT41" s="889" t="str">
        <f t="shared" ref="HT41:HT72" si="459">IF(ISNUMBER($HL41),INDEX(GL$9:GL$150,MATCH($HL41,$AV$9:$AV$150,0)),"")</f>
        <v/>
      </c>
      <c r="HU41" s="890" t="str">
        <f t="shared" ref="HU41:HU72" si="460">IF(ISNUMBER($HL41),INDEX(GM$9:GM$150,MATCH($HL41,$AV$9:$AV$150,0)),"")</f>
        <v/>
      </c>
      <c r="HV41" s="886" t="str">
        <f t="shared" ref="HV41:HV72" si="461">IF(ISNUMBER($HL41),INDEX(GN$9:GN$150,MATCH($HL41,$AV$9:$AV$150,0)),"")</f>
        <v/>
      </c>
      <c r="HW41" s="880" t="str">
        <f t="shared" ref="HW41:HW72" si="462">IF(ISNUMBER($HL41),INDEX(GW$9:GW$150,MATCH($HL41,$AV$9:$AV$150,0)),"")</f>
        <v/>
      </c>
      <c r="HX41" s="881" t="str">
        <f t="shared" ref="HX41:HX72" si="463">IF(ISNUMBER($HL41),INDEX(GX$9:GX$150,MATCH($HL41,$AV$9:$AV$150,0)),"")</f>
        <v/>
      </c>
      <c r="HY41" s="880" t="str">
        <f t="shared" ref="HY41:HY72" si="464">IF(ISNUMBER($HL41),INDEX(GS$9:GS$150,MATCH($HL41,$AV$9:$AV$150,0)),"")</f>
        <v/>
      </c>
      <c r="HZ41" s="882" t="str">
        <f t="shared" ref="HZ41:HZ72" si="465">IF(ISNUMBER($HL41),INDEX(GU$9:GU$150,MATCH($HL41,$AV$9:$AV$150,0)),"")</f>
        <v/>
      </c>
      <c r="IA41" s="883" t="str">
        <f t="shared" ref="IA41:IA72" si="466">IF(ISNUMBER($HL41),INDEX(GY$9:GY$150,MATCH($HL41,$AV$9:$AV$150,0)),"")</f>
        <v/>
      </c>
      <c r="IB41" s="884" t="str">
        <f t="shared" ref="IB41:IB72" si="467">IF(ISNUMBER($HL41),INDEX(GR$9:GR$150,MATCH($HL41,$AV$9:$AV$150,0)),"")</f>
        <v/>
      </c>
      <c r="IC41" s="855" t="str">
        <f t="shared" ref="IC41:IC72" si="468">IF(ISNUMBER($HL41),INDEX(GT$9:GT$150,MATCH($HL41,$AV$9:$AV$150,0)),"")</f>
        <v/>
      </c>
      <c r="ID41" s="351" t="str">
        <f t="shared" ref="ID41:ID72" si="469">IF(ISNUMBER($HL41),INDEX(GV$9:GV$150,MATCH($HL41,$AV$9:$AV$150,0)),"")</f>
        <v/>
      </c>
      <c r="IE41" s="857" t="str">
        <f t="shared" ref="IE41:IE72" si="470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2"/>
        <v>3.1469999999999998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1913</v>
      </c>
      <c r="IM41" s="482" t="str">
        <f t="shared" si="233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92"/>
        <v>0.02</v>
      </c>
      <c r="B42" s="578">
        <f t="shared" ref="B42:D42" si="484">IFERROR(O197-($A42*E42),"")</f>
        <v>4.9971602313134609</v>
      </c>
      <c r="C42" s="572">
        <f t="shared" si="484"/>
        <v>-6.8014694134907527</v>
      </c>
      <c r="D42" s="576">
        <f t="shared" si="484"/>
        <v>-3.9576834931919458</v>
      </c>
      <c r="E42" s="580">
        <f t="shared" ref="E42:K42" si="485">R197</f>
        <v>0.99259345691280843</v>
      </c>
      <c r="F42" s="572">
        <f t="shared" si="485"/>
        <v>0.11339836691533922</v>
      </c>
      <c r="G42" s="579">
        <f t="shared" si="485"/>
        <v>4.3577972357774497E-2</v>
      </c>
      <c r="H42" s="580">
        <f t="shared" si="485"/>
        <v>0.375</v>
      </c>
      <c r="I42" s="572">
        <f t="shared" si="485"/>
        <v>0.52</v>
      </c>
      <c r="J42" s="483">
        <f t="shared" si="95"/>
        <v>3.1520000000000001</v>
      </c>
      <c r="K42" s="806">
        <f t="shared" si="485"/>
        <v>1913</v>
      </c>
      <c r="L42" s="309"/>
      <c r="M42" s="164">
        <f t="shared" si="311"/>
        <v>3.1520000000000001</v>
      </c>
      <c r="N42" s="575">
        <f t="shared" si="312"/>
        <v>4.9971602313134609</v>
      </c>
      <c r="O42" s="572">
        <f t="shared" si="313"/>
        <v>-6.8014694134907527</v>
      </c>
      <c r="P42" s="576">
        <f t="shared" si="314"/>
        <v>-3.9576834931919458</v>
      </c>
      <c r="Q42" s="528">
        <f t="shared" si="135"/>
        <v>306.3053850192789</v>
      </c>
      <c r="R42" s="572">
        <f t="shared" ref="R42:R47" si="486">IF(M42="","",SQRT(N42^2+O42^2))</f>
        <v>8.4398813119658875</v>
      </c>
      <c r="S42" s="577">
        <f t="shared" ref="S42:S47" si="487">IF(M42="","",P42)</f>
        <v>-3.9576834931919458</v>
      </c>
      <c r="T42" s="578">
        <f t="shared" ref="T42:T47" si="488">IF(M42="","",X42*COS(RADIANS(W42)))</f>
        <v>-6.7730168385549847</v>
      </c>
      <c r="U42" s="572">
        <f t="shared" ref="U42:U47" si="489">IF(M42="","",X42*SIN(RADIANS(W42)))</f>
        <v>-5.0356568056929447</v>
      </c>
      <c r="V42" s="579">
        <f t="shared" ref="V42:V47" si="490">IF(M42="","",Y42)</f>
        <v>-3.9576834931919458</v>
      </c>
      <c r="W42" s="528">
        <f t="shared" si="257"/>
        <v>216.63036016508607</v>
      </c>
      <c r="X42" s="572">
        <f t="shared" ref="X42:X47" si="491">IF(M42="","",R42)</f>
        <v>8.4398813119658875</v>
      </c>
      <c r="Y42" s="573">
        <f t="shared" si="260"/>
        <v>-3.9576834931919458</v>
      </c>
      <c r="Z42" s="575">
        <f t="shared" si="315"/>
        <v>-0.99259345691280843</v>
      </c>
      <c r="AA42" s="572">
        <f t="shared" si="316"/>
        <v>-0.11339836691533922</v>
      </c>
      <c r="AB42" s="572">
        <f t="shared" si="317"/>
        <v>-4.3577972357774497E-2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-0.99259345691280843</v>
      </c>
      <c r="AE42" s="572">
        <f t="shared" ref="AE42:AE47" si="494">IF(M42="","",AA42*(1/SQRT(Z42^2+AA42^2+AB42^2)))</f>
        <v>-0.11339836691533922</v>
      </c>
      <c r="AF42" s="576">
        <f t="shared" ref="AF42:AF47" si="495">IF(M42="","",AB42*(1/SQRT(Z42^2+AA42^2+AB42^2)))</f>
        <v>-4.3577972357774497E-2</v>
      </c>
      <c r="AG42" s="545">
        <f t="shared" ref="AG42:AG47" si="496">IF(M42="","",DEGREES(ATAN2(-AF42,AE42)))</f>
        <v>-68.978681280543043</v>
      </c>
      <c r="AH42" s="546">
        <f t="shared" ref="AH42:AH47" si="497">IF(M42="","",DEGREES(ACOS(AD42)))</f>
        <v>173.02227541588579</v>
      </c>
      <c r="AI42" s="528">
        <f t="shared" ref="AI42:AI47" si="498">IF(M42="","",DEGREES(-ACOS(-AF42)))</f>
        <v>-87.502375163624535</v>
      </c>
      <c r="AJ42" s="529">
        <f t="shared" ref="AJ42:AJ47" si="499">IF(M42="","",DEGREES(ATAN2(-AE42,AD42)))</f>
        <v>-83.482527866662892</v>
      </c>
      <c r="AK42" s="578">
        <f t="shared" ref="AK42:AK47" si="500">IF(M42="","",(COS(RADIANS((90-$Q$8)-W42))*AD42)+(-SIN(RADIANS((90-$Q$8)-W42))*AE42))</f>
        <v>0.86704582400865882</v>
      </c>
      <c r="AL42" s="572">
        <f t="shared" ref="AL42:AL47" si="501">IF(M42="","",(SIN(RADIANS((90-$Q$8)-W42))*AD42)+(COS(RADIANS((90-$Q$8)-W42))*AE42))</f>
        <v>-0.49631894925977915</v>
      </c>
      <c r="AM42" s="577">
        <f t="shared" ref="AM42:AM47" si="502">IF(M42="","",AF42)</f>
        <v>-4.3577972357774497E-2</v>
      </c>
      <c r="AN42" s="524">
        <f t="shared" ref="AN42:AN47" si="503">IF(M42="","",DEGREES(ATAN2(-AM42,AL42)))</f>
        <v>-84.982163840471244</v>
      </c>
      <c r="AO42" s="525">
        <f t="shared" si="111"/>
        <v>29.882860972932946</v>
      </c>
      <c r="AP42" s="528">
        <f t="shared" ref="AP42:AP47" si="504">IF(M42="","",DEGREES(ATAN2(AK42,AL42)))</f>
        <v>-29.787912885941783</v>
      </c>
      <c r="AQ42" s="529">
        <f t="shared" si="318"/>
        <v>0.27011158791345558</v>
      </c>
      <c r="AS42" s="954">
        <f t="shared" si="138"/>
        <v>216.63036016508607</v>
      </c>
      <c r="AT42" s="950">
        <f t="shared" si="319"/>
        <v>-3.8597247096413332</v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40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4"/>
        <v/>
      </c>
      <c r="BV42" s="9" t="str">
        <f t="shared" si="115"/>
        <v/>
      </c>
      <c r="BW42" s="5" t="str">
        <f t="shared" si="116"/>
        <v/>
      </c>
      <c r="BX42" s="8" t="str">
        <f t="shared" si="117"/>
        <v/>
      </c>
      <c r="BY42" s="173" t="str">
        <f t="shared" si="118"/>
        <v/>
      </c>
      <c r="BZ42" s="5" t="str">
        <f t="shared" si="119"/>
        <v/>
      </c>
      <c r="CA42" s="6" t="str">
        <f t="shared" si="120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21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6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3"/>
        <v/>
      </c>
      <c r="DC42" s="5" t="str">
        <f t="shared" si="163"/>
        <v/>
      </c>
      <c r="DD42" s="10" t="str">
        <f t="shared" si="164"/>
        <v/>
      </c>
      <c r="DE42" s="9" t="str">
        <f t="shared" si="165"/>
        <v/>
      </c>
      <c r="DF42" s="5" t="str">
        <f t="shared" si="165"/>
        <v/>
      </c>
      <c r="DG42" s="10" t="str">
        <f t="shared" si="166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6"/>
        <v/>
      </c>
      <c r="EL42" s="238" t="str">
        <f t="shared" si="197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5"/>
        <v/>
      </c>
      <c r="FA42" s="266" t="str">
        <f t="shared" si="129"/>
        <v/>
      </c>
      <c r="FB42" s="267" t="str">
        <f t="shared" si="130"/>
        <v/>
      </c>
      <c r="FC42" s="269" t="str">
        <f t="shared" si="37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8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2"/>
        <v/>
      </c>
      <c r="GV42" s="343" t="str">
        <f t="shared" si="446"/>
        <v/>
      </c>
      <c r="GW42" s="345" t="str">
        <f t="shared" si="53"/>
        <v/>
      </c>
      <c r="GX42" s="346" t="str">
        <f t="shared" si="54"/>
        <v/>
      </c>
      <c r="GY42" s="344" t="str">
        <f t="shared" si="447"/>
        <v/>
      </c>
      <c r="GZ42" s="345" t="str">
        <f t="shared" si="448"/>
        <v/>
      </c>
      <c r="HA42" s="342" t="str">
        <f t="shared" si="57"/>
        <v/>
      </c>
      <c r="HB42" s="5" t="str">
        <f t="shared" si="227"/>
        <v/>
      </c>
      <c r="HC42" s="343" t="str">
        <f t="shared" si="449"/>
        <v/>
      </c>
      <c r="HD42" s="345" t="str">
        <f t="shared" si="450"/>
        <v/>
      </c>
      <c r="HE42" s="344" t="str">
        <f t="shared" si="58"/>
        <v/>
      </c>
      <c r="HF42" s="5" t="str">
        <f t="shared" si="59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 t="str">
        <f t="shared" ref="HK42:HK73" si="506">IF(ISNUMBER(HS42),HK41+1,"")</f>
        <v/>
      </c>
      <c r="HL42" s="348" t="str">
        <f t="shared" si="454"/>
        <v/>
      </c>
      <c r="HM42" s="923" t="str">
        <f t="shared" si="455"/>
        <v/>
      </c>
      <c r="HN42" s="924" t="str">
        <f t="shared" si="456"/>
        <v/>
      </c>
      <c r="HO42" s="925"/>
      <c r="HP42" s="926"/>
      <c r="HQ42" s="924" t="str">
        <f t="shared" si="457"/>
        <v/>
      </c>
      <c r="HR42" s="927" t="str">
        <f t="shared" si="458"/>
        <v/>
      </c>
      <c r="HS42" s="879" t="str">
        <f t="shared" ref="HS42:HS73" si="507">IFERROR(SMALL($GJ$9:$GJ$150,($HK41+1)),"")</f>
        <v/>
      </c>
      <c r="HT42" s="889" t="str">
        <f t="shared" si="459"/>
        <v/>
      </c>
      <c r="HU42" s="890" t="str">
        <f t="shared" si="460"/>
        <v/>
      </c>
      <c r="HV42" s="886" t="str">
        <f t="shared" si="461"/>
        <v/>
      </c>
      <c r="HW42" s="880" t="str">
        <f t="shared" si="462"/>
        <v/>
      </c>
      <c r="HX42" s="881" t="str">
        <f t="shared" si="463"/>
        <v/>
      </c>
      <c r="HY42" s="880" t="str">
        <f t="shared" si="464"/>
        <v/>
      </c>
      <c r="HZ42" s="882" t="str">
        <f t="shared" si="465"/>
        <v/>
      </c>
      <c r="IA42" s="883" t="str">
        <f t="shared" si="466"/>
        <v/>
      </c>
      <c r="IB42" s="884" t="str">
        <f t="shared" si="467"/>
        <v/>
      </c>
      <c r="IC42" s="855" t="str">
        <f t="shared" si="468"/>
        <v/>
      </c>
      <c r="ID42" s="351" t="str">
        <f t="shared" si="469"/>
        <v/>
      </c>
      <c r="IE42" s="857" t="str">
        <f t="shared" si="470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2"/>
        <v>3.1520000000000001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1913</v>
      </c>
      <c r="IM42" s="482" t="str">
        <f t="shared" si="233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92"/>
        <v>0.02</v>
      </c>
      <c r="B43" s="578">
        <f t="shared" ref="B43:D43" si="508">IFERROR(O198-($A43*E43),"")</f>
        <v>-1.2803489783122446</v>
      </c>
      <c r="C43" s="572">
        <f t="shared" si="508"/>
        <v>-1.4958051373197163</v>
      </c>
      <c r="D43" s="576">
        <f t="shared" si="508"/>
        <v>-1.0361031091522792</v>
      </c>
      <c r="E43" s="580">
        <f t="shared" ref="E43:K43" si="509">R198</f>
        <v>0.78300051133001836</v>
      </c>
      <c r="F43" s="572">
        <f t="shared" si="509"/>
        <v>-0.56957020254261981</v>
      </c>
      <c r="G43" s="579">
        <f t="shared" si="509"/>
        <v>0.24999996726497567</v>
      </c>
      <c r="H43" s="580">
        <f t="shared" si="509"/>
        <v>0.375</v>
      </c>
      <c r="I43" s="572">
        <f t="shared" si="509"/>
        <v>0.52</v>
      </c>
      <c r="J43" s="483">
        <f t="shared" si="95"/>
        <v>4.1050000000000004</v>
      </c>
      <c r="K43" s="806">
        <f t="shared" si="509"/>
        <v>1913</v>
      </c>
      <c r="L43" s="309"/>
      <c r="M43" s="164">
        <f t="shared" si="311"/>
        <v>4.1050000000000004</v>
      </c>
      <c r="N43" s="575">
        <f t="shared" si="312"/>
        <v>-1.2803489783122446</v>
      </c>
      <c r="O43" s="572">
        <f t="shared" si="313"/>
        <v>-1.4958051373197163</v>
      </c>
      <c r="P43" s="576">
        <f t="shared" si="314"/>
        <v>-1.0361031091522792</v>
      </c>
      <c r="Q43" s="528">
        <f t="shared" si="135"/>
        <v>229.43780573398024</v>
      </c>
      <c r="R43" s="572">
        <f t="shared" si="486"/>
        <v>1.9689404549394742</v>
      </c>
      <c r="S43" s="577">
        <f t="shared" si="487"/>
        <v>-1.0361031091522792</v>
      </c>
      <c r="T43" s="578">
        <f t="shared" si="488"/>
        <v>-1.5030430320076267</v>
      </c>
      <c r="U43" s="572">
        <f t="shared" si="489"/>
        <v>1.2718443926167167</v>
      </c>
      <c r="V43" s="579">
        <f t="shared" si="490"/>
        <v>-1.0361031091522792</v>
      </c>
      <c r="W43" s="528">
        <f t="shared" si="257"/>
        <v>139.76278087978744</v>
      </c>
      <c r="X43" s="572">
        <f t="shared" si="491"/>
        <v>1.9689404549394742</v>
      </c>
      <c r="Y43" s="573">
        <f t="shared" si="260"/>
        <v>-1.0361031091522792</v>
      </c>
      <c r="Z43" s="575">
        <f t="shared" si="315"/>
        <v>-0.78300051133001836</v>
      </c>
      <c r="AA43" s="572">
        <f t="shared" si="316"/>
        <v>0.56957020254261981</v>
      </c>
      <c r="AB43" s="572">
        <f t="shared" si="317"/>
        <v>-0.24999996726497567</v>
      </c>
      <c r="AC43" s="579">
        <f t="shared" si="492"/>
        <v>1</v>
      </c>
      <c r="AD43" s="580">
        <f t="shared" si="493"/>
        <v>-0.78300051133001836</v>
      </c>
      <c r="AE43" s="572">
        <f t="shared" si="494"/>
        <v>0.56957020254261981</v>
      </c>
      <c r="AF43" s="576">
        <f t="shared" si="495"/>
        <v>-0.24999996726497567</v>
      </c>
      <c r="AG43" s="545">
        <f t="shared" si="496"/>
        <v>66.302013408767451</v>
      </c>
      <c r="AH43" s="546">
        <f t="shared" si="497"/>
        <v>141.536126332018</v>
      </c>
      <c r="AI43" s="528">
        <f t="shared" si="498"/>
        <v>-75.522489751159455</v>
      </c>
      <c r="AJ43" s="529">
        <f t="shared" si="499"/>
        <v>-126.03289056840963</v>
      </c>
      <c r="AK43" s="578">
        <f t="shared" si="500"/>
        <v>0.96522208658279018</v>
      </c>
      <c r="AL43" s="572">
        <f t="shared" si="501"/>
        <v>7.6461362401383348E-2</v>
      </c>
      <c r="AM43" s="577">
        <f t="shared" si="502"/>
        <v>-0.24999996726497567</v>
      </c>
      <c r="AN43" s="524">
        <f t="shared" si="503"/>
        <v>17.006015534307185</v>
      </c>
      <c r="AO43" s="525">
        <f t="shared" si="111"/>
        <v>15.155007261358774</v>
      </c>
      <c r="AP43" s="528">
        <f t="shared" si="504"/>
        <v>4.5293036976101275</v>
      </c>
      <c r="AQ43" s="529">
        <f t="shared" si="318"/>
        <v>1.1576868042614818</v>
      </c>
      <c r="AS43" s="954">
        <f t="shared" ref="AS43:AS74" si="510">IF(G43="","",IF(AND(W43&lt;(AS42+180),W43&gt;(AS42-180)),W43,IF(W43&gt;(AS42+180),W43-360,IF(W43&lt;(AS42-180),W43+360,"Error"))))</f>
        <v>139.76278087978744</v>
      </c>
      <c r="AT43" s="950">
        <f t="shared" si="319"/>
        <v>-0.8847640622090982</v>
      </c>
      <c r="AU43" s="418"/>
      <c r="AV43" s="164" t="str">
        <f t="shared" si="320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21"/>
        <v/>
      </c>
      <c r="BA43" s="296" t="str">
        <f t="shared" si="322"/>
        <v/>
      </c>
      <c r="BB43" s="190" t="str">
        <f t="shared" si="140"/>
        <v/>
      </c>
      <c r="BC43" s="9"/>
      <c r="BD43" s="5" t="str">
        <f t="shared" si="323"/>
        <v/>
      </c>
      <c r="BE43" s="6" t="str">
        <f t="shared" si="324"/>
        <v/>
      </c>
      <c r="BF43" s="4" t="str">
        <f t="shared" si="325"/>
        <v/>
      </c>
      <c r="BG43" s="5" t="str">
        <f t="shared" si="326"/>
        <v/>
      </c>
      <c r="BH43" s="10" t="str">
        <f t="shared" si="327"/>
        <v/>
      </c>
      <c r="BI43" s="9" t="str">
        <f t="shared" si="328"/>
        <v/>
      </c>
      <c r="BJ43" s="5" t="str">
        <f t="shared" si="329"/>
        <v/>
      </c>
      <c r="BK43" s="8" t="str">
        <f t="shared" si="330"/>
        <v/>
      </c>
      <c r="BL43" s="173" t="str">
        <f t="shared" si="331"/>
        <v/>
      </c>
      <c r="BM43" s="5" t="str">
        <f t="shared" si="332"/>
        <v/>
      </c>
      <c r="BN43" s="6" t="str">
        <f t="shared" si="333"/>
        <v/>
      </c>
      <c r="BO43" s="4" t="str">
        <f t="shared" si="334"/>
        <v/>
      </c>
      <c r="BP43" s="5" t="str">
        <f t="shared" si="335"/>
        <v/>
      </c>
      <c r="BQ43" s="5" t="str">
        <f t="shared" si="336"/>
        <v/>
      </c>
      <c r="BR43" s="6" t="str">
        <f t="shared" si="337"/>
        <v/>
      </c>
      <c r="BS43" s="4" t="str">
        <f t="shared" si="505"/>
        <v/>
      </c>
      <c r="BT43" s="5" t="str">
        <f t="shared" si="505"/>
        <v/>
      </c>
      <c r="BU43" s="10" t="str">
        <f t="shared" si="114"/>
        <v/>
      </c>
      <c r="BV43" s="9" t="str">
        <f t="shared" si="115"/>
        <v/>
      </c>
      <c r="BW43" s="5" t="str">
        <f t="shared" si="116"/>
        <v/>
      </c>
      <c r="BX43" s="8" t="str">
        <f t="shared" si="117"/>
        <v/>
      </c>
      <c r="BY43" s="173" t="str">
        <f t="shared" si="118"/>
        <v/>
      </c>
      <c r="BZ43" s="5" t="str">
        <f t="shared" si="119"/>
        <v/>
      </c>
      <c r="CA43" s="6" t="str">
        <f t="shared" si="120"/>
        <v/>
      </c>
      <c r="CB43" s="4" t="str">
        <f t="shared" si="338"/>
        <v/>
      </c>
      <c r="CC43" s="5" t="str">
        <f t="shared" si="339"/>
        <v/>
      </c>
      <c r="CD43" s="5" t="str">
        <f t="shared" si="340"/>
        <v/>
      </c>
      <c r="CE43" s="6" t="str">
        <f t="shared" si="341"/>
        <v/>
      </c>
      <c r="CF43" s="4" t="str">
        <f t="shared" si="342"/>
        <v/>
      </c>
      <c r="CG43" s="5" t="str">
        <f t="shared" si="343"/>
        <v/>
      </c>
      <c r="CH43" s="5" t="str">
        <f t="shared" si="344"/>
        <v/>
      </c>
      <c r="CI43" s="4" t="str">
        <f t="shared" si="121"/>
        <v/>
      </c>
      <c r="CJ43" s="5" t="str">
        <f t="shared" si="345"/>
        <v/>
      </c>
      <c r="CK43" s="8" t="str">
        <f t="shared" si="346"/>
        <v/>
      </c>
      <c r="CL43" s="173" t="str">
        <f t="shared" si="347"/>
        <v/>
      </c>
      <c r="CM43" s="5" t="str">
        <f t="shared" si="348"/>
        <v/>
      </c>
      <c r="CN43" s="6" t="str">
        <f t="shared" si="349"/>
        <v/>
      </c>
      <c r="CO43" s="167" t="str">
        <f t="shared" si="350"/>
        <v/>
      </c>
      <c r="CP43" s="4" t="str">
        <f t="shared" si="351"/>
        <v/>
      </c>
      <c r="CQ43" s="5" t="str">
        <f t="shared" si="352"/>
        <v/>
      </c>
      <c r="CR43" s="5" t="str">
        <f t="shared" si="353"/>
        <v/>
      </c>
      <c r="CS43" s="8" t="str">
        <f t="shared" si="354"/>
        <v/>
      </c>
      <c r="CT43" s="9" t="str">
        <f t="shared" si="156"/>
        <v/>
      </c>
      <c r="CU43" s="6" t="str">
        <f t="shared" si="355"/>
        <v/>
      </c>
      <c r="CV43" s="4" t="str">
        <f t="shared" si="356"/>
        <v/>
      </c>
      <c r="CW43" s="5" t="str">
        <f t="shared" si="357"/>
        <v/>
      </c>
      <c r="CX43" s="8" t="str">
        <f t="shared" si="358"/>
        <v/>
      </c>
      <c r="CY43" s="9" t="str">
        <f t="shared" si="359"/>
        <v/>
      </c>
      <c r="CZ43" s="5" t="str">
        <f t="shared" si="360"/>
        <v/>
      </c>
      <c r="DA43" s="6" t="str">
        <f t="shared" si="361"/>
        <v/>
      </c>
      <c r="DB43" s="4" t="str">
        <f t="shared" ref="DB43:DC53" si="511">IF(ISNUMBER($AV43),0,"")</f>
        <v/>
      </c>
      <c r="DC43" s="5" t="str">
        <f t="shared" si="511"/>
        <v/>
      </c>
      <c r="DD43" s="10" t="str">
        <f t="shared" si="164"/>
        <v/>
      </c>
      <c r="DE43" s="9" t="str">
        <f t="shared" ref="DE43:DF53" si="512">IF(ISNUMBER($AV43),0,"")</f>
        <v/>
      </c>
      <c r="DF43" s="5" t="str">
        <f t="shared" si="512"/>
        <v/>
      </c>
      <c r="DG43" s="10" t="str">
        <f t="shared" si="166"/>
        <v/>
      </c>
      <c r="DH43" s="70" t="str">
        <f t="shared" si="362"/>
        <v/>
      </c>
      <c r="DI43" s="4" t="str">
        <f t="shared" si="363"/>
        <v/>
      </c>
      <c r="DJ43" s="5" t="str">
        <f t="shared" si="364"/>
        <v/>
      </c>
      <c r="DK43" s="10" t="str">
        <f t="shared" si="365"/>
        <v/>
      </c>
      <c r="DL43" s="9" t="str">
        <f t="shared" si="366"/>
        <v/>
      </c>
      <c r="DM43" s="173" t="str">
        <f t="shared" si="367"/>
        <v/>
      </c>
      <c r="DN43" s="178" t="str">
        <f t="shared" si="368"/>
        <v/>
      </c>
      <c r="DO43" s="9" t="str">
        <f t="shared" si="369"/>
        <v/>
      </c>
      <c r="DP43" s="173" t="str">
        <f t="shared" si="370"/>
        <v/>
      </c>
      <c r="DQ43" s="11" t="str">
        <f t="shared" si="371"/>
        <v/>
      </c>
      <c r="DR43" s="173" t="str">
        <f t="shared" si="372"/>
        <v/>
      </c>
      <c r="DS43" s="5" t="str">
        <f t="shared" si="373"/>
        <v/>
      </c>
      <c r="DT43" s="5" t="str">
        <f t="shared" si="374"/>
        <v/>
      </c>
      <c r="DU43" s="5" t="str">
        <f t="shared" si="375"/>
        <v/>
      </c>
      <c r="DV43" s="5" t="str">
        <f t="shared" si="376"/>
        <v/>
      </c>
      <c r="DW43" s="5" t="str">
        <f t="shared" si="377"/>
        <v/>
      </c>
      <c r="DX43" s="167" t="str">
        <f t="shared" si="378"/>
        <v/>
      </c>
      <c r="DY43" s="9" t="str">
        <f t="shared" si="379"/>
        <v/>
      </c>
      <c r="DZ43" s="5" t="str">
        <f t="shared" si="380"/>
        <v/>
      </c>
      <c r="EA43" s="10" t="str">
        <f t="shared" si="381"/>
        <v/>
      </c>
      <c r="EB43" s="6" t="str">
        <f t="shared" si="382"/>
        <v/>
      </c>
      <c r="EC43" s="173" t="str">
        <f t="shared" si="383"/>
        <v/>
      </c>
      <c r="ED43" s="5" t="str">
        <f t="shared" si="384"/>
        <v/>
      </c>
      <c r="EE43" s="4" t="str">
        <f t="shared" si="385"/>
        <v/>
      </c>
      <c r="EF43" s="5" t="str">
        <f t="shared" si="386"/>
        <v/>
      </c>
      <c r="EG43" s="10" t="str">
        <f t="shared" si="387"/>
        <v/>
      </c>
      <c r="EH43" s="9" t="str">
        <f t="shared" si="388"/>
        <v/>
      </c>
      <c r="EI43" s="5" t="str">
        <f t="shared" si="389"/>
        <v/>
      </c>
      <c r="EJ43" s="6" t="str">
        <f t="shared" si="390"/>
        <v/>
      </c>
      <c r="EK43" s="236" t="str">
        <f t="shared" si="196"/>
        <v/>
      </c>
      <c r="EL43" s="238" t="str">
        <f t="shared" si="197"/>
        <v/>
      </c>
      <c r="EM43" s="4" t="str">
        <f t="shared" si="391"/>
        <v/>
      </c>
      <c r="EN43" s="5" t="str">
        <f t="shared" si="392"/>
        <v/>
      </c>
      <c r="EO43" s="10" t="str">
        <f t="shared" si="393"/>
        <v/>
      </c>
      <c r="EP43" s="9" t="str">
        <f t="shared" si="394"/>
        <v/>
      </c>
      <c r="EQ43" s="5" t="str">
        <f t="shared" si="395"/>
        <v/>
      </c>
      <c r="ER43" s="7" t="str">
        <f t="shared" si="396"/>
        <v/>
      </c>
      <c r="ES43" s="21" t="str">
        <f t="shared" si="397"/>
        <v/>
      </c>
      <c r="ET43" s="5" t="str">
        <f t="shared" si="398"/>
        <v/>
      </c>
      <c r="EU43" s="10" t="str">
        <f t="shared" si="399"/>
        <v/>
      </c>
      <c r="EV43" s="174" t="str">
        <f t="shared" si="400"/>
        <v/>
      </c>
      <c r="EW43" s="9" t="str">
        <f t="shared" si="401"/>
        <v/>
      </c>
      <c r="EX43" s="5" t="str">
        <f t="shared" si="402"/>
        <v/>
      </c>
      <c r="EY43" s="6" t="str">
        <f t="shared" si="403"/>
        <v/>
      </c>
      <c r="EZ43" s="51" t="str">
        <f t="shared" si="205"/>
        <v/>
      </c>
      <c r="FA43" s="266" t="str">
        <f t="shared" si="129"/>
        <v/>
      </c>
      <c r="FB43" s="267" t="str">
        <f t="shared" si="130"/>
        <v/>
      </c>
      <c r="FC43" s="269" t="str">
        <f t="shared" si="37"/>
        <v/>
      </c>
      <c r="FD43" s="4" t="str">
        <f t="shared" si="404"/>
        <v/>
      </c>
      <c r="FE43" s="5" t="str">
        <f t="shared" si="405"/>
        <v/>
      </c>
      <c r="FF43" s="7" t="str">
        <f t="shared" si="406"/>
        <v/>
      </c>
      <c r="FG43" s="173" t="str">
        <f t="shared" si="407"/>
        <v/>
      </c>
      <c r="FH43" s="5" t="str">
        <f t="shared" si="408"/>
        <v/>
      </c>
      <c r="FI43" s="10" t="str">
        <f t="shared" si="409"/>
        <v/>
      </c>
      <c r="FJ43" s="279" t="str">
        <f t="shared" si="410"/>
        <v/>
      </c>
      <c r="FK43" s="4" t="str">
        <f t="shared" si="411"/>
        <v/>
      </c>
      <c r="FL43" s="5" t="str">
        <f t="shared" si="412"/>
        <v/>
      </c>
      <c r="FM43" s="8" t="str">
        <f t="shared" si="413"/>
        <v/>
      </c>
      <c r="FN43" s="9" t="str">
        <f t="shared" si="414"/>
        <v/>
      </c>
      <c r="FO43" s="10" t="str">
        <f t="shared" si="415"/>
        <v/>
      </c>
      <c r="FP43" s="277" t="str">
        <f t="shared" si="416"/>
        <v/>
      </c>
      <c r="FQ43" s="173" t="str">
        <f t="shared" si="417"/>
        <v/>
      </c>
      <c r="FR43" s="10" t="str">
        <f t="shared" si="418"/>
        <v/>
      </c>
      <c r="FS43" s="9" t="str">
        <f t="shared" si="419"/>
        <v/>
      </c>
      <c r="FT43" s="6" t="str">
        <f t="shared" si="420"/>
        <v/>
      </c>
      <c r="FU43" s="4" t="str">
        <f t="shared" si="421"/>
        <v/>
      </c>
      <c r="FV43" s="5" t="str">
        <f t="shared" si="422"/>
        <v/>
      </c>
      <c r="FW43" s="8" t="str">
        <f t="shared" si="423"/>
        <v/>
      </c>
      <c r="FX43" s="9" t="str">
        <f t="shared" si="424"/>
        <v/>
      </c>
      <c r="FY43" s="10" t="str">
        <f t="shared" si="425"/>
        <v/>
      </c>
      <c r="FZ43" s="277" t="str">
        <f t="shared" si="426"/>
        <v/>
      </c>
      <c r="GA43" s="177" t="str">
        <f t="shared" si="427"/>
        <v/>
      </c>
      <c r="GB43" s="4" t="str">
        <f t="shared" si="428"/>
        <v/>
      </c>
      <c r="GC43" s="5" t="str">
        <f t="shared" si="429"/>
        <v/>
      </c>
      <c r="GD43" s="10" t="str">
        <f t="shared" si="430"/>
        <v/>
      </c>
      <c r="GE43" s="311" t="str">
        <f t="shared" si="431"/>
        <v/>
      </c>
      <c r="GF43" s="341" t="str">
        <f t="shared" si="432"/>
        <v/>
      </c>
      <c r="GG43" s="285" t="str">
        <f t="shared" si="433"/>
        <v/>
      </c>
      <c r="GH43" s="286" t="str">
        <f t="shared" si="434"/>
        <v/>
      </c>
      <c r="GI43" s="281" t="str">
        <f t="shared" si="435"/>
        <v/>
      </c>
      <c r="GJ43" s="167" t="str">
        <f t="shared" si="436"/>
        <v/>
      </c>
      <c r="GK43" s="174" t="str">
        <f t="shared" si="48"/>
        <v/>
      </c>
      <c r="GL43" s="174" t="str">
        <f t="shared" si="437"/>
        <v/>
      </c>
      <c r="GM43" s="177" t="str">
        <f t="shared" si="438"/>
        <v/>
      </c>
      <c r="GN43" s="280" t="str">
        <f t="shared" si="439"/>
        <v/>
      </c>
      <c r="GO43" s="4" t="str">
        <f t="shared" si="440"/>
        <v/>
      </c>
      <c r="GP43" s="8" t="str">
        <f t="shared" si="441"/>
        <v/>
      </c>
      <c r="GQ43" s="177" t="str">
        <f t="shared" si="442"/>
        <v/>
      </c>
      <c r="GR43" s="371" t="str">
        <f t="shared" si="443"/>
        <v/>
      </c>
      <c r="GS43" s="342" t="str">
        <f t="shared" si="444"/>
        <v/>
      </c>
      <c r="GT43" s="343" t="str">
        <f t="shared" si="445"/>
        <v/>
      </c>
      <c r="GU43" s="344" t="str">
        <f t="shared" si="52"/>
        <v/>
      </c>
      <c r="GV43" s="343" t="str">
        <f t="shared" si="446"/>
        <v/>
      </c>
      <c r="GW43" s="345" t="str">
        <f t="shared" si="53"/>
        <v/>
      </c>
      <c r="GX43" s="346" t="str">
        <f t="shared" si="54"/>
        <v/>
      </c>
      <c r="GY43" s="344" t="str">
        <f t="shared" si="447"/>
        <v/>
      </c>
      <c r="GZ43" s="345" t="str">
        <f t="shared" si="448"/>
        <v/>
      </c>
      <c r="HA43" s="342" t="str">
        <f t="shared" si="57"/>
        <v/>
      </c>
      <c r="HB43" s="5" t="str">
        <f t="shared" si="227"/>
        <v/>
      </c>
      <c r="HC43" s="343" t="str">
        <f t="shared" si="449"/>
        <v/>
      </c>
      <c r="HD43" s="345" t="str">
        <f t="shared" si="450"/>
        <v/>
      </c>
      <c r="HE43" s="344" t="str">
        <f t="shared" si="58"/>
        <v/>
      </c>
      <c r="HF43" s="5" t="str">
        <f t="shared" si="59"/>
        <v/>
      </c>
      <c r="HG43" s="343" t="str">
        <f t="shared" si="451"/>
        <v/>
      </c>
      <c r="HH43" s="349" t="str">
        <f t="shared" si="452"/>
        <v/>
      </c>
      <c r="HI43" s="317" t="str">
        <f t="shared" si="453"/>
        <v/>
      </c>
      <c r="HJ43" s="336"/>
      <c r="HK43" s="310" t="str">
        <f t="shared" si="506"/>
        <v/>
      </c>
      <c r="HL43" s="348" t="str">
        <f t="shared" si="454"/>
        <v/>
      </c>
      <c r="HM43" s="923" t="str">
        <f t="shared" si="455"/>
        <v/>
      </c>
      <c r="HN43" s="924" t="str">
        <f t="shared" si="456"/>
        <v/>
      </c>
      <c r="HO43" s="925"/>
      <c r="HP43" s="926"/>
      <c r="HQ43" s="924" t="str">
        <f t="shared" si="457"/>
        <v/>
      </c>
      <c r="HR43" s="927" t="str">
        <f t="shared" si="458"/>
        <v/>
      </c>
      <c r="HS43" s="879" t="str">
        <f t="shared" si="507"/>
        <v/>
      </c>
      <c r="HT43" s="889" t="str">
        <f t="shared" si="459"/>
        <v/>
      </c>
      <c r="HU43" s="890" t="str">
        <f t="shared" si="460"/>
        <v/>
      </c>
      <c r="HV43" s="886" t="str">
        <f t="shared" si="461"/>
        <v/>
      </c>
      <c r="HW43" s="880" t="str">
        <f t="shared" si="462"/>
        <v/>
      </c>
      <c r="HX43" s="881" t="str">
        <f t="shared" si="463"/>
        <v/>
      </c>
      <c r="HY43" s="880" t="str">
        <f t="shared" si="464"/>
        <v/>
      </c>
      <c r="HZ43" s="882" t="str">
        <f t="shared" si="465"/>
        <v/>
      </c>
      <c r="IA43" s="883" t="str">
        <f t="shared" si="466"/>
        <v/>
      </c>
      <c r="IB43" s="884" t="str">
        <f t="shared" si="467"/>
        <v/>
      </c>
      <c r="IC43" s="855" t="str">
        <f t="shared" si="468"/>
        <v/>
      </c>
      <c r="ID43" s="351" t="str">
        <f t="shared" si="469"/>
        <v/>
      </c>
      <c r="IE43" s="857" t="str">
        <f t="shared" si="470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2"/>
        <v>4.1050000000000004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1913</v>
      </c>
      <c r="IM43" s="482" t="str">
        <f t="shared" si="233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92"/>
        <v>0.02</v>
      </c>
      <c r="B44" s="578">
        <f t="shared" ref="B44:D44" si="513">IFERROR(O199-($A44*E44),"")</f>
        <v>-1.8275794030759736</v>
      </c>
      <c r="C44" s="572">
        <f t="shared" si="513"/>
        <v>-2.1479684947538478</v>
      </c>
      <c r="D44" s="576">
        <f t="shared" si="513"/>
        <v>-0.72626543902386331</v>
      </c>
      <c r="E44" s="580">
        <f t="shared" ref="E44:K44" si="514">R199</f>
        <v>0.77453127374180142</v>
      </c>
      <c r="F44" s="572">
        <f t="shared" si="514"/>
        <v>-0.57966343963341882</v>
      </c>
      <c r="G44" s="579">
        <f t="shared" si="514"/>
        <v>0.25316319390515024</v>
      </c>
      <c r="H44" s="580">
        <f t="shared" si="514"/>
        <v>0.375</v>
      </c>
      <c r="I44" s="572">
        <f t="shared" si="514"/>
        <v>0.52</v>
      </c>
      <c r="J44" s="483">
        <f t="shared" si="95"/>
        <v>4.1079999999999997</v>
      </c>
      <c r="K44" s="806">
        <f t="shared" si="514"/>
        <v>1913</v>
      </c>
      <c r="L44" s="309"/>
      <c r="M44" s="164">
        <f t="shared" si="311"/>
        <v>4.1079999999999997</v>
      </c>
      <c r="N44" s="575">
        <f t="shared" si="312"/>
        <v>-1.8275794030759736</v>
      </c>
      <c r="O44" s="572">
        <f t="shared" si="313"/>
        <v>-2.1479684947538478</v>
      </c>
      <c r="P44" s="576">
        <f t="shared" si="314"/>
        <v>-0.72626543902386331</v>
      </c>
      <c r="Q44" s="528">
        <f t="shared" si="135"/>
        <v>229.60750472995258</v>
      </c>
      <c r="R44" s="572">
        <f t="shared" si="486"/>
        <v>2.8202508982362975</v>
      </c>
      <c r="S44" s="577">
        <f t="shared" si="487"/>
        <v>-0.72626543902386331</v>
      </c>
      <c r="T44" s="578">
        <f t="shared" si="488"/>
        <v>-2.1582997114236195</v>
      </c>
      <c r="U44" s="572">
        <f t="shared" si="489"/>
        <v>1.8153670385548386</v>
      </c>
      <c r="V44" s="579">
        <f t="shared" si="490"/>
        <v>-0.72626543902386331</v>
      </c>
      <c r="W44" s="528">
        <f t="shared" si="257"/>
        <v>139.93247987575978</v>
      </c>
      <c r="X44" s="572">
        <f t="shared" si="491"/>
        <v>2.8202508982362975</v>
      </c>
      <c r="Y44" s="573">
        <f t="shared" si="260"/>
        <v>-0.72626543902386331</v>
      </c>
      <c r="Z44" s="575">
        <f t="shared" si="315"/>
        <v>-0.77453127374180142</v>
      </c>
      <c r="AA44" s="572">
        <f t="shared" si="316"/>
        <v>0.57966343963341882</v>
      </c>
      <c r="AB44" s="572">
        <f t="shared" si="317"/>
        <v>-0.25316319390515024</v>
      </c>
      <c r="AC44" s="579">
        <f t="shared" si="492"/>
        <v>1</v>
      </c>
      <c r="AD44" s="580">
        <f t="shared" si="493"/>
        <v>-0.77453127374180142</v>
      </c>
      <c r="AE44" s="572">
        <f t="shared" si="494"/>
        <v>0.57966343963341882</v>
      </c>
      <c r="AF44" s="576">
        <f t="shared" si="495"/>
        <v>-0.25316319390515024</v>
      </c>
      <c r="AG44" s="545">
        <f t="shared" si="496"/>
        <v>66.40709991734613</v>
      </c>
      <c r="AH44" s="546">
        <f t="shared" si="497"/>
        <v>140.76255554431944</v>
      </c>
      <c r="AI44" s="528">
        <f t="shared" si="498"/>
        <v>-75.33522701738265</v>
      </c>
      <c r="AJ44" s="529">
        <f t="shared" si="499"/>
        <v>-126.81138247303095</v>
      </c>
      <c r="AK44" s="578">
        <f t="shared" si="500"/>
        <v>0.96553456959878381</v>
      </c>
      <c r="AL44" s="572">
        <f t="shared" si="501"/>
        <v>6.0426750379569572E-2</v>
      </c>
      <c r="AM44" s="577">
        <f t="shared" si="502"/>
        <v>-0.25316319390515024</v>
      </c>
      <c r="AN44" s="524">
        <f t="shared" si="503"/>
        <v>13.424577211100884</v>
      </c>
      <c r="AO44" s="525">
        <f t="shared" si="111"/>
        <v>15.086371091027326</v>
      </c>
      <c r="AP44" s="528">
        <f t="shared" si="504"/>
        <v>3.5811127970164387</v>
      </c>
      <c r="AQ44" s="529">
        <f t="shared" si="318"/>
        <v>0.8082881553676724</v>
      </c>
      <c r="AS44" s="954">
        <f t="shared" si="510"/>
        <v>139.93247987575978</v>
      </c>
      <c r="AT44" s="950">
        <f t="shared" si="319"/>
        <v>-0.57504423860566301</v>
      </c>
      <c r="AU44" s="418"/>
      <c r="AV44" s="164" t="str">
        <f t="shared" si="320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21"/>
        <v/>
      </c>
      <c r="BA44" s="296" t="str">
        <f t="shared" si="322"/>
        <v/>
      </c>
      <c r="BB44" s="190" t="str">
        <f t="shared" si="140"/>
        <v/>
      </c>
      <c r="BC44" s="9"/>
      <c r="BD44" s="5" t="str">
        <f t="shared" si="323"/>
        <v/>
      </c>
      <c r="BE44" s="6" t="str">
        <f t="shared" si="324"/>
        <v/>
      </c>
      <c r="BF44" s="4" t="str">
        <f t="shared" si="325"/>
        <v/>
      </c>
      <c r="BG44" s="5" t="str">
        <f t="shared" si="326"/>
        <v/>
      </c>
      <c r="BH44" s="10" t="str">
        <f t="shared" si="327"/>
        <v/>
      </c>
      <c r="BI44" s="9" t="str">
        <f t="shared" si="328"/>
        <v/>
      </c>
      <c r="BJ44" s="5" t="str">
        <f t="shared" si="329"/>
        <v/>
      </c>
      <c r="BK44" s="8" t="str">
        <f t="shared" si="330"/>
        <v/>
      </c>
      <c r="BL44" s="173" t="str">
        <f t="shared" si="331"/>
        <v/>
      </c>
      <c r="BM44" s="5" t="str">
        <f t="shared" si="332"/>
        <v/>
      </c>
      <c r="BN44" s="6" t="str">
        <f t="shared" si="333"/>
        <v/>
      </c>
      <c r="BO44" s="4" t="str">
        <f t="shared" si="334"/>
        <v/>
      </c>
      <c r="BP44" s="5" t="str">
        <f t="shared" si="335"/>
        <v/>
      </c>
      <c r="BQ44" s="5" t="str">
        <f t="shared" si="336"/>
        <v/>
      </c>
      <c r="BR44" s="6" t="str">
        <f t="shared" si="337"/>
        <v/>
      </c>
      <c r="BS44" s="4" t="str">
        <f t="shared" si="505"/>
        <v/>
      </c>
      <c r="BT44" s="5" t="str">
        <f t="shared" si="505"/>
        <v/>
      </c>
      <c r="BU44" s="10" t="str">
        <f t="shared" si="114"/>
        <v/>
      </c>
      <c r="BV44" s="9" t="str">
        <f t="shared" si="115"/>
        <v/>
      </c>
      <c r="BW44" s="5" t="str">
        <f t="shared" si="116"/>
        <v/>
      </c>
      <c r="BX44" s="8" t="str">
        <f t="shared" si="117"/>
        <v/>
      </c>
      <c r="BY44" s="173" t="str">
        <f t="shared" si="118"/>
        <v/>
      </c>
      <c r="BZ44" s="5" t="str">
        <f t="shared" si="119"/>
        <v/>
      </c>
      <c r="CA44" s="6" t="str">
        <f t="shared" si="120"/>
        <v/>
      </c>
      <c r="CB44" s="4" t="str">
        <f t="shared" si="338"/>
        <v/>
      </c>
      <c r="CC44" s="5" t="str">
        <f t="shared" si="339"/>
        <v/>
      </c>
      <c r="CD44" s="5" t="str">
        <f t="shared" si="340"/>
        <v/>
      </c>
      <c r="CE44" s="6" t="str">
        <f t="shared" si="341"/>
        <v/>
      </c>
      <c r="CF44" s="4" t="str">
        <f t="shared" si="342"/>
        <v/>
      </c>
      <c r="CG44" s="5" t="str">
        <f t="shared" si="343"/>
        <v/>
      </c>
      <c r="CH44" s="5" t="str">
        <f t="shared" si="344"/>
        <v/>
      </c>
      <c r="CI44" s="4" t="str">
        <f t="shared" si="121"/>
        <v/>
      </c>
      <c r="CJ44" s="5" t="str">
        <f t="shared" si="345"/>
        <v/>
      </c>
      <c r="CK44" s="8" t="str">
        <f t="shared" si="346"/>
        <v/>
      </c>
      <c r="CL44" s="173" t="str">
        <f t="shared" si="347"/>
        <v/>
      </c>
      <c r="CM44" s="5" t="str">
        <f t="shared" si="348"/>
        <v/>
      </c>
      <c r="CN44" s="6" t="str">
        <f t="shared" si="349"/>
        <v/>
      </c>
      <c r="CO44" s="167" t="str">
        <f t="shared" si="350"/>
        <v/>
      </c>
      <c r="CP44" s="4" t="str">
        <f t="shared" si="351"/>
        <v/>
      </c>
      <c r="CQ44" s="5" t="str">
        <f t="shared" si="352"/>
        <v/>
      </c>
      <c r="CR44" s="5" t="str">
        <f t="shared" si="353"/>
        <v/>
      </c>
      <c r="CS44" s="8" t="str">
        <f t="shared" si="354"/>
        <v/>
      </c>
      <c r="CT44" s="9" t="str">
        <f t="shared" si="156"/>
        <v/>
      </c>
      <c r="CU44" s="6" t="str">
        <f t="shared" si="355"/>
        <v/>
      </c>
      <c r="CV44" s="4" t="str">
        <f t="shared" si="356"/>
        <v/>
      </c>
      <c r="CW44" s="5" t="str">
        <f t="shared" si="357"/>
        <v/>
      </c>
      <c r="CX44" s="8" t="str">
        <f t="shared" si="358"/>
        <v/>
      </c>
      <c r="CY44" s="9" t="str">
        <f t="shared" si="359"/>
        <v/>
      </c>
      <c r="CZ44" s="5" t="str">
        <f t="shared" si="360"/>
        <v/>
      </c>
      <c r="DA44" s="6" t="str">
        <f t="shared" si="361"/>
        <v/>
      </c>
      <c r="DB44" s="4" t="str">
        <f t="shared" si="511"/>
        <v/>
      </c>
      <c r="DC44" s="5" t="str">
        <f t="shared" si="511"/>
        <v/>
      </c>
      <c r="DD44" s="10" t="str">
        <f t="shared" si="164"/>
        <v/>
      </c>
      <c r="DE44" s="9" t="str">
        <f t="shared" si="512"/>
        <v/>
      </c>
      <c r="DF44" s="5" t="str">
        <f t="shared" si="512"/>
        <v/>
      </c>
      <c r="DG44" s="10" t="str">
        <f t="shared" si="166"/>
        <v/>
      </c>
      <c r="DH44" s="70" t="str">
        <f t="shared" si="362"/>
        <v/>
      </c>
      <c r="DI44" s="4" t="str">
        <f t="shared" si="363"/>
        <v/>
      </c>
      <c r="DJ44" s="5" t="str">
        <f t="shared" si="364"/>
        <v/>
      </c>
      <c r="DK44" s="10" t="str">
        <f t="shared" si="365"/>
        <v/>
      </c>
      <c r="DL44" s="9" t="str">
        <f t="shared" si="366"/>
        <v/>
      </c>
      <c r="DM44" s="173" t="str">
        <f t="shared" si="367"/>
        <v/>
      </c>
      <c r="DN44" s="178" t="str">
        <f t="shared" si="368"/>
        <v/>
      </c>
      <c r="DO44" s="9" t="str">
        <f t="shared" si="369"/>
        <v/>
      </c>
      <c r="DP44" s="173" t="str">
        <f t="shared" si="370"/>
        <v/>
      </c>
      <c r="DQ44" s="11" t="str">
        <f t="shared" si="371"/>
        <v/>
      </c>
      <c r="DR44" s="173" t="str">
        <f t="shared" si="372"/>
        <v/>
      </c>
      <c r="DS44" s="5" t="str">
        <f t="shared" si="373"/>
        <v/>
      </c>
      <c r="DT44" s="5" t="str">
        <f t="shared" si="374"/>
        <v/>
      </c>
      <c r="DU44" s="5" t="str">
        <f t="shared" si="375"/>
        <v/>
      </c>
      <c r="DV44" s="5" t="str">
        <f t="shared" si="376"/>
        <v/>
      </c>
      <c r="DW44" s="5" t="str">
        <f t="shared" si="377"/>
        <v/>
      </c>
      <c r="DX44" s="167" t="str">
        <f t="shared" si="378"/>
        <v/>
      </c>
      <c r="DY44" s="9" t="str">
        <f t="shared" si="379"/>
        <v/>
      </c>
      <c r="DZ44" s="5" t="str">
        <f t="shared" si="380"/>
        <v/>
      </c>
      <c r="EA44" s="10" t="str">
        <f t="shared" si="381"/>
        <v/>
      </c>
      <c r="EB44" s="6" t="str">
        <f t="shared" si="382"/>
        <v/>
      </c>
      <c r="EC44" s="173" t="str">
        <f t="shared" si="383"/>
        <v/>
      </c>
      <c r="ED44" s="5" t="str">
        <f t="shared" si="384"/>
        <v/>
      </c>
      <c r="EE44" s="4" t="str">
        <f t="shared" si="385"/>
        <v/>
      </c>
      <c r="EF44" s="5" t="str">
        <f t="shared" si="386"/>
        <v/>
      </c>
      <c r="EG44" s="10" t="str">
        <f t="shared" si="387"/>
        <v/>
      </c>
      <c r="EH44" s="9" t="str">
        <f t="shared" si="388"/>
        <v/>
      </c>
      <c r="EI44" s="5" t="str">
        <f t="shared" si="389"/>
        <v/>
      </c>
      <c r="EJ44" s="6" t="str">
        <f t="shared" si="390"/>
        <v/>
      </c>
      <c r="EK44" s="236" t="str">
        <f t="shared" si="196"/>
        <v/>
      </c>
      <c r="EL44" s="238" t="str">
        <f t="shared" si="197"/>
        <v/>
      </c>
      <c r="EM44" s="4" t="str">
        <f t="shared" si="391"/>
        <v/>
      </c>
      <c r="EN44" s="5" t="str">
        <f t="shared" si="392"/>
        <v/>
      </c>
      <c r="EO44" s="10" t="str">
        <f t="shared" si="393"/>
        <v/>
      </c>
      <c r="EP44" s="9" t="str">
        <f t="shared" si="394"/>
        <v/>
      </c>
      <c r="EQ44" s="5" t="str">
        <f t="shared" si="395"/>
        <v/>
      </c>
      <c r="ER44" s="7" t="str">
        <f t="shared" si="396"/>
        <v/>
      </c>
      <c r="ES44" s="21" t="str">
        <f t="shared" si="397"/>
        <v/>
      </c>
      <c r="ET44" s="5" t="str">
        <f t="shared" si="398"/>
        <v/>
      </c>
      <c r="EU44" s="10" t="str">
        <f t="shared" si="399"/>
        <v/>
      </c>
      <c r="EV44" s="174" t="str">
        <f t="shared" si="400"/>
        <v/>
      </c>
      <c r="EW44" s="9" t="str">
        <f t="shared" si="401"/>
        <v/>
      </c>
      <c r="EX44" s="5" t="str">
        <f t="shared" si="402"/>
        <v/>
      </c>
      <c r="EY44" s="6" t="str">
        <f t="shared" si="403"/>
        <v/>
      </c>
      <c r="EZ44" s="51" t="str">
        <f t="shared" si="205"/>
        <v/>
      </c>
      <c r="FA44" s="266" t="str">
        <f t="shared" si="129"/>
        <v/>
      </c>
      <c r="FB44" s="267" t="str">
        <f t="shared" si="130"/>
        <v/>
      </c>
      <c r="FC44" s="269" t="str">
        <f t="shared" si="37"/>
        <v/>
      </c>
      <c r="FD44" s="4" t="str">
        <f t="shared" si="404"/>
        <v/>
      </c>
      <c r="FE44" s="5" t="str">
        <f t="shared" si="405"/>
        <v/>
      </c>
      <c r="FF44" s="7" t="str">
        <f t="shared" si="406"/>
        <v/>
      </c>
      <c r="FG44" s="173" t="str">
        <f t="shared" si="407"/>
        <v/>
      </c>
      <c r="FH44" s="5" t="str">
        <f t="shared" si="408"/>
        <v/>
      </c>
      <c r="FI44" s="10" t="str">
        <f t="shared" si="409"/>
        <v/>
      </c>
      <c r="FJ44" s="279" t="str">
        <f t="shared" si="410"/>
        <v/>
      </c>
      <c r="FK44" s="4" t="str">
        <f t="shared" si="411"/>
        <v/>
      </c>
      <c r="FL44" s="5" t="str">
        <f t="shared" si="412"/>
        <v/>
      </c>
      <c r="FM44" s="8" t="str">
        <f t="shared" si="413"/>
        <v/>
      </c>
      <c r="FN44" s="9" t="str">
        <f t="shared" si="414"/>
        <v/>
      </c>
      <c r="FO44" s="10" t="str">
        <f t="shared" si="415"/>
        <v/>
      </c>
      <c r="FP44" s="277" t="str">
        <f t="shared" si="416"/>
        <v/>
      </c>
      <c r="FQ44" s="173" t="str">
        <f t="shared" si="417"/>
        <v/>
      </c>
      <c r="FR44" s="10" t="str">
        <f t="shared" si="418"/>
        <v/>
      </c>
      <c r="FS44" s="9" t="str">
        <f t="shared" si="419"/>
        <v/>
      </c>
      <c r="FT44" s="6" t="str">
        <f t="shared" si="420"/>
        <v/>
      </c>
      <c r="FU44" s="4" t="str">
        <f t="shared" si="421"/>
        <v/>
      </c>
      <c r="FV44" s="5" t="str">
        <f t="shared" si="422"/>
        <v/>
      </c>
      <c r="FW44" s="8" t="str">
        <f t="shared" si="423"/>
        <v/>
      </c>
      <c r="FX44" s="9" t="str">
        <f t="shared" si="424"/>
        <v/>
      </c>
      <c r="FY44" s="10" t="str">
        <f t="shared" si="425"/>
        <v/>
      </c>
      <c r="FZ44" s="277" t="str">
        <f t="shared" si="426"/>
        <v/>
      </c>
      <c r="GA44" s="177" t="str">
        <f t="shared" si="427"/>
        <v/>
      </c>
      <c r="GB44" s="4" t="str">
        <f t="shared" si="428"/>
        <v/>
      </c>
      <c r="GC44" s="5" t="str">
        <f t="shared" si="429"/>
        <v/>
      </c>
      <c r="GD44" s="10" t="str">
        <f t="shared" si="430"/>
        <v/>
      </c>
      <c r="GE44" s="311" t="str">
        <f t="shared" si="431"/>
        <v/>
      </c>
      <c r="GF44" s="341" t="str">
        <f t="shared" si="432"/>
        <v/>
      </c>
      <c r="GG44" s="285" t="str">
        <f t="shared" si="433"/>
        <v/>
      </c>
      <c r="GH44" s="286" t="str">
        <f t="shared" si="434"/>
        <v/>
      </c>
      <c r="GI44" s="281" t="str">
        <f t="shared" si="435"/>
        <v/>
      </c>
      <c r="GJ44" s="167" t="str">
        <f t="shared" si="436"/>
        <v/>
      </c>
      <c r="GK44" s="174" t="str">
        <f t="shared" si="48"/>
        <v/>
      </c>
      <c r="GL44" s="174" t="str">
        <f t="shared" si="437"/>
        <v/>
      </c>
      <c r="GM44" s="177" t="str">
        <f t="shared" si="438"/>
        <v/>
      </c>
      <c r="GN44" s="280" t="str">
        <f t="shared" si="439"/>
        <v/>
      </c>
      <c r="GO44" s="4" t="str">
        <f t="shared" si="440"/>
        <v/>
      </c>
      <c r="GP44" s="8" t="str">
        <f t="shared" si="441"/>
        <v/>
      </c>
      <c r="GQ44" s="177" t="str">
        <f t="shared" si="442"/>
        <v/>
      </c>
      <c r="GR44" s="371" t="str">
        <f t="shared" si="443"/>
        <v/>
      </c>
      <c r="GS44" s="342" t="str">
        <f t="shared" si="444"/>
        <v/>
      </c>
      <c r="GT44" s="343" t="str">
        <f t="shared" si="445"/>
        <v/>
      </c>
      <c r="GU44" s="344" t="str">
        <f t="shared" si="52"/>
        <v/>
      </c>
      <c r="GV44" s="343" t="str">
        <f t="shared" si="446"/>
        <v/>
      </c>
      <c r="GW44" s="345" t="str">
        <f t="shared" si="53"/>
        <v/>
      </c>
      <c r="GX44" s="346" t="str">
        <f t="shared" si="54"/>
        <v/>
      </c>
      <c r="GY44" s="344" t="str">
        <f t="shared" si="447"/>
        <v/>
      </c>
      <c r="GZ44" s="345" t="str">
        <f t="shared" si="448"/>
        <v/>
      </c>
      <c r="HA44" s="342" t="str">
        <f t="shared" si="57"/>
        <v/>
      </c>
      <c r="HB44" s="5" t="str">
        <f t="shared" si="227"/>
        <v/>
      </c>
      <c r="HC44" s="343" t="str">
        <f t="shared" si="449"/>
        <v/>
      </c>
      <c r="HD44" s="345" t="str">
        <f t="shared" si="450"/>
        <v/>
      </c>
      <c r="HE44" s="344" t="str">
        <f t="shared" si="58"/>
        <v/>
      </c>
      <c r="HF44" s="5" t="str">
        <f t="shared" si="59"/>
        <v/>
      </c>
      <c r="HG44" s="343" t="str">
        <f t="shared" si="451"/>
        <v/>
      </c>
      <c r="HH44" s="349" t="str">
        <f t="shared" si="452"/>
        <v/>
      </c>
      <c r="HI44" s="317" t="str">
        <f t="shared" si="453"/>
        <v/>
      </c>
      <c r="HJ44" s="336"/>
      <c r="HK44" s="310" t="str">
        <f t="shared" si="506"/>
        <v/>
      </c>
      <c r="HL44" s="348" t="str">
        <f t="shared" si="454"/>
        <v/>
      </c>
      <c r="HM44" s="923" t="str">
        <f t="shared" si="455"/>
        <v/>
      </c>
      <c r="HN44" s="924" t="str">
        <f t="shared" si="456"/>
        <v/>
      </c>
      <c r="HO44" s="925"/>
      <c r="HP44" s="926"/>
      <c r="HQ44" s="924" t="str">
        <f t="shared" si="457"/>
        <v/>
      </c>
      <c r="HR44" s="927" t="str">
        <f t="shared" si="458"/>
        <v/>
      </c>
      <c r="HS44" s="879" t="str">
        <f t="shared" si="507"/>
        <v/>
      </c>
      <c r="HT44" s="889" t="str">
        <f t="shared" si="459"/>
        <v/>
      </c>
      <c r="HU44" s="890" t="str">
        <f t="shared" si="460"/>
        <v/>
      </c>
      <c r="HV44" s="886" t="str">
        <f t="shared" si="461"/>
        <v/>
      </c>
      <c r="HW44" s="880" t="str">
        <f t="shared" si="462"/>
        <v/>
      </c>
      <c r="HX44" s="881" t="str">
        <f t="shared" si="463"/>
        <v/>
      </c>
      <c r="HY44" s="880" t="str">
        <f t="shared" si="464"/>
        <v/>
      </c>
      <c r="HZ44" s="882" t="str">
        <f t="shared" si="465"/>
        <v/>
      </c>
      <c r="IA44" s="883" t="str">
        <f t="shared" si="466"/>
        <v/>
      </c>
      <c r="IB44" s="884" t="str">
        <f t="shared" si="467"/>
        <v/>
      </c>
      <c r="IC44" s="855" t="str">
        <f t="shared" si="468"/>
        <v/>
      </c>
      <c r="ID44" s="351" t="str">
        <f t="shared" si="469"/>
        <v/>
      </c>
      <c r="IE44" s="857" t="str">
        <f t="shared" si="470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2"/>
        <v>4.1079999999999997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71"/>
        <v>1913</v>
      </c>
      <c r="IM44" s="482" t="str">
        <f t="shared" si="233"/>
        <v/>
      </c>
      <c r="IN44" s="670" t="str">
        <f t="shared" si="472"/>
        <v/>
      </c>
      <c r="IO44" s="702"/>
      <c r="IP44" s="5" t="str">
        <f t="shared" si="473"/>
        <v/>
      </c>
      <c r="IQ44" s="714"/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>
        <f t="shared" si="92"/>
        <v>0.02</v>
      </c>
      <c r="B45" s="578">
        <f t="shared" ref="B45:D45" si="515">IFERROR(O200-($A45*E45),"")</f>
        <v>-2.4295586301678407</v>
      </c>
      <c r="C45" s="572">
        <f t="shared" si="515"/>
        <v>-2.8651748883935575</v>
      </c>
      <c r="D45" s="576">
        <f t="shared" si="515"/>
        <v>-0.38533894291676557</v>
      </c>
      <c r="E45" s="580">
        <f t="shared" ref="E45:K45" si="516">R200</f>
        <v>0.76019594850089134</v>
      </c>
      <c r="F45" s="572">
        <f t="shared" si="516"/>
        <v>-0.5967493147273607</v>
      </c>
      <c r="G45" s="579">
        <f t="shared" si="516"/>
        <v>0.25688981150535284</v>
      </c>
      <c r="H45" s="580">
        <f t="shared" si="516"/>
        <v>0.375</v>
      </c>
      <c r="I45" s="572">
        <f t="shared" si="516"/>
        <v>0.52</v>
      </c>
      <c r="J45" s="483">
        <f t="shared" si="95"/>
        <v>4.1130000000000004</v>
      </c>
      <c r="K45" s="806">
        <f t="shared" si="516"/>
        <v>1913</v>
      </c>
      <c r="L45" s="309"/>
      <c r="M45" s="164">
        <f t="shared" si="311"/>
        <v>4.1130000000000004</v>
      </c>
      <c r="N45" s="575">
        <f t="shared" si="312"/>
        <v>-2.4295586301678407</v>
      </c>
      <c r="O45" s="572">
        <f t="shared" si="313"/>
        <v>-2.8651748883935575</v>
      </c>
      <c r="P45" s="576">
        <f t="shared" si="314"/>
        <v>-0.38533894291676557</v>
      </c>
      <c r="Q45" s="528">
        <f t="shared" si="135"/>
        <v>229.70333123313691</v>
      </c>
      <c r="R45" s="572">
        <f t="shared" si="486"/>
        <v>3.7565918434804799</v>
      </c>
      <c r="S45" s="577">
        <f t="shared" si="487"/>
        <v>-0.38533894291676557</v>
      </c>
      <c r="T45" s="578">
        <f t="shared" si="488"/>
        <v>-2.8789089081370842</v>
      </c>
      <c r="U45" s="572">
        <f t="shared" si="489"/>
        <v>2.413268691454189</v>
      </c>
      <c r="V45" s="579">
        <f t="shared" si="490"/>
        <v>-0.38533894291676557</v>
      </c>
      <c r="W45" s="528">
        <f t="shared" si="257"/>
        <v>140.02830637894408</v>
      </c>
      <c r="X45" s="572">
        <f t="shared" si="491"/>
        <v>3.7565918434804799</v>
      </c>
      <c r="Y45" s="573">
        <f t="shared" si="260"/>
        <v>-0.38533894291676557</v>
      </c>
      <c r="Z45" s="575">
        <f t="shared" si="315"/>
        <v>-0.76019594850089134</v>
      </c>
      <c r="AA45" s="572">
        <f t="shared" si="316"/>
        <v>0.5967493147273607</v>
      </c>
      <c r="AB45" s="572">
        <f t="shared" si="317"/>
        <v>-0.25688981150535284</v>
      </c>
      <c r="AC45" s="579">
        <f t="shared" si="492"/>
        <v>1</v>
      </c>
      <c r="AD45" s="580">
        <f t="shared" si="493"/>
        <v>-0.76019594850089134</v>
      </c>
      <c r="AE45" s="572">
        <f t="shared" si="494"/>
        <v>0.5967493147273607</v>
      </c>
      <c r="AF45" s="576">
        <f t="shared" si="495"/>
        <v>-0.25688981150535284</v>
      </c>
      <c r="AG45" s="545">
        <f t="shared" si="496"/>
        <v>66.708994368565328</v>
      </c>
      <c r="AH45" s="546">
        <f t="shared" si="497"/>
        <v>139.48147532126225</v>
      </c>
      <c r="AI45" s="528">
        <f t="shared" si="498"/>
        <v>-75.114405734769164</v>
      </c>
      <c r="AJ45" s="529">
        <f t="shared" si="499"/>
        <v>-128.13170359959904</v>
      </c>
      <c r="AK45" s="578">
        <f t="shared" si="500"/>
        <v>0.96575085628270019</v>
      </c>
      <c r="AL45" s="572">
        <f t="shared" si="501"/>
        <v>3.6509017159820412E-2</v>
      </c>
      <c r="AM45" s="577">
        <f t="shared" si="502"/>
        <v>-0.25688981150535284</v>
      </c>
      <c r="AN45" s="524">
        <f t="shared" si="503"/>
        <v>8.0886720156306833</v>
      </c>
      <c r="AO45" s="525">
        <f t="shared" si="111"/>
        <v>15.038685054820585</v>
      </c>
      <c r="AP45" s="528">
        <f t="shared" si="504"/>
        <v>2.1649651672640386</v>
      </c>
      <c r="AQ45" s="529">
        <f t="shared" si="318"/>
        <v>0.60683765572421056</v>
      </c>
      <c r="AS45" s="954">
        <f t="shared" si="510"/>
        <v>140.02830637894408</v>
      </c>
      <c r="AT45" s="950">
        <f t="shared" si="319"/>
        <v>-0.23418428868133215</v>
      </c>
      <c r="AU45" s="418"/>
      <c r="AV45" s="164" t="str">
        <f t="shared" si="320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40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4"/>
        <v/>
      </c>
      <c r="BV45" s="9" t="str">
        <f t="shared" si="115"/>
        <v/>
      </c>
      <c r="BW45" s="5" t="str">
        <f t="shared" si="116"/>
        <v/>
      </c>
      <c r="BX45" s="8" t="str">
        <f t="shared" si="117"/>
        <v/>
      </c>
      <c r="BY45" s="173" t="str">
        <f t="shared" si="118"/>
        <v/>
      </c>
      <c r="BZ45" s="5" t="str">
        <f t="shared" si="119"/>
        <v/>
      </c>
      <c r="CA45" s="6" t="str">
        <f t="shared" si="120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21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6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4"/>
        <v/>
      </c>
      <c r="DE45" s="9" t="str">
        <f t="shared" si="512"/>
        <v/>
      </c>
      <c r="DF45" s="5" t="str">
        <f t="shared" si="512"/>
        <v/>
      </c>
      <c r="DG45" s="10" t="str">
        <f t="shared" si="166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6"/>
        <v/>
      </c>
      <c r="EL45" s="238" t="str">
        <f t="shared" si="197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5"/>
        <v/>
      </c>
      <c r="FA45" s="266" t="str">
        <f t="shared" si="129"/>
        <v/>
      </c>
      <c r="FB45" s="267" t="str">
        <f t="shared" si="130"/>
        <v/>
      </c>
      <c r="FC45" s="269" t="str">
        <f t="shared" si="37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8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2"/>
        <v/>
      </c>
      <c r="GV45" s="343" t="str">
        <f t="shared" si="446"/>
        <v/>
      </c>
      <c r="GW45" s="345" t="str">
        <f t="shared" si="53"/>
        <v/>
      </c>
      <c r="GX45" s="346" t="str">
        <f t="shared" si="54"/>
        <v/>
      </c>
      <c r="GY45" s="344" t="str">
        <f t="shared" si="447"/>
        <v/>
      </c>
      <c r="GZ45" s="345" t="str">
        <f t="shared" si="448"/>
        <v/>
      </c>
      <c r="HA45" s="342" t="str">
        <f t="shared" si="57"/>
        <v/>
      </c>
      <c r="HB45" s="5" t="str">
        <f t="shared" si="227"/>
        <v/>
      </c>
      <c r="HC45" s="343" t="str">
        <f t="shared" si="449"/>
        <v/>
      </c>
      <c r="HD45" s="345" t="str">
        <f t="shared" si="450"/>
        <v/>
      </c>
      <c r="HE45" s="344" t="str">
        <f t="shared" si="58"/>
        <v/>
      </c>
      <c r="HF45" s="5" t="str">
        <f t="shared" si="59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 t="str">
        <f t="shared" si="506"/>
        <v/>
      </c>
      <c r="HL45" s="348" t="str">
        <f t="shared" si="454"/>
        <v/>
      </c>
      <c r="HM45" s="923" t="str">
        <f t="shared" si="455"/>
        <v/>
      </c>
      <c r="HN45" s="924" t="str">
        <f t="shared" si="456"/>
        <v/>
      </c>
      <c r="HO45" s="925"/>
      <c r="HP45" s="926"/>
      <c r="HQ45" s="924" t="str">
        <f t="shared" si="457"/>
        <v/>
      </c>
      <c r="HR45" s="927" t="str">
        <f t="shared" si="458"/>
        <v/>
      </c>
      <c r="HS45" s="879" t="str">
        <f t="shared" si="507"/>
        <v/>
      </c>
      <c r="HT45" s="889" t="str">
        <f t="shared" si="459"/>
        <v/>
      </c>
      <c r="HU45" s="890" t="str">
        <f t="shared" si="460"/>
        <v/>
      </c>
      <c r="HV45" s="886" t="str">
        <f t="shared" si="461"/>
        <v/>
      </c>
      <c r="HW45" s="880" t="str">
        <f t="shared" si="462"/>
        <v/>
      </c>
      <c r="HX45" s="881" t="str">
        <f t="shared" si="463"/>
        <v/>
      </c>
      <c r="HY45" s="880" t="str">
        <f t="shared" si="464"/>
        <v/>
      </c>
      <c r="HZ45" s="882" t="str">
        <f t="shared" si="465"/>
        <v/>
      </c>
      <c r="IA45" s="883" t="str">
        <f t="shared" si="466"/>
        <v/>
      </c>
      <c r="IB45" s="884" t="str">
        <f t="shared" si="467"/>
        <v/>
      </c>
      <c r="IC45" s="855" t="str">
        <f t="shared" si="468"/>
        <v/>
      </c>
      <c r="ID45" s="351" t="str">
        <f t="shared" si="469"/>
        <v/>
      </c>
      <c r="IE45" s="857" t="str">
        <f t="shared" si="470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2"/>
        <v>4.1130000000000004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71"/>
        <v>1913</v>
      </c>
      <c r="IM45" s="482" t="str">
        <f t="shared" si="233"/>
        <v/>
      </c>
      <c r="IN45" s="670" t="str">
        <f t="shared" si="472"/>
        <v/>
      </c>
      <c r="IO45" s="702"/>
      <c r="IP45" s="5" t="str">
        <f t="shared" si="473"/>
        <v/>
      </c>
      <c r="IQ45" s="714"/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>
        <f t="shared" si="92"/>
        <v>0.02</v>
      </c>
      <c r="B46" s="578">
        <f t="shared" ref="B46:D46" si="517">IFERROR(O201-($A46*E46),"")</f>
        <v>-3.0078836107844649</v>
      </c>
      <c r="C46" s="572">
        <f t="shared" si="517"/>
        <v>-3.5225565520309612</v>
      </c>
      <c r="D46" s="576">
        <f t="shared" si="517"/>
        <v>-0.16174106046908038</v>
      </c>
      <c r="E46" s="580">
        <f t="shared" ref="E46:K46" si="518">R201</f>
        <v>0.74239011462063376</v>
      </c>
      <c r="F46" s="572">
        <f t="shared" si="518"/>
        <v>-0.61660157241126035</v>
      </c>
      <c r="G46" s="579">
        <f t="shared" si="518"/>
        <v>0.26202942318282418</v>
      </c>
      <c r="H46" s="580">
        <f t="shared" si="518"/>
        <v>0.375</v>
      </c>
      <c r="I46" s="572">
        <f t="shared" si="518"/>
        <v>0.52</v>
      </c>
      <c r="J46" s="483">
        <f t="shared" si="95"/>
        <v>4.1180000000000003</v>
      </c>
      <c r="K46" s="806">
        <f t="shared" si="518"/>
        <v>1913</v>
      </c>
      <c r="L46" s="309"/>
      <c r="M46" s="164">
        <f t="shared" si="311"/>
        <v>4.1180000000000003</v>
      </c>
      <c r="N46" s="575">
        <f t="shared" si="312"/>
        <v>-3.0078836107844649</v>
      </c>
      <c r="O46" s="572">
        <f t="shared" si="313"/>
        <v>-3.5225565520309612</v>
      </c>
      <c r="P46" s="576">
        <f t="shared" si="314"/>
        <v>-0.16174106046908038</v>
      </c>
      <c r="Q46" s="528">
        <f t="shared" si="135"/>
        <v>229.50624455131026</v>
      </c>
      <c r="R46" s="572">
        <f t="shared" si="486"/>
        <v>4.6320371844666841</v>
      </c>
      <c r="S46" s="577">
        <f t="shared" si="487"/>
        <v>-0.16174106046908038</v>
      </c>
      <c r="T46" s="578">
        <f t="shared" si="488"/>
        <v>-3.5395601736585052</v>
      </c>
      <c r="U46" s="572">
        <f t="shared" si="489"/>
        <v>2.9878557956053733</v>
      </c>
      <c r="V46" s="579">
        <f t="shared" si="490"/>
        <v>-0.16174106046908038</v>
      </c>
      <c r="W46" s="528">
        <f t="shared" si="257"/>
        <v>139.83121969711743</v>
      </c>
      <c r="X46" s="572">
        <f t="shared" si="491"/>
        <v>4.6320371844666841</v>
      </c>
      <c r="Y46" s="573">
        <f t="shared" si="260"/>
        <v>-0.16174106046908038</v>
      </c>
      <c r="Z46" s="575">
        <f t="shared" si="315"/>
        <v>-0.74239011462063376</v>
      </c>
      <c r="AA46" s="572">
        <f t="shared" si="316"/>
        <v>0.61660157241126035</v>
      </c>
      <c r="AB46" s="572">
        <f t="shared" si="317"/>
        <v>-0.26202942318282418</v>
      </c>
      <c r="AC46" s="579">
        <f t="shared" si="492"/>
        <v>1</v>
      </c>
      <c r="AD46" s="580">
        <f t="shared" si="493"/>
        <v>-0.74239011462063376</v>
      </c>
      <c r="AE46" s="572">
        <f t="shared" si="494"/>
        <v>0.61660157241126035</v>
      </c>
      <c r="AF46" s="576">
        <f t="shared" si="495"/>
        <v>-0.26202942318282418</v>
      </c>
      <c r="AG46" s="545">
        <f t="shared" si="496"/>
        <v>66.976573660711196</v>
      </c>
      <c r="AH46" s="546">
        <f t="shared" si="497"/>
        <v>137.9354166348005</v>
      </c>
      <c r="AI46" s="528">
        <f t="shared" si="498"/>
        <v>-74.809484923578111</v>
      </c>
      <c r="AJ46" s="529">
        <f t="shared" si="499"/>
        <v>-129.71175898822568</v>
      </c>
      <c r="AK46" s="578">
        <f t="shared" si="500"/>
        <v>0.96497000098550034</v>
      </c>
      <c r="AL46" s="572">
        <f t="shared" si="501"/>
        <v>1.3171126926726173E-2</v>
      </c>
      <c r="AM46" s="577">
        <f t="shared" si="502"/>
        <v>-0.26202942318282418</v>
      </c>
      <c r="AN46" s="524">
        <f t="shared" si="503"/>
        <v>2.8775980850121705</v>
      </c>
      <c r="AO46" s="525">
        <f t="shared" si="111"/>
        <v>15.210156833470272</v>
      </c>
      <c r="AP46" s="528">
        <f t="shared" si="504"/>
        <v>0.78199646046406612</v>
      </c>
      <c r="AQ46" s="529">
        <f t="shared" si="318"/>
        <v>0.49215290653410937</v>
      </c>
      <c r="AS46" s="954">
        <f t="shared" si="510"/>
        <v>139.83121969711743</v>
      </c>
      <c r="AT46" s="950">
        <f t="shared" si="319"/>
        <v>-1.044954048237845E-2</v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40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4"/>
        <v/>
      </c>
      <c r="BV46" s="9" t="str">
        <f t="shared" si="115"/>
        <v/>
      </c>
      <c r="BW46" s="5" t="str">
        <f t="shared" si="116"/>
        <v/>
      </c>
      <c r="BX46" s="8" t="str">
        <f t="shared" si="117"/>
        <v/>
      </c>
      <c r="BY46" s="173" t="str">
        <f t="shared" si="118"/>
        <v/>
      </c>
      <c r="BZ46" s="5" t="str">
        <f t="shared" si="119"/>
        <v/>
      </c>
      <c r="CA46" s="6" t="str">
        <f t="shared" si="120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21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6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4"/>
        <v/>
      </c>
      <c r="DE46" s="9" t="str">
        <f t="shared" si="512"/>
        <v/>
      </c>
      <c r="DF46" s="5" t="str">
        <f t="shared" si="512"/>
        <v/>
      </c>
      <c r="DG46" s="10" t="str">
        <f t="shared" si="166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6"/>
        <v/>
      </c>
      <c r="EL46" s="238" t="str">
        <f t="shared" si="197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5"/>
        <v/>
      </c>
      <c r="FA46" s="266" t="str">
        <f t="shared" si="129"/>
        <v/>
      </c>
      <c r="FB46" s="267" t="str">
        <f t="shared" si="130"/>
        <v/>
      </c>
      <c r="FC46" s="269" t="str">
        <f t="shared" si="37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8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2"/>
        <v/>
      </c>
      <c r="GV46" s="343" t="str">
        <f t="shared" si="446"/>
        <v/>
      </c>
      <c r="GW46" s="345" t="str">
        <f t="shared" si="53"/>
        <v/>
      </c>
      <c r="GX46" s="346" t="str">
        <f t="shared" si="54"/>
        <v/>
      </c>
      <c r="GY46" s="344" t="str">
        <f t="shared" si="447"/>
        <v/>
      </c>
      <c r="GZ46" s="345" t="str">
        <f t="shared" si="448"/>
        <v/>
      </c>
      <c r="HA46" s="342" t="str">
        <f t="shared" si="57"/>
        <v/>
      </c>
      <c r="HB46" s="5" t="str">
        <f t="shared" si="227"/>
        <v/>
      </c>
      <c r="HC46" s="343" t="str">
        <f t="shared" si="449"/>
        <v/>
      </c>
      <c r="HD46" s="345" t="str">
        <f t="shared" si="450"/>
        <v/>
      </c>
      <c r="HE46" s="344" t="str">
        <f t="shared" si="58"/>
        <v/>
      </c>
      <c r="HF46" s="5" t="str">
        <f t="shared" si="59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 t="str">
        <f t="shared" si="506"/>
        <v/>
      </c>
      <c r="HL46" s="348" t="str">
        <f t="shared" si="454"/>
        <v/>
      </c>
      <c r="HM46" s="923" t="str">
        <f t="shared" si="455"/>
        <v/>
      </c>
      <c r="HN46" s="924" t="str">
        <f t="shared" si="456"/>
        <v/>
      </c>
      <c r="HO46" s="925"/>
      <c r="HP46" s="926"/>
      <c r="HQ46" s="924" t="str">
        <f t="shared" si="457"/>
        <v/>
      </c>
      <c r="HR46" s="927" t="str">
        <f t="shared" si="458"/>
        <v/>
      </c>
      <c r="HS46" s="879" t="str">
        <f t="shared" si="507"/>
        <v/>
      </c>
      <c r="HT46" s="889" t="str">
        <f t="shared" si="459"/>
        <v/>
      </c>
      <c r="HU46" s="890" t="str">
        <f t="shared" si="460"/>
        <v/>
      </c>
      <c r="HV46" s="886" t="str">
        <f t="shared" si="461"/>
        <v/>
      </c>
      <c r="HW46" s="880" t="str">
        <f t="shared" si="462"/>
        <v/>
      </c>
      <c r="HX46" s="881" t="str">
        <f t="shared" si="463"/>
        <v/>
      </c>
      <c r="HY46" s="880" t="str">
        <f t="shared" si="464"/>
        <v/>
      </c>
      <c r="HZ46" s="882" t="str">
        <f t="shared" si="465"/>
        <v/>
      </c>
      <c r="IA46" s="883" t="str">
        <f t="shared" si="466"/>
        <v/>
      </c>
      <c r="IB46" s="884" t="str">
        <f t="shared" si="467"/>
        <v/>
      </c>
      <c r="IC46" s="855" t="str">
        <f t="shared" si="468"/>
        <v/>
      </c>
      <c r="ID46" s="351" t="str">
        <f t="shared" si="469"/>
        <v/>
      </c>
      <c r="IE46" s="857" t="str">
        <f t="shared" si="470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2"/>
        <v>4.1180000000000003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71"/>
        <v>1913</v>
      </c>
      <c r="IM46" s="482" t="str">
        <f t="shared" si="233"/>
        <v/>
      </c>
      <c r="IN46" s="670" t="str">
        <f t="shared" si="472"/>
        <v/>
      </c>
      <c r="IO46" s="702"/>
      <c r="IP46" s="5" t="str">
        <f t="shared" si="473"/>
        <v/>
      </c>
      <c r="IQ46" s="714"/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>
        <f t="shared" si="92"/>
        <v>0.02</v>
      </c>
      <c r="B47" s="578">
        <f t="shared" ref="B47:D47" si="519">IFERROR(O202-($A47*E47),"")</f>
        <v>-3.6323003602747121</v>
      </c>
      <c r="C47" s="572">
        <f t="shared" si="519"/>
        <v>-4.1759593776315107</v>
      </c>
      <c r="D47" s="576">
        <f t="shared" si="519"/>
        <v>-0.16981949535104549</v>
      </c>
      <c r="E47" s="580">
        <f t="shared" ref="E47:K47" si="520">R202</f>
        <v>0.70136666045038709</v>
      </c>
      <c r="F47" s="572">
        <f t="shared" si="520"/>
        <v>-0.65929577439667197</v>
      </c>
      <c r="G47" s="579">
        <f t="shared" si="520"/>
        <v>0.2709499759574896</v>
      </c>
      <c r="H47" s="580">
        <f t="shared" si="520"/>
        <v>0.375</v>
      </c>
      <c r="I47" s="572">
        <f t="shared" si="520"/>
        <v>0.52</v>
      </c>
      <c r="J47" s="483">
        <f t="shared" si="95"/>
        <v>4.1230000000000002</v>
      </c>
      <c r="K47" s="806">
        <f t="shared" si="520"/>
        <v>1913</v>
      </c>
      <c r="L47" s="309"/>
      <c r="M47" s="164">
        <f t="shared" si="311"/>
        <v>4.1230000000000002</v>
      </c>
      <c r="N47" s="575">
        <f t="shared" si="312"/>
        <v>-3.6323003602747121</v>
      </c>
      <c r="O47" s="572">
        <f t="shared" si="313"/>
        <v>-4.1759593776315107</v>
      </c>
      <c r="P47" s="576">
        <f t="shared" si="314"/>
        <v>-0.16981949535104549</v>
      </c>
      <c r="Q47" s="528">
        <f t="shared" si="135"/>
        <v>228.98285646696866</v>
      </c>
      <c r="R47" s="572">
        <f t="shared" si="486"/>
        <v>5.5346402440339659</v>
      </c>
      <c r="S47" s="577">
        <f t="shared" si="487"/>
        <v>-0.16981949535104549</v>
      </c>
      <c r="T47" s="578">
        <f t="shared" si="488"/>
        <v>-4.1964940910129629</v>
      </c>
      <c r="U47" s="572">
        <f t="shared" si="489"/>
        <v>3.6085564946351671</v>
      </c>
      <c r="V47" s="579">
        <f t="shared" si="490"/>
        <v>-0.16981949535104549</v>
      </c>
      <c r="W47" s="528">
        <f t="shared" si="257"/>
        <v>139.30783161277583</v>
      </c>
      <c r="X47" s="572">
        <f t="shared" si="491"/>
        <v>5.5346402440339659</v>
      </c>
      <c r="Y47" s="573">
        <f t="shared" si="260"/>
        <v>-0.16981949535104549</v>
      </c>
      <c r="Z47" s="575">
        <f t="shared" si="315"/>
        <v>-0.70136666045038709</v>
      </c>
      <c r="AA47" s="572">
        <f t="shared" si="316"/>
        <v>0.65929577439667197</v>
      </c>
      <c r="AB47" s="572">
        <f t="shared" si="317"/>
        <v>-0.2709499759574896</v>
      </c>
      <c r="AC47" s="579">
        <f t="shared" si="492"/>
        <v>1</v>
      </c>
      <c r="AD47" s="580">
        <f t="shared" si="493"/>
        <v>-0.70136666045038709</v>
      </c>
      <c r="AE47" s="572">
        <f t="shared" si="494"/>
        <v>0.65929577439667197</v>
      </c>
      <c r="AF47" s="576">
        <f t="shared" si="495"/>
        <v>-0.2709499759574896</v>
      </c>
      <c r="AG47" s="545">
        <f t="shared" si="496"/>
        <v>67.658868256725825</v>
      </c>
      <c r="AH47" s="546">
        <f t="shared" si="497"/>
        <v>134.53675445792931</v>
      </c>
      <c r="AI47" s="528">
        <f t="shared" si="498"/>
        <v>-74.279196232546965</v>
      </c>
      <c r="AJ47" s="529">
        <f t="shared" si="499"/>
        <v>-133.22901225117482</v>
      </c>
      <c r="AK47" s="578">
        <f t="shared" si="500"/>
        <v>0.96187624253863702</v>
      </c>
      <c r="AL47" s="572">
        <f t="shared" si="501"/>
        <v>-3.7151104537940516E-2</v>
      </c>
      <c r="AM47" s="577">
        <f t="shared" si="502"/>
        <v>-0.2709499759574896</v>
      </c>
      <c r="AN47" s="524">
        <f t="shared" si="503"/>
        <v>-7.8073840172967994</v>
      </c>
      <c r="AO47" s="525">
        <f t="shared" si="111"/>
        <v>15.871755699922302</v>
      </c>
      <c r="AP47" s="528">
        <f t="shared" si="504"/>
        <v>-2.2118687181434846</v>
      </c>
      <c r="AQ47" s="529">
        <f t="shared" si="318"/>
        <v>0.41189440665460542</v>
      </c>
      <c r="AS47" s="954">
        <f t="shared" si="510"/>
        <v>139.30783161277583</v>
      </c>
      <c r="AT47" s="950">
        <f t="shared" si="319"/>
        <v>-1.8164511416884133E-2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21"/>
        <v/>
      </c>
      <c r="BA47" s="296" t="str">
        <f t="shared" si="322"/>
        <v/>
      </c>
      <c r="BB47" s="190" t="str">
        <f t="shared" si="140"/>
        <v/>
      </c>
      <c r="BC47" s="9"/>
      <c r="BD47" s="5" t="str">
        <f t="shared" si="323"/>
        <v/>
      </c>
      <c r="BE47" s="6" t="str">
        <f t="shared" si="324"/>
        <v/>
      </c>
      <c r="BF47" s="4" t="str">
        <f t="shared" si="325"/>
        <v/>
      </c>
      <c r="BG47" s="5" t="str">
        <f t="shared" si="326"/>
        <v/>
      </c>
      <c r="BH47" s="10" t="str">
        <f t="shared" si="327"/>
        <v/>
      </c>
      <c r="BI47" s="9" t="str">
        <f t="shared" si="328"/>
        <v/>
      </c>
      <c r="BJ47" s="5" t="str">
        <f t="shared" si="329"/>
        <v/>
      </c>
      <c r="BK47" s="8" t="str">
        <f t="shared" si="330"/>
        <v/>
      </c>
      <c r="BL47" s="173" t="str">
        <f t="shared" si="331"/>
        <v/>
      </c>
      <c r="BM47" s="5" t="str">
        <f t="shared" si="332"/>
        <v/>
      </c>
      <c r="BN47" s="6" t="str">
        <f t="shared" si="333"/>
        <v/>
      </c>
      <c r="BO47" s="4" t="str">
        <f t="shared" si="334"/>
        <v/>
      </c>
      <c r="BP47" s="5" t="str">
        <f t="shared" si="335"/>
        <v/>
      </c>
      <c r="BQ47" s="5" t="str">
        <f t="shared" si="336"/>
        <v/>
      </c>
      <c r="BR47" s="6" t="str">
        <f t="shared" si="337"/>
        <v/>
      </c>
      <c r="BS47" s="4" t="str">
        <f t="shared" si="505"/>
        <v/>
      </c>
      <c r="BT47" s="5" t="str">
        <f t="shared" si="505"/>
        <v/>
      </c>
      <c r="BU47" s="10" t="str">
        <f t="shared" si="114"/>
        <v/>
      </c>
      <c r="BV47" s="9" t="str">
        <f t="shared" si="115"/>
        <v/>
      </c>
      <c r="BW47" s="5" t="str">
        <f t="shared" si="116"/>
        <v/>
      </c>
      <c r="BX47" s="8" t="str">
        <f t="shared" si="117"/>
        <v/>
      </c>
      <c r="BY47" s="173" t="str">
        <f t="shared" si="118"/>
        <v/>
      </c>
      <c r="BZ47" s="5" t="str">
        <f t="shared" si="119"/>
        <v/>
      </c>
      <c r="CA47" s="6" t="str">
        <f t="shared" si="120"/>
        <v/>
      </c>
      <c r="CB47" s="4" t="str">
        <f t="shared" si="338"/>
        <v/>
      </c>
      <c r="CC47" s="5" t="str">
        <f t="shared" si="339"/>
        <v/>
      </c>
      <c r="CD47" s="5" t="str">
        <f t="shared" si="340"/>
        <v/>
      </c>
      <c r="CE47" s="6" t="str">
        <f t="shared" si="341"/>
        <v/>
      </c>
      <c r="CF47" s="4" t="str">
        <f t="shared" si="342"/>
        <v/>
      </c>
      <c r="CG47" s="5" t="str">
        <f t="shared" si="343"/>
        <v/>
      </c>
      <c r="CH47" s="5" t="str">
        <f t="shared" si="344"/>
        <v/>
      </c>
      <c r="CI47" s="4" t="str">
        <f t="shared" si="121"/>
        <v/>
      </c>
      <c r="CJ47" s="5" t="str">
        <f t="shared" si="345"/>
        <v/>
      </c>
      <c r="CK47" s="8" t="str">
        <f t="shared" si="346"/>
        <v/>
      </c>
      <c r="CL47" s="173" t="str">
        <f t="shared" si="347"/>
        <v/>
      </c>
      <c r="CM47" s="5" t="str">
        <f t="shared" si="348"/>
        <v/>
      </c>
      <c r="CN47" s="6" t="str">
        <f t="shared" si="349"/>
        <v/>
      </c>
      <c r="CO47" s="167" t="str">
        <f t="shared" si="350"/>
        <v/>
      </c>
      <c r="CP47" s="4" t="str">
        <f t="shared" si="351"/>
        <v/>
      </c>
      <c r="CQ47" s="5" t="str">
        <f t="shared" si="352"/>
        <v/>
      </c>
      <c r="CR47" s="5" t="str">
        <f t="shared" si="353"/>
        <v/>
      </c>
      <c r="CS47" s="8" t="str">
        <f t="shared" si="354"/>
        <v/>
      </c>
      <c r="CT47" s="9" t="str">
        <f t="shared" si="156"/>
        <v/>
      </c>
      <c r="CU47" s="6" t="str">
        <f t="shared" si="355"/>
        <v/>
      </c>
      <c r="CV47" s="4" t="str">
        <f t="shared" si="356"/>
        <v/>
      </c>
      <c r="CW47" s="5" t="str">
        <f t="shared" si="357"/>
        <v/>
      </c>
      <c r="CX47" s="8" t="str">
        <f t="shared" si="358"/>
        <v/>
      </c>
      <c r="CY47" s="9" t="str">
        <f t="shared" si="359"/>
        <v/>
      </c>
      <c r="CZ47" s="5" t="str">
        <f t="shared" si="360"/>
        <v/>
      </c>
      <c r="DA47" s="6" t="str">
        <f t="shared" si="361"/>
        <v/>
      </c>
      <c r="DB47" s="4" t="str">
        <f t="shared" si="511"/>
        <v/>
      </c>
      <c r="DC47" s="5" t="str">
        <f t="shared" si="511"/>
        <v/>
      </c>
      <c r="DD47" s="10" t="str">
        <f t="shared" si="164"/>
        <v/>
      </c>
      <c r="DE47" s="9" t="str">
        <f t="shared" si="512"/>
        <v/>
      </c>
      <c r="DF47" s="5" t="str">
        <f t="shared" si="512"/>
        <v/>
      </c>
      <c r="DG47" s="10" t="str">
        <f t="shared" si="166"/>
        <v/>
      </c>
      <c r="DH47" s="70" t="str">
        <f t="shared" si="362"/>
        <v/>
      </c>
      <c r="DI47" s="4" t="str">
        <f t="shared" si="363"/>
        <v/>
      </c>
      <c r="DJ47" s="5" t="str">
        <f t="shared" si="364"/>
        <v/>
      </c>
      <c r="DK47" s="10" t="str">
        <f t="shared" si="365"/>
        <v/>
      </c>
      <c r="DL47" s="9" t="str">
        <f t="shared" si="366"/>
        <v/>
      </c>
      <c r="DM47" s="173" t="str">
        <f t="shared" si="367"/>
        <v/>
      </c>
      <c r="DN47" s="178" t="str">
        <f t="shared" si="368"/>
        <v/>
      </c>
      <c r="DO47" s="9" t="str">
        <f t="shared" si="369"/>
        <v/>
      </c>
      <c r="DP47" s="173" t="str">
        <f t="shared" si="370"/>
        <v/>
      </c>
      <c r="DQ47" s="11" t="str">
        <f t="shared" si="371"/>
        <v/>
      </c>
      <c r="DR47" s="173" t="str">
        <f t="shared" si="372"/>
        <v/>
      </c>
      <c r="DS47" s="5" t="str">
        <f t="shared" si="373"/>
        <v/>
      </c>
      <c r="DT47" s="5" t="str">
        <f t="shared" si="374"/>
        <v/>
      </c>
      <c r="DU47" s="5" t="str">
        <f t="shared" si="375"/>
        <v/>
      </c>
      <c r="DV47" s="5" t="str">
        <f t="shared" si="376"/>
        <v/>
      </c>
      <c r="DW47" s="5" t="str">
        <f t="shared" si="377"/>
        <v/>
      </c>
      <c r="DX47" s="167" t="str">
        <f t="shared" si="378"/>
        <v/>
      </c>
      <c r="DY47" s="9" t="str">
        <f t="shared" si="379"/>
        <v/>
      </c>
      <c r="DZ47" s="5" t="str">
        <f t="shared" si="380"/>
        <v/>
      </c>
      <c r="EA47" s="10" t="str">
        <f t="shared" si="381"/>
        <v/>
      </c>
      <c r="EB47" s="6" t="str">
        <f t="shared" si="382"/>
        <v/>
      </c>
      <c r="EC47" s="173" t="str">
        <f t="shared" si="383"/>
        <v/>
      </c>
      <c r="ED47" s="5" t="str">
        <f t="shared" si="384"/>
        <v/>
      </c>
      <c r="EE47" s="4" t="str">
        <f t="shared" si="385"/>
        <v/>
      </c>
      <c r="EF47" s="5" t="str">
        <f t="shared" si="386"/>
        <v/>
      </c>
      <c r="EG47" s="10" t="str">
        <f t="shared" si="387"/>
        <v/>
      </c>
      <c r="EH47" s="9" t="str">
        <f t="shared" si="388"/>
        <v/>
      </c>
      <c r="EI47" s="5" t="str">
        <f t="shared" si="389"/>
        <v/>
      </c>
      <c r="EJ47" s="6" t="str">
        <f t="shared" si="390"/>
        <v/>
      </c>
      <c r="EK47" s="236" t="str">
        <f t="shared" si="196"/>
        <v/>
      </c>
      <c r="EL47" s="238" t="str">
        <f t="shared" si="197"/>
        <v/>
      </c>
      <c r="EM47" s="4" t="str">
        <f t="shared" si="391"/>
        <v/>
      </c>
      <c r="EN47" s="5" t="str">
        <f t="shared" si="392"/>
        <v/>
      </c>
      <c r="EO47" s="10" t="str">
        <f t="shared" si="393"/>
        <v/>
      </c>
      <c r="EP47" s="9" t="str">
        <f t="shared" si="394"/>
        <v/>
      </c>
      <c r="EQ47" s="5" t="str">
        <f t="shared" si="395"/>
        <v/>
      </c>
      <c r="ER47" s="7" t="str">
        <f t="shared" si="396"/>
        <v/>
      </c>
      <c r="ES47" s="21" t="str">
        <f t="shared" si="397"/>
        <v/>
      </c>
      <c r="ET47" s="5" t="str">
        <f t="shared" si="398"/>
        <v/>
      </c>
      <c r="EU47" s="10" t="str">
        <f t="shared" si="399"/>
        <v/>
      </c>
      <c r="EV47" s="174" t="str">
        <f t="shared" si="400"/>
        <v/>
      </c>
      <c r="EW47" s="9" t="str">
        <f t="shared" si="401"/>
        <v/>
      </c>
      <c r="EX47" s="5" t="str">
        <f t="shared" si="402"/>
        <v/>
      </c>
      <c r="EY47" s="6" t="str">
        <f t="shared" si="403"/>
        <v/>
      </c>
      <c r="EZ47" s="51" t="str">
        <f t="shared" si="205"/>
        <v/>
      </c>
      <c r="FA47" s="266" t="str">
        <f t="shared" si="129"/>
        <v/>
      </c>
      <c r="FB47" s="267" t="str">
        <f t="shared" si="130"/>
        <v/>
      </c>
      <c r="FC47" s="269" t="str">
        <f t="shared" si="37"/>
        <v/>
      </c>
      <c r="FD47" s="4" t="str">
        <f t="shared" si="404"/>
        <v/>
      </c>
      <c r="FE47" s="5" t="str">
        <f t="shared" si="405"/>
        <v/>
      </c>
      <c r="FF47" s="7" t="str">
        <f t="shared" si="406"/>
        <v/>
      </c>
      <c r="FG47" s="173" t="str">
        <f t="shared" si="407"/>
        <v/>
      </c>
      <c r="FH47" s="5" t="str">
        <f t="shared" si="408"/>
        <v/>
      </c>
      <c r="FI47" s="10" t="str">
        <f t="shared" si="409"/>
        <v/>
      </c>
      <c r="FJ47" s="279" t="str">
        <f t="shared" si="410"/>
        <v/>
      </c>
      <c r="FK47" s="4" t="str">
        <f t="shared" si="411"/>
        <v/>
      </c>
      <c r="FL47" s="5" t="str">
        <f t="shared" si="412"/>
        <v/>
      </c>
      <c r="FM47" s="8" t="str">
        <f t="shared" si="413"/>
        <v/>
      </c>
      <c r="FN47" s="9" t="str">
        <f t="shared" si="414"/>
        <v/>
      </c>
      <c r="FO47" s="10" t="str">
        <f t="shared" si="415"/>
        <v/>
      </c>
      <c r="FP47" s="277" t="str">
        <f t="shared" si="416"/>
        <v/>
      </c>
      <c r="FQ47" s="173" t="str">
        <f t="shared" si="417"/>
        <v/>
      </c>
      <c r="FR47" s="10" t="str">
        <f t="shared" si="418"/>
        <v/>
      </c>
      <c r="FS47" s="9" t="str">
        <f t="shared" si="419"/>
        <v/>
      </c>
      <c r="FT47" s="6" t="str">
        <f t="shared" si="420"/>
        <v/>
      </c>
      <c r="FU47" s="4" t="str">
        <f t="shared" si="421"/>
        <v/>
      </c>
      <c r="FV47" s="5" t="str">
        <f t="shared" si="422"/>
        <v/>
      </c>
      <c r="FW47" s="8" t="str">
        <f t="shared" si="423"/>
        <v/>
      </c>
      <c r="FX47" s="9" t="str">
        <f t="shared" si="424"/>
        <v/>
      </c>
      <c r="FY47" s="10" t="str">
        <f t="shared" si="425"/>
        <v/>
      </c>
      <c r="FZ47" s="277" t="str">
        <f t="shared" si="426"/>
        <v/>
      </c>
      <c r="GA47" s="177" t="str">
        <f t="shared" si="427"/>
        <v/>
      </c>
      <c r="GB47" s="4" t="str">
        <f t="shared" si="428"/>
        <v/>
      </c>
      <c r="GC47" s="5" t="str">
        <f t="shared" si="429"/>
        <v/>
      </c>
      <c r="GD47" s="10" t="str">
        <f t="shared" si="430"/>
        <v/>
      </c>
      <c r="GE47" s="311" t="str">
        <f t="shared" si="431"/>
        <v/>
      </c>
      <c r="GF47" s="341" t="str">
        <f t="shared" si="432"/>
        <v/>
      </c>
      <c r="GG47" s="285" t="str">
        <f t="shared" si="433"/>
        <v/>
      </c>
      <c r="GH47" s="286" t="str">
        <f t="shared" si="434"/>
        <v/>
      </c>
      <c r="GI47" s="281" t="str">
        <f t="shared" si="435"/>
        <v/>
      </c>
      <c r="GJ47" s="167" t="str">
        <f t="shared" si="436"/>
        <v/>
      </c>
      <c r="GK47" s="174" t="str">
        <f t="shared" si="48"/>
        <v/>
      </c>
      <c r="GL47" s="174" t="str">
        <f t="shared" si="437"/>
        <v/>
      </c>
      <c r="GM47" s="177" t="str">
        <f t="shared" si="438"/>
        <v/>
      </c>
      <c r="GN47" s="280" t="str">
        <f t="shared" si="439"/>
        <v/>
      </c>
      <c r="GO47" s="4" t="str">
        <f t="shared" si="440"/>
        <v/>
      </c>
      <c r="GP47" s="8" t="str">
        <f t="shared" si="441"/>
        <v/>
      </c>
      <c r="GQ47" s="177" t="str">
        <f t="shared" si="442"/>
        <v/>
      </c>
      <c r="GR47" s="371" t="str">
        <f t="shared" si="443"/>
        <v/>
      </c>
      <c r="GS47" s="342" t="str">
        <f t="shared" si="444"/>
        <v/>
      </c>
      <c r="GT47" s="343" t="str">
        <f t="shared" si="445"/>
        <v/>
      </c>
      <c r="GU47" s="344" t="str">
        <f t="shared" si="52"/>
        <v/>
      </c>
      <c r="GV47" s="343" t="str">
        <f t="shared" si="446"/>
        <v/>
      </c>
      <c r="GW47" s="345" t="str">
        <f t="shared" si="53"/>
        <v/>
      </c>
      <c r="GX47" s="346" t="str">
        <f t="shared" si="54"/>
        <v/>
      </c>
      <c r="GY47" s="344" t="str">
        <f t="shared" si="447"/>
        <v/>
      </c>
      <c r="GZ47" s="345" t="str">
        <f t="shared" si="448"/>
        <v/>
      </c>
      <c r="HA47" s="342" t="str">
        <f t="shared" si="57"/>
        <v/>
      </c>
      <c r="HB47" s="5" t="str">
        <f t="shared" si="227"/>
        <v/>
      </c>
      <c r="HC47" s="343" t="str">
        <f t="shared" si="449"/>
        <v/>
      </c>
      <c r="HD47" s="345" t="str">
        <f t="shared" si="450"/>
        <v/>
      </c>
      <c r="HE47" s="344" t="str">
        <f t="shared" si="58"/>
        <v/>
      </c>
      <c r="HF47" s="5" t="str">
        <f t="shared" si="59"/>
        <v/>
      </c>
      <c r="HG47" s="343" t="str">
        <f t="shared" si="451"/>
        <v/>
      </c>
      <c r="HH47" s="349" t="str">
        <f t="shared" si="452"/>
        <v/>
      </c>
      <c r="HI47" s="317" t="str">
        <f t="shared" si="453"/>
        <v/>
      </c>
      <c r="HJ47" s="336"/>
      <c r="HK47" s="310" t="str">
        <f t="shared" si="506"/>
        <v/>
      </c>
      <c r="HL47" s="348" t="str">
        <f t="shared" si="454"/>
        <v/>
      </c>
      <c r="HM47" s="923" t="str">
        <f t="shared" si="455"/>
        <v/>
      </c>
      <c r="HN47" s="924" t="str">
        <f t="shared" si="456"/>
        <v/>
      </c>
      <c r="HO47" s="925"/>
      <c r="HP47" s="926"/>
      <c r="HQ47" s="924" t="str">
        <f t="shared" si="457"/>
        <v/>
      </c>
      <c r="HR47" s="927" t="str">
        <f t="shared" si="458"/>
        <v/>
      </c>
      <c r="HS47" s="879" t="str">
        <f t="shared" si="507"/>
        <v/>
      </c>
      <c r="HT47" s="889" t="str">
        <f t="shared" si="459"/>
        <v/>
      </c>
      <c r="HU47" s="890" t="str">
        <f t="shared" si="460"/>
        <v/>
      </c>
      <c r="HV47" s="886" t="str">
        <f t="shared" si="461"/>
        <v/>
      </c>
      <c r="HW47" s="880" t="str">
        <f t="shared" si="462"/>
        <v/>
      </c>
      <c r="HX47" s="881" t="str">
        <f t="shared" si="463"/>
        <v/>
      </c>
      <c r="HY47" s="880" t="str">
        <f t="shared" si="464"/>
        <v/>
      </c>
      <c r="HZ47" s="882" t="str">
        <f t="shared" si="465"/>
        <v/>
      </c>
      <c r="IA47" s="883" t="str">
        <f t="shared" si="466"/>
        <v/>
      </c>
      <c r="IB47" s="884" t="str">
        <f t="shared" si="467"/>
        <v/>
      </c>
      <c r="IC47" s="855" t="str">
        <f t="shared" si="468"/>
        <v/>
      </c>
      <c r="ID47" s="351" t="str">
        <f t="shared" si="469"/>
        <v/>
      </c>
      <c r="IE47" s="857" t="str">
        <f t="shared" si="470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2"/>
        <v>4.1230000000000002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1913</v>
      </c>
      <c r="IM47" s="482" t="str">
        <f t="shared" si="233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92"/>
        <v>0.02</v>
      </c>
      <c r="B48" s="578">
        <f t="shared" ref="B48:D48" si="521">IFERROR(O203-($A48*E48),"")</f>
        <v>-4.2580194344161422</v>
      </c>
      <c r="C48" s="572">
        <f t="shared" si="521"/>
        <v>-4.7790584962748692</v>
      </c>
      <c r="D48" s="576">
        <f t="shared" si="521"/>
        <v>-0.4219957365203148</v>
      </c>
      <c r="E48" s="580">
        <f t="shared" ref="E48:K48" si="522">R203</f>
        <v>0.64110401683693674</v>
      </c>
      <c r="F48" s="572">
        <f t="shared" si="522"/>
        <v>-0.71849467781325005</v>
      </c>
      <c r="G48" s="579">
        <f t="shared" si="522"/>
        <v>0.26972400254626755</v>
      </c>
      <c r="H48" s="580">
        <f t="shared" si="522"/>
        <v>0.375</v>
      </c>
      <c r="I48" s="572">
        <f t="shared" si="522"/>
        <v>0.52</v>
      </c>
      <c r="J48" s="483">
        <f t="shared" si="95"/>
        <v>4.1280000000000001</v>
      </c>
      <c r="K48" s="806">
        <f t="shared" si="522"/>
        <v>1913</v>
      </c>
      <c r="L48" s="309"/>
      <c r="M48" s="164">
        <f t="shared" si="311"/>
        <v>4.1280000000000001</v>
      </c>
      <c r="N48" s="575">
        <f t="shared" si="312"/>
        <v>-4.2580194344161422</v>
      </c>
      <c r="O48" s="572">
        <f t="shared" si="313"/>
        <v>-4.7790584962748692</v>
      </c>
      <c r="P48" s="576">
        <f t="shared" si="314"/>
        <v>-0.4219957365203148</v>
      </c>
      <c r="Q48" s="528">
        <f t="shared" si="135"/>
        <v>228.29977521117414</v>
      </c>
      <c r="R48" s="572">
        <f t="shared" si="96"/>
        <v>6.4007913272252965</v>
      </c>
      <c r="S48" s="577">
        <f t="shared" si="97"/>
        <v>-0.4219957365203148</v>
      </c>
      <c r="T48" s="578">
        <f t="shared" si="98"/>
        <v>-4.8031324971483027</v>
      </c>
      <c r="U48" s="572">
        <f t="shared" si="99"/>
        <v>4.230844812743725</v>
      </c>
      <c r="V48" s="579">
        <f t="shared" si="136"/>
        <v>-0.4219957365203148</v>
      </c>
      <c r="W48" s="528">
        <f t="shared" si="257"/>
        <v>138.62475035698134</v>
      </c>
      <c r="X48" s="572">
        <f t="shared" si="100"/>
        <v>6.4007913272252965</v>
      </c>
      <c r="Y48" s="573">
        <f t="shared" si="260"/>
        <v>-0.4219957365203148</v>
      </c>
      <c r="Z48" s="575">
        <f t="shared" si="315"/>
        <v>-0.64110401683693674</v>
      </c>
      <c r="AA48" s="572">
        <f t="shared" si="316"/>
        <v>0.71849467781325005</v>
      </c>
      <c r="AB48" s="572">
        <f t="shared" si="317"/>
        <v>-0.26972400254626755</v>
      </c>
      <c r="AC48" s="579">
        <f t="shared" si="101"/>
        <v>1</v>
      </c>
      <c r="AD48" s="580">
        <f t="shared" si="137"/>
        <v>-0.64110401683693674</v>
      </c>
      <c r="AE48" s="572">
        <f t="shared" si="102"/>
        <v>0.71849467781325005</v>
      </c>
      <c r="AF48" s="576">
        <f t="shared" si="103"/>
        <v>-0.26972400254626755</v>
      </c>
      <c r="AG48" s="545">
        <f t="shared" si="104"/>
        <v>69.423787738385343</v>
      </c>
      <c r="AH48" s="546">
        <f t="shared" si="105"/>
        <v>129.87419259995968</v>
      </c>
      <c r="AI48" s="528">
        <f t="shared" si="106"/>
        <v>-74.3521559397864</v>
      </c>
      <c r="AJ48" s="529">
        <f t="shared" si="107"/>
        <v>-138.25785729687146</v>
      </c>
      <c r="AK48" s="578">
        <f t="shared" si="236"/>
        <v>0.95663763857902195</v>
      </c>
      <c r="AL48" s="572">
        <f t="shared" si="108"/>
        <v>-0.10996995455293113</v>
      </c>
      <c r="AM48" s="577">
        <f t="shared" si="109"/>
        <v>-0.26972400254626755</v>
      </c>
      <c r="AN48" s="524">
        <f t="shared" si="110"/>
        <v>-22.181355858091454</v>
      </c>
      <c r="AO48" s="525">
        <f t="shared" si="111"/>
        <v>16.934643401648234</v>
      </c>
      <c r="AP48" s="528">
        <f t="shared" si="112"/>
        <v>-6.5576325080456428</v>
      </c>
      <c r="AQ48" s="529">
        <f t="shared" si="318"/>
        <v>0.35615866103740651</v>
      </c>
      <c r="AS48" s="954">
        <f t="shared" si="510"/>
        <v>138.62475035698134</v>
      </c>
      <c r="AT48" s="950">
        <f t="shared" si="319"/>
        <v>-0.2698663906029628</v>
      </c>
      <c r="AU48" s="418"/>
      <c r="AV48" s="164" t="str">
        <f t="shared" si="320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21"/>
        <v/>
      </c>
      <c r="BA48" s="296" t="str">
        <f t="shared" si="322"/>
        <v/>
      </c>
      <c r="BB48" s="190" t="str">
        <f t="shared" si="140"/>
        <v/>
      </c>
      <c r="BC48" s="9"/>
      <c r="BD48" s="5" t="str">
        <f t="shared" si="323"/>
        <v/>
      </c>
      <c r="BE48" s="6" t="str">
        <f t="shared" si="324"/>
        <v/>
      </c>
      <c r="BF48" s="4" t="str">
        <f t="shared" si="325"/>
        <v/>
      </c>
      <c r="BG48" s="5" t="str">
        <f t="shared" si="326"/>
        <v/>
      </c>
      <c r="BH48" s="10" t="str">
        <f t="shared" si="327"/>
        <v/>
      </c>
      <c r="BI48" s="9" t="str">
        <f t="shared" si="328"/>
        <v/>
      </c>
      <c r="BJ48" s="5" t="str">
        <f t="shared" si="329"/>
        <v/>
      </c>
      <c r="BK48" s="8" t="str">
        <f t="shared" si="330"/>
        <v/>
      </c>
      <c r="BL48" s="173" t="str">
        <f t="shared" si="331"/>
        <v/>
      </c>
      <c r="BM48" s="5" t="str">
        <f t="shared" si="332"/>
        <v/>
      </c>
      <c r="BN48" s="6" t="str">
        <f t="shared" si="333"/>
        <v/>
      </c>
      <c r="BO48" s="4" t="str">
        <f t="shared" si="334"/>
        <v/>
      </c>
      <c r="BP48" s="5" t="str">
        <f t="shared" si="335"/>
        <v/>
      </c>
      <c r="BQ48" s="5" t="str">
        <f t="shared" si="336"/>
        <v/>
      </c>
      <c r="BR48" s="6" t="str">
        <f t="shared" si="337"/>
        <v/>
      </c>
      <c r="BS48" s="4" t="str">
        <f t="shared" si="505"/>
        <v/>
      </c>
      <c r="BT48" s="5" t="str">
        <f t="shared" si="505"/>
        <v/>
      </c>
      <c r="BU48" s="10" t="str">
        <f t="shared" si="114"/>
        <v/>
      </c>
      <c r="BV48" s="9" t="str">
        <f t="shared" si="115"/>
        <v/>
      </c>
      <c r="BW48" s="5" t="str">
        <f t="shared" si="116"/>
        <v/>
      </c>
      <c r="BX48" s="8" t="str">
        <f t="shared" si="117"/>
        <v/>
      </c>
      <c r="BY48" s="173" t="str">
        <f t="shared" si="118"/>
        <v/>
      </c>
      <c r="BZ48" s="5" t="str">
        <f t="shared" si="119"/>
        <v/>
      </c>
      <c r="CA48" s="6" t="str">
        <f t="shared" si="120"/>
        <v/>
      </c>
      <c r="CB48" s="4" t="str">
        <f t="shared" si="338"/>
        <v/>
      </c>
      <c r="CC48" s="5" t="str">
        <f t="shared" si="339"/>
        <v/>
      </c>
      <c r="CD48" s="5" t="str">
        <f t="shared" si="340"/>
        <v/>
      </c>
      <c r="CE48" s="6" t="str">
        <f t="shared" si="341"/>
        <v/>
      </c>
      <c r="CF48" s="4" t="str">
        <f t="shared" si="342"/>
        <v/>
      </c>
      <c r="CG48" s="5" t="str">
        <f t="shared" si="343"/>
        <v/>
      </c>
      <c r="CH48" s="5" t="str">
        <f t="shared" si="344"/>
        <v/>
      </c>
      <c r="CI48" s="4" t="str">
        <f t="shared" si="121"/>
        <v/>
      </c>
      <c r="CJ48" s="5" t="str">
        <f t="shared" si="345"/>
        <v/>
      </c>
      <c r="CK48" s="8" t="str">
        <f t="shared" si="346"/>
        <v/>
      </c>
      <c r="CL48" s="173" t="str">
        <f t="shared" si="347"/>
        <v/>
      </c>
      <c r="CM48" s="5" t="str">
        <f t="shared" si="348"/>
        <v/>
      </c>
      <c r="CN48" s="6" t="str">
        <f t="shared" si="349"/>
        <v/>
      </c>
      <c r="CO48" s="167" t="str">
        <f t="shared" si="350"/>
        <v/>
      </c>
      <c r="CP48" s="4" t="str">
        <f t="shared" si="351"/>
        <v/>
      </c>
      <c r="CQ48" s="5" t="str">
        <f t="shared" si="352"/>
        <v/>
      </c>
      <c r="CR48" s="5" t="str">
        <f t="shared" si="353"/>
        <v/>
      </c>
      <c r="CS48" s="8" t="str">
        <f t="shared" si="354"/>
        <v/>
      </c>
      <c r="CT48" s="9" t="str">
        <f t="shared" si="156"/>
        <v/>
      </c>
      <c r="CU48" s="6" t="str">
        <f t="shared" si="355"/>
        <v/>
      </c>
      <c r="CV48" s="4" t="str">
        <f t="shared" si="356"/>
        <v/>
      </c>
      <c r="CW48" s="5" t="str">
        <f t="shared" si="357"/>
        <v/>
      </c>
      <c r="CX48" s="8" t="str">
        <f t="shared" si="358"/>
        <v/>
      </c>
      <c r="CY48" s="9" t="str">
        <f t="shared" si="359"/>
        <v/>
      </c>
      <c r="CZ48" s="5" t="str">
        <f t="shared" si="360"/>
        <v/>
      </c>
      <c r="DA48" s="6" t="str">
        <f t="shared" si="361"/>
        <v/>
      </c>
      <c r="DB48" s="4" t="str">
        <f t="shared" si="511"/>
        <v/>
      </c>
      <c r="DC48" s="5" t="str">
        <f t="shared" si="511"/>
        <v/>
      </c>
      <c r="DD48" s="10" t="str">
        <f t="shared" si="164"/>
        <v/>
      </c>
      <c r="DE48" s="9" t="str">
        <f t="shared" si="512"/>
        <v/>
      </c>
      <c r="DF48" s="5" t="str">
        <f t="shared" si="512"/>
        <v/>
      </c>
      <c r="DG48" s="10" t="str">
        <f t="shared" si="166"/>
        <v/>
      </c>
      <c r="DH48" s="70" t="str">
        <f t="shared" si="362"/>
        <v/>
      </c>
      <c r="DI48" s="4" t="str">
        <f t="shared" si="363"/>
        <v/>
      </c>
      <c r="DJ48" s="5" t="str">
        <f t="shared" si="364"/>
        <v/>
      </c>
      <c r="DK48" s="10" t="str">
        <f t="shared" si="365"/>
        <v/>
      </c>
      <c r="DL48" s="9" t="str">
        <f t="shared" si="366"/>
        <v/>
      </c>
      <c r="DM48" s="173" t="str">
        <f t="shared" si="367"/>
        <v/>
      </c>
      <c r="DN48" s="178" t="str">
        <f t="shared" si="368"/>
        <v/>
      </c>
      <c r="DO48" s="9" t="str">
        <f t="shared" si="369"/>
        <v/>
      </c>
      <c r="DP48" s="173" t="str">
        <f t="shared" si="370"/>
        <v/>
      </c>
      <c r="DQ48" s="11" t="str">
        <f t="shared" si="371"/>
        <v/>
      </c>
      <c r="DR48" s="173" t="str">
        <f t="shared" si="372"/>
        <v/>
      </c>
      <c r="DS48" s="5" t="str">
        <f t="shared" si="373"/>
        <v/>
      </c>
      <c r="DT48" s="5" t="str">
        <f t="shared" si="374"/>
        <v/>
      </c>
      <c r="DU48" s="5" t="str">
        <f t="shared" si="375"/>
        <v/>
      </c>
      <c r="DV48" s="5" t="str">
        <f t="shared" si="376"/>
        <v/>
      </c>
      <c r="DW48" s="5" t="str">
        <f t="shared" si="377"/>
        <v/>
      </c>
      <c r="DX48" s="167" t="str">
        <f t="shared" si="378"/>
        <v/>
      </c>
      <c r="DY48" s="9" t="str">
        <f t="shared" si="379"/>
        <v/>
      </c>
      <c r="DZ48" s="5" t="str">
        <f t="shared" si="380"/>
        <v/>
      </c>
      <c r="EA48" s="10" t="str">
        <f t="shared" si="381"/>
        <v/>
      </c>
      <c r="EB48" s="6" t="str">
        <f t="shared" si="382"/>
        <v/>
      </c>
      <c r="EC48" s="173" t="str">
        <f t="shared" si="383"/>
        <v/>
      </c>
      <c r="ED48" s="5" t="str">
        <f t="shared" si="384"/>
        <v/>
      </c>
      <c r="EE48" s="4" t="str">
        <f t="shared" si="385"/>
        <v/>
      </c>
      <c r="EF48" s="5" t="str">
        <f t="shared" si="386"/>
        <v/>
      </c>
      <c r="EG48" s="10" t="str">
        <f t="shared" si="387"/>
        <v/>
      </c>
      <c r="EH48" s="9" t="str">
        <f t="shared" si="388"/>
        <v/>
      </c>
      <c r="EI48" s="5" t="str">
        <f t="shared" si="389"/>
        <v/>
      </c>
      <c r="EJ48" s="6" t="str">
        <f t="shared" si="390"/>
        <v/>
      </c>
      <c r="EK48" s="236" t="str">
        <f t="shared" si="196"/>
        <v/>
      </c>
      <c r="EL48" s="238" t="str">
        <f t="shared" si="197"/>
        <v/>
      </c>
      <c r="EM48" s="4" t="str">
        <f t="shared" si="391"/>
        <v/>
      </c>
      <c r="EN48" s="5" t="str">
        <f t="shared" si="392"/>
        <v/>
      </c>
      <c r="EO48" s="10" t="str">
        <f t="shared" si="393"/>
        <v/>
      </c>
      <c r="EP48" s="9" t="str">
        <f t="shared" si="394"/>
        <v/>
      </c>
      <c r="EQ48" s="5" t="str">
        <f t="shared" si="395"/>
        <v/>
      </c>
      <c r="ER48" s="7" t="str">
        <f t="shared" si="396"/>
        <v/>
      </c>
      <c r="ES48" s="21" t="str">
        <f t="shared" si="397"/>
        <v/>
      </c>
      <c r="ET48" s="5" t="str">
        <f t="shared" si="398"/>
        <v/>
      </c>
      <c r="EU48" s="10" t="str">
        <f t="shared" si="399"/>
        <v/>
      </c>
      <c r="EV48" s="174" t="str">
        <f t="shared" si="400"/>
        <v/>
      </c>
      <c r="EW48" s="9" t="str">
        <f t="shared" si="401"/>
        <v/>
      </c>
      <c r="EX48" s="5" t="str">
        <f t="shared" si="402"/>
        <v/>
      </c>
      <c r="EY48" s="6" t="str">
        <f t="shared" si="403"/>
        <v/>
      </c>
      <c r="EZ48" s="51" t="str">
        <f t="shared" si="205"/>
        <v/>
      </c>
      <c r="FA48" s="266" t="str">
        <f t="shared" si="129"/>
        <v/>
      </c>
      <c r="FB48" s="267" t="str">
        <f t="shared" si="130"/>
        <v/>
      </c>
      <c r="FC48" s="269" t="str">
        <f t="shared" si="37"/>
        <v/>
      </c>
      <c r="FD48" s="4" t="str">
        <f t="shared" si="404"/>
        <v/>
      </c>
      <c r="FE48" s="5" t="str">
        <f t="shared" si="405"/>
        <v/>
      </c>
      <c r="FF48" s="7" t="str">
        <f t="shared" si="406"/>
        <v/>
      </c>
      <c r="FG48" s="173" t="str">
        <f t="shared" si="407"/>
        <v/>
      </c>
      <c r="FH48" s="5" t="str">
        <f t="shared" si="408"/>
        <v/>
      </c>
      <c r="FI48" s="10" t="str">
        <f t="shared" si="409"/>
        <v/>
      </c>
      <c r="FJ48" s="279" t="str">
        <f t="shared" si="410"/>
        <v/>
      </c>
      <c r="FK48" s="4" t="str">
        <f t="shared" si="411"/>
        <v/>
      </c>
      <c r="FL48" s="5" t="str">
        <f t="shared" si="412"/>
        <v/>
      </c>
      <c r="FM48" s="8" t="str">
        <f t="shared" si="413"/>
        <v/>
      </c>
      <c r="FN48" s="9" t="str">
        <f t="shared" si="414"/>
        <v/>
      </c>
      <c r="FO48" s="10" t="str">
        <f t="shared" si="415"/>
        <v/>
      </c>
      <c r="FP48" s="277" t="str">
        <f t="shared" si="416"/>
        <v/>
      </c>
      <c r="FQ48" s="173" t="str">
        <f t="shared" si="417"/>
        <v/>
      </c>
      <c r="FR48" s="10" t="str">
        <f t="shared" si="418"/>
        <v/>
      </c>
      <c r="FS48" s="9" t="str">
        <f t="shared" si="419"/>
        <v/>
      </c>
      <c r="FT48" s="6" t="str">
        <f t="shared" si="420"/>
        <v/>
      </c>
      <c r="FU48" s="4" t="str">
        <f t="shared" si="421"/>
        <v/>
      </c>
      <c r="FV48" s="5" t="str">
        <f t="shared" si="422"/>
        <v/>
      </c>
      <c r="FW48" s="8" t="str">
        <f t="shared" si="423"/>
        <v/>
      </c>
      <c r="FX48" s="9" t="str">
        <f t="shared" si="424"/>
        <v/>
      </c>
      <c r="FY48" s="10" t="str">
        <f t="shared" si="425"/>
        <v/>
      </c>
      <c r="FZ48" s="277" t="str">
        <f t="shared" si="426"/>
        <v/>
      </c>
      <c r="GA48" s="177" t="str">
        <f t="shared" si="427"/>
        <v/>
      </c>
      <c r="GB48" s="4" t="str">
        <f t="shared" si="428"/>
        <v/>
      </c>
      <c r="GC48" s="5" t="str">
        <f t="shared" si="429"/>
        <v/>
      </c>
      <c r="GD48" s="10" t="str">
        <f t="shared" si="430"/>
        <v/>
      </c>
      <c r="GE48" s="311" t="str">
        <f t="shared" si="431"/>
        <v/>
      </c>
      <c r="GF48" s="341" t="str">
        <f t="shared" si="432"/>
        <v/>
      </c>
      <c r="GG48" s="285" t="str">
        <f t="shared" si="433"/>
        <v/>
      </c>
      <c r="GH48" s="286" t="str">
        <f t="shared" si="434"/>
        <v/>
      </c>
      <c r="GI48" s="281" t="str">
        <f t="shared" si="435"/>
        <v/>
      </c>
      <c r="GJ48" s="167" t="str">
        <f t="shared" si="436"/>
        <v/>
      </c>
      <c r="GK48" s="174" t="str">
        <f t="shared" si="48"/>
        <v/>
      </c>
      <c r="GL48" s="174" t="str">
        <f t="shared" si="437"/>
        <v/>
      </c>
      <c r="GM48" s="177" t="str">
        <f t="shared" si="438"/>
        <v/>
      </c>
      <c r="GN48" s="280" t="str">
        <f t="shared" si="439"/>
        <v/>
      </c>
      <c r="GO48" s="4" t="str">
        <f t="shared" si="440"/>
        <v/>
      </c>
      <c r="GP48" s="8" t="str">
        <f t="shared" si="441"/>
        <v/>
      </c>
      <c r="GQ48" s="177" t="str">
        <f t="shared" si="442"/>
        <v/>
      </c>
      <c r="GR48" s="371" t="str">
        <f t="shared" si="443"/>
        <v/>
      </c>
      <c r="GS48" s="342" t="str">
        <f t="shared" si="444"/>
        <v/>
      </c>
      <c r="GT48" s="343" t="str">
        <f t="shared" si="445"/>
        <v/>
      </c>
      <c r="GU48" s="344" t="str">
        <f t="shared" si="52"/>
        <v/>
      </c>
      <c r="GV48" s="343" t="str">
        <f t="shared" si="446"/>
        <v/>
      </c>
      <c r="GW48" s="345" t="str">
        <f t="shared" si="53"/>
        <v/>
      </c>
      <c r="GX48" s="346" t="str">
        <f t="shared" si="54"/>
        <v/>
      </c>
      <c r="GY48" s="344" t="str">
        <f t="shared" si="447"/>
        <v/>
      </c>
      <c r="GZ48" s="345" t="str">
        <f t="shared" si="448"/>
        <v/>
      </c>
      <c r="HA48" s="342" t="str">
        <f t="shared" si="57"/>
        <v/>
      </c>
      <c r="HB48" s="5" t="str">
        <f t="shared" si="227"/>
        <v/>
      </c>
      <c r="HC48" s="343" t="str">
        <f t="shared" si="449"/>
        <v/>
      </c>
      <c r="HD48" s="345" t="str">
        <f t="shared" si="450"/>
        <v/>
      </c>
      <c r="HE48" s="344" t="str">
        <f t="shared" si="58"/>
        <v/>
      </c>
      <c r="HF48" s="5" t="str">
        <f t="shared" si="59"/>
        <v/>
      </c>
      <c r="HG48" s="343" t="str">
        <f t="shared" si="451"/>
        <v/>
      </c>
      <c r="HH48" s="349" t="str">
        <f t="shared" si="452"/>
        <v/>
      </c>
      <c r="HI48" s="317" t="str">
        <f t="shared" si="453"/>
        <v/>
      </c>
      <c r="HJ48" s="336"/>
      <c r="HK48" s="310" t="str">
        <f t="shared" si="506"/>
        <v/>
      </c>
      <c r="HL48" s="348" t="str">
        <f t="shared" si="454"/>
        <v/>
      </c>
      <c r="HM48" s="923" t="str">
        <f t="shared" si="455"/>
        <v/>
      </c>
      <c r="HN48" s="924" t="str">
        <f t="shared" si="456"/>
        <v/>
      </c>
      <c r="HO48" s="925"/>
      <c r="HP48" s="926"/>
      <c r="HQ48" s="924" t="str">
        <f t="shared" si="457"/>
        <v/>
      </c>
      <c r="HR48" s="927" t="str">
        <f t="shared" si="458"/>
        <v/>
      </c>
      <c r="HS48" s="879" t="str">
        <f t="shared" si="507"/>
        <v/>
      </c>
      <c r="HT48" s="889" t="str">
        <f t="shared" si="459"/>
        <v/>
      </c>
      <c r="HU48" s="890" t="str">
        <f t="shared" si="460"/>
        <v/>
      </c>
      <c r="HV48" s="886" t="str">
        <f t="shared" si="461"/>
        <v/>
      </c>
      <c r="HW48" s="880" t="str">
        <f t="shared" si="462"/>
        <v/>
      </c>
      <c r="HX48" s="881" t="str">
        <f t="shared" si="463"/>
        <v/>
      </c>
      <c r="HY48" s="880" t="str">
        <f t="shared" si="464"/>
        <v/>
      </c>
      <c r="HZ48" s="882" t="str">
        <f t="shared" si="465"/>
        <v/>
      </c>
      <c r="IA48" s="883" t="str">
        <f t="shared" si="466"/>
        <v/>
      </c>
      <c r="IB48" s="884" t="str">
        <f t="shared" si="467"/>
        <v/>
      </c>
      <c r="IC48" s="855" t="str">
        <f t="shared" si="468"/>
        <v/>
      </c>
      <c r="ID48" s="351" t="str">
        <f t="shared" si="469"/>
        <v/>
      </c>
      <c r="IE48" s="857" t="str">
        <f t="shared" si="470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2"/>
        <v>4.1280000000000001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1913</v>
      </c>
      <c r="IM48" s="482" t="str">
        <f t="shared" si="233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92"/>
        <v>0.02</v>
      </c>
      <c r="B49" s="578">
        <f t="shared" ref="B49:D49" si="523">IFERROR(O204-($A49*E49),"")</f>
        <v>-4.8329506266029085</v>
      </c>
      <c r="C49" s="572">
        <f t="shared" si="523"/>
        <v>-5.2924187006630952</v>
      </c>
      <c r="D49" s="576">
        <f t="shared" si="523"/>
        <v>-0.89803116513849024</v>
      </c>
      <c r="E49" s="580">
        <f t="shared" ref="E49:K49" si="524">R204</f>
        <v>0.57631699628364441</v>
      </c>
      <c r="F49" s="572">
        <f t="shared" si="524"/>
        <v>-0.77758915702374587</v>
      </c>
      <c r="G49" s="579">
        <f t="shared" si="524"/>
        <v>0.25142359211835758</v>
      </c>
      <c r="H49" s="580">
        <f t="shared" si="524"/>
        <v>0.375</v>
      </c>
      <c r="I49" s="572">
        <f t="shared" si="524"/>
        <v>0.52</v>
      </c>
      <c r="J49" s="483">
        <f t="shared" si="95"/>
        <v>4.133</v>
      </c>
      <c r="K49" s="806">
        <f t="shared" si="524"/>
        <v>1913</v>
      </c>
      <c r="L49" s="309"/>
      <c r="M49" s="164">
        <f t="shared" si="311"/>
        <v>4.133</v>
      </c>
      <c r="N49" s="575">
        <f t="shared" si="312"/>
        <v>-4.8329506266029085</v>
      </c>
      <c r="O49" s="572">
        <f t="shared" si="313"/>
        <v>-5.2924187006630952</v>
      </c>
      <c r="P49" s="576">
        <f t="shared" si="314"/>
        <v>-0.89803116513849024</v>
      </c>
      <c r="Q49" s="528">
        <f t="shared" si="135"/>
        <v>227.59818021707949</v>
      </c>
      <c r="R49" s="572">
        <f t="shared" si="96"/>
        <v>7.1670850045405414</v>
      </c>
      <c r="S49" s="577">
        <f t="shared" si="97"/>
        <v>-0.89803116513849024</v>
      </c>
      <c r="T49" s="578">
        <f t="shared" si="98"/>
        <v>-5.319745370941849</v>
      </c>
      <c r="U49" s="572">
        <f t="shared" si="99"/>
        <v>4.8028550520136104</v>
      </c>
      <c r="V49" s="579">
        <f t="shared" si="136"/>
        <v>-0.89803116513849024</v>
      </c>
      <c r="W49" s="528">
        <f t="shared" si="257"/>
        <v>137.92315536288669</v>
      </c>
      <c r="X49" s="572">
        <f t="shared" si="100"/>
        <v>7.1670850045405414</v>
      </c>
      <c r="Y49" s="573">
        <f t="shared" si="260"/>
        <v>-0.89803116513849024</v>
      </c>
      <c r="Z49" s="575">
        <f t="shared" si="315"/>
        <v>-0.57631699628364441</v>
      </c>
      <c r="AA49" s="572">
        <f t="shared" si="316"/>
        <v>0.77758915702374587</v>
      </c>
      <c r="AB49" s="572">
        <f t="shared" si="317"/>
        <v>-0.25142359211835758</v>
      </c>
      <c r="AC49" s="579">
        <f t="shared" si="101"/>
        <v>1</v>
      </c>
      <c r="AD49" s="580">
        <f t="shared" si="137"/>
        <v>-0.57631699628364441</v>
      </c>
      <c r="AE49" s="572">
        <f t="shared" si="102"/>
        <v>0.77758915702374587</v>
      </c>
      <c r="AF49" s="576">
        <f t="shared" si="103"/>
        <v>-0.25142359211835758</v>
      </c>
      <c r="AG49" s="545">
        <f t="shared" si="104"/>
        <v>72.082044117951583</v>
      </c>
      <c r="AH49" s="546">
        <f t="shared" si="105"/>
        <v>125.19191451363402</v>
      </c>
      <c r="AI49" s="528">
        <f t="shared" si="106"/>
        <v>-75.438230970882955</v>
      </c>
      <c r="AJ49" s="529">
        <f t="shared" si="107"/>
        <v>-143.45568354234766</v>
      </c>
      <c r="AK49" s="578">
        <f t="shared" si="236"/>
        <v>0.94992048343307345</v>
      </c>
      <c r="AL49" s="572">
        <f t="shared" si="108"/>
        <v>-0.18557276869351785</v>
      </c>
      <c r="AM49" s="577">
        <f t="shared" si="109"/>
        <v>-0.25142359211835758</v>
      </c>
      <c r="AN49" s="524">
        <f t="shared" si="110"/>
        <v>-36.430594444277546</v>
      </c>
      <c r="AO49" s="525">
        <f t="shared" si="111"/>
        <v>18.209457452085278</v>
      </c>
      <c r="AP49" s="528">
        <f t="shared" si="112"/>
        <v>-11.053863759427177</v>
      </c>
      <c r="AQ49" s="529">
        <f t="shared" si="318"/>
        <v>0.31807955541382632</v>
      </c>
      <c r="AS49" s="954">
        <f t="shared" si="510"/>
        <v>137.92315536288669</v>
      </c>
      <c r="AT49" s="950">
        <f t="shared" si="319"/>
        <v>-0.74541460047523922</v>
      </c>
      <c r="AU49" s="418"/>
      <c r="AV49" s="164" t="str">
        <f t="shared" si="320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21"/>
        <v/>
      </c>
      <c r="BA49" s="296" t="str">
        <f t="shared" si="322"/>
        <v/>
      </c>
      <c r="BB49" s="190" t="str">
        <f t="shared" si="140"/>
        <v/>
      </c>
      <c r="BC49" s="9"/>
      <c r="BD49" s="5" t="str">
        <f t="shared" si="323"/>
        <v/>
      </c>
      <c r="BE49" s="6" t="str">
        <f t="shared" si="324"/>
        <v/>
      </c>
      <c r="BF49" s="4" t="str">
        <f t="shared" si="325"/>
        <v/>
      </c>
      <c r="BG49" s="5" t="str">
        <f t="shared" si="326"/>
        <v/>
      </c>
      <c r="BH49" s="10" t="str">
        <f t="shared" si="327"/>
        <v/>
      </c>
      <c r="BI49" s="9" t="str">
        <f t="shared" si="328"/>
        <v/>
      </c>
      <c r="BJ49" s="5" t="str">
        <f t="shared" si="329"/>
        <v/>
      </c>
      <c r="BK49" s="8" t="str">
        <f t="shared" si="330"/>
        <v/>
      </c>
      <c r="BL49" s="173" t="str">
        <f t="shared" si="331"/>
        <v/>
      </c>
      <c r="BM49" s="5" t="str">
        <f t="shared" si="332"/>
        <v/>
      </c>
      <c r="BN49" s="6" t="str">
        <f t="shared" si="333"/>
        <v/>
      </c>
      <c r="BO49" s="4" t="str">
        <f t="shared" si="334"/>
        <v/>
      </c>
      <c r="BP49" s="5" t="str">
        <f t="shared" si="335"/>
        <v/>
      </c>
      <c r="BQ49" s="5" t="str">
        <f t="shared" si="336"/>
        <v/>
      </c>
      <c r="BR49" s="6" t="str">
        <f t="shared" si="337"/>
        <v/>
      </c>
      <c r="BS49" s="4" t="str">
        <f t="shared" si="505"/>
        <v/>
      </c>
      <c r="BT49" s="5" t="str">
        <f t="shared" si="505"/>
        <v/>
      </c>
      <c r="BU49" s="10" t="str">
        <f t="shared" si="114"/>
        <v/>
      </c>
      <c r="BV49" s="9" t="str">
        <f t="shared" si="115"/>
        <v/>
      </c>
      <c r="BW49" s="5" t="str">
        <f t="shared" si="116"/>
        <v/>
      </c>
      <c r="BX49" s="8" t="str">
        <f t="shared" si="117"/>
        <v/>
      </c>
      <c r="BY49" s="173" t="str">
        <f t="shared" si="118"/>
        <v/>
      </c>
      <c r="BZ49" s="5" t="str">
        <f t="shared" si="119"/>
        <v/>
      </c>
      <c r="CA49" s="6" t="str">
        <f t="shared" si="120"/>
        <v/>
      </c>
      <c r="CB49" s="4" t="str">
        <f t="shared" si="338"/>
        <v/>
      </c>
      <c r="CC49" s="5" t="str">
        <f t="shared" si="339"/>
        <v/>
      </c>
      <c r="CD49" s="5" t="str">
        <f t="shared" si="340"/>
        <v/>
      </c>
      <c r="CE49" s="6" t="str">
        <f t="shared" si="341"/>
        <v/>
      </c>
      <c r="CF49" s="4" t="str">
        <f t="shared" si="342"/>
        <v/>
      </c>
      <c r="CG49" s="5" t="str">
        <f t="shared" si="343"/>
        <v/>
      </c>
      <c r="CH49" s="5" t="str">
        <f t="shared" si="344"/>
        <v/>
      </c>
      <c r="CI49" s="4" t="str">
        <f t="shared" si="121"/>
        <v/>
      </c>
      <c r="CJ49" s="5" t="str">
        <f t="shared" si="345"/>
        <v/>
      </c>
      <c r="CK49" s="8" t="str">
        <f t="shared" si="346"/>
        <v/>
      </c>
      <c r="CL49" s="173" t="str">
        <f t="shared" si="347"/>
        <v/>
      </c>
      <c r="CM49" s="5" t="str">
        <f t="shared" si="348"/>
        <v/>
      </c>
      <c r="CN49" s="6" t="str">
        <f t="shared" si="349"/>
        <v/>
      </c>
      <c r="CO49" s="167" t="str">
        <f t="shared" si="350"/>
        <v/>
      </c>
      <c r="CP49" s="4" t="str">
        <f t="shared" si="351"/>
        <v/>
      </c>
      <c r="CQ49" s="5" t="str">
        <f t="shared" si="352"/>
        <v/>
      </c>
      <c r="CR49" s="5" t="str">
        <f t="shared" si="353"/>
        <v/>
      </c>
      <c r="CS49" s="8" t="str">
        <f t="shared" si="354"/>
        <v/>
      </c>
      <c r="CT49" s="9" t="str">
        <f t="shared" si="156"/>
        <v/>
      </c>
      <c r="CU49" s="6" t="str">
        <f t="shared" si="355"/>
        <v/>
      </c>
      <c r="CV49" s="4" t="str">
        <f t="shared" si="356"/>
        <v/>
      </c>
      <c r="CW49" s="5" t="str">
        <f t="shared" si="357"/>
        <v/>
      </c>
      <c r="CX49" s="8" t="str">
        <f t="shared" si="358"/>
        <v/>
      </c>
      <c r="CY49" s="9" t="str">
        <f t="shared" si="359"/>
        <v/>
      </c>
      <c r="CZ49" s="5" t="str">
        <f t="shared" si="360"/>
        <v/>
      </c>
      <c r="DA49" s="6" t="str">
        <f t="shared" si="361"/>
        <v/>
      </c>
      <c r="DB49" s="4" t="str">
        <f t="shared" si="511"/>
        <v/>
      </c>
      <c r="DC49" s="5" t="str">
        <f t="shared" si="511"/>
        <v/>
      </c>
      <c r="DD49" s="10" t="str">
        <f t="shared" si="164"/>
        <v/>
      </c>
      <c r="DE49" s="9" t="str">
        <f t="shared" si="512"/>
        <v/>
      </c>
      <c r="DF49" s="5" t="str">
        <f t="shared" si="512"/>
        <v/>
      </c>
      <c r="DG49" s="10" t="str">
        <f t="shared" si="166"/>
        <v/>
      </c>
      <c r="DH49" s="70" t="str">
        <f t="shared" si="362"/>
        <v/>
      </c>
      <c r="DI49" s="4" t="str">
        <f t="shared" si="363"/>
        <v/>
      </c>
      <c r="DJ49" s="5" t="str">
        <f t="shared" si="364"/>
        <v/>
      </c>
      <c r="DK49" s="10" t="str">
        <f t="shared" si="365"/>
        <v/>
      </c>
      <c r="DL49" s="9" t="str">
        <f t="shared" si="366"/>
        <v/>
      </c>
      <c r="DM49" s="173" t="str">
        <f t="shared" si="367"/>
        <v/>
      </c>
      <c r="DN49" s="178" t="str">
        <f t="shared" si="368"/>
        <v/>
      </c>
      <c r="DO49" s="9" t="str">
        <f t="shared" si="369"/>
        <v/>
      </c>
      <c r="DP49" s="173" t="str">
        <f t="shared" si="370"/>
        <v/>
      </c>
      <c r="DQ49" s="11" t="str">
        <f t="shared" si="371"/>
        <v/>
      </c>
      <c r="DR49" s="173" t="str">
        <f t="shared" si="372"/>
        <v/>
      </c>
      <c r="DS49" s="5" t="str">
        <f t="shared" si="373"/>
        <v/>
      </c>
      <c r="DT49" s="5" t="str">
        <f t="shared" si="374"/>
        <v/>
      </c>
      <c r="DU49" s="5" t="str">
        <f t="shared" si="375"/>
        <v/>
      </c>
      <c r="DV49" s="5" t="str">
        <f t="shared" si="376"/>
        <v/>
      </c>
      <c r="DW49" s="5" t="str">
        <f t="shared" si="377"/>
        <v/>
      </c>
      <c r="DX49" s="167" t="str">
        <f t="shared" si="378"/>
        <v/>
      </c>
      <c r="DY49" s="9" t="str">
        <f t="shared" si="379"/>
        <v/>
      </c>
      <c r="DZ49" s="5" t="str">
        <f t="shared" si="380"/>
        <v/>
      </c>
      <c r="EA49" s="10" t="str">
        <f t="shared" si="381"/>
        <v/>
      </c>
      <c r="EB49" s="6" t="str">
        <f t="shared" si="382"/>
        <v/>
      </c>
      <c r="EC49" s="173" t="str">
        <f t="shared" si="383"/>
        <v/>
      </c>
      <c r="ED49" s="5" t="str">
        <f t="shared" si="384"/>
        <v/>
      </c>
      <c r="EE49" s="4" t="str">
        <f t="shared" si="385"/>
        <v/>
      </c>
      <c r="EF49" s="5" t="str">
        <f t="shared" si="386"/>
        <v/>
      </c>
      <c r="EG49" s="10" t="str">
        <f t="shared" si="387"/>
        <v/>
      </c>
      <c r="EH49" s="9" t="str">
        <f t="shared" si="388"/>
        <v/>
      </c>
      <c r="EI49" s="5" t="str">
        <f t="shared" si="389"/>
        <v/>
      </c>
      <c r="EJ49" s="6" t="str">
        <f t="shared" si="390"/>
        <v/>
      </c>
      <c r="EK49" s="236" t="str">
        <f t="shared" si="196"/>
        <v/>
      </c>
      <c r="EL49" s="238" t="str">
        <f t="shared" si="197"/>
        <v/>
      </c>
      <c r="EM49" s="4" t="str">
        <f t="shared" si="391"/>
        <v/>
      </c>
      <c r="EN49" s="5" t="str">
        <f t="shared" si="392"/>
        <v/>
      </c>
      <c r="EO49" s="10" t="str">
        <f t="shared" si="393"/>
        <v/>
      </c>
      <c r="EP49" s="9" t="str">
        <f t="shared" si="394"/>
        <v/>
      </c>
      <c r="EQ49" s="5" t="str">
        <f t="shared" si="395"/>
        <v/>
      </c>
      <c r="ER49" s="7" t="str">
        <f t="shared" si="396"/>
        <v/>
      </c>
      <c r="ES49" s="21" t="str">
        <f t="shared" si="397"/>
        <v/>
      </c>
      <c r="ET49" s="5" t="str">
        <f t="shared" si="398"/>
        <v/>
      </c>
      <c r="EU49" s="10" t="str">
        <f t="shared" si="399"/>
        <v/>
      </c>
      <c r="EV49" s="174" t="str">
        <f t="shared" si="400"/>
        <v/>
      </c>
      <c r="EW49" s="9" t="str">
        <f t="shared" si="401"/>
        <v/>
      </c>
      <c r="EX49" s="5" t="str">
        <f t="shared" si="402"/>
        <v/>
      </c>
      <c r="EY49" s="6" t="str">
        <f t="shared" si="403"/>
        <v/>
      </c>
      <c r="EZ49" s="51" t="str">
        <f t="shared" si="205"/>
        <v/>
      </c>
      <c r="FA49" s="266" t="str">
        <f t="shared" si="129"/>
        <v/>
      </c>
      <c r="FB49" s="267" t="str">
        <f t="shared" si="130"/>
        <v/>
      </c>
      <c r="FC49" s="269" t="str">
        <f t="shared" si="37"/>
        <v/>
      </c>
      <c r="FD49" s="4" t="str">
        <f t="shared" si="404"/>
        <v/>
      </c>
      <c r="FE49" s="5" t="str">
        <f t="shared" si="405"/>
        <v/>
      </c>
      <c r="FF49" s="7" t="str">
        <f t="shared" si="406"/>
        <v/>
      </c>
      <c r="FG49" s="173" t="str">
        <f t="shared" si="407"/>
        <v/>
      </c>
      <c r="FH49" s="5" t="str">
        <f t="shared" si="408"/>
        <v/>
      </c>
      <c r="FI49" s="10" t="str">
        <f t="shared" si="409"/>
        <v/>
      </c>
      <c r="FJ49" s="279" t="str">
        <f t="shared" si="410"/>
        <v/>
      </c>
      <c r="FK49" s="4" t="str">
        <f t="shared" si="411"/>
        <v/>
      </c>
      <c r="FL49" s="5" t="str">
        <f t="shared" si="412"/>
        <v/>
      </c>
      <c r="FM49" s="8" t="str">
        <f t="shared" si="413"/>
        <v/>
      </c>
      <c r="FN49" s="9" t="str">
        <f t="shared" si="414"/>
        <v/>
      </c>
      <c r="FO49" s="10" t="str">
        <f t="shared" si="415"/>
        <v/>
      </c>
      <c r="FP49" s="277" t="str">
        <f t="shared" si="416"/>
        <v/>
      </c>
      <c r="FQ49" s="173" t="str">
        <f t="shared" si="417"/>
        <v/>
      </c>
      <c r="FR49" s="10" t="str">
        <f t="shared" si="418"/>
        <v/>
      </c>
      <c r="FS49" s="9" t="str">
        <f t="shared" si="419"/>
        <v/>
      </c>
      <c r="FT49" s="6" t="str">
        <f t="shared" si="420"/>
        <v/>
      </c>
      <c r="FU49" s="4" t="str">
        <f t="shared" si="421"/>
        <v/>
      </c>
      <c r="FV49" s="5" t="str">
        <f t="shared" si="422"/>
        <v/>
      </c>
      <c r="FW49" s="8" t="str">
        <f t="shared" si="423"/>
        <v/>
      </c>
      <c r="FX49" s="9" t="str">
        <f t="shared" si="424"/>
        <v/>
      </c>
      <c r="FY49" s="10" t="str">
        <f t="shared" si="425"/>
        <v/>
      </c>
      <c r="FZ49" s="277" t="str">
        <f t="shared" si="426"/>
        <v/>
      </c>
      <c r="GA49" s="177" t="str">
        <f t="shared" si="427"/>
        <v/>
      </c>
      <c r="GB49" s="4" t="str">
        <f t="shared" si="428"/>
        <v/>
      </c>
      <c r="GC49" s="5" t="str">
        <f t="shared" si="429"/>
        <v/>
      </c>
      <c r="GD49" s="10" t="str">
        <f t="shared" si="430"/>
        <v/>
      </c>
      <c r="GE49" s="311" t="str">
        <f t="shared" si="431"/>
        <v/>
      </c>
      <c r="GF49" s="341" t="str">
        <f t="shared" si="432"/>
        <v/>
      </c>
      <c r="GG49" s="285" t="str">
        <f t="shared" si="433"/>
        <v/>
      </c>
      <c r="GH49" s="286" t="str">
        <f t="shared" si="434"/>
        <v/>
      </c>
      <c r="GI49" s="281" t="str">
        <f t="shared" si="435"/>
        <v/>
      </c>
      <c r="GJ49" s="167" t="str">
        <f t="shared" si="436"/>
        <v/>
      </c>
      <c r="GK49" s="174" t="str">
        <f t="shared" si="48"/>
        <v/>
      </c>
      <c r="GL49" s="174" t="str">
        <f t="shared" si="437"/>
        <v/>
      </c>
      <c r="GM49" s="177" t="str">
        <f t="shared" si="438"/>
        <v/>
      </c>
      <c r="GN49" s="280" t="str">
        <f t="shared" si="439"/>
        <v/>
      </c>
      <c r="GO49" s="4" t="str">
        <f t="shared" si="440"/>
        <v/>
      </c>
      <c r="GP49" s="8" t="str">
        <f t="shared" si="441"/>
        <v/>
      </c>
      <c r="GQ49" s="177" t="str">
        <f t="shared" si="442"/>
        <v/>
      </c>
      <c r="GR49" s="371" t="str">
        <f t="shared" si="443"/>
        <v/>
      </c>
      <c r="GS49" s="342" t="str">
        <f t="shared" si="444"/>
        <v/>
      </c>
      <c r="GT49" s="343" t="str">
        <f t="shared" si="445"/>
        <v/>
      </c>
      <c r="GU49" s="344" t="str">
        <f t="shared" si="52"/>
        <v/>
      </c>
      <c r="GV49" s="343" t="str">
        <f t="shared" si="446"/>
        <v/>
      </c>
      <c r="GW49" s="345" t="str">
        <f t="shared" si="53"/>
        <v/>
      </c>
      <c r="GX49" s="346" t="str">
        <f t="shared" si="54"/>
        <v/>
      </c>
      <c r="GY49" s="344" t="str">
        <f t="shared" si="447"/>
        <v/>
      </c>
      <c r="GZ49" s="345" t="str">
        <f t="shared" si="448"/>
        <v/>
      </c>
      <c r="HA49" s="342" t="str">
        <f t="shared" si="57"/>
        <v/>
      </c>
      <c r="HB49" s="5" t="str">
        <f t="shared" si="227"/>
        <v/>
      </c>
      <c r="HC49" s="343" t="str">
        <f t="shared" si="449"/>
        <v/>
      </c>
      <c r="HD49" s="345" t="str">
        <f t="shared" si="450"/>
        <v/>
      </c>
      <c r="HE49" s="344" t="str">
        <f t="shared" si="58"/>
        <v/>
      </c>
      <c r="HF49" s="5" t="str">
        <f t="shared" si="59"/>
        <v/>
      </c>
      <c r="HG49" s="343" t="str">
        <f t="shared" si="451"/>
        <v/>
      </c>
      <c r="HH49" s="349" t="str">
        <f t="shared" si="452"/>
        <v/>
      </c>
      <c r="HI49" s="317" t="str">
        <f t="shared" si="453"/>
        <v/>
      </c>
      <c r="HJ49" s="336"/>
      <c r="HK49" s="310" t="str">
        <f t="shared" si="506"/>
        <v/>
      </c>
      <c r="HL49" s="348" t="str">
        <f t="shared" si="454"/>
        <v/>
      </c>
      <c r="HM49" s="923" t="str">
        <f t="shared" si="455"/>
        <v/>
      </c>
      <c r="HN49" s="924" t="str">
        <f t="shared" si="456"/>
        <v/>
      </c>
      <c r="HO49" s="925"/>
      <c r="HP49" s="926"/>
      <c r="HQ49" s="924" t="str">
        <f t="shared" si="457"/>
        <v/>
      </c>
      <c r="HR49" s="927" t="str">
        <f t="shared" si="458"/>
        <v/>
      </c>
      <c r="HS49" s="879" t="str">
        <f t="shared" si="507"/>
        <v/>
      </c>
      <c r="HT49" s="889" t="str">
        <f t="shared" si="459"/>
        <v/>
      </c>
      <c r="HU49" s="890" t="str">
        <f t="shared" si="460"/>
        <v/>
      </c>
      <c r="HV49" s="886" t="str">
        <f t="shared" si="461"/>
        <v/>
      </c>
      <c r="HW49" s="880" t="str">
        <f t="shared" si="462"/>
        <v/>
      </c>
      <c r="HX49" s="881" t="str">
        <f t="shared" si="463"/>
        <v/>
      </c>
      <c r="HY49" s="880" t="str">
        <f t="shared" si="464"/>
        <v/>
      </c>
      <c r="HZ49" s="882" t="str">
        <f t="shared" si="465"/>
        <v/>
      </c>
      <c r="IA49" s="883" t="str">
        <f t="shared" si="466"/>
        <v/>
      </c>
      <c r="IB49" s="884" t="str">
        <f t="shared" si="467"/>
        <v/>
      </c>
      <c r="IC49" s="855" t="str">
        <f t="shared" si="468"/>
        <v/>
      </c>
      <c r="ID49" s="351" t="str">
        <f t="shared" si="469"/>
        <v/>
      </c>
      <c r="IE49" s="857" t="str">
        <f t="shared" si="470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2"/>
        <v>4.133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71"/>
        <v>1913</v>
      </c>
      <c r="IM49" s="482" t="str">
        <f t="shared" si="233"/>
        <v/>
      </c>
      <c r="IN49" s="670" t="str">
        <f t="shared" si="472"/>
        <v/>
      </c>
      <c r="IO49" s="702"/>
      <c r="IP49" s="5" t="str">
        <f t="shared" si="473"/>
        <v/>
      </c>
      <c r="IQ49" s="714"/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>
        <f t="shared" si="92"/>
        <v>0.02</v>
      </c>
      <c r="B50" s="578">
        <f t="shared" ref="B50:D50" si="525">IFERROR(O205-($A50*E50),"")</f>
        <v>-5.3079295999878573</v>
      </c>
      <c r="C50" s="572">
        <f t="shared" si="525"/>
        <v>-5.6900037016399043</v>
      </c>
      <c r="D50" s="576">
        <f t="shared" si="525"/>
        <v>-1.5587301292400173</v>
      </c>
      <c r="E50" s="580">
        <f t="shared" ref="E50:K50" si="526">R205</f>
        <v>0.50653187375824371</v>
      </c>
      <c r="F50" s="572">
        <f t="shared" si="526"/>
        <v>-0.83465673057440548</v>
      </c>
      <c r="G50" s="579">
        <f t="shared" si="526"/>
        <v>0.21627205777401531</v>
      </c>
      <c r="H50" s="580">
        <f t="shared" si="526"/>
        <v>0.375</v>
      </c>
      <c r="I50" s="572">
        <f t="shared" si="526"/>
        <v>0.52</v>
      </c>
      <c r="J50" s="483">
        <f t="shared" si="95"/>
        <v>4.1379999999999999</v>
      </c>
      <c r="K50" s="806">
        <f t="shared" si="526"/>
        <v>1913</v>
      </c>
      <c r="L50" s="309"/>
      <c r="M50" s="164">
        <f t="shared" si="311"/>
        <v>4.1379999999999999</v>
      </c>
      <c r="N50" s="575">
        <f t="shared" si="312"/>
        <v>-5.3079295999878573</v>
      </c>
      <c r="O50" s="572">
        <f t="shared" si="313"/>
        <v>-5.6900037016399043</v>
      </c>
      <c r="P50" s="576">
        <f t="shared" si="314"/>
        <v>-1.5587301292400173</v>
      </c>
      <c r="Q50" s="528">
        <f t="shared" si="135"/>
        <v>226.9896859145239</v>
      </c>
      <c r="R50" s="572">
        <f t="shared" si="96"/>
        <v>7.7814046780194559</v>
      </c>
      <c r="S50" s="577">
        <f t="shared" si="97"/>
        <v>-1.5587301292400173</v>
      </c>
      <c r="T50" s="578">
        <f t="shared" si="98"/>
        <v>-5.7200179890011729</v>
      </c>
      <c r="U50" s="572">
        <f t="shared" si="99"/>
        <v>5.2755713404906244</v>
      </c>
      <c r="V50" s="579">
        <f t="shared" si="136"/>
        <v>-1.5587301292400173</v>
      </c>
      <c r="W50" s="528">
        <f t="shared" si="257"/>
        <v>137.3146610603311</v>
      </c>
      <c r="X50" s="572">
        <f t="shared" si="100"/>
        <v>7.7814046780194559</v>
      </c>
      <c r="Y50" s="573">
        <f t="shared" si="260"/>
        <v>-1.5587301292400173</v>
      </c>
      <c r="Z50" s="575">
        <f t="shared" si="315"/>
        <v>-0.50653187375824371</v>
      </c>
      <c r="AA50" s="572">
        <f t="shared" si="316"/>
        <v>0.83465673057440548</v>
      </c>
      <c r="AB50" s="572">
        <f t="shared" si="317"/>
        <v>-0.21627205777401531</v>
      </c>
      <c r="AC50" s="579">
        <f t="shared" si="101"/>
        <v>1</v>
      </c>
      <c r="AD50" s="580">
        <f t="shared" si="137"/>
        <v>-0.50653187375824371</v>
      </c>
      <c r="AE50" s="572">
        <f t="shared" si="102"/>
        <v>0.83465673057440548</v>
      </c>
      <c r="AF50" s="576">
        <f t="shared" si="103"/>
        <v>-0.21627205777401531</v>
      </c>
      <c r="AG50" s="545">
        <f t="shared" si="104"/>
        <v>75.473291412002709</v>
      </c>
      <c r="AH50" s="546">
        <f t="shared" si="105"/>
        <v>120.43309445300804</v>
      </c>
      <c r="AI50" s="528">
        <f t="shared" si="106"/>
        <v>-77.509833163693528</v>
      </c>
      <c r="AJ50" s="529">
        <f t="shared" si="107"/>
        <v>-148.74750471737809</v>
      </c>
      <c r="AK50" s="578">
        <f t="shared" si="236"/>
        <v>0.93973616657978121</v>
      </c>
      <c r="AL50" s="572">
        <f t="shared" si="108"/>
        <v>-0.26480622018398797</v>
      </c>
      <c r="AM50" s="577">
        <f t="shared" si="109"/>
        <v>-0.21627205777401531</v>
      </c>
      <c r="AN50" s="524">
        <f t="shared" si="110"/>
        <v>-50.760861864722841</v>
      </c>
      <c r="AO50" s="525">
        <f t="shared" si="111"/>
        <v>19.992703860297986</v>
      </c>
      <c r="AP50" s="528">
        <f t="shared" si="112"/>
        <v>-15.737190631902003</v>
      </c>
      <c r="AQ50" s="529">
        <f t="shared" si="318"/>
        <v>0.2929685394940586</v>
      </c>
      <c r="AS50" s="954">
        <f t="shared" si="510"/>
        <v>137.3146610603311</v>
      </c>
      <c r="AT50" s="950">
        <f t="shared" si="319"/>
        <v>-1.4056909990888804</v>
      </c>
      <c r="AU50" s="418"/>
      <c r="AV50" s="164" t="str">
        <f t="shared" si="320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21"/>
        <v/>
      </c>
      <c r="BA50" s="296" t="str">
        <f t="shared" si="322"/>
        <v/>
      </c>
      <c r="BB50" s="190" t="str">
        <f t="shared" si="140"/>
        <v/>
      </c>
      <c r="BC50" s="9"/>
      <c r="BD50" s="5" t="str">
        <f t="shared" si="323"/>
        <v/>
      </c>
      <c r="BE50" s="6" t="str">
        <f t="shared" si="324"/>
        <v/>
      </c>
      <c r="BF50" s="4" t="str">
        <f t="shared" si="325"/>
        <v/>
      </c>
      <c r="BG50" s="5" t="str">
        <f t="shared" si="326"/>
        <v/>
      </c>
      <c r="BH50" s="10" t="str">
        <f t="shared" si="327"/>
        <v/>
      </c>
      <c r="BI50" s="9" t="str">
        <f t="shared" si="328"/>
        <v/>
      </c>
      <c r="BJ50" s="5" t="str">
        <f t="shared" si="329"/>
        <v/>
      </c>
      <c r="BK50" s="8" t="str">
        <f t="shared" si="330"/>
        <v/>
      </c>
      <c r="BL50" s="173" t="str">
        <f t="shared" si="331"/>
        <v/>
      </c>
      <c r="BM50" s="5" t="str">
        <f t="shared" si="332"/>
        <v/>
      </c>
      <c r="BN50" s="6" t="str">
        <f t="shared" si="333"/>
        <v/>
      </c>
      <c r="BO50" s="4" t="str">
        <f t="shared" si="334"/>
        <v/>
      </c>
      <c r="BP50" s="5" t="str">
        <f t="shared" si="335"/>
        <v/>
      </c>
      <c r="BQ50" s="5" t="str">
        <f t="shared" si="336"/>
        <v/>
      </c>
      <c r="BR50" s="6" t="str">
        <f t="shared" si="337"/>
        <v/>
      </c>
      <c r="BS50" s="4" t="str">
        <f t="shared" si="505"/>
        <v/>
      </c>
      <c r="BT50" s="5" t="str">
        <f t="shared" si="505"/>
        <v/>
      </c>
      <c r="BU50" s="10" t="str">
        <f t="shared" si="114"/>
        <v/>
      </c>
      <c r="BV50" s="9" t="str">
        <f t="shared" si="115"/>
        <v/>
      </c>
      <c r="BW50" s="5" t="str">
        <f t="shared" si="116"/>
        <v/>
      </c>
      <c r="BX50" s="8" t="str">
        <f t="shared" si="117"/>
        <v/>
      </c>
      <c r="BY50" s="173" t="str">
        <f t="shared" si="118"/>
        <v/>
      </c>
      <c r="BZ50" s="5" t="str">
        <f t="shared" si="119"/>
        <v/>
      </c>
      <c r="CA50" s="6" t="str">
        <f t="shared" si="120"/>
        <v/>
      </c>
      <c r="CB50" s="4" t="str">
        <f t="shared" si="338"/>
        <v/>
      </c>
      <c r="CC50" s="5" t="str">
        <f t="shared" si="339"/>
        <v/>
      </c>
      <c r="CD50" s="5" t="str">
        <f t="shared" si="340"/>
        <v/>
      </c>
      <c r="CE50" s="6" t="str">
        <f t="shared" si="341"/>
        <v/>
      </c>
      <c r="CF50" s="4" t="str">
        <f t="shared" si="342"/>
        <v/>
      </c>
      <c r="CG50" s="5" t="str">
        <f t="shared" si="343"/>
        <v/>
      </c>
      <c r="CH50" s="5" t="str">
        <f t="shared" si="344"/>
        <v/>
      </c>
      <c r="CI50" s="4" t="str">
        <f t="shared" si="121"/>
        <v/>
      </c>
      <c r="CJ50" s="5" t="str">
        <f t="shared" si="345"/>
        <v/>
      </c>
      <c r="CK50" s="8" t="str">
        <f t="shared" si="346"/>
        <v/>
      </c>
      <c r="CL50" s="173" t="str">
        <f t="shared" si="347"/>
        <v/>
      </c>
      <c r="CM50" s="5" t="str">
        <f t="shared" si="348"/>
        <v/>
      </c>
      <c r="CN50" s="6" t="str">
        <f t="shared" si="349"/>
        <v/>
      </c>
      <c r="CO50" s="167" t="str">
        <f t="shared" si="350"/>
        <v/>
      </c>
      <c r="CP50" s="4" t="str">
        <f t="shared" si="351"/>
        <v/>
      </c>
      <c r="CQ50" s="5" t="str">
        <f t="shared" si="352"/>
        <v/>
      </c>
      <c r="CR50" s="5" t="str">
        <f t="shared" si="353"/>
        <v/>
      </c>
      <c r="CS50" s="8" t="str">
        <f t="shared" si="354"/>
        <v/>
      </c>
      <c r="CT50" s="9" t="str">
        <f t="shared" si="156"/>
        <v/>
      </c>
      <c r="CU50" s="6" t="str">
        <f t="shared" si="355"/>
        <v/>
      </c>
      <c r="CV50" s="4" t="str">
        <f t="shared" si="356"/>
        <v/>
      </c>
      <c r="CW50" s="5" t="str">
        <f t="shared" si="357"/>
        <v/>
      </c>
      <c r="CX50" s="8" t="str">
        <f t="shared" si="358"/>
        <v/>
      </c>
      <c r="CY50" s="9" t="str">
        <f t="shared" si="359"/>
        <v/>
      </c>
      <c r="CZ50" s="5" t="str">
        <f t="shared" si="360"/>
        <v/>
      </c>
      <c r="DA50" s="6" t="str">
        <f t="shared" si="361"/>
        <v/>
      </c>
      <c r="DB50" s="4" t="str">
        <f t="shared" si="511"/>
        <v/>
      </c>
      <c r="DC50" s="5" t="str">
        <f t="shared" si="511"/>
        <v/>
      </c>
      <c r="DD50" s="10" t="str">
        <f t="shared" si="164"/>
        <v/>
      </c>
      <c r="DE50" s="9" t="str">
        <f t="shared" si="512"/>
        <v/>
      </c>
      <c r="DF50" s="5" t="str">
        <f t="shared" si="512"/>
        <v/>
      </c>
      <c r="DG50" s="10" t="str">
        <f t="shared" si="166"/>
        <v/>
      </c>
      <c r="DH50" s="70" t="str">
        <f t="shared" si="362"/>
        <v/>
      </c>
      <c r="DI50" s="4" t="str">
        <f t="shared" si="363"/>
        <v/>
      </c>
      <c r="DJ50" s="5" t="str">
        <f t="shared" si="364"/>
        <v/>
      </c>
      <c r="DK50" s="10" t="str">
        <f t="shared" si="365"/>
        <v/>
      </c>
      <c r="DL50" s="9" t="str">
        <f t="shared" si="366"/>
        <v/>
      </c>
      <c r="DM50" s="173" t="str">
        <f t="shared" si="367"/>
        <v/>
      </c>
      <c r="DN50" s="178" t="str">
        <f t="shared" si="368"/>
        <v/>
      </c>
      <c r="DO50" s="9" t="str">
        <f t="shared" si="369"/>
        <v/>
      </c>
      <c r="DP50" s="173" t="str">
        <f t="shared" si="370"/>
        <v/>
      </c>
      <c r="DQ50" s="11" t="str">
        <f t="shared" si="371"/>
        <v/>
      </c>
      <c r="DR50" s="173" t="str">
        <f t="shared" si="372"/>
        <v/>
      </c>
      <c r="DS50" s="5" t="str">
        <f t="shared" si="373"/>
        <v/>
      </c>
      <c r="DT50" s="5" t="str">
        <f t="shared" si="374"/>
        <v/>
      </c>
      <c r="DU50" s="5" t="str">
        <f t="shared" si="375"/>
        <v/>
      </c>
      <c r="DV50" s="5" t="str">
        <f t="shared" si="376"/>
        <v/>
      </c>
      <c r="DW50" s="5" t="str">
        <f t="shared" si="377"/>
        <v/>
      </c>
      <c r="DX50" s="167" t="str">
        <f t="shared" si="378"/>
        <v/>
      </c>
      <c r="DY50" s="9" t="str">
        <f t="shared" si="379"/>
        <v/>
      </c>
      <c r="DZ50" s="5" t="str">
        <f t="shared" si="380"/>
        <v/>
      </c>
      <c r="EA50" s="10" t="str">
        <f t="shared" si="381"/>
        <v/>
      </c>
      <c r="EB50" s="6" t="str">
        <f t="shared" si="382"/>
        <v/>
      </c>
      <c r="EC50" s="173" t="str">
        <f t="shared" si="383"/>
        <v/>
      </c>
      <c r="ED50" s="5" t="str">
        <f t="shared" si="384"/>
        <v/>
      </c>
      <c r="EE50" s="4" t="str">
        <f t="shared" si="385"/>
        <v/>
      </c>
      <c r="EF50" s="5" t="str">
        <f t="shared" si="386"/>
        <v/>
      </c>
      <c r="EG50" s="10" t="str">
        <f t="shared" si="387"/>
        <v/>
      </c>
      <c r="EH50" s="9" t="str">
        <f t="shared" si="388"/>
        <v/>
      </c>
      <c r="EI50" s="5" t="str">
        <f t="shared" si="389"/>
        <v/>
      </c>
      <c r="EJ50" s="6" t="str">
        <f t="shared" si="390"/>
        <v/>
      </c>
      <c r="EK50" s="236" t="str">
        <f t="shared" si="196"/>
        <v/>
      </c>
      <c r="EL50" s="238" t="str">
        <f t="shared" si="197"/>
        <v/>
      </c>
      <c r="EM50" s="4" t="str">
        <f t="shared" si="391"/>
        <v/>
      </c>
      <c r="EN50" s="5" t="str">
        <f t="shared" si="392"/>
        <v/>
      </c>
      <c r="EO50" s="10" t="str">
        <f t="shared" si="393"/>
        <v/>
      </c>
      <c r="EP50" s="9" t="str">
        <f t="shared" si="394"/>
        <v/>
      </c>
      <c r="EQ50" s="5" t="str">
        <f t="shared" si="395"/>
        <v/>
      </c>
      <c r="ER50" s="7" t="str">
        <f t="shared" si="396"/>
        <v/>
      </c>
      <c r="ES50" s="21" t="str">
        <f t="shared" si="397"/>
        <v/>
      </c>
      <c r="ET50" s="5" t="str">
        <f t="shared" si="398"/>
        <v/>
      </c>
      <c r="EU50" s="10" t="str">
        <f t="shared" si="399"/>
        <v/>
      </c>
      <c r="EV50" s="174" t="str">
        <f t="shared" si="400"/>
        <v/>
      </c>
      <c r="EW50" s="9" t="str">
        <f t="shared" si="401"/>
        <v/>
      </c>
      <c r="EX50" s="5" t="str">
        <f t="shared" si="402"/>
        <v/>
      </c>
      <c r="EY50" s="6" t="str">
        <f t="shared" si="403"/>
        <v/>
      </c>
      <c r="EZ50" s="51" t="str">
        <f t="shared" si="205"/>
        <v/>
      </c>
      <c r="FA50" s="266" t="str">
        <f t="shared" si="129"/>
        <v/>
      </c>
      <c r="FB50" s="267" t="str">
        <f t="shared" si="130"/>
        <v/>
      </c>
      <c r="FC50" s="269" t="str">
        <f t="shared" si="37"/>
        <v/>
      </c>
      <c r="FD50" s="4" t="str">
        <f t="shared" si="404"/>
        <v/>
      </c>
      <c r="FE50" s="5" t="str">
        <f t="shared" si="405"/>
        <v/>
      </c>
      <c r="FF50" s="7" t="str">
        <f t="shared" si="406"/>
        <v/>
      </c>
      <c r="FG50" s="173" t="str">
        <f t="shared" si="407"/>
        <v/>
      </c>
      <c r="FH50" s="5" t="str">
        <f t="shared" si="408"/>
        <v/>
      </c>
      <c r="FI50" s="10" t="str">
        <f t="shared" si="409"/>
        <v/>
      </c>
      <c r="FJ50" s="279" t="str">
        <f t="shared" si="410"/>
        <v/>
      </c>
      <c r="FK50" s="4" t="str">
        <f t="shared" si="411"/>
        <v/>
      </c>
      <c r="FL50" s="5" t="str">
        <f t="shared" si="412"/>
        <v/>
      </c>
      <c r="FM50" s="8" t="str">
        <f t="shared" si="413"/>
        <v/>
      </c>
      <c r="FN50" s="9" t="str">
        <f t="shared" si="414"/>
        <v/>
      </c>
      <c r="FO50" s="10" t="str">
        <f t="shared" si="415"/>
        <v/>
      </c>
      <c r="FP50" s="277" t="str">
        <f t="shared" si="416"/>
        <v/>
      </c>
      <c r="FQ50" s="173" t="str">
        <f t="shared" si="417"/>
        <v/>
      </c>
      <c r="FR50" s="10" t="str">
        <f t="shared" si="418"/>
        <v/>
      </c>
      <c r="FS50" s="9" t="str">
        <f t="shared" si="419"/>
        <v/>
      </c>
      <c r="FT50" s="6" t="str">
        <f t="shared" si="420"/>
        <v/>
      </c>
      <c r="FU50" s="4" t="str">
        <f t="shared" si="421"/>
        <v/>
      </c>
      <c r="FV50" s="5" t="str">
        <f t="shared" si="422"/>
        <v/>
      </c>
      <c r="FW50" s="8" t="str">
        <f t="shared" si="423"/>
        <v/>
      </c>
      <c r="FX50" s="9" t="str">
        <f t="shared" si="424"/>
        <v/>
      </c>
      <c r="FY50" s="10" t="str">
        <f t="shared" si="425"/>
        <v/>
      </c>
      <c r="FZ50" s="277" t="str">
        <f t="shared" si="426"/>
        <v/>
      </c>
      <c r="GA50" s="177" t="str">
        <f t="shared" si="427"/>
        <v/>
      </c>
      <c r="GB50" s="4" t="str">
        <f t="shared" si="428"/>
        <v/>
      </c>
      <c r="GC50" s="5" t="str">
        <f t="shared" si="429"/>
        <v/>
      </c>
      <c r="GD50" s="10" t="str">
        <f t="shared" si="430"/>
        <v/>
      </c>
      <c r="GE50" s="311" t="str">
        <f t="shared" si="431"/>
        <v/>
      </c>
      <c r="GF50" s="341" t="str">
        <f t="shared" si="432"/>
        <v/>
      </c>
      <c r="GG50" s="285" t="str">
        <f t="shared" si="433"/>
        <v/>
      </c>
      <c r="GH50" s="286" t="str">
        <f t="shared" si="434"/>
        <v/>
      </c>
      <c r="GI50" s="281" t="str">
        <f t="shared" si="435"/>
        <v/>
      </c>
      <c r="GJ50" s="167" t="str">
        <f t="shared" si="436"/>
        <v/>
      </c>
      <c r="GK50" s="174" t="str">
        <f t="shared" si="48"/>
        <v/>
      </c>
      <c r="GL50" s="174" t="str">
        <f t="shared" si="437"/>
        <v/>
      </c>
      <c r="GM50" s="177" t="str">
        <f t="shared" si="438"/>
        <v/>
      </c>
      <c r="GN50" s="280" t="str">
        <f t="shared" si="439"/>
        <v/>
      </c>
      <c r="GO50" s="4" t="str">
        <f t="shared" si="440"/>
        <v/>
      </c>
      <c r="GP50" s="8" t="str">
        <f t="shared" si="441"/>
        <v/>
      </c>
      <c r="GQ50" s="177" t="str">
        <f t="shared" si="442"/>
        <v/>
      </c>
      <c r="GR50" s="371" t="str">
        <f t="shared" si="443"/>
        <v/>
      </c>
      <c r="GS50" s="342" t="str">
        <f t="shared" si="444"/>
        <v/>
      </c>
      <c r="GT50" s="343" t="str">
        <f t="shared" si="445"/>
        <v/>
      </c>
      <c r="GU50" s="344" t="str">
        <f t="shared" si="52"/>
        <v/>
      </c>
      <c r="GV50" s="343" t="str">
        <f t="shared" si="446"/>
        <v/>
      </c>
      <c r="GW50" s="345" t="str">
        <f t="shared" si="53"/>
        <v/>
      </c>
      <c r="GX50" s="346" t="str">
        <f t="shared" si="54"/>
        <v/>
      </c>
      <c r="GY50" s="344" t="str">
        <f t="shared" si="447"/>
        <v/>
      </c>
      <c r="GZ50" s="345" t="str">
        <f t="shared" si="448"/>
        <v/>
      </c>
      <c r="HA50" s="342" t="str">
        <f t="shared" si="57"/>
        <v/>
      </c>
      <c r="HB50" s="5" t="str">
        <f t="shared" si="227"/>
        <v/>
      </c>
      <c r="HC50" s="343" t="str">
        <f t="shared" si="449"/>
        <v/>
      </c>
      <c r="HD50" s="345" t="str">
        <f t="shared" si="450"/>
        <v/>
      </c>
      <c r="HE50" s="344" t="str">
        <f t="shared" si="58"/>
        <v/>
      </c>
      <c r="HF50" s="5" t="str">
        <f t="shared" si="59"/>
        <v/>
      </c>
      <c r="HG50" s="343" t="str">
        <f t="shared" si="451"/>
        <v/>
      </c>
      <c r="HH50" s="349" t="str">
        <f t="shared" si="452"/>
        <v/>
      </c>
      <c r="HI50" s="317" t="str">
        <f t="shared" si="453"/>
        <v/>
      </c>
      <c r="HJ50" s="336"/>
      <c r="HK50" s="310" t="str">
        <f t="shared" si="506"/>
        <v/>
      </c>
      <c r="HL50" s="348" t="str">
        <f t="shared" si="454"/>
        <v/>
      </c>
      <c r="HM50" s="923" t="str">
        <f t="shared" si="455"/>
        <v/>
      </c>
      <c r="HN50" s="924" t="str">
        <f t="shared" si="456"/>
        <v/>
      </c>
      <c r="HO50" s="925"/>
      <c r="HP50" s="926"/>
      <c r="HQ50" s="924" t="str">
        <f t="shared" si="457"/>
        <v/>
      </c>
      <c r="HR50" s="927" t="str">
        <f t="shared" si="458"/>
        <v/>
      </c>
      <c r="HS50" s="879" t="str">
        <f t="shared" si="507"/>
        <v/>
      </c>
      <c r="HT50" s="889" t="str">
        <f t="shared" si="459"/>
        <v/>
      </c>
      <c r="HU50" s="890" t="str">
        <f t="shared" si="460"/>
        <v/>
      </c>
      <c r="HV50" s="886" t="str">
        <f t="shared" si="461"/>
        <v/>
      </c>
      <c r="HW50" s="880" t="str">
        <f t="shared" si="462"/>
        <v/>
      </c>
      <c r="HX50" s="881" t="str">
        <f t="shared" si="463"/>
        <v/>
      </c>
      <c r="HY50" s="880" t="str">
        <f t="shared" si="464"/>
        <v/>
      </c>
      <c r="HZ50" s="882" t="str">
        <f t="shared" si="465"/>
        <v/>
      </c>
      <c r="IA50" s="883" t="str">
        <f t="shared" si="466"/>
        <v/>
      </c>
      <c r="IB50" s="884" t="str">
        <f t="shared" si="467"/>
        <v/>
      </c>
      <c r="IC50" s="855" t="str">
        <f t="shared" si="468"/>
        <v/>
      </c>
      <c r="ID50" s="351" t="str">
        <f t="shared" si="469"/>
        <v/>
      </c>
      <c r="IE50" s="857" t="str">
        <f t="shared" si="470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2"/>
        <v>4.1379999999999999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71"/>
        <v>1913</v>
      </c>
      <c r="IM50" s="482" t="str">
        <f t="shared" si="233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>
        <f t="shared" si="92"/>
        <v>0.02</v>
      </c>
      <c r="B51" s="578">
        <f t="shared" ref="B51:D51" si="527">IFERROR(O206-($A51*E51),"")</f>
        <v>-5.643801727090775</v>
      </c>
      <c r="C51" s="572">
        <f t="shared" si="527"/>
        <v>-5.9575158663337833</v>
      </c>
      <c r="D51" s="576">
        <f t="shared" si="527"/>
        <v>-2.3549648394119647</v>
      </c>
      <c r="E51" s="580">
        <f t="shared" ref="E51:K51" si="528">R206</f>
        <v>0.43966338620171791</v>
      </c>
      <c r="F51" s="572">
        <f t="shared" si="528"/>
        <v>-0.88037048305612575</v>
      </c>
      <c r="G51" s="579">
        <f t="shared" si="528"/>
        <v>0.17788737840882085</v>
      </c>
      <c r="H51" s="580">
        <f t="shared" si="528"/>
        <v>0.375</v>
      </c>
      <c r="I51" s="572">
        <f t="shared" si="528"/>
        <v>0.52</v>
      </c>
      <c r="J51" s="483">
        <f t="shared" si="95"/>
        <v>4.1429999999999998</v>
      </c>
      <c r="K51" s="806">
        <f t="shared" si="528"/>
        <v>1913</v>
      </c>
      <c r="L51" s="309"/>
      <c r="M51" s="164">
        <f t="shared" si="311"/>
        <v>4.1429999999999998</v>
      </c>
      <c r="N51" s="575">
        <f t="shared" si="312"/>
        <v>-5.643801727090775</v>
      </c>
      <c r="O51" s="572">
        <f t="shared" si="313"/>
        <v>-5.9575158663337833</v>
      </c>
      <c r="P51" s="576">
        <f t="shared" si="314"/>
        <v>-2.3549648394119647</v>
      </c>
      <c r="Q51" s="528">
        <f t="shared" si="135"/>
        <v>226.5489720688679</v>
      </c>
      <c r="R51" s="572">
        <f t="shared" si="96"/>
        <v>8.2063690650818035</v>
      </c>
      <c r="S51" s="577">
        <f t="shared" si="97"/>
        <v>-2.3549648394119647</v>
      </c>
      <c r="T51" s="578">
        <f t="shared" si="98"/>
        <v>-5.9894308690299356</v>
      </c>
      <c r="U51" s="572">
        <f t="shared" si="99"/>
        <v>5.6099207746137481</v>
      </c>
      <c r="V51" s="579">
        <f t="shared" si="136"/>
        <v>-2.3549648394119647</v>
      </c>
      <c r="W51" s="528">
        <f t="shared" si="257"/>
        <v>136.87394721467507</v>
      </c>
      <c r="X51" s="572">
        <f t="shared" si="100"/>
        <v>8.2063690650818035</v>
      </c>
      <c r="Y51" s="573">
        <f t="shared" si="260"/>
        <v>-2.3549648394119647</v>
      </c>
      <c r="Z51" s="575">
        <f t="shared" si="315"/>
        <v>-0.43966338620171791</v>
      </c>
      <c r="AA51" s="572">
        <f t="shared" si="316"/>
        <v>0.88037048305612575</v>
      </c>
      <c r="AB51" s="572">
        <f t="shared" si="317"/>
        <v>-0.17788737840882085</v>
      </c>
      <c r="AC51" s="579">
        <f t="shared" si="101"/>
        <v>1</v>
      </c>
      <c r="AD51" s="580">
        <f t="shared" si="137"/>
        <v>-0.43966338620171791</v>
      </c>
      <c r="AE51" s="572">
        <f t="shared" si="102"/>
        <v>0.88037048305612575</v>
      </c>
      <c r="AF51" s="576">
        <f t="shared" si="103"/>
        <v>-0.17788737840882085</v>
      </c>
      <c r="AG51" s="545">
        <f t="shared" si="104"/>
        <v>78.57664049406641</v>
      </c>
      <c r="AH51" s="546">
        <f t="shared" si="105"/>
        <v>116.08240582842005</v>
      </c>
      <c r="AI51" s="528">
        <f t="shared" si="106"/>
        <v>-79.753270311050287</v>
      </c>
      <c r="AJ51" s="529">
        <f t="shared" si="107"/>
        <v>-153.46212574196616</v>
      </c>
      <c r="AK51" s="578">
        <f t="shared" si="236"/>
        <v>0.92464011692837955</v>
      </c>
      <c r="AL51" s="572">
        <f t="shared" si="108"/>
        <v>-0.33674431661055504</v>
      </c>
      <c r="AM51" s="577">
        <f t="shared" si="109"/>
        <v>-0.17788737840882085</v>
      </c>
      <c r="AN51" s="524">
        <f t="shared" si="110"/>
        <v>-62.154454246873108</v>
      </c>
      <c r="AO51" s="525">
        <f t="shared" si="111"/>
        <v>22.385849877652532</v>
      </c>
      <c r="AP51" s="528">
        <f t="shared" si="112"/>
        <v>-20.011097810834062</v>
      </c>
      <c r="AQ51" s="529">
        <f t="shared" si="318"/>
        <v>0.27779749485843208</v>
      </c>
      <c r="AS51" s="954">
        <f t="shared" si="510"/>
        <v>136.87394721467507</v>
      </c>
      <c r="AT51" s="950">
        <f t="shared" si="319"/>
        <v>-2.2016196579791223</v>
      </c>
      <c r="AU51" s="418"/>
      <c r="AV51" s="164" t="str">
        <f t="shared" si="320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40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4"/>
        <v/>
      </c>
      <c r="BV51" s="9" t="str">
        <f t="shared" si="115"/>
        <v/>
      </c>
      <c r="BW51" s="5" t="str">
        <f t="shared" si="116"/>
        <v/>
      </c>
      <c r="BX51" s="8" t="str">
        <f t="shared" si="117"/>
        <v/>
      </c>
      <c r="BY51" s="173" t="str">
        <f t="shared" si="118"/>
        <v/>
      </c>
      <c r="BZ51" s="5" t="str">
        <f t="shared" si="119"/>
        <v/>
      </c>
      <c r="CA51" s="6" t="str">
        <f t="shared" si="120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21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6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4"/>
        <v/>
      </c>
      <c r="DE51" s="9" t="str">
        <f t="shared" si="512"/>
        <v/>
      </c>
      <c r="DF51" s="5" t="str">
        <f t="shared" si="512"/>
        <v/>
      </c>
      <c r="DG51" s="10" t="str">
        <f t="shared" si="166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6"/>
        <v/>
      </c>
      <c r="EL51" s="238" t="str">
        <f t="shared" si="197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5"/>
        <v/>
      </c>
      <c r="FA51" s="266" t="str">
        <f t="shared" si="129"/>
        <v/>
      </c>
      <c r="FB51" s="267" t="str">
        <f t="shared" si="130"/>
        <v/>
      </c>
      <c r="FC51" s="269" t="str">
        <f t="shared" si="37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8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2"/>
        <v/>
      </c>
      <c r="GV51" s="343" t="str">
        <f t="shared" si="446"/>
        <v/>
      </c>
      <c r="GW51" s="345" t="str">
        <f t="shared" si="53"/>
        <v/>
      </c>
      <c r="GX51" s="346" t="str">
        <f t="shared" si="54"/>
        <v/>
      </c>
      <c r="GY51" s="344" t="str">
        <f t="shared" si="447"/>
        <v/>
      </c>
      <c r="GZ51" s="345" t="str">
        <f t="shared" si="448"/>
        <v/>
      </c>
      <c r="HA51" s="342" t="str">
        <f t="shared" si="57"/>
        <v/>
      </c>
      <c r="HB51" s="5" t="str">
        <f t="shared" si="227"/>
        <v/>
      </c>
      <c r="HC51" s="343" t="str">
        <f t="shared" si="449"/>
        <v/>
      </c>
      <c r="HD51" s="345" t="str">
        <f t="shared" si="450"/>
        <v/>
      </c>
      <c r="HE51" s="344" t="str">
        <f t="shared" si="58"/>
        <v/>
      </c>
      <c r="HF51" s="5" t="str">
        <f t="shared" si="59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23" t="str">
        <f t="shared" si="455"/>
        <v/>
      </c>
      <c r="HN51" s="924" t="str">
        <f t="shared" si="456"/>
        <v/>
      </c>
      <c r="HO51" s="925"/>
      <c r="HP51" s="926"/>
      <c r="HQ51" s="924" t="str">
        <f t="shared" si="457"/>
        <v/>
      </c>
      <c r="HR51" s="927" t="str">
        <f t="shared" si="458"/>
        <v/>
      </c>
      <c r="HS51" s="879" t="str">
        <f t="shared" si="507"/>
        <v/>
      </c>
      <c r="HT51" s="889" t="str">
        <f t="shared" si="459"/>
        <v/>
      </c>
      <c r="HU51" s="890" t="str">
        <f t="shared" si="460"/>
        <v/>
      </c>
      <c r="HV51" s="886" t="str">
        <f t="shared" si="461"/>
        <v/>
      </c>
      <c r="HW51" s="880" t="str">
        <f t="shared" si="462"/>
        <v/>
      </c>
      <c r="HX51" s="881" t="str">
        <f t="shared" si="463"/>
        <v/>
      </c>
      <c r="HY51" s="880" t="str">
        <f t="shared" si="464"/>
        <v/>
      </c>
      <c r="HZ51" s="882" t="str">
        <f t="shared" si="465"/>
        <v/>
      </c>
      <c r="IA51" s="883" t="str">
        <f t="shared" si="466"/>
        <v/>
      </c>
      <c r="IB51" s="884" t="str">
        <f t="shared" si="467"/>
        <v/>
      </c>
      <c r="IC51" s="855" t="str">
        <f t="shared" si="468"/>
        <v/>
      </c>
      <c r="ID51" s="351" t="str">
        <f t="shared" si="469"/>
        <v/>
      </c>
      <c r="IE51" s="857" t="str">
        <f t="shared" si="470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2"/>
        <v>4.1429999999999998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71"/>
        <v>1913</v>
      </c>
      <c r="IM51" s="482" t="str">
        <f t="shared" si="233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>
        <f t="shared" si="92"/>
        <v>0.02</v>
      </c>
      <c r="B52" s="578">
        <f t="shared" ref="B52:D52" si="529">IFERROR(O207-($A52*E52),"")</f>
        <v>-5.8125669974976208</v>
      </c>
      <c r="C52" s="572">
        <f t="shared" si="529"/>
        <v>-6.0884590678285457</v>
      </c>
      <c r="D52" s="576">
        <f t="shared" si="529"/>
        <v>-3.2343644891964418</v>
      </c>
      <c r="E52" s="580">
        <f t="shared" ref="E52:K52" si="530">R207</f>
        <v>0.31879156926005203</v>
      </c>
      <c r="F52" s="572">
        <f t="shared" si="530"/>
        <v>-0.94375534822883789</v>
      </c>
      <c r="G52" s="579">
        <f t="shared" si="530"/>
        <v>8.7736982271892514E-2</v>
      </c>
      <c r="H52" s="580">
        <f t="shared" si="530"/>
        <v>0.375</v>
      </c>
      <c r="I52" s="572">
        <f t="shared" si="530"/>
        <v>0.52</v>
      </c>
      <c r="J52" s="483">
        <f t="shared" si="95"/>
        <v>4.1479999999999997</v>
      </c>
      <c r="K52" s="806">
        <f t="shared" si="530"/>
        <v>1913</v>
      </c>
      <c r="L52" s="309"/>
      <c r="M52" s="164">
        <f t="shared" si="311"/>
        <v>4.1479999999999997</v>
      </c>
      <c r="N52" s="575">
        <f t="shared" si="312"/>
        <v>-5.8125669974976208</v>
      </c>
      <c r="O52" s="572">
        <f t="shared" si="313"/>
        <v>-6.0884590678285457</v>
      </c>
      <c r="P52" s="576">
        <f t="shared" si="314"/>
        <v>-3.2343644891964418</v>
      </c>
      <c r="Q52" s="528">
        <f t="shared" si="135"/>
        <v>226.32800485753475</v>
      </c>
      <c r="R52" s="572">
        <f t="shared" si="96"/>
        <v>8.4175571825216693</v>
      </c>
      <c r="S52" s="577">
        <f t="shared" si="97"/>
        <v>-3.2343644891964418</v>
      </c>
      <c r="T52" s="578">
        <f t="shared" si="98"/>
        <v>-6.121329176579394</v>
      </c>
      <c r="U52" s="572">
        <f t="shared" si="99"/>
        <v>5.7779406394475856</v>
      </c>
      <c r="V52" s="579">
        <f t="shared" si="136"/>
        <v>-3.2343644891964418</v>
      </c>
      <c r="W52" s="528">
        <f t="shared" si="257"/>
        <v>136.65298000334195</v>
      </c>
      <c r="X52" s="572">
        <f t="shared" si="100"/>
        <v>8.4175571825216693</v>
      </c>
      <c r="Y52" s="573">
        <f t="shared" si="260"/>
        <v>-3.2343644891964418</v>
      </c>
      <c r="Z52" s="575">
        <f t="shared" si="315"/>
        <v>-0.31879156926005203</v>
      </c>
      <c r="AA52" s="572">
        <f t="shared" si="316"/>
        <v>0.94375534822883789</v>
      </c>
      <c r="AB52" s="572">
        <f t="shared" si="317"/>
        <v>-8.7736982271892514E-2</v>
      </c>
      <c r="AC52" s="579">
        <f t="shared" si="101"/>
        <v>1</v>
      </c>
      <c r="AD52" s="580">
        <f t="shared" si="137"/>
        <v>-0.31879156926005203</v>
      </c>
      <c r="AE52" s="572">
        <f t="shared" si="102"/>
        <v>0.94375534822883789</v>
      </c>
      <c r="AF52" s="576">
        <f t="shared" si="103"/>
        <v>-8.7736982271892514E-2</v>
      </c>
      <c r="AG52" s="545">
        <f t="shared" si="104"/>
        <v>84.688717399519291</v>
      </c>
      <c r="AH52" s="546">
        <f t="shared" si="105"/>
        <v>108.58985985396696</v>
      </c>
      <c r="AI52" s="528">
        <f t="shared" si="106"/>
        <v>-84.966569362791049</v>
      </c>
      <c r="AJ52" s="529">
        <f t="shared" si="107"/>
        <v>-161.33552135153607</v>
      </c>
      <c r="AK52" s="578">
        <f t="shared" si="236"/>
        <v>0.88227385337591124</v>
      </c>
      <c r="AL52" s="572">
        <f t="shared" si="108"/>
        <v>-0.46248791291345415</v>
      </c>
      <c r="AM52" s="577">
        <f t="shared" si="109"/>
        <v>-8.7736982271892514E-2</v>
      </c>
      <c r="AN52" s="524">
        <f t="shared" si="110"/>
        <v>-79.258261904286783</v>
      </c>
      <c r="AO52" s="525">
        <f t="shared" si="111"/>
        <v>28.082114638232198</v>
      </c>
      <c r="AP52" s="528">
        <f t="shared" si="112"/>
        <v>-27.663526209070834</v>
      </c>
      <c r="AQ52" s="529">
        <f t="shared" si="318"/>
        <v>0.27082793782619324</v>
      </c>
      <c r="AS52" s="954">
        <f t="shared" si="510"/>
        <v>136.65298000334195</v>
      </c>
      <c r="AT52" s="950">
        <f t="shared" si="319"/>
        <v>-3.0808658583112849</v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40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4"/>
        <v/>
      </c>
      <c r="BV52" s="9" t="str">
        <f t="shared" si="115"/>
        <v/>
      </c>
      <c r="BW52" s="5" t="str">
        <f t="shared" si="116"/>
        <v/>
      </c>
      <c r="BX52" s="8" t="str">
        <f t="shared" si="117"/>
        <v/>
      </c>
      <c r="BY52" s="173" t="str">
        <f t="shared" si="118"/>
        <v/>
      </c>
      <c r="BZ52" s="5" t="str">
        <f t="shared" si="119"/>
        <v/>
      </c>
      <c r="CA52" s="6" t="str">
        <f t="shared" si="120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21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6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4"/>
        <v/>
      </c>
      <c r="DE52" s="9" t="str">
        <f t="shared" si="512"/>
        <v/>
      </c>
      <c r="DF52" s="5" t="str">
        <f t="shared" si="512"/>
        <v/>
      </c>
      <c r="DG52" s="10" t="str">
        <f t="shared" si="166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6"/>
        <v/>
      </c>
      <c r="EL52" s="238" t="str">
        <f t="shared" si="197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5"/>
        <v/>
      </c>
      <c r="FA52" s="266" t="str">
        <f t="shared" si="129"/>
        <v/>
      </c>
      <c r="FB52" s="267" t="str">
        <f t="shared" si="130"/>
        <v/>
      </c>
      <c r="FC52" s="269" t="str">
        <f t="shared" si="37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8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2"/>
        <v/>
      </c>
      <c r="GV52" s="343" t="str">
        <f t="shared" si="446"/>
        <v/>
      </c>
      <c r="GW52" s="345" t="str">
        <f t="shared" si="53"/>
        <v/>
      </c>
      <c r="GX52" s="346" t="str">
        <f t="shared" si="54"/>
        <v/>
      </c>
      <c r="GY52" s="344" t="str">
        <f t="shared" si="447"/>
        <v/>
      </c>
      <c r="GZ52" s="345" t="str">
        <f t="shared" si="448"/>
        <v/>
      </c>
      <c r="HA52" s="342" t="str">
        <f t="shared" si="57"/>
        <v/>
      </c>
      <c r="HB52" s="5" t="str">
        <f t="shared" si="227"/>
        <v/>
      </c>
      <c r="HC52" s="343" t="str">
        <f t="shared" si="449"/>
        <v/>
      </c>
      <c r="HD52" s="345" t="str">
        <f t="shared" si="450"/>
        <v/>
      </c>
      <c r="HE52" s="344" t="str">
        <f t="shared" si="58"/>
        <v/>
      </c>
      <c r="HF52" s="5" t="str">
        <f t="shared" si="59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23" t="str">
        <f t="shared" si="455"/>
        <v/>
      </c>
      <c r="HN52" s="924" t="str">
        <f t="shared" si="456"/>
        <v/>
      </c>
      <c r="HO52" s="925"/>
      <c r="HP52" s="926"/>
      <c r="HQ52" s="924" t="str">
        <f t="shared" si="457"/>
        <v/>
      </c>
      <c r="HR52" s="927" t="str">
        <f t="shared" si="458"/>
        <v/>
      </c>
      <c r="HS52" s="879" t="str">
        <f t="shared" si="507"/>
        <v/>
      </c>
      <c r="HT52" s="889" t="str">
        <f t="shared" si="459"/>
        <v/>
      </c>
      <c r="HU52" s="890" t="str">
        <f t="shared" si="460"/>
        <v/>
      </c>
      <c r="HV52" s="886" t="str">
        <f t="shared" si="461"/>
        <v/>
      </c>
      <c r="HW52" s="880" t="str">
        <f t="shared" si="462"/>
        <v/>
      </c>
      <c r="HX52" s="881" t="str">
        <f t="shared" si="463"/>
        <v/>
      </c>
      <c r="HY52" s="880" t="str">
        <f t="shared" si="464"/>
        <v/>
      </c>
      <c r="HZ52" s="882" t="str">
        <f t="shared" si="465"/>
        <v/>
      </c>
      <c r="IA52" s="883" t="str">
        <f t="shared" si="466"/>
        <v/>
      </c>
      <c r="IB52" s="884" t="str">
        <f t="shared" si="467"/>
        <v/>
      </c>
      <c r="IC52" s="855" t="str">
        <f t="shared" si="468"/>
        <v/>
      </c>
      <c r="ID52" s="351" t="str">
        <f t="shared" si="469"/>
        <v/>
      </c>
      <c r="IE52" s="857" t="str">
        <f t="shared" si="470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2"/>
        <v>4.1479999999999997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71"/>
        <v>1913</v>
      </c>
      <c r="IM52" s="482" t="str">
        <f t="shared" si="233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>
        <f t="shared" si="92"/>
        <v>0.02</v>
      </c>
      <c r="B53" s="578">
        <f t="shared" ref="B53:D53" si="531">IFERROR(O208-($A53*E53),"")</f>
        <v>-5.8303908124067458</v>
      </c>
      <c r="C53" s="572">
        <f t="shared" si="531"/>
        <v>-6.102306083332274</v>
      </c>
      <c r="D53" s="576">
        <f t="shared" si="531"/>
        <v>-4.138984039994396</v>
      </c>
      <c r="E53" s="580">
        <f t="shared" ref="E53:K53" si="532">R208</f>
        <v>0.28403782896680441</v>
      </c>
      <c r="F53" s="572">
        <f t="shared" si="532"/>
        <v>-0.95782225493094975</v>
      </c>
      <c r="G53" s="579">
        <f t="shared" si="532"/>
        <v>4.3577972357775427E-2</v>
      </c>
      <c r="H53" s="580">
        <f t="shared" si="532"/>
        <v>0.375</v>
      </c>
      <c r="I53" s="572">
        <f t="shared" si="532"/>
        <v>0.52</v>
      </c>
      <c r="J53" s="483">
        <f t="shared" si="95"/>
        <v>4.1529999999999996</v>
      </c>
      <c r="K53" s="806">
        <f t="shared" si="532"/>
        <v>1913</v>
      </c>
      <c r="L53" s="309"/>
      <c r="M53" s="164">
        <f t="shared" si="311"/>
        <v>4.1529999999999996</v>
      </c>
      <c r="N53" s="575">
        <f t="shared" si="312"/>
        <v>-5.8303908124067458</v>
      </c>
      <c r="O53" s="572">
        <f t="shared" si="313"/>
        <v>-6.102306083332274</v>
      </c>
      <c r="P53" s="576">
        <f t="shared" si="314"/>
        <v>-4.138984039994396</v>
      </c>
      <c r="Q53" s="528">
        <f t="shared" si="135"/>
        <v>226.30539656984814</v>
      </c>
      <c r="R53" s="572">
        <f t="shared" ref="R53:R58" si="533">IF(M53="","",SQRT(N53^2+O53^2))</f>
        <v>8.4398813119658893</v>
      </c>
      <c r="S53" s="577">
        <f t="shared" ref="S53:S58" si="534">IF(M53="","",P53)</f>
        <v>-4.138984039994396</v>
      </c>
      <c r="T53" s="578">
        <f t="shared" ref="T53:T58" si="535">IF(M53="","",X53*COS(RADIANS(W53)))</f>
        <v>-6.1352770634616673</v>
      </c>
      <c r="U53" s="572">
        <f t="shared" ref="U53:U58" si="536">IF(M53="","",X53*SIN(RADIANS(W53)))</f>
        <v>5.7956856293826222</v>
      </c>
      <c r="V53" s="579">
        <f t="shared" ref="V53:V58" si="537">IF(M53="","",Y53)</f>
        <v>-4.138984039994396</v>
      </c>
      <c r="W53" s="528">
        <f t="shared" si="257"/>
        <v>136.63037171565531</v>
      </c>
      <c r="X53" s="572">
        <f t="shared" ref="X53:X58" si="538">IF(M53="","",R53)</f>
        <v>8.4398813119658893</v>
      </c>
      <c r="Y53" s="573">
        <f t="shared" si="260"/>
        <v>-4.138984039994396</v>
      </c>
      <c r="Z53" s="575">
        <f t="shared" si="315"/>
        <v>-0.28403782896680441</v>
      </c>
      <c r="AA53" s="572">
        <f t="shared" si="316"/>
        <v>0.95782225493094975</v>
      </c>
      <c r="AB53" s="572">
        <f t="shared" si="317"/>
        <v>-4.3577972357775427E-2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-0.28403782896680441</v>
      </c>
      <c r="AE53" s="572">
        <f t="shared" ref="AE53:AE58" si="541">IF(M53="","",AA53*(1/SQRT(Z53^2+AA53^2+AB53^2)))</f>
        <v>0.95782225493094975</v>
      </c>
      <c r="AF53" s="576">
        <f t="shared" ref="AF53:AF58" si="542">IF(M53="","",AB53*(1/SQRT(Z53^2+AA53^2+AB53^2)))</f>
        <v>-4.3577972357775427E-2</v>
      </c>
      <c r="AG53" s="545">
        <f t="shared" ref="AG53:AG58" si="543">IF(M53="","",DEGREES(ATAN2(-AF53,AE53)))</f>
        <v>87.395014337433437</v>
      </c>
      <c r="AH53" s="546">
        <f t="shared" ref="AH53:AH58" si="544">IF(M53="","",DEGREES(ACOS(AD53)))</f>
        <v>106.50134358711665</v>
      </c>
      <c r="AI53" s="528">
        <f t="shared" ref="AI53:AI58" si="545">IF(M53="","",DEGREES(-ACOS(-AF53)))</f>
        <v>-87.502375163624478</v>
      </c>
      <c r="AJ53" s="529">
        <f t="shared" ref="AJ53:AJ58" si="546">IF(M53="","",DEGREES(ATAN2(-AE53,AD53)))</f>
        <v>-163.48251631609367</v>
      </c>
      <c r="AK53" s="578">
        <f t="shared" ref="AK53:AK58" si="547">IF(M53="","",(COS(RADIANS((90-$Q$8)-W53))*AD53)+(-SIN(RADIANS((90-$Q$8)-W53))*AE53))</f>
        <v>0.86704582400865859</v>
      </c>
      <c r="AL53" s="572">
        <f t="shared" ref="AL53:AL58" si="548">IF(M53="","",(SIN(RADIANS((90-$Q$8)-W53))*AD53)+(COS(RADIANS((90-$Q$8)-W53))*AE53))</f>
        <v>-0.49631894925977904</v>
      </c>
      <c r="AM53" s="577">
        <f t="shared" ref="AM53:AM58" si="549">IF(M53="","",AF53)</f>
        <v>-4.3577972357775427E-2</v>
      </c>
      <c r="AN53" s="524">
        <f t="shared" ref="AN53:AN58" si="550">IF(M53="","",DEGREES(ATAN2(-AM53,AL53)))</f>
        <v>-84.982163840471131</v>
      </c>
      <c r="AO53" s="525">
        <f t="shared" si="111"/>
        <v>29.882860972932971</v>
      </c>
      <c r="AP53" s="528">
        <f t="shared" ref="AP53:AP58" si="551">IF(M53="","",DEGREES(ATAN2(AK53,AL53)))</f>
        <v>-29.787912885941783</v>
      </c>
      <c r="AQ53" s="529">
        <f t="shared" si="318"/>
        <v>0.27011158791345546</v>
      </c>
      <c r="AS53" s="954">
        <f t="shared" si="510"/>
        <v>136.63037171565531</v>
      </c>
      <c r="AT53" s="950">
        <f t="shared" si="319"/>
        <v>-3.9854697089094566</v>
      </c>
      <c r="AU53" s="418"/>
      <c r="AV53" s="164" t="str">
        <f t="shared" si="320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40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4"/>
        <v/>
      </c>
      <c r="BV53" s="9" t="str">
        <f t="shared" si="115"/>
        <v/>
      </c>
      <c r="BW53" s="5" t="str">
        <f t="shared" si="116"/>
        <v/>
      </c>
      <c r="BX53" s="8" t="str">
        <f t="shared" si="117"/>
        <v/>
      </c>
      <c r="BY53" s="173" t="str">
        <f t="shared" si="118"/>
        <v/>
      </c>
      <c r="BZ53" s="5" t="str">
        <f t="shared" si="119"/>
        <v/>
      </c>
      <c r="CA53" s="6" t="str">
        <f t="shared" si="120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21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6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4"/>
        <v/>
      </c>
      <c r="DE53" s="9" t="str">
        <f t="shared" si="512"/>
        <v/>
      </c>
      <c r="DF53" s="5" t="str">
        <f t="shared" si="512"/>
        <v/>
      </c>
      <c r="DG53" s="10" t="str">
        <f t="shared" si="166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6"/>
        <v/>
      </c>
      <c r="EL53" s="238" t="str">
        <f t="shared" si="197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5"/>
        <v/>
      </c>
      <c r="FA53" s="266" t="str">
        <f t="shared" si="129"/>
        <v/>
      </c>
      <c r="FB53" s="267" t="str">
        <f t="shared" si="130"/>
        <v/>
      </c>
      <c r="FC53" s="269" t="str">
        <f t="shared" si="37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8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2"/>
        <v/>
      </c>
      <c r="GV53" s="343" t="str">
        <f t="shared" si="446"/>
        <v/>
      </c>
      <c r="GW53" s="345" t="str">
        <f t="shared" si="53"/>
        <v/>
      </c>
      <c r="GX53" s="346" t="str">
        <f t="shared" si="54"/>
        <v/>
      </c>
      <c r="GY53" s="344" t="str">
        <f t="shared" si="447"/>
        <v/>
      </c>
      <c r="GZ53" s="345" t="str">
        <f t="shared" si="448"/>
        <v/>
      </c>
      <c r="HA53" s="342" t="str">
        <f t="shared" si="57"/>
        <v/>
      </c>
      <c r="HB53" s="5" t="str">
        <f t="shared" si="227"/>
        <v/>
      </c>
      <c r="HC53" s="343" t="str">
        <f t="shared" si="449"/>
        <v/>
      </c>
      <c r="HD53" s="345" t="str">
        <f t="shared" si="450"/>
        <v/>
      </c>
      <c r="HE53" s="344" t="str">
        <f t="shared" si="58"/>
        <v/>
      </c>
      <c r="HF53" s="5" t="str">
        <f t="shared" si="59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23" t="str">
        <f t="shared" si="455"/>
        <v/>
      </c>
      <c r="HN53" s="924" t="str">
        <f t="shared" si="456"/>
        <v/>
      </c>
      <c r="HO53" s="925"/>
      <c r="HP53" s="926"/>
      <c r="HQ53" s="924" t="str">
        <f t="shared" si="457"/>
        <v/>
      </c>
      <c r="HR53" s="927" t="str">
        <f t="shared" si="458"/>
        <v/>
      </c>
      <c r="HS53" s="879" t="str">
        <f t="shared" si="507"/>
        <v/>
      </c>
      <c r="HT53" s="889" t="str">
        <f t="shared" si="459"/>
        <v/>
      </c>
      <c r="HU53" s="890" t="str">
        <f t="shared" si="460"/>
        <v/>
      </c>
      <c r="HV53" s="886" t="str">
        <f t="shared" si="461"/>
        <v/>
      </c>
      <c r="HW53" s="880" t="str">
        <f t="shared" si="462"/>
        <v/>
      </c>
      <c r="HX53" s="881" t="str">
        <f t="shared" si="463"/>
        <v/>
      </c>
      <c r="HY53" s="880" t="str">
        <f t="shared" si="464"/>
        <v/>
      </c>
      <c r="HZ53" s="882" t="str">
        <f t="shared" si="465"/>
        <v/>
      </c>
      <c r="IA53" s="883" t="str">
        <f t="shared" si="466"/>
        <v/>
      </c>
      <c r="IB53" s="884" t="str">
        <f t="shared" si="467"/>
        <v/>
      </c>
      <c r="IC53" s="855" t="str">
        <f t="shared" si="468"/>
        <v/>
      </c>
      <c r="ID53" s="351" t="str">
        <f t="shared" si="469"/>
        <v/>
      </c>
      <c r="IE53" s="857" t="str">
        <f t="shared" si="470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2"/>
        <v>4.1529999999999996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71"/>
        <v>1913</v>
      </c>
      <c r="IM53" s="482" t="str">
        <f t="shared" si="233"/>
        <v/>
      </c>
      <c r="IN53" s="670" t="str">
        <f t="shared" si="472"/>
        <v/>
      </c>
      <c r="IO53" s="702"/>
      <c r="IP53" s="5" t="str">
        <f t="shared" si="473"/>
        <v/>
      </c>
      <c r="IQ53" s="714"/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>
        <f t="shared" si="92"/>
        <v>0.02</v>
      </c>
      <c r="B54" s="578">
        <f t="shared" ref="B54:D54" si="552">IFERROR(O209-($A54*E54),"")</f>
        <v>-2.7406640872675889</v>
      </c>
      <c r="C54" s="572">
        <f t="shared" si="552"/>
        <v>1.2993088252520086</v>
      </c>
      <c r="D54" s="576">
        <f t="shared" si="552"/>
        <v>-0.64878321692095831</v>
      </c>
      <c r="E54" s="580">
        <f t="shared" ref="E54:K54" si="553">R209</f>
        <v>-0.36346004546043503</v>
      </c>
      <c r="F54" s="572">
        <f t="shared" si="553"/>
        <v>-0.89629704517118924</v>
      </c>
      <c r="G54" s="579">
        <f t="shared" si="553"/>
        <v>0.25406377579516087</v>
      </c>
      <c r="H54" s="580">
        <f t="shared" si="553"/>
        <v>0.375</v>
      </c>
      <c r="I54" s="572">
        <f t="shared" si="553"/>
        <v>0.52</v>
      </c>
      <c r="J54" s="483">
        <f t="shared" si="95"/>
        <v>5.109</v>
      </c>
      <c r="K54" s="806">
        <f t="shared" si="553"/>
        <v>1913</v>
      </c>
      <c r="L54" s="309"/>
      <c r="M54" s="164">
        <f t="shared" si="311"/>
        <v>5.109</v>
      </c>
      <c r="N54" s="575">
        <f t="shared" si="312"/>
        <v>-2.7406640872675889</v>
      </c>
      <c r="O54" s="572">
        <f t="shared" si="313"/>
        <v>1.2993088252520086</v>
      </c>
      <c r="P54" s="576">
        <f t="shared" si="314"/>
        <v>-0.64878321692095831</v>
      </c>
      <c r="Q54" s="528">
        <f t="shared" si="135"/>
        <v>154.63505304243841</v>
      </c>
      <c r="R54" s="572">
        <f t="shared" si="533"/>
        <v>3.0330583678221625</v>
      </c>
      <c r="S54" s="577">
        <f t="shared" si="534"/>
        <v>-0.64878321692095831</v>
      </c>
      <c r="T54" s="578">
        <f t="shared" si="535"/>
        <v>1.2837432740421766</v>
      </c>
      <c r="U54" s="572">
        <f t="shared" si="536"/>
        <v>2.7479894957891515</v>
      </c>
      <c r="V54" s="579">
        <f t="shared" si="537"/>
        <v>-0.64878321692095831</v>
      </c>
      <c r="W54" s="528">
        <f t="shared" si="257"/>
        <v>64.960028188245602</v>
      </c>
      <c r="X54" s="572">
        <f t="shared" si="538"/>
        <v>3.0330583678221625</v>
      </c>
      <c r="Y54" s="573">
        <f t="shared" si="260"/>
        <v>-0.64878321692095831</v>
      </c>
      <c r="Z54" s="575">
        <f t="shared" si="315"/>
        <v>0.36346004546043503</v>
      </c>
      <c r="AA54" s="572">
        <f t="shared" si="316"/>
        <v>0.89629704517118924</v>
      </c>
      <c r="AB54" s="572">
        <f t="shared" si="317"/>
        <v>-0.25406377579516087</v>
      </c>
      <c r="AC54" s="579">
        <f t="shared" si="539"/>
        <v>1</v>
      </c>
      <c r="AD54" s="580">
        <f t="shared" si="540"/>
        <v>0.36346004546043503</v>
      </c>
      <c r="AE54" s="572">
        <f t="shared" si="541"/>
        <v>0.89629704517118924</v>
      </c>
      <c r="AF54" s="576">
        <f t="shared" si="542"/>
        <v>-0.25406377579516087</v>
      </c>
      <c r="AG54" s="545">
        <f t="shared" si="543"/>
        <v>74.174122721146048</v>
      </c>
      <c r="AH54" s="546">
        <f t="shared" si="544"/>
        <v>68.68715804120086</v>
      </c>
      <c r="AI54" s="528">
        <f t="shared" si="545"/>
        <v>-75.281883439570436</v>
      </c>
      <c r="AJ54" s="529">
        <f t="shared" si="546"/>
        <v>157.92680929217892</v>
      </c>
      <c r="AK54" s="578">
        <f t="shared" si="547"/>
        <v>0.96559169417530066</v>
      </c>
      <c r="AL54" s="572">
        <f t="shared" si="548"/>
        <v>5.5536276147930885E-2</v>
      </c>
      <c r="AM54" s="577">
        <f t="shared" si="549"/>
        <v>-0.25406377579516087</v>
      </c>
      <c r="AN54" s="524">
        <f t="shared" si="550"/>
        <v>12.330440620871689</v>
      </c>
      <c r="AO54" s="525">
        <f t="shared" si="111"/>
        <v>15.073790810068159</v>
      </c>
      <c r="AP54" s="528">
        <f t="shared" si="551"/>
        <v>3.291756249740494</v>
      </c>
      <c r="AQ54" s="529">
        <f t="shared" si="318"/>
        <v>0.75158325206762389</v>
      </c>
      <c r="AS54" s="954">
        <f t="shared" si="510"/>
        <v>64.960028188245602</v>
      </c>
      <c r="AT54" s="950">
        <f t="shared" si="319"/>
        <v>-0.44549781394198429</v>
      </c>
      <c r="AU54" s="418"/>
      <c r="AV54" s="164" t="str">
        <f t="shared" si="320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9"/>
        <v/>
      </c>
      <c r="BA54" s="296" t="str">
        <f t="shared" si="322"/>
        <v/>
      </c>
      <c r="BB54" s="177" t="str">
        <f t="shared" si="140"/>
        <v/>
      </c>
      <c r="BC54" s="9"/>
      <c r="BD54" s="5" t="str">
        <f t="shared" si="141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2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3"/>
        <v/>
      </c>
      <c r="BP54" s="5" t="str">
        <f t="shared" si="144"/>
        <v/>
      </c>
      <c r="BQ54" s="5" t="str">
        <f t="shared" si="145"/>
        <v/>
      </c>
      <c r="BR54" s="6" t="str">
        <f t="shared" si="146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4"/>
        <v/>
      </c>
      <c r="BV54" s="9" t="str">
        <f t="shared" si="115"/>
        <v/>
      </c>
      <c r="BW54" s="5" t="str">
        <f t="shared" si="116"/>
        <v/>
      </c>
      <c r="BX54" s="8" t="str">
        <f t="shared" si="117"/>
        <v/>
      </c>
      <c r="BY54" s="173" t="str">
        <f t="shared" si="118"/>
        <v/>
      </c>
      <c r="BZ54" s="5" t="str">
        <f t="shared" si="119"/>
        <v/>
      </c>
      <c r="CA54" s="6" t="str">
        <f t="shared" si="120"/>
        <v/>
      </c>
      <c r="CB54" s="4" t="str">
        <f t="shared" si="147"/>
        <v/>
      </c>
      <c r="CC54" s="5" t="str">
        <f t="shared" si="148"/>
        <v/>
      </c>
      <c r="CD54" s="5" t="str">
        <f t="shared" si="149"/>
        <v/>
      </c>
      <c r="CE54" s="6" t="str">
        <f t="shared" si="150"/>
        <v/>
      </c>
      <c r="CF54" s="4" t="str">
        <f t="shared" si="151"/>
        <v/>
      </c>
      <c r="CG54" s="5" t="str">
        <f t="shared" si="152"/>
        <v/>
      </c>
      <c r="CH54" s="5" t="str">
        <f t="shared" si="153"/>
        <v/>
      </c>
      <c r="CI54" s="4" t="str">
        <f t="shared" si="121"/>
        <v/>
      </c>
      <c r="CJ54" s="5" t="str">
        <f t="shared" si="122"/>
        <v/>
      </c>
      <c r="CK54" s="8" t="str">
        <f t="shared" si="123"/>
        <v/>
      </c>
      <c r="CL54" s="173" t="str">
        <f t="shared" si="124"/>
        <v/>
      </c>
      <c r="CM54" s="5" t="str">
        <f t="shared" si="125"/>
        <v/>
      </c>
      <c r="CN54" s="6" t="str">
        <f t="shared" si="126"/>
        <v/>
      </c>
      <c r="CO54" s="167" t="str">
        <f t="shared" si="350"/>
        <v/>
      </c>
      <c r="CP54" s="4" t="str">
        <f t="shared" si="237"/>
        <v/>
      </c>
      <c r="CQ54" s="5" t="str">
        <f t="shared" si="238"/>
        <v/>
      </c>
      <c r="CR54" s="5" t="str">
        <f t="shared" si="154"/>
        <v/>
      </c>
      <c r="CS54" s="8" t="str">
        <f t="shared" si="155"/>
        <v/>
      </c>
      <c r="CT54" s="9" t="str">
        <f t="shared" si="156"/>
        <v/>
      </c>
      <c r="CU54" s="6" t="str">
        <f t="shared" si="157"/>
        <v/>
      </c>
      <c r="CV54" s="4" t="str">
        <f t="shared" si="239"/>
        <v/>
      </c>
      <c r="CW54" s="5" t="str">
        <f t="shared" si="158"/>
        <v/>
      </c>
      <c r="CX54" s="8" t="str">
        <f t="shared" si="159"/>
        <v/>
      </c>
      <c r="CY54" s="9" t="str">
        <f t="shared" si="160"/>
        <v/>
      </c>
      <c r="CZ54" s="5" t="str">
        <f t="shared" si="161"/>
        <v/>
      </c>
      <c r="DA54" s="6" t="str">
        <f t="shared" si="162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4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6"/>
        <v/>
      </c>
      <c r="DH54" s="70" t="str">
        <f t="shared" si="167"/>
        <v/>
      </c>
      <c r="DI54" s="4" t="str">
        <f t="shared" si="168"/>
        <v/>
      </c>
      <c r="DJ54" s="5" t="str">
        <f t="shared" si="169"/>
        <v/>
      </c>
      <c r="DK54" s="10" t="str">
        <f t="shared" si="170"/>
        <v/>
      </c>
      <c r="DL54" s="9" t="str">
        <f t="shared" si="171"/>
        <v/>
      </c>
      <c r="DM54" s="173" t="str">
        <f t="shared" si="172"/>
        <v/>
      </c>
      <c r="DN54" s="178" t="str">
        <f t="shared" si="173"/>
        <v/>
      </c>
      <c r="DO54" s="9" t="str">
        <f t="shared" si="174"/>
        <v/>
      </c>
      <c r="DP54" s="173" t="str">
        <f t="shared" si="175"/>
        <v/>
      </c>
      <c r="DQ54" s="11" t="str">
        <f t="shared" si="176"/>
        <v/>
      </c>
      <c r="DR54" s="173" t="str">
        <f t="shared" si="177"/>
        <v/>
      </c>
      <c r="DS54" s="5" t="str">
        <f t="shared" si="178"/>
        <v/>
      </c>
      <c r="DT54" s="5" t="str">
        <f t="shared" si="179"/>
        <v/>
      </c>
      <c r="DU54" s="5" t="str">
        <f t="shared" si="180"/>
        <v/>
      </c>
      <c r="DV54" s="5" t="str">
        <f t="shared" si="181"/>
        <v/>
      </c>
      <c r="DW54" s="5" t="str">
        <f t="shared" si="182"/>
        <v/>
      </c>
      <c r="DX54" s="167" t="str">
        <f t="shared" si="183"/>
        <v/>
      </c>
      <c r="DY54" s="9" t="str">
        <f t="shared" si="184"/>
        <v/>
      </c>
      <c r="DZ54" s="5" t="str">
        <f t="shared" si="185"/>
        <v/>
      </c>
      <c r="EA54" s="10" t="str">
        <f t="shared" si="186"/>
        <v/>
      </c>
      <c r="EB54" s="6" t="str">
        <f t="shared" si="187"/>
        <v/>
      </c>
      <c r="EC54" s="173" t="str">
        <f t="shared" si="188"/>
        <v/>
      </c>
      <c r="ED54" s="5" t="str">
        <f t="shared" si="189"/>
        <v/>
      </c>
      <c r="EE54" s="4" t="str">
        <f t="shared" si="190"/>
        <v/>
      </c>
      <c r="EF54" s="5" t="str">
        <f t="shared" si="191"/>
        <v/>
      </c>
      <c r="EG54" s="10" t="str">
        <f t="shared" si="192"/>
        <v/>
      </c>
      <c r="EH54" s="9" t="str">
        <f t="shared" si="193"/>
        <v/>
      </c>
      <c r="EI54" s="5" t="str">
        <f t="shared" si="194"/>
        <v/>
      </c>
      <c r="EJ54" s="6" t="str">
        <f t="shared" si="195"/>
        <v/>
      </c>
      <c r="EK54" s="236" t="str">
        <f t="shared" si="196"/>
        <v/>
      </c>
      <c r="EL54" s="238" t="str">
        <f t="shared" si="197"/>
        <v/>
      </c>
      <c r="EM54" s="4" t="str">
        <f t="shared" si="198"/>
        <v/>
      </c>
      <c r="EN54" s="5" t="str">
        <f t="shared" si="199"/>
        <v/>
      </c>
      <c r="EO54" s="10" t="str">
        <f t="shared" si="200"/>
        <v/>
      </c>
      <c r="EP54" s="9" t="str">
        <f t="shared" si="201"/>
        <v/>
      </c>
      <c r="EQ54" s="5" t="str">
        <f t="shared" si="202"/>
        <v/>
      </c>
      <c r="ER54" s="7" t="str">
        <f t="shared" si="203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4"/>
        <v/>
      </c>
      <c r="EZ54" s="51" t="str">
        <f t="shared" si="205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6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8"/>
        <v/>
      </c>
      <c r="FK54" s="4" t="str">
        <f t="shared" ref="FK54:FK72" si="568">IF(ISNUMBER($AV54),SQRT(ES54^2+ET54^2),"")</f>
        <v/>
      </c>
      <c r="FL54" s="5" t="str">
        <f t="shared" si="209"/>
        <v/>
      </c>
      <c r="FM54" s="8" t="str">
        <f t="shared" si="210"/>
        <v/>
      </c>
      <c r="FN54" s="9" t="str">
        <f t="shared" si="211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40"/>
        <v/>
      </c>
      <c r="FR54" s="10" t="str">
        <f t="shared" si="212"/>
        <v/>
      </c>
      <c r="FS54" s="9" t="str">
        <f t="shared" si="213"/>
        <v/>
      </c>
      <c r="FT54" s="6" t="str">
        <f t="shared" si="214"/>
        <v/>
      </c>
      <c r="FU54" s="4" t="str">
        <f t="shared" si="215"/>
        <v/>
      </c>
      <c r="FV54" s="5" t="str">
        <f t="shared" si="216"/>
        <v/>
      </c>
      <c r="FW54" s="8" t="str">
        <f t="shared" si="241"/>
        <v/>
      </c>
      <c r="FX54" s="9" t="str">
        <f t="shared" si="242"/>
        <v/>
      </c>
      <c r="FY54" s="10" t="str">
        <f t="shared" ref="FY54:FY72" si="571">IF(ISNUMBER($AV54),IF(EU54&lt;FC54,1,-1),"")</f>
        <v/>
      </c>
      <c r="FZ54" s="277" t="str">
        <f t="shared" si="243"/>
        <v/>
      </c>
      <c r="GA54" s="177" t="str">
        <f t="shared" si="217"/>
        <v/>
      </c>
      <c r="GB54" s="4" t="str">
        <f t="shared" si="218"/>
        <v/>
      </c>
      <c r="GC54" s="5" t="str">
        <f t="shared" si="219"/>
        <v/>
      </c>
      <c r="GD54" s="10" t="str">
        <f t="shared" si="220"/>
        <v/>
      </c>
      <c r="GE54" s="311" t="str">
        <f t="shared" si="221"/>
        <v/>
      </c>
      <c r="GF54" s="341" t="str">
        <f t="shared" si="244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2"/>
        <v/>
      </c>
      <c r="GK54" s="174" t="str">
        <f t="shared" ref="GK54:GK72" si="575">IF(ISNUMBER($AV54),SQRT((2*PI()*$GJ54)^2+$AS$5^2)/12,"")</f>
        <v/>
      </c>
      <c r="GL54" s="174" t="str">
        <f t="shared" si="223"/>
        <v/>
      </c>
      <c r="GM54" s="177" t="str">
        <f t="shared" si="245"/>
        <v/>
      </c>
      <c r="GN54" s="280" t="str">
        <f t="shared" si="224"/>
        <v/>
      </c>
      <c r="GO54" s="4" t="str">
        <f t="shared" si="225"/>
        <v/>
      </c>
      <c r="GP54" s="8" t="str">
        <f t="shared" si="246"/>
        <v/>
      </c>
      <c r="GQ54" s="177" t="str">
        <f t="shared" si="226"/>
        <v/>
      </c>
      <c r="GR54" s="371" t="str">
        <f t="shared" si="247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4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7"/>
        <v/>
      </c>
      <c r="HC54" s="343" t="str">
        <f t="shared" si="228"/>
        <v/>
      </c>
      <c r="HD54" s="363" t="str">
        <f t="shared" si="229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30"/>
        <v/>
      </c>
      <c r="HH54" s="349" t="str">
        <f t="shared" si="231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23" t="str">
        <f t="shared" si="455"/>
        <v/>
      </c>
      <c r="HN54" s="924" t="str">
        <f t="shared" si="456"/>
        <v/>
      </c>
      <c r="HO54" s="925"/>
      <c r="HP54" s="926"/>
      <c r="HQ54" s="924" t="str">
        <f t="shared" si="457"/>
        <v/>
      </c>
      <c r="HR54" s="927" t="str">
        <f t="shared" si="458"/>
        <v/>
      </c>
      <c r="HS54" s="879" t="str">
        <f t="shared" si="507"/>
        <v/>
      </c>
      <c r="HT54" s="889" t="str">
        <f t="shared" si="459"/>
        <v/>
      </c>
      <c r="HU54" s="890" t="str">
        <f t="shared" si="460"/>
        <v/>
      </c>
      <c r="HV54" s="886" t="str">
        <f t="shared" si="461"/>
        <v/>
      </c>
      <c r="HW54" s="880" t="str">
        <f t="shared" si="462"/>
        <v/>
      </c>
      <c r="HX54" s="881" t="str">
        <f t="shared" si="463"/>
        <v/>
      </c>
      <c r="HY54" s="880" t="str">
        <f t="shared" si="464"/>
        <v/>
      </c>
      <c r="HZ54" s="882" t="str">
        <f t="shared" si="465"/>
        <v/>
      </c>
      <c r="IA54" s="883" t="str">
        <f t="shared" si="466"/>
        <v/>
      </c>
      <c r="IB54" s="884" t="str">
        <f t="shared" si="467"/>
        <v/>
      </c>
      <c r="IC54" s="855" t="str">
        <f t="shared" si="468"/>
        <v/>
      </c>
      <c r="ID54" s="351" t="str">
        <f t="shared" si="469"/>
        <v/>
      </c>
      <c r="IE54" s="857" t="str">
        <f t="shared" si="470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2"/>
        <v>5.109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71"/>
        <v>1913</v>
      </c>
      <c r="IM54" s="482" t="str">
        <f t="shared" si="233"/>
        <v/>
      </c>
      <c r="IN54" s="670" t="str">
        <f t="shared" si="472"/>
        <v/>
      </c>
      <c r="IO54" s="702"/>
      <c r="IP54" s="5" t="str">
        <f t="shared" si="473"/>
        <v/>
      </c>
      <c r="IQ54" s="714"/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>
        <f t="shared" si="92"/>
        <v>0.02</v>
      </c>
      <c r="B55" s="578">
        <f t="shared" ref="B55:D55" si="586">IFERROR(O210-($A55*E55),"")</f>
        <v>-3.5503070327516473</v>
      </c>
      <c r="C55" s="572">
        <f t="shared" si="586"/>
        <v>1.6782885396694496</v>
      </c>
      <c r="D55" s="576">
        <f t="shared" si="586"/>
        <v>-0.32404898523311404</v>
      </c>
      <c r="E55" s="580">
        <f t="shared" ref="E55:K55" si="587">R210</f>
        <v>-0.38399291073268826</v>
      </c>
      <c r="F55" s="572">
        <f t="shared" si="587"/>
        <v>-0.88673224903223147</v>
      </c>
      <c r="G55" s="579">
        <f t="shared" si="587"/>
        <v>0.25740117139064927</v>
      </c>
      <c r="H55" s="580">
        <f t="shared" si="587"/>
        <v>0.375</v>
      </c>
      <c r="I55" s="572">
        <f t="shared" si="587"/>
        <v>0.52</v>
      </c>
      <c r="J55" s="483">
        <f t="shared" si="95"/>
        <v>5.1139999999999999</v>
      </c>
      <c r="K55" s="806">
        <f t="shared" si="587"/>
        <v>1913</v>
      </c>
      <c r="L55" s="309"/>
      <c r="M55" s="164">
        <f t="shared" si="311"/>
        <v>5.1139999999999999</v>
      </c>
      <c r="N55" s="575">
        <f t="shared" si="312"/>
        <v>-3.5503070327516473</v>
      </c>
      <c r="O55" s="572">
        <f t="shared" si="313"/>
        <v>1.6782885396694496</v>
      </c>
      <c r="P55" s="576">
        <f t="shared" si="314"/>
        <v>-0.32404898523311404</v>
      </c>
      <c r="Q55" s="528">
        <f t="shared" si="135"/>
        <v>154.69912817447926</v>
      </c>
      <c r="R55" s="572">
        <f t="shared" si="533"/>
        <v>3.9270004391636655</v>
      </c>
      <c r="S55" s="577">
        <f t="shared" si="534"/>
        <v>-0.32404898523311404</v>
      </c>
      <c r="T55" s="578">
        <f t="shared" si="535"/>
        <v>1.6581247144382008</v>
      </c>
      <c r="U55" s="572">
        <f t="shared" si="536"/>
        <v>3.5597689364003471</v>
      </c>
      <c r="V55" s="579">
        <f t="shared" si="537"/>
        <v>-0.32404898523311404</v>
      </c>
      <c r="W55" s="528">
        <f t="shared" si="257"/>
        <v>65.024103320286443</v>
      </c>
      <c r="X55" s="572">
        <f t="shared" si="538"/>
        <v>3.9270004391636655</v>
      </c>
      <c r="Y55" s="573">
        <f t="shared" si="260"/>
        <v>-0.32404898523311404</v>
      </c>
      <c r="Z55" s="575">
        <f t="shared" si="315"/>
        <v>0.38399291073268826</v>
      </c>
      <c r="AA55" s="572">
        <f t="shared" si="316"/>
        <v>0.88673224903223147</v>
      </c>
      <c r="AB55" s="572">
        <f t="shared" si="317"/>
        <v>-0.25740117139064927</v>
      </c>
      <c r="AC55" s="579">
        <f t="shared" si="539"/>
        <v>1</v>
      </c>
      <c r="AD55" s="580">
        <f t="shared" si="540"/>
        <v>0.38399291073268826</v>
      </c>
      <c r="AE55" s="572">
        <f t="shared" si="541"/>
        <v>0.88673224903223147</v>
      </c>
      <c r="AF55" s="576">
        <f t="shared" si="542"/>
        <v>-0.25740117139064927</v>
      </c>
      <c r="AG55" s="545">
        <f t="shared" si="543"/>
        <v>73.813011979051041</v>
      </c>
      <c r="AH55" s="546">
        <f t="shared" si="544"/>
        <v>67.418766848507161</v>
      </c>
      <c r="AI55" s="528">
        <f t="shared" si="545"/>
        <v>-75.0840874490397</v>
      </c>
      <c r="AJ55" s="529">
        <f t="shared" si="546"/>
        <v>156.58532908977043</v>
      </c>
      <c r="AK55" s="578">
        <f t="shared" si="547"/>
        <v>0.965781058611625</v>
      </c>
      <c r="AL55" s="572">
        <f t="shared" si="548"/>
        <v>3.1805405102442896E-2</v>
      </c>
      <c r="AM55" s="577">
        <f t="shared" si="549"/>
        <v>-0.25740117139064927</v>
      </c>
      <c r="AN55" s="524">
        <f t="shared" si="550"/>
        <v>7.0439663120015075</v>
      </c>
      <c r="AO55" s="525">
        <f>IF(ROUND(IF(M55="",0,DEGREES(ACOS(AK55))),4)=90,0,IF(M55="","",DEGREES(ACOS(AK55))))</f>
        <v>15.032014405995737</v>
      </c>
      <c r="AP55" s="528">
        <f t="shared" si="551"/>
        <v>1.8862009152911849</v>
      </c>
      <c r="AQ55" s="529">
        <f t="shared" si="318"/>
        <v>0.58050633310209832</v>
      </c>
      <c r="AS55" s="954">
        <f t="shared" si="510"/>
        <v>65.024103320286443</v>
      </c>
      <c r="AT55" s="950">
        <f t="shared" si="319"/>
        <v>-0.12080807887361281</v>
      </c>
      <c r="AU55" s="418"/>
      <c r="AV55" s="164" t="str">
        <f t="shared" si="320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9"/>
        <v/>
      </c>
      <c r="BA55" s="296" t="str">
        <f t="shared" si="322"/>
        <v/>
      </c>
      <c r="BB55" s="177" t="str">
        <f t="shared" si="140"/>
        <v/>
      </c>
      <c r="BC55" s="9"/>
      <c r="BD55" s="5" t="str">
        <f t="shared" si="141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2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3"/>
        <v/>
      </c>
      <c r="BP55" s="5" t="str">
        <f t="shared" si="144"/>
        <v/>
      </c>
      <c r="BQ55" s="5" t="str">
        <f t="shared" si="145"/>
        <v/>
      </c>
      <c r="BR55" s="6" t="str">
        <f t="shared" si="146"/>
        <v/>
      </c>
      <c r="BS55" s="4" t="str">
        <f t="shared" si="554"/>
        <v/>
      </c>
      <c r="BT55" s="5" t="str">
        <f t="shared" si="554"/>
        <v/>
      </c>
      <c r="BU55" s="10" t="str">
        <f t="shared" si="114"/>
        <v/>
      </c>
      <c r="BV55" s="9" t="str">
        <f t="shared" si="115"/>
        <v/>
      </c>
      <c r="BW55" s="5" t="str">
        <f t="shared" si="116"/>
        <v/>
      </c>
      <c r="BX55" s="8" t="str">
        <f t="shared" si="117"/>
        <v/>
      </c>
      <c r="BY55" s="173" t="str">
        <f t="shared" si="118"/>
        <v/>
      </c>
      <c r="BZ55" s="5" t="str">
        <f t="shared" si="119"/>
        <v/>
      </c>
      <c r="CA55" s="6" t="str">
        <f t="shared" si="120"/>
        <v/>
      </c>
      <c r="CB55" s="4" t="str">
        <f t="shared" si="147"/>
        <v/>
      </c>
      <c r="CC55" s="5" t="str">
        <f t="shared" si="148"/>
        <v/>
      </c>
      <c r="CD55" s="5" t="str">
        <f t="shared" si="149"/>
        <v/>
      </c>
      <c r="CE55" s="6" t="str">
        <f t="shared" si="150"/>
        <v/>
      </c>
      <c r="CF55" s="4" t="str">
        <f t="shared" si="151"/>
        <v/>
      </c>
      <c r="CG55" s="5" t="str">
        <f t="shared" si="152"/>
        <v/>
      </c>
      <c r="CH55" s="5" t="str">
        <f t="shared" si="153"/>
        <v/>
      </c>
      <c r="CI55" s="4" t="str">
        <f t="shared" si="121"/>
        <v/>
      </c>
      <c r="CJ55" s="5" t="str">
        <f t="shared" si="122"/>
        <v/>
      </c>
      <c r="CK55" s="8" t="str">
        <f t="shared" si="123"/>
        <v/>
      </c>
      <c r="CL55" s="173" t="str">
        <f t="shared" si="124"/>
        <v/>
      </c>
      <c r="CM55" s="5" t="str">
        <f t="shared" si="125"/>
        <v/>
      </c>
      <c r="CN55" s="6" t="str">
        <f t="shared" si="126"/>
        <v/>
      </c>
      <c r="CO55" s="167" t="str">
        <f t="shared" si="350"/>
        <v/>
      </c>
      <c r="CP55" s="4" t="str">
        <f t="shared" si="237"/>
        <v/>
      </c>
      <c r="CQ55" s="5" t="str">
        <f t="shared" si="238"/>
        <v/>
      </c>
      <c r="CR55" s="5" t="str">
        <f t="shared" si="154"/>
        <v/>
      </c>
      <c r="CS55" s="8" t="str">
        <f t="shared" si="155"/>
        <v/>
      </c>
      <c r="CT55" s="9" t="str">
        <f t="shared" si="156"/>
        <v/>
      </c>
      <c r="CU55" s="6" t="str">
        <f t="shared" si="157"/>
        <v/>
      </c>
      <c r="CV55" s="4" t="str">
        <f t="shared" si="239"/>
        <v/>
      </c>
      <c r="CW55" s="5" t="str">
        <f t="shared" si="158"/>
        <v/>
      </c>
      <c r="CX55" s="8" t="str">
        <f t="shared" si="159"/>
        <v/>
      </c>
      <c r="CY55" s="9" t="str">
        <f t="shared" si="160"/>
        <v/>
      </c>
      <c r="CZ55" s="5" t="str">
        <f t="shared" si="161"/>
        <v/>
      </c>
      <c r="DA55" s="6" t="str">
        <f t="shared" si="162"/>
        <v/>
      </c>
      <c r="DB55" s="4" t="str">
        <f t="shared" si="555"/>
        <v/>
      </c>
      <c r="DC55" s="5" t="str">
        <f t="shared" si="555"/>
        <v/>
      </c>
      <c r="DD55" s="10" t="str">
        <f t="shared" si="164"/>
        <v/>
      </c>
      <c r="DE55" s="9" t="str">
        <f t="shared" si="556"/>
        <v/>
      </c>
      <c r="DF55" s="5" t="str">
        <f t="shared" si="556"/>
        <v/>
      </c>
      <c r="DG55" s="10" t="str">
        <f t="shared" si="166"/>
        <v/>
      </c>
      <c r="DH55" s="70" t="str">
        <f t="shared" si="167"/>
        <v/>
      </c>
      <c r="DI55" s="4" t="str">
        <f t="shared" si="168"/>
        <v/>
      </c>
      <c r="DJ55" s="5" t="str">
        <f t="shared" si="169"/>
        <v/>
      </c>
      <c r="DK55" s="10" t="str">
        <f t="shared" si="170"/>
        <v/>
      </c>
      <c r="DL55" s="9" t="str">
        <f t="shared" si="171"/>
        <v/>
      </c>
      <c r="DM55" s="173" t="str">
        <f t="shared" si="172"/>
        <v/>
      </c>
      <c r="DN55" s="178" t="str">
        <f t="shared" si="173"/>
        <v/>
      </c>
      <c r="DO55" s="9" t="str">
        <f t="shared" si="174"/>
        <v/>
      </c>
      <c r="DP55" s="173" t="str">
        <f t="shared" si="175"/>
        <v/>
      </c>
      <c r="DQ55" s="11" t="str">
        <f t="shared" si="176"/>
        <v/>
      </c>
      <c r="DR55" s="173" t="str">
        <f t="shared" si="177"/>
        <v/>
      </c>
      <c r="DS55" s="5" t="str">
        <f t="shared" si="178"/>
        <v/>
      </c>
      <c r="DT55" s="5" t="str">
        <f t="shared" si="179"/>
        <v/>
      </c>
      <c r="DU55" s="5" t="str">
        <f t="shared" si="180"/>
        <v/>
      </c>
      <c r="DV55" s="5" t="str">
        <f t="shared" si="181"/>
        <v/>
      </c>
      <c r="DW55" s="5" t="str">
        <f t="shared" si="182"/>
        <v/>
      </c>
      <c r="DX55" s="167" t="str">
        <f t="shared" si="183"/>
        <v/>
      </c>
      <c r="DY55" s="9" t="str">
        <f t="shared" si="184"/>
        <v/>
      </c>
      <c r="DZ55" s="5" t="str">
        <f t="shared" si="185"/>
        <v/>
      </c>
      <c r="EA55" s="10" t="str">
        <f t="shared" si="186"/>
        <v/>
      </c>
      <c r="EB55" s="6" t="str">
        <f t="shared" si="187"/>
        <v/>
      </c>
      <c r="EC55" s="173" t="str">
        <f t="shared" si="188"/>
        <v/>
      </c>
      <c r="ED55" s="5" t="str">
        <f t="shared" si="189"/>
        <v/>
      </c>
      <c r="EE55" s="4" t="str">
        <f t="shared" si="190"/>
        <v/>
      </c>
      <c r="EF55" s="5" t="str">
        <f t="shared" si="191"/>
        <v/>
      </c>
      <c r="EG55" s="10" t="str">
        <f t="shared" si="192"/>
        <v/>
      </c>
      <c r="EH55" s="9" t="str">
        <f t="shared" si="193"/>
        <v/>
      </c>
      <c r="EI55" s="5" t="str">
        <f t="shared" si="194"/>
        <v/>
      </c>
      <c r="EJ55" s="6" t="str">
        <f t="shared" si="195"/>
        <v/>
      </c>
      <c r="EK55" s="236" t="str">
        <f t="shared" si="196"/>
        <v/>
      </c>
      <c r="EL55" s="238" t="str">
        <f t="shared" si="197"/>
        <v/>
      </c>
      <c r="EM55" s="4" t="str">
        <f t="shared" si="198"/>
        <v/>
      </c>
      <c r="EN55" s="5" t="str">
        <f t="shared" si="199"/>
        <v/>
      </c>
      <c r="EO55" s="10" t="str">
        <f t="shared" si="200"/>
        <v/>
      </c>
      <c r="EP55" s="9" t="str">
        <f t="shared" si="201"/>
        <v/>
      </c>
      <c r="EQ55" s="5" t="str">
        <f t="shared" si="202"/>
        <v/>
      </c>
      <c r="ER55" s="7" t="str">
        <f t="shared" si="203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4"/>
        <v/>
      </c>
      <c r="EZ55" s="51" t="str">
        <f t="shared" si="205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6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8"/>
        <v/>
      </c>
      <c r="FK55" s="4" t="str">
        <f t="shared" si="568"/>
        <v/>
      </c>
      <c r="FL55" s="5" t="str">
        <f t="shared" si="209"/>
        <v/>
      </c>
      <c r="FM55" s="8" t="str">
        <f t="shared" si="210"/>
        <v/>
      </c>
      <c r="FN55" s="9" t="str">
        <f t="shared" si="211"/>
        <v/>
      </c>
      <c r="FO55" s="10" t="str">
        <f t="shared" si="569"/>
        <v/>
      </c>
      <c r="FP55" s="277" t="str">
        <f t="shared" si="570"/>
        <v/>
      </c>
      <c r="FQ55" s="173" t="str">
        <f t="shared" si="240"/>
        <v/>
      </c>
      <c r="FR55" s="10" t="str">
        <f t="shared" si="212"/>
        <v/>
      </c>
      <c r="FS55" s="9" t="str">
        <f t="shared" si="213"/>
        <v/>
      </c>
      <c r="FT55" s="6" t="str">
        <f t="shared" si="214"/>
        <v/>
      </c>
      <c r="FU55" s="4" t="str">
        <f t="shared" si="215"/>
        <v/>
      </c>
      <c r="FV55" s="5" t="str">
        <f t="shared" si="216"/>
        <v/>
      </c>
      <c r="FW55" s="8" t="str">
        <f t="shared" si="241"/>
        <v/>
      </c>
      <c r="FX55" s="9" t="str">
        <f t="shared" si="242"/>
        <v/>
      </c>
      <c r="FY55" s="10" t="str">
        <f t="shared" si="571"/>
        <v/>
      </c>
      <c r="FZ55" s="277" t="str">
        <f t="shared" si="243"/>
        <v/>
      </c>
      <c r="GA55" s="177" t="str">
        <f t="shared" si="217"/>
        <v/>
      </c>
      <c r="GB55" s="4" t="str">
        <f t="shared" si="218"/>
        <v/>
      </c>
      <c r="GC55" s="5" t="str">
        <f t="shared" si="219"/>
        <v/>
      </c>
      <c r="GD55" s="10" t="str">
        <f t="shared" si="220"/>
        <v/>
      </c>
      <c r="GE55" s="311" t="str">
        <f t="shared" si="221"/>
        <v/>
      </c>
      <c r="GF55" s="341" t="str">
        <f t="shared" si="244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2"/>
        <v/>
      </c>
      <c r="GK55" s="174" t="str">
        <f t="shared" si="575"/>
        <v/>
      </c>
      <c r="GL55" s="174" t="str">
        <f t="shared" si="223"/>
        <v/>
      </c>
      <c r="GM55" s="177" t="str">
        <f t="shared" si="245"/>
        <v/>
      </c>
      <c r="GN55" s="280" t="str">
        <f t="shared" si="224"/>
        <v/>
      </c>
      <c r="GO55" s="4" t="str">
        <f t="shared" si="225"/>
        <v/>
      </c>
      <c r="GP55" s="8" t="str">
        <f t="shared" si="246"/>
        <v/>
      </c>
      <c r="GQ55" s="177" t="str">
        <f t="shared" si="226"/>
        <v/>
      </c>
      <c r="GR55" s="371" t="str">
        <f t="shared" si="247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4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7"/>
        <v/>
      </c>
      <c r="HC55" s="343" t="str">
        <f t="shared" si="228"/>
        <v/>
      </c>
      <c r="HD55" s="363" t="str">
        <f t="shared" si="229"/>
        <v/>
      </c>
      <c r="HE55" s="344" t="str">
        <f t="shared" si="584"/>
        <v/>
      </c>
      <c r="HF55" s="5" t="str">
        <f t="shared" si="585"/>
        <v/>
      </c>
      <c r="HG55" s="343" t="str">
        <f t="shared" si="230"/>
        <v/>
      </c>
      <c r="HH55" s="349" t="str">
        <f t="shared" si="231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23" t="str">
        <f t="shared" si="455"/>
        <v/>
      </c>
      <c r="HN55" s="924" t="str">
        <f t="shared" si="456"/>
        <v/>
      </c>
      <c r="HO55" s="925"/>
      <c r="HP55" s="926"/>
      <c r="HQ55" s="924" t="str">
        <f t="shared" si="457"/>
        <v/>
      </c>
      <c r="HR55" s="927" t="str">
        <f t="shared" si="458"/>
        <v/>
      </c>
      <c r="HS55" s="879" t="str">
        <f t="shared" si="507"/>
        <v/>
      </c>
      <c r="HT55" s="889" t="str">
        <f t="shared" si="459"/>
        <v/>
      </c>
      <c r="HU55" s="890" t="str">
        <f t="shared" si="460"/>
        <v/>
      </c>
      <c r="HV55" s="886" t="str">
        <f t="shared" si="461"/>
        <v/>
      </c>
      <c r="HW55" s="880" t="str">
        <f t="shared" si="462"/>
        <v/>
      </c>
      <c r="HX55" s="881" t="str">
        <f t="shared" si="463"/>
        <v/>
      </c>
      <c r="HY55" s="880" t="str">
        <f t="shared" si="464"/>
        <v/>
      </c>
      <c r="HZ55" s="882" t="str">
        <f t="shared" si="465"/>
        <v/>
      </c>
      <c r="IA55" s="883" t="str">
        <f t="shared" si="466"/>
        <v/>
      </c>
      <c r="IB55" s="884" t="str">
        <f t="shared" si="467"/>
        <v/>
      </c>
      <c r="IC55" s="855" t="str">
        <f t="shared" si="468"/>
        <v/>
      </c>
      <c r="ID55" s="351" t="str">
        <f t="shared" si="469"/>
        <v/>
      </c>
      <c r="IE55" s="857" t="str">
        <f t="shared" si="470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2"/>
        <v>5.1139999999999999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71"/>
        <v>1913</v>
      </c>
      <c r="IM55" s="482" t="str">
        <f t="shared" si="233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>
        <f t="shared" si="92"/>
        <v>0.02</v>
      </c>
      <c r="B56" s="578">
        <f t="shared" ref="B56:D56" si="588">IFERROR(O211-($A56*E56),"")</f>
        <v>-4.3407388256311581</v>
      </c>
      <c r="C56" s="572">
        <f t="shared" si="588"/>
        <v>2.0776557900156569</v>
      </c>
      <c r="D56" s="576">
        <f t="shared" si="588"/>
        <v>-0.14417707539667141</v>
      </c>
      <c r="E56" s="580">
        <f t="shared" ref="E56:K56" si="589">R211</f>
        <v>-0.40877991018705684</v>
      </c>
      <c r="F56" s="572">
        <f t="shared" si="589"/>
        <v>-0.873665397158501</v>
      </c>
      <c r="G56" s="579">
        <f t="shared" si="589"/>
        <v>0.26383282365039507</v>
      </c>
      <c r="H56" s="580">
        <f t="shared" si="589"/>
        <v>0.375</v>
      </c>
      <c r="I56" s="572">
        <f t="shared" si="589"/>
        <v>0.52</v>
      </c>
      <c r="J56" s="483">
        <f t="shared" si="95"/>
        <v>5.1189999999999998</v>
      </c>
      <c r="K56" s="806">
        <f t="shared" si="589"/>
        <v>1913</v>
      </c>
      <c r="L56" s="309"/>
      <c r="M56" s="164">
        <f t="shared" si="311"/>
        <v>5.1189999999999998</v>
      </c>
      <c r="N56" s="575">
        <f t="shared" si="312"/>
        <v>-4.3407388256311581</v>
      </c>
      <c r="O56" s="572">
        <f t="shared" si="313"/>
        <v>2.0776557900156569</v>
      </c>
      <c r="P56" s="576">
        <f t="shared" si="314"/>
        <v>-0.14417707539667141</v>
      </c>
      <c r="Q56" s="528">
        <f t="shared" si="135"/>
        <v>154.42230964914654</v>
      </c>
      <c r="R56" s="572">
        <f t="shared" si="533"/>
        <v>4.8123452841756222</v>
      </c>
      <c r="S56" s="577">
        <f t="shared" si="534"/>
        <v>-0.14417707539667141</v>
      </c>
      <c r="T56" s="578">
        <f t="shared" si="535"/>
        <v>2.0530023257160344</v>
      </c>
      <c r="U56" s="572">
        <f t="shared" si="536"/>
        <v>4.3524531685857228</v>
      </c>
      <c r="V56" s="579">
        <f t="shared" si="537"/>
        <v>-0.14417707539667141</v>
      </c>
      <c r="W56" s="528">
        <f t="shared" si="257"/>
        <v>64.747284794953728</v>
      </c>
      <c r="X56" s="572">
        <f t="shared" si="538"/>
        <v>4.8123452841756222</v>
      </c>
      <c r="Y56" s="573">
        <f t="shared" si="260"/>
        <v>-0.14417707539667141</v>
      </c>
      <c r="Z56" s="575">
        <f t="shared" si="315"/>
        <v>0.40877991018705684</v>
      </c>
      <c r="AA56" s="572">
        <f t="shared" si="316"/>
        <v>0.873665397158501</v>
      </c>
      <c r="AB56" s="572">
        <f t="shared" si="317"/>
        <v>-0.26383282365039507</v>
      </c>
      <c r="AC56" s="579">
        <f t="shared" si="539"/>
        <v>1</v>
      </c>
      <c r="AD56" s="580">
        <f t="shared" si="540"/>
        <v>0.40877991018705684</v>
      </c>
      <c r="AE56" s="572">
        <f t="shared" si="541"/>
        <v>0.873665397158501</v>
      </c>
      <c r="AF56" s="576">
        <f t="shared" si="542"/>
        <v>-0.26383282365039507</v>
      </c>
      <c r="AG56" s="545">
        <f t="shared" si="543"/>
        <v>73.196532839142947</v>
      </c>
      <c r="AH56" s="546">
        <f t="shared" si="544"/>
        <v>65.871786316590061</v>
      </c>
      <c r="AI56" s="528">
        <f t="shared" si="545"/>
        <v>-74.702389474055707</v>
      </c>
      <c r="AJ56" s="529">
        <f t="shared" si="546"/>
        <v>154.92554366023097</v>
      </c>
      <c r="AK56" s="578">
        <f t="shared" si="547"/>
        <v>0.96453121777477113</v>
      </c>
      <c r="AL56" s="572">
        <f t="shared" si="548"/>
        <v>8.4717827271814095E-3</v>
      </c>
      <c r="AM56" s="577">
        <f t="shared" si="549"/>
        <v>-0.26383282365039507</v>
      </c>
      <c r="AN56" s="524">
        <f t="shared" si="550"/>
        <v>1.8391596009189273</v>
      </c>
      <c r="AO56" s="525">
        <f t="shared" ref="AO56:AO119" si="590">IF(ROUND(IF(M56="",0,DEGREES(ACOS(AK56))),4)=90,0,IF(M56="","",DEGREES(ACOS(AK56))))</f>
        <v>15.305688023952083</v>
      </c>
      <c r="AP56" s="528">
        <f t="shared" si="551"/>
        <v>0.5032340110844582</v>
      </c>
      <c r="AQ56" s="529">
        <f t="shared" si="318"/>
        <v>0.4737138653891827</v>
      </c>
      <c r="AS56" s="954">
        <f t="shared" si="510"/>
        <v>64.747284794953728</v>
      </c>
      <c r="AT56" s="950">
        <f t="shared" si="319"/>
        <v>5.925606604986644E-2</v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9"/>
        <v/>
      </c>
      <c r="BA56" s="296" t="str">
        <f t="shared" si="322"/>
        <v/>
      </c>
      <c r="BB56" s="177" t="str">
        <f t="shared" si="140"/>
        <v/>
      </c>
      <c r="BC56" s="9"/>
      <c r="BD56" s="5" t="str">
        <f t="shared" si="141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2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3"/>
        <v/>
      </c>
      <c r="BP56" s="5" t="str">
        <f t="shared" si="144"/>
        <v/>
      </c>
      <c r="BQ56" s="5" t="str">
        <f t="shared" si="145"/>
        <v/>
      </c>
      <c r="BR56" s="6" t="str">
        <f t="shared" si="146"/>
        <v/>
      </c>
      <c r="BS56" s="4" t="str">
        <f t="shared" si="554"/>
        <v/>
      </c>
      <c r="BT56" s="5" t="str">
        <f t="shared" si="554"/>
        <v/>
      </c>
      <c r="BU56" s="10" t="str">
        <f t="shared" si="114"/>
        <v/>
      </c>
      <c r="BV56" s="9" t="str">
        <f t="shared" si="115"/>
        <v/>
      </c>
      <c r="BW56" s="5" t="str">
        <f t="shared" si="116"/>
        <v/>
      </c>
      <c r="BX56" s="8" t="str">
        <f t="shared" si="117"/>
        <v/>
      </c>
      <c r="BY56" s="173" t="str">
        <f t="shared" si="118"/>
        <v/>
      </c>
      <c r="BZ56" s="5" t="str">
        <f t="shared" si="119"/>
        <v/>
      </c>
      <c r="CA56" s="6" t="str">
        <f t="shared" si="120"/>
        <v/>
      </c>
      <c r="CB56" s="4" t="str">
        <f t="shared" si="147"/>
        <v/>
      </c>
      <c r="CC56" s="5" t="str">
        <f t="shared" si="148"/>
        <v/>
      </c>
      <c r="CD56" s="5" t="str">
        <f t="shared" si="149"/>
        <v/>
      </c>
      <c r="CE56" s="6" t="str">
        <f t="shared" si="150"/>
        <v/>
      </c>
      <c r="CF56" s="4" t="str">
        <f t="shared" si="151"/>
        <v/>
      </c>
      <c r="CG56" s="5" t="str">
        <f t="shared" si="152"/>
        <v/>
      </c>
      <c r="CH56" s="5" t="str">
        <f t="shared" si="153"/>
        <v/>
      </c>
      <c r="CI56" s="4" t="str">
        <f t="shared" si="121"/>
        <v/>
      </c>
      <c r="CJ56" s="5" t="str">
        <f t="shared" si="122"/>
        <v/>
      </c>
      <c r="CK56" s="8" t="str">
        <f t="shared" si="123"/>
        <v/>
      </c>
      <c r="CL56" s="173" t="str">
        <f t="shared" si="124"/>
        <v/>
      </c>
      <c r="CM56" s="5" t="str">
        <f t="shared" si="125"/>
        <v/>
      </c>
      <c r="CN56" s="6" t="str">
        <f t="shared" si="126"/>
        <v/>
      </c>
      <c r="CO56" s="167" t="str">
        <f t="shared" si="350"/>
        <v/>
      </c>
      <c r="CP56" s="4" t="str">
        <f t="shared" si="237"/>
        <v/>
      </c>
      <c r="CQ56" s="5" t="str">
        <f t="shared" si="238"/>
        <v/>
      </c>
      <c r="CR56" s="5" t="str">
        <f t="shared" si="154"/>
        <v/>
      </c>
      <c r="CS56" s="8" t="str">
        <f t="shared" si="155"/>
        <v/>
      </c>
      <c r="CT56" s="9" t="str">
        <f t="shared" si="156"/>
        <v/>
      </c>
      <c r="CU56" s="6" t="str">
        <f t="shared" si="157"/>
        <v/>
      </c>
      <c r="CV56" s="4" t="str">
        <f t="shared" si="239"/>
        <v/>
      </c>
      <c r="CW56" s="5" t="str">
        <f t="shared" si="158"/>
        <v/>
      </c>
      <c r="CX56" s="8" t="str">
        <f t="shared" si="159"/>
        <v/>
      </c>
      <c r="CY56" s="9" t="str">
        <f t="shared" si="160"/>
        <v/>
      </c>
      <c r="CZ56" s="5" t="str">
        <f t="shared" si="161"/>
        <v/>
      </c>
      <c r="DA56" s="6" t="str">
        <f t="shared" si="162"/>
        <v/>
      </c>
      <c r="DB56" s="4" t="str">
        <f t="shared" si="555"/>
        <v/>
      </c>
      <c r="DC56" s="5" t="str">
        <f t="shared" si="555"/>
        <v/>
      </c>
      <c r="DD56" s="10" t="str">
        <f t="shared" si="164"/>
        <v/>
      </c>
      <c r="DE56" s="9" t="str">
        <f t="shared" si="556"/>
        <v/>
      </c>
      <c r="DF56" s="5" t="str">
        <f t="shared" si="556"/>
        <v/>
      </c>
      <c r="DG56" s="10" t="str">
        <f t="shared" si="166"/>
        <v/>
      </c>
      <c r="DH56" s="70" t="str">
        <f t="shared" si="167"/>
        <v/>
      </c>
      <c r="DI56" s="4" t="str">
        <f t="shared" si="168"/>
        <v/>
      </c>
      <c r="DJ56" s="5" t="str">
        <f t="shared" si="169"/>
        <v/>
      </c>
      <c r="DK56" s="10" t="str">
        <f t="shared" si="170"/>
        <v/>
      </c>
      <c r="DL56" s="9" t="str">
        <f t="shared" si="171"/>
        <v/>
      </c>
      <c r="DM56" s="173" t="str">
        <f t="shared" si="172"/>
        <v/>
      </c>
      <c r="DN56" s="178" t="str">
        <f t="shared" si="173"/>
        <v/>
      </c>
      <c r="DO56" s="9" t="str">
        <f t="shared" si="174"/>
        <v/>
      </c>
      <c r="DP56" s="173" t="str">
        <f t="shared" si="175"/>
        <v/>
      </c>
      <c r="DQ56" s="11" t="str">
        <f t="shared" si="176"/>
        <v/>
      </c>
      <c r="DR56" s="173" t="str">
        <f t="shared" si="177"/>
        <v/>
      </c>
      <c r="DS56" s="5" t="str">
        <f t="shared" si="178"/>
        <v/>
      </c>
      <c r="DT56" s="5" t="str">
        <f t="shared" si="179"/>
        <v/>
      </c>
      <c r="DU56" s="5" t="str">
        <f t="shared" si="180"/>
        <v/>
      </c>
      <c r="DV56" s="5" t="str">
        <f t="shared" si="181"/>
        <v/>
      </c>
      <c r="DW56" s="5" t="str">
        <f t="shared" si="182"/>
        <v/>
      </c>
      <c r="DX56" s="167" t="str">
        <f t="shared" si="183"/>
        <v/>
      </c>
      <c r="DY56" s="9" t="str">
        <f t="shared" si="184"/>
        <v/>
      </c>
      <c r="DZ56" s="5" t="str">
        <f t="shared" si="185"/>
        <v/>
      </c>
      <c r="EA56" s="10" t="str">
        <f t="shared" si="186"/>
        <v/>
      </c>
      <c r="EB56" s="6" t="str">
        <f t="shared" si="187"/>
        <v/>
      </c>
      <c r="EC56" s="173" t="str">
        <f t="shared" si="188"/>
        <v/>
      </c>
      <c r="ED56" s="5" t="str">
        <f t="shared" si="189"/>
        <v/>
      </c>
      <c r="EE56" s="4" t="str">
        <f t="shared" si="190"/>
        <v/>
      </c>
      <c r="EF56" s="5" t="str">
        <f t="shared" si="191"/>
        <v/>
      </c>
      <c r="EG56" s="10" t="str">
        <f t="shared" si="192"/>
        <v/>
      </c>
      <c r="EH56" s="9" t="str">
        <f t="shared" si="193"/>
        <v/>
      </c>
      <c r="EI56" s="5" t="str">
        <f t="shared" si="194"/>
        <v/>
      </c>
      <c r="EJ56" s="6" t="str">
        <f t="shared" si="195"/>
        <v/>
      </c>
      <c r="EK56" s="236" t="str">
        <f t="shared" si="196"/>
        <v/>
      </c>
      <c r="EL56" s="238" t="str">
        <f t="shared" si="197"/>
        <v/>
      </c>
      <c r="EM56" s="4" t="str">
        <f t="shared" si="198"/>
        <v/>
      </c>
      <c r="EN56" s="5" t="str">
        <f t="shared" si="199"/>
        <v/>
      </c>
      <c r="EO56" s="10" t="str">
        <f t="shared" si="200"/>
        <v/>
      </c>
      <c r="EP56" s="9" t="str">
        <f t="shared" si="201"/>
        <v/>
      </c>
      <c r="EQ56" s="5" t="str">
        <f t="shared" si="202"/>
        <v/>
      </c>
      <c r="ER56" s="7" t="str">
        <f t="shared" si="203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4"/>
        <v/>
      </c>
      <c r="EZ56" s="51" t="str">
        <f t="shared" si="205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6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8"/>
        <v/>
      </c>
      <c r="FK56" s="4" t="str">
        <f t="shared" si="568"/>
        <v/>
      </c>
      <c r="FL56" s="5" t="str">
        <f t="shared" si="209"/>
        <v/>
      </c>
      <c r="FM56" s="8" t="str">
        <f t="shared" si="210"/>
        <v/>
      </c>
      <c r="FN56" s="9" t="str">
        <f t="shared" si="211"/>
        <v/>
      </c>
      <c r="FO56" s="10" t="str">
        <f t="shared" si="569"/>
        <v/>
      </c>
      <c r="FP56" s="277" t="str">
        <f t="shared" si="570"/>
        <v/>
      </c>
      <c r="FQ56" s="173" t="str">
        <f t="shared" si="240"/>
        <v/>
      </c>
      <c r="FR56" s="10" t="str">
        <f t="shared" si="212"/>
        <v/>
      </c>
      <c r="FS56" s="9" t="str">
        <f t="shared" si="213"/>
        <v/>
      </c>
      <c r="FT56" s="6" t="str">
        <f t="shared" si="214"/>
        <v/>
      </c>
      <c r="FU56" s="4" t="str">
        <f t="shared" si="215"/>
        <v/>
      </c>
      <c r="FV56" s="5" t="str">
        <f t="shared" si="216"/>
        <v/>
      </c>
      <c r="FW56" s="8" t="str">
        <f t="shared" si="241"/>
        <v/>
      </c>
      <c r="FX56" s="9" t="str">
        <f t="shared" si="242"/>
        <v/>
      </c>
      <c r="FY56" s="10" t="str">
        <f t="shared" si="571"/>
        <v/>
      </c>
      <c r="FZ56" s="277" t="str">
        <f t="shared" si="243"/>
        <v/>
      </c>
      <c r="GA56" s="177" t="str">
        <f t="shared" si="217"/>
        <v/>
      </c>
      <c r="GB56" s="4" t="str">
        <f t="shared" si="218"/>
        <v/>
      </c>
      <c r="GC56" s="5" t="str">
        <f t="shared" si="219"/>
        <v/>
      </c>
      <c r="GD56" s="10" t="str">
        <f t="shared" si="220"/>
        <v/>
      </c>
      <c r="GE56" s="311" t="str">
        <f t="shared" si="221"/>
        <v/>
      </c>
      <c r="GF56" s="341" t="str">
        <f t="shared" si="244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2"/>
        <v/>
      </c>
      <c r="GK56" s="174" t="str">
        <f t="shared" si="575"/>
        <v/>
      </c>
      <c r="GL56" s="174" t="str">
        <f t="shared" si="223"/>
        <v/>
      </c>
      <c r="GM56" s="177" t="str">
        <f t="shared" si="245"/>
        <v/>
      </c>
      <c r="GN56" s="280" t="str">
        <f t="shared" si="224"/>
        <v/>
      </c>
      <c r="GO56" s="4" t="str">
        <f t="shared" si="225"/>
        <v/>
      </c>
      <c r="GP56" s="8" t="str">
        <f t="shared" si="246"/>
        <v/>
      </c>
      <c r="GQ56" s="177" t="str">
        <f t="shared" si="226"/>
        <v/>
      </c>
      <c r="GR56" s="371" t="str">
        <f t="shared" si="247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4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7"/>
        <v/>
      </c>
      <c r="HC56" s="343" t="str">
        <f t="shared" si="228"/>
        <v/>
      </c>
      <c r="HD56" s="363" t="str">
        <f t="shared" si="229"/>
        <v/>
      </c>
      <c r="HE56" s="344" t="str">
        <f t="shared" si="584"/>
        <v/>
      </c>
      <c r="HF56" s="5" t="str">
        <f t="shared" si="585"/>
        <v/>
      </c>
      <c r="HG56" s="343" t="str">
        <f t="shared" si="230"/>
        <v/>
      </c>
      <c r="HH56" s="349" t="str">
        <f t="shared" si="231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23" t="str">
        <f t="shared" si="455"/>
        <v/>
      </c>
      <c r="HN56" s="924" t="str">
        <f t="shared" si="456"/>
        <v/>
      </c>
      <c r="HO56" s="925"/>
      <c r="HP56" s="926"/>
      <c r="HQ56" s="924" t="str">
        <f t="shared" si="457"/>
        <v/>
      </c>
      <c r="HR56" s="927" t="str">
        <f t="shared" si="458"/>
        <v/>
      </c>
      <c r="HS56" s="879" t="str">
        <f t="shared" si="507"/>
        <v/>
      </c>
      <c r="HT56" s="889" t="str">
        <f t="shared" si="459"/>
        <v/>
      </c>
      <c r="HU56" s="890" t="str">
        <f t="shared" si="460"/>
        <v/>
      </c>
      <c r="HV56" s="886" t="str">
        <f t="shared" si="461"/>
        <v/>
      </c>
      <c r="HW56" s="880" t="str">
        <f t="shared" si="462"/>
        <v/>
      </c>
      <c r="HX56" s="881" t="str">
        <f t="shared" si="463"/>
        <v/>
      </c>
      <c r="HY56" s="880" t="str">
        <f t="shared" si="464"/>
        <v/>
      </c>
      <c r="HZ56" s="882" t="str">
        <f t="shared" si="465"/>
        <v/>
      </c>
      <c r="IA56" s="883" t="str">
        <f t="shared" si="466"/>
        <v/>
      </c>
      <c r="IB56" s="884" t="str">
        <f t="shared" si="467"/>
        <v/>
      </c>
      <c r="IC56" s="855" t="str">
        <f t="shared" si="468"/>
        <v/>
      </c>
      <c r="ID56" s="351" t="str">
        <f t="shared" si="469"/>
        <v/>
      </c>
      <c r="IE56" s="857" t="str">
        <f t="shared" si="470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2"/>
        <v>5.1189999999999998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1913</v>
      </c>
      <c r="IM56" s="482" t="str">
        <f t="shared" si="233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92"/>
        <v>0.02</v>
      </c>
      <c r="B57" s="578">
        <f t="shared" ref="B57:D57" si="591">IFERROR(O212-($A57*E57),"")</f>
        <v>-5.1283008046804923</v>
      </c>
      <c r="C57" s="572">
        <f t="shared" si="591"/>
        <v>2.5174057967822283</v>
      </c>
      <c r="D57" s="576">
        <f t="shared" si="591"/>
        <v>-0.20093936517740202</v>
      </c>
      <c r="E57" s="580">
        <f t="shared" ref="E57:K57" si="592">R212</f>
        <v>-0.46932833360714188</v>
      </c>
      <c r="F57" s="572">
        <f t="shared" si="592"/>
        <v>-0.84010726495488175</v>
      </c>
      <c r="G57" s="579">
        <f t="shared" si="592"/>
        <v>0.27193877738118111</v>
      </c>
      <c r="H57" s="580">
        <f t="shared" si="592"/>
        <v>0.375</v>
      </c>
      <c r="I57" s="572">
        <f t="shared" si="592"/>
        <v>0.52</v>
      </c>
      <c r="J57" s="483">
        <f t="shared" si="95"/>
        <v>5.1239999999999997</v>
      </c>
      <c r="K57" s="806">
        <f t="shared" si="592"/>
        <v>1913</v>
      </c>
      <c r="L57" s="309"/>
      <c r="M57" s="164">
        <f t="shared" si="311"/>
        <v>5.1239999999999997</v>
      </c>
      <c r="N57" s="575">
        <f t="shared" si="312"/>
        <v>-5.1283008046804923</v>
      </c>
      <c r="O57" s="572">
        <f t="shared" si="313"/>
        <v>2.5174057967822283</v>
      </c>
      <c r="P57" s="576">
        <f t="shared" si="314"/>
        <v>-0.20093936517740202</v>
      </c>
      <c r="Q57" s="528">
        <f t="shared" si="135"/>
        <v>153.85427233053346</v>
      </c>
      <c r="R57" s="572">
        <f t="shared" si="533"/>
        <v>5.7128627752606969</v>
      </c>
      <c r="S57" s="577">
        <f t="shared" si="534"/>
        <v>-0.20093936517740202</v>
      </c>
      <c r="T57" s="578">
        <f t="shared" si="535"/>
        <v>2.4882783210238233</v>
      </c>
      <c r="U57" s="572">
        <f t="shared" si="536"/>
        <v>5.1424966782762445</v>
      </c>
      <c r="V57" s="579">
        <f t="shared" si="537"/>
        <v>-0.20093936517740202</v>
      </c>
      <c r="W57" s="528">
        <f t="shared" si="257"/>
        <v>64.179247476340649</v>
      </c>
      <c r="X57" s="572">
        <f t="shared" si="538"/>
        <v>5.7128627752606969</v>
      </c>
      <c r="Y57" s="573">
        <f t="shared" si="260"/>
        <v>-0.20093936517740202</v>
      </c>
      <c r="Z57" s="575">
        <f t="shared" si="315"/>
        <v>0.46932833360714188</v>
      </c>
      <c r="AA57" s="572">
        <f t="shared" si="316"/>
        <v>0.84010726495488175</v>
      </c>
      <c r="AB57" s="572">
        <f t="shared" si="317"/>
        <v>-0.27193877738118111</v>
      </c>
      <c r="AC57" s="579">
        <f t="shared" si="539"/>
        <v>1</v>
      </c>
      <c r="AD57" s="580">
        <f t="shared" si="540"/>
        <v>0.46932833360714188</v>
      </c>
      <c r="AE57" s="572">
        <f t="shared" si="541"/>
        <v>0.84010726495488175</v>
      </c>
      <c r="AF57" s="576">
        <f t="shared" si="542"/>
        <v>-0.27193877738118111</v>
      </c>
      <c r="AG57" s="545">
        <f t="shared" si="543"/>
        <v>72.06347630138815</v>
      </c>
      <c r="AH57" s="546">
        <f t="shared" si="544"/>
        <v>62.009293953193243</v>
      </c>
      <c r="AI57" s="528">
        <f t="shared" si="545"/>
        <v>-74.220331971139771</v>
      </c>
      <c r="AJ57" s="529">
        <f t="shared" si="546"/>
        <v>150.80996573222768</v>
      </c>
      <c r="AK57" s="578">
        <f t="shared" si="547"/>
        <v>0.96095650227696783</v>
      </c>
      <c r="AL57" s="572">
        <f t="shared" si="548"/>
        <v>-5.1106771450020405E-2</v>
      </c>
      <c r="AM57" s="577">
        <f t="shared" si="549"/>
        <v>-0.27193877738118111</v>
      </c>
      <c r="AN57" s="524">
        <f t="shared" si="550"/>
        <v>-10.64372189276521</v>
      </c>
      <c r="AO57" s="525">
        <f t="shared" si="590"/>
        <v>16.063317547923283</v>
      </c>
      <c r="AP57" s="528">
        <f t="shared" si="551"/>
        <v>-3.0443065983057815</v>
      </c>
      <c r="AQ57" s="529">
        <f t="shared" si="318"/>
        <v>0.39904507794144783</v>
      </c>
      <c r="AS57" s="954">
        <f t="shared" si="510"/>
        <v>64.179247476340649</v>
      </c>
      <c r="AT57" s="950">
        <f t="shared" si="319"/>
        <v>2.888246629283775E-3</v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9"/>
        <v/>
      </c>
      <c r="BA57" s="296" t="str">
        <f t="shared" si="322"/>
        <v/>
      </c>
      <c r="BB57" s="177" t="str">
        <f t="shared" si="140"/>
        <v/>
      </c>
      <c r="BC57" s="9"/>
      <c r="BD57" s="5" t="str">
        <f t="shared" si="141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2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3"/>
        <v/>
      </c>
      <c r="BP57" s="5" t="str">
        <f t="shared" si="144"/>
        <v/>
      </c>
      <c r="BQ57" s="5" t="str">
        <f t="shared" si="145"/>
        <v/>
      </c>
      <c r="BR57" s="6" t="str">
        <f t="shared" si="146"/>
        <v/>
      </c>
      <c r="BS57" s="4" t="str">
        <f t="shared" si="554"/>
        <v/>
      </c>
      <c r="BT57" s="5" t="str">
        <f t="shared" si="554"/>
        <v/>
      </c>
      <c r="BU57" s="10" t="str">
        <f t="shared" si="114"/>
        <v/>
      </c>
      <c r="BV57" s="9" t="str">
        <f t="shared" si="115"/>
        <v/>
      </c>
      <c r="BW57" s="5" t="str">
        <f t="shared" si="116"/>
        <v/>
      </c>
      <c r="BX57" s="8" t="str">
        <f t="shared" si="117"/>
        <v/>
      </c>
      <c r="BY57" s="173" t="str">
        <f t="shared" si="118"/>
        <v/>
      </c>
      <c r="BZ57" s="5" t="str">
        <f t="shared" si="119"/>
        <v/>
      </c>
      <c r="CA57" s="6" t="str">
        <f t="shared" si="120"/>
        <v/>
      </c>
      <c r="CB57" s="4" t="str">
        <f t="shared" si="147"/>
        <v/>
      </c>
      <c r="CC57" s="5" t="str">
        <f t="shared" si="148"/>
        <v/>
      </c>
      <c r="CD57" s="5" t="str">
        <f t="shared" si="149"/>
        <v/>
      </c>
      <c r="CE57" s="6" t="str">
        <f t="shared" si="150"/>
        <v/>
      </c>
      <c r="CF57" s="4" t="str">
        <f t="shared" si="151"/>
        <v/>
      </c>
      <c r="CG57" s="5" t="str">
        <f t="shared" si="152"/>
        <v/>
      </c>
      <c r="CH57" s="5" t="str">
        <f t="shared" si="153"/>
        <v/>
      </c>
      <c r="CI57" s="4" t="str">
        <f t="shared" si="121"/>
        <v/>
      </c>
      <c r="CJ57" s="5" t="str">
        <f t="shared" si="122"/>
        <v/>
      </c>
      <c r="CK57" s="8" t="str">
        <f t="shared" si="123"/>
        <v/>
      </c>
      <c r="CL57" s="173" t="str">
        <f t="shared" si="124"/>
        <v/>
      </c>
      <c r="CM57" s="5" t="str">
        <f t="shared" si="125"/>
        <v/>
      </c>
      <c r="CN57" s="6" t="str">
        <f t="shared" si="126"/>
        <v/>
      </c>
      <c r="CO57" s="167" t="str">
        <f t="shared" si="350"/>
        <v/>
      </c>
      <c r="CP57" s="4" t="str">
        <f t="shared" si="237"/>
        <v/>
      </c>
      <c r="CQ57" s="5" t="str">
        <f t="shared" si="238"/>
        <v/>
      </c>
      <c r="CR57" s="5" t="str">
        <f t="shared" si="154"/>
        <v/>
      </c>
      <c r="CS57" s="8" t="str">
        <f t="shared" si="155"/>
        <v/>
      </c>
      <c r="CT57" s="9" t="str">
        <f t="shared" si="156"/>
        <v/>
      </c>
      <c r="CU57" s="6" t="str">
        <f t="shared" si="157"/>
        <v/>
      </c>
      <c r="CV57" s="4" t="str">
        <f t="shared" si="239"/>
        <v/>
      </c>
      <c r="CW57" s="5" t="str">
        <f t="shared" si="158"/>
        <v/>
      </c>
      <c r="CX57" s="8" t="str">
        <f t="shared" si="159"/>
        <v/>
      </c>
      <c r="CY57" s="9" t="str">
        <f t="shared" si="160"/>
        <v/>
      </c>
      <c r="CZ57" s="5" t="str">
        <f t="shared" si="161"/>
        <v/>
      </c>
      <c r="DA57" s="6" t="str">
        <f t="shared" si="162"/>
        <v/>
      </c>
      <c r="DB57" s="4" t="str">
        <f t="shared" si="555"/>
        <v/>
      </c>
      <c r="DC57" s="5" t="str">
        <f t="shared" si="555"/>
        <v/>
      </c>
      <c r="DD57" s="10" t="str">
        <f t="shared" si="164"/>
        <v/>
      </c>
      <c r="DE57" s="9" t="str">
        <f t="shared" si="556"/>
        <v/>
      </c>
      <c r="DF57" s="5" t="str">
        <f t="shared" si="556"/>
        <v/>
      </c>
      <c r="DG57" s="10" t="str">
        <f t="shared" si="166"/>
        <v/>
      </c>
      <c r="DH57" s="70" t="str">
        <f t="shared" si="167"/>
        <v/>
      </c>
      <c r="DI57" s="4" t="str">
        <f t="shared" si="168"/>
        <v/>
      </c>
      <c r="DJ57" s="5" t="str">
        <f t="shared" si="169"/>
        <v/>
      </c>
      <c r="DK57" s="10" t="str">
        <f t="shared" si="170"/>
        <v/>
      </c>
      <c r="DL57" s="9" t="str">
        <f t="shared" si="171"/>
        <v/>
      </c>
      <c r="DM57" s="173" t="str">
        <f t="shared" si="172"/>
        <v/>
      </c>
      <c r="DN57" s="178" t="str">
        <f t="shared" si="173"/>
        <v/>
      </c>
      <c r="DO57" s="9" t="str">
        <f t="shared" si="174"/>
        <v/>
      </c>
      <c r="DP57" s="173" t="str">
        <f t="shared" si="175"/>
        <v/>
      </c>
      <c r="DQ57" s="11" t="str">
        <f t="shared" si="176"/>
        <v/>
      </c>
      <c r="DR57" s="173" t="str">
        <f t="shared" si="177"/>
        <v/>
      </c>
      <c r="DS57" s="5" t="str">
        <f t="shared" si="178"/>
        <v/>
      </c>
      <c r="DT57" s="5" t="str">
        <f t="shared" si="179"/>
        <v/>
      </c>
      <c r="DU57" s="5" t="str">
        <f t="shared" si="180"/>
        <v/>
      </c>
      <c r="DV57" s="5" t="str">
        <f t="shared" si="181"/>
        <v/>
      </c>
      <c r="DW57" s="5" t="str">
        <f t="shared" si="182"/>
        <v/>
      </c>
      <c r="DX57" s="167" t="str">
        <f t="shared" si="183"/>
        <v/>
      </c>
      <c r="DY57" s="9" t="str">
        <f t="shared" si="184"/>
        <v/>
      </c>
      <c r="DZ57" s="5" t="str">
        <f t="shared" si="185"/>
        <v/>
      </c>
      <c r="EA57" s="10" t="str">
        <f t="shared" si="186"/>
        <v/>
      </c>
      <c r="EB57" s="6" t="str">
        <f t="shared" si="187"/>
        <v/>
      </c>
      <c r="EC57" s="173" t="str">
        <f t="shared" si="188"/>
        <v/>
      </c>
      <c r="ED57" s="5" t="str">
        <f t="shared" si="189"/>
        <v/>
      </c>
      <c r="EE57" s="4" t="str">
        <f t="shared" si="190"/>
        <v/>
      </c>
      <c r="EF57" s="5" t="str">
        <f t="shared" si="191"/>
        <v/>
      </c>
      <c r="EG57" s="10" t="str">
        <f t="shared" si="192"/>
        <v/>
      </c>
      <c r="EH57" s="9" t="str">
        <f t="shared" si="193"/>
        <v/>
      </c>
      <c r="EI57" s="5" t="str">
        <f t="shared" si="194"/>
        <v/>
      </c>
      <c r="EJ57" s="6" t="str">
        <f t="shared" si="195"/>
        <v/>
      </c>
      <c r="EK57" s="236" t="str">
        <f t="shared" si="196"/>
        <v/>
      </c>
      <c r="EL57" s="238" t="str">
        <f t="shared" si="197"/>
        <v/>
      </c>
      <c r="EM57" s="4" t="str">
        <f t="shared" si="198"/>
        <v/>
      </c>
      <c r="EN57" s="5" t="str">
        <f t="shared" si="199"/>
        <v/>
      </c>
      <c r="EO57" s="10" t="str">
        <f t="shared" si="200"/>
        <v/>
      </c>
      <c r="EP57" s="9" t="str">
        <f t="shared" si="201"/>
        <v/>
      </c>
      <c r="EQ57" s="5" t="str">
        <f t="shared" si="202"/>
        <v/>
      </c>
      <c r="ER57" s="7" t="str">
        <f t="shared" si="203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4"/>
        <v/>
      </c>
      <c r="EZ57" s="51" t="str">
        <f t="shared" si="205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6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8"/>
        <v/>
      </c>
      <c r="FK57" s="4" t="str">
        <f t="shared" si="568"/>
        <v/>
      </c>
      <c r="FL57" s="5" t="str">
        <f t="shared" si="209"/>
        <v/>
      </c>
      <c r="FM57" s="8" t="str">
        <f t="shared" si="210"/>
        <v/>
      </c>
      <c r="FN57" s="9" t="str">
        <f t="shared" si="211"/>
        <v/>
      </c>
      <c r="FO57" s="10" t="str">
        <f t="shared" si="569"/>
        <v/>
      </c>
      <c r="FP57" s="277" t="str">
        <f t="shared" si="570"/>
        <v/>
      </c>
      <c r="FQ57" s="173" t="str">
        <f t="shared" si="240"/>
        <v/>
      </c>
      <c r="FR57" s="10" t="str">
        <f t="shared" si="212"/>
        <v/>
      </c>
      <c r="FS57" s="9" t="str">
        <f t="shared" si="213"/>
        <v/>
      </c>
      <c r="FT57" s="6" t="str">
        <f t="shared" si="214"/>
        <v/>
      </c>
      <c r="FU57" s="4" t="str">
        <f t="shared" si="215"/>
        <v/>
      </c>
      <c r="FV57" s="5" t="str">
        <f t="shared" si="216"/>
        <v/>
      </c>
      <c r="FW57" s="8" t="str">
        <f t="shared" si="241"/>
        <v/>
      </c>
      <c r="FX57" s="9" t="str">
        <f t="shared" si="242"/>
        <v/>
      </c>
      <c r="FY57" s="10" t="str">
        <f t="shared" si="571"/>
        <v/>
      </c>
      <c r="FZ57" s="277" t="str">
        <f t="shared" si="243"/>
        <v/>
      </c>
      <c r="GA57" s="177" t="str">
        <f t="shared" si="217"/>
        <v/>
      </c>
      <c r="GB57" s="4" t="str">
        <f t="shared" si="218"/>
        <v/>
      </c>
      <c r="GC57" s="5" t="str">
        <f t="shared" si="219"/>
        <v/>
      </c>
      <c r="GD57" s="10" t="str">
        <f t="shared" si="220"/>
        <v/>
      </c>
      <c r="GE57" s="311" t="str">
        <f t="shared" si="221"/>
        <v/>
      </c>
      <c r="GF57" s="341" t="str">
        <f t="shared" si="244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2"/>
        <v/>
      </c>
      <c r="GK57" s="174" t="str">
        <f t="shared" si="575"/>
        <v/>
      </c>
      <c r="GL57" s="174" t="str">
        <f t="shared" si="223"/>
        <v/>
      </c>
      <c r="GM57" s="177" t="str">
        <f t="shared" si="245"/>
        <v/>
      </c>
      <c r="GN57" s="280" t="str">
        <f t="shared" si="224"/>
        <v/>
      </c>
      <c r="GO57" s="4" t="str">
        <f t="shared" si="225"/>
        <v/>
      </c>
      <c r="GP57" s="8" t="str">
        <f t="shared" si="246"/>
        <v/>
      </c>
      <c r="GQ57" s="177" t="str">
        <f t="shared" si="226"/>
        <v/>
      </c>
      <c r="GR57" s="371" t="str">
        <f t="shared" si="247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4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7"/>
        <v/>
      </c>
      <c r="HC57" s="343" t="str">
        <f t="shared" si="228"/>
        <v/>
      </c>
      <c r="HD57" s="363" t="str">
        <f t="shared" si="229"/>
        <v/>
      </c>
      <c r="HE57" s="344" t="str">
        <f t="shared" si="584"/>
        <v/>
      </c>
      <c r="HF57" s="5" t="str">
        <f t="shared" si="585"/>
        <v/>
      </c>
      <c r="HG57" s="343" t="str">
        <f t="shared" si="230"/>
        <v/>
      </c>
      <c r="HH57" s="349" t="str">
        <f t="shared" si="231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23" t="str">
        <f t="shared" si="455"/>
        <v/>
      </c>
      <c r="HN57" s="924" t="str">
        <f t="shared" si="456"/>
        <v/>
      </c>
      <c r="HO57" s="925"/>
      <c r="HP57" s="926"/>
      <c r="HQ57" s="924" t="str">
        <f t="shared" si="457"/>
        <v/>
      </c>
      <c r="HR57" s="927" t="str">
        <f t="shared" si="458"/>
        <v/>
      </c>
      <c r="HS57" s="879" t="str">
        <f t="shared" si="507"/>
        <v/>
      </c>
      <c r="HT57" s="889" t="str">
        <f t="shared" si="459"/>
        <v/>
      </c>
      <c r="HU57" s="890" t="str">
        <f t="shared" si="460"/>
        <v/>
      </c>
      <c r="HV57" s="886" t="str">
        <f t="shared" si="461"/>
        <v/>
      </c>
      <c r="HW57" s="880" t="str">
        <f t="shared" si="462"/>
        <v/>
      </c>
      <c r="HX57" s="881" t="str">
        <f t="shared" si="463"/>
        <v/>
      </c>
      <c r="HY57" s="880" t="str">
        <f t="shared" si="464"/>
        <v/>
      </c>
      <c r="HZ57" s="882" t="str">
        <f t="shared" si="465"/>
        <v/>
      </c>
      <c r="IA57" s="883" t="str">
        <f t="shared" si="466"/>
        <v/>
      </c>
      <c r="IB57" s="884" t="str">
        <f t="shared" si="467"/>
        <v/>
      </c>
      <c r="IC57" s="855" t="str">
        <f t="shared" si="468"/>
        <v/>
      </c>
      <c r="ID57" s="351" t="str">
        <f t="shared" si="469"/>
        <v/>
      </c>
      <c r="IE57" s="857" t="str">
        <f t="shared" si="470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2"/>
        <v>5.1239999999999997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1913</v>
      </c>
      <c r="IM57" s="482" t="str">
        <f t="shared" si="233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92"/>
        <v>0.02</v>
      </c>
      <c r="B58" s="578">
        <f t="shared" ref="B58:D58" si="593">IFERROR(O213-($A58*E58),"")</f>
        <v>-5.8566258341117168</v>
      </c>
      <c r="C58" s="572">
        <f t="shared" si="593"/>
        <v>2.963873802926889</v>
      </c>
      <c r="D58" s="576">
        <f t="shared" si="593"/>
        <v>-0.50036961604323149</v>
      </c>
      <c r="E58" s="580">
        <f t="shared" ref="E58:K58" si="594">R213</f>
        <v>-0.54303127888529024</v>
      </c>
      <c r="F58" s="572">
        <f t="shared" si="594"/>
        <v>-0.79566020737977539</v>
      </c>
      <c r="G58" s="579">
        <f t="shared" si="594"/>
        <v>0.26840615593644457</v>
      </c>
      <c r="H58" s="580">
        <f t="shared" si="594"/>
        <v>0.375</v>
      </c>
      <c r="I58" s="572">
        <f t="shared" si="594"/>
        <v>0.52</v>
      </c>
      <c r="J58" s="483">
        <f t="shared" si="95"/>
        <v>5.1289999999999996</v>
      </c>
      <c r="K58" s="806">
        <f t="shared" si="594"/>
        <v>1913</v>
      </c>
      <c r="L58" s="309"/>
      <c r="M58" s="164">
        <f t="shared" si="311"/>
        <v>5.1289999999999996</v>
      </c>
      <c r="N58" s="575">
        <f t="shared" si="312"/>
        <v>-5.8566258341117168</v>
      </c>
      <c r="O58" s="572">
        <f t="shared" si="313"/>
        <v>2.963873802926889</v>
      </c>
      <c r="P58" s="576">
        <f t="shared" si="314"/>
        <v>-0.50036961604323149</v>
      </c>
      <c r="Q58" s="528">
        <f t="shared" si="135"/>
        <v>153.15730961724481</v>
      </c>
      <c r="R58" s="572">
        <f t="shared" si="533"/>
        <v>6.5638871166756863</v>
      </c>
      <c r="S58" s="577">
        <f t="shared" si="534"/>
        <v>-0.50036961604323149</v>
      </c>
      <c r="T58" s="578">
        <f t="shared" si="535"/>
        <v>2.9306081910904238</v>
      </c>
      <c r="U58" s="572">
        <f t="shared" si="536"/>
        <v>5.8733422947053553</v>
      </c>
      <c r="V58" s="579">
        <f t="shared" si="537"/>
        <v>-0.50036961604323149</v>
      </c>
      <c r="W58" s="528">
        <f t="shared" si="257"/>
        <v>63.482284763051993</v>
      </c>
      <c r="X58" s="572">
        <f t="shared" si="538"/>
        <v>6.5638871166756863</v>
      </c>
      <c r="Y58" s="573">
        <f t="shared" si="260"/>
        <v>-0.50036961604323149</v>
      </c>
      <c r="Z58" s="575">
        <f t="shared" si="315"/>
        <v>0.54303127888529024</v>
      </c>
      <c r="AA58" s="572">
        <f t="shared" si="316"/>
        <v>0.79566020737977539</v>
      </c>
      <c r="AB58" s="572">
        <f t="shared" si="317"/>
        <v>-0.26840615593644457</v>
      </c>
      <c r="AC58" s="579">
        <f t="shared" si="539"/>
        <v>1</v>
      </c>
      <c r="AD58" s="580">
        <f t="shared" si="540"/>
        <v>0.54303127888529024</v>
      </c>
      <c r="AE58" s="572">
        <f t="shared" si="541"/>
        <v>0.79566020737977539</v>
      </c>
      <c r="AF58" s="576">
        <f t="shared" si="542"/>
        <v>-0.26840615593644457</v>
      </c>
      <c r="AG58" s="545">
        <f t="shared" si="543"/>
        <v>71.358811686333524</v>
      </c>
      <c r="AH58" s="546">
        <f t="shared" si="544"/>
        <v>57.109769475180457</v>
      </c>
      <c r="AI58" s="528">
        <f t="shared" si="545"/>
        <v>-74.430554165775106</v>
      </c>
      <c r="AJ58" s="529">
        <f t="shared" si="546"/>
        <v>145.68679817684685</v>
      </c>
      <c r="AK58" s="578">
        <f t="shared" si="547"/>
        <v>0.95512920864309814</v>
      </c>
      <c r="AL58" s="572">
        <f t="shared" si="548"/>
        <v>-0.12524508075062346</v>
      </c>
      <c r="AM58" s="577">
        <f t="shared" si="549"/>
        <v>-0.26840615593644457</v>
      </c>
      <c r="AN58" s="524">
        <f t="shared" si="550"/>
        <v>-25.014943261649798</v>
      </c>
      <c r="AO58" s="525">
        <f t="shared" si="590"/>
        <v>17.22887616375851</v>
      </c>
      <c r="AP58" s="528">
        <f t="shared" si="551"/>
        <v>-7.4705114403979662</v>
      </c>
      <c r="AQ58" s="529">
        <f t="shared" si="318"/>
        <v>0.34730924971825688</v>
      </c>
      <c r="AS58" s="954">
        <f t="shared" si="510"/>
        <v>63.482284763051993</v>
      </c>
      <c r="AT58" s="950">
        <f t="shared" si="319"/>
        <v>-0.2960580023523175</v>
      </c>
      <c r="AU58" s="418"/>
      <c r="AV58" s="164" t="str">
        <f t="shared" si="320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9"/>
        <v/>
      </c>
      <c r="BA58" s="296" t="str">
        <f t="shared" si="322"/>
        <v/>
      </c>
      <c r="BB58" s="177" t="str">
        <f t="shared" si="140"/>
        <v/>
      </c>
      <c r="BC58" s="9"/>
      <c r="BD58" s="5" t="str">
        <f t="shared" si="141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2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3"/>
        <v/>
      </c>
      <c r="BP58" s="5" t="str">
        <f t="shared" si="144"/>
        <v/>
      </c>
      <c r="BQ58" s="5" t="str">
        <f t="shared" si="145"/>
        <v/>
      </c>
      <c r="BR58" s="6" t="str">
        <f t="shared" si="146"/>
        <v/>
      </c>
      <c r="BS58" s="4" t="str">
        <f t="shared" si="554"/>
        <v/>
      </c>
      <c r="BT58" s="5" t="str">
        <f t="shared" si="554"/>
        <v/>
      </c>
      <c r="BU58" s="10" t="str">
        <f t="shared" si="114"/>
        <v/>
      </c>
      <c r="BV58" s="9" t="str">
        <f t="shared" si="115"/>
        <v/>
      </c>
      <c r="BW58" s="5" t="str">
        <f t="shared" si="116"/>
        <v/>
      </c>
      <c r="BX58" s="8" t="str">
        <f t="shared" si="117"/>
        <v/>
      </c>
      <c r="BY58" s="173" t="str">
        <f t="shared" si="118"/>
        <v/>
      </c>
      <c r="BZ58" s="5" t="str">
        <f t="shared" si="119"/>
        <v/>
      </c>
      <c r="CA58" s="6" t="str">
        <f t="shared" si="120"/>
        <v/>
      </c>
      <c r="CB58" s="4" t="str">
        <f t="shared" si="147"/>
        <v/>
      </c>
      <c r="CC58" s="5" t="str">
        <f t="shared" si="148"/>
        <v/>
      </c>
      <c r="CD58" s="5" t="str">
        <f t="shared" si="149"/>
        <v/>
      </c>
      <c r="CE58" s="6" t="str">
        <f t="shared" si="150"/>
        <v/>
      </c>
      <c r="CF58" s="4" t="str">
        <f t="shared" si="151"/>
        <v/>
      </c>
      <c r="CG58" s="5" t="str">
        <f t="shared" si="152"/>
        <v/>
      </c>
      <c r="CH58" s="5" t="str">
        <f t="shared" si="153"/>
        <v/>
      </c>
      <c r="CI58" s="4" t="str">
        <f t="shared" si="121"/>
        <v/>
      </c>
      <c r="CJ58" s="5" t="str">
        <f t="shared" si="122"/>
        <v/>
      </c>
      <c r="CK58" s="8" t="str">
        <f t="shared" si="123"/>
        <v/>
      </c>
      <c r="CL58" s="173" t="str">
        <f t="shared" si="124"/>
        <v/>
      </c>
      <c r="CM58" s="5" t="str">
        <f t="shared" si="125"/>
        <v/>
      </c>
      <c r="CN58" s="6" t="str">
        <f t="shared" si="126"/>
        <v/>
      </c>
      <c r="CO58" s="167" t="str">
        <f t="shared" si="350"/>
        <v/>
      </c>
      <c r="CP58" s="4" t="str">
        <f t="shared" si="237"/>
        <v/>
      </c>
      <c r="CQ58" s="5" t="str">
        <f t="shared" si="238"/>
        <v/>
      </c>
      <c r="CR58" s="5" t="str">
        <f t="shared" si="154"/>
        <v/>
      </c>
      <c r="CS58" s="8" t="str">
        <f t="shared" si="155"/>
        <v/>
      </c>
      <c r="CT58" s="9" t="str">
        <f t="shared" si="156"/>
        <v/>
      </c>
      <c r="CU58" s="6" t="str">
        <f t="shared" si="157"/>
        <v/>
      </c>
      <c r="CV58" s="4" t="str">
        <f t="shared" si="239"/>
        <v/>
      </c>
      <c r="CW58" s="5" t="str">
        <f t="shared" si="158"/>
        <v/>
      </c>
      <c r="CX58" s="8" t="str">
        <f t="shared" si="159"/>
        <v/>
      </c>
      <c r="CY58" s="9" t="str">
        <f t="shared" si="160"/>
        <v/>
      </c>
      <c r="CZ58" s="5" t="str">
        <f t="shared" si="161"/>
        <v/>
      </c>
      <c r="DA58" s="6" t="str">
        <f t="shared" si="162"/>
        <v/>
      </c>
      <c r="DB58" s="4" t="str">
        <f t="shared" si="555"/>
        <v/>
      </c>
      <c r="DC58" s="5" t="str">
        <f t="shared" si="555"/>
        <v/>
      </c>
      <c r="DD58" s="10" t="str">
        <f t="shared" si="164"/>
        <v/>
      </c>
      <c r="DE58" s="9" t="str">
        <f t="shared" si="556"/>
        <v/>
      </c>
      <c r="DF58" s="5" t="str">
        <f t="shared" si="556"/>
        <v/>
      </c>
      <c r="DG58" s="10" t="str">
        <f t="shared" si="166"/>
        <v/>
      </c>
      <c r="DH58" s="70" t="str">
        <f t="shared" si="167"/>
        <v/>
      </c>
      <c r="DI58" s="4" t="str">
        <f t="shared" si="168"/>
        <v/>
      </c>
      <c r="DJ58" s="5" t="str">
        <f t="shared" si="169"/>
        <v/>
      </c>
      <c r="DK58" s="10" t="str">
        <f t="shared" si="170"/>
        <v/>
      </c>
      <c r="DL58" s="9" t="str">
        <f t="shared" si="171"/>
        <v/>
      </c>
      <c r="DM58" s="173" t="str">
        <f t="shared" si="172"/>
        <v/>
      </c>
      <c r="DN58" s="178" t="str">
        <f t="shared" si="173"/>
        <v/>
      </c>
      <c r="DO58" s="9" t="str">
        <f t="shared" si="174"/>
        <v/>
      </c>
      <c r="DP58" s="173" t="str">
        <f t="shared" si="175"/>
        <v/>
      </c>
      <c r="DQ58" s="11" t="str">
        <f t="shared" si="176"/>
        <v/>
      </c>
      <c r="DR58" s="173" t="str">
        <f t="shared" si="177"/>
        <v/>
      </c>
      <c r="DS58" s="5" t="str">
        <f t="shared" si="178"/>
        <v/>
      </c>
      <c r="DT58" s="5" t="str">
        <f t="shared" si="179"/>
        <v/>
      </c>
      <c r="DU58" s="5" t="str">
        <f t="shared" si="180"/>
        <v/>
      </c>
      <c r="DV58" s="5" t="str">
        <f t="shared" si="181"/>
        <v/>
      </c>
      <c r="DW58" s="5" t="str">
        <f t="shared" si="182"/>
        <v/>
      </c>
      <c r="DX58" s="167" t="str">
        <f t="shared" si="183"/>
        <v/>
      </c>
      <c r="DY58" s="9" t="str">
        <f t="shared" si="184"/>
        <v/>
      </c>
      <c r="DZ58" s="5" t="str">
        <f t="shared" si="185"/>
        <v/>
      </c>
      <c r="EA58" s="10" t="str">
        <f t="shared" si="186"/>
        <v/>
      </c>
      <c r="EB58" s="6" t="str">
        <f t="shared" si="187"/>
        <v/>
      </c>
      <c r="EC58" s="173" t="str">
        <f t="shared" si="188"/>
        <v/>
      </c>
      <c r="ED58" s="5" t="str">
        <f t="shared" si="189"/>
        <v/>
      </c>
      <c r="EE58" s="4" t="str">
        <f t="shared" si="190"/>
        <v/>
      </c>
      <c r="EF58" s="5" t="str">
        <f t="shared" si="191"/>
        <v/>
      </c>
      <c r="EG58" s="10" t="str">
        <f t="shared" si="192"/>
        <v/>
      </c>
      <c r="EH58" s="9" t="str">
        <f t="shared" si="193"/>
        <v/>
      </c>
      <c r="EI58" s="5" t="str">
        <f t="shared" si="194"/>
        <v/>
      </c>
      <c r="EJ58" s="6" t="str">
        <f t="shared" si="195"/>
        <v/>
      </c>
      <c r="EK58" s="236" t="str">
        <f t="shared" si="196"/>
        <v/>
      </c>
      <c r="EL58" s="238" t="str">
        <f t="shared" si="197"/>
        <v/>
      </c>
      <c r="EM58" s="4" t="str">
        <f t="shared" si="198"/>
        <v/>
      </c>
      <c r="EN58" s="5" t="str">
        <f t="shared" si="199"/>
        <v/>
      </c>
      <c r="EO58" s="10" t="str">
        <f t="shared" si="200"/>
        <v/>
      </c>
      <c r="EP58" s="9" t="str">
        <f t="shared" si="201"/>
        <v/>
      </c>
      <c r="EQ58" s="5" t="str">
        <f t="shared" si="202"/>
        <v/>
      </c>
      <c r="ER58" s="7" t="str">
        <f t="shared" si="203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4"/>
        <v/>
      </c>
      <c r="EZ58" s="51" t="str">
        <f t="shared" si="205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6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8"/>
        <v/>
      </c>
      <c r="FK58" s="4" t="str">
        <f t="shared" si="568"/>
        <v/>
      </c>
      <c r="FL58" s="5" t="str">
        <f t="shared" si="209"/>
        <v/>
      </c>
      <c r="FM58" s="8" t="str">
        <f t="shared" si="210"/>
        <v/>
      </c>
      <c r="FN58" s="9" t="str">
        <f t="shared" si="211"/>
        <v/>
      </c>
      <c r="FO58" s="10" t="str">
        <f t="shared" si="569"/>
        <v/>
      </c>
      <c r="FP58" s="277" t="str">
        <f t="shared" si="570"/>
        <v/>
      </c>
      <c r="FQ58" s="173" t="str">
        <f t="shared" si="240"/>
        <v/>
      </c>
      <c r="FR58" s="10" t="str">
        <f t="shared" si="212"/>
        <v/>
      </c>
      <c r="FS58" s="9" t="str">
        <f t="shared" si="213"/>
        <v/>
      </c>
      <c r="FT58" s="6" t="str">
        <f t="shared" si="214"/>
        <v/>
      </c>
      <c r="FU58" s="4" t="str">
        <f t="shared" si="215"/>
        <v/>
      </c>
      <c r="FV58" s="5" t="str">
        <f t="shared" si="216"/>
        <v/>
      </c>
      <c r="FW58" s="8" t="str">
        <f t="shared" si="241"/>
        <v/>
      </c>
      <c r="FX58" s="9" t="str">
        <f t="shared" si="242"/>
        <v/>
      </c>
      <c r="FY58" s="10" t="str">
        <f t="shared" si="571"/>
        <v/>
      </c>
      <c r="FZ58" s="277" t="str">
        <f t="shared" si="243"/>
        <v/>
      </c>
      <c r="GA58" s="177" t="str">
        <f t="shared" si="217"/>
        <v/>
      </c>
      <c r="GB58" s="4" t="str">
        <f t="shared" si="218"/>
        <v/>
      </c>
      <c r="GC58" s="5" t="str">
        <f t="shared" si="219"/>
        <v/>
      </c>
      <c r="GD58" s="10" t="str">
        <f t="shared" si="220"/>
        <v/>
      </c>
      <c r="GE58" s="311" t="str">
        <f t="shared" si="221"/>
        <v/>
      </c>
      <c r="GF58" s="341" t="str">
        <f t="shared" si="244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2"/>
        <v/>
      </c>
      <c r="GK58" s="174" t="str">
        <f t="shared" si="575"/>
        <v/>
      </c>
      <c r="GL58" s="174" t="str">
        <f t="shared" si="223"/>
        <v/>
      </c>
      <c r="GM58" s="177" t="str">
        <f t="shared" si="245"/>
        <v/>
      </c>
      <c r="GN58" s="280" t="str">
        <f t="shared" si="224"/>
        <v/>
      </c>
      <c r="GO58" s="4" t="str">
        <f t="shared" si="225"/>
        <v/>
      </c>
      <c r="GP58" s="8" t="str">
        <f t="shared" si="246"/>
        <v/>
      </c>
      <c r="GQ58" s="177" t="str">
        <f t="shared" si="226"/>
        <v/>
      </c>
      <c r="GR58" s="371" t="str">
        <f t="shared" si="247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4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7"/>
        <v/>
      </c>
      <c r="HC58" s="343" t="str">
        <f t="shared" si="228"/>
        <v/>
      </c>
      <c r="HD58" s="363" t="str">
        <f t="shared" si="229"/>
        <v/>
      </c>
      <c r="HE58" s="344" t="str">
        <f t="shared" si="584"/>
        <v/>
      </c>
      <c r="HF58" s="5" t="str">
        <f t="shared" si="585"/>
        <v/>
      </c>
      <c r="HG58" s="343" t="str">
        <f t="shared" si="230"/>
        <v/>
      </c>
      <c r="HH58" s="349" t="str">
        <f t="shared" si="231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23" t="str">
        <f t="shared" si="455"/>
        <v/>
      </c>
      <c r="HN58" s="924" t="str">
        <f t="shared" si="456"/>
        <v/>
      </c>
      <c r="HO58" s="925"/>
      <c r="HP58" s="926"/>
      <c r="HQ58" s="924" t="str">
        <f t="shared" si="457"/>
        <v/>
      </c>
      <c r="HR58" s="927" t="str">
        <f t="shared" si="458"/>
        <v/>
      </c>
      <c r="HS58" s="879" t="str">
        <f t="shared" si="507"/>
        <v/>
      </c>
      <c r="HT58" s="889" t="str">
        <f t="shared" si="459"/>
        <v/>
      </c>
      <c r="HU58" s="890" t="str">
        <f t="shared" si="460"/>
        <v/>
      </c>
      <c r="HV58" s="886" t="str">
        <f t="shared" si="461"/>
        <v/>
      </c>
      <c r="HW58" s="880" t="str">
        <f t="shared" si="462"/>
        <v/>
      </c>
      <c r="HX58" s="881" t="str">
        <f t="shared" si="463"/>
        <v/>
      </c>
      <c r="HY58" s="880" t="str">
        <f t="shared" si="464"/>
        <v/>
      </c>
      <c r="HZ58" s="882" t="str">
        <f t="shared" si="465"/>
        <v/>
      </c>
      <c r="IA58" s="883" t="str">
        <f t="shared" si="466"/>
        <v/>
      </c>
      <c r="IB58" s="884" t="str">
        <f t="shared" si="467"/>
        <v/>
      </c>
      <c r="IC58" s="855" t="str">
        <f t="shared" si="468"/>
        <v/>
      </c>
      <c r="ID58" s="351" t="str">
        <f t="shared" si="469"/>
        <v/>
      </c>
      <c r="IE58" s="857" t="str">
        <f t="shared" si="470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2"/>
        <v>5.1289999999999996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1913</v>
      </c>
      <c r="IM58" s="482" t="str">
        <f t="shared" si="233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92"/>
        <v>0.02</v>
      </c>
      <c r="B59" s="578">
        <f t="shared" ref="B59:D59" si="595">IFERROR(O214-($A59*E59),"")</f>
        <v>-6.4763619159396528</v>
      </c>
      <c r="C59" s="572">
        <f t="shared" si="595"/>
        <v>3.3762253573892123</v>
      </c>
      <c r="D59" s="576">
        <f t="shared" si="595"/>
        <v>-1.0168111946367187</v>
      </c>
      <c r="E59" s="580">
        <f t="shared" ref="E59:K59" si="596">R214</f>
        <v>-0.61685147518065375</v>
      </c>
      <c r="F59" s="572">
        <f t="shared" si="596"/>
        <v>-0.74784329558252582</v>
      </c>
      <c r="G59" s="579">
        <f t="shared" si="596"/>
        <v>0.24540713685571222</v>
      </c>
      <c r="H59" s="580">
        <f t="shared" si="596"/>
        <v>0.375</v>
      </c>
      <c r="I59" s="572">
        <f t="shared" si="596"/>
        <v>0.52</v>
      </c>
      <c r="J59" s="483">
        <f t="shared" si="95"/>
        <v>5.1340000000000003</v>
      </c>
      <c r="K59" s="806">
        <f t="shared" si="596"/>
        <v>1913</v>
      </c>
      <c r="L59" s="309"/>
      <c r="M59" s="164">
        <f t="shared" si="311"/>
        <v>5.1340000000000003</v>
      </c>
      <c r="N59" s="575">
        <f t="shared" si="312"/>
        <v>-6.4763619159396528</v>
      </c>
      <c r="O59" s="572">
        <f t="shared" si="313"/>
        <v>3.3762253573892123</v>
      </c>
      <c r="P59" s="576">
        <f t="shared" si="314"/>
        <v>-1.0168111946367187</v>
      </c>
      <c r="Q59" s="528">
        <f t="shared" si="135"/>
        <v>152.46628785093213</v>
      </c>
      <c r="R59" s="572">
        <f t="shared" si="96"/>
        <v>7.3035718200146054</v>
      </c>
      <c r="S59" s="577">
        <f t="shared" si="97"/>
        <v>-1.0168111946367187</v>
      </c>
      <c r="T59" s="578">
        <f t="shared" si="98"/>
        <v>3.3394380591012927</v>
      </c>
      <c r="U59" s="572">
        <f t="shared" si="99"/>
        <v>6.4954072065989248</v>
      </c>
      <c r="V59" s="579">
        <f t="shared" si="136"/>
        <v>-1.0168111946367187</v>
      </c>
      <c r="W59" s="528">
        <f t="shared" si="257"/>
        <v>62.79126299673932</v>
      </c>
      <c r="X59" s="572">
        <f t="shared" si="100"/>
        <v>7.3035718200146054</v>
      </c>
      <c r="Y59" s="573">
        <f t="shared" si="260"/>
        <v>-1.0168111946367187</v>
      </c>
      <c r="Z59" s="575">
        <f t="shared" si="315"/>
        <v>0.61685147518065375</v>
      </c>
      <c r="AA59" s="572">
        <f t="shared" si="316"/>
        <v>0.74784329558252582</v>
      </c>
      <c r="AB59" s="572">
        <f t="shared" si="317"/>
        <v>-0.24540713685571222</v>
      </c>
      <c r="AC59" s="579">
        <f t="shared" si="101"/>
        <v>1</v>
      </c>
      <c r="AD59" s="580">
        <f t="shared" si="137"/>
        <v>0.61685147518065375</v>
      </c>
      <c r="AE59" s="572">
        <f t="shared" si="102"/>
        <v>0.74784329558252582</v>
      </c>
      <c r="AF59" s="576">
        <f t="shared" si="103"/>
        <v>-0.24540713685571222</v>
      </c>
      <c r="AG59" s="545">
        <f t="shared" si="104"/>
        <v>71.832587123381813</v>
      </c>
      <c r="AH59" s="546">
        <f t="shared" si="105"/>
        <v>51.913424703210616</v>
      </c>
      <c r="AI59" s="528">
        <f t="shared" si="106"/>
        <v>-75.794104480056617</v>
      </c>
      <c r="AJ59" s="529">
        <f t="shared" si="107"/>
        <v>140.48280511818453</v>
      </c>
      <c r="AK59" s="578">
        <f t="shared" si="236"/>
        <v>0.94829401305668104</v>
      </c>
      <c r="AL59" s="572">
        <f t="shared" si="108"/>
        <v>-0.20128040635177852</v>
      </c>
      <c r="AM59" s="577">
        <f t="shared" si="109"/>
        <v>-0.24540713685571222</v>
      </c>
      <c r="AN59" s="524">
        <f t="shared" si="110"/>
        <v>-39.358251126001782</v>
      </c>
      <c r="AO59" s="525">
        <f t="shared" si="590"/>
        <v>18.505351743209889</v>
      </c>
      <c r="AP59" s="528">
        <f t="shared" si="112"/>
        <v>-11.983482732747582</v>
      </c>
      <c r="AQ59" s="529">
        <f t="shared" si="318"/>
        <v>0.31213550508946419</v>
      </c>
      <c r="AS59" s="954">
        <f t="shared" si="510"/>
        <v>62.79126299673932</v>
      </c>
      <c r="AT59" s="950">
        <f t="shared" si="319"/>
        <v>-0.8120197047191986</v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9"/>
        <v/>
      </c>
      <c r="BA59" s="296" t="str">
        <f t="shared" si="322"/>
        <v/>
      </c>
      <c r="BB59" s="177" t="str">
        <f t="shared" si="140"/>
        <v/>
      </c>
      <c r="BC59" s="9"/>
      <c r="BD59" s="5" t="str">
        <f t="shared" si="141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2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3"/>
        <v/>
      </c>
      <c r="BP59" s="5" t="str">
        <f t="shared" si="144"/>
        <v/>
      </c>
      <c r="BQ59" s="5" t="str">
        <f t="shared" si="145"/>
        <v/>
      </c>
      <c r="BR59" s="6" t="str">
        <f t="shared" si="146"/>
        <v/>
      </c>
      <c r="BS59" s="4" t="str">
        <f t="shared" si="554"/>
        <v/>
      </c>
      <c r="BT59" s="5" t="str">
        <f t="shared" si="554"/>
        <v/>
      </c>
      <c r="BU59" s="10" t="str">
        <f t="shared" si="114"/>
        <v/>
      </c>
      <c r="BV59" s="9" t="str">
        <f t="shared" si="115"/>
        <v/>
      </c>
      <c r="BW59" s="5" t="str">
        <f t="shared" si="116"/>
        <v/>
      </c>
      <c r="BX59" s="8" t="str">
        <f t="shared" si="117"/>
        <v/>
      </c>
      <c r="BY59" s="173" t="str">
        <f t="shared" si="118"/>
        <v/>
      </c>
      <c r="BZ59" s="5" t="str">
        <f t="shared" si="119"/>
        <v/>
      </c>
      <c r="CA59" s="6" t="str">
        <f t="shared" si="120"/>
        <v/>
      </c>
      <c r="CB59" s="4" t="str">
        <f t="shared" si="147"/>
        <v/>
      </c>
      <c r="CC59" s="5" t="str">
        <f t="shared" si="148"/>
        <v/>
      </c>
      <c r="CD59" s="5" t="str">
        <f t="shared" si="149"/>
        <v/>
      </c>
      <c r="CE59" s="6" t="str">
        <f t="shared" si="150"/>
        <v/>
      </c>
      <c r="CF59" s="4" t="str">
        <f t="shared" si="151"/>
        <v/>
      </c>
      <c r="CG59" s="5" t="str">
        <f t="shared" si="152"/>
        <v/>
      </c>
      <c r="CH59" s="5" t="str">
        <f t="shared" si="153"/>
        <v/>
      </c>
      <c r="CI59" s="4" t="str">
        <f t="shared" si="121"/>
        <v/>
      </c>
      <c r="CJ59" s="5" t="str">
        <f t="shared" si="122"/>
        <v/>
      </c>
      <c r="CK59" s="8" t="str">
        <f t="shared" si="123"/>
        <v/>
      </c>
      <c r="CL59" s="173" t="str">
        <f t="shared" si="124"/>
        <v/>
      </c>
      <c r="CM59" s="5" t="str">
        <f t="shared" si="125"/>
        <v/>
      </c>
      <c r="CN59" s="6" t="str">
        <f t="shared" si="126"/>
        <v/>
      </c>
      <c r="CO59" s="167" t="str">
        <f t="shared" si="350"/>
        <v/>
      </c>
      <c r="CP59" s="4" t="str">
        <f t="shared" si="237"/>
        <v/>
      </c>
      <c r="CQ59" s="5" t="str">
        <f t="shared" si="238"/>
        <v/>
      </c>
      <c r="CR59" s="5" t="str">
        <f t="shared" si="154"/>
        <v/>
      </c>
      <c r="CS59" s="8" t="str">
        <f t="shared" si="155"/>
        <v/>
      </c>
      <c r="CT59" s="9" t="str">
        <f t="shared" si="156"/>
        <v/>
      </c>
      <c r="CU59" s="6" t="str">
        <f t="shared" si="157"/>
        <v/>
      </c>
      <c r="CV59" s="4" t="str">
        <f t="shared" si="239"/>
        <v/>
      </c>
      <c r="CW59" s="5" t="str">
        <f t="shared" si="158"/>
        <v/>
      </c>
      <c r="CX59" s="8" t="str">
        <f t="shared" si="159"/>
        <v/>
      </c>
      <c r="CY59" s="9" t="str">
        <f t="shared" si="160"/>
        <v/>
      </c>
      <c r="CZ59" s="5" t="str">
        <f t="shared" si="161"/>
        <v/>
      </c>
      <c r="DA59" s="6" t="str">
        <f t="shared" si="162"/>
        <v/>
      </c>
      <c r="DB59" s="4" t="str">
        <f t="shared" si="555"/>
        <v/>
      </c>
      <c r="DC59" s="5" t="str">
        <f t="shared" si="555"/>
        <v/>
      </c>
      <c r="DD59" s="10" t="str">
        <f t="shared" si="164"/>
        <v/>
      </c>
      <c r="DE59" s="9" t="str">
        <f t="shared" si="556"/>
        <v/>
      </c>
      <c r="DF59" s="5" t="str">
        <f t="shared" si="556"/>
        <v/>
      </c>
      <c r="DG59" s="10" t="str">
        <f t="shared" si="166"/>
        <v/>
      </c>
      <c r="DH59" s="70" t="str">
        <f t="shared" si="167"/>
        <v/>
      </c>
      <c r="DI59" s="4" t="str">
        <f t="shared" si="168"/>
        <v/>
      </c>
      <c r="DJ59" s="5" t="str">
        <f t="shared" si="169"/>
        <v/>
      </c>
      <c r="DK59" s="10" t="str">
        <f t="shared" si="170"/>
        <v/>
      </c>
      <c r="DL59" s="9" t="str">
        <f t="shared" si="171"/>
        <v/>
      </c>
      <c r="DM59" s="173" t="str">
        <f t="shared" si="172"/>
        <v/>
      </c>
      <c r="DN59" s="178" t="str">
        <f t="shared" si="173"/>
        <v/>
      </c>
      <c r="DO59" s="9" t="str">
        <f t="shared" si="174"/>
        <v/>
      </c>
      <c r="DP59" s="173" t="str">
        <f t="shared" si="175"/>
        <v/>
      </c>
      <c r="DQ59" s="11" t="str">
        <f t="shared" si="176"/>
        <v/>
      </c>
      <c r="DR59" s="173" t="str">
        <f t="shared" si="177"/>
        <v/>
      </c>
      <c r="DS59" s="5" t="str">
        <f t="shared" si="178"/>
        <v/>
      </c>
      <c r="DT59" s="5" t="str">
        <f t="shared" si="179"/>
        <v/>
      </c>
      <c r="DU59" s="5" t="str">
        <f t="shared" si="180"/>
        <v/>
      </c>
      <c r="DV59" s="5" t="str">
        <f t="shared" si="181"/>
        <v/>
      </c>
      <c r="DW59" s="5" t="str">
        <f t="shared" si="182"/>
        <v/>
      </c>
      <c r="DX59" s="167" t="str">
        <f t="shared" si="183"/>
        <v/>
      </c>
      <c r="DY59" s="9" t="str">
        <f t="shared" si="184"/>
        <v/>
      </c>
      <c r="DZ59" s="5" t="str">
        <f t="shared" si="185"/>
        <v/>
      </c>
      <c r="EA59" s="10" t="str">
        <f t="shared" si="186"/>
        <v/>
      </c>
      <c r="EB59" s="6" t="str">
        <f t="shared" si="187"/>
        <v/>
      </c>
      <c r="EC59" s="173" t="str">
        <f t="shared" si="188"/>
        <v/>
      </c>
      <c r="ED59" s="5" t="str">
        <f t="shared" si="189"/>
        <v/>
      </c>
      <c r="EE59" s="4" t="str">
        <f t="shared" si="190"/>
        <v/>
      </c>
      <c r="EF59" s="5" t="str">
        <f t="shared" si="191"/>
        <v/>
      </c>
      <c r="EG59" s="10" t="str">
        <f t="shared" si="192"/>
        <v/>
      </c>
      <c r="EH59" s="9" t="str">
        <f t="shared" si="193"/>
        <v/>
      </c>
      <c r="EI59" s="5" t="str">
        <f t="shared" si="194"/>
        <v/>
      </c>
      <c r="EJ59" s="6" t="str">
        <f t="shared" si="195"/>
        <v/>
      </c>
      <c r="EK59" s="236" t="str">
        <f t="shared" si="196"/>
        <v/>
      </c>
      <c r="EL59" s="238" t="str">
        <f t="shared" si="197"/>
        <v/>
      </c>
      <c r="EM59" s="4" t="str">
        <f t="shared" si="198"/>
        <v/>
      </c>
      <c r="EN59" s="5" t="str">
        <f t="shared" si="199"/>
        <v/>
      </c>
      <c r="EO59" s="10" t="str">
        <f t="shared" si="200"/>
        <v/>
      </c>
      <c r="EP59" s="9" t="str">
        <f t="shared" si="201"/>
        <v/>
      </c>
      <c r="EQ59" s="5" t="str">
        <f t="shared" si="202"/>
        <v/>
      </c>
      <c r="ER59" s="7" t="str">
        <f t="shared" si="203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4"/>
        <v/>
      </c>
      <c r="EZ59" s="51" t="str">
        <f t="shared" si="205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6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8"/>
        <v/>
      </c>
      <c r="FK59" s="4" t="str">
        <f t="shared" si="568"/>
        <v/>
      </c>
      <c r="FL59" s="5" t="str">
        <f t="shared" si="209"/>
        <v/>
      </c>
      <c r="FM59" s="8" t="str">
        <f t="shared" si="210"/>
        <v/>
      </c>
      <c r="FN59" s="9" t="str">
        <f t="shared" si="211"/>
        <v/>
      </c>
      <c r="FO59" s="10" t="str">
        <f t="shared" si="569"/>
        <v/>
      </c>
      <c r="FP59" s="277" t="str">
        <f t="shared" si="570"/>
        <v/>
      </c>
      <c r="FQ59" s="173" t="str">
        <f t="shared" si="240"/>
        <v/>
      </c>
      <c r="FR59" s="10" t="str">
        <f t="shared" si="212"/>
        <v/>
      </c>
      <c r="FS59" s="9" t="str">
        <f t="shared" si="213"/>
        <v/>
      </c>
      <c r="FT59" s="6" t="str">
        <f t="shared" si="214"/>
        <v/>
      </c>
      <c r="FU59" s="4" t="str">
        <f t="shared" si="215"/>
        <v/>
      </c>
      <c r="FV59" s="5" t="str">
        <f t="shared" si="216"/>
        <v/>
      </c>
      <c r="FW59" s="8" t="str">
        <f t="shared" si="241"/>
        <v/>
      </c>
      <c r="FX59" s="9" t="str">
        <f t="shared" si="242"/>
        <v/>
      </c>
      <c r="FY59" s="10" t="str">
        <f t="shared" si="571"/>
        <v/>
      </c>
      <c r="FZ59" s="277" t="str">
        <f t="shared" si="243"/>
        <v/>
      </c>
      <c r="GA59" s="177" t="str">
        <f t="shared" si="217"/>
        <v/>
      </c>
      <c r="GB59" s="4" t="str">
        <f t="shared" si="218"/>
        <v/>
      </c>
      <c r="GC59" s="5" t="str">
        <f t="shared" si="219"/>
        <v/>
      </c>
      <c r="GD59" s="10" t="str">
        <f t="shared" si="220"/>
        <v/>
      </c>
      <c r="GE59" s="311" t="str">
        <f t="shared" si="221"/>
        <v/>
      </c>
      <c r="GF59" s="341" t="str">
        <f t="shared" si="244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2"/>
        <v/>
      </c>
      <c r="GK59" s="174" t="str">
        <f t="shared" si="575"/>
        <v/>
      </c>
      <c r="GL59" s="174" t="str">
        <f t="shared" si="223"/>
        <v/>
      </c>
      <c r="GM59" s="177" t="str">
        <f t="shared" si="245"/>
        <v/>
      </c>
      <c r="GN59" s="280" t="str">
        <f t="shared" si="224"/>
        <v/>
      </c>
      <c r="GO59" s="4" t="str">
        <f t="shared" si="225"/>
        <v/>
      </c>
      <c r="GP59" s="8" t="str">
        <f t="shared" si="246"/>
        <v/>
      </c>
      <c r="GQ59" s="177" t="str">
        <f t="shared" si="226"/>
        <v/>
      </c>
      <c r="GR59" s="371" t="str">
        <f t="shared" si="247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4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7"/>
        <v/>
      </c>
      <c r="HC59" s="343" t="str">
        <f t="shared" si="228"/>
        <v/>
      </c>
      <c r="HD59" s="363" t="str">
        <f t="shared" si="229"/>
        <v/>
      </c>
      <c r="HE59" s="344" t="str">
        <f t="shared" si="584"/>
        <v/>
      </c>
      <c r="HF59" s="5" t="str">
        <f t="shared" si="585"/>
        <v/>
      </c>
      <c r="HG59" s="343" t="str">
        <f t="shared" si="230"/>
        <v/>
      </c>
      <c r="HH59" s="349" t="str">
        <f t="shared" si="231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23" t="str">
        <f t="shared" si="455"/>
        <v/>
      </c>
      <c r="HN59" s="924" t="str">
        <f t="shared" si="456"/>
        <v/>
      </c>
      <c r="HO59" s="925"/>
      <c r="HP59" s="926"/>
      <c r="HQ59" s="924" t="str">
        <f t="shared" si="457"/>
        <v/>
      </c>
      <c r="HR59" s="927" t="str">
        <f t="shared" si="458"/>
        <v/>
      </c>
      <c r="HS59" s="879" t="str">
        <f t="shared" si="507"/>
        <v/>
      </c>
      <c r="HT59" s="889" t="str">
        <f t="shared" si="459"/>
        <v/>
      </c>
      <c r="HU59" s="890" t="str">
        <f t="shared" si="460"/>
        <v/>
      </c>
      <c r="HV59" s="886" t="str">
        <f t="shared" si="461"/>
        <v/>
      </c>
      <c r="HW59" s="880" t="str">
        <f t="shared" si="462"/>
        <v/>
      </c>
      <c r="HX59" s="881" t="str">
        <f t="shared" si="463"/>
        <v/>
      </c>
      <c r="HY59" s="880" t="str">
        <f t="shared" si="464"/>
        <v/>
      </c>
      <c r="HZ59" s="882" t="str">
        <f t="shared" si="465"/>
        <v/>
      </c>
      <c r="IA59" s="883" t="str">
        <f t="shared" si="466"/>
        <v/>
      </c>
      <c r="IB59" s="884" t="str">
        <f t="shared" si="467"/>
        <v/>
      </c>
      <c r="IC59" s="855" t="str">
        <f t="shared" si="468"/>
        <v/>
      </c>
      <c r="ID59" s="351" t="str">
        <f t="shared" si="469"/>
        <v/>
      </c>
      <c r="IE59" s="857" t="str">
        <f t="shared" si="470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2"/>
        <v>5.1340000000000003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1913</v>
      </c>
      <c r="IM59" s="482" t="str">
        <f t="shared" si="233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>
        <f t="shared" si="92"/>
        <v>0.02</v>
      </c>
      <c r="B60" s="578">
        <f t="shared" ref="B60:D60" si="597">IFERROR(O215-($A60*E60),"")</f>
        <v>-6.9524232543859021</v>
      </c>
      <c r="C60" s="572">
        <f t="shared" si="597"/>
        <v>3.7144455876107263</v>
      </c>
      <c r="D60" s="576">
        <f t="shared" si="597"/>
        <v>-1.7087611347180296</v>
      </c>
      <c r="E60" s="580">
        <f t="shared" ref="E60:K60" si="598">R215</f>
        <v>-0.6898756347551197</v>
      </c>
      <c r="F60" s="572">
        <f t="shared" si="598"/>
        <v>-0.69346297735500306</v>
      </c>
      <c r="G60" s="579">
        <f t="shared" si="598"/>
        <v>0.20779968144623112</v>
      </c>
      <c r="H60" s="580">
        <f t="shared" si="598"/>
        <v>0.375</v>
      </c>
      <c r="I60" s="572">
        <f t="shared" si="598"/>
        <v>0.52</v>
      </c>
      <c r="J60" s="483">
        <f t="shared" si="95"/>
        <v>5.1390000000000002</v>
      </c>
      <c r="K60" s="806">
        <f t="shared" si="598"/>
        <v>1913</v>
      </c>
      <c r="L60" s="309"/>
      <c r="M60" s="164">
        <f t="shared" si="311"/>
        <v>5.1390000000000002</v>
      </c>
      <c r="N60" s="575">
        <f t="shared" si="312"/>
        <v>-6.9524232543859021</v>
      </c>
      <c r="O60" s="572">
        <f t="shared" si="313"/>
        <v>3.7144455876107263</v>
      </c>
      <c r="P60" s="576">
        <f t="shared" si="314"/>
        <v>-1.7087611347180296</v>
      </c>
      <c r="Q60" s="528">
        <f t="shared" si="135"/>
        <v>151.88591103794511</v>
      </c>
      <c r="R60" s="572">
        <f t="shared" si="96"/>
        <v>7.8824675788389165</v>
      </c>
      <c r="S60" s="577">
        <f t="shared" si="97"/>
        <v>-1.7087611347180296</v>
      </c>
      <c r="T60" s="578">
        <f t="shared" si="98"/>
        <v>3.6749526977180889</v>
      </c>
      <c r="U60" s="572">
        <f t="shared" si="99"/>
        <v>6.9733792239473962</v>
      </c>
      <c r="V60" s="579">
        <f t="shared" si="136"/>
        <v>-1.7087611347180296</v>
      </c>
      <c r="W60" s="528">
        <f t="shared" si="257"/>
        <v>62.210886183752294</v>
      </c>
      <c r="X60" s="572">
        <f t="shared" si="100"/>
        <v>7.8824675788389165</v>
      </c>
      <c r="Y60" s="573">
        <f t="shared" si="260"/>
        <v>-1.7087611347180296</v>
      </c>
      <c r="Z60" s="575">
        <f t="shared" si="315"/>
        <v>0.6898756347551197</v>
      </c>
      <c r="AA60" s="572">
        <f t="shared" si="316"/>
        <v>0.69346297735500306</v>
      </c>
      <c r="AB60" s="572">
        <f t="shared" si="317"/>
        <v>-0.20779968144623112</v>
      </c>
      <c r="AC60" s="579">
        <f t="shared" si="101"/>
        <v>1</v>
      </c>
      <c r="AD60" s="580">
        <f t="shared" si="137"/>
        <v>0.6898756347551197</v>
      </c>
      <c r="AE60" s="572">
        <f t="shared" si="102"/>
        <v>0.69346297735500306</v>
      </c>
      <c r="AF60" s="576">
        <f t="shared" si="103"/>
        <v>-0.20779968144623112</v>
      </c>
      <c r="AG60" s="545">
        <f t="shared" si="104"/>
        <v>73.318889890850244</v>
      </c>
      <c r="AH60" s="546">
        <f t="shared" si="105"/>
        <v>46.379734912201144</v>
      </c>
      <c r="AI60" s="528">
        <f t="shared" si="106"/>
        <v>-78.006560958859296</v>
      </c>
      <c r="AJ60" s="529">
        <f t="shared" si="107"/>
        <v>135.14858193655252</v>
      </c>
      <c r="AK60" s="578">
        <f t="shared" si="236"/>
        <v>0.93673124100848315</v>
      </c>
      <c r="AL60" s="572">
        <f t="shared" si="108"/>
        <v>-0.28169819756177356</v>
      </c>
      <c r="AM60" s="577">
        <f t="shared" si="109"/>
        <v>-0.20779968144623112</v>
      </c>
      <c r="AN60" s="524">
        <f t="shared" si="110"/>
        <v>-53.584999801002716</v>
      </c>
      <c r="AO60" s="525">
        <f t="shared" si="590"/>
        <v>20.490336640185522</v>
      </c>
      <c r="AP60" s="528">
        <f t="shared" si="112"/>
        <v>-16.737329101392575</v>
      </c>
      <c r="AQ60" s="529">
        <f t="shared" si="318"/>
        <v>0.28921238776139163</v>
      </c>
      <c r="AS60" s="954">
        <f t="shared" si="510"/>
        <v>62.210886183752294</v>
      </c>
      <c r="AT60" s="950">
        <f t="shared" si="319"/>
        <v>-1.5035666053470462</v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9"/>
        <v/>
      </c>
      <c r="BA60" s="296" t="str">
        <f t="shared" si="322"/>
        <v/>
      </c>
      <c r="BB60" s="177" t="str">
        <f t="shared" si="140"/>
        <v/>
      </c>
      <c r="BC60" s="9"/>
      <c r="BD60" s="5" t="str">
        <f t="shared" si="141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2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3"/>
        <v/>
      </c>
      <c r="BP60" s="5" t="str">
        <f t="shared" si="144"/>
        <v/>
      </c>
      <c r="BQ60" s="5" t="str">
        <f t="shared" si="145"/>
        <v/>
      </c>
      <c r="BR60" s="6" t="str">
        <f t="shared" si="146"/>
        <v/>
      </c>
      <c r="BS60" s="4" t="str">
        <f t="shared" si="554"/>
        <v/>
      </c>
      <c r="BT60" s="5" t="str">
        <f t="shared" si="554"/>
        <v/>
      </c>
      <c r="BU60" s="10" t="str">
        <f t="shared" si="114"/>
        <v/>
      </c>
      <c r="BV60" s="9" t="str">
        <f t="shared" si="115"/>
        <v/>
      </c>
      <c r="BW60" s="5" t="str">
        <f t="shared" si="116"/>
        <v/>
      </c>
      <c r="BX60" s="8" t="str">
        <f t="shared" si="117"/>
        <v/>
      </c>
      <c r="BY60" s="173" t="str">
        <f t="shared" si="118"/>
        <v/>
      </c>
      <c r="BZ60" s="5" t="str">
        <f t="shared" si="119"/>
        <v/>
      </c>
      <c r="CA60" s="6" t="str">
        <f t="shared" si="120"/>
        <v/>
      </c>
      <c r="CB60" s="4" t="str">
        <f t="shared" si="147"/>
        <v/>
      </c>
      <c r="CC60" s="5" t="str">
        <f t="shared" si="148"/>
        <v/>
      </c>
      <c r="CD60" s="5" t="str">
        <f t="shared" si="149"/>
        <v/>
      </c>
      <c r="CE60" s="6" t="str">
        <f t="shared" si="150"/>
        <v/>
      </c>
      <c r="CF60" s="4" t="str">
        <f t="shared" si="151"/>
        <v/>
      </c>
      <c r="CG60" s="5" t="str">
        <f t="shared" si="152"/>
        <v/>
      </c>
      <c r="CH60" s="5" t="str">
        <f t="shared" si="153"/>
        <v/>
      </c>
      <c r="CI60" s="4" t="str">
        <f t="shared" si="121"/>
        <v/>
      </c>
      <c r="CJ60" s="5" t="str">
        <f t="shared" si="122"/>
        <v/>
      </c>
      <c r="CK60" s="8" t="str">
        <f t="shared" si="123"/>
        <v/>
      </c>
      <c r="CL60" s="173" t="str">
        <f t="shared" si="124"/>
        <v/>
      </c>
      <c r="CM60" s="5" t="str">
        <f t="shared" si="125"/>
        <v/>
      </c>
      <c r="CN60" s="6" t="str">
        <f t="shared" si="126"/>
        <v/>
      </c>
      <c r="CO60" s="167" t="str">
        <f t="shared" si="350"/>
        <v/>
      </c>
      <c r="CP60" s="4" t="str">
        <f t="shared" si="237"/>
        <v/>
      </c>
      <c r="CQ60" s="5" t="str">
        <f t="shared" si="238"/>
        <v/>
      </c>
      <c r="CR60" s="5" t="str">
        <f t="shared" si="154"/>
        <v/>
      </c>
      <c r="CS60" s="8" t="str">
        <f t="shared" si="155"/>
        <v/>
      </c>
      <c r="CT60" s="9" t="str">
        <f t="shared" si="156"/>
        <v/>
      </c>
      <c r="CU60" s="6" t="str">
        <f t="shared" si="157"/>
        <v/>
      </c>
      <c r="CV60" s="4" t="str">
        <f t="shared" si="239"/>
        <v/>
      </c>
      <c r="CW60" s="5" t="str">
        <f t="shared" si="158"/>
        <v/>
      </c>
      <c r="CX60" s="8" t="str">
        <f t="shared" si="159"/>
        <v/>
      </c>
      <c r="CY60" s="9" t="str">
        <f t="shared" si="160"/>
        <v/>
      </c>
      <c r="CZ60" s="5" t="str">
        <f t="shared" si="161"/>
        <v/>
      </c>
      <c r="DA60" s="6" t="str">
        <f t="shared" si="162"/>
        <v/>
      </c>
      <c r="DB60" s="4" t="str">
        <f t="shared" si="555"/>
        <v/>
      </c>
      <c r="DC60" s="5" t="str">
        <f t="shared" si="555"/>
        <v/>
      </c>
      <c r="DD60" s="10" t="str">
        <f t="shared" si="164"/>
        <v/>
      </c>
      <c r="DE60" s="9" t="str">
        <f t="shared" si="556"/>
        <v/>
      </c>
      <c r="DF60" s="5" t="str">
        <f t="shared" si="556"/>
        <v/>
      </c>
      <c r="DG60" s="10" t="str">
        <f t="shared" si="166"/>
        <v/>
      </c>
      <c r="DH60" s="70" t="str">
        <f t="shared" si="167"/>
        <v/>
      </c>
      <c r="DI60" s="4" t="str">
        <f t="shared" si="168"/>
        <v/>
      </c>
      <c r="DJ60" s="5" t="str">
        <f t="shared" si="169"/>
        <v/>
      </c>
      <c r="DK60" s="10" t="str">
        <f t="shared" si="170"/>
        <v/>
      </c>
      <c r="DL60" s="9" t="str">
        <f t="shared" si="171"/>
        <v/>
      </c>
      <c r="DM60" s="173" t="str">
        <f t="shared" si="172"/>
        <v/>
      </c>
      <c r="DN60" s="178" t="str">
        <f t="shared" si="173"/>
        <v/>
      </c>
      <c r="DO60" s="9" t="str">
        <f t="shared" si="174"/>
        <v/>
      </c>
      <c r="DP60" s="173" t="str">
        <f t="shared" si="175"/>
        <v/>
      </c>
      <c r="DQ60" s="11" t="str">
        <f t="shared" si="176"/>
        <v/>
      </c>
      <c r="DR60" s="173" t="str">
        <f t="shared" si="177"/>
        <v/>
      </c>
      <c r="DS60" s="5" t="str">
        <f t="shared" si="178"/>
        <v/>
      </c>
      <c r="DT60" s="5" t="str">
        <f t="shared" si="179"/>
        <v/>
      </c>
      <c r="DU60" s="5" t="str">
        <f t="shared" si="180"/>
        <v/>
      </c>
      <c r="DV60" s="5" t="str">
        <f t="shared" si="181"/>
        <v/>
      </c>
      <c r="DW60" s="5" t="str">
        <f t="shared" si="182"/>
        <v/>
      </c>
      <c r="DX60" s="167" t="str">
        <f t="shared" si="183"/>
        <v/>
      </c>
      <c r="DY60" s="9" t="str">
        <f t="shared" si="184"/>
        <v/>
      </c>
      <c r="DZ60" s="5" t="str">
        <f t="shared" si="185"/>
        <v/>
      </c>
      <c r="EA60" s="10" t="str">
        <f t="shared" si="186"/>
        <v/>
      </c>
      <c r="EB60" s="6" t="str">
        <f t="shared" si="187"/>
        <v/>
      </c>
      <c r="EC60" s="173" t="str">
        <f t="shared" si="188"/>
        <v/>
      </c>
      <c r="ED60" s="5" t="str">
        <f t="shared" si="189"/>
        <v/>
      </c>
      <c r="EE60" s="4" t="str">
        <f t="shared" si="190"/>
        <v/>
      </c>
      <c r="EF60" s="5" t="str">
        <f t="shared" si="191"/>
        <v/>
      </c>
      <c r="EG60" s="10" t="str">
        <f t="shared" si="192"/>
        <v/>
      </c>
      <c r="EH60" s="9" t="str">
        <f t="shared" si="193"/>
        <v/>
      </c>
      <c r="EI60" s="5" t="str">
        <f t="shared" si="194"/>
        <v/>
      </c>
      <c r="EJ60" s="6" t="str">
        <f t="shared" si="195"/>
        <v/>
      </c>
      <c r="EK60" s="236" t="str">
        <f t="shared" si="196"/>
        <v/>
      </c>
      <c r="EL60" s="238" t="str">
        <f t="shared" si="197"/>
        <v/>
      </c>
      <c r="EM60" s="4" t="str">
        <f t="shared" si="198"/>
        <v/>
      </c>
      <c r="EN60" s="5" t="str">
        <f t="shared" si="199"/>
        <v/>
      </c>
      <c r="EO60" s="10" t="str">
        <f t="shared" si="200"/>
        <v/>
      </c>
      <c r="EP60" s="9" t="str">
        <f t="shared" si="201"/>
        <v/>
      </c>
      <c r="EQ60" s="5" t="str">
        <f t="shared" si="202"/>
        <v/>
      </c>
      <c r="ER60" s="7" t="str">
        <f t="shared" si="203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4"/>
        <v/>
      </c>
      <c r="EZ60" s="51" t="str">
        <f t="shared" si="205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6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8"/>
        <v/>
      </c>
      <c r="FK60" s="4" t="str">
        <f t="shared" si="568"/>
        <v/>
      </c>
      <c r="FL60" s="5" t="str">
        <f t="shared" si="209"/>
        <v/>
      </c>
      <c r="FM60" s="8" t="str">
        <f t="shared" si="210"/>
        <v/>
      </c>
      <c r="FN60" s="9" t="str">
        <f t="shared" si="211"/>
        <v/>
      </c>
      <c r="FO60" s="10" t="str">
        <f t="shared" si="569"/>
        <v/>
      </c>
      <c r="FP60" s="277" t="str">
        <f t="shared" si="570"/>
        <v/>
      </c>
      <c r="FQ60" s="173" t="str">
        <f t="shared" si="240"/>
        <v/>
      </c>
      <c r="FR60" s="10" t="str">
        <f t="shared" si="212"/>
        <v/>
      </c>
      <c r="FS60" s="9" t="str">
        <f t="shared" si="213"/>
        <v/>
      </c>
      <c r="FT60" s="6" t="str">
        <f t="shared" si="214"/>
        <v/>
      </c>
      <c r="FU60" s="4" t="str">
        <f t="shared" si="215"/>
        <v/>
      </c>
      <c r="FV60" s="5" t="str">
        <f t="shared" si="216"/>
        <v/>
      </c>
      <c r="FW60" s="8" t="str">
        <f t="shared" si="241"/>
        <v/>
      </c>
      <c r="FX60" s="9" t="str">
        <f t="shared" si="242"/>
        <v/>
      </c>
      <c r="FY60" s="10" t="str">
        <f t="shared" si="571"/>
        <v/>
      </c>
      <c r="FZ60" s="277" t="str">
        <f t="shared" si="243"/>
        <v/>
      </c>
      <c r="GA60" s="177" t="str">
        <f t="shared" si="217"/>
        <v/>
      </c>
      <c r="GB60" s="4" t="str">
        <f t="shared" si="218"/>
        <v/>
      </c>
      <c r="GC60" s="5" t="str">
        <f t="shared" si="219"/>
        <v/>
      </c>
      <c r="GD60" s="10" t="str">
        <f t="shared" si="220"/>
        <v/>
      </c>
      <c r="GE60" s="311" t="str">
        <f t="shared" si="221"/>
        <v/>
      </c>
      <c r="GF60" s="341" t="str">
        <f t="shared" si="244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2"/>
        <v/>
      </c>
      <c r="GK60" s="174" t="str">
        <f t="shared" si="575"/>
        <v/>
      </c>
      <c r="GL60" s="174" t="str">
        <f t="shared" si="223"/>
        <v/>
      </c>
      <c r="GM60" s="177" t="str">
        <f t="shared" si="245"/>
        <v/>
      </c>
      <c r="GN60" s="280" t="str">
        <f t="shared" si="224"/>
        <v/>
      </c>
      <c r="GO60" s="4" t="str">
        <f t="shared" si="225"/>
        <v/>
      </c>
      <c r="GP60" s="8" t="str">
        <f t="shared" si="246"/>
        <v/>
      </c>
      <c r="GQ60" s="177" t="str">
        <f t="shared" si="226"/>
        <v/>
      </c>
      <c r="GR60" s="371" t="str">
        <f t="shared" si="247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4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7"/>
        <v/>
      </c>
      <c r="HC60" s="343" t="str">
        <f t="shared" si="228"/>
        <v/>
      </c>
      <c r="HD60" s="363" t="str">
        <f t="shared" si="229"/>
        <v/>
      </c>
      <c r="HE60" s="344" t="str">
        <f t="shared" si="584"/>
        <v/>
      </c>
      <c r="HF60" s="5" t="str">
        <f t="shared" si="585"/>
        <v/>
      </c>
      <c r="HG60" s="343" t="str">
        <f t="shared" si="230"/>
        <v/>
      </c>
      <c r="HH60" s="349" t="str">
        <f t="shared" si="231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23" t="str">
        <f t="shared" si="455"/>
        <v/>
      </c>
      <c r="HN60" s="924" t="str">
        <f t="shared" si="456"/>
        <v/>
      </c>
      <c r="HO60" s="925"/>
      <c r="HP60" s="926"/>
      <c r="HQ60" s="924" t="str">
        <f t="shared" si="457"/>
        <v/>
      </c>
      <c r="HR60" s="927" t="str">
        <f t="shared" si="458"/>
        <v/>
      </c>
      <c r="HS60" s="879" t="str">
        <f t="shared" si="507"/>
        <v/>
      </c>
      <c r="HT60" s="889" t="str">
        <f t="shared" si="459"/>
        <v/>
      </c>
      <c r="HU60" s="890" t="str">
        <f t="shared" si="460"/>
        <v/>
      </c>
      <c r="HV60" s="886" t="str">
        <f t="shared" si="461"/>
        <v/>
      </c>
      <c r="HW60" s="880" t="str">
        <f t="shared" si="462"/>
        <v/>
      </c>
      <c r="HX60" s="881" t="str">
        <f t="shared" si="463"/>
        <v/>
      </c>
      <c r="HY60" s="880" t="str">
        <f t="shared" si="464"/>
        <v/>
      </c>
      <c r="HZ60" s="882" t="str">
        <f t="shared" si="465"/>
        <v/>
      </c>
      <c r="IA60" s="883" t="str">
        <f t="shared" si="466"/>
        <v/>
      </c>
      <c r="IB60" s="884" t="str">
        <f t="shared" si="467"/>
        <v/>
      </c>
      <c r="IC60" s="855" t="str">
        <f t="shared" si="468"/>
        <v/>
      </c>
      <c r="ID60" s="351" t="str">
        <f t="shared" si="469"/>
        <v/>
      </c>
      <c r="IE60" s="857" t="str">
        <f t="shared" si="470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2"/>
        <v>5.1390000000000002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71"/>
        <v>1913</v>
      </c>
      <c r="IM60" s="482" t="str">
        <f t="shared" si="233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>
        <f t="shared" si="92"/>
        <v>0.02</v>
      </c>
      <c r="B61" s="578">
        <f t="shared" ref="B61:D61" si="599">IFERROR(O216-($A61*E61),"")</f>
        <v>-7.263219037274852</v>
      </c>
      <c r="C61" s="572">
        <f t="shared" si="599"/>
        <v>3.9456515992620016</v>
      </c>
      <c r="D61" s="576">
        <f t="shared" si="599"/>
        <v>-2.5253788055909672</v>
      </c>
      <c r="E61" s="580">
        <f t="shared" ref="E61:K61" si="600">R216</f>
        <v>-0.76800611496452365</v>
      </c>
      <c r="F61" s="572">
        <f t="shared" si="600"/>
        <v>-0.6217603716142891</v>
      </c>
      <c r="G61" s="579">
        <f t="shared" si="600"/>
        <v>0.15355991556119172</v>
      </c>
      <c r="H61" s="580">
        <f t="shared" si="600"/>
        <v>0.375</v>
      </c>
      <c r="I61" s="572">
        <f t="shared" si="600"/>
        <v>0.52</v>
      </c>
      <c r="J61" s="483">
        <f t="shared" si="95"/>
        <v>5.1440000000000001</v>
      </c>
      <c r="K61" s="806">
        <f t="shared" si="600"/>
        <v>1913</v>
      </c>
      <c r="L61" s="309"/>
      <c r="M61" s="164">
        <f t="shared" si="311"/>
        <v>5.1440000000000001</v>
      </c>
      <c r="N61" s="575">
        <f t="shared" si="312"/>
        <v>-7.263219037274852</v>
      </c>
      <c r="O61" s="572">
        <f t="shared" si="313"/>
        <v>3.9456515992620016</v>
      </c>
      <c r="P61" s="576">
        <f t="shared" si="314"/>
        <v>-2.5253788055909672</v>
      </c>
      <c r="Q61" s="528">
        <f t="shared" si="135"/>
        <v>151.48753986280352</v>
      </c>
      <c r="R61" s="572">
        <f t="shared" si="96"/>
        <v>8.2657436039469925</v>
      </c>
      <c r="S61" s="577">
        <f t="shared" si="97"/>
        <v>-2.5253788055909672</v>
      </c>
      <c r="T61" s="578">
        <f t="shared" si="98"/>
        <v>3.9043922015109502</v>
      </c>
      <c r="U61" s="572">
        <f t="shared" si="99"/>
        <v>7.2854813748283709</v>
      </c>
      <c r="V61" s="579">
        <f t="shared" si="136"/>
        <v>-2.5253788055909672</v>
      </c>
      <c r="W61" s="528">
        <f t="shared" si="257"/>
        <v>61.812515008610703</v>
      </c>
      <c r="X61" s="572">
        <f t="shared" si="100"/>
        <v>8.2657436039469925</v>
      </c>
      <c r="Y61" s="573">
        <f t="shared" si="260"/>
        <v>-2.5253788055909672</v>
      </c>
      <c r="Z61" s="575">
        <f t="shared" si="315"/>
        <v>0.76800611496452365</v>
      </c>
      <c r="AA61" s="572">
        <f t="shared" si="316"/>
        <v>0.6217603716142891</v>
      </c>
      <c r="AB61" s="572">
        <f t="shared" si="317"/>
        <v>-0.15355991556119172</v>
      </c>
      <c r="AC61" s="579">
        <f t="shared" si="101"/>
        <v>1</v>
      </c>
      <c r="AD61" s="580">
        <f t="shared" si="137"/>
        <v>0.76800611496452365</v>
      </c>
      <c r="AE61" s="572">
        <f t="shared" si="102"/>
        <v>0.6217603716142891</v>
      </c>
      <c r="AF61" s="576">
        <f t="shared" si="103"/>
        <v>-0.15355991556119172</v>
      </c>
      <c r="AG61" s="545">
        <f t="shared" si="104"/>
        <v>76.12694047205423</v>
      </c>
      <c r="AH61" s="546">
        <f t="shared" si="105"/>
        <v>39.824824202071298</v>
      </c>
      <c r="AI61" s="528">
        <f t="shared" si="106"/>
        <v>-81.166714373616387</v>
      </c>
      <c r="AJ61" s="529">
        <f t="shared" si="107"/>
        <v>128.99284792029343</v>
      </c>
      <c r="AK61" s="578">
        <f t="shared" si="236"/>
        <v>0.91295673868728866</v>
      </c>
      <c r="AL61" s="572">
        <f t="shared" si="108"/>
        <v>-0.3780599762184696</v>
      </c>
      <c r="AM61" s="577">
        <f t="shared" si="109"/>
        <v>-0.15355991556119172</v>
      </c>
      <c r="AN61" s="524">
        <f t="shared" si="110"/>
        <v>-67.89405745855521</v>
      </c>
      <c r="AO61" s="525">
        <f t="shared" si="590"/>
        <v>24.082796748238636</v>
      </c>
      <c r="AP61" s="528">
        <f t="shared" si="112"/>
        <v>-22.494691942510077</v>
      </c>
      <c r="AQ61" s="529">
        <f t="shared" si="318"/>
        <v>0.27580204916931184</v>
      </c>
      <c r="AS61" s="954">
        <f t="shared" si="510"/>
        <v>61.812515008610703</v>
      </c>
      <c r="AT61" s="950">
        <f t="shared" si="319"/>
        <v>-2.3199076295705798</v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9"/>
        <v/>
      </c>
      <c r="BA61" s="296" t="str">
        <f t="shared" si="322"/>
        <v/>
      </c>
      <c r="BB61" s="177" t="str">
        <f t="shared" si="140"/>
        <v/>
      </c>
      <c r="BC61" s="9"/>
      <c r="BD61" s="5" t="str">
        <f t="shared" si="141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2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3"/>
        <v/>
      </c>
      <c r="BP61" s="5" t="str">
        <f t="shared" si="144"/>
        <v/>
      </c>
      <c r="BQ61" s="5" t="str">
        <f t="shared" si="145"/>
        <v/>
      </c>
      <c r="BR61" s="6" t="str">
        <f t="shared" si="146"/>
        <v/>
      </c>
      <c r="BS61" s="4" t="str">
        <f t="shared" si="554"/>
        <v/>
      </c>
      <c r="BT61" s="5" t="str">
        <f t="shared" si="554"/>
        <v/>
      </c>
      <c r="BU61" s="10" t="str">
        <f t="shared" si="114"/>
        <v/>
      </c>
      <c r="BV61" s="9" t="str">
        <f t="shared" si="115"/>
        <v/>
      </c>
      <c r="BW61" s="5" t="str">
        <f t="shared" si="116"/>
        <v/>
      </c>
      <c r="BX61" s="8" t="str">
        <f t="shared" si="117"/>
        <v/>
      </c>
      <c r="BY61" s="173" t="str">
        <f t="shared" si="118"/>
        <v/>
      </c>
      <c r="BZ61" s="5" t="str">
        <f t="shared" si="119"/>
        <v/>
      </c>
      <c r="CA61" s="6" t="str">
        <f t="shared" si="120"/>
        <v/>
      </c>
      <c r="CB61" s="4" t="str">
        <f t="shared" si="147"/>
        <v/>
      </c>
      <c r="CC61" s="5" t="str">
        <f t="shared" si="148"/>
        <v/>
      </c>
      <c r="CD61" s="5" t="str">
        <f t="shared" si="149"/>
        <v/>
      </c>
      <c r="CE61" s="6" t="str">
        <f t="shared" si="150"/>
        <v/>
      </c>
      <c r="CF61" s="4" t="str">
        <f t="shared" si="151"/>
        <v/>
      </c>
      <c r="CG61" s="5" t="str">
        <f t="shared" si="152"/>
        <v/>
      </c>
      <c r="CH61" s="5" t="str">
        <f t="shared" si="153"/>
        <v/>
      </c>
      <c r="CI61" s="4" t="str">
        <f t="shared" si="121"/>
        <v/>
      </c>
      <c r="CJ61" s="5" t="str">
        <f t="shared" si="122"/>
        <v/>
      </c>
      <c r="CK61" s="8" t="str">
        <f t="shared" si="123"/>
        <v/>
      </c>
      <c r="CL61" s="173" t="str">
        <f t="shared" si="124"/>
        <v/>
      </c>
      <c r="CM61" s="5" t="str">
        <f t="shared" si="125"/>
        <v/>
      </c>
      <c r="CN61" s="6" t="str">
        <f t="shared" si="126"/>
        <v/>
      </c>
      <c r="CO61" s="167" t="str">
        <f t="shared" si="350"/>
        <v/>
      </c>
      <c r="CP61" s="4" t="str">
        <f t="shared" si="237"/>
        <v/>
      </c>
      <c r="CQ61" s="5" t="str">
        <f t="shared" si="238"/>
        <v/>
      </c>
      <c r="CR61" s="5" t="str">
        <f t="shared" si="154"/>
        <v/>
      </c>
      <c r="CS61" s="8" t="str">
        <f t="shared" si="155"/>
        <v/>
      </c>
      <c r="CT61" s="9" t="str">
        <f t="shared" si="156"/>
        <v/>
      </c>
      <c r="CU61" s="6" t="str">
        <f t="shared" si="157"/>
        <v/>
      </c>
      <c r="CV61" s="4" t="str">
        <f t="shared" si="239"/>
        <v/>
      </c>
      <c r="CW61" s="5" t="str">
        <f t="shared" si="158"/>
        <v/>
      </c>
      <c r="CX61" s="8" t="str">
        <f t="shared" si="159"/>
        <v/>
      </c>
      <c r="CY61" s="9" t="str">
        <f t="shared" si="160"/>
        <v/>
      </c>
      <c r="CZ61" s="5" t="str">
        <f t="shared" si="161"/>
        <v/>
      </c>
      <c r="DA61" s="6" t="str">
        <f t="shared" si="162"/>
        <v/>
      </c>
      <c r="DB61" s="4" t="str">
        <f t="shared" si="555"/>
        <v/>
      </c>
      <c r="DC61" s="5" t="str">
        <f t="shared" si="555"/>
        <v/>
      </c>
      <c r="DD61" s="10" t="str">
        <f t="shared" si="164"/>
        <v/>
      </c>
      <c r="DE61" s="9" t="str">
        <f t="shared" si="556"/>
        <v/>
      </c>
      <c r="DF61" s="5" t="str">
        <f t="shared" si="556"/>
        <v/>
      </c>
      <c r="DG61" s="10" t="str">
        <f t="shared" si="166"/>
        <v/>
      </c>
      <c r="DH61" s="70" t="str">
        <f t="shared" si="167"/>
        <v/>
      </c>
      <c r="DI61" s="4" t="str">
        <f t="shared" si="168"/>
        <v/>
      </c>
      <c r="DJ61" s="5" t="str">
        <f t="shared" si="169"/>
        <v/>
      </c>
      <c r="DK61" s="10" t="str">
        <f t="shared" si="170"/>
        <v/>
      </c>
      <c r="DL61" s="9" t="str">
        <f t="shared" si="171"/>
        <v/>
      </c>
      <c r="DM61" s="173" t="str">
        <f t="shared" si="172"/>
        <v/>
      </c>
      <c r="DN61" s="178" t="str">
        <f t="shared" si="173"/>
        <v/>
      </c>
      <c r="DO61" s="9" t="str">
        <f t="shared" si="174"/>
        <v/>
      </c>
      <c r="DP61" s="173" t="str">
        <f t="shared" si="175"/>
        <v/>
      </c>
      <c r="DQ61" s="11" t="str">
        <f t="shared" si="176"/>
        <v/>
      </c>
      <c r="DR61" s="173" t="str">
        <f t="shared" si="177"/>
        <v/>
      </c>
      <c r="DS61" s="5" t="str">
        <f t="shared" si="178"/>
        <v/>
      </c>
      <c r="DT61" s="5" t="str">
        <f t="shared" si="179"/>
        <v/>
      </c>
      <c r="DU61" s="5" t="str">
        <f t="shared" si="180"/>
        <v/>
      </c>
      <c r="DV61" s="5" t="str">
        <f t="shared" si="181"/>
        <v/>
      </c>
      <c r="DW61" s="5" t="str">
        <f t="shared" si="182"/>
        <v/>
      </c>
      <c r="DX61" s="167" t="str">
        <f t="shared" si="183"/>
        <v/>
      </c>
      <c r="DY61" s="9" t="str">
        <f t="shared" si="184"/>
        <v/>
      </c>
      <c r="DZ61" s="5" t="str">
        <f t="shared" si="185"/>
        <v/>
      </c>
      <c r="EA61" s="10" t="str">
        <f t="shared" si="186"/>
        <v/>
      </c>
      <c r="EB61" s="6" t="str">
        <f t="shared" si="187"/>
        <v/>
      </c>
      <c r="EC61" s="173" t="str">
        <f t="shared" si="188"/>
        <v/>
      </c>
      <c r="ED61" s="5" t="str">
        <f t="shared" si="189"/>
        <v/>
      </c>
      <c r="EE61" s="4" t="str">
        <f t="shared" si="190"/>
        <v/>
      </c>
      <c r="EF61" s="5" t="str">
        <f t="shared" si="191"/>
        <v/>
      </c>
      <c r="EG61" s="10" t="str">
        <f t="shared" si="192"/>
        <v/>
      </c>
      <c r="EH61" s="9" t="str">
        <f t="shared" si="193"/>
        <v/>
      </c>
      <c r="EI61" s="5" t="str">
        <f t="shared" si="194"/>
        <v/>
      </c>
      <c r="EJ61" s="6" t="str">
        <f t="shared" si="195"/>
        <v/>
      </c>
      <c r="EK61" s="236" t="str">
        <f t="shared" si="196"/>
        <v/>
      </c>
      <c r="EL61" s="238" t="str">
        <f t="shared" si="197"/>
        <v/>
      </c>
      <c r="EM61" s="4" t="str">
        <f t="shared" si="198"/>
        <v/>
      </c>
      <c r="EN61" s="5" t="str">
        <f t="shared" si="199"/>
        <v/>
      </c>
      <c r="EO61" s="10" t="str">
        <f t="shared" si="200"/>
        <v/>
      </c>
      <c r="EP61" s="9" t="str">
        <f t="shared" si="201"/>
        <v/>
      </c>
      <c r="EQ61" s="5" t="str">
        <f t="shared" si="202"/>
        <v/>
      </c>
      <c r="ER61" s="7" t="str">
        <f t="shared" si="203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4"/>
        <v/>
      </c>
      <c r="EZ61" s="51" t="str">
        <f t="shared" si="205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6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8"/>
        <v/>
      </c>
      <c r="FK61" s="4" t="str">
        <f t="shared" si="568"/>
        <v/>
      </c>
      <c r="FL61" s="5" t="str">
        <f t="shared" si="209"/>
        <v/>
      </c>
      <c r="FM61" s="8" t="str">
        <f t="shared" si="210"/>
        <v/>
      </c>
      <c r="FN61" s="9" t="str">
        <f t="shared" si="211"/>
        <v/>
      </c>
      <c r="FO61" s="10" t="str">
        <f t="shared" si="569"/>
        <v/>
      </c>
      <c r="FP61" s="277" t="str">
        <f t="shared" si="570"/>
        <v/>
      </c>
      <c r="FQ61" s="173" t="str">
        <f t="shared" si="240"/>
        <v/>
      </c>
      <c r="FR61" s="10" t="str">
        <f t="shared" si="212"/>
        <v/>
      </c>
      <c r="FS61" s="9" t="str">
        <f t="shared" si="213"/>
        <v/>
      </c>
      <c r="FT61" s="6" t="str">
        <f t="shared" si="214"/>
        <v/>
      </c>
      <c r="FU61" s="4" t="str">
        <f t="shared" si="215"/>
        <v/>
      </c>
      <c r="FV61" s="5" t="str">
        <f t="shared" si="216"/>
        <v/>
      </c>
      <c r="FW61" s="8" t="str">
        <f t="shared" si="241"/>
        <v/>
      </c>
      <c r="FX61" s="9" t="str">
        <f t="shared" si="242"/>
        <v/>
      </c>
      <c r="FY61" s="10" t="str">
        <f t="shared" si="571"/>
        <v/>
      </c>
      <c r="FZ61" s="277" t="str">
        <f t="shared" si="243"/>
        <v/>
      </c>
      <c r="GA61" s="177" t="str">
        <f t="shared" si="217"/>
        <v/>
      </c>
      <c r="GB61" s="4" t="str">
        <f t="shared" si="218"/>
        <v/>
      </c>
      <c r="GC61" s="5" t="str">
        <f t="shared" si="219"/>
        <v/>
      </c>
      <c r="GD61" s="10" t="str">
        <f t="shared" si="220"/>
        <v/>
      </c>
      <c r="GE61" s="311" t="str">
        <f t="shared" si="221"/>
        <v/>
      </c>
      <c r="GF61" s="341" t="str">
        <f t="shared" si="244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2"/>
        <v/>
      </c>
      <c r="GK61" s="174" t="str">
        <f t="shared" si="575"/>
        <v/>
      </c>
      <c r="GL61" s="174" t="str">
        <f t="shared" si="223"/>
        <v/>
      </c>
      <c r="GM61" s="177" t="str">
        <f t="shared" si="245"/>
        <v/>
      </c>
      <c r="GN61" s="280" t="str">
        <f t="shared" si="224"/>
        <v/>
      </c>
      <c r="GO61" s="4" t="str">
        <f t="shared" si="225"/>
        <v/>
      </c>
      <c r="GP61" s="8" t="str">
        <f t="shared" si="246"/>
        <v/>
      </c>
      <c r="GQ61" s="177" t="str">
        <f t="shared" si="226"/>
        <v/>
      </c>
      <c r="GR61" s="371" t="str">
        <f t="shared" si="247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4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7"/>
        <v/>
      </c>
      <c r="HC61" s="343" t="str">
        <f t="shared" si="228"/>
        <v/>
      </c>
      <c r="HD61" s="363" t="str">
        <f t="shared" si="229"/>
        <v/>
      </c>
      <c r="HE61" s="344" t="str">
        <f t="shared" si="584"/>
        <v/>
      </c>
      <c r="HF61" s="5" t="str">
        <f t="shared" si="585"/>
        <v/>
      </c>
      <c r="HG61" s="343" t="str">
        <f t="shared" si="230"/>
        <v/>
      </c>
      <c r="HH61" s="349" t="str">
        <f t="shared" si="231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23" t="str">
        <f t="shared" si="455"/>
        <v/>
      </c>
      <c r="HN61" s="924" t="str">
        <f t="shared" si="456"/>
        <v/>
      </c>
      <c r="HO61" s="925"/>
      <c r="HP61" s="926"/>
      <c r="HQ61" s="924" t="str">
        <f t="shared" si="457"/>
        <v/>
      </c>
      <c r="HR61" s="927" t="str">
        <f t="shared" si="458"/>
        <v/>
      </c>
      <c r="HS61" s="879" t="str">
        <f t="shared" si="507"/>
        <v/>
      </c>
      <c r="HT61" s="889" t="str">
        <f t="shared" si="459"/>
        <v/>
      </c>
      <c r="HU61" s="890" t="str">
        <f t="shared" si="460"/>
        <v/>
      </c>
      <c r="HV61" s="886" t="str">
        <f t="shared" si="461"/>
        <v/>
      </c>
      <c r="HW61" s="880" t="str">
        <f t="shared" si="462"/>
        <v/>
      </c>
      <c r="HX61" s="881" t="str">
        <f t="shared" si="463"/>
        <v/>
      </c>
      <c r="HY61" s="880" t="str">
        <f t="shared" si="464"/>
        <v/>
      </c>
      <c r="HZ61" s="882" t="str">
        <f t="shared" si="465"/>
        <v/>
      </c>
      <c r="IA61" s="883" t="str">
        <f t="shared" si="466"/>
        <v/>
      </c>
      <c r="IB61" s="884" t="str">
        <f t="shared" si="467"/>
        <v/>
      </c>
      <c r="IC61" s="855" t="str">
        <f t="shared" si="468"/>
        <v/>
      </c>
      <c r="ID61" s="351" t="str">
        <f t="shared" si="469"/>
        <v/>
      </c>
      <c r="IE61" s="857" t="str">
        <f t="shared" si="470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2"/>
        <v>5.1440000000000001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71"/>
        <v>1913</v>
      </c>
      <c r="IM61" s="482" t="str">
        <f t="shared" si="233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>
        <f t="shared" si="92"/>
        <v>0.02</v>
      </c>
      <c r="B62" s="578">
        <f t="shared" ref="B62:D62" si="601">IFERROR(O217-($A62*E62),"")</f>
        <v>-7.3979337383663264</v>
      </c>
      <c r="C62" s="572">
        <f t="shared" si="601"/>
        <v>4.0481931356390577</v>
      </c>
      <c r="D62" s="576">
        <f t="shared" si="601"/>
        <v>-3.4145303617554594</v>
      </c>
      <c r="E62" s="580">
        <f t="shared" ref="E62:K62" si="602">R217</f>
        <v>-0.84102084636040308</v>
      </c>
      <c r="F62" s="572">
        <f t="shared" si="602"/>
        <v>-0.53696134906401738</v>
      </c>
      <c r="G62" s="579">
        <f t="shared" si="602"/>
        <v>6.6003375660505764E-2</v>
      </c>
      <c r="H62" s="580">
        <f t="shared" si="602"/>
        <v>0.375</v>
      </c>
      <c r="I62" s="572">
        <f t="shared" si="602"/>
        <v>0.52</v>
      </c>
      <c r="J62" s="483">
        <f t="shared" si="95"/>
        <v>5.149</v>
      </c>
      <c r="K62" s="806">
        <f t="shared" si="602"/>
        <v>1913</v>
      </c>
      <c r="L62" s="309"/>
      <c r="M62" s="164">
        <f t="shared" si="311"/>
        <v>5.149</v>
      </c>
      <c r="N62" s="575">
        <f t="shared" si="312"/>
        <v>-7.3979337383663264</v>
      </c>
      <c r="O62" s="572">
        <f t="shared" si="313"/>
        <v>4.0481931356390577</v>
      </c>
      <c r="P62" s="576">
        <f t="shared" si="314"/>
        <v>-3.4145303617554594</v>
      </c>
      <c r="Q62" s="528">
        <f t="shared" si="135"/>
        <v>151.31226027750688</v>
      </c>
      <c r="R62" s="572">
        <f t="shared" si="96"/>
        <v>8.4331068569474414</v>
      </c>
      <c r="S62" s="577">
        <f t="shared" si="97"/>
        <v>-3.4145303617554594</v>
      </c>
      <c r="T62" s="578">
        <f t="shared" si="98"/>
        <v>4.0061680061285152</v>
      </c>
      <c r="U62" s="572">
        <f t="shared" si="99"/>
        <v>7.4207755098349555</v>
      </c>
      <c r="V62" s="579">
        <f t="shared" si="136"/>
        <v>-3.4145303617554594</v>
      </c>
      <c r="W62" s="528">
        <f t="shared" si="257"/>
        <v>61.637235423314067</v>
      </c>
      <c r="X62" s="572">
        <f t="shared" si="100"/>
        <v>8.4331068569474414</v>
      </c>
      <c r="Y62" s="573">
        <f t="shared" si="260"/>
        <v>-3.4145303617554594</v>
      </c>
      <c r="Z62" s="575">
        <f t="shared" si="315"/>
        <v>0.84102084636040308</v>
      </c>
      <c r="AA62" s="572">
        <f t="shared" si="316"/>
        <v>0.53696134906401738</v>
      </c>
      <c r="AB62" s="572">
        <f t="shared" si="317"/>
        <v>-6.6003375660505764E-2</v>
      </c>
      <c r="AC62" s="579">
        <f t="shared" si="101"/>
        <v>1</v>
      </c>
      <c r="AD62" s="580">
        <f t="shared" si="137"/>
        <v>0.84102084636040308</v>
      </c>
      <c r="AE62" s="572">
        <f t="shared" si="102"/>
        <v>0.53696134906401738</v>
      </c>
      <c r="AF62" s="576">
        <f t="shared" si="103"/>
        <v>-6.6003375660505764E-2</v>
      </c>
      <c r="AG62" s="545">
        <f t="shared" si="104"/>
        <v>82.992346184011367</v>
      </c>
      <c r="AH62" s="546">
        <f t="shared" si="105"/>
        <v>32.751924014205024</v>
      </c>
      <c r="AI62" s="528">
        <f t="shared" si="106"/>
        <v>-86.215533938315261</v>
      </c>
      <c r="AJ62" s="529">
        <f t="shared" si="107"/>
        <v>122.5567570519641</v>
      </c>
      <c r="AK62" s="578">
        <f t="shared" si="236"/>
        <v>0.87476886309433188</v>
      </c>
      <c r="AL62" s="572">
        <f t="shared" si="108"/>
        <v>-0.48002394790475633</v>
      </c>
      <c r="AM62" s="577">
        <f t="shared" si="109"/>
        <v>-6.6003375660505764E-2</v>
      </c>
      <c r="AN62" s="524">
        <f t="shared" si="110"/>
        <v>-82.170913787530807</v>
      </c>
      <c r="AO62" s="525">
        <f t="shared" si="590"/>
        <v>28.982367553256964</v>
      </c>
      <c r="AP62" s="528">
        <f t="shared" si="112"/>
        <v>-28.7555032255428</v>
      </c>
      <c r="AQ62" s="529">
        <f t="shared" si="318"/>
        <v>0.27032856982633696</v>
      </c>
      <c r="AS62" s="954">
        <f t="shared" si="510"/>
        <v>61.637235423314067</v>
      </c>
      <c r="AT62" s="950">
        <f t="shared" si="319"/>
        <v>-3.2089374638008383</v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9"/>
        <v/>
      </c>
      <c r="BA62" s="296" t="str">
        <f t="shared" si="322"/>
        <v/>
      </c>
      <c r="BB62" s="177" t="str">
        <f t="shared" si="140"/>
        <v/>
      </c>
      <c r="BC62" s="9"/>
      <c r="BD62" s="5" t="str">
        <f t="shared" si="141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2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3"/>
        <v/>
      </c>
      <c r="BP62" s="5" t="str">
        <f t="shared" si="144"/>
        <v/>
      </c>
      <c r="BQ62" s="5" t="str">
        <f t="shared" si="145"/>
        <v/>
      </c>
      <c r="BR62" s="6" t="str">
        <f t="shared" si="146"/>
        <v/>
      </c>
      <c r="BS62" s="4" t="str">
        <f t="shared" si="554"/>
        <v/>
      </c>
      <c r="BT62" s="5" t="str">
        <f t="shared" si="554"/>
        <v/>
      </c>
      <c r="BU62" s="10" t="str">
        <f t="shared" si="114"/>
        <v/>
      </c>
      <c r="BV62" s="9" t="str">
        <f t="shared" si="115"/>
        <v/>
      </c>
      <c r="BW62" s="5" t="str">
        <f t="shared" si="116"/>
        <v/>
      </c>
      <c r="BX62" s="8" t="str">
        <f t="shared" si="117"/>
        <v/>
      </c>
      <c r="BY62" s="173" t="str">
        <f t="shared" si="118"/>
        <v/>
      </c>
      <c r="BZ62" s="5" t="str">
        <f t="shared" si="119"/>
        <v/>
      </c>
      <c r="CA62" s="6" t="str">
        <f t="shared" si="120"/>
        <v/>
      </c>
      <c r="CB62" s="4" t="str">
        <f t="shared" si="147"/>
        <v/>
      </c>
      <c r="CC62" s="5" t="str">
        <f t="shared" si="148"/>
        <v/>
      </c>
      <c r="CD62" s="5" t="str">
        <f t="shared" si="149"/>
        <v/>
      </c>
      <c r="CE62" s="6" t="str">
        <f t="shared" si="150"/>
        <v/>
      </c>
      <c r="CF62" s="4" t="str">
        <f t="shared" si="151"/>
        <v/>
      </c>
      <c r="CG62" s="5" t="str">
        <f t="shared" si="152"/>
        <v/>
      </c>
      <c r="CH62" s="5" t="str">
        <f t="shared" si="153"/>
        <v/>
      </c>
      <c r="CI62" s="4" t="str">
        <f t="shared" si="121"/>
        <v/>
      </c>
      <c r="CJ62" s="5" t="str">
        <f t="shared" si="122"/>
        <v/>
      </c>
      <c r="CK62" s="8" t="str">
        <f t="shared" si="123"/>
        <v/>
      </c>
      <c r="CL62" s="173" t="str">
        <f t="shared" si="124"/>
        <v/>
      </c>
      <c r="CM62" s="5" t="str">
        <f t="shared" si="125"/>
        <v/>
      </c>
      <c r="CN62" s="6" t="str">
        <f t="shared" si="126"/>
        <v/>
      </c>
      <c r="CO62" s="167" t="str">
        <f t="shared" si="350"/>
        <v/>
      </c>
      <c r="CP62" s="4" t="str">
        <f t="shared" si="237"/>
        <v/>
      </c>
      <c r="CQ62" s="5" t="str">
        <f t="shared" si="238"/>
        <v/>
      </c>
      <c r="CR62" s="5" t="str">
        <f t="shared" si="154"/>
        <v/>
      </c>
      <c r="CS62" s="8" t="str">
        <f t="shared" si="155"/>
        <v/>
      </c>
      <c r="CT62" s="9" t="str">
        <f t="shared" si="156"/>
        <v/>
      </c>
      <c r="CU62" s="6" t="str">
        <f t="shared" si="157"/>
        <v/>
      </c>
      <c r="CV62" s="4" t="str">
        <f t="shared" si="239"/>
        <v/>
      </c>
      <c r="CW62" s="5" t="str">
        <f t="shared" si="158"/>
        <v/>
      </c>
      <c r="CX62" s="8" t="str">
        <f t="shared" si="159"/>
        <v/>
      </c>
      <c r="CY62" s="9" t="str">
        <f t="shared" si="160"/>
        <v/>
      </c>
      <c r="CZ62" s="5" t="str">
        <f t="shared" si="161"/>
        <v/>
      </c>
      <c r="DA62" s="6" t="str">
        <f t="shared" si="162"/>
        <v/>
      </c>
      <c r="DB62" s="4" t="str">
        <f t="shared" si="555"/>
        <v/>
      </c>
      <c r="DC62" s="5" t="str">
        <f t="shared" si="555"/>
        <v/>
      </c>
      <c r="DD62" s="10" t="str">
        <f t="shared" si="164"/>
        <v/>
      </c>
      <c r="DE62" s="9" t="str">
        <f t="shared" si="556"/>
        <v/>
      </c>
      <c r="DF62" s="5" t="str">
        <f t="shared" si="556"/>
        <v/>
      </c>
      <c r="DG62" s="10" t="str">
        <f t="shared" si="166"/>
        <v/>
      </c>
      <c r="DH62" s="70" t="str">
        <f t="shared" si="167"/>
        <v/>
      </c>
      <c r="DI62" s="4" t="str">
        <f t="shared" si="168"/>
        <v/>
      </c>
      <c r="DJ62" s="5" t="str">
        <f t="shared" si="169"/>
        <v/>
      </c>
      <c r="DK62" s="10" t="str">
        <f t="shared" si="170"/>
        <v/>
      </c>
      <c r="DL62" s="9" t="str">
        <f t="shared" si="171"/>
        <v/>
      </c>
      <c r="DM62" s="173" t="str">
        <f t="shared" si="172"/>
        <v/>
      </c>
      <c r="DN62" s="178" t="str">
        <f t="shared" si="173"/>
        <v/>
      </c>
      <c r="DO62" s="9" t="str">
        <f t="shared" si="174"/>
        <v/>
      </c>
      <c r="DP62" s="173" t="str">
        <f t="shared" si="175"/>
        <v/>
      </c>
      <c r="DQ62" s="11" t="str">
        <f t="shared" si="176"/>
        <v/>
      </c>
      <c r="DR62" s="173" t="str">
        <f t="shared" si="177"/>
        <v/>
      </c>
      <c r="DS62" s="5" t="str">
        <f t="shared" si="178"/>
        <v/>
      </c>
      <c r="DT62" s="5" t="str">
        <f t="shared" si="179"/>
        <v/>
      </c>
      <c r="DU62" s="5" t="str">
        <f t="shared" si="180"/>
        <v/>
      </c>
      <c r="DV62" s="5" t="str">
        <f t="shared" si="181"/>
        <v/>
      </c>
      <c r="DW62" s="5" t="str">
        <f t="shared" si="182"/>
        <v/>
      </c>
      <c r="DX62" s="167" t="str">
        <f t="shared" si="183"/>
        <v/>
      </c>
      <c r="DY62" s="9" t="str">
        <f t="shared" si="184"/>
        <v/>
      </c>
      <c r="DZ62" s="5" t="str">
        <f t="shared" si="185"/>
        <v/>
      </c>
      <c r="EA62" s="10" t="str">
        <f t="shared" si="186"/>
        <v/>
      </c>
      <c r="EB62" s="6" t="str">
        <f t="shared" si="187"/>
        <v/>
      </c>
      <c r="EC62" s="173" t="str">
        <f t="shared" si="188"/>
        <v/>
      </c>
      <c r="ED62" s="5" t="str">
        <f t="shared" si="189"/>
        <v/>
      </c>
      <c r="EE62" s="4" t="str">
        <f t="shared" si="190"/>
        <v/>
      </c>
      <c r="EF62" s="5" t="str">
        <f t="shared" si="191"/>
        <v/>
      </c>
      <c r="EG62" s="10" t="str">
        <f t="shared" si="192"/>
        <v/>
      </c>
      <c r="EH62" s="9" t="str">
        <f t="shared" si="193"/>
        <v/>
      </c>
      <c r="EI62" s="5" t="str">
        <f t="shared" si="194"/>
        <v/>
      </c>
      <c r="EJ62" s="6" t="str">
        <f t="shared" si="195"/>
        <v/>
      </c>
      <c r="EK62" s="236" t="str">
        <f t="shared" si="196"/>
        <v/>
      </c>
      <c r="EL62" s="238" t="str">
        <f t="shared" si="197"/>
        <v/>
      </c>
      <c r="EM62" s="4" t="str">
        <f t="shared" si="198"/>
        <v/>
      </c>
      <c r="EN62" s="5" t="str">
        <f t="shared" si="199"/>
        <v/>
      </c>
      <c r="EO62" s="10" t="str">
        <f t="shared" si="200"/>
        <v/>
      </c>
      <c r="EP62" s="9" t="str">
        <f t="shared" si="201"/>
        <v/>
      </c>
      <c r="EQ62" s="5" t="str">
        <f t="shared" si="202"/>
        <v/>
      </c>
      <c r="ER62" s="7" t="str">
        <f t="shared" si="203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4"/>
        <v/>
      </c>
      <c r="EZ62" s="51" t="str">
        <f t="shared" si="205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6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8"/>
        <v/>
      </c>
      <c r="FK62" s="4" t="str">
        <f t="shared" si="568"/>
        <v/>
      </c>
      <c r="FL62" s="5" t="str">
        <f t="shared" si="209"/>
        <v/>
      </c>
      <c r="FM62" s="8" t="str">
        <f t="shared" si="210"/>
        <v/>
      </c>
      <c r="FN62" s="9" t="str">
        <f t="shared" si="211"/>
        <v/>
      </c>
      <c r="FO62" s="10" t="str">
        <f t="shared" si="569"/>
        <v/>
      </c>
      <c r="FP62" s="277" t="str">
        <f t="shared" si="570"/>
        <v/>
      </c>
      <c r="FQ62" s="173" t="str">
        <f t="shared" si="240"/>
        <v/>
      </c>
      <c r="FR62" s="10" t="str">
        <f t="shared" si="212"/>
        <v/>
      </c>
      <c r="FS62" s="9" t="str">
        <f t="shared" si="213"/>
        <v/>
      </c>
      <c r="FT62" s="6" t="str">
        <f t="shared" si="214"/>
        <v/>
      </c>
      <c r="FU62" s="4" t="str">
        <f t="shared" si="215"/>
        <v/>
      </c>
      <c r="FV62" s="5" t="str">
        <f t="shared" si="216"/>
        <v/>
      </c>
      <c r="FW62" s="8" t="str">
        <f t="shared" si="241"/>
        <v/>
      </c>
      <c r="FX62" s="9" t="str">
        <f t="shared" si="242"/>
        <v/>
      </c>
      <c r="FY62" s="10" t="str">
        <f t="shared" si="571"/>
        <v/>
      </c>
      <c r="FZ62" s="277" t="str">
        <f t="shared" si="243"/>
        <v/>
      </c>
      <c r="GA62" s="177" t="str">
        <f t="shared" si="217"/>
        <v/>
      </c>
      <c r="GB62" s="4" t="str">
        <f t="shared" si="218"/>
        <v/>
      </c>
      <c r="GC62" s="5" t="str">
        <f t="shared" si="219"/>
        <v/>
      </c>
      <c r="GD62" s="10" t="str">
        <f t="shared" si="220"/>
        <v/>
      </c>
      <c r="GE62" s="311" t="str">
        <f t="shared" si="221"/>
        <v/>
      </c>
      <c r="GF62" s="341" t="str">
        <f t="shared" si="244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2"/>
        <v/>
      </c>
      <c r="GK62" s="174" t="str">
        <f t="shared" si="575"/>
        <v/>
      </c>
      <c r="GL62" s="174" t="str">
        <f t="shared" si="223"/>
        <v/>
      </c>
      <c r="GM62" s="177" t="str">
        <f t="shared" si="245"/>
        <v/>
      </c>
      <c r="GN62" s="280" t="str">
        <f t="shared" si="224"/>
        <v/>
      </c>
      <c r="GO62" s="4" t="str">
        <f t="shared" si="225"/>
        <v/>
      </c>
      <c r="GP62" s="8" t="str">
        <f t="shared" si="246"/>
        <v/>
      </c>
      <c r="GQ62" s="177" t="str">
        <f t="shared" si="226"/>
        <v/>
      </c>
      <c r="GR62" s="371" t="str">
        <f t="shared" si="247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4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7"/>
        <v/>
      </c>
      <c r="HC62" s="343" t="str">
        <f t="shared" si="228"/>
        <v/>
      </c>
      <c r="HD62" s="363" t="str">
        <f t="shared" si="229"/>
        <v/>
      </c>
      <c r="HE62" s="344" t="str">
        <f t="shared" si="584"/>
        <v/>
      </c>
      <c r="HF62" s="5" t="str">
        <f t="shared" si="585"/>
        <v/>
      </c>
      <c r="HG62" s="343" t="str">
        <f t="shared" si="230"/>
        <v/>
      </c>
      <c r="HH62" s="349" t="str">
        <f t="shared" si="231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23" t="str">
        <f t="shared" si="455"/>
        <v/>
      </c>
      <c r="HN62" s="924" t="str">
        <f t="shared" si="456"/>
        <v/>
      </c>
      <c r="HO62" s="925"/>
      <c r="HP62" s="926"/>
      <c r="HQ62" s="924" t="str">
        <f t="shared" si="457"/>
        <v/>
      </c>
      <c r="HR62" s="927" t="str">
        <f t="shared" si="458"/>
        <v/>
      </c>
      <c r="HS62" s="879" t="str">
        <f t="shared" si="507"/>
        <v/>
      </c>
      <c r="HT62" s="889" t="str">
        <f t="shared" si="459"/>
        <v/>
      </c>
      <c r="HU62" s="890" t="str">
        <f t="shared" si="460"/>
        <v/>
      </c>
      <c r="HV62" s="886" t="str">
        <f t="shared" si="461"/>
        <v/>
      </c>
      <c r="HW62" s="880" t="str">
        <f t="shared" si="462"/>
        <v/>
      </c>
      <c r="HX62" s="881" t="str">
        <f t="shared" si="463"/>
        <v/>
      </c>
      <c r="HY62" s="880" t="str">
        <f t="shared" si="464"/>
        <v/>
      </c>
      <c r="HZ62" s="882" t="str">
        <f t="shared" si="465"/>
        <v/>
      </c>
      <c r="IA62" s="883" t="str">
        <f t="shared" si="466"/>
        <v/>
      </c>
      <c r="IB62" s="884" t="str">
        <f t="shared" si="467"/>
        <v/>
      </c>
      <c r="IC62" s="855" t="str">
        <f t="shared" si="468"/>
        <v/>
      </c>
      <c r="ID62" s="351" t="str">
        <f t="shared" si="469"/>
        <v/>
      </c>
      <c r="IE62" s="857" t="str">
        <f t="shared" si="470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2"/>
        <v>5.149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71"/>
        <v>1913</v>
      </c>
      <c r="IM62" s="482" t="str">
        <f t="shared" si="233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>
        <f t="shared" si="92"/>
        <v>0.02</v>
      </c>
      <c r="B63" s="578">
        <f t="shared" ref="B63:D63" si="603">IFERROR(O218-($A63*E63),"")</f>
        <v>-7.4033919943265492</v>
      </c>
      <c r="C63" s="572">
        <f t="shared" si="603"/>
        <v>4.0523306304412845</v>
      </c>
      <c r="D63" s="576">
        <f t="shared" si="603"/>
        <v>-4.3201845864952446</v>
      </c>
      <c r="E63" s="580">
        <f t="shared" ref="E63:K63" si="604">R218</f>
        <v>-0.85167075466072073</v>
      </c>
      <c r="F63" s="572">
        <f t="shared" si="604"/>
        <v>-0.52226227700344541</v>
      </c>
      <c r="G63" s="579">
        <f t="shared" si="604"/>
        <v>4.3577972357774893E-2</v>
      </c>
      <c r="H63" s="580">
        <f t="shared" si="604"/>
        <v>0.375</v>
      </c>
      <c r="I63" s="572">
        <f t="shared" si="604"/>
        <v>0.52</v>
      </c>
      <c r="J63" s="483">
        <f t="shared" si="95"/>
        <v>5.1539999999999999</v>
      </c>
      <c r="K63" s="806">
        <f t="shared" si="604"/>
        <v>1913</v>
      </c>
      <c r="L63" s="309"/>
      <c r="M63" s="164">
        <f t="shared" si="311"/>
        <v>5.1539999999999999</v>
      </c>
      <c r="N63" s="575">
        <f t="shared" si="312"/>
        <v>-7.4033919943265492</v>
      </c>
      <c r="O63" s="572">
        <f t="shared" si="313"/>
        <v>4.0523306304412845</v>
      </c>
      <c r="P63" s="576">
        <f t="shared" si="314"/>
        <v>-4.3201845864952446</v>
      </c>
      <c r="Q63" s="528">
        <f t="shared" si="135"/>
        <v>151.30540739850679</v>
      </c>
      <c r="R63" s="572">
        <f t="shared" si="96"/>
        <v>8.4398813119658911</v>
      </c>
      <c r="S63" s="577">
        <f t="shared" si="97"/>
        <v>-4.3201845864952446</v>
      </c>
      <c r="T63" s="578">
        <f t="shared" si="98"/>
        <v>4.0102744759375977</v>
      </c>
      <c r="U63" s="572">
        <f t="shared" si="99"/>
        <v>7.4262571452727464</v>
      </c>
      <c r="V63" s="579">
        <f t="shared" si="136"/>
        <v>-4.3201845864952446</v>
      </c>
      <c r="W63" s="528">
        <f t="shared" si="257"/>
        <v>61.630382544313974</v>
      </c>
      <c r="X63" s="572">
        <f t="shared" si="100"/>
        <v>8.4398813119658911</v>
      </c>
      <c r="Y63" s="573">
        <f t="shared" si="260"/>
        <v>-4.3201845864952446</v>
      </c>
      <c r="Z63" s="575">
        <f t="shared" si="315"/>
        <v>0.85167075466072073</v>
      </c>
      <c r="AA63" s="572">
        <f t="shared" si="316"/>
        <v>0.52226227700344541</v>
      </c>
      <c r="AB63" s="572">
        <f t="shared" si="317"/>
        <v>-4.3577972357774893E-2</v>
      </c>
      <c r="AC63" s="579">
        <f t="shared" si="101"/>
        <v>1</v>
      </c>
      <c r="AD63" s="580">
        <f t="shared" si="137"/>
        <v>0.85167075466072073</v>
      </c>
      <c r="AE63" s="572">
        <f t="shared" si="102"/>
        <v>0.52226227700344541</v>
      </c>
      <c r="AF63" s="576">
        <f t="shared" si="103"/>
        <v>-4.3577972357774893E-2</v>
      </c>
      <c r="AG63" s="545">
        <f t="shared" si="104"/>
        <v>85.23024451459716</v>
      </c>
      <c r="AH63" s="546">
        <f t="shared" si="105"/>
        <v>31.606142468272829</v>
      </c>
      <c r="AI63" s="528">
        <f t="shared" si="106"/>
        <v>-87.502375163624507</v>
      </c>
      <c r="AJ63" s="529">
        <f t="shared" si="107"/>
        <v>121.51749451256499</v>
      </c>
      <c r="AK63" s="578">
        <f t="shared" si="236"/>
        <v>0.86704582400865871</v>
      </c>
      <c r="AL63" s="572">
        <f t="shared" si="108"/>
        <v>-0.49631894925977899</v>
      </c>
      <c r="AM63" s="577">
        <f t="shared" si="109"/>
        <v>-4.3577972357774893E-2</v>
      </c>
      <c r="AN63" s="524">
        <f t="shared" si="110"/>
        <v>-84.982163840471188</v>
      </c>
      <c r="AO63" s="525">
        <f t="shared" si="590"/>
        <v>29.88286097293296</v>
      </c>
      <c r="AP63" s="528">
        <f t="shared" si="112"/>
        <v>-29.787912885941783</v>
      </c>
      <c r="AQ63" s="529">
        <f t="shared" si="318"/>
        <v>0.27011158791345546</v>
      </c>
      <c r="AS63" s="954">
        <f t="shared" si="510"/>
        <v>61.630382544313974</v>
      </c>
      <c r="AT63" s="950">
        <f t="shared" si="319"/>
        <v>-4.1145869295968733</v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9"/>
        <v/>
      </c>
      <c r="BA63" s="296" t="str">
        <f t="shared" si="322"/>
        <v/>
      </c>
      <c r="BB63" s="177" t="str">
        <f t="shared" si="140"/>
        <v/>
      </c>
      <c r="BC63" s="9"/>
      <c r="BD63" s="5" t="str">
        <f t="shared" si="141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2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3"/>
        <v/>
      </c>
      <c r="BP63" s="5" t="str">
        <f t="shared" si="144"/>
        <v/>
      </c>
      <c r="BQ63" s="5" t="str">
        <f t="shared" si="145"/>
        <v/>
      </c>
      <c r="BR63" s="6" t="str">
        <f t="shared" si="146"/>
        <v/>
      </c>
      <c r="BS63" s="4" t="str">
        <f t="shared" si="554"/>
        <v/>
      </c>
      <c r="BT63" s="5" t="str">
        <f t="shared" si="554"/>
        <v/>
      </c>
      <c r="BU63" s="10" t="str">
        <f t="shared" si="114"/>
        <v/>
      </c>
      <c r="BV63" s="9" t="str">
        <f t="shared" si="115"/>
        <v/>
      </c>
      <c r="BW63" s="5" t="str">
        <f t="shared" si="116"/>
        <v/>
      </c>
      <c r="BX63" s="8" t="str">
        <f t="shared" si="117"/>
        <v/>
      </c>
      <c r="BY63" s="173" t="str">
        <f t="shared" si="118"/>
        <v/>
      </c>
      <c r="BZ63" s="5" t="str">
        <f t="shared" si="119"/>
        <v/>
      </c>
      <c r="CA63" s="6" t="str">
        <f t="shared" si="120"/>
        <v/>
      </c>
      <c r="CB63" s="4" t="str">
        <f t="shared" si="147"/>
        <v/>
      </c>
      <c r="CC63" s="5" t="str">
        <f t="shared" si="148"/>
        <v/>
      </c>
      <c r="CD63" s="5" t="str">
        <f t="shared" si="149"/>
        <v/>
      </c>
      <c r="CE63" s="6" t="str">
        <f t="shared" si="150"/>
        <v/>
      </c>
      <c r="CF63" s="4" t="str">
        <f t="shared" si="151"/>
        <v/>
      </c>
      <c r="CG63" s="5" t="str">
        <f t="shared" si="152"/>
        <v/>
      </c>
      <c r="CH63" s="5" t="str">
        <f t="shared" si="153"/>
        <v/>
      </c>
      <c r="CI63" s="4" t="str">
        <f t="shared" si="121"/>
        <v/>
      </c>
      <c r="CJ63" s="5" t="str">
        <f t="shared" si="122"/>
        <v/>
      </c>
      <c r="CK63" s="8" t="str">
        <f t="shared" si="123"/>
        <v/>
      </c>
      <c r="CL63" s="173" t="str">
        <f t="shared" si="124"/>
        <v/>
      </c>
      <c r="CM63" s="5" t="str">
        <f t="shared" si="125"/>
        <v/>
      </c>
      <c r="CN63" s="6" t="str">
        <f t="shared" si="126"/>
        <v/>
      </c>
      <c r="CO63" s="167" t="str">
        <f t="shared" si="350"/>
        <v/>
      </c>
      <c r="CP63" s="4" t="str">
        <f t="shared" si="237"/>
        <v/>
      </c>
      <c r="CQ63" s="5" t="str">
        <f t="shared" si="238"/>
        <v/>
      </c>
      <c r="CR63" s="5" t="str">
        <f t="shared" si="154"/>
        <v/>
      </c>
      <c r="CS63" s="8" t="str">
        <f t="shared" si="155"/>
        <v/>
      </c>
      <c r="CT63" s="9" t="str">
        <f t="shared" si="156"/>
        <v/>
      </c>
      <c r="CU63" s="6" t="str">
        <f t="shared" si="157"/>
        <v/>
      </c>
      <c r="CV63" s="4" t="str">
        <f t="shared" si="239"/>
        <v/>
      </c>
      <c r="CW63" s="5" t="str">
        <f t="shared" si="158"/>
        <v/>
      </c>
      <c r="CX63" s="8" t="str">
        <f t="shared" si="159"/>
        <v/>
      </c>
      <c r="CY63" s="9" t="str">
        <f t="shared" si="160"/>
        <v/>
      </c>
      <c r="CZ63" s="5" t="str">
        <f t="shared" si="161"/>
        <v/>
      </c>
      <c r="DA63" s="6" t="str">
        <f t="shared" si="162"/>
        <v/>
      </c>
      <c r="DB63" s="4" t="str">
        <f t="shared" si="555"/>
        <v/>
      </c>
      <c r="DC63" s="5" t="str">
        <f t="shared" si="555"/>
        <v/>
      </c>
      <c r="DD63" s="10" t="str">
        <f t="shared" si="164"/>
        <v/>
      </c>
      <c r="DE63" s="9" t="str">
        <f t="shared" si="556"/>
        <v/>
      </c>
      <c r="DF63" s="5" t="str">
        <f t="shared" si="556"/>
        <v/>
      </c>
      <c r="DG63" s="10" t="str">
        <f t="shared" si="166"/>
        <v/>
      </c>
      <c r="DH63" s="70" t="str">
        <f t="shared" si="167"/>
        <v/>
      </c>
      <c r="DI63" s="4" t="str">
        <f t="shared" si="168"/>
        <v/>
      </c>
      <c r="DJ63" s="5" t="str">
        <f t="shared" si="169"/>
        <v/>
      </c>
      <c r="DK63" s="10" t="str">
        <f t="shared" si="170"/>
        <v/>
      </c>
      <c r="DL63" s="9" t="str">
        <f t="shared" si="171"/>
        <v/>
      </c>
      <c r="DM63" s="173" t="str">
        <f t="shared" si="172"/>
        <v/>
      </c>
      <c r="DN63" s="178" t="str">
        <f t="shared" si="173"/>
        <v/>
      </c>
      <c r="DO63" s="9" t="str">
        <f t="shared" si="174"/>
        <v/>
      </c>
      <c r="DP63" s="173" t="str">
        <f t="shared" si="175"/>
        <v/>
      </c>
      <c r="DQ63" s="11" t="str">
        <f t="shared" si="176"/>
        <v/>
      </c>
      <c r="DR63" s="173" t="str">
        <f t="shared" si="177"/>
        <v/>
      </c>
      <c r="DS63" s="5" t="str">
        <f t="shared" si="178"/>
        <v/>
      </c>
      <c r="DT63" s="5" t="str">
        <f t="shared" si="179"/>
        <v/>
      </c>
      <c r="DU63" s="5" t="str">
        <f t="shared" si="180"/>
        <v/>
      </c>
      <c r="DV63" s="5" t="str">
        <f t="shared" si="181"/>
        <v/>
      </c>
      <c r="DW63" s="5" t="str">
        <f t="shared" si="182"/>
        <v/>
      </c>
      <c r="DX63" s="167" t="str">
        <f t="shared" si="183"/>
        <v/>
      </c>
      <c r="DY63" s="9" t="str">
        <f t="shared" si="184"/>
        <v/>
      </c>
      <c r="DZ63" s="5" t="str">
        <f t="shared" si="185"/>
        <v/>
      </c>
      <c r="EA63" s="10" t="str">
        <f t="shared" si="186"/>
        <v/>
      </c>
      <c r="EB63" s="6" t="str">
        <f t="shared" si="187"/>
        <v/>
      </c>
      <c r="EC63" s="173" t="str">
        <f t="shared" si="188"/>
        <v/>
      </c>
      <c r="ED63" s="5" t="str">
        <f t="shared" si="189"/>
        <v/>
      </c>
      <c r="EE63" s="4" t="str">
        <f t="shared" si="190"/>
        <v/>
      </c>
      <c r="EF63" s="5" t="str">
        <f t="shared" si="191"/>
        <v/>
      </c>
      <c r="EG63" s="10" t="str">
        <f t="shared" si="192"/>
        <v/>
      </c>
      <c r="EH63" s="9" t="str">
        <f t="shared" si="193"/>
        <v/>
      </c>
      <c r="EI63" s="5" t="str">
        <f t="shared" si="194"/>
        <v/>
      </c>
      <c r="EJ63" s="6" t="str">
        <f t="shared" si="195"/>
        <v/>
      </c>
      <c r="EK63" s="236" t="str">
        <f t="shared" si="196"/>
        <v/>
      </c>
      <c r="EL63" s="238" t="str">
        <f t="shared" si="197"/>
        <v/>
      </c>
      <c r="EM63" s="4" t="str">
        <f t="shared" si="198"/>
        <v/>
      </c>
      <c r="EN63" s="5" t="str">
        <f t="shared" si="199"/>
        <v/>
      </c>
      <c r="EO63" s="10" t="str">
        <f t="shared" si="200"/>
        <v/>
      </c>
      <c r="EP63" s="9" t="str">
        <f t="shared" si="201"/>
        <v/>
      </c>
      <c r="EQ63" s="5" t="str">
        <f t="shared" si="202"/>
        <v/>
      </c>
      <c r="ER63" s="7" t="str">
        <f t="shared" si="203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4"/>
        <v/>
      </c>
      <c r="EZ63" s="51" t="str">
        <f t="shared" si="205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6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8"/>
        <v/>
      </c>
      <c r="FK63" s="4" t="str">
        <f t="shared" si="568"/>
        <v/>
      </c>
      <c r="FL63" s="5" t="str">
        <f t="shared" si="209"/>
        <v/>
      </c>
      <c r="FM63" s="8" t="str">
        <f t="shared" si="210"/>
        <v/>
      </c>
      <c r="FN63" s="9" t="str">
        <f t="shared" si="211"/>
        <v/>
      </c>
      <c r="FO63" s="10" t="str">
        <f t="shared" si="569"/>
        <v/>
      </c>
      <c r="FP63" s="277" t="str">
        <f t="shared" si="570"/>
        <v/>
      </c>
      <c r="FQ63" s="173" t="str">
        <f t="shared" si="240"/>
        <v/>
      </c>
      <c r="FR63" s="10" t="str">
        <f t="shared" si="212"/>
        <v/>
      </c>
      <c r="FS63" s="9" t="str">
        <f t="shared" si="213"/>
        <v/>
      </c>
      <c r="FT63" s="6" t="str">
        <f t="shared" si="214"/>
        <v/>
      </c>
      <c r="FU63" s="4" t="str">
        <f t="shared" si="215"/>
        <v/>
      </c>
      <c r="FV63" s="5" t="str">
        <f t="shared" si="216"/>
        <v/>
      </c>
      <c r="FW63" s="8" t="str">
        <f t="shared" si="241"/>
        <v/>
      </c>
      <c r="FX63" s="9" t="str">
        <f t="shared" si="242"/>
        <v/>
      </c>
      <c r="FY63" s="10" t="str">
        <f t="shared" si="571"/>
        <v/>
      </c>
      <c r="FZ63" s="277" t="str">
        <f t="shared" si="243"/>
        <v/>
      </c>
      <c r="GA63" s="177" t="str">
        <f t="shared" si="217"/>
        <v/>
      </c>
      <c r="GB63" s="4" t="str">
        <f t="shared" si="218"/>
        <v/>
      </c>
      <c r="GC63" s="5" t="str">
        <f t="shared" si="219"/>
        <v/>
      </c>
      <c r="GD63" s="10" t="str">
        <f t="shared" si="220"/>
        <v/>
      </c>
      <c r="GE63" s="311" t="str">
        <f t="shared" si="221"/>
        <v/>
      </c>
      <c r="GF63" s="341" t="str">
        <f t="shared" si="244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2"/>
        <v/>
      </c>
      <c r="GK63" s="174" t="str">
        <f t="shared" si="575"/>
        <v/>
      </c>
      <c r="GL63" s="174" t="str">
        <f t="shared" si="223"/>
        <v/>
      </c>
      <c r="GM63" s="177" t="str">
        <f t="shared" si="245"/>
        <v/>
      </c>
      <c r="GN63" s="280" t="str">
        <f t="shared" si="224"/>
        <v/>
      </c>
      <c r="GO63" s="4" t="str">
        <f t="shared" si="225"/>
        <v/>
      </c>
      <c r="GP63" s="8" t="str">
        <f t="shared" si="246"/>
        <v/>
      </c>
      <c r="GQ63" s="177" t="str">
        <f t="shared" si="226"/>
        <v/>
      </c>
      <c r="GR63" s="371" t="str">
        <f t="shared" si="247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4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7"/>
        <v/>
      </c>
      <c r="HC63" s="343" t="str">
        <f t="shared" si="228"/>
        <v/>
      </c>
      <c r="HD63" s="363" t="str">
        <f t="shared" si="229"/>
        <v/>
      </c>
      <c r="HE63" s="344" t="str">
        <f t="shared" si="584"/>
        <v/>
      </c>
      <c r="HF63" s="5" t="str">
        <f t="shared" si="585"/>
        <v/>
      </c>
      <c r="HG63" s="343" t="str">
        <f t="shared" si="230"/>
        <v/>
      </c>
      <c r="HH63" s="349" t="str">
        <f t="shared" si="231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23" t="str">
        <f t="shared" si="455"/>
        <v/>
      </c>
      <c r="HN63" s="924" t="str">
        <f t="shared" si="456"/>
        <v/>
      </c>
      <c r="HO63" s="925"/>
      <c r="HP63" s="926"/>
      <c r="HQ63" s="924" t="str">
        <f t="shared" si="457"/>
        <v/>
      </c>
      <c r="HR63" s="927" t="str">
        <f t="shared" si="458"/>
        <v/>
      </c>
      <c r="HS63" s="879" t="str">
        <f t="shared" si="507"/>
        <v/>
      </c>
      <c r="HT63" s="889" t="str">
        <f t="shared" si="459"/>
        <v/>
      </c>
      <c r="HU63" s="890" t="str">
        <f t="shared" si="460"/>
        <v/>
      </c>
      <c r="HV63" s="886" t="str">
        <f t="shared" si="461"/>
        <v/>
      </c>
      <c r="HW63" s="880" t="str">
        <f t="shared" si="462"/>
        <v/>
      </c>
      <c r="HX63" s="881" t="str">
        <f t="shared" si="463"/>
        <v/>
      </c>
      <c r="HY63" s="880" t="str">
        <f t="shared" si="464"/>
        <v/>
      </c>
      <c r="HZ63" s="882" t="str">
        <f t="shared" si="465"/>
        <v/>
      </c>
      <c r="IA63" s="883" t="str">
        <f t="shared" si="466"/>
        <v/>
      </c>
      <c r="IB63" s="884" t="str">
        <f t="shared" si="467"/>
        <v/>
      </c>
      <c r="IC63" s="855" t="str">
        <f t="shared" si="468"/>
        <v/>
      </c>
      <c r="ID63" s="351" t="str">
        <f t="shared" si="469"/>
        <v/>
      </c>
      <c r="IE63" s="857" t="str">
        <f t="shared" si="470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2"/>
        <v>5.1539999999999999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71"/>
        <v>1913</v>
      </c>
      <c r="IM63" s="482" t="str">
        <f t="shared" si="233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 t="str">
        <f t="shared" si="92"/>
        <v/>
      </c>
      <c r="B64" s="578" t="str">
        <f t="shared" ref="B64:D64" si="605">IFERROR(O219-($A64*E64),"")</f>
        <v/>
      </c>
      <c r="C64" s="572" t="str">
        <f t="shared" si="605"/>
        <v/>
      </c>
      <c r="D64" s="576" t="str">
        <f t="shared" si="605"/>
        <v/>
      </c>
      <c r="E64" s="580" t="str">
        <f t="shared" ref="E64:K64" si="606">R219</f>
        <v/>
      </c>
      <c r="F64" s="572" t="str">
        <f t="shared" si="606"/>
        <v/>
      </c>
      <c r="G64" s="579" t="str">
        <f t="shared" si="606"/>
        <v/>
      </c>
      <c r="H64" s="580" t="str">
        <f t="shared" si="606"/>
        <v/>
      </c>
      <c r="I64" s="572" t="str">
        <f t="shared" si="606"/>
        <v/>
      </c>
      <c r="J64" s="483" t="str">
        <f t="shared" si="95"/>
        <v/>
      </c>
      <c r="K64" s="806" t="str">
        <f t="shared" si="606"/>
        <v/>
      </c>
      <c r="L64" s="309"/>
      <c r="M64" s="164" t="str">
        <f t="shared" si="311"/>
        <v/>
      </c>
      <c r="N64" s="575" t="str">
        <f t="shared" si="312"/>
        <v/>
      </c>
      <c r="O64" s="572" t="str">
        <f t="shared" si="313"/>
        <v/>
      </c>
      <c r="P64" s="576" t="str">
        <f t="shared" si="314"/>
        <v/>
      </c>
      <c r="Q64" s="528" t="str">
        <f t="shared" si="135"/>
        <v/>
      </c>
      <c r="R64" s="572" t="str">
        <f t="shared" si="96"/>
        <v/>
      </c>
      <c r="S64" s="577" t="str">
        <f t="shared" si="97"/>
        <v/>
      </c>
      <c r="T64" s="578" t="str">
        <f t="shared" si="98"/>
        <v/>
      </c>
      <c r="U64" s="572" t="str">
        <f t="shared" si="99"/>
        <v/>
      </c>
      <c r="V64" s="579" t="str">
        <f t="shared" si="136"/>
        <v/>
      </c>
      <c r="W64" s="528" t="str">
        <f t="shared" si="257"/>
        <v/>
      </c>
      <c r="X64" s="572" t="str">
        <f t="shared" si="100"/>
        <v/>
      </c>
      <c r="Y64" s="573" t="str">
        <f t="shared" si="260"/>
        <v/>
      </c>
      <c r="Z64" s="575" t="str">
        <f t="shared" si="315"/>
        <v/>
      </c>
      <c r="AA64" s="572" t="str">
        <f t="shared" si="316"/>
        <v/>
      </c>
      <c r="AB64" s="572" t="str">
        <f t="shared" si="317"/>
        <v/>
      </c>
      <c r="AC64" s="579" t="str">
        <f t="shared" si="101"/>
        <v/>
      </c>
      <c r="AD64" s="580" t="str">
        <f t="shared" si="137"/>
        <v/>
      </c>
      <c r="AE64" s="572" t="str">
        <f t="shared" si="102"/>
        <v/>
      </c>
      <c r="AF64" s="576" t="str">
        <f t="shared" si="103"/>
        <v/>
      </c>
      <c r="AG64" s="545" t="str">
        <f t="shared" si="104"/>
        <v/>
      </c>
      <c r="AH64" s="546" t="str">
        <f t="shared" si="105"/>
        <v/>
      </c>
      <c r="AI64" s="528" t="str">
        <f t="shared" si="106"/>
        <v/>
      </c>
      <c r="AJ64" s="529" t="str">
        <f t="shared" si="107"/>
        <v/>
      </c>
      <c r="AK64" s="578" t="str">
        <f t="shared" si="236"/>
        <v/>
      </c>
      <c r="AL64" s="572" t="str">
        <f t="shared" si="108"/>
        <v/>
      </c>
      <c r="AM64" s="577" t="str">
        <f t="shared" si="109"/>
        <v/>
      </c>
      <c r="AN64" s="524" t="str">
        <f t="shared" si="110"/>
        <v/>
      </c>
      <c r="AO64" s="525" t="str">
        <f t="shared" si="590"/>
        <v/>
      </c>
      <c r="AP64" s="528" t="str">
        <f t="shared" si="112"/>
        <v/>
      </c>
      <c r="AQ64" s="529" t="str">
        <f t="shared" si="318"/>
        <v/>
      </c>
      <c r="AS64" s="954" t="str">
        <f t="shared" si="510"/>
        <v/>
      </c>
      <c r="AT64" s="950" t="str">
        <f t="shared" si="319"/>
        <v/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9"/>
        <v/>
      </c>
      <c r="BA64" s="296" t="str">
        <f t="shared" si="322"/>
        <v/>
      </c>
      <c r="BB64" s="177" t="str">
        <f t="shared" si="140"/>
        <v/>
      </c>
      <c r="BC64" s="9"/>
      <c r="BD64" s="5" t="str">
        <f t="shared" si="141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2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3"/>
        <v/>
      </c>
      <c r="BP64" s="5" t="str">
        <f t="shared" si="144"/>
        <v/>
      </c>
      <c r="BQ64" s="5" t="str">
        <f t="shared" si="145"/>
        <v/>
      </c>
      <c r="BR64" s="6" t="str">
        <f t="shared" si="146"/>
        <v/>
      </c>
      <c r="BS64" s="4" t="str">
        <f t="shared" si="554"/>
        <v/>
      </c>
      <c r="BT64" s="5" t="str">
        <f t="shared" si="554"/>
        <v/>
      </c>
      <c r="BU64" s="10" t="str">
        <f t="shared" si="114"/>
        <v/>
      </c>
      <c r="BV64" s="9" t="str">
        <f t="shared" si="115"/>
        <v/>
      </c>
      <c r="BW64" s="5" t="str">
        <f t="shared" si="116"/>
        <v/>
      </c>
      <c r="BX64" s="8" t="str">
        <f t="shared" si="117"/>
        <v/>
      </c>
      <c r="BY64" s="173" t="str">
        <f t="shared" si="118"/>
        <v/>
      </c>
      <c r="BZ64" s="5" t="str">
        <f t="shared" si="119"/>
        <v/>
      </c>
      <c r="CA64" s="6" t="str">
        <f t="shared" si="120"/>
        <v/>
      </c>
      <c r="CB64" s="4" t="str">
        <f t="shared" si="147"/>
        <v/>
      </c>
      <c r="CC64" s="5" t="str">
        <f t="shared" si="148"/>
        <v/>
      </c>
      <c r="CD64" s="5" t="str">
        <f t="shared" si="149"/>
        <v/>
      </c>
      <c r="CE64" s="6" t="str">
        <f t="shared" si="150"/>
        <v/>
      </c>
      <c r="CF64" s="4" t="str">
        <f t="shared" si="151"/>
        <v/>
      </c>
      <c r="CG64" s="5" t="str">
        <f t="shared" si="152"/>
        <v/>
      </c>
      <c r="CH64" s="5" t="str">
        <f t="shared" si="153"/>
        <v/>
      </c>
      <c r="CI64" s="4" t="str">
        <f t="shared" si="121"/>
        <v/>
      </c>
      <c r="CJ64" s="5" t="str">
        <f t="shared" si="122"/>
        <v/>
      </c>
      <c r="CK64" s="8" t="str">
        <f t="shared" si="123"/>
        <v/>
      </c>
      <c r="CL64" s="173" t="str">
        <f t="shared" si="124"/>
        <v/>
      </c>
      <c r="CM64" s="5" t="str">
        <f t="shared" si="125"/>
        <v/>
      </c>
      <c r="CN64" s="6" t="str">
        <f t="shared" si="126"/>
        <v/>
      </c>
      <c r="CO64" s="167" t="str">
        <f t="shared" si="350"/>
        <v/>
      </c>
      <c r="CP64" s="4" t="str">
        <f t="shared" si="237"/>
        <v/>
      </c>
      <c r="CQ64" s="5" t="str">
        <f t="shared" si="238"/>
        <v/>
      </c>
      <c r="CR64" s="5" t="str">
        <f t="shared" si="154"/>
        <v/>
      </c>
      <c r="CS64" s="8" t="str">
        <f t="shared" si="155"/>
        <v/>
      </c>
      <c r="CT64" s="9" t="str">
        <f t="shared" si="156"/>
        <v/>
      </c>
      <c r="CU64" s="6" t="str">
        <f t="shared" si="157"/>
        <v/>
      </c>
      <c r="CV64" s="4" t="str">
        <f t="shared" si="239"/>
        <v/>
      </c>
      <c r="CW64" s="5" t="str">
        <f t="shared" si="158"/>
        <v/>
      </c>
      <c r="CX64" s="8" t="str">
        <f t="shared" si="159"/>
        <v/>
      </c>
      <c r="CY64" s="9" t="str">
        <f t="shared" si="160"/>
        <v/>
      </c>
      <c r="CZ64" s="5" t="str">
        <f t="shared" si="161"/>
        <v/>
      </c>
      <c r="DA64" s="6" t="str">
        <f t="shared" si="162"/>
        <v/>
      </c>
      <c r="DB64" s="4" t="str">
        <f t="shared" si="555"/>
        <v/>
      </c>
      <c r="DC64" s="5" t="str">
        <f t="shared" si="555"/>
        <v/>
      </c>
      <c r="DD64" s="10" t="str">
        <f t="shared" si="164"/>
        <v/>
      </c>
      <c r="DE64" s="9" t="str">
        <f t="shared" si="556"/>
        <v/>
      </c>
      <c r="DF64" s="5" t="str">
        <f t="shared" si="556"/>
        <v/>
      </c>
      <c r="DG64" s="10" t="str">
        <f t="shared" si="166"/>
        <v/>
      </c>
      <c r="DH64" s="70" t="str">
        <f t="shared" si="167"/>
        <v/>
      </c>
      <c r="DI64" s="4" t="str">
        <f t="shared" si="168"/>
        <v/>
      </c>
      <c r="DJ64" s="5" t="str">
        <f t="shared" si="169"/>
        <v/>
      </c>
      <c r="DK64" s="10" t="str">
        <f t="shared" si="170"/>
        <v/>
      </c>
      <c r="DL64" s="9" t="str">
        <f t="shared" si="171"/>
        <v/>
      </c>
      <c r="DM64" s="173" t="str">
        <f t="shared" si="172"/>
        <v/>
      </c>
      <c r="DN64" s="178" t="str">
        <f t="shared" si="173"/>
        <v/>
      </c>
      <c r="DO64" s="9" t="str">
        <f t="shared" si="174"/>
        <v/>
      </c>
      <c r="DP64" s="173" t="str">
        <f t="shared" si="175"/>
        <v/>
      </c>
      <c r="DQ64" s="11" t="str">
        <f t="shared" si="176"/>
        <v/>
      </c>
      <c r="DR64" s="173" t="str">
        <f t="shared" si="177"/>
        <v/>
      </c>
      <c r="DS64" s="5" t="str">
        <f t="shared" si="178"/>
        <v/>
      </c>
      <c r="DT64" s="5" t="str">
        <f t="shared" si="179"/>
        <v/>
      </c>
      <c r="DU64" s="5" t="str">
        <f t="shared" si="180"/>
        <v/>
      </c>
      <c r="DV64" s="5" t="str">
        <f t="shared" si="181"/>
        <v/>
      </c>
      <c r="DW64" s="5" t="str">
        <f t="shared" si="182"/>
        <v/>
      </c>
      <c r="DX64" s="167" t="str">
        <f t="shared" si="183"/>
        <v/>
      </c>
      <c r="DY64" s="9" t="str">
        <f t="shared" si="184"/>
        <v/>
      </c>
      <c r="DZ64" s="5" t="str">
        <f t="shared" si="185"/>
        <v/>
      </c>
      <c r="EA64" s="10" t="str">
        <f t="shared" si="186"/>
        <v/>
      </c>
      <c r="EB64" s="6" t="str">
        <f t="shared" si="187"/>
        <v/>
      </c>
      <c r="EC64" s="173" t="str">
        <f t="shared" si="188"/>
        <v/>
      </c>
      <c r="ED64" s="5" t="str">
        <f t="shared" si="189"/>
        <v/>
      </c>
      <c r="EE64" s="4" t="str">
        <f t="shared" si="190"/>
        <v/>
      </c>
      <c r="EF64" s="5" t="str">
        <f t="shared" si="191"/>
        <v/>
      </c>
      <c r="EG64" s="10" t="str">
        <f t="shared" si="192"/>
        <v/>
      </c>
      <c r="EH64" s="9" t="str">
        <f t="shared" si="193"/>
        <v/>
      </c>
      <c r="EI64" s="5" t="str">
        <f t="shared" si="194"/>
        <v/>
      </c>
      <c r="EJ64" s="6" t="str">
        <f t="shared" si="195"/>
        <v/>
      </c>
      <c r="EK64" s="236" t="str">
        <f t="shared" si="196"/>
        <v/>
      </c>
      <c r="EL64" s="238" t="str">
        <f t="shared" si="197"/>
        <v/>
      </c>
      <c r="EM64" s="4" t="str">
        <f t="shared" si="198"/>
        <v/>
      </c>
      <c r="EN64" s="5" t="str">
        <f t="shared" si="199"/>
        <v/>
      </c>
      <c r="EO64" s="10" t="str">
        <f t="shared" si="200"/>
        <v/>
      </c>
      <c r="EP64" s="9" t="str">
        <f t="shared" si="201"/>
        <v/>
      </c>
      <c r="EQ64" s="5" t="str">
        <f t="shared" si="202"/>
        <v/>
      </c>
      <c r="ER64" s="7" t="str">
        <f t="shared" si="203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4"/>
        <v/>
      </c>
      <c r="EZ64" s="51" t="str">
        <f t="shared" si="205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6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8"/>
        <v/>
      </c>
      <c r="FK64" s="4" t="str">
        <f t="shared" si="568"/>
        <v/>
      </c>
      <c r="FL64" s="5" t="str">
        <f t="shared" si="209"/>
        <v/>
      </c>
      <c r="FM64" s="8" t="str">
        <f t="shared" si="210"/>
        <v/>
      </c>
      <c r="FN64" s="9" t="str">
        <f t="shared" si="211"/>
        <v/>
      </c>
      <c r="FO64" s="10" t="str">
        <f t="shared" si="569"/>
        <v/>
      </c>
      <c r="FP64" s="277" t="str">
        <f t="shared" si="570"/>
        <v/>
      </c>
      <c r="FQ64" s="173" t="str">
        <f t="shared" si="240"/>
        <v/>
      </c>
      <c r="FR64" s="10" t="str">
        <f t="shared" si="212"/>
        <v/>
      </c>
      <c r="FS64" s="9" t="str">
        <f t="shared" si="213"/>
        <v/>
      </c>
      <c r="FT64" s="6" t="str">
        <f t="shared" si="214"/>
        <v/>
      </c>
      <c r="FU64" s="4" t="str">
        <f t="shared" si="215"/>
        <v/>
      </c>
      <c r="FV64" s="5" t="str">
        <f t="shared" si="216"/>
        <v/>
      </c>
      <c r="FW64" s="8" t="str">
        <f t="shared" si="241"/>
        <v/>
      </c>
      <c r="FX64" s="9" t="str">
        <f t="shared" si="242"/>
        <v/>
      </c>
      <c r="FY64" s="10" t="str">
        <f t="shared" si="571"/>
        <v/>
      </c>
      <c r="FZ64" s="277" t="str">
        <f t="shared" si="243"/>
        <v/>
      </c>
      <c r="GA64" s="177" t="str">
        <f t="shared" si="217"/>
        <v/>
      </c>
      <c r="GB64" s="4" t="str">
        <f t="shared" si="218"/>
        <v/>
      </c>
      <c r="GC64" s="5" t="str">
        <f t="shared" si="219"/>
        <v/>
      </c>
      <c r="GD64" s="10" t="str">
        <f t="shared" si="220"/>
        <v/>
      </c>
      <c r="GE64" s="311" t="str">
        <f t="shared" si="221"/>
        <v/>
      </c>
      <c r="GF64" s="341" t="str">
        <f t="shared" si="244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2"/>
        <v/>
      </c>
      <c r="GK64" s="174" t="str">
        <f t="shared" si="575"/>
        <v/>
      </c>
      <c r="GL64" s="174" t="str">
        <f t="shared" si="223"/>
        <v/>
      </c>
      <c r="GM64" s="177" t="str">
        <f t="shared" si="245"/>
        <v/>
      </c>
      <c r="GN64" s="280" t="str">
        <f t="shared" si="224"/>
        <v/>
      </c>
      <c r="GO64" s="4" t="str">
        <f t="shared" si="225"/>
        <v/>
      </c>
      <c r="GP64" s="8" t="str">
        <f t="shared" si="246"/>
        <v/>
      </c>
      <c r="GQ64" s="177" t="str">
        <f t="shared" si="226"/>
        <v/>
      </c>
      <c r="GR64" s="371" t="str">
        <f t="shared" si="247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4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7"/>
        <v/>
      </c>
      <c r="HC64" s="343" t="str">
        <f t="shared" si="228"/>
        <v/>
      </c>
      <c r="HD64" s="363" t="str">
        <f t="shared" si="229"/>
        <v/>
      </c>
      <c r="HE64" s="344" t="str">
        <f t="shared" si="584"/>
        <v/>
      </c>
      <c r="HF64" s="5" t="str">
        <f t="shared" si="585"/>
        <v/>
      </c>
      <c r="HG64" s="343" t="str">
        <f t="shared" si="230"/>
        <v/>
      </c>
      <c r="HH64" s="349" t="str">
        <f t="shared" si="231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23" t="str">
        <f t="shared" si="455"/>
        <v/>
      </c>
      <c r="HN64" s="924" t="str">
        <f t="shared" si="456"/>
        <v/>
      </c>
      <c r="HO64" s="925"/>
      <c r="HP64" s="926"/>
      <c r="HQ64" s="924" t="str">
        <f t="shared" si="457"/>
        <v/>
      </c>
      <c r="HR64" s="927" t="str">
        <f t="shared" si="458"/>
        <v/>
      </c>
      <c r="HS64" s="879" t="str">
        <f t="shared" si="507"/>
        <v/>
      </c>
      <c r="HT64" s="889" t="str">
        <f t="shared" si="459"/>
        <v/>
      </c>
      <c r="HU64" s="890" t="str">
        <f t="shared" si="460"/>
        <v/>
      </c>
      <c r="HV64" s="886" t="str">
        <f t="shared" si="461"/>
        <v/>
      </c>
      <c r="HW64" s="880" t="str">
        <f t="shared" si="462"/>
        <v/>
      </c>
      <c r="HX64" s="881" t="str">
        <f t="shared" si="463"/>
        <v/>
      </c>
      <c r="HY64" s="880" t="str">
        <f t="shared" si="464"/>
        <v/>
      </c>
      <c r="HZ64" s="882" t="str">
        <f t="shared" si="465"/>
        <v/>
      </c>
      <c r="IA64" s="883" t="str">
        <f t="shared" si="466"/>
        <v/>
      </c>
      <c r="IB64" s="884" t="str">
        <f t="shared" si="467"/>
        <v/>
      </c>
      <c r="IC64" s="855" t="str">
        <f t="shared" si="468"/>
        <v/>
      </c>
      <c r="ID64" s="351" t="str">
        <f t="shared" si="469"/>
        <v/>
      </c>
      <c r="IE64" s="857" t="str">
        <f t="shared" si="470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2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71"/>
        <v/>
      </c>
      <c r="IM64" s="482" t="str">
        <f t="shared" si="233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 t="str">
        <f t="shared" si="92"/>
        <v/>
      </c>
      <c r="B65" s="578" t="str">
        <f t="shared" ref="B65:D65" si="607">IFERROR(O220-($A65*E65),"")</f>
        <v/>
      </c>
      <c r="C65" s="572" t="str">
        <f t="shared" si="607"/>
        <v/>
      </c>
      <c r="D65" s="576" t="str">
        <f t="shared" si="607"/>
        <v/>
      </c>
      <c r="E65" s="580" t="str">
        <f t="shared" ref="E65:K65" si="608">R220</f>
        <v/>
      </c>
      <c r="F65" s="572" t="str">
        <f t="shared" si="608"/>
        <v/>
      </c>
      <c r="G65" s="579" t="str">
        <f t="shared" si="608"/>
        <v/>
      </c>
      <c r="H65" s="580" t="str">
        <f t="shared" si="608"/>
        <v/>
      </c>
      <c r="I65" s="572" t="str">
        <f t="shared" si="608"/>
        <v/>
      </c>
      <c r="J65" s="483" t="str">
        <f t="shared" si="95"/>
        <v/>
      </c>
      <c r="K65" s="806" t="str">
        <f t="shared" si="608"/>
        <v/>
      </c>
      <c r="L65" s="309"/>
      <c r="M65" s="164" t="str">
        <f t="shared" si="311"/>
        <v/>
      </c>
      <c r="N65" s="575" t="str">
        <f t="shared" si="312"/>
        <v/>
      </c>
      <c r="O65" s="572" t="str">
        <f t="shared" si="313"/>
        <v/>
      </c>
      <c r="P65" s="576" t="str">
        <f t="shared" si="314"/>
        <v/>
      </c>
      <c r="Q65" s="528" t="str">
        <f t="shared" si="135"/>
        <v/>
      </c>
      <c r="R65" s="572" t="str">
        <f t="shared" si="96"/>
        <v/>
      </c>
      <c r="S65" s="577" t="str">
        <f t="shared" si="97"/>
        <v/>
      </c>
      <c r="T65" s="578" t="str">
        <f t="shared" si="98"/>
        <v/>
      </c>
      <c r="U65" s="572" t="str">
        <f t="shared" si="99"/>
        <v/>
      </c>
      <c r="V65" s="579" t="str">
        <f t="shared" si="136"/>
        <v/>
      </c>
      <c r="W65" s="528" t="str">
        <f t="shared" si="257"/>
        <v/>
      </c>
      <c r="X65" s="572" t="str">
        <f t="shared" si="100"/>
        <v/>
      </c>
      <c r="Y65" s="573" t="str">
        <f t="shared" si="260"/>
        <v/>
      </c>
      <c r="Z65" s="575" t="str">
        <f t="shared" si="315"/>
        <v/>
      </c>
      <c r="AA65" s="572" t="str">
        <f t="shared" si="316"/>
        <v/>
      </c>
      <c r="AB65" s="572" t="str">
        <f t="shared" si="317"/>
        <v/>
      </c>
      <c r="AC65" s="579" t="str">
        <f t="shared" si="101"/>
        <v/>
      </c>
      <c r="AD65" s="580" t="str">
        <f t="shared" si="137"/>
        <v/>
      </c>
      <c r="AE65" s="572" t="str">
        <f t="shared" si="102"/>
        <v/>
      </c>
      <c r="AF65" s="576" t="str">
        <f t="shared" si="103"/>
        <v/>
      </c>
      <c r="AG65" s="545" t="str">
        <f t="shared" si="104"/>
        <v/>
      </c>
      <c r="AH65" s="546" t="str">
        <f t="shared" si="105"/>
        <v/>
      </c>
      <c r="AI65" s="528" t="str">
        <f t="shared" si="106"/>
        <v/>
      </c>
      <c r="AJ65" s="529" t="str">
        <f t="shared" si="107"/>
        <v/>
      </c>
      <c r="AK65" s="578" t="str">
        <f t="shared" si="236"/>
        <v/>
      </c>
      <c r="AL65" s="572" t="str">
        <f t="shared" si="108"/>
        <v/>
      </c>
      <c r="AM65" s="577" t="str">
        <f t="shared" si="109"/>
        <v/>
      </c>
      <c r="AN65" s="524" t="str">
        <f t="shared" si="110"/>
        <v/>
      </c>
      <c r="AO65" s="525" t="str">
        <f t="shared" si="590"/>
        <v/>
      </c>
      <c r="AP65" s="528" t="str">
        <f t="shared" si="112"/>
        <v/>
      </c>
      <c r="AQ65" s="529" t="str">
        <f t="shared" si="318"/>
        <v/>
      </c>
      <c r="AS65" s="954" t="str">
        <f t="shared" si="510"/>
        <v/>
      </c>
      <c r="AT65" s="950" t="str">
        <f t="shared" si="319"/>
        <v/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9"/>
        <v/>
      </c>
      <c r="BA65" s="296" t="str">
        <f t="shared" si="322"/>
        <v/>
      </c>
      <c r="BB65" s="177" t="str">
        <f t="shared" si="140"/>
        <v/>
      </c>
      <c r="BC65" s="9"/>
      <c r="BD65" s="5" t="str">
        <f t="shared" si="141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2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3"/>
        <v/>
      </c>
      <c r="BP65" s="5" t="str">
        <f t="shared" si="144"/>
        <v/>
      </c>
      <c r="BQ65" s="5" t="str">
        <f t="shared" si="145"/>
        <v/>
      </c>
      <c r="BR65" s="6" t="str">
        <f t="shared" si="146"/>
        <v/>
      </c>
      <c r="BS65" s="4" t="str">
        <f t="shared" si="554"/>
        <v/>
      </c>
      <c r="BT65" s="5" t="str">
        <f t="shared" si="554"/>
        <v/>
      </c>
      <c r="BU65" s="10" t="str">
        <f t="shared" si="114"/>
        <v/>
      </c>
      <c r="BV65" s="9" t="str">
        <f t="shared" si="115"/>
        <v/>
      </c>
      <c r="BW65" s="5" t="str">
        <f t="shared" si="116"/>
        <v/>
      </c>
      <c r="BX65" s="8" t="str">
        <f t="shared" si="117"/>
        <v/>
      </c>
      <c r="BY65" s="173" t="str">
        <f t="shared" si="118"/>
        <v/>
      </c>
      <c r="BZ65" s="5" t="str">
        <f t="shared" si="119"/>
        <v/>
      </c>
      <c r="CA65" s="6" t="str">
        <f t="shared" si="120"/>
        <v/>
      </c>
      <c r="CB65" s="4" t="str">
        <f t="shared" si="147"/>
        <v/>
      </c>
      <c r="CC65" s="5" t="str">
        <f t="shared" si="148"/>
        <v/>
      </c>
      <c r="CD65" s="5" t="str">
        <f t="shared" si="149"/>
        <v/>
      </c>
      <c r="CE65" s="6" t="str">
        <f t="shared" si="150"/>
        <v/>
      </c>
      <c r="CF65" s="4" t="str">
        <f t="shared" si="151"/>
        <v/>
      </c>
      <c r="CG65" s="5" t="str">
        <f t="shared" si="152"/>
        <v/>
      </c>
      <c r="CH65" s="5" t="str">
        <f t="shared" si="153"/>
        <v/>
      </c>
      <c r="CI65" s="4" t="str">
        <f t="shared" si="121"/>
        <v/>
      </c>
      <c r="CJ65" s="5" t="str">
        <f t="shared" si="122"/>
        <v/>
      </c>
      <c r="CK65" s="8" t="str">
        <f t="shared" si="123"/>
        <v/>
      </c>
      <c r="CL65" s="173" t="str">
        <f t="shared" si="124"/>
        <v/>
      </c>
      <c r="CM65" s="5" t="str">
        <f t="shared" si="125"/>
        <v/>
      </c>
      <c r="CN65" s="6" t="str">
        <f t="shared" si="126"/>
        <v/>
      </c>
      <c r="CO65" s="167" t="str">
        <f t="shared" si="350"/>
        <v/>
      </c>
      <c r="CP65" s="4" t="str">
        <f t="shared" si="237"/>
        <v/>
      </c>
      <c r="CQ65" s="5" t="str">
        <f t="shared" si="238"/>
        <v/>
      </c>
      <c r="CR65" s="5" t="str">
        <f t="shared" si="154"/>
        <v/>
      </c>
      <c r="CS65" s="8" t="str">
        <f t="shared" si="155"/>
        <v/>
      </c>
      <c r="CT65" s="9" t="str">
        <f t="shared" si="156"/>
        <v/>
      </c>
      <c r="CU65" s="6" t="str">
        <f t="shared" si="157"/>
        <v/>
      </c>
      <c r="CV65" s="4" t="str">
        <f t="shared" si="239"/>
        <v/>
      </c>
      <c r="CW65" s="5" t="str">
        <f t="shared" si="158"/>
        <v/>
      </c>
      <c r="CX65" s="8" t="str">
        <f t="shared" si="159"/>
        <v/>
      </c>
      <c r="CY65" s="9" t="str">
        <f t="shared" si="160"/>
        <v/>
      </c>
      <c r="CZ65" s="5" t="str">
        <f t="shared" si="161"/>
        <v/>
      </c>
      <c r="DA65" s="6" t="str">
        <f t="shared" si="162"/>
        <v/>
      </c>
      <c r="DB65" s="4" t="str">
        <f t="shared" si="555"/>
        <v/>
      </c>
      <c r="DC65" s="5" t="str">
        <f t="shared" si="555"/>
        <v/>
      </c>
      <c r="DD65" s="10" t="str">
        <f t="shared" si="164"/>
        <v/>
      </c>
      <c r="DE65" s="9" t="str">
        <f t="shared" si="556"/>
        <v/>
      </c>
      <c r="DF65" s="5" t="str">
        <f t="shared" si="556"/>
        <v/>
      </c>
      <c r="DG65" s="10" t="str">
        <f t="shared" si="166"/>
        <v/>
      </c>
      <c r="DH65" s="70" t="str">
        <f t="shared" si="167"/>
        <v/>
      </c>
      <c r="DI65" s="4" t="str">
        <f t="shared" si="168"/>
        <v/>
      </c>
      <c r="DJ65" s="5" t="str">
        <f t="shared" si="169"/>
        <v/>
      </c>
      <c r="DK65" s="10" t="str">
        <f t="shared" si="170"/>
        <v/>
      </c>
      <c r="DL65" s="9" t="str">
        <f t="shared" si="171"/>
        <v/>
      </c>
      <c r="DM65" s="173" t="str">
        <f t="shared" si="172"/>
        <v/>
      </c>
      <c r="DN65" s="178" t="str">
        <f t="shared" si="173"/>
        <v/>
      </c>
      <c r="DO65" s="9" t="str">
        <f t="shared" si="174"/>
        <v/>
      </c>
      <c r="DP65" s="173" t="str">
        <f t="shared" si="175"/>
        <v/>
      </c>
      <c r="DQ65" s="11" t="str">
        <f t="shared" si="176"/>
        <v/>
      </c>
      <c r="DR65" s="173" t="str">
        <f t="shared" si="177"/>
        <v/>
      </c>
      <c r="DS65" s="5" t="str">
        <f t="shared" si="178"/>
        <v/>
      </c>
      <c r="DT65" s="5" t="str">
        <f t="shared" si="179"/>
        <v/>
      </c>
      <c r="DU65" s="5" t="str">
        <f t="shared" si="180"/>
        <v/>
      </c>
      <c r="DV65" s="5" t="str">
        <f t="shared" si="181"/>
        <v/>
      </c>
      <c r="DW65" s="5" t="str">
        <f t="shared" si="182"/>
        <v/>
      </c>
      <c r="DX65" s="167" t="str">
        <f t="shared" si="183"/>
        <v/>
      </c>
      <c r="DY65" s="9" t="str">
        <f t="shared" si="184"/>
        <v/>
      </c>
      <c r="DZ65" s="5" t="str">
        <f t="shared" si="185"/>
        <v/>
      </c>
      <c r="EA65" s="10" t="str">
        <f t="shared" si="186"/>
        <v/>
      </c>
      <c r="EB65" s="6" t="str">
        <f t="shared" si="187"/>
        <v/>
      </c>
      <c r="EC65" s="173" t="str">
        <f t="shared" si="188"/>
        <v/>
      </c>
      <c r="ED65" s="5" t="str">
        <f t="shared" si="189"/>
        <v/>
      </c>
      <c r="EE65" s="4" t="str">
        <f t="shared" si="190"/>
        <v/>
      </c>
      <c r="EF65" s="5" t="str">
        <f t="shared" si="191"/>
        <v/>
      </c>
      <c r="EG65" s="10" t="str">
        <f t="shared" si="192"/>
        <v/>
      </c>
      <c r="EH65" s="9" t="str">
        <f t="shared" si="193"/>
        <v/>
      </c>
      <c r="EI65" s="5" t="str">
        <f t="shared" si="194"/>
        <v/>
      </c>
      <c r="EJ65" s="6" t="str">
        <f t="shared" si="195"/>
        <v/>
      </c>
      <c r="EK65" s="236" t="str">
        <f t="shared" si="196"/>
        <v/>
      </c>
      <c r="EL65" s="238" t="str">
        <f t="shared" si="197"/>
        <v/>
      </c>
      <c r="EM65" s="4" t="str">
        <f t="shared" si="198"/>
        <v/>
      </c>
      <c r="EN65" s="5" t="str">
        <f t="shared" si="199"/>
        <v/>
      </c>
      <c r="EO65" s="10" t="str">
        <f t="shared" si="200"/>
        <v/>
      </c>
      <c r="EP65" s="9" t="str">
        <f t="shared" si="201"/>
        <v/>
      </c>
      <c r="EQ65" s="5" t="str">
        <f t="shared" si="202"/>
        <v/>
      </c>
      <c r="ER65" s="7" t="str">
        <f t="shared" si="203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4"/>
        <v/>
      </c>
      <c r="EZ65" s="51" t="str">
        <f t="shared" si="205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6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8"/>
        <v/>
      </c>
      <c r="FK65" s="4" t="str">
        <f t="shared" si="568"/>
        <v/>
      </c>
      <c r="FL65" s="5" t="str">
        <f t="shared" si="209"/>
        <v/>
      </c>
      <c r="FM65" s="8" t="str">
        <f t="shared" si="210"/>
        <v/>
      </c>
      <c r="FN65" s="9" t="str">
        <f t="shared" si="211"/>
        <v/>
      </c>
      <c r="FO65" s="10" t="str">
        <f t="shared" si="569"/>
        <v/>
      </c>
      <c r="FP65" s="277" t="str">
        <f t="shared" si="570"/>
        <v/>
      </c>
      <c r="FQ65" s="173" t="str">
        <f t="shared" si="240"/>
        <v/>
      </c>
      <c r="FR65" s="10" t="str">
        <f t="shared" si="212"/>
        <v/>
      </c>
      <c r="FS65" s="9" t="str">
        <f t="shared" si="213"/>
        <v/>
      </c>
      <c r="FT65" s="6" t="str">
        <f t="shared" si="214"/>
        <v/>
      </c>
      <c r="FU65" s="4" t="str">
        <f t="shared" si="215"/>
        <v/>
      </c>
      <c r="FV65" s="5" t="str">
        <f t="shared" si="216"/>
        <v/>
      </c>
      <c r="FW65" s="8" t="str">
        <f t="shared" si="241"/>
        <v/>
      </c>
      <c r="FX65" s="9" t="str">
        <f t="shared" si="242"/>
        <v/>
      </c>
      <c r="FY65" s="10" t="str">
        <f t="shared" si="571"/>
        <v/>
      </c>
      <c r="FZ65" s="277" t="str">
        <f t="shared" si="243"/>
        <v/>
      </c>
      <c r="GA65" s="177" t="str">
        <f t="shared" si="217"/>
        <v/>
      </c>
      <c r="GB65" s="4" t="str">
        <f t="shared" si="218"/>
        <v/>
      </c>
      <c r="GC65" s="5" t="str">
        <f t="shared" si="219"/>
        <v/>
      </c>
      <c r="GD65" s="10" t="str">
        <f t="shared" si="220"/>
        <v/>
      </c>
      <c r="GE65" s="311" t="str">
        <f t="shared" si="221"/>
        <v/>
      </c>
      <c r="GF65" s="341" t="str">
        <f t="shared" si="244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2"/>
        <v/>
      </c>
      <c r="GK65" s="174" t="str">
        <f t="shared" si="575"/>
        <v/>
      </c>
      <c r="GL65" s="174" t="str">
        <f t="shared" si="223"/>
        <v/>
      </c>
      <c r="GM65" s="177" t="str">
        <f t="shared" si="245"/>
        <v/>
      </c>
      <c r="GN65" s="280" t="str">
        <f t="shared" si="224"/>
        <v/>
      </c>
      <c r="GO65" s="4" t="str">
        <f t="shared" si="225"/>
        <v/>
      </c>
      <c r="GP65" s="8" t="str">
        <f t="shared" si="246"/>
        <v/>
      </c>
      <c r="GQ65" s="177" t="str">
        <f t="shared" si="226"/>
        <v/>
      </c>
      <c r="GR65" s="371" t="str">
        <f t="shared" si="247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4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7"/>
        <v/>
      </c>
      <c r="HC65" s="343" t="str">
        <f t="shared" si="228"/>
        <v/>
      </c>
      <c r="HD65" s="363" t="str">
        <f t="shared" si="229"/>
        <v/>
      </c>
      <c r="HE65" s="344" t="str">
        <f t="shared" si="584"/>
        <v/>
      </c>
      <c r="HF65" s="5" t="str">
        <f t="shared" si="585"/>
        <v/>
      </c>
      <c r="HG65" s="343" t="str">
        <f t="shared" si="230"/>
        <v/>
      </c>
      <c r="HH65" s="349" t="str">
        <f t="shared" si="231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23" t="str">
        <f t="shared" si="455"/>
        <v/>
      </c>
      <c r="HN65" s="924" t="str">
        <f t="shared" si="456"/>
        <v/>
      </c>
      <c r="HO65" s="925"/>
      <c r="HP65" s="926"/>
      <c r="HQ65" s="924" t="str">
        <f t="shared" si="457"/>
        <v/>
      </c>
      <c r="HR65" s="927" t="str">
        <f t="shared" si="458"/>
        <v/>
      </c>
      <c r="HS65" s="879" t="str">
        <f t="shared" si="507"/>
        <v/>
      </c>
      <c r="HT65" s="889" t="str">
        <f t="shared" si="459"/>
        <v/>
      </c>
      <c r="HU65" s="890" t="str">
        <f t="shared" si="460"/>
        <v/>
      </c>
      <c r="HV65" s="886" t="str">
        <f t="shared" si="461"/>
        <v/>
      </c>
      <c r="HW65" s="880" t="str">
        <f t="shared" si="462"/>
        <v/>
      </c>
      <c r="HX65" s="881" t="str">
        <f t="shared" si="463"/>
        <v/>
      </c>
      <c r="HY65" s="880" t="str">
        <f t="shared" si="464"/>
        <v/>
      </c>
      <c r="HZ65" s="882" t="str">
        <f t="shared" si="465"/>
        <v/>
      </c>
      <c r="IA65" s="883" t="str">
        <f t="shared" si="466"/>
        <v/>
      </c>
      <c r="IB65" s="884" t="str">
        <f t="shared" si="467"/>
        <v/>
      </c>
      <c r="IC65" s="855" t="str">
        <f t="shared" si="468"/>
        <v/>
      </c>
      <c r="ID65" s="351" t="str">
        <f t="shared" si="469"/>
        <v/>
      </c>
      <c r="IE65" s="857" t="str">
        <f t="shared" si="470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2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71"/>
        <v/>
      </c>
      <c r="IM65" s="482" t="str">
        <f t="shared" si="233"/>
        <v/>
      </c>
      <c r="IN65" s="670" t="str">
        <f t="shared" si="472"/>
        <v/>
      </c>
      <c r="IO65" s="702"/>
      <c r="IP65" s="5" t="str">
        <f t="shared" si="473"/>
        <v/>
      </c>
      <c r="IQ65" s="714"/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 t="str">
        <f t="shared" si="92"/>
        <v/>
      </c>
      <c r="B66" s="578" t="str">
        <f t="shared" ref="B66:D66" si="609">IFERROR(O221-($A66*E66),"")</f>
        <v/>
      </c>
      <c r="C66" s="572" t="str">
        <f t="shared" si="609"/>
        <v/>
      </c>
      <c r="D66" s="576" t="str">
        <f t="shared" si="609"/>
        <v/>
      </c>
      <c r="E66" s="580" t="str">
        <f t="shared" ref="E66:K66" si="610">R221</f>
        <v/>
      </c>
      <c r="F66" s="572" t="str">
        <f t="shared" si="610"/>
        <v/>
      </c>
      <c r="G66" s="579" t="str">
        <f t="shared" si="610"/>
        <v/>
      </c>
      <c r="H66" s="580" t="str">
        <f t="shared" si="610"/>
        <v/>
      </c>
      <c r="I66" s="572" t="str">
        <f t="shared" si="610"/>
        <v/>
      </c>
      <c r="J66" s="483" t="str">
        <f t="shared" si="95"/>
        <v/>
      </c>
      <c r="K66" s="806" t="str">
        <f t="shared" si="610"/>
        <v/>
      </c>
      <c r="L66" s="309"/>
      <c r="M66" s="164" t="str">
        <f t="shared" si="311"/>
        <v/>
      </c>
      <c r="N66" s="575" t="str">
        <f t="shared" si="312"/>
        <v/>
      </c>
      <c r="O66" s="572" t="str">
        <f t="shared" si="313"/>
        <v/>
      </c>
      <c r="P66" s="576" t="str">
        <f t="shared" si="314"/>
        <v/>
      </c>
      <c r="Q66" s="528" t="str">
        <f t="shared" si="135"/>
        <v/>
      </c>
      <c r="R66" s="572" t="str">
        <f t="shared" si="96"/>
        <v/>
      </c>
      <c r="S66" s="577" t="str">
        <f t="shared" si="97"/>
        <v/>
      </c>
      <c r="T66" s="578" t="str">
        <f t="shared" si="98"/>
        <v/>
      </c>
      <c r="U66" s="572" t="str">
        <f t="shared" si="99"/>
        <v/>
      </c>
      <c r="V66" s="579" t="str">
        <f t="shared" si="136"/>
        <v/>
      </c>
      <c r="W66" s="528" t="str">
        <f t="shared" si="257"/>
        <v/>
      </c>
      <c r="X66" s="572" t="str">
        <f t="shared" si="100"/>
        <v/>
      </c>
      <c r="Y66" s="573" t="str">
        <f t="shared" si="260"/>
        <v/>
      </c>
      <c r="Z66" s="575" t="str">
        <f t="shared" si="315"/>
        <v/>
      </c>
      <c r="AA66" s="572" t="str">
        <f t="shared" si="316"/>
        <v/>
      </c>
      <c r="AB66" s="572" t="str">
        <f t="shared" si="317"/>
        <v/>
      </c>
      <c r="AC66" s="579" t="str">
        <f t="shared" si="101"/>
        <v/>
      </c>
      <c r="AD66" s="580" t="str">
        <f t="shared" si="137"/>
        <v/>
      </c>
      <c r="AE66" s="572" t="str">
        <f t="shared" si="102"/>
        <v/>
      </c>
      <c r="AF66" s="576" t="str">
        <f t="shared" si="103"/>
        <v/>
      </c>
      <c r="AG66" s="545" t="str">
        <f t="shared" si="104"/>
        <v/>
      </c>
      <c r="AH66" s="546" t="str">
        <f t="shared" si="105"/>
        <v/>
      </c>
      <c r="AI66" s="528" t="str">
        <f t="shared" si="106"/>
        <v/>
      </c>
      <c r="AJ66" s="529" t="str">
        <f t="shared" si="107"/>
        <v/>
      </c>
      <c r="AK66" s="578" t="str">
        <f t="shared" si="236"/>
        <v/>
      </c>
      <c r="AL66" s="572" t="str">
        <f t="shared" si="108"/>
        <v/>
      </c>
      <c r="AM66" s="577" t="str">
        <f t="shared" si="109"/>
        <v/>
      </c>
      <c r="AN66" s="524" t="str">
        <f t="shared" si="110"/>
        <v/>
      </c>
      <c r="AO66" s="525" t="str">
        <f t="shared" si="590"/>
        <v/>
      </c>
      <c r="AP66" s="528" t="str">
        <f t="shared" si="112"/>
        <v/>
      </c>
      <c r="AQ66" s="529" t="str">
        <f t="shared" si="318"/>
        <v/>
      </c>
      <c r="AS66" s="954" t="str">
        <f t="shared" si="510"/>
        <v/>
      </c>
      <c r="AT66" s="950" t="str">
        <f t="shared" si="319"/>
        <v/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9"/>
        <v/>
      </c>
      <c r="BA66" s="296" t="str">
        <f t="shared" si="322"/>
        <v/>
      </c>
      <c r="BB66" s="177" t="str">
        <f t="shared" si="140"/>
        <v/>
      </c>
      <c r="BC66" s="9"/>
      <c r="BD66" s="5" t="str">
        <f t="shared" si="141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2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3"/>
        <v/>
      </c>
      <c r="BP66" s="5" t="str">
        <f t="shared" si="144"/>
        <v/>
      </c>
      <c r="BQ66" s="5" t="str">
        <f t="shared" si="145"/>
        <v/>
      </c>
      <c r="BR66" s="6" t="str">
        <f t="shared" si="146"/>
        <v/>
      </c>
      <c r="BS66" s="4" t="str">
        <f t="shared" si="554"/>
        <v/>
      </c>
      <c r="BT66" s="5" t="str">
        <f t="shared" si="554"/>
        <v/>
      </c>
      <c r="BU66" s="10" t="str">
        <f t="shared" si="114"/>
        <v/>
      </c>
      <c r="BV66" s="9" t="str">
        <f t="shared" si="115"/>
        <v/>
      </c>
      <c r="BW66" s="5" t="str">
        <f t="shared" si="116"/>
        <v/>
      </c>
      <c r="BX66" s="8" t="str">
        <f t="shared" si="117"/>
        <v/>
      </c>
      <c r="BY66" s="173" t="str">
        <f t="shared" si="118"/>
        <v/>
      </c>
      <c r="BZ66" s="5" t="str">
        <f t="shared" si="119"/>
        <v/>
      </c>
      <c r="CA66" s="6" t="str">
        <f t="shared" si="120"/>
        <v/>
      </c>
      <c r="CB66" s="4" t="str">
        <f t="shared" si="147"/>
        <v/>
      </c>
      <c r="CC66" s="5" t="str">
        <f t="shared" si="148"/>
        <v/>
      </c>
      <c r="CD66" s="5" t="str">
        <f t="shared" si="149"/>
        <v/>
      </c>
      <c r="CE66" s="6" t="str">
        <f t="shared" si="150"/>
        <v/>
      </c>
      <c r="CF66" s="4" t="str">
        <f t="shared" si="151"/>
        <v/>
      </c>
      <c r="CG66" s="5" t="str">
        <f t="shared" si="152"/>
        <v/>
      </c>
      <c r="CH66" s="5" t="str">
        <f t="shared" si="153"/>
        <v/>
      </c>
      <c r="CI66" s="4" t="str">
        <f t="shared" si="121"/>
        <v/>
      </c>
      <c r="CJ66" s="5" t="str">
        <f t="shared" si="122"/>
        <v/>
      </c>
      <c r="CK66" s="8" t="str">
        <f t="shared" si="123"/>
        <v/>
      </c>
      <c r="CL66" s="173" t="str">
        <f t="shared" si="124"/>
        <v/>
      </c>
      <c r="CM66" s="5" t="str">
        <f t="shared" si="125"/>
        <v/>
      </c>
      <c r="CN66" s="6" t="str">
        <f t="shared" si="126"/>
        <v/>
      </c>
      <c r="CO66" s="167" t="str">
        <f t="shared" si="350"/>
        <v/>
      </c>
      <c r="CP66" s="4" t="str">
        <f t="shared" si="237"/>
        <v/>
      </c>
      <c r="CQ66" s="5" t="str">
        <f t="shared" si="238"/>
        <v/>
      </c>
      <c r="CR66" s="5" t="str">
        <f t="shared" si="154"/>
        <v/>
      </c>
      <c r="CS66" s="8" t="str">
        <f t="shared" si="155"/>
        <v/>
      </c>
      <c r="CT66" s="9" t="str">
        <f t="shared" si="156"/>
        <v/>
      </c>
      <c r="CU66" s="6" t="str">
        <f t="shared" si="157"/>
        <v/>
      </c>
      <c r="CV66" s="4" t="str">
        <f t="shared" si="239"/>
        <v/>
      </c>
      <c r="CW66" s="5" t="str">
        <f t="shared" si="158"/>
        <v/>
      </c>
      <c r="CX66" s="8" t="str">
        <f t="shared" si="159"/>
        <v/>
      </c>
      <c r="CY66" s="9" t="str">
        <f t="shared" si="160"/>
        <v/>
      </c>
      <c r="CZ66" s="5" t="str">
        <f t="shared" si="161"/>
        <v/>
      </c>
      <c r="DA66" s="6" t="str">
        <f t="shared" si="162"/>
        <v/>
      </c>
      <c r="DB66" s="4" t="str">
        <f t="shared" si="555"/>
        <v/>
      </c>
      <c r="DC66" s="5" t="str">
        <f t="shared" si="555"/>
        <v/>
      </c>
      <c r="DD66" s="10" t="str">
        <f t="shared" si="164"/>
        <v/>
      </c>
      <c r="DE66" s="9" t="str">
        <f t="shared" si="556"/>
        <v/>
      </c>
      <c r="DF66" s="5" t="str">
        <f t="shared" si="556"/>
        <v/>
      </c>
      <c r="DG66" s="10" t="str">
        <f t="shared" si="166"/>
        <v/>
      </c>
      <c r="DH66" s="70" t="str">
        <f t="shared" si="167"/>
        <v/>
      </c>
      <c r="DI66" s="4" t="str">
        <f t="shared" si="168"/>
        <v/>
      </c>
      <c r="DJ66" s="5" t="str">
        <f t="shared" si="169"/>
        <v/>
      </c>
      <c r="DK66" s="10" t="str">
        <f t="shared" si="170"/>
        <v/>
      </c>
      <c r="DL66" s="9" t="str">
        <f t="shared" si="171"/>
        <v/>
      </c>
      <c r="DM66" s="173" t="str">
        <f t="shared" si="172"/>
        <v/>
      </c>
      <c r="DN66" s="178" t="str">
        <f t="shared" si="173"/>
        <v/>
      </c>
      <c r="DO66" s="9" t="str">
        <f t="shared" si="174"/>
        <v/>
      </c>
      <c r="DP66" s="173" t="str">
        <f t="shared" si="175"/>
        <v/>
      </c>
      <c r="DQ66" s="11" t="str">
        <f t="shared" si="176"/>
        <v/>
      </c>
      <c r="DR66" s="173" t="str">
        <f t="shared" si="177"/>
        <v/>
      </c>
      <c r="DS66" s="5" t="str">
        <f t="shared" si="178"/>
        <v/>
      </c>
      <c r="DT66" s="5" t="str">
        <f t="shared" si="179"/>
        <v/>
      </c>
      <c r="DU66" s="5" t="str">
        <f t="shared" si="180"/>
        <v/>
      </c>
      <c r="DV66" s="5" t="str">
        <f t="shared" si="181"/>
        <v/>
      </c>
      <c r="DW66" s="5" t="str">
        <f t="shared" si="182"/>
        <v/>
      </c>
      <c r="DX66" s="167" t="str">
        <f t="shared" si="183"/>
        <v/>
      </c>
      <c r="DY66" s="9" t="str">
        <f t="shared" si="184"/>
        <v/>
      </c>
      <c r="DZ66" s="5" t="str">
        <f t="shared" si="185"/>
        <v/>
      </c>
      <c r="EA66" s="10" t="str">
        <f t="shared" si="186"/>
        <v/>
      </c>
      <c r="EB66" s="6" t="str">
        <f t="shared" si="187"/>
        <v/>
      </c>
      <c r="EC66" s="173" t="str">
        <f t="shared" si="188"/>
        <v/>
      </c>
      <c r="ED66" s="5" t="str">
        <f t="shared" si="189"/>
        <v/>
      </c>
      <c r="EE66" s="4" t="str">
        <f t="shared" si="190"/>
        <v/>
      </c>
      <c r="EF66" s="5" t="str">
        <f t="shared" si="191"/>
        <v/>
      </c>
      <c r="EG66" s="10" t="str">
        <f t="shared" si="192"/>
        <v/>
      </c>
      <c r="EH66" s="9" t="str">
        <f t="shared" si="193"/>
        <v/>
      </c>
      <c r="EI66" s="5" t="str">
        <f t="shared" si="194"/>
        <v/>
      </c>
      <c r="EJ66" s="6" t="str">
        <f t="shared" si="195"/>
        <v/>
      </c>
      <c r="EK66" s="236" t="str">
        <f t="shared" si="196"/>
        <v/>
      </c>
      <c r="EL66" s="238" t="str">
        <f t="shared" si="197"/>
        <v/>
      </c>
      <c r="EM66" s="4" t="str">
        <f t="shared" si="198"/>
        <v/>
      </c>
      <c r="EN66" s="5" t="str">
        <f t="shared" si="199"/>
        <v/>
      </c>
      <c r="EO66" s="10" t="str">
        <f t="shared" si="200"/>
        <v/>
      </c>
      <c r="EP66" s="9" t="str">
        <f t="shared" si="201"/>
        <v/>
      </c>
      <c r="EQ66" s="5" t="str">
        <f t="shared" si="202"/>
        <v/>
      </c>
      <c r="ER66" s="7" t="str">
        <f t="shared" si="203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4"/>
        <v/>
      </c>
      <c r="EZ66" s="51" t="str">
        <f t="shared" si="205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6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8"/>
        <v/>
      </c>
      <c r="FK66" s="4" t="str">
        <f t="shared" si="568"/>
        <v/>
      </c>
      <c r="FL66" s="5" t="str">
        <f t="shared" si="209"/>
        <v/>
      </c>
      <c r="FM66" s="8" t="str">
        <f t="shared" si="210"/>
        <v/>
      </c>
      <c r="FN66" s="9" t="str">
        <f t="shared" si="211"/>
        <v/>
      </c>
      <c r="FO66" s="10" t="str">
        <f t="shared" si="569"/>
        <v/>
      </c>
      <c r="FP66" s="277" t="str">
        <f t="shared" si="570"/>
        <v/>
      </c>
      <c r="FQ66" s="173" t="str">
        <f t="shared" si="240"/>
        <v/>
      </c>
      <c r="FR66" s="10" t="str">
        <f t="shared" si="212"/>
        <v/>
      </c>
      <c r="FS66" s="9" t="str">
        <f t="shared" si="213"/>
        <v/>
      </c>
      <c r="FT66" s="6" t="str">
        <f t="shared" si="214"/>
        <v/>
      </c>
      <c r="FU66" s="4" t="str">
        <f t="shared" si="215"/>
        <v/>
      </c>
      <c r="FV66" s="5" t="str">
        <f t="shared" si="216"/>
        <v/>
      </c>
      <c r="FW66" s="8" t="str">
        <f t="shared" si="241"/>
        <v/>
      </c>
      <c r="FX66" s="9" t="str">
        <f t="shared" si="242"/>
        <v/>
      </c>
      <c r="FY66" s="10" t="str">
        <f t="shared" si="571"/>
        <v/>
      </c>
      <c r="FZ66" s="277" t="str">
        <f t="shared" si="243"/>
        <v/>
      </c>
      <c r="GA66" s="177" t="str">
        <f t="shared" si="217"/>
        <v/>
      </c>
      <c r="GB66" s="4" t="str">
        <f t="shared" si="218"/>
        <v/>
      </c>
      <c r="GC66" s="5" t="str">
        <f t="shared" si="219"/>
        <v/>
      </c>
      <c r="GD66" s="10" t="str">
        <f t="shared" si="220"/>
        <v/>
      </c>
      <c r="GE66" s="311" t="str">
        <f t="shared" si="221"/>
        <v/>
      </c>
      <c r="GF66" s="341" t="str">
        <f t="shared" si="244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2"/>
        <v/>
      </c>
      <c r="GK66" s="174" t="str">
        <f t="shared" si="575"/>
        <v/>
      </c>
      <c r="GL66" s="174" t="str">
        <f t="shared" si="223"/>
        <v/>
      </c>
      <c r="GM66" s="177" t="str">
        <f t="shared" si="245"/>
        <v/>
      </c>
      <c r="GN66" s="280" t="str">
        <f t="shared" si="224"/>
        <v/>
      </c>
      <c r="GO66" s="4" t="str">
        <f t="shared" si="225"/>
        <v/>
      </c>
      <c r="GP66" s="8" t="str">
        <f t="shared" si="246"/>
        <v/>
      </c>
      <c r="GQ66" s="177" t="str">
        <f t="shared" si="226"/>
        <v/>
      </c>
      <c r="GR66" s="371" t="str">
        <f t="shared" si="247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4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7"/>
        <v/>
      </c>
      <c r="HC66" s="343" t="str">
        <f t="shared" si="228"/>
        <v/>
      </c>
      <c r="HD66" s="363" t="str">
        <f t="shared" si="229"/>
        <v/>
      </c>
      <c r="HE66" s="344" t="str">
        <f t="shared" si="584"/>
        <v/>
      </c>
      <c r="HF66" s="5" t="str">
        <f t="shared" si="585"/>
        <v/>
      </c>
      <c r="HG66" s="343" t="str">
        <f t="shared" si="230"/>
        <v/>
      </c>
      <c r="HH66" s="349" t="str">
        <f t="shared" si="231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23" t="str">
        <f t="shared" si="455"/>
        <v/>
      </c>
      <c r="HN66" s="924" t="str">
        <f t="shared" si="456"/>
        <v/>
      </c>
      <c r="HO66" s="925"/>
      <c r="HP66" s="926"/>
      <c r="HQ66" s="924" t="str">
        <f t="shared" si="457"/>
        <v/>
      </c>
      <c r="HR66" s="927" t="str">
        <f t="shared" si="458"/>
        <v/>
      </c>
      <c r="HS66" s="879" t="str">
        <f t="shared" si="507"/>
        <v/>
      </c>
      <c r="HT66" s="889" t="str">
        <f t="shared" si="459"/>
        <v/>
      </c>
      <c r="HU66" s="890" t="str">
        <f t="shared" si="460"/>
        <v/>
      </c>
      <c r="HV66" s="886" t="str">
        <f t="shared" si="461"/>
        <v/>
      </c>
      <c r="HW66" s="880" t="str">
        <f t="shared" si="462"/>
        <v/>
      </c>
      <c r="HX66" s="881" t="str">
        <f t="shared" si="463"/>
        <v/>
      </c>
      <c r="HY66" s="880" t="str">
        <f t="shared" si="464"/>
        <v/>
      </c>
      <c r="HZ66" s="882" t="str">
        <f t="shared" si="465"/>
        <v/>
      </c>
      <c r="IA66" s="883" t="str">
        <f t="shared" si="466"/>
        <v/>
      </c>
      <c r="IB66" s="884" t="str">
        <f t="shared" si="467"/>
        <v/>
      </c>
      <c r="IC66" s="855" t="str">
        <f t="shared" si="468"/>
        <v/>
      </c>
      <c r="ID66" s="351" t="str">
        <f t="shared" si="469"/>
        <v/>
      </c>
      <c r="IE66" s="857" t="str">
        <f t="shared" si="470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2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71"/>
        <v/>
      </c>
      <c r="IM66" s="482" t="str">
        <f t="shared" si="233"/>
        <v/>
      </c>
      <c r="IN66" s="670" t="str">
        <f t="shared" si="472"/>
        <v/>
      </c>
      <c r="IO66" s="702"/>
      <c r="IP66" s="5" t="str">
        <f t="shared" si="473"/>
        <v/>
      </c>
      <c r="IQ66" s="714"/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 t="str">
        <f t="shared" si="92"/>
        <v/>
      </c>
      <c r="B67" s="578" t="str">
        <f t="shared" ref="B67:D67" si="611">IFERROR(O222-($A67*E67),"")</f>
        <v/>
      </c>
      <c r="C67" s="572" t="str">
        <f t="shared" si="611"/>
        <v/>
      </c>
      <c r="D67" s="576" t="str">
        <f t="shared" si="611"/>
        <v/>
      </c>
      <c r="E67" s="580" t="str">
        <f t="shared" ref="E67:K67" si="612">R222</f>
        <v/>
      </c>
      <c r="F67" s="572" t="str">
        <f t="shared" si="612"/>
        <v/>
      </c>
      <c r="G67" s="579" t="str">
        <f t="shared" si="612"/>
        <v/>
      </c>
      <c r="H67" s="580" t="str">
        <f t="shared" si="612"/>
        <v/>
      </c>
      <c r="I67" s="572" t="str">
        <f t="shared" si="612"/>
        <v/>
      </c>
      <c r="J67" s="483" t="str">
        <f t="shared" si="95"/>
        <v/>
      </c>
      <c r="K67" s="806" t="str">
        <f t="shared" si="612"/>
        <v/>
      </c>
      <c r="L67" s="309"/>
      <c r="M67" s="164" t="str">
        <f t="shared" si="311"/>
        <v/>
      </c>
      <c r="N67" s="575" t="str">
        <f t="shared" si="312"/>
        <v/>
      </c>
      <c r="O67" s="572" t="str">
        <f t="shared" si="313"/>
        <v/>
      </c>
      <c r="P67" s="576" t="str">
        <f t="shared" si="314"/>
        <v/>
      </c>
      <c r="Q67" s="528" t="str">
        <f t="shared" si="135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7"/>
        <v/>
      </c>
      <c r="X67" s="572" t="str">
        <f>IF(M67="","",R67)</f>
        <v/>
      </c>
      <c r="Y67" s="573" t="str">
        <f t="shared" si="260"/>
        <v/>
      </c>
      <c r="Z67" s="575" t="str">
        <f t="shared" si="315"/>
        <v/>
      </c>
      <c r="AA67" s="572" t="str">
        <f t="shared" si="316"/>
        <v/>
      </c>
      <c r="AB67" s="572" t="str">
        <f t="shared" si="317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90"/>
        <v/>
      </c>
      <c r="AP67" s="528" t="str">
        <f>IF(M67="","",DEGREES(ATAN2(AK67,AL67)))</f>
        <v/>
      </c>
      <c r="AQ67" s="529" t="str">
        <f t="shared" si="318"/>
        <v/>
      </c>
      <c r="AS67" s="954" t="str">
        <f t="shared" si="510"/>
        <v/>
      </c>
      <c r="AT67" s="950" t="str">
        <f t="shared" si="319"/>
        <v/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9"/>
        <v/>
      </c>
      <c r="BA67" s="296" t="str">
        <f t="shared" si="322"/>
        <v/>
      </c>
      <c r="BB67" s="177" t="str">
        <f t="shared" si="140"/>
        <v/>
      </c>
      <c r="BC67" s="9"/>
      <c r="BD67" s="5" t="str">
        <f t="shared" si="141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2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3"/>
        <v/>
      </c>
      <c r="BP67" s="5" t="str">
        <f t="shared" si="144"/>
        <v/>
      </c>
      <c r="BQ67" s="5" t="str">
        <f t="shared" si="145"/>
        <v/>
      </c>
      <c r="BR67" s="6" t="str">
        <f t="shared" si="146"/>
        <v/>
      </c>
      <c r="BS67" s="4" t="str">
        <f t="shared" si="554"/>
        <v/>
      </c>
      <c r="BT67" s="5" t="str">
        <f t="shared" si="554"/>
        <v/>
      </c>
      <c r="BU67" s="10" t="str">
        <f t="shared" si="114"/>
        <v/>
      </c>
      <c r="BV67" s="9" t="str">
        <f t="shared" si="115"/>
        <v/>
      </c>
      <c r="BW67" s="5" t="str">
        <f t="shared" si="116"/>
        <v/>
      </c>
      <c r="BX67" s="8" t="str">
        <f t="shared" si="117"/>
        <v/>
      </c>
      <c r="BY67" s="173" t="str">
        <f t="shared" si="118"/>
        <v/>
      </c>
      <c r="BZ67" s="5" t="str">
        <f t="shared" si="119"/>
        <v/>
      </c>
      <c r="CA67" s="6" t="str">
        <f t="shared" si="120"/>
        <v/>
      </c>
      <c r="CB67" s="4" t="str">
        <f t="shared" si="147"/>
        <v/>
      </c>
      <c r="CC67" s="5" t="str">
        <f t="shared" si="148"/>
        <v/>
      </c>
      <c r="CD67" s="5" t="str">
        <f t="shared" si="149"/>
        <v/>
      </c>
      <c r="CE67" s="6" t="str">
        <f t="shared" si="150"/>
        <v/>
      </c>
      <c r="CF67" s="4" t="str">
        <f t="shared" si="151"/>
        <v/>
      </c>
      <c r="CG67" s="5" t="str">
        <f t="shared" si="152"/>
        <v/>
      </c>
      <c r="CH67" s="5" t="str">
        <f t="shared" si="153"/>
        <v/>
      </c>
      <c r="CI67" s="4" t="str">
        <f t="shared" si="121"/>
        <v/>
      </c>
      <c r="CJ67" s="5" t="str">
        <f t="shared" si="122"/>
        <v/>
      </c>
      <c r="CK67" s="8" t="str">
        <f t="shared" si="123"/>
        <v/>
      </c>
      <c r="CL67" s="173" t="str">
        <f t="shared" si="124"/>
        <v/>
      </c>
      <c r="CM67" s="5" t="str">
        <f t="shared" si="125"/>
        <v/>
      </c>
      <c r="CN67" s="6" t="str">
        <f t="shared" si="126"/>
        <v/>
      </c>
      <c r="CO67" s="167" t="str">
        <f t="shared" si="350"/>
        <v/>
      </c>
      <c r="CP67" s="4" t="str">
        <f t="shared" si="237"/>
        <v/>
      </c>
      <c r="CQ67" s="5" t="str">
        <f t="shared" si="238"/>
        <v/>
      </c>
      <c r="CR67" s="5" t="str">
        <f t="shared" si="154"/>
        <v/>
      </c>
      <c r="CS67" s="8" t="str">
        <f t="shared" si="155"/>
        <v/>
      </c>
      <c r="CT67" s="9" t="str">
        <f t="shared" si="156"/>
        <v/>
      </c>
      <c r="CU67" s="6" t="str">
        <f t="shared" si="157"/>
        <v/>
      </c>
      <c r="CV67" s="4" t="str">
        <f t="shared" si="239"/>
        <v/>
      </c>
      <c r="CW67" s="5" t="str">
        <f t="shared" si="158"/>
        <v/>
      </c>
      <c r="CX67" s="8" t="str">
        <f t="shared" si="159"/>
        <v/>
      </c>
      <c r="CY67" s="9" t="str">
        <f t="shared" si="160"/>
        <v/>
      </c>
      <c r="CZ67" s="5" t="str">
        <f t="shared" si="161"/>
        <v/>
      </c>
      <c r="DA67" s="6" t="str">
        <f t="shared" si="162"/>
        <v/>
      </c>
      <c r="DB67" s="4" t="str">
        <f t="shared" si="555"/>
        <v/>
      </c>
      <c r="DC67" s="5" t="str">
        <f t="shared" si="555"/>
        <v/>
      </c>
      <c r="DD67" s="10" t="str">
        <f t="shared" si="164"/>
        <v/>
      </c>
      <c r="DE67" s="9" t="str">
        <f t="shared" si="556"/>
        <v/>
      </c>
      <c r="DF67" s="5" t="str">
        <f t="shared" si="556"/>
        <v/>
      </c>
      <c r="DG67" s="10" t="str">
        <f t="shared" si="166"/>
        <v/>
      </c>
      <c r="DH67" s="70" t="str">
        <f t="shared" si="167"/>
        <v/>
      </c>
      <c r="DI67" s="4" t="str">
        <f t="shared" si="168"/>
        <v/>
      </c>
      <c r="DJ67" s="5" t="str">
        <f t="shared" si="169"/>
        <v/>
      </c>
      <c r="DK67" s="10" t="str">
        <f t="shared" si="170"/>
        <v/>
      </c>
      <c r="DL67" s="9" t="str">
        <f t="shared" si="171"/>
        <v/>
      </c>
      <c r="DM67" s="173" t="str">
        <f t="shared" si="172"/>
        <v/>
      </c>
      <c r="DN67" s="178" t="str">
        <f t="shared" si="173"/>
        <v/>
      </c>
      <c r="DO67" s="9" t="str">
        <f t="shared" si="174"/>
        <v/>
      </c>
      <c r="DP67" s="173" t="str">
        <f t="shared" si="175"/>
        <v/>
      </c>
      <c r="DQ67" s="11" t="str">
        <f t="shared" si="176"/>
        <v/>
      </c>
      <c r="DR67" s="173" t="str">
        <f t="shared" si="177"/>
        <v/>
      </c>
      <c r="DS67" s="5" t="str">
        <f t="shared" si="178"/>
        <v/>
      </c>
      <c r="DT67" s="5" t="str">
        <f t="shared" si="179"/>
        <v/>
      </c>
      <c r="DU67" s="5" t="str">
        <f t="shared" si="180"/>
        <v/>
      </c>
      <c r="DV67" s="5" t="str">
        <f t="shared" si="181"/>
        <v/>
      </c>
      <c r="DW67" s="5" t="str">
        <f t="shared" si="182"/>
        <v/>
      </c>
      <c r="DX67" s="167" t="str">
        <f t="shared" si="183"/>
        <v/>
      </c>
      <c r="DY67" s="9" t="str">
        <f t="shared" si="184"/>
        <v/>
      </c>
      <c r="DZ67" s="5" t="str">
        <f t="shared" si="185"/>
        <v/>
      </c>
      <c r="EA67" s="10" t="str">
        <f t="shared" si="186"/>
        <v/>
      </c>
      <c r="EB67" s="6" t="str">
        <f t="shared" si="187"/>
        <v/>
      </c>
      <c r="EC67" s="173" t="str">
        <f t="shared" si="188"/>
        <v/>
      </c>
      <c r="ED67" s="5" t="str">
        <f t="shared" si="189"/>
        <v/>
      </c>
      <c r="EE67" s="4" t="str">
        <f t="shared" si="190"/>
        <v/>
      </c>
      <c r="EF67" s="5" t="str">
        <f t="shared" si="191"/>
        <v/>
      </c>
      <c r="EG67" s="10" t="str">
        <f t="shared" si="192"/>
        <v/>
      </c>
      <c r="EH67" s="9" t="str">
        <f t="shared" si="193"/>
        <v/>
      </c>
      <c r="EI67" s="5" t="str">
        <f t="shared" si="194"/>
        <v/>
      </c>
      <c r="EJ67" s="6" t="str">
        <f t="shared" si="195"/>
        <v/>
      </c>
      <c r="EK67" s="236" t="str">
        <f t="shared" si="196"/>
        <v/>
      </c>
      <c r="EL67" s="238" t="str">
        <f t="shared" si="197"/>
        <v/>
      </c>
      <c r="EM67" s="4" t="str">
        <f t="shared" si="198"/>
        <v/>
      </c>
      <c r="EN67" s="5" t="str">
        <f t="shared" si="199"/>
        <v/>
      </c>
      <c r="EO67" s="10" t="str">
        <f t="shared" si="200"/>
        <v/>
      </c>
      <c r="EP67" s="9" t="str">
        <f t="shared" si="201"/>
        <v/>
      </c>
      <c r="EQ67" s="5" t="str">
        <f t="shared" si="202"/>
        <v/>
      </c>
      <c r="ER67" s="7" t="str">
        <f t="shared" si="203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4"/>
        <v/>
      </c>
      <c r="EZ67" s="51" t="str">
        <f t="shared" si="205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6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8"/>
        <v/>
      </c>
      <c r="FK67" s="4" t="str">
        <f t="shared" si="568"/>
        <v/>
      </c>
      <c r="FL67" s="5" t="str">
        <f t="shared" si="209"/>
        <v/>
      </c>
      <c r="FM67" s="8" t="str">
        <f t="shared" si="210"/>
        <v/>
      </c>
      <c r="FN67" s="9" t="str">
        <f t="shared" si="211"/>
        <v/>
      </c>
      <c r="FO67" s="10" t="str">
        <f t="shared" si="569"/>
        <v/>
      </c>
      <c r="FP67" s="277" t="str">
        <f t="shared" si="570"/>
        <v/>
      </c>
      <c r="FQ67" s="173" t="str">
        <f t="shared" si="240"/>
        <v/>
      </c>
      <c r="FR67" s="10" t="str">
        <f t="shared" si="212"/>
        <v/>
      </c>
      <c r="FS67" s="9" t="str">
        <f t="shared" si="213"/>
        <v/>
      </c>
      <c r="FT67" s="6" t="str">
        <f t="shared" si="214"/>
        <v/>
      </c>
      <c r="FU67" s="4" t="str">
        <f t="shared" si="215"/>
        <v/>
      </c>
      <c r="FV67" s="5" t="str">
        <f t="shared" si="216"/>
        <v/>
      </c>
      <c r="FW67" s="8" t="str">
        <f t="shared" si="241"/>
        <v/>
      </c>
      <c r="FX67" s="9" t="str">
        <f t="shared" si="242"/>
        <v/>
      </c>
      <c r="FY67" s="10" t="str">
        <f t="shared" si="571"/>
        <v/>
      </c>
      <c r="FZ67" s="277" t="str">
        <f t="shared" si="243"/>
        <v/>
      </c>
      <c r="GA67" s="177" t="str">
        <f t="shared" si="217"/>
        <v/>
      </c>
      <c r="GB67" s="4" t="str">
        <f t="shared" si="218"/>
        <v/>
      </c>
      <c r="GC67" s="5" t="str">
        <f t="shared" si="219"/>
        <v/>
      </c>
      <c r="GD67" s="10" t="str">
        <f t="shared" si="220"/>
        <v/>
      </c>
      <c r="GE67" s="311" t="str">
        <f t="shared" si="221"/>
        <v/>
      </c>
      <c r="GF67" s="341" t="str">
        <f t="shared" si="244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2"/>
        <v/>
      </c>
      <c r="GK67" s="174" t="str">
        <f t="shared" si="575"/>
        <v/>
      </c>
      <c r="GL67" s="174" t="str">
        <f t="shared" si="223"/>
        <v/>
      </c>
      <c r="GM67" s="177" t="str">
        <f t="shared" si="245"/>
        <v/>
      </c>
      <c r="GN67" s="280" t="str">
        <f t="shared" si="224"/>
        <v/>
      </c>
      <c r="GO67" s="4" t="str">
        <f t="shared" si="225"/>
        <v/>
      </c>
      <c r="GP67" s="8" t="str">
        <f t="shared" si="246"/>
        <v/>
      </c>
      <c r="GQ67" s="177" t="str">
        <f t="shared" si="226"/>
        <v/>
      </c>
      <c r="GR67" s="371" t="str">
        <f t="shared" si="247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4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7"/>
        <v/>
      </c>
      <c r="HC67" s="343" t="str">
        <f t="shared" si="228"/>
        <v/>
      </c>
      <c r="HD67" s="363" t="str">
        <f t="shared" si="229"/>
        <v/>
      </c>
      <c r="HE67" s="344" t="str">
        <f t="shared" si="584"/>
        <v/>
      </c>
      <c r="HF67" s="5" t="str">
        <f t="shared" si="585"/>
        <v/>
      </c>
      <c r="HG67" s="343" t="str">
        <f t="shared" si="230"/>
        <v/>
      </c>
      <c r="HH67" s="349" t="str">
        <f t="shared" si="231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23" t="str">
        <f t="shared" si="455"/>
        <v/>
      </c>
      <c r="HN67" s="924" t="str">
        <f t="shared" si="456"/>
        <v/>
      </c>
      <c r="HO67" s="925"/>
      <c r="HP67" s="926"/>
      <c r="HQ67" s="924" t="str">
        <f t="shared" si="457"/>
        <v/>
      </c>
      <c r="HR67" s="927" t="str">
        <f t="shared" si="458"/>
        <v/>
      </c>
      <c r="HS67" s="879" t="str">
        <f t="shared" si="507"/>
        <v/>
      </c>
      <c r="HT67" s="889" t="str">
        <f t="shared" si="459"/>
        <v/>
      </c>
      <c r="HU67" s="890" t="str">
        <f t="shared" si="460"/>
        <v/>
      </c>
      <c r="HV67" s="886" t="str">
        <f t="shared" si="461"/>
        <v/>
      </c>
      <c r="HW67" s="880" t="str">
        <f t="shared" si="462"/>
        <v/>
      </c>
      <c r="HX67" s="881" t="str">
        <f t="shared" si="463"/>
        <v/>
      </c>
      <c r="HY67" s="880" t="str">
        <f t="shared" si="464"/>
        <v/>
      </c>
      <c r="HZ67" s="882" t="str">
        <f t="shared" si="465"/>
        <v/>
      </c>
      <c r="IA67" s="883" t="str">
        <f t="shared" si="466"/>
        <v/>
      </c>
      <c r="IB67" s="884" t="str">
        <f t="shared" si="467"/>
        <v/>
      </c>
      <c r="IC67" s="855" t="str">
        <f t="shared" si="468"/>
        <v/>
      </c>
      <c r="ID67" s="351" t="str">
        <f t="shared" si="469"/>
        <v/>
      </c>
      <c r="IE67" s="857" t="str">
        <f t="shared" si="470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2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71"/>
        <v/>
      </c>
      <c r="IM67" s="482" t="str">
        <f t="shared" si="233"/>
        <v/>
      </c>
      <c r="IN67" s="670" t="str">
        <f t="shared" si="472"/>
        <v/>
      </c>
      <c r="IO67" s="702"/>
      <c r="IP67" s="5" t="str">
        <f t="shared" si="473"/>
        <v/>
      </c>
      <c r="IQ67" s="714"/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 t="str">
        <f t="shared" si="92"/>
        <v/>
      </c>
      <c r="B68" s="578" t="str">
        <f t="shared" ref="B68:D68" si="613">IFERROR(O223-($A68*E68),"")</f>
        <v/>
      </c>
      <c r="C68" s="572" t="str">
        <f t="shared" si="613"/>
        <v/>
      </c>
      <c r="D68" s="576" t="str">
        <f t="shared" si="613"/>
        <v/>
      </c>
      <c r="E68" s="580" t="str">
        <f t="shared" ref="E68:K68" si="614">R223</f>
        <v/>
      </c>
      <c r="F68" s="572" t="str">
        <f t="shared" si="614"/>
        <v/>
      </c>
      <c r="G68" s="579" t="str">
        <f t="shared" si="614"/>
        <v/>
      </c>
      <c r="H68" s="580" t="str">
        <f t="shared" si="614"/>
        <v/>
      </c>
      <c r="I68" s="572" t="str">
        <f t="shared" si="614"/>
        <v/>
      </c>
      <c r="J68" s="483" t="str">
        <f t="shared" si="95"/>
        <v/>
      </c>
      <c r="K68" s="806" t="str">
        <f t="shared" si="614"/>
        <v/>
      </c>
      <c r="L68" s="309"/>
      <c r="M68" s="164" t="str">
        <f t="shared" si="311"/>
        <v/>
      </c>
      <c r="N68" s="575" t="str">
        <f t="shared" si="312"/>
        <v/>
      </c>
      <c r="O68" s="572" t="str">
        <f t="shared" si="313"/>
        <v/>
      </c>
      <c r="P68" s="576" t="str">
        <f t="shared" si="314"/>
        <v/>
      </c>
      <c r="Q68" s="528" t="str">
        <f t="shared" si="135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7"/>
        <v/>
      </c>
      <c r="X68" s="572" t="str">
        <f>IF(M68="","",R68)</f>
        <v/>
      </c>
      <c r="Y68" s="573" t="str">
        <f t="shared" si="260"/>
        <v/>
      </c>
      <c r="Z68" s="575" t="str">
        <f t="shared" si="315"/>
        <v/>
      </c>
      <c r="AA68" s="572" t="str">
        <f t="shared" si="316"/>
        <v/>
      </c>
      <c r="AB68" s="572" t="str">
        <f t="shared" si="317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90"/>
        <v/>
      </c>
      <c r="AP68" s="528" t="str">
        <f>IF(M68="","",DEGREES(ATAN2(AK68,AL68)))</f>
        <v/>
      </c>
      <c r="AQ68" s="529" t="str">
        <f t="shared" si="318"/>
        <v/>
      </c>
      <c r="AS68" s="954" t="str">
        <f t="shared" si="510"/>
        <v/>
      </c>
      <c r="AT68" s="950" t="str">
        <f t="shared" si="319"/>
        <v/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9"/>
        <v/>
      </c>
      <c r="BA68" s="296" t="str">
        <f t="shared" si="322"/>
        <v/>
      </c>
      <c r="BB68" s="177" t="str">
        <f t="shared" si="140"/>
        <v/>
      </c>
      <c r="BC68" s="9"/>
      <c r="BD68" s="5" t="str">
        <f t="shared" si="141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2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3"/>
        <v/>
      </c>
      <c r="BP68" s="5" t="str">
        <f t="shared" si="144"/>
        <v/>
      </c>
      <c r="BQ68" s="5" t="str">
        <f t="shared" si="145"/>
        <v/>
      </c>
      <c r="BR68" s="6" t="str">
        <f t="shared" si="146"/>
        <v/>
      </c>
      <c r="BS68" s="4" t="str">
        <f t="shared" si="554"/>
        <v/>
      </c>
      <c r="BT68" s="5" t="str">
        <f t="shared" si="554"/>
        <v/>
      </c>
      <c r="BU68" s="10" t="str">
        <f t="shared" si="114"/>
        <v/>
      </c>
      <c r="BV68" s="9" t="str">
        <f t="shared" si="115"/>
        <v/>
      </c>
      <c r="BW68" s="5" t="str">
        <f t="shared" si="116"/>
        <v/>
      </c>
      <c r="BX68" s="8" t="str">
        <f t="shared" si="117"/>
        <v/>
      </c>
      <c r="BY68" s="173" t="str">
        <f t="shared" si="118"/>
        <v/>
      </c>
      <c r="BZ68" s="5" t="str">
        <f t="shared" si="119"/>
        <v/>
      </c>
      <c r="CA68" s="6" t="str">
        <f t="shared" si="120"/>
        <v/>
      </c>
      <c r="CB68" s="4" t="str">
        <f t="shared" si="147"/>
        <v/>
      </c>
      <c r="CC68" s="5" t="str">
        <f t="shared" si="148"/>
        <v/>
      </c>
      <c r="CD68" s="5" t="str">
        <f t="shared" si="149"/>
        <v/>
      </c>
      <c r="CE68" s="6" t="str">
        <f t="shared" si="150"/>
        <v/>
      </c>
      <c r="CF68" s="4" t="str">
        <f t="shared" si="151"/>
        <v/>
      </c>
      <c r="CG68" s="5" t="str">
        <f t="shared" si="152"/>
        <v/>
      </c>
      <c r="CH68" s="5" t="str">
        <f t="shared" si="153"/>
        <v/>
      </c>
      <c r="CI68" s="4" t="str">
        <f t="shared" si="121"/>
        <v/>
      </c>
      <c r="CJ68" s="5" t="str">
        <f t="shared" si="122"/>
        <v/>
      </c>
      <c r="CK68" s="8" t="str">
        <f t="shared" si="123"/>
        <v/>
      </c>
      <c r="CL68" s="173" t="str">
        <f t="shared" si="124"/>
        <v/>
      </c>
      <c r="CM68" s="5" t="str">
        <f t="shared" si="125"/>
        <v/>
      </c>
      <c r="CN68" s="6" t="str">
        <f t="shared" si="126"/>
        <v/>
      </c>
      <c r="CO68" s="167" t="str">
        <f t="shared" si="350"/>
        <v/>
      </c>
      <c r="CP68" s="4" t="str">
        <f t="shared" si="237"/>
        <v/>
      </c>
      <c r="CQ68" s="5" t="str">
        <f t="shared" si="238"/>
        <v/>
      </c>
      <c r="CR68" s="5" t="str">
        <f t="shared" si="154"/>
        <v/>
      </c>
      <c r="CS68" s="8" t="str">
        <f t="shared" si="155"/>
        <v/>
      </c>
      <c r="CT68" s="9" t="str">
        <f t="shared" si="156"/>
        <v/>
      </c>
      <c r="CU68" s="6" t="str">
        <f t="shared" si="157"/>
        <v/>
      </c>
      <c r="CV68" s="4" t="str">
        <f t="shared" si="239"/>
        <v/>
      </c>
      <c r="CW68" s="5" t="str">
        <f t="shared" si="158"/>
        <v/>
      </c>
      <c r="CX68" s="8" t="str">
        <f t="shared" si="159"/>
        <v/>
      </c>
      <c r="CY68" s="9" t="str">
        <f t="shared" si="160"/>
        <v/>
      </c>
      <c r="CZ68" s="5" t="str">
        <f t="shared" si="161"/>
        <v/>
      </c>
      <c r="DA68" s="6" t="str">
        <f t="shared" si="162"/>
        <v/>
      </c>
      <c r="DB68" s="4" t="str">
        <f t="shared" si="555"/>
        <v/>
      </c>
      <c r="DC68" s="5" t="str">
        <f t="shared" si="555"/>
        <v/>
      </c>
      <c r="DD68" s="10" t="str">
        <f t="shared" si="164"/>
        <v/>
      </c>
      <c r="DE68" s="9" t="str">
        <f t="shared" si="556"/>
        <v/>
      </c>
      <c r="DF68" s="5" t="str">
        <f t="shared" si="556"/>
        <v/>
      </c>
      <c r="DG68" s="10" t="str">
        <f t="shared" si="166"/>
        <v/>
      </c>
      <c r="DH68" s="70" t="str">
        <f t="shared" si="167"/>
        <v/>
      </c>
      <c r="DI68" s="4" t="str">
        <f t="shared" si="168"/>
        <v/>
      </c>
      <c r="DJ68" s="5" t="str">
        <f t="shared" si="169"/>
        <v/>
      </c>
      <c r="DK68" s="10" t="str">
        <f t="shared" si="170"/>
        <v/>
      </c>
      <c r="DL68" s="9" t="str">
        <f t="shared" si="171"/>
        <v/>
      </c>
      <c r="DM68" s="173" t="str">
        <f t="shared" si="172"/>
        <v/>
      </c>
      <c r="DN68" s="178" t="str">
        <f t="shared" si="173"/>
        <v/>
      </c>
      <c r="DO68" s="9" t="str">
        <f t="shared" si="174"/>
        <v/>
      </c>
      <c r="DP68" s="173" t="str">
        <f t="shared" si="175"/>
        <v/>
      </c>
      <c r="DQ68" s="11" t="str">
        <f t="shared" si="176"/>
        <v/>
      </c>
      <c r="DR68" s="173" t="str">
        <f t="shared" si="177"/>
        <v/>
      </c>
      <c r="DS68" s="5" t="str">
        <f t="shared" si="178"/>
        <v/>
      </c>
      <c r="DT68" s="5" t="str">
        <f t="shared" si="179"/>
        <v/>
      </c>
      <c r="DU68" s="5" t="str">
        <f t="shared" si="180"/>
        <v/>
      </c>
      <c r="DV68" s="5" t="str">
        <f t="shared" si="181"/>
        <v/>
      </c>
      <c r="DW68" s="5" t="str">
        <f t="shared" si="182"/>
        <v/>
      </c>
      <c r="DX68" s="167" t="str">
        <f t="shared" si="183"/>
        <v/>
      </c>
      <c r="DY68" s="9" t="str">
        <f t="shared" si="184"/>
        <v/>
      </c>
      <c r="DZ68" s="5" t="str">
        <f t="shared" si="185"/>
        <v/>
      </c>
      <c r="EA68" s="10" t="str">
        <f t="shared" si="186"/>
        <v/>
      </c>
      <c r="EB68" s="6" t="str">
        <f t="shared" si="187"/>
        <v/>
      </c>
      <c r="EC68" s="173" t="str">
        <f t="shared" si="188"/>
        <v/>
      </c>
      <c r="ED68" s="5" t="str">
        <f t="shared" si="189"/>
        <v/>
      </c>
      <c r="EE68" s="4" t="str">
        <f t="shared" si="190"/>
        <v/>
      </c>
      <c r="EF68" s="5" t="str">
        <f t="shared" si="191"/>
        <v/>
      </c>
      <c r="EG68" s="10" t="str">
        <f t="shared" si="192"/>
        <v/>
      </c>
      <c r="EH68" s="9" t="str">
        <f t="shared" si="193"/>
        <v/>
      </c>
      <c r="EI68" s="5" t="str">
        <f t="shared" si="194"/>
        <v/>
      </c>
      <c r="EJ68" s="6" t="str">
        <f t="shared" si="195"/>
        <v/>
      </c>
      <c r="EK68" s="236" t="str">
        <f t="shared" si="196"/>
        <v/>
      </c>
      <c r="EL68" s="238" t="str">
        <f t="shared" si="197"/>
        <v/>
      </c>
      <c r="EM68" s="4" t="str">
        <f t="shared" si="198"/>
        <v/>
      </c>
      <c r="EN68" s="5" t="str">
        <f t="shared" si="199"/>
        <v/>
      </c>
      <c r="EO68" s="10" t="str">
        <f t="shared" si="200"/>
        <v/>
      </c>
      <c r="EP68" s="9" t="str">
        <f t="shared" si="201"/>
        <v/>
      </c>
      <c r="EQ68" s="5" t="str">
        <f t="shared" si="202"/>
        <v/>
      </c>
      <c r="ER68" s="7" t="str">
        <f t="shared" si="203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4"/>
        <v/>
      </c>
      <c r="EZ68" s="51" t="str">
        <f t="shared" si="205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6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8"/>
        <v/>
      </c>
      <c r="FK68" s="4" t="str">
        <f t="shared" si="568"/>
        <v/>
      </c>
      <c r="FL68" s="5" t="str">
        <f t="shared" si="209"/>
        <v/>
      </c>
      <c r="FM68" s="8" t="str">
        <f t="shared" si="210"/>
        <v/>
      </c>
      <c r="FN68" s="9" t="str">
        <f t="shared" si="211"/>
        <v/>
      </c>
      <c r="FO68" s="10" t="str">
        <f t="shared" si="569"/>
        <v/>
      </c>
      <c r="FP68" s="277" t="str">
        <f t="shared" si="570"/>
        <v/>
      </c>
      <c r="FQ68" s="173" t="str">
        <f t="shared" si="240"/>
        <v/>
      </c>
      <c r="FR68" s="10" t="str">
        <f t="shared" si="212"/>
        <v/>
      </c>
      <c r="FS68" s="9" t="str">
        <f t="shared" si="213"/>
        <v/>
      </c>
      <c r="FT68" s="6" t="str">
        <f t="shared" si="214"/>
        <v/>
      </c>
      <c r="FU68" s="4" t="str">
        <f t="shared" si="215"/>
        <v/>
      </c>
      <c r="FV68" s="5" t="str">
        <f t="shared" si="216"/>
        <v/>
      </c>
      <c r="FW68" s="8" t="str">
        <f t="shared" si="241"/>
        <v/>
      </c>
      <c r="FX68" s="9" t="str">
        <f t="shared" si="242"/>
        <v/>
      </c>
      <c r="FY68" s="10" t="str">
        <f t="shared" si="571"/>
        <v/>
      </c>
      <c r="FZ68" s="277" t="str">
        <f t="shared" si="243"/>
        <v/>
      </c>
      <c r="GA68" s="177" t="str">
        <f t="shared" si="217"/>
        <v/>
      </c>
      <c r="GB68" s="4" t="str">
        <f t="shared" si="218"/>
        <v/>
      </c>
      <c r="GC68" s="5" t="str">
        <f t="shared" si="219"/>
        <v/>
      </c>
      <c r="GD68" s="10" t="str">
        <f t="shared" si="220"/>
        <v/>
      </c>
      <c r="GE68" s="311" t="str">
        <f t="shared" si="221"/>
        <v/>
      </c>
      <c r="GF68" s="341" t="str">
        <f t="shared" si="244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2"/>
        <v/>
      </c>
      <c r="GK68" s="174" t="str">
        <f t="shared" si="575"/>
        <v/>
      </c>
      <c r="GL68" s="174" t="str">
        <f t="shared" si="223"/>
        <v/>
      </c>
      <c r="GM68" s="177" t="str">
        <f t="shared" si="245"/>
        <v/>
      </c>
      <c r="GN68" s="280" t="str">
        <f t="shared" si="224"/>
        <v/>
      </c>
      <c r="GO68" s="4" t="str">
        <f t="shared" si="225"/>
        <v/>
      </c>
      <c r="GP68" s="8" t="str">
        <f t="shared" si="246"/>
        <v/>
      </c>
      <c r="GQ68" s="177" t="str">
        <f t="shared" si="226"/>
        <v/>
      </c>
      <c r="GR68" s="371" t="str">
        <f t="shared" si="247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4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7"/>
        <v/>
      </c>
      <c r="HC68" s="343" t="str">
        <f t="shared" si="228"/>
        <v/>
      </c>
      <c r="HD68" s="363" t="str">
        <f t="shared" si="229"/>
        <v/>
      </c>
      <c r="HE68" s="344" t="str">
        <f t="shared" si="584"/>
        <v/>
      </c>
      <c r="HF68" s="5" t="str">
        <f t="shared" si="585"/>
        <v/>
      </c>
      <c r="HG68" s="343" t="str">
        <f t="shared" si="230"/>
        <v/>
      </c>
      <c r="HH68" s="349" t="str">
        <f t="shared" si="231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23" t="str">
        <f t="shared" si="455"/>
        <v/>
      </c>
      <c r="HN68" s="924" t="str">
        <f t="shared" si="456"/>
        <v/>
      </c>
      <c r="HO68" s="925"/>
      <c r="HP68" s="926"/>
      <c r="HQ68" s="924" t="str">
        <f t="shared" si="457"/>
        <v/>
      </c>
      <c r="HR68" s="927" t="str">
        <f t="shared" si="458"/>
        <v/>
      </c>
      <c r="HS68" s="879" t="str">
        <f t="shared" si="507"/>
        <v/>
      </c>
      <c r="HT68" s="889" t="str">
        <f t="shared" si="459"/>
        <v/>
      </c>
      <c r="HU68" s="890" t="str">
        <f t="shared" si="460"/>
        <v/>
      </c>
      <c r="HV68" s="886" t="str">
        <f t="shared" si="461"/>
        <v/>
      </c>
      <c r="HW68" s="880" t="str">
        <f t="shared" si="462"/>
        <v/>
      </c>
      <c r="HX68" s="881" t="str">
        <f t="shared" si="463"/>
        <v/>
      </c>
      <c r="HY68" s="880" t="str">
        <f t="shared" si="464"/>
        <v/>
      </c>
      <c r="HZ68" s="882" t="str">
        <f t="shared" si="465"/>
        <v/>
      </c>
      <c r="IA68" s="883" t="str">
        <f t="shared" si="466"/>
        <v/>
      </c>
      <c r="IB68" s="884" t="str">
        <f t="shared" si="467"/>
        <v/>
      </c>
      <c r="IC68" s="855" t="str">
        <f t="shared" si="468"/>
        <v/>
      </c>
      <c r="ID68" s="351" t="str">
        <f t="shared" si="469"/>
        <v/>
      </c>
      <c r="IE68" s="857" t="str">
        <f t="shared" si="470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2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71"/>
        <v/>
      </c>
      <c r="IM68" s="482" t="str">
        <f t="shared" si="233"/>
        <v/>
      </c>
      <c r="IN68" s="670" t="str">
        <f t="shared" si="472"/>
        <v/>
      </c>
      <c r="IO68" s="702"/>
      <c r="IP68" s="5" t="str">
        <f t="shared" si="473"/>
        <v/>
      </c>
      <c r="IQ68" s="714"/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 t="str">
        <f t="shared" si="92"/>
        <v/>
      </c>
      <c r="B69" s="578" t="str">
        <f t="shared" ref="B69:D69" si="615">IFERROR(O224-($A69*E69),"")</f>
        <v/>
      </c>
      <c r="C69" s="572" t="str">
        <f t="shared" si="615"/>
        <v/>
      </c>
      <c r="D69" s="576" t="str">
        <f t="shared" si="615"/>
        <v/>
      </c>
      <c r="E69" s="580" t="str">
        <f t="shared" ref="E69:K69" si="616">R224</f>
        <v/>
      </c>
      <c r="F69" s="572" t="str">
        <f t="shared" si="616"/>
        <v/>
      </c>
      <c r="G69" s="579" t="str">
        <f t="shared" si="616"/>
        <v/>
      </c>
      <c r="H69" s="580" t="str">
        <f t="shared" si="616"/>
        <v/>
      </c>
      <c r="I69" s="572" t="str">
        <f t="shared" si="616"/>
        <v/>
      </c>
      <c r="J69" s="483" t="str">
        <f t="shared" si="95"/>
        <v/>
      </c>
      <c r="K69" s="806" t="str">
        <f t="shared" si="616"/>
        <v/>
      </c>
      <c r="L69" s="309"/>
      <c r="M69" s="164" t="str">
        <f t="shared" si="311"/>
        <v/>
      </c>
      <c r="N69" s="575" t="str">
        <f t="shared" si="312"/>
        <v/>
      </c>
      <c r="O69" s="572" t="str">
        <f t="shared" si="313"/>
        <v/>
      </c>
      <c r="P69" s="576" t="str">
        <f t="shared" si="314"/>
        <v/>
      </c>
      <c r="Q69" s="528" t="str">
        <f t="shared" si="135"/>
        <v/>
      </c>
      <c r="R69" s="572" t="str">
        <f t="shared" si="96"/>
        <v/>
      </c>
      <c r="S69" s="577" t="str">
        <f t="shared" si="97"/>
        <v/>
      </c>
      <c r="T69" s="578" t="str">
        <f t="shared" si="98"/>
        <v/>
      </c>
      <c r="U69" s="572" t="str">
        <f t="shared" si="99"/>
        <v/>
      </c>
      <c r="V69" s="579" t="str">
        <f t="shared" si="136"/>
        <v/>
      </c>
      <c r="W69" s="528" t="str">
        <f t="shared" si="257"/>
        <v/>
      </c>
      <c r="X69" s="572" t="str">
        <f t="shared" si="100"/>
        <v/>
      </c>
      <c r="Y69" s="573" t="str">
        <f t="shared" si="260"/>
        <v/>
      </c>
      <c r="Z69" s="575" t="str">
        <f t="shared" si="315"/>
        <v/>
      </c>
      <c r="AA69" s="572" t="str">
        <f t="shared" si="316"/>
        <v/>
      </c>
      <c r="AB69" s="572" t="str">
        <f t="shared" si="317"/>
        <v/>
      </c>
      <c r="AC69" s="579" t="str">
        <f t="shared" si="101"/>
        <v/>
      </c>
      <c r="AD69" s="580" t="str">
        <f t="shared" si="137"/>
        <v/>
      </c>
      <c r="AE69" s="572" t="str">
        <f t="shared" si="102"/>
        <v/>
      </c>
      <c r="AF69" s="576" t="str">
        <f t="shared" si="103"/>
        <v/>
      </c>
      <c r="AG69" s="545" t="str">
        <f t="shared" si="104"/>
        <v/>
      </c>
      <c r="AH69" s="546" t="str">
        <f t="shared" si="105"/>
        <v/>
      </c>
      <c r="AI69" s="528" t="str">
        <f t="shared" si="106"/>
        <v/>
      </c>
      <c r="AJ69" s="529" t="str">
        <f t="shared" si="107"/>
        <v/>
      </c>
      <c r="AK69" s="578" t="str">
        <f t="shared" si="236"/>
        <v/>
      </c>
      <c r="AL69" s="572" t="str">
        <f t="shared" si="108"/>
        <v/>
      </c>
      <c r="AM69" s="577" t="str">
        <f t="shared" si="109"/>
        <v/>
      </c>
      <c r="AN69" s="524" t="str">
        <f t="shared" si="110"/>
        <v/>
      </c>
      <c r="AO69" s="525" t="str">
        <f t="shared" si="590"/>
        <v/>
      </c>
      <c r="AP69" s="528" t="str">
        <f t="shared" si="112"/>
        <v/>
      </c>
      <c r="AQ69" s="529" t="str">
        <f t="shared" si="318"/>
        <v/>
      </c>
      <c r="AS69" s="954" t="str">
        <f t="shared" si="510"/>
        <v/>
      </c>
      <c r="AT69" s="950" t="str">
        <f t="shared" si="319"/>
        <v/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9"/>
        <v/>
      </c>
      <c r="BA69" s="296" t="str">
        <f t="shared" si="322"/>
        <v/>
      </c>
      <c r="BB69" s="177" t="str">
        <f t="shared" si="140"/>
        <v/>
      </c>
      <c r="BC69" s="9"/>
      <c r="BD69" s="5" t="str">
        <f t="shared" si="141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2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3"/>
        <v/>
      </c>
      <c r="BP69" s="5" t="str">
        <f t="shared" si="144"/>
        <v/>
      </c>
      <c r="BQ69" s="5" t="str">
        <f t="shared" si="145"/>
        <v/>
      </c>
      <c r="BR69" s="6" t="str">
        <f t="shared" si="146"/>
        <v/>
      </c>
      <c r="BS69" s="4" t="str">
        <f t="shared" si="554"/>
        <v/>
      </c>
      <c r="BT69" s="5" t="str">
        <f t="shared" si="554"/>
        <v/>
      </c>
      <c r="BU69" s="10" t="str">
        <f t="shared" si="114"/>
        <v/>
      </c>
      <c r="BV69" s="9" t="str">
        <f t="shared" si="115"/>
        <v/>
      </c>
      <c r="BW69" s="5" t="str">
        <f t="shared" si="116"/>
        <v/>
      </c>
      <c r="BX69" s="8" t="str">
        <f t="shared" si="117"/>
        <v/>
      </c>
      <c r="BY69" s="173" t="str">
        <f t="shared" si="118"/>
        <v/>
      </c>
      <c r="BZ69" s="5" t="str">
        <f t="shared" si="119"/>
        <v/>
      </c>
      <c r="CA69" s="6" t="str">
        <f t="shared" si="120"/>
        <v/>
      </c>
      <c r="CB69" s="4" t="str">
        <f t="shared" si="147"/>
        <v/>
      </c>
      <c r="CC69" s="5" t="str">
        <f t="shared" si="148"/>
        <v/>
      </c>
      <c r="CD69" s="5" t="str">
        <f t="shared" si="149"/>
        <v/>
      </c>
      <c r="CE69" s="6" t="str">
        <f t="shared" si="150"/>
        <v/>
      </c>
      <c r="CF69" s="4" t="str">
        <f t="shared" si="151"/>
        <v/>
      </c>
      <c r="CG69" s="5" t="str">
        <f t="shared" si="152"/>
        <v/>
      </c>
      <c r="CH69" s="5" t="str">
        <f t="shared" si="153"/>
        <v/>
      </c>
      <c r="CI69" s="4" t="str">
        <f t="shared" si="121"/>
        <v/>
      </c>
      <c r="CJ69" s="5" t="str">
        <f t="shared" si="122"/>
        <v/>
      </c>
      <c r="CK69" s="8" t="str">
        <f t="shared" si="123"/>
        <v/>
      </c>
      <c r="CL69" s="173" t="str">
        <f t="shared" si="124"/>
        <v/>
      </c>
      <c r="CM69" s="5" t="str">
        <f t="shared" si="125"/>
        <v/>
      </c>
      <c r="CN69" s="6" t="str">
        <f t="shared" si="126"/>
        <v/>
      </c>
      <c r="CO69" s="167" t="str">
        <f t="shared" si="350"/>
        <v/>
      </c>
      <c r="CP69" s="4" t="str">
        <f t="shared" si="237"/>
        <v/>
      </c>
      <c r="CQ69" s="5" t="str">
        <f t="shared" si="238"/>
        <v/>
      </c>
      <c r="CR69" s="5" t="str">
        <f t="shared" si="154"/>
        <v/>
      </c>
      <c r="CS69" s="8" t="str">
        <f t="shared" si="155"/>
        <v/>
      </c>
      <c r="CT69" s="9" t="str">
        <f t="shared" si="156"/>
        <v/>
      </c>
      <c r="CU69" s="6" t="str">
        <f t="shared" si="157"/>
        <v/>
      </c>
      <c r="CV69" s="4" t="str">
        <f t="shared" si="239"/>
        <v/>
      </c>
      <c r="CW69" s="5" t="str">
        <f t="shared" si="158"/>
        <v/>
      </c>
      <c r="CX69" s="8" t="str">
        <f t="shared" si="159"/>
        <v/>
      </c>
      <c r="CY69" s="9" t="str">
        <f t="shared" si="160"/>
        <v/>
      </c>
      <c r="CZ69" s="5" t="str">
        <f t="shared" si="161"/>
        <v/>
      </c>
      <c r="DA69" s="6" t="str">
        <f t="shared" si="162"/>
        <v/>
      </c>
      <c r="DB69" s="4" t="str">
        <f t="shared" si="555"/>
        <v/>
      </c>
      <c r="DC69" s="5" t="str">
        <f t="shared" si="555"/>
        <v/>
      </c>
      <c r="DD69" s="10" t="str">
        <f t="shared" si="164"/>
        <v/>
      </c>
      <c r="DE69" s="9" t="str">
        <f t="shared" si="556"/>
        <v/>
      </c>
      <c r="DF69" s="5" t="str">
        <f t="shared" si="556"/>
        <v/>
      </c>
      <c r="DG69" s="10" t="str">
        <f t="shared" si="166"/>
        <v/>
      </c>
      <c r="DH69" s="70" t="str">
        <f t="shared" si="167"/>
        <v/>
      </c>
      <c r="DI69" s="4" t="str">
        <f t="shared" si="168"/>
        <v/>
      </c>
      <c r="DJ69" s="5" t="str">
        <f t="shared" si="169"/>
        <v/>
      </c>
      <c r="DK69" s="10" t="str">
        <f t="shared" si="170"/>
        <v/>
      </c>
      <c r="DL69" s="9" t="str">
        <f t="shared" si="171"/>
        <v/>
      </c>
      <c r="DM69" s="173" t="str">
        <f t="shared" si="172"/>
        <v/>
      </c>
      <c r="DN69" s="178" t="str">
        <f t="shared" si="173"/>
        <v/>
      </c>
      <c r="DO69" s="9" t="str">
        <f t="shared" si="174"/>
        <v/>
      </c>
      <c r="DP69" s="173" t="str">
        <f t="shared" si="175"/>
        <v/>
      </c>
      <c r="DQ69" s="11" t="str">
        <f t="shared" si="176"/>
        <v/>
      </c>
      <c r="DR69" s="173" t="str">
        <f t="shared" si="177"/>
        <v/>
      </c>
      <c r="DS69" s="5" t="str">
        <f t="shared" si="178"/>
        <v/>
      </c>
      <c r="DT69" s="5" t="str">
        <f t="shared" si="179"/>
        <v/>
      </c>
      <c r="DU69" s="5" t="str">
        <f t="shared" si="180"/>
        <v/>
      </c>
      <c r="DV69" s="5" t="str">
        <f t="shared" si="181"/>
        <v/>
      </c>
      <c r="DW69" s="5" t="str">
        <f t="shared" si="182"/>
        <v/>
      </c>
      <c r="DX69" s="167" t="str">
        <f t="shared" si="183"/>
        <v/>
      </c>
      <c r="DY69" s="9" t="str">
        <f t="shared" si="184"/>
        <v/>
      </c>
      <c r="DZ69" s="5" t="str">
        <f t="shared" si="185"/>
        <v/>
      </c>
      <c r="EA69" s="10" t="str">
        <f t="shared" si="186"/>
        <v/>
      </c>
      <c r="EB69" s="6" t="str">
        <f t="shared" si="187"/>
        <v/>
      </c>
      <c r="EC69" s="173" t="str">
        <f t="shared" si="188"/>
        <v/>
      </c>
      <c r="ED69" s="5" t="str">
        <f t="shared" si="189"/>
        <v/>
      </c>
      <c r="EE69" s="4" t="str">
        <f t="shared" si="190"/>
        <v/>
      </c>
      <c r="EF69" s="5" t="str">
        <f t="shared" si="191"/>
        <v/>
      </c>
      <c r="EG69" s="10" t="str">
        <f t="shared" si="192"/>
        <v/>
      </c>
      <c r="EH69" s="9" t="str">
        <f t="shared" si="193"/>
        <v/>
      </c>
      <c r="EI69" s="5" t="str">
        <f t="shared" si="194"/>
        <v/>
      </c>
      <c r="EJ69" s="6" t="str">
        <f t="shared" si="195"/>
        <v/>
      </c>
      <c r="EK69" s="236" t="str">
        <f t="shared" si="196"/>
        <v/>
      </c>
      <c r="EL69" s="238" t="str">
        <f t="shared" si="197"/>
        <v/>
      </c>
      <c r="EM69" s="4" t="str">
        <f t="shared" si="198"/>
        <v/>
      </c>
      <c r="EN69" s="5" t="str">
        <f t="shared" si="199"/>
        <v/>
      </c>
      <c r="EO69" s="10" t="str">
        <f t="shared" si="200"/>
        <v/>
      </c>
      <c r="EP69" s="9" t="str">
        <f t="shared" si="201"/>
        <v/>
      </c>
      <c r="EQ69" s="5" t="str">
        <f t="shared" si="202"/>
        <v/>
      </c>
      <c r="ER69" s="7" t="str">
        <f t="shared" si="203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4"/>
        <v/>
      </c>
      <c r="EZ69" s="51" t="str">
        <f t="shared" si="205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6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8"/>
        <v/>
      </c>
      <c r="FK69" s="4" t="str">
        <f t="shared" si="568"/>
        <v/>
      </c>
      <c r="FL69" s="5" t="str">
        <f t="shared" si="209"/>
        <v/>
      </c>
      <c r="FM69" s="8" t="str">
        <f t="shared" si="210"/>
        <v/>
      </c>
      <c r="FN69" s="9" t="str">
        <f t="shared" si="211"/>
        <v/>
      </c>
      <c r="FO69" s="10" t="str">
        <f t="shared" si="569"/>
        <v/>
      </c>
      <c r="FP69" s="277" t="str">
        <f t="shared" si="570"/>
        <v/>
      </c>
      <c r="FQ69" s="173" t="str">
        <f t="shared" si="240"/>
        <v/>
      </c>
      <c r="FR69" s="10" t="str">
        <f t="shared" si="212"/>
        <v/>
      </c>
      <c r="FS69" s="9" t="str">
        <f t="shared" si="213"/>
        <v/>
      </c>
      <c r="FT69" s="6" t="str">
        <f t="shared" si="214"/>
        <v/>
      </c>
      <c r="FU69" s="4" t="str">
        <f t="shared" si="215"/>
        <v/>
      </c>
      <c r="FV69" s="5" t="str">
        <f t="shared" si="216"/>
        <v/>
      </c>
      <c r="FW69" s="8" t="str">
        <f t="shared" si="241"/>
        <v/>
      </c>
      <c r="FX69" s="9" t="str">
        <f t="shared" si="242"/>
        <v/>
      </c>
      <c r="FY69" s="10" t="str">
        <f t="shared" si="571"/>
        <v/>
      </c>
      <c r="FZ69" s="277" t="str">
        <f t="shared" si="243"/>
        <v/>
      </c>
      <c r="GA69" s="177" t="str">
        <f t="shared" si="217"/>
        <v/>
      </c>
      <c r="GB69" s="4" t="str">
        <f t="shared" si="218"/>
        <v/>
      </c>
      <c r="GC69" s="5" t="str">
        <f t="shared" si="219"/>
        <v/>
      </c>
      <c r="GD69" s="10" t="str">
        <f t="shared" si="220"/>
        <v/>
      </c>
      <c r="GE69" s="311" t="str">
        <f t="shared" si="221"/>
        <v/>
      </c>
      <c r="GF69" s="341" t="str">
        <f t="shared" si="244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2"/>
        <v/>
      </c>
      <c r="GK69" s="174" t="str">
        <f t="shared" si="575"/>
        <v/>
      </c>
      <c r="GL69" s="174" t="str">
        <f t="shared" si="223"/>
        <v/>
      </c>
      <c r="GM69" s="177" t="str">
        <f t="shared" si="245"/>
        <v/>
      </c>
      <c r="GN69" s="280" t="str">
        <f t="shared" si="224"/>
        <v/>
      </c>
      <c r="GO69" s="4" t="str">
        <f t="shared" si="225"/>
        <v/>
      </c>
      <c r="GP69" s="8" t="str">
        <f t="shared" si="246"/>
        <v/>
      </c>
      <c r="GQ69" s="177" t="str">
        <f t="shared" si="226"/>
        <v/>
      </c>
      <c r="GR69" s="371" t="str">
        <f t="shared" si="247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4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7"/>
        <v/>
      </c>
      <c r="HC69" s="343" t="str">
        <f t="shared" si="228"/>
        <v/>
      </c>
      <c r="HD69" s="363" t="str">
        <f t="shared" si="229"/>
        <v/>
      </c>
      <c r="HE69" s="344" t="str">
        <f t="shared" si="584"/>
        <v/>
      </c>
      <c r="HF69" s="5" t="str">
        <f t="shared" si="585"/>
        <v/>
      </c>
      <c r="HG69" s="343" t="str">
        <f t="shared" si="230"/>
        <v/>
      </c>
      <c r="HH69" s="349" t="str">
        <f t="shared" si="231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23" t="str">
        <f t="shared" si="455"/>
        <v/>
      </c>
      <c r="HN69" s="924" t="str">
        <f t="shared" si="456"/>
        <v/>
      </c>
      <c r="HO69" s="925"/>
      <c r="HP69" s="926"/>
      <c r="HQ69" s="924" t="str">
        <f t="shared" si="457"/>
        <v/>
      </c>
      <c r="HR69" s="927" t="str">
        <f t="shared" si="458"/>
        <v/>
      </c>
      <c r="HS69" s="879" t="str">
        <f t="shared" si="507"/>
        <v/>
      </c>
      <c r="HT69" s="889" t="str">
        <f t="shared" si="459"/>
        <v/>
      </c>
      <c r="HU69" s="890" t="str">
        <f t="shared" si="460"/>
        <v/>
      </c>
      <c r="HV69" s="886" t="str">
        <f t="shared" si="461"/>
        <v/>
      </c>
      <c r="HW69" s="880" t="str">
        <f t="shared" si="462"/>
        <v/>
      </c>
      <c r="HX69" s="881" t="str">
        <f t="shared" si="463"/>
        <v/>
      </c>
      <c r="HY69" s="880" t="str">
        <f t="shared" si="464"/>
        <v/>
      </c>
      <c r="HZ69" s="882" t="str">
        <f t="shared" si="465"/>
        <v/>
      </c>
      <c r="IA69" s="883" t="str">
        <f t="shared" si="466"/>
        <v/>
      </c>
      <c r="IB69" s="884" t="str">
        <f t="shared" si="467"/>
        <v/>
      </c>
      <c r="IC69" s="855" t="str">
        <f t="shared" si="468"/>
        <v/>
      </c>
      <c r="ID69" s="351" t="str">
        <f t="shared" si="469"/>
        <v/>
      </c>
      <c r="IE69" s="857" t="str">
        <f t="shared" si="470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2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71"/>
        <v/>
      </c>
      <c r="IM69" s="482" t="str">
        <f t="shared" si="233"/>
        <v/>
      </c>
      <c r="IN69" s="670" t="str">
        <f t="shared" si="472"/>
        <v/>
      </c>
      <c r="IO69" s="702"/>
      <c r="IP69" s="5" t="str">
        <f t="shared" si="473"/>
        <v/>
      </c>
      <c r="IQ69" s="714"/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 t="str">
        <f t="shared" si="92"/>
        <v/>
      </c>
      <c r="B70" s="578" t="str">
        <f t="shared" ref="B70:D70" si="617">IFERROR(O225-($A70*E70),"")</f>
        <v/>
      </c>
      <c r="C70" s="572" t="str">
        <f t="shared" si="617"/>
        <v/>
      </c>
      <c r="D70" s="576" t="str">
        <f t="shared" si="617"/>
        <v/>
      </c>
      <c r="E70" s="580" t="str">
        <f t="shared" ref="E70:K70" si="618">R225</f>
        <v/>
      </c>
      <c r="F70" s="572" t="str">
        <f t="shared" si="618"/>
        <v/>
      </c>
      <c r="G70" s="579" t="str">
        <f t="shared" si="618"/>
        <v/>
      </c>
      <c r="H70" s="580" t="str">
        <f t="shared" si="618"/>
        <v/>
      </c>
      <c r="I70" s="572" t="str">
        <f t="shared" si="618"/>
        <v/>
      </c>
      <c r="J70" s="483" t="str">
        <f t="shared" si="95"/>
        <v/>
      </c>
      <c r="K70" s="806" t="str">
        <f t="shared" si="618"/>
        <v/>
      </c>
      <c r="L70" s="309"/>
      <c r="M70" s="164" t="str">
        <f t="shared" si="311"/>
        <v/>
      </c>
      <c r="N70" s="575" t="str">
        <f t="shared" si="312"/>
        <v/>
      </c>
      <c r="O70" s="572" t="str">
        <f t="shared" si="313"/>
        <v/>
      </c>
      <c r="P70" s="576" t="str">
        <f t="shared" si="314"/>
        <v/>
      </c>
      <c r="Q70" s="528" t="str">
        <f t="shared" si="135"/>
        <v/>
      </c>
      <c r="R70" s="572" t="str">
        <f t="shared" si="96"/>
        <v/>
      </c>
      <c r="S70" s="577" t="str">
        <f t="shared" si="97"/>
        <v/>
      </c>
      <c r="T70" s="578" t="str">
        <f t="shared" si="98"/>
        <v/>
      </c>
      <c r="U70" s="572" t="str">
        <f t="shared" si="99"/>
        <v/>
      </c>
      <c r="V70" s="579" t="str">
        <f t="shared" si="136"/>
        <v/>
      </c>
      <c r="W70" s="528" t="str">
        <f t="shared" si="257"/>
        <v/>
      </c>
      <c r="X70" s="572" t="str">
        <f t="shared" si="100"/>
        <v/>
      </c>
      <c r="Y70" s="573" t="str">
        <f t="shared" si="260"/>
        <v/>
      </c>
      <c r="Z70" s="575" t="str">
        <f t="shared" si="315"/>
        <v/>
      </c>
      <c r="AA70" s="572" t="str">
        <f t="shared" si="316"/>
        <v/>
      </c>
      <c r="AB70" s="572" t="str">
        <f t="shared" si="317"/>
        <v/>
      </c>
      <c r="AC70" s="579" t="str">
        <f t="shared" si="101"/>
        <v/>
      </c>
      <c r="AD70" s="580" t="str">
        <f t="shared" si="137"/>
        <v/>
      </c>
      <c r="AE70" s="572" t="str">
        <f t="shared" si="102"/>
        <v/>
      </c>
      <c r="AF70" s="576" t="str">
        <f t="shared" si="103"/>
        <v/>
      </c>
      <c r="AG70" s="545" t="str">
        <f t="shared" si="104"/>
        <v/>
      </c>
      <c r="AH70" s="546" t="str">
        <f t="shared" si="105"/>
        <v/>
      </c>
      <c r="AI70" s="528" t="str">
        <f t="shared" si="106"/>
        <v/>
      </c>
      <c r="AJ70" s="529" t="str">
        <f t="shared" si="107"/>
        <v/>
      </c>
      <c r="AK70" s="578" t="str">
        <f t="shared" si="236"/>
        <v/>
      </c>
      <c r="AL70" s="572" t="str">
        <f t="shared" si="108"/>
        <v/>
      </c>
      <c r="AM70" s="577" t="str">
        <f t="shared" si="109"/>
        <v/>
      </c>
      <c r="AN70" s="524" t="str">
        <f t="shared" si="110"/>
        <v/>
      </c>
      <c r="AO70" s="525" t="str">
        <f t="shared" si="590"/>
        <v/>
      </c>
      <c r="AP70" s="528" t="str">
        <f t="shared" si="112"/>
        <v/>
      </c>
      <c r="AQ70" s="529" t="str">
        <f t="shared" si="318"/>
        <v/>
      </c>
      <c r="AS70" s="954" t="str">
        <f t="shared" si="510"/>
        <v/>
      </c>
      <c r="AT70" s="950" t="str">
        <f t="shared" si="319"/>
        <v/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9"/>
        <v/>
      </c>
      <c r="BA70" s="296" t="str">
        <f t="shared" si="322"/>
        <v/>
      </c>
      <c r="BB70" s="177" t="str">
        <f t="shared" si="140"/>
        <v/>
      </c>
      <c r="BC70" s="9"/>
      <c r="BD70" s="5" t="str">
        <f t="shared" si="141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2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3"/>
        <v/>
      </c>
      <c r="BP70" s="5" t="str">
        <f t="shared" si="144"/>
        <v/>
      </c>
      <c r="BQ70" s="5" t="str">
        <f t="shared" si="145"/>
        <v/>
      </c>
      <c r="BR70" s="6" t="str">
        <f t="shared" si="146"/>
        <v/>
      </c>
      <c r="BS70" s="4" t="str">
        <f t="shared" si="554"/>
        <v/>
      </c>
      <c r="BT70" s="5" t="str">
        <f t="shared" si="554"/>
        <v/>
      </c>
      <c r="BU70" s="10" t="str">
        <f t="shared" si="114"/>
        <v/>
      </c>
      <c r="BV70" s="9" t="str">
        <f t="shared" si="115"/>
        <v/>
      </c>
      <c r="BW70" s="5" t="str">
        <f t="shared" si="116"/>
        <v/>
      </c>
      <c r="BX70" s="8" t="str">
        <f t="shared" si="117"/>
        <v/>
      </c>
      <c r="BY70" s="173" t="str">
        <f t="shared" si="118"/>
        <v/>
      </c>
      <c r="BZ70" s="5" t="str">
        <f t="shared" si="119"/>
        <v/>
      </c>
      <c r="CA70" s="6" t="str">
        <f t="shared" si="120"/>
        <v/>
      </c>
      <c r="CB70" s="4" t="str">
        <f t="shared" si="147"/>
        <v/>
      </c>
      <c r="CC70" s="5" t="str">
        <f t="shared" si="148"/>
        <v/>
      </c>
      <c r="CD70" s="5" t="str">
        <f t="shared" si="149"/>
        <v/>
      </c>
      <c r="CE70" s="6" t="str">
        <f t="shared" si="150"/>
        <v/>
      </c>
      <c r="CF70" s="4" t="str">
        <f t="shared" si="151"/>
        <v/>
      </c>
      <c r="CG70" s="5" t="str">
        <f t="shared" si="152"/>
        <v/>
      </c>
      <c r="CH70" s="5" t="str">
        <f t="shared" si="153"/>
        <v/>
      </c>
      <c r="CI70" s="4" t="str">
        <f t="shared" si="121"/>
        <v/>
      </c>
      <c r="CJ70" s="5" t="str">
        <f t="shared" si="122"/>
        <v/>
      </c>
      <c r="CK70" s="8" t="str">
        <f t="shared" si="123"/>
        <v/>
      </c>
      <c r="CL70" s="173" t="str">
        <f t="shared" si="124"/>
        <v/>
      </c>
      <c r="CM70" s="5" t="str">
        <f t="shared" si="125"/>
        <v/>
      </c>
      <c r="CN70" s="6" t="str">
        <f t="shared" si="126"/>
        <v/>
      </c>
      <c r="CO70" s="167" t="str">
        <f t="shared" si="350"/>
        <v/>
      </c>
      <c r="CP70" s="4" t="str">
        <f t="shared" si="237"/>
        <v/>
      </c>
      <c r="CQ70" s="5" t="str">
        <f t="shared" si="238"/>
        <v/>
      </c>
      <c r="CR70" s="5" t="str">
        <f t="shared" si="154"/>
        <v/>
      </c>
      <c r="CS70" s="8" t="str">
        <f t="shared" si="155"/>
        <v/>
      </c>
      <c r="CT70" s="9" t="str">
        <f t="shared" si="156"/>
        <v/>
      </c>
      <c r="CU70" s="6" t="str">
        <f t="shared" si="157"/>
        <v/>
      </c>
      <c r="CV70" s="4" t="str">
        <f t="shared" si="239"/>
        <v/>
      </c>
      <c r="CW70" s="5" t="str">
        <f t="shared" si="158"/>
        <v/>
      </c>
      <c r="CX70" s="8" t="str">
        <f t="shared" si="159"/>
        <v/>
      </c>
      <c r="CY70" s="9" t="str">
        <f t="shared" si="160"/>
        <v/>
      </c>
      <c r="CZ70" s="5" t="str">
        <f t="shared" si="161"/>
        <v/>
      </c>
      <c r="DA70" s="6" t="str">
        <f t="shared" si="162"/>
        <v/>
      </c>
      <c r="DB70" s="4" t="str">
        <f t="shared" si="555"/>
        <v/>
      </c>
      <c r="DC70" s="5" t="str">
        <f t="shared" si="555"/>
        <v/>
      </c>
      <c r="DD70" s="10" t="str">
        <f t="shared" si="164"/>
        <v/>
      </c>
      <c r="DE70" s="9" t="str">
        <f t="shared" si="556"/>
        <v/>
      </c>
      <c r="DF70" s="5" t="str">
        <f t="shared" si="556"/>
        <v/>
      </c>
      <c r="DG70" s="10" t="str">
        <f t="shared" si="166"/>
        <v/>
      </c>
      <c r="DH70" s="70" t="str">
        <f t="shared" si="167"/>
        <v/>
      </c>
      <c r="DI70" s="4" t="str">
        <f t="shared" si="168"/>
        <v/>
      </c>
      <c r="DJ70" s="5" t="str">
        <f t="shared" si="169"/>
        <v/>
      </c>
      <c r="DK70" s="10" t="str">
        <f t="shared" si="170"/>
        <v/>
      </c>
      <c r="DL70" s="9" t="str">
        <f t="shared" si="171"/>
        <v/>
      </c>
      <c r="DM70" s="173" t="str">
        <f t="shared" si="172"/>
        <v/>
      </c>
      <c r="DN70" s="178" t="str">
        <f t="shared" si="173"/>
        <v/>
      </c>
      <c r="DO70" s="9" t="str">
        <f t="shared" si="174"/>
        <v/>
      </c>
      <c r="DP70" s="173" t="str">
        <f t="shared" si="175"/>
        <v/>
      </c>
      <c r="DQ70" s="11" t="str">
        <f t="shared" si="176"/>
        <v/>
      </c>
      <c r="DR70" s="173" t="str">
        <f t="shared" si="177"/>
        <v/>
      </c>
      <c r="DS70" s="5" t="str">
        <f t="shared" si="178"/>
        <v/>
      </c>
      <c r="DT70" s="5" t="str">
        <f t="shared" si="179"/>
        <v/>
      </c>
      <c r="DU70" s="5" t="str">
        <f t="shared" si="180"/>
        <v/>
      </c>
      <c r="DV70" s="5" t="str">
        <f t="shared" si="181"/>
        <v/>
      </c>
      <c r="DW70" s="5" t="str">
        <f t="shared" si="182"/>
        <v/>
      </c>
      <c r="DX70" s="167" t="str">
        <f t="shared" si="183"/>
        <v/>
      </c>
      <c r="DY70" s="9" t="str">
        <f t="shared" si="184"/>
        <v/>
      </c>
      <c r="DZ70" s="5" t="str">
        <f t="shared" si="185"/>
        <v/>
      </c>
      <c r="EA70" s="10" t="str">
        <f t="shared" si="186"/>
        <v/>
      </c>
      <c r="EB70" s="6" t="str">
        <f t="shared" si="187"/>
        <v/>
      </c>
      <c r="EC70" s="173" t="str">
        <f t="shared" si="188"/>
        <v/>
      </c>
      <c r="ED70" s="5" t="str">
        <f t="shared" si="189"/>
        <v/>
      </c>
      <c r="EE70" s="4" t="str">
        <f t="shared" si="190"/>
        <v/>
      </c>
      <c r="EF70" s="5" t="str">
        <f t="shared" si="191"/>
        <v/>
      </c>
      <c r="EG70" s="10" t="str">
        <f t="shared" si="192"/>
        <v/>
      </c>
      <c r="EH70" s="9" t="str">
        <f t="shared" si="193"/>
        <v/>
      </c>
      <c r="EI70" s="5" t="str">
        <f t="shared" si="194"/>
        <v/>
      </c>
      <c r="EJ70" s="6" t="str">
        <f t="shared" si="195"/>
        <v/>
      </c>
      <c r="EK70" s="236" t="str">
        <f t="shared" si="196"/>
        <v/>
      </c>
      <c r="EL70" s="238" t="str">
        <f t="shared" si="197"/>
        <v/>
      </c>
      <c r="EM70" s="4" t="str">
        <f t="shared" si="198"/>
        <v/>
      </c>
      <c r="EN70" s="5" t="str">
        <f t="shared" si="199"/>
        <v/>
      </c>
      <c r="EO70" s="10" t="str">
        <f t="shared" si="200"/>
        <v/>
      </c>
      <c r="EP70" s="9" t="str">
        <f t="shared" si="201"/>
        <v/>
      </c>
      <c r="EQ70" s="5" t="str">
        <f t="shared" si="202"/>
        <v/>
      </c>
      <c r="ER70" s="7" t="str">
        <f t="shared" si="203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4"/>
        <v/>
      </c>
      <c r="EZ70" s="51" t="str">
        <f t="shared" si="205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6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8"/>
        <v/>
      </c>
      <c r="FK70" s="4" t="str">
        <f t="shared" si="568"/>
        <v/>
      </c>
      <c r="FL70" s="5" t="str">
        <f t="shared" si="209"/>
        <v/>
      </c>
      <c r="FM70" s="8" t="str">
        <f t="shared" si="210"/>
        <v/>
      </c>
      <c r="FN70" s="9" t="str">
        <f t="shared" si="211"/>
        <v/>
      </c>
      <c r="FO70" s="10" t="str">
        <f t="shared" si="569"/>
        <v/>
      </c>
      <c r="FP70" s="277" t="str">
        <f t="shared" si="570"/>
        <v/>
      </c>
      <c r="FQ70" s="173" t="str">
        <f t="shared" si="240"/>
        <v/>
      </c>
      <c r="FR70" s="10" t="str">
        <f t="shared" si="212"/>
        <v/>
      </c>
      <c r="FS70" s="9" t="str">
        <f t="shared" si="213"/>
        <v/>
      </c>
      <c r="FT70" s="6" t="str">
        <f t="shared" si="214"/>
        <v/>
      </c>
      <c r="FU70" s="4" t="str">
        <f t="shared" si="215"/>
        <v/>
      </c>
      <c r="FV70" s="5" t="str">
        <f t="shared" si="216"/>
        <v/>
      </c>
      <c r="FW70" s="8" t="str">
        <f t="shared" si="241"/>
        <v/>
      </c>
      <c r="FX70" s="9" t="str">
        <f t="shared" si="242"/>
        <v/>
      </c>
      <c r="FY70" s="10" t="str">
        <f t="shared" si="571"/>
        <v/>
      </c>
      <c r="FZ70" s="277" t="str">
        <f t="shared" si="243"/>
        <v/>
      </c>
      <c r="GA70" s="177" t="str">
        <f t="shared" si="217"/>
        <v/>
      </c>
      <c r="GB70" s="4" t="str">
        <f t="shared" si="218"/>
        <v/>
      </c>
      <c r="GC70" s="5" t="str">
        <f t="shared" si="219"/>
        <v/>
      </c>
      <c r="GD70" s="10" t="str">
        <f t="shared" si="220"/>
        <v/>
      </c>
      <c r="GE70" s="311" t="str">
        <f t="shared" si="221"/>
        <v/>
      </c>
      <c r="GF70" s="341" t="str">
        <f t="shared" si="244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2"/>
        <v/>
      </c>
      <c r="GK70" s="174" t="str">
        <f t="shared" si="575"/>
        <v/>
      </c>
      <c r="GL70" s="174" t="str">
        <f t="shared" si="223"/>
        <v/>
      </c>
      <c r="GM70" s="177" t="str">
        <f t="shared" si="245"/>
        <v/>
      </c>
      <c r="GN70" s="280" t="str">
        <f t="shared" si="224"/>
        <v/>
      </c>
      <c r="GO70" s="4" t="str">
        <f t="shared" si="225"/>
        <v/>
      </c>
      <c r="GP70" s="8" t="str">
        <f t="shared" si="246"/>
        <v/>
      </c>
      <c r="GQ70" s="177" t="str">
        <f t="shared" si="226"/>
        <v/>
      </c>
      <c r="GR70" s="371" t="str">
        <f t="shared" si="247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4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7"/>
        <v/>
      </c>
      <c r="HC70" s="343" t="str">
        <f t="shared" si="228"/>
        <v/>
      </c>
      <c r="HD70" s="363" t="str">
        <f t="shared" si="229"/>
        <v/>
      </c>
      <c r="HE70" s="344" t="str">
        <f t="shared" si="584"/>
        <v/>
      </c>
      <c r="HF70" s="5" t="str">
        <f t="shared" si="585"/>
        <v/>
      </c>
      <c r="HG70" s="343" t="str">
        <f t="shared" si="230"/>
        <v/>
      </c>
      <c r="HH70" s="349" t="str">
        <f t="shared" si="231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23" t="str">
        <f t="shared" si="455"/>
        <v/>
      </c>
      <c r="HN70" s="924" t="str">
        <f t="shared" si="456"/>
        <v/>
      </c>
      <c r="HO70" s="925"/>
      <c r="HP70" s="926"/>
      <c r="HQ70" s="924" t="str">
        <f t="shared" si="457"/>
        <v/>
      </c>
      <c r="HR70" s="927" t="str">
        <f t="shared" si="458"/>
        <v/>
      </c>
      <c r="HS70" s="879" t="str">
        <f t="shared" si="507"/>
        <v/>
      </c>
      <c r="HT70" s="889" t="str">
        <f t="shared" si="459"/>
        <v/>
      </c>
      <c r="HU70" s="890" t="str">
        <f t="shared" si="460"/>
        <v/>
      </c>
      <c r="HV70" s="886" t="str">
        <f t="shared" si="461"/>
        <v/>
      </c>
      <c r="HW70" s="880" t="str">
        <f t="shared" si="462"/>
        <v/>
      </c>
      <c r="HX70" s="881" t="str">
        <f t="shared" si="463"/>
        <v/>
      </c>
      <c r="HY70" s="880" t="str">
        <f t="shared" si="464"/>
        <v/>
      </c>
      <c r="HZ70" s="882" t="str">
        <f t="shared" si="465"/>
        <v/>
      </c>
      <c r="IA70" s="883" t="str">
        <f t="shared" si="466"/>
        <v/>
      </c>
      <c r="IB70" s="884" t="str">
        <f t="shared" si="467"/>
        <v/>
      </c>
      <c r="IC70" s="855" t="str">
        <f t="shared" si="468"/>
        <v/>
      </c>
      <c r="ID70" s="351" t="str">
        <f t="shared" si="469"/>
        <v/>
      </c>
      <c r="IE70" s="857" t="str">
        <f t="shared" si="470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2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71"/>
        <v/>
      </c>
      <c r="IM70" s="482" t="str">
        <f t="shared" si="233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 t="str">
        <f t="shared" si="92"/>
        <v/>
      </c>
      <c r="B71" s="578" t="str">
        <f t="shared" ref="B71:D71" si="619">IFERROR(O226-($A71*E71),"")</f>
        <v/>
      </c>
      <c r="C71" s="572" t="str">
        <f t="shared" si="619"/>
        <v/>
      </c>
      <c r="D71" s="576" t="str">
        <f t="shared" si="619"/>
        <v/>
      </c>
      <c r="E71" s="580" t="str">
        <f t="shared" ref="E71:K71" si="620">R226</f>
        <v/>
      </c>
      <c r="F71" s="572" t="str">
        <f t="shared" si="620"/>
        <v/>
      </c>
      <c r="G71" s="579" t="str">
        <f t="shared" si="620"/>
        <v/>
      </c>
      <c r="H71" s="580" t="str">
        <f t="shared" si="620"/>
        <v/>
      </c>
      <c r="I71" s="572" t="str">
        <f t="shared" si="620"/>
        <v/>
      </c>
      <c r="J71" s="483" t="str">
        <f t="shared" si="95"/>
        <v/>
      </c>
      <c r="K71" s="806" t="str">
        <f t="shared" si="620"/>
        <v/>
      </c>
      <c r="L71" s="309"/>
      <c r="M71" s="164" t="str">
        <f t="shared" si="311"/>
        <v/>
      </c>
      <c r="N71" s="575" t="str">
        <f t="shared" si="312"/>
        <v/>
      </c>
      <c r="O71" s="572" t="str">
        <f t="shared" si="313"/>
        <v/>
      </c>
      <c r="P71" s="576" t="str">
        <f t="shared" si="314"/>
        <v/>
      </c>
      <c r="Q71" s="528" t="str">
        <f t="shared" si="135"/>
        <v/>
      </c>
      <c r="R71" s="572" t="str">
        <f t="shared" si="96"/>
        <v/>
      </c>
      <c r="S71" s="577" t="str">
        <f t="shared" si="97"/>
        <v/>
      </c>
      <c r="T71" s="578" t="str">
        <f t="shared" si="98"/>
        <v/>
      </c>
      <c r="U71" s="572" t="str">
        <f t="shared" si="99"/>
        <v/>
      </c>
      <c r="V71" s="579" t="str">
        <f t="shared" si="136"/>
        <v/>
      </c>
      <c r="W71" s="528" t="str">
        <f t="shared" si="257"/>
        <v/>
      </c>
      <c r="X71" s="572" t="str">
        <f t="shared" si="100"/>
        <v/>
      </c>
      <c r="Y71" s="573" t="str">
        <f t="shared" si="260"/>
        <v/>
      </c>
      <c r="Z71" s="575" t="str">
        <f t="shared" si="315"/>
        <v/>
      </c>
      <c r="AA71" s="572" t="str">
        <f t="shared" si="316"/>
        <v/>
      </c>
      <c r="AB71" s="572" t="str">
        <f t="shared" si="317"/>
        <v/>
      </c>
      <c r="AC71" s="579" t="str">
        <f t="shared" si="101"/>
        <v/>
      </c>
      <c r="AD71" s="580" t="str">
        <f t="shared" si="137"/>
        <v/>
      </c>
      <c r="AE71" s="572" t="str">
        <f t="shared" si="102"/>
        <v/>
      </c>
      <c r="AF71" s="576" t="str">
        <f t="shared" si="103"/>
        <v/>
      </c>
      <c r="AG71" s="545" t="str">
        <f t="shared" si="104"/>
        <v/>
      </c>
      <c r="AH71" s="546" t="str">
        <f t="shared" si="105"/>
        <v/>
      </c>
      <c r="AI71" s="528" t="str">
        <f t="shared" si="106"/>
        <v/>
      </c>
      <c r="AJ71" s="529" t="str">
        <f t="shared" si="107"/>
        <v/>
      </c>
      <c r="AK71" s="578" t="str">
        <f t="shared" si="236"/>
        <v/>
      </c>
      <c r="AL71" s="572" t="str">
        <f t="shared" si="108"/>
        <v/>
      </c>
      <c r="AM71" s="577" t="str">
        <f t="shared" si="109"/>
        <v/>
      </c>
      <c r="AN71" s="524" t="str">
        <f t="shared" si="110"/>
        <v/>
      </c>
      <c r="AO71" s="525" t="str">
        <f t="shared" si="590"/>
        <v/>
      </c>
      <c r="AP71" s="528" t="str">
        <f t="shared" si="112"/>
        <v/>
      </c>
      <c r="AQ71" s="529" t="str">
        <f t="shared" si="318"/>
        <v/>
      </c>
      <c r="AS71" s="954" t="str">
        <f t="shared" si="510"/>
        <v/>
      </c>
      <c r="AT71" s="950" t="str">
        <f t="shared" si="319"/>
        <v/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9"/>
        <v/>
      </c>
      <c r="BA71" s="296" t="str">
        <f t="shared" si="322"/>
        <v/>
      </c>
      <c r="BB71" s="177" t="str">
        <f t="shared" si="140"/>
        <v/>
      </c>
      <c r="BC71" s="9"/>
      <c r="BD71" s="5" t="str">
        <f t="shared" si="141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2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3"/>
        <v/>
      </c>
      <c r="BP71" s="5" t="str">
        <f t="shared" si="144"/>
        <v/>
      </c>
      <c r="BQ71" s="5" t="str">
        <f t="shared" si="145"/>
        <v/>
      </c>
      <c r="BR71" s="6" t="str">
        <f t="shared" si="146"/>
        <v/>
      </c>
      <c r="BS71" s="4" t="str">
        <f t="shared" si="554"/>
        <v/>
      </c>
      <c r="BT71" s="5" t="str">
        <f t="shared" si="554"/>
        <v/>
      </c>
      <c r="BU71" s="10" t="str">
        <f t="shared" si="114"/>
        <v/>
      </c>
      <c r="BV71" s="9" t="str">
        <f t="shared" si="115"/>
        <v/>
      </c>
      <c r="BW71" s="5" t="str">
        <f t="shared" si="116"/>
        <v/>
      </c>
      <c r="BX71" s="8" t="str">
        <f t="shared" si="117"/>
        <v/>
      </c>
      <c r="BY71" s="173" t="str">
        <f t="shared" si="118"/>
        <v/>
      </c>
      <c r="BZ71" s="5" t="str">
        <f t="shared" si="119"/>
        <v/>
      </c>
      <c r="CA71" s="6" t="str">
        <f t="shared" si="120"/>
        <v/>
      </c>
      <c r="CB71" s="4" t="str">
        <f t="shared" si="147"/>
        <v/>
      </c>
      <c r="CC71" s="5" t="str">
        <f t="shared" si="148"/>
        <v/>
      </c>
      <c r="CD71" s="5" t="str">
        <f t="shared" si="149"/>
        <v/>
      </c>
      <c r="CE71" s="6" t="str">
        <f t="shared" si="150"/>
        <v/>
      </c>
      <c r="CF71" s="4" t="str">
        <f t="shared" si="151"/>
        <v/>
      </c>
      <c r="CG71" s="5" t="str">
        <f t="shared" si="152"/>
        <v/>
      </c>
      <c r="CH71" s="5" t="str">
        <f t="shared" si="153"/>
        <v/>
      </c>
      <c r="CI71" s="4" t="str">
        <f t="shared" si="121"/>
        <v/>
      </c>
      <c r="CJ71" s="5" t="str">
        <f t="shared" si="122"/>
        <v/>
      </c>
      <c r="CK71" s="8" t="str">
        <f t="shared" si="123"/>
        <v/>
      </c>
      <c r="CL71" s="173" t="str">
        <f t="shared" si="124"/>
        <v/>
      </c>
      <c r="CM71" s="5" t="str">
        <f t="shared" si="125"/>
        <v/>
      </c>
      <c r="CN71" s="6" t="str">
        <f t="shared" si="126"/>
        <v/>
      </c>
      <c r="CO71" s="167" t="str">
        <f t="shared" si="350"/>
        <v/>
      </c>
      <c r="CP71" s="4" t="str">
        <f t="shared" si="237"/>
        <v/>
      </c>
      <c r="CQ71" s="5" t="str">
        <f t="shared" si="238"/>
        <v/>
      </c>
      <c r="CR71" s="5" t="str">
        <f t="shared" si="154"/>
        <v/>
      </c>
      <c r="CS71" s="8" t="str">
        <f t="shared" si="155"/>
        <v/>
      </c>
      <c r="CT71" s="9" t="str">
        <f t="shared" si="156"/>
        <v/>
      </c>
      <c r="CU71" s="6" t="str">
        <f t="shared" si="157"/>
        <v/>
      </c>
      <c r="CV71" s="4" t="str">
        <f t="shared" si="239"/>
        <v/>
      </c>
      <c r="CW71" s="5" t="str">
        <f t="shared" si="158"/>
        <v/>
      </c>
      <c r="CX71" s="8" t="str">
        <f t="shared" si="159"/>
        <v/>
      </c>
      <c r="CY71" s="9" t="str">
        <f t="shared" si="160"/>
        <v/>
      </c>
      <c r="CZ71" s="5" t="str">
        <f t="shared" si="161"/>
        <v/>
      </c>
      <c r="DA71" s="6" t="str">
        <f t="shared" si="162"/>
        <v/>
      </c>
      <c r="DB71" s="4" t="str">
        <f t="shared" si="555"/>
        <v/>
      </c>
      <c r="DC71" s="5" t="str">
        <f t="shared" si="555"/>
        <v/>
      </c>
      <c r="DD71" s="10" t="str">
        <f t="shared" si="164"/>
        <v/>
      </c>
      <c r="DE71" s="9" t="str">
        <f t="shared" si="556"/>
        <v/>
      </c>
      <c r="DF71" s="5" t="str">
        <f t="shared" si="556"/>
        <v/>
      </c>
      <c r="DG71" s="10" t="str">
        <f t="shared" si="166"/>
        <v/>
      </c>
      <c r="DH71" s="70" t="str">
        <f t="shared" si="167"/>
        <v/>
      </c>
      <c r="DI71" s="4" t="str">
        <f t="shared" si="168"/>
        <v/>
      </c>
      <c r="DJ71" s="5" t="str">
        <f t="shared" si="169"/>
        <v/>
      </c>
      <c r="DK71" s="10" t="str">
        <f t="shared" si="170"/>
        <v/>
      </c>
      <c r="DL71" s="9" t="str">
        <f t="shared" si="171"/>
        <v/>
      </c>
      <c r="DM71" s="173" t="str">
        <f t="shared" si="172"/>
        <v/>
      </c>
      <c r="DN71" s="178" t="str">
        <f t="shared" si="173"/>
        <v/>
      </c>
      <c r="DO71" s="9" t="str">
        <f t="shared" si="174"/>
        <v/>
      </c>
      <c r="DP71" s="173" t="str">
        <f t="shared" si="175"/>
        <v/>
      </c>
      <c r="DQ71" s="11" t="str">
        <f t="shared" si="176"/>
        <v/>
      </c>
      <c r="DR71" s="173" t="str">
        <f t="shared" si="177"/>
        <v/>
      </c>
      <c r="DS71" s="5" t="str">
        <f t="shared" si="178"/>
        <v/>
      </c>
      <c r="DT71" s="5" t="str">
        <f t="shared" si="179"/>
        <v/>
      </c>
      <c r="DU71" s="5" t="str">
        <f t="shared" si="180"/>
        <v/>
      </c>
      <c r="DV71" s="5" t="str">
        <f t="shared" si="181"/>
        <v/>
      </c>
      <c r="DW71" s="5" t="str">
        <f t="shared" si="182"/>
        <v/>
      </c>
      <c r="DX71" s="167" t="str">
        <f t="shared" si="183"/>
        <v/>
      </c>
      <c r="DY71" s="9" t="str">
        <f t="shared" si="184"/>
        <v/>
      </c>
      <c r="DZ71" s="5" t="str">
        <f t="shared" si="185"/>
        <v/>
      </c>
      <c r="EA71" s="10" t="str">
        <f t="shared" si="186"/>
        <v/>
      </c>
      <c r="EB71" s="6" t="str">
        <f t="shared" si="187"/>
        <v/>
      </c>
      <c r="EC71" s="173" t="str">
        <f t="shared" si="188"/>
        <v/>
      </c>
      <c r="ED71" s="5" t="str">
        <f t="shared" si="189"/>
        <v/>
      </c>
      <c r="EE71" s="4" t="str">
        <f t="shared" si="190"/>
        <v/>
      </c>
      <c r="EF71" s="5" t="str">
        <f t="shared" si="191"/>
        <v/>
      </c>
      <c r="EG71" s="10" t="str">
        <f t="shared" si="192"/>
        <v/>
      </c>
      <c r="EH71" s="9" t="str">
        <f t="shared" si="193"/>
        <v/>
      </c>
      <c r="EI71" s="5" t="str">
        <f t="shared" si="194"/>
        <v/>
      </c>
      <c r="EJ71" s="6" t="str">
        <f t="shared" si="195"/>
        <v/>
      </c>
      <c r="EK71" s="236" t="str">
        <f t="shared" si="196"/>
        <v/>
      </c>
      <c r="EL71" s="238" t="str">
        <f t="shared" si="197"/>
        <v/>
      </c>
      <c r="EM71" s="4" t="str">
        <f t="shared" si="198"/>
        <v/>
      </c>
      <c r="EN71" s="5" t="str">
        <f t="shared" si="199"/>
        <v/>
      </c>
      <c r="EO71" s="10" t="str">
        <f t="shared" si="200"/>
        <v/>
      </c>
      <c r="EP71" s="9" t="str">
        <f t="shared" si="201"/>
        <v/>
      </c>
      <c r="EQ71" s="5" t="str">
        <f t="shared" si="202"/>
        <v/>
      </c>
      <c r="ER71" s="7" t="str">
        <f t="shared" si="203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4"/>
        <v/>
      </c>
      <c r="EZ71" s="51" t="str">
        <f t="shared" si="205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6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8"/>
        <v/>
      </c>
      <c r="FK71" s="4" t="str">
        <f t="shared" si="568"/>
        <v/>
      </c>
      <c r="FL71" s="5" t="str">
        <f t="shared" si="209"/>
        <v/>
      </c>
      <c r="FM71" s="8" t="str">
        <f t="shared" si="210"/>
        <v/>
      </c>
      <c r="FN71" s="9" t="str">
        <f t="shared" si="211"/>
        <v/>
      </c>
      <c r="FO71" s="10" t="str">
        <f t="shared" si="569"/>
        <v/>
      </c>
      <c r="FP71" s="277" t="str">
        <f t="shared" si="570"/>
        <v/>
      </c>
      <c r="FQ71" s="173" t="str">
        <f t="shared" si="240"/>
        <v/>
      </c>
      <c r="FR71" s="10" t="str">
        <f t="shared" si="212"/>
        <v/>
      </c>
      <c r="FS71" s="9" t="str">
        <f t="shared" si="213"/>
        <v/>
      </c>
      <c r="FT71" s="6" t="str">
        <f t="shared" si="214"/>
        <v/>
      </c>
      <c r="FU71" s="4" t="str">
        <f t="shared" si="215"/>
        <v/>
      </c>
      <c r="FV71" s="5" t="str">
        <f t="shared" si="216"/>
        <v/>
      </c>
      <c r="FW71" s="8" t="str">
        <f t="shared" si="241"/>
        <v/>
      </c>
      <c r="FX71" s="9" t="str">
        <f t="shared" si="242"/>
        <v/>
      </c>
      <c r="FY71" s="10" t="str">
        <f t="shared" si="571"/>
        <v/>
      </c>
      <c r="FZ71" s="277" t="str">
        <f t="shared" si="243"/>
        <v/>
      </c>
      <c r="GA71" s="177" t="str">
        <f t="shared" si="217"/>
        <v/>
      </c>
      <c r="GB71" s="4" t="str">
        <f t="shared" si="218"/>
        <v/>
      </c>
      <c r="GC71" s="5" t="str">
        <f t="shared" si="219"/>
        <v/>
      </c>
      <c r="GD71" s="10" t="str">
        <f t="shared" si="220"/>
        <v/>
      </c>
      <c r="GE71" s="311" t="str">
        <f t="shared" si="221"/>
        <v/>
      </c>
      <c r="GF71" s="341" t="str">
        <f t="shared" si="244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2"/>
        <v/>
      </c>
      <c r="GK71" s="174" t="str">
        <f t="shared" si="575"/>
        <v/>
      </c>
      <c r="GL71" s="174" t="str">
        <f t="shared" si="223"/>
        <v/>
      </c>
      <c r="GM71" s="177" t="str">
        <f t="shared" si="245"/>
        <v/>
      </c>
      <c r="GN71" s="280" t="str">
        <f t="shared" si="224"/>
        <v/>
      </c>
      <c r="GO71" s="4" t="str">
        <f t="shared" si="225"/>
        <v/>
      </c>
      <c r="GP71" s="8" t="str">
        <f t="shared" si="246"/>
        <v/>
      </c>
      <c r="GQ71" s="177" t="str">
        <f t="shared" si="226"/>
        <v/>
      </c>
      <c r="GR71" s="371" t="str">
        <f t="shared" si="247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4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7"/>
        <v/>
      </c>
      <c r="HC71" s="343" t="str">
        <f t="shared" si="228"/>
        <v/>
      </c>
      <c r="HD71" s="363" t="str">
        <f t="shared" si="229"/>
        <v/>
      </c>
      <c r="HE71" s="344" t="str">
        <f t="shared" si="584"/>
        <v/>
      </c>
      <c r="HF71" s="5" t="str">
        <f t="shared" si="585"/>
        <v/>
      </c>
      <c r="HG71" s="343" t="str">
        <f t="shared" si="230"/>
        <v/>
      </c>
      <c r="HH71" s="349" t="str">
        <f t="shared" si="231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23" t="str">
        <f t="shared" si="455"/>
        <v/>
      </c>
      <c r="HN71" s="924" t="str">
        <f t="shared" si="456"/>
        <v/>
      </c>
      <c r="HO71" s="925"/>
      <c r="HP71" s="926"/>
      <c r="HQ71" s="924" t="str">
        <f t="shared" si="457"/>
        <v/>
      </c>
      <c r="HR71" s="927" t="str">
        <f t="shared" si="458"/>
        <v/>
      </c>
      <c r="HS71" s="879" t="str">
        <f t="shared" si="507"/>
        <v/>
      </c>
      <c r="HT71" s="889" t="str">
        <f t="shared" si="459"/>
        <v/>
      </c>
      <c r="HU71" s="890" t="str">
        <f t="shared" si="460"/>
        <v/>
      </c>
      <c r="HV71" s="886" t="str">
        <f t="shared" si="461"/>
        <v/>
      </c>
      <c r="HW71" s="880" t="str">
        <f t="shared" si="462"/>
        <v/>
      </c>
      <c r="HX71" s="881" t="str">
        <f t="shared" si="463"/>
        <v/>
      </c>
      <c r="HY71" s="880" t="str">
        <f t="shared" si="464"/>
        <v/>
      </c>
      <c r="HZ71" s="882" t="str">
        <f t="shared" si="465"/>
        <v/>
      </c>
      <c r="IA71" s="883" t="str">
        <f t="shared" si="466"/>
        <v/>
      </c>
      <c r="IB71" s="884" t="str">
        <f t="shared" si="467"/>
        <v/>
      </c>
      <c r="IC71" s="855" t="str">
        <f t="shared" si="468"/>
        <v/>
      </c>
      <c r="ID71" s="351" t="str">
        <f t="shared" si="469"/>
        <v/>
      </c>
      <c r="IE71" s="857" t="str">
        <f t="shared" si="470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2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71"/>
        <v/>
      </c>
      <c r="IM71" s="482" t="str">
        <f t="shared" si="233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 t="str">
        <f t="shared" si="92"/>
        <v/>
      </c>
      <c r="B72" s="578" t="str">
        <f t="shared" ref="B72:D72" si="621">IFERROR(O227-($A72*E72),"")</f>
        <v/>
      </c>
      <c r="C72" s="572" t="str">
        <f t="shared" si="621"/>
        <v/>
      </c>
      <c r="D72" s="576" t="str">
        <f t="shared" si="621"/>
        <v/>
      </c>
      <c r="E72" s="580" t="str">
        <f t="shared" ref="E72:K72" si="622">R227</f>
        <v/>
      </c>
      <c r="F72" s="572" t="str">
        <f t="shared" si="622"/>
        <v/>
      </c>
      <c r="G72" s="579" t="str">
        <f t="shared" si="622"/>
        <v/>
      </c>
      <c r="H72" s="580" t="str">
        <f t="shared" si="622"/>
        <v/>
      </c>
      <c r="I72" s="572" t="str">
        <f t="shared" si="622"/>
        <v/>
      </c>
      <c r="J72" s="483" t="str">
        <f t="shared" si="95"/>
        <v/>
      </c>
      <c r="K72" s="806" t="str">
        <f t="shared" si="622"/>
        <v/>
      </c>
      <c r="L72" s="309"/>
      <c r="M72" s="164" t="str">
        <f t="shared" si="311"/>
        <v/>
      </c>
      <c r="N72" s="575" t="str">
        <f t="shared" si="312"/>
        <v/>
      </c>
      <c r="O72" s="572" t="str">
        <f t="shared" si="313"/>
        <v/>
      </c>
      <c r="P72" s="576" t="str">
        <f t="shared" si="314"/>
        <v/>
      </c>
      <c r="Q72" s="528" t="str">
        <f t="shared" si="135"/>
        <v/>
      </c>
      <c r="R72" s="572" t="str">
        <f t="shared" si="96"/>
        <v/>
      </c>
      <c r="S72" s="577" t="str">
        <f t="shared" si="97"/>
        <v/>
      </c>
      <c r="T72" s="578" t="str">
        <f t="shared" si="98"/>
        <v/>
      </c>
      <c r="U72" s="572" t="str">
        <f t="shared" si="99"/>
        <v/>
      </c>
      <c r="V72" s="579" t="str">
        <f t="shared" si="136"/>
        <v/>
      </c>
      <c r="W72" s="528" t="str">
        <f t="shared" si="257"/>
        <v/>
      </c>
      <c r="X72" s="572" t="str">
        <f t="shared" si="100"/>
        <v/>
      </c>
      <c r="Y72" s="573" t="str">
        <f t="shared" si="260"/>
        <v/>
      </c>
      <c r="Z72" s="575" t="str">
        <f t="shared" si="315"/>
        <v/>
      </c>
      <c r="AA72" s="572" t="str">
        <f t="shared" si="316"/>
        <v/>
      </c>
      <c r="AB72" s="572" t="str">
        <f t="shared" si="317"/>
        <v/>
      </c>
      <c r="AC72" s="579" t="str">
        <f t="shared" si="101"/>
        <v/>
      </c>
      <c r="AD72" s="580" t="str">
        <f t="shared" si="137"/>
        <v/>
      </c>
      <c r="AE72" s="572" t="str">
        <f t="shared" si="102"/>
        <v/>
      </c>
      <c r="AF72" s="576" t="str">
        <f t="shared" si="103"/>
        <v/>
      </c>
      <c r="AG72" s="545" t="str">
        <f t="shared" si="104"/>
        <v/>
      </c>
      <c r="AH72" s="546" t="str">
        <f t="shared" si="105"/>
        <v/>
      </c>
      <c r="AI72" s="528" t="str">
        <f t="shared" si="106"/>
        <v/>
      </c>
      <c r="AJ72" s="529" t="str">
        <f t="shared" si="107"/>
        <v/>
      </c>
      <c r="AK72" s="578" t="str">
        <f t="shared" si="236"/>
        <v/>
      </c>
      <c r="AL72" s="572" t="str">
        <f t="shared" si="108"/>
        <v/>
      </c>
      <c r="AM72" s="577" t="str">
        <f t="shared" si="109"/>
        <v/>
      </c>
      <c r="AN72" s="524" t="str">
        <f t="shared" si="110"/>
        <v/>
      </c>
      <c r="AO72" s="525" t="str">
        <f t="shared" si="590"/>
        <v/>
      </c>
      <c r="AP72" s="528" t="str">
        <f t="shared" si="112"/>
        <v/>
      </c>
      <c r="AQ72" s="529" t="str">
        <f t="shared" si="318"/>
        <v/>
      </c>
      <c r="AS72" s="954" t="str">
        <f t="shared" si="510"/>
        <v/>
      </c>
      <c r="AT72" s="950" t="str">
        <f t="shared" si="319"/>
        <v/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9"/>
        <v/>
      </c>
      <c r="BA72" s="296" t="str">
        <f t="shared" si="322"/>
        <v/>
      </c>
      <c r="BB72" s="177" t="str">
        <f t="shared" si="140"/>
        <v/>
      </c>
      <c r="BC72" s="9"/>
      <c r="BD72" s="5" t="str">
        <f t="shared" si="141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2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3"/>
        <v/>
      </c>
      <c r="BP72" s="5" t="str">
        <f t="shared" si="144"/>
        <v/>
      </c>
      <c r="BQ72" s="5" t="str">
        <f t="shared" si="145"/>
        <v/>
      </c>
      <c r="BR72" s="6" t="str">
        <f t="shared" si="146"/>
        <v/>
      </c>
      <c r="BS72" s="4" t="str">
        <f t="shared" si="554"/>
        <v/>
      </c>
      <c r="BT72" s="5" t="str">
        <f t="shared" si="554"/>
        <v/>
      </c>
      <c r="BU72" s="10" t="str">
        <f t="shared" si="114"/>
        <v/>
      </c>
      <c r="BV72" s="9" t="str">
        <f t="shared" si="115"/>
        <v/>
      </c>
      <c r="BW72" s="5" t="str">
        <f t="shared" si="116"/>
        <v/>
      </c>
      <c r="BX72" s="8" t="str">
        <f t="shared" si="117"/>
        <v/>
      </c>
      <c r="BY72" s="173" t="str">
        <f t="shared" si="118"/>
        <v/>
      </c>
      <c r="BZ72" s="5" t="str">
        <f t="shared" si="119"/>
        <v/>
      </c>
      <c r="CA72" s="6" t="str">
        <f t="shared" si="120"/>
        <v/>
      </c>
      <c r="CB72" s="4" t="str">
        <f t="shared" si="147"/>
        <v/>
      </c>
      <c r="CC72" s="5" t="str">
        <f t="shared" si="148"/>
        <v/>
      </c>
      <c r="CD72" s="5" t="str">
        <f t="shared" si="149"/>
        <v/>
      </c>
      <c r="CE72" s="6" t="str">
        <f t="shared" si="150"/>
        <v/>
      </c>
      <c r="CF72" s="4" t="str">
        <f t="shared" si="151"/>
        <v/>
      </c>
      <c r="CG72" s="5" t="str">
        <f t="shared" si="152"/>
        <v/>
      </c>
      <c r="CH72" s="5" t="str">
        <f t="shared" si="153"/>
        <v/>
      </c>
      <c r="CI72" s="4" t="str">
        <f t="shared" si="121"/>
        <v/>
      </c>
      <c r="CJ72" s="5" t="str">
        <f t="shared" si="122"/>
        <v/>
      </c>
      <c r="CK72" s="8" t="str">
        <f t="shared" si="123"/>
        <v/>
      </c>
      <c r="CL72" s="173" t="str">
        <f t="shared" si="124"/>
        <v/>
      </c>
      <c r="CM72" s="5" t="str">
        <f t="shared" si="125"/>
        <v/>
      </c>
      <c r="CN72" s="6" t="str">
        <f t="shared" si="126"/>
        <v/>
      </c>
      <c r="CO72" s="167" t="str">
        <f t="shared" si="350"/>
        <v/>
      </c>
      <c r="CP72" s="4" t="str">
        <f t="shared" si="237"/>
        <v/>
      </c>
      <c r="CQ72" s="5" t="str">
        <f t="shared" si="238"/>
        <v/>
      </c>
      <c r="CR72" s="5" t="str">
        <f t="shared" si="154"/>
        <v/>
      </c>
      <c r="CS72" s="8" t="str">
        <f t="shared" si="155"/>
        <v/>
      </c>
      <c r="CT72" s="9" t="str">
        <f t="shared" si="156"/>
        <v/>
      </c>
      <c r="CU72" s="6" t="str">
        <f t="shared" si="157"/>
        <v/>
      </c>
      <c r="CV72" s="4" t="str">
        <f t="shared" si="239"/>
        <v/>
      </c>
      <c r="CW72" s="5" t="str">
        <f t="shared" si="158"/>
        <v/>
      </c>
      <c r="CX72" s="8" t="str">
        <f t="shared" si="159"/>
        <v/>
      </c>
      <c r="CY72" s="9" t="str">
        <f t="shared" si="160"/>
        <v/>
      </c>
      <c r="CZ72" s="5" t="str">
        <f t="shared" si="161"/>
        <v/>
      </c>
      <c r="DA72" s="6" t="str">
        <f t="shared" si="162"/>
        <v/>
      </c>
      <c r="DB72" s="4" t="str">
        <f t="shared" si="555"/>
        <v/>
      </c>
      <c r="DC72" s="5" t="str">
        <f t="shared" si="555"/>
        <v/>
      </c>
      <c r="DD72" s="10" t="str">
        <f t="shared" si="164"/>
        <v/>
      </c>
      <c r="DE72" s="9" t="str">
        <f t="shared" si="556"/>
        <v/>
      </c>
      <c r="DF72" s="5" t="str">
        <f t="shared" si="556"/>
        <v/>
      </c>
      <c r="DG72" s="10" t="str">
        <f t="shared" si="166"/>
        <v/>
      </c>
      <c r="DH72" s="70" t="str">
        <f t="shared" si="167"/>
        <v/>
      </c>
      <c r="DI72" s="4" t="str">
        <f t="shared" si="168"/>
        <v/>
      </c>
      <c r="DJ72" s="5" t="str">
        <f t="shared" si="169"/>
        <v/>
      </c>
      <c r="DK72" s="10" t="str">
        <f t="shared" si="170"/>
        <v/>
      </c>
      <c r="DL72" s="9" t="str">
        <f t="shared" si="171"/>
        <v/>
      </c>
      <c r="DM72" s="173" t="str">
        <f t="shared" si="172"/>
        <v/>
      </c>
      <c r="DN72" s="178" t="str">
        <f t="shared" si="173"/>
        <v/>
      </c>
      <c r="DO72" s="9" t="str">
        <f t="shared" si="174"/>
        <v/>
      </c>
      <c r="DP72" s="173" t="str">
        <f t="shared" si="175"/>
        <v/>
      </c>
      <c r="DQ72" s="11" t="str">
        <f t="shared" si="176"/>
        <v/>
      </c>
      <c r="DR72" s="173" t="str">
        <f t="shared" si="177"/>
        <v/>
      </c>
      <c r="DS72" s="5" t="str">
        <f t="shared" si="178"/>
        <v/>
      </c>
      <c r="DT72" s="5" t="str">
        <f t="shared" si="179"/>
        <v/>
      </c>
      <c r="DU72" s="5" t="str">
        <f t="shared" si="180"/>
        <v/>
      </c>
      <c r="DV72" s="5" t="str">
        <f t="shared" si="181"/>
        <v/>
      </c>
      <c r="DW72" s="5" t="str">
        <f t="shared" si="182"/>
        <v/>
      </c>
      <c r="DX72" s="167" t="str">
        <f t="shared" si="183"/>
        <v/>
      </c>
      <c r="DY72" s="9" t="str">
        <f t="shared" si="184"/>
        <v/>
      </c>
      <c r="DZ72" s="5" t="str">
        <f t="shared" si="185"/>
        <v/>
      </c>
      <c r="EA72" s="10" t="str">
        <f t="shared" si="186"/>
        <v/>
      </c>
      <c r="EB72" s="6" t="str">
        <f t="shared" si="187"/>
        <v/>
      </c>
      <c r="EC72" s="173" t="str">
        <f t="shared" si="188"/>
        <v/>
      </c>
      <c r="ED72" s="5" t="str">
        <f t="shared" si="189"/>
        <v/>
      </c>
      <c r="EE72" s="4" t="str">
        <f t="shared" si="190"/>
        <v/>
      </c>
      <c r="EF72" s="5" t="str">
        <f t="shared" si="191"/>
        <v/>
      </c>
      <c r="EG72" s="10" t="str">
        <f t="shared" si="192"/>
        <v/>
      </c>
      <c r="EH72" s="9" t="str">
        <f t="shared" si="193"/>
        <v/>
      </c>
      <c r="EI72" s="5" t="str">
        <f t="shared" si="194"/>
        <v/>
      </c>
      <c r="EJ72" s="6" t="str">
        <f t="shared" si="195"/>
        <v/>
      </c>
      <c r="EK72" s="236" t="str">
        <f t="shared" si="196"/>
        <v/>
      </c>
      <c r="EL72" s="238" t="str">
        <f t="shared" si="197"/>
        <v/>
      </c>
      <c r="EM72" s="4" t="str">
        <f t="shared" si="198"/>
        <v/>
      </c>
      <c r="EN72" s="5" t="str">
        <f t="shared" si="199"/>
        <v/>
      </c>
      <c r="EO72" s="10" t="str">
        <f t="shared" si="200"/>
        <v/>
      </c>
      <c r="EP72" s="9" t="str">
        <f t="shared" si="201"/>
        <v/>
      </c>
      <c r="EQ72" s="5" t="str">
        <f t="shared" si="202"/>
        <v/>
      </c>
      <c r="ER72" s="7" t="str">
        <f t="shared" si="203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4"/>
        <v/>
      </c>
      <c r="EZ72" s="51" t="str">
        <f t="shared" si="205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6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8"/>
        <v/>
      </c>
      <c r="FK72" s="4" t="str">
        <f t="shared" si="568"/>
        <v/>
      </c>
      <c r="FL72" s="5" t="str">
        <f t="shared" si="209"/>
        <v/>
      </c>
      <c r="FM72" s="8" t="str">
        <f t="shared" si="210"/>
        <v/>
      </c>
      <c r="FN72" s="9" t="str">
        <f t="shared" si="211"/>
        <v/>
      </c>
      <c r="FO72" s="10" t="str">
        <f t="shared" si="569"/>
        <v/>
      </c>
      <c r="FP72" s="277" t="str">
        <f t="shared" si="570"/>
        <v/>
      </c>
      <c r="FQ72" s="173" t="str">
        <f t="shared" si="240"/>
        <v/>
      </c>
      <c r="FR72" s="10" t="str">
        <f t="shared" si="212"/>
        <v/>
      </c>
      <c r="FS72" s="9" t="str">
        <f t="shared" si="213"/>
        <v/>
      </c>
      <c r="FT72" s="6" t="str">
        <f t="shared" si="214"/>
        <v/>
      </c>
      <c r="FU72" s="4" t="str">
        <f t="shared" si="215"/>
        <v/>
      </c>
      <c r="FV72" s="5" t="str">
        <f t="shared" si="216"/>
        <v/>
      </c>
      <c r="FW72" s="8" t="str">
        <f t="shared" si="241"/>
        <v/>
      </c>
      <c r="FX72" s="9" t="str">
        <f t="shared" si="242"/>
        <v/>
      </c>
      <c r="FY72" s="10" t="str">
        <f t="shared" si="571"/>
        <v/>
      </c>
      <c r="FZ72" s="277" t="str">
        <f t="shared" si="243"/>
        <v/>
      </c>
      <c r="GA72" s="177" t="str">
        <f t="shared" si="217"/>
        <v/>
      </c>
      <c r="GB72" s="4" t="str">
        <f t="shared" si="218"/>
        <v/>
      </c>
      <c r="GC72" s="5" t="str">
        <f t="shared" si="219"/>
        <v/>
      </c>
      <c r="GD72" s="10" t="str">
        <f t="shared" si="220"/>
        <v/>
      </c>
      <c r="GE72" s="311" t="str">
        <f t="shared" si="221"/>
        <v/>
      </c>
      <c r="GF72" s="341" t="str">
        <f t="shared" si="244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2"/>
        <v/>
      </c>
      <c r="GK72" s="174" t="str">
        <f t="shared" si="575"/>
        <v/>
      </c>
      <c r="GL72" s="174" t="str">
        <f t="shared" si="223"/>
        <v/>
      </c>
      <c r="GM72" s="177" t="str">
        <f t="shared" si="245"/>
        <v/>
      </c>
      <c r="GN72" s="280" t="str">
        <f t="shared" si="224"/>
        <v/>
      </c>
      <c r="GO72" s="4" t="str">
        <f t="shared" si="225"/>
        <v/>
      </c>
      <c r="GP72" s="8" t="str">
        <f t="shared" si="246"/>
        <v/>
      </c>
      <c r="GQ72" s="177" t="str">
        <f t="shared" si="226"/>
        <v/>
      </c>
      <c r="GR72" s="371" t="str">
        <f t="shared" si="247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4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7"/>
        <v/>
      </c>
      <c r="HC72" s="343" t="str">
        <f t="shared" si="228"/>
        <v/>
      </c>
      <c r="HD72" s="363" t="str">
        <f t="shared" si="229"/>
        <v/>
      </c>
      <c r="HE72" s="344" t="str">
        <f t="shared" si="584"/>
        <v/>
      </c>
      <c r="HF72" s="5" t="str">
        <f t="shared" si="585"/>
        <v/>
      </c>
      <c r="HG72" s="343" t="str">
        <f t="shared" si="230"/>
        <v/>
      </c>
      <c r="HH72" s="349" t="str">
        <f t="shared" si="231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23" t="str">
        <f t="shared" si="455"/>
        <v/>
      </c>
      <c r="HN72" s="924" t="str">
        <f t="shared" si="456"/>
        <v/>
      </c>
      <c r="HO72" s="925"/>
      <c r="HP72" s="926"/>
      <c r="HQ72" s="924" t="str">
        <f t="shared" si="457"/>
        <v/>
      </c>
      <c r="HR72" s="927" t="str">
        <f t="shared" si="458"/>
        <v/>
      </c>
      <c r="HS72" s="879" t="str">
        <f t="shared" si="507"/>
        <v/>
      </c>
      <c r="HT72" s="889" t="str">
        <f t="shared" si="459"/>
        <v/>
      </c>
      <c r="HU72" s="890" t="str">
        <f t="shared" si="460"/>
        <v/>
      </c>
      <c r="HV72" s="886" t="str">
        <f t="shared" si="461"/>
        <v/>
      </c>
      <c r="HW72" s="880" t="str">
        <f t="shared" si="462"/>
        <v/>
      </c>
      <c r="HX72" s="881" t="str">
        <f t="shared" si="463"/>
        <v/>
      </c>
      <c r="HY72" s="880" t="str">
        <f t="shared" si="464"/>
        <v/>
      </c>
      <c r="HZ72" s="882" t="str">
        <f t="shared" si="465"/>
        <v/>
      </c>
      <c r="IA72" s="883" t="str">
        <f t="shared" si="466"/>
        <v/>
      </c>
      <c r="IB72" s="884" t="str">
        <f t="shared" si="467"/>
        <v/>
      </c>
      <c r="IC72" s="855" t="str">
        <f t="shared" si="468"/>
        <v/>
      </c>
      <c r="ID72" s="351" t="str">
        <f t="shared" si="469"/>
        <v/>
      </c>
      <c r="IE72" s="857" t="str">
        <f t="shared" si="470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2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71"/>
        <v/>
      </c>
      <c r="IM72" s="482" t="str">
        <f t="shared" si="233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 t="str">
        <f t="shared" si="92"/>
        <v/>
      </c>
      <c r="B73" s="578" t="str">
        <f t="shared" ref="B73:D73" si="623">IFERROR(O228-($A73*E73),"")</f>
        <v/>
      </c>
      <c r="C73" s="572" t="str">
        <f t="shared" si="623"/>
        <v/>
      </c>
      <c r="D73" s="576" t="str">
        <f t="shared" si="623"/>
        <v/>
      </c>
      <c r="E73" s="580" t="str">
        <f t="shared" ref="E73:K73" si="624">R228</f>
        <v/>
      </c>
      <c r="F73" s="572" t="str">
        <f t="shared" si="624"/>
        <v/>
      </c>
      <c r="G73" s="579" t="str">
        <f t="shared" si="624"/>
        <v/>
      </c>
      <c r="H73" s="580" t="str">
        <f t="shared" si="624"/>
        <v/>
      </c>
      <c r="I73" s="572" t="str">
        <f t="shared" si="624"/>
        <v/>
      </c>
      <c r="J73" s="483" t="str">
        <f t="shared" si="95"/>
        <v/>
      </c>
      <c r="K73" s="806" t="str">
        <f t="shared" si="624"/>
        <v/>
      </c>
      <c r="L73" s="309"/>
      <c r="M73" s="164" t="str">
        <f t="shared" ref="M73:M104" si="625">IF(J73="","",VALUE(J73))</f>
        <v/>
      </c>
      <c r="N73" s="575" t="str">
        <f t="shared" ref="N73:N104" si="626">IF(M73="","",B73)</f>
        <v/>
      </c>
      <c r="O73" s="572" t="str">
        <f t="shared" ref="O73:O104" si="627">IF(M73="","",C73)</f>
        <v/>
      </c>
      <c r="P73" s="576" t="str">
        <f t="shared" ref="P73:P104" si="628">IF(M73="","",D73)</f>
        <v/>
      </c>
      <c r="Q73" s="528" t="str">
        <f t="shared" si="135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7"/>
        <v/>
      </c>
      <c r="X73" s="572" t="str">
        <f>IF(M73="","",R73)</f>
        <v/>
      </c>
      <c r="Y73" s="573" t="str">
        <f t="shared" si="260"/>
        <v/>
      </c>
      <c r="Z73" s="575" t="str">
        <f t="shared" ref="Z73:Z104" si="629">IF(M73="","",-E73)</f>
        <v/>
      </c>
      <c r="AA73" s="572" t="str">
        <f t="shared" ref="AA73:AA104" si="630">IF(M73="","",-F73)</f>
        <v/>
      </c>
      <c r="AB73" s="572" t="str">
        <f t="shared" ref="AB73:AB104" si="631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90"/>
        <v/>
      </c>
      <c r="AP73" s="528" t="str">
        <f>IF(M73="","",DEGREES(ATAN2(AK73,AL73)))</f>
        <v/>
      </c>
      <c r="AQ73" s="529" t="str">
        <f t="shared" ref="AQ73:AQ104" si="632">IF(M73="","",DEGREES(ATAN(($AS$5*SIN(RADIANS(90)))/(($X73*2*PI())-($AS$5*COS(RADIANS(90)))))))</f>
        <v/>
      </c>
      <c r="AS73" s="954" t="str">
        <f t="shared" si="510"/>
        <v/>
      </c>
      <c r="AT73" s="950" t="str">
        <f t="shared" ref="AT73:AT104" si="633">IF(M73="","",Y73+(((AS73-$AS$9)*$AS$6)*-1))</f>
        <v/>
      </c>
      <c r="AU73" s="418"/>
      <c r="AV73" s="164" t="str">
        <f t="shared" ref="AV73:AV104" si="634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9"/>
        <v/>
      </c>
      <c r="BA73" s="296" t="str">
        <f t="shared" ref="BA73:BA104" si="635">IF(ISNUMBER(AV73),AZ73/$AZ$151,"")</f>
        <v/>
      </c>
      <c r="BB73" s="177" t="str">
        <f t="shared" si="140"/>
        <v/>
      </c>
      <c r="BC73" s="9"/>
      <c r="BD73" s="5" t="str">
        <f t="shared" si="141"/>
        <v/>
      </c>
      <c r="BE73" s="6" t="str">
        <f t="shared" ref="BE73:BE104" si="636">IF(ISNUMBER(AV73),Y73+BB73,"")</f>
        <v/>
      </c>
      <c r="BF73" s="4" t="str">
        <f t="shared" ref="BF73:BF104" si="637">IF(ISNUMBER($AV73),N73,"")</f>
        <v/>
      </c>
      <c r="BG73" s="5" t="str">
        <f t="shared" ref="BG73:BG104" si="638">IF(ISNUMBER($AV73),O73,"")</f>
        <v/>
      </c>
      <c r="BH73" s="10" t="str">
        <f t="shared" ref="BH73:BH104" si="639">IF(ISNUMBER($AV73),P73,"")</f>
        <v/>
      </c>
      <c r="BI73" s="9" t="str">
        <f t="shared" si="142"/>
        <v/>
      </c>
      <c r="BJ73" s="5" t="str">
        <f t="shared" ref="BJ73:BJ104" si="640">IF(ISNUMBER($AV73),BG73+COS(RADIANS($AG73)),"")</f>
        <v/>
      </c>
      <c r="BK73" s="8" t="str">
        <f t="shared" ref="BK73:BK104" si="641">IF(ISNUMBER($AV73),BH73+SIN(RADIANS($AG73)),"")</f>
        <v/>
      </c>
      <c r="BL73" s="173" t="str">
        <f t="shared" ref="BL73:BL104" si="642">IF(ISNUMBER($AV73),BF73+SIN(RADIANS($AH73)),"")</f>
        <v/>
      </c>
      <c r="BM73" s="5" t="str">
        <f t="shared" ref="BM73:BM104" si="643">IF(ISNUMBER($AV73),BG73-SIN(RADIANS($AG73))*COS(RADIANS($AH73)),"")</f>
        <v/>
      </c>
      <c r="BN73" s="6" t="str">
        <f t="shared" ref="BN73:BN104" si="644">IF(ISNUMBER($AV73),BH73+COS(RADIANS($AG73))*COS(RADIANS($AH73)),"")</f>
        <v/>
      </c>
      <c r="BO73" s="4" t="str">
        <f t="shared" si="143"/>
        <v/>
      </c>
      <c r="BP73" s="5" t="str">
        <f t="shared" si="144"/>
        <v/>
      </c>
      <c r="BQ73" s="5" t="str">
        <f t="shared" si="145"/>
        <v/>
      </c>
      <c r="BR73" s="6" t="str">
        <f t="shared" si="146"/>
        <v/>
      </c>
      <c r="BS73" s="4" t="str">
        <f t="shared" si="554"/>
        <v/>
      </c>
      <c r="BT73" s="5" t="str">
        <f t="shared" si="554"/>
        <v/>
      </c>
      <c r="BU73" s="10" t="str">
        <f t="shared" si="114"/>
        <v/>
      </c>
      <c r="BV73" s="9" t="str">
        <f t="shared" si="115"/>
        <v/>
      </c>
      <c r="BW73" s="5" t="str">
        <f t="shared" si="116"/>
        <v/>
      </c>
      <c r="BX73" s="8" t="str">
        <f t="shared" si="117"/>
        <v/>
      </c>
      <c r="BY73" s="173" t="str">
        <f t="shared" si="118"/>
        <v/>
      </c>
      <c r="BZ73" s="5" t="str">
        <f t="shared" si="119"/>
        <v/>
      </c>
      <c r="CA73" s="6" t="str">
        <f t="shared" si="120"/>
        <v/>
      </c>
      <c r="CB73" s="4" t="str">
        <f t="shared" si="147"/>
        <v/>
      </c>
      <c r="CC73" s="5" t="str">
        <f t="shared" si="148"/>
        <v/>
      </c>
      <c r="CD73" s="5" t="str">
        <f t="shared" si="149"/>
        <v/>
      </c>
      <c r="CE73" s="6" t="str">
        <f t="shared" si="150"/>
        <v/>
      </c>
      <c r="CF73" s="4" t="str">
        <f t="shared" si="151"/>
        <v/>
      </c>
      <c r="CG73" s="5" t="str">
        <f t="shared" si="152"/>
        <v/>
      </c>
      <c r="CH73" s="5" t="str">
        <f t="shared" si="153"/>
        <v/>
      </c>
      <c r="CI73" s="4" t="str">
        <f t="shared" si="121"/>
        <v/>
      </c>
      <c r="CJ73" s="5" t="str">
        <f t="shared" si="122"/>
        <v/>
      </c>
      <c r="CK73" s="8" t="str">
        <f t="shared" si="123"/>
        <v/>
      </c>
      <c r="CL73" s="173" t="str">
        <f t="shared" si="124"/>
        <v/>
      </c>
      <c r="CM73" s="5" t="str">
        <f t="shared" si="125"/>
        <v/>
      </c>
      <c r="CN73" s="6" t="str">
        <f t="shared" si="126"/>
        <v/>
      </c>
      <c r="CO73" s="167" t="str">
        <f t="shared" ref="CO73:CO104" si="645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7"/>
        <v/>
      </c>
      <c r="CQ73" s="5" t="str">
        <f t="shared" si="238"/>
        <v/>
      </c>
      <c r="CR73" s="5" t="str">
        <f t="shared" si="154"/>
        <v/>
      </c>
      <c r="CS73" s="8" t="str">
        <f t="shared" si="155"/>
        <v/>
      </c>
      <c r="CT73" s="9" t="str">
        <f t="shared" si="156"/>
        <v/>
      </c>
      <c r="CU73" s="6" t="str">
        <f t="shared" si="157"/>
        <v/>
      </c>
      <c r="CV73" s="4" t="str">
        <f t="shared" si="239"/>
        <v/>
      </c>
      <c r="CW73" s="5" t="str">
        <f t="shared" si="158"/>
        <v/>
      </c>
      <c r="CX73" s="8" t="str">
        <f t="shared" si="159"/>
        <v/>
      </c>
      <c r="CY73" s="9" t="str">
        <f t="shared" si="160"/>
        <v/>
      </c>
      <c r="CZ73" s="5" t="str">
        <f t="shared" si="161"/>
        <v/>
      </c>
      <c r="DA73" s="6" t="str">
        <f t="shared" si="162"/>
        <v/>
      </c>
      <c r="DB73" s="4" t="str">
        <f t="shared" si="555"/>
        <v/>
      </c>
      <c r="DC73" s="5" t="str">
        <f t="shared" si="555"/>
        <v/>
      </c>
      <c r="DD73" s="10" t="str">
        <f t="shared" si="164"/>
        <v/>
      </c>
      <c r="DE73" s="9" t="str">
        <f t="shared" si="556"/>
        <v/>
      </c>
      <c r="DF73" s="5" t="str">
        <f t="shared" si="556"/>
        <v/>
      </c>
      <c r="DG73" s="10" t="str">
        <f t="shared" si="166"/>
        <v/>
      </c>
      <c r="DH73" s="70" t="str">
        <f t="shared" si="167"/>
        <v/>
      </c>
      <c r="DI73" s="4" t="str">
        <f t="shared" si="168"/>
        <v/>
      </c>
      <c r="DJ73" s="5" t="str">
        <f t="shared" si="169"/>
        <v/>
      </c>
      <c r="DK73" s="10" t="str">
        <f t="shared" si="170"/>
        <v/>
      </c>
      <c r="DL73" s="9" t="str">
        <f t="shared" si="171"/>
        <v/>
      </c>
      <c r="DM73" s="173" t="str">
        <f t="shared" si="172"/>
        <v/>
      </c>
      <c r="DN73" s="178" t="str">
        <f t="shared" si="173"/>
        <v/>
      </c>
      <c r="DO73" s="9" t="str">
        <f t="shared" si="174"/>
        <v/>
      </c>
      <c r="DP73" s="173" t="str">
        <f t="shared" si="175"/>
        <v/>
      </c>
      <c r="DQ73" s="11" t="str">
        <f t="shared" si="176"/>
        <v/>
      </c>
      <c r="DR73" s="173" t="str">
        <f t="shared" si="177"/>
        <v/>
      </c>
      <c r="DS73" s="5" t="str">
        <f t="shared" si="178"/>
        <v/>
      </c>
      <c r="DT73" s="5" t="str">
        <f t="shared" si="179"/>
        <v/>
      </c>
      <c r="DU73" s="5" t="str">
        <f t="shared" si="180"/>
        <v/>
      </c>
      <c r="DV73" s="5" t="str">
        <f t="shared" si="181"/>
        <v/>
      </c>
      <c r="DW73" s="5" t="str">
        <f t="shared" si="182"/>
        <v/>
      </c>
      <c r="DX73" s="167" t="str">
        <f t="shared" si="183"/>
        <v/>
      </c>
      <c r="DY73" s="9" t="str">
        <f t="shared" si="184"/>
        <v/>
      </c>
      <c r="DZ73" s="5" t="str">
        <f t="shared" si="185"/>
        <v/>
      </c>
      <c r="EA73" s="10" t="str">
        <f t="shared" si="186"/>
        <v/>
      </c>
      <c r="EB73" s="6" t="str">
        <f t="shared" si="187"/>
        <v/>
      </c>
      <c r="EC73" s="173" t="str">
        <f t="shared" si="188"/>
        <v/>
      </c>
      <c r="ED73" s="5" t="str">
        <f t="shared" si="189"/>
        <v/>
      </c>
      <c r="EE73" s="4" t="str">
        <f t="shared" si="190"/>
        <v/>
      </c>
      <c r="EF73" s="5" t="str">
        <f t="shared" si="191"/>
        <v/>
      </c>
      <c r="EG73" s="10" t="str">
        <f t="shared" si="192"/>
        <v/>
      </c>
      <c r="EH73" s="9" t="str">
        <f t="shared" si="193"/>
        <v/>
      </c>
      <c r="EI73" s="5" t="str">
        <f t="shared" si="194"/>
        <v/>
      </c>
      <c r="EJ73" s="6" t="str">
        <f t="shared" si="195"/>
        <v/>
      </c>
      <c r="EK73" s="236" t="str">
        <f t="shared" si="196"/>
        <v/>
      </c>
      <c r="EL73" s="238" t="str">
        <f t="shared" si="197"/>
        <v/>
      </c>
      <c r="EM73" s="4" t="str">
        <f t="shared" si="198"/>
        <v/>
      </c>
      <c r="EN73" s="5" t="str">
        <f t="shared" si="199"/>
        <v/>
      </c>
      <c r="EO73" s="10" t="str">
        <f t="shared" si="200"/>
        <v/>
      </c>
      <c r="EP73" s="9" t="str">
        <f t="shared" si="201"/>
        <v/>
      </c>
      <c r="EQ73" s="5" t="str">
        <f t="shared" si="202"/>
        <v/>
      </c>
      <c r="ER73" s="7" t="str">
        <f t="shared" si="203"/>
        <v/>
      </c>
      <c r="ES73" s="21" t="str">
        <f t="shared" ref="ES73:ES104" si="646">IF(ISNUMBER($AV73),AD73,"")</f>
        <v/>
      </c>
      <c r="ET73" s="5" t="str">
        <f t="shared" ref="ET73:ET104" si="647">IF(ISNUMBER($AV73),AE73,"")</f>
        <v/>
      </c>
      <c r="EU73" s="10" t="str">
        <f t="shared" ref="EU73:EU104" si="648">IF(ISNUMBER($AV73),AF73,"")</f>
        <v/>
      </c>
      <c r="EV73" s="174" t="str">
        <f t="shared" ref="EV73:EV104" si="649">IF(ISNUMBER($AV73),IF(($EV$1-EP73)&lt;0,(360+($EV$1-EP73)),($EV$1-EP73)),"")</f>
        <v/>
      </c>
      <c r="EW73" s="9" t="str">
        <f t="shared" ref="EW73:EW104" si="650">IF(ISNUMBER($AV73),(COS(RADIANS($EV73))*ES73)+(-SIN(RADIANS($EV73))*ET73),"")</f>
        <v/>
      </c>
      <c r="EX73" s="5" t="str">
        <f t="shared" ref="EX73:EX104" si="651">IF(ISNUMBER($AV73),(SIN(RADIANS($EV73))*ES73)+(COS(RADIANS($EV73))*ET73),"")</f>
        <v/>
      </c>
      <c r="EY73" s="6" t="str">
        <f t="shared" si="204"/>
        <v/>
      </c>
      <c r="EZ73" s="51" t="str">
        <f t="shared" si="205"/>
        <v/>
      </c>
      <c r="FA73" s="173" t="str">
        <f t="shared" ref="FA73:FA104" si="652">IF(ISNUMBER($AV73),SIN(RADIANS($EP73))*COS(RADIANS($EZ73)),"")</f>
        <v/>
      </c>
      <c r="FB73" s="5" t="str">
        <f t="shared" ref="FB73:FB104" si="653">IF(ISNUMBER($AV73),-1*COS(RADIANS($EP73))*COS(RADIANS($EZ73)),"")</f>
        <v/>
      </c>
      <c r="FC73" s="6" t="str">
        <f t="shared" ref="FC73:FC104" si="654">IF(ISNUMBER($AV73),-1*SIN(RADIANS($EZ73)),"")</f>
        <v/>
      </c>
      <c r="FD73" s="4" t="str">
        <f t="shared" ref="FD73:FD104" si="655">IF(ISNUMBER($AV73),(COS(RADIANS($EV73))*FA73)+(-SIN(RADIANS($EV73))*FB73),"")</f>
        <v/>
      </c>
      <c r="FE73" s="5" t="str">
        <f t="shared" ref="FE73:FE104" si="656">IF(ISNUMBER($AV73),(SIN(RADIANS($EV73))*FA73)+(COS(RADIANS($EV73))*FB73),"")</f>
        <v/>
      </c>
      <c r="FF73" s="7" t="str">
        <f t="shared" si="206"/>
        <v/>
      </c>
      <c r="FG73" s="173" t="str">
        <f t="shared" ref="FG73:FG104" si="657">IF(ISNUMBER($AV73),EW73-FD73,"")</f>
        <v/>
      </c>
      <c r="FH73" s="5" t="str">
        <f t="shared" ref="FH73:FH104" si="658">IF(ISNUMBER($AV73),EX73-FE73,"")</f>
        <v/>
      </c>
      <c r="FI73" s="10" t="str">
        <f t="shared" ref="FI73:FI104" si="659">IF(ISNUMBER($AV73),EY73-FF73,"")</f>
        <v/>
      </c>
      <c r="FJ73" s="279" t="str">
        <f t="shared" si="208"/>
        <v/>
      </c>
      <c r="FK73" s="4" t="str">
        <f t="shared" ref="FK73:FK104" si="660">IF(ISNUMBER($AV73),SQRT(ES73^2+ET73^2),"")</f>
        <v/>
      </c>
      <c r="FL73" s="5" t="str">
        <f t="shared" si="209"/>
        <v/>
      </c>
      <c r="FM73" s="8" t="str">
        <f t="shared" si="210"/>
        <v/>
      </c>
      <c r="FN73" s="9" t="str">
        <f t="shared" si="211"/>
        <v/>
      </c>
      <c r="FO73" s="10" t="str">
        <f t="shared" ref="FO73:FO104" si="661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0"/>
        <v/>
      </c>
      <c r="FR73" s="10" t="str">
        <f t="shared" si="212"/>
        <v/>
      </c>
      <c r="FS73" s="9" t="str">
        <f t="shared" si="213"/>
        <v/>
      </c>
      <c r="FT73" s="6" t="str">
        <f t="shared" si="214"/>
        <v/>
      </c>
      <c r="FU73" s="4" t="str">
        <f t="shared" si="215"/>
        <v/>
      </c>
      <c r="FV73" s="5" t="str">
        <f t="shared" si="216"/>
        <v/>
      </c>
      <c r="FW73" s="8" t="str">
        <f t="shared" si="241"/>
        <v/>
      </c>
      <c r="FX73" s="9" t="str">
        <f t="shared" si="242"/>
        <v/>
      </c>
      <c r="FY73" s="10" t="str">
        <f t="shared" ref="FY73:FY104" si="662">IF(ISNUMBER($AV73),IF(EU73&lt;FC73,1,-1),"")</f>
        <v/>
      </c>
      <c r="FZ73" s="277" t="str">
        <f t="shared" si="243"/>
        <v/>
      </c>
      <c r="GA73" s="177" t="str">
        <f t="shared" si="217"/>
        <v/>
      </c>
      <c r="GB73" s="4" t="str">
        <f t="shared" si="218"/>
        <v/>
      </c>
      <c r="GC73" s="5" t="str">
        <f t="shared" si="219"/>
        <v/>
      </c>
      <c r="GD73" s="10" t="str">
        <f t="shared" si="220"/>
        <v/>
      </c>
      <c r="GE73" s="311" t="str">
        <f t="shared" si="221"/>
        <v/>
      </c>
      <c r="GF73" s="341" t="str">
        <f t="shared" si="244"/>
        <v/>
      </c>
      <c r="GG73" s="285" t="str">
        <f t="shared" ref="GG73:GG104" si="663">IF(ISNUMBER($AV73),ABS(GB73)/(ABS($GB73)+ABS($GC73)+ABS($GD73)),"")</f>
        <v/>
      </c>
      <c r="GH73" s="286" t="str">
        <f t="shared" ref="GH73:GH104" si="664">IF(ISNUMBER($AV73),ABS(GC73)/(ABS($GB73)+ABS($GC73)+ABS($GD73)),"")</f>
        <v/>
      </c>
      <c r="GI73" s="281" t="str">
        <f t="shared" ref="GI73:GI104" si="665">IF(ISNUMBER($AV73),ABS(GD73)/(ABS($GB73)+ABS($GC73)+ABS($GD73)),"")</f>
        <v/>
      </c>
      <c r="GJ73" s="167" t="str">
        <f t="shared" si="222"/>
        <v/>
      </c>
      <c r="GK73" s="174" t="str">
        <f t="shared" ref="GK73:GK104" si="666">IF(ISNUMBER($AV73),SQRT((2*PI()*$GJ73)^2+$AS$5^2)/12,"")</f>
        <v/>
      </c>
      <c r="GL73" s="174" t="str">
        <f t="shared" si="223"/>
        <v/>
      </c>
      <c r="GM73" s="177" t="str">
        <f t="shared" si="245"/>
        <v/>
      </c>
      <c r="GN73" s="280" t="str">
        <f t="shared" si="224"/>
        <v/>
      </c>
      <c r="GO73" s="4" t="str">
        <f t="shared" si="225"/>
        <v/>
      </c>
      <c r="GP73" s="8" t="str">
        <f t="shared" si="246"/>
        <v/>
      </c>
      <c r="GQ73" s="177" t="str">
        <f t="shared" si="226"/>
        <v/>
      </c>
      <c r="GR73" s="371" t="str">
        <f t="shared" si="247"/>
        <v/>
      </c>
      <c r="GS73" s="342" t="str">
        <f t="shared" ref="GS73:GS104" si="667">IF(ISNUMBER($AV73),GU73/GH73*GG73,"")</f>
        <v/>
      </c>
      <c r="GT73" s="343" t="str">
        <f t="shared" ref="GT73:GT104" si="668">IF(ISNUMBER($AV73),GS73/$GK73,"")</f>
        <v/>
      </c>
      <c r="GU73" s="344" t="str">
        <f t="shared" ref="GU73:GU104" si="669">IF(ISNUMBER($AV73),$GV73*$GK73,"")</f>
        <v/>
      </c>
      <c r="GV73" s="343" t="str">
        <f t="shared" si="254"/>
        <v/>
      </c>
      <c r="GW73" s="345" t="str">
        <f t="shared" ref="GW73:GW104" si="670">IF(ISNUMBER($AV73),$GW$2,"")</f>
        <v/>
      </c>
      <c r="GX73" s="346" t="str">
        <f t="shared" ref="GX73:GX104" si="671">IF(ISNUMBER($AV73),($GJ73/12)*$GV73,"")</f>
        <v/>
      </c>
      <c r="GY73" s="344" t="str">
        <f t="shared" ref="GY73:GY104" si="672">IF(ISNUMBER($AV73),GU73/GH73*GI73,"")</f>
        <v/>
      </c>
      <c r="GZ73" s="345" t="str">
        <f t="shared" ref="GZ73:GZ104" si="673">IF(ISNUMBER($AV73),GY73/$GK73,"")</f>
        <v/>
      </c>
      <c r="HA73" s="342" t="str">
        <f t="shared" ref="HA73:HA104" si="674">IF(ISNUMBER($AV73),$FO73*$GS73,"")</f>
        <v/>
      </c>
      <c r="HB73" s="5" t="str">
        <f t="shared" si="227"/>
        <v/>
      </c>
      <c r="HC73" s="343" t="str">
        <f t="shared" si="228"/>
        <v/>
      </c>
      <c r="HD73" s="363" t="str">
        <f t="shared" si="229"/>
        <v/>
      </c>
      <c r="HE73" s="344" t="str">
        <f t="shared" ref="HE73:HE104" si="675">IF(ISNUMBER($AV73),$FY73*$GV73,"")</f>
        <v/>
      </c>
      <c r="HF73" s="5" t="str">
        <f t="shared" ref="HF73:HF104" si="676">IF(ISNUMBER($AV73),IF(($HB73+90)&lt;0,(360+($HB73+90)),($HB73+90)),"")</f>
        <v/>
      </c>
      <c r="HG73" s="343" t="str">
        <f t="shared" si="230"/>
        <v/>
      </c>
      <c r="HH73" s="349" t="str">
        <f t="shared" si="231"/>
        <v/>
      </c>
      <c r="HI73" s="317" t="str">
        <f t="shared" ref="HI73:HI104" si="677">IF(ISNUMBER($AV73),$M73,"")</f>
        <v/>
      </c>
      <c r="HK73" s="310" t="str">
        <f t="shared" si="506"/>
        <v/>
      </c>
      <c r="HL73" s="348" t="str">
        <f t="shared" ref="HL73:HL104" si="678">IF(ISNUMBER($HS73),INDEX(HI$9:HI$150,MATCH($HS73,$GJ$9:$GJ$150,0)),"")</f>
        <v/>
      </c>
      <c r="HM73" s="923" t="str">
        <f t="shared" ref="HM73:HM104" si="679">IF(ISNUMBER($HL73),INDEX(GO$9:GO$150,MATCH($HL73,$AV$9:$AV$150,0)),"")</f>
        <v/>
      </c>
      <c r="HN73" s="924" t="str">
        <f t="shared" ref="HN73:HN104" si="680">IF(ISNUMBER($HL73),INDEX(AO$9:AO$150,MATCH($HL73,$AV$9:$AV$150,0)),"")</f>
        <v/>
      </c>
      <c r="HO73" s="925"/>
      <c r="HP73" s="926"/>
      <c r="HQ73" s="924" t="str">
        <f t="shared" ref="HQ73:HQ104" si="681">IF(ISNUMBER($HL73),INDEX(GQ$9:GQ$150,MATCH($HL73,$AV$9:$AV$150,0)),"")</f>
        <v/>
      </c>
      <c r="HR73" s="927" t="str">
        <f t="shared" ref="HR73:HR104" si="682">IF(ISNUMBER($HL73),INDEX(GP$9:GP$150,MATCH($HL73,$AV$9:$AV$150,0)),"")</f>
        <v/>
      </c>
      <c r="HS73" s="879" t="str">
        <f t="shared" si="507"/>
        <v/>
      </c>
      <c r="HT73" s="889" t="str">
        <f t="shared" ref="HT73:HT104" si="683">IF(ISNUMBER($HL73),INDEX(GL$9:GL$150,MATCH($HL73,$AV$9:$AV$150,0)),"")</f>
        <v/>
      </c>
      <c r="HU73" s="890" t="str">
        <f t="shared" ref="HU73:HU104" si="684">IF(ISNUMBER($HL73),INDEX(GM$9:GM$150,MATCH($HL73,$AV$9:$AV$150,0)),"")</f>
        <v/>
      </c>
      <c r="HV73" s="886" t="str">
        <f t="shared" ref="HV73:HV104" si="685">IF(ISNUMBER($HL73),INDEX(GN$9:GN$150,MATCH($HL73,$AV$9:$AV$150,0)),"")</f>
        <v/>
      </c>
      <c r="HW73" s="880" t="str">
        <f t="shared" ref="HW73:HW104" si="686">IF(ISNUMBER($HL73),INDEX(GW$9:GW$150,MATCH($HL73,$AV$9:$AV$150,0)),"")</f>
        <v/>
      </c>
      <c r="HX73" s="881" t="str">
        <f t="shared" ref="HX73:HX104" si="687">IF(ISNUMBER($HL73),INDEX(GX$9:GX$150,MATCH($HL73,$AV$9:$AV$150,0)),"")</f>
        <v/>
      </c>
      <c r="HY73" s="880" t="str">
        <f t="shared" ref="HY73:HY104" si="688">IF(ISNUMBER($HL73),INDEX(GS$9:GS$150,MATCH($HL73,$AV$9:$AV$150,0)),"")</f>
        <v/>
      </c>
      <c r="HZ73" s="882" t="str">
        <f t="shared" ref="HZ73:HZ104" si="689">IF(ISNUMBER($HL73),INDEX(GU$9:GU$150,MATCH($HL73,$AV$9:$AV$150,0)),"")</f>
        <v/>
      </c>
      <c r="IA73" s="883" t="str">
        <f t="shared" ref="IA73:IA104" si="690">IF(ISNUMBER($HL73),INDEX(GY$9:GY$150,MATCH($HL73,$AV$9:$AV$150,0)),"")</f>
        <v/>
      </c>
      <c r="IB73" s="884" t="str">
        <f t="shared" ref="IB73:IB104" si="691">IF(ISNUMBER($HL73),INDEX(GR$9:GR$150,MATCH($HL73,$AV$9:$AV$150,0)),"")</f>
        <v/>
      </c>
      <c r="IC73" s="855" t="str">
        <f t="shared" ref="IC73:IC104" si="692">IF(ISNUMBER($HL73),INDEX(GT$9:GT$150,MATCH($HL73,$AV$9:$AV$150,0)),"")</f>
        <v/>
      </c>
      <c r="ID73" s="351" t="str">
        <f t="shared" ref="ID73:ID104" si="693">IF(ISNUMBER($HL73),INDEX(GV$9:GV$150,MATCH($HL73,$AV$9:$AV$150,0)),"")</f>
        <v/>
      </c>
      <c r="IE73" s="857" t="str">
        <f t="shared" ref="IE73:IE104" si="694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2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695">IF(ISNUMBER($IK73),INDEX($K$9:$K$150,MATCH($IK73,$M$9:$M$150,0)),$K73)</f>
        <v/>
      </c>
      <c r="IM73" s="482" t="str">
        <f t="shared" si="233"/>
        <v/>
      </c>
      <c r="IN73" s="670" t="str">
        <f t="shared" ref="IN73:IN104" si="696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7">IF(ISNUMBER($IK73),(($IQ73*12)/60)/$AS$3,"")</f>
        <v/>
      </c>
      <c r="IQ73" s="714"/>
      <c r="IR73" s="9" t="str">
        <f t="shared" ref="IR73:IR104" si="698">IF(ISNUMBER($IK73),(INDEX($X$9:$X$150,MATCH($IK73,$M$9:$M$150,0))*-1),"")</f>
        <v/>
      </c>
      <c r="IS73" s="5" t="str">
        <f t="shared" ref="IS73:IS104" si="699">IF(ISNUMBER($IK73),INDEX($Y$9:$Y$150,MATCH($IK73,$M$9:$M$150,0)),"")</f>
        <v/>
      </c>
      <c r="IT73" s="5" t="str">
        <f t="shared" ref="IT73:IT104" si="700">IF(ISNUMBER($IK73),INDEX($H$9:$H$150,MATCH($IK73,$M$9:$M$150,0)),"")</f>
        <v/>
      </c>
      <c r="IU73" s="5" t="str">
        <f t="shared" ref="IU73:IU104" si="701">IF(ISNUMBER($IK73),$IT73*COS(RADIANS(INDEX($AO$9:$AO$150,MATCH($IK73,$M$9:$M$150,0)))),"")</f>
        <v/>
      </c>
      <c r="IV73" s="670" t="str">
        <f t="shared" ref="IV73:IV104" si="702">IF(ISNUMBER($IK73),(-1*INDEX($AN$9:$AN$150,MATCH($IK73,$M$9:$M$150,0))),"")</f>
        <v/>
      </c>
      <c r="IW73" s="9" t="str">
        <f t="shared" ref="IW73:IW104" si="703">IF(ISNUMBER($IK73),-$X73,"")</f>
        <v/>
      </c>
      <c r="IX73" s="5" t="str">
        <f t="shared" ref="IX73:IX104" si="704">IF(ISNUMBER($IK73),$Y73,"")</f>
        <v/>
      </c>
      <c r="IY73" s="5" t="str">
        <f t="shared" ref="IY73:IY104" si="705">IF(ISNUMBER($IK73),$H73,"")</f>
        <v/>
      </c>
      <c r="IZ73" s="5" t="str">
        <f t="shared" ref="IZ73:IZ104" si="706">IF(ISNUMBER($IK73),$IY73*COS(RADIANS($AO73)),"")</f>
        <v/>
      </c>
      <c r="JA73" s="705" t="str">
        <f t="shared" ref="JA73:JA104" si="707">IF(ISNUMBER($IK73),(-1*$AN73),"")</f>
        <v/>
      </c>
    </row>
    <row r="74" spans="1:261" ht="15" customHeight="1" x14ac:dyDescent="0.25">
      <c r="A74" s="75" t="str">
        <f t="shared" ref="A74:A137" si="708">IF($K74="","",IF(ISNUMBER($K74),0.02,0))</f>
        <v/>
      </c>
      <c r="B74" s="578" t="str">
        <f t="shared" ref="B74:D74" si="709">IFERROR(O229-($A74*E74),"")</f>
        <v/>
      </c>
      <c r="C74" s="572" t="str">
        <f t="shared" si="709"/>
        <v/>
      </c>
      <c r="D74" s="576" t="str">
        <f t="shared" si="709"/>
        <v/>
      </c>
      <c r="E74" s="580" t="str">
        <f t="shared" ref="E74:K74" si="710">R229</f>
        <v/>
      </c>
      <c r="F74" s="572" t="str">
        <f t="shared" si="710"/>
        <v/>
      </c>
      <c r="G74" s="579" t="str">
        <f t="shared" si="710"/>
        <v/>
      </c>
      <c r="H74" s="580" t="str">
        <f t="shared" si="710"/>
        <v/>
      </c>
      <c r="I74" s="572" t="str">
        <f t="shared" si="710"/>
        <v/>
      </c>
      <c r="J74" s="483" t="str">
        <f t="shared" ref="J74:J137" si="711">IF(W229=0,"",W229)</f>
        <v/>
      </c>
      <c r="K74" s="806" t="str">
        <f t="shared" si="710"/>
        <v/>
      </c>
      <c r="L74" s="309"/>
      <c r="M74" s="164" t="str">
        <f t="shared" si="625"/>
        <v/>
      </c>
      <c r="N74" s="575" t="str">
        <f t="shared" si="626"/>
        <v/>
      </c>
      <c r="O74" s="572" t="str">
        <f t="shared" si="627"/>
        <v/>
      </c>
      <c r="P74" s="576" t="str">
        <f t="shared" si="628"/>
        <v/>
      </c>
      <c r="Q74" s="528" t="str">
        <f t="shared" ref="Q74:Q129" si="712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7"/>
        <v/>
      </c>
      <c r="X74" s="572" t="str">
        <f>IF(M74="","",R74)</f>
        <v/>
      </c>
      <c r="Y74" s="573" t="str">
        <f t="shared" si="260"/>
        <v/>
      </c>
      <c r="Z74" s="575" t="str">
        <f t="shared" si="629"/>
        <v/>
      </c>
      <c r="AA74" s="572" t="str">
        <f t="shared" si="630"/>
        <v/>
      </c>
      <c r="AB74" s="572" t="str">
        <f t="shared" si="631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90"/>
        <v/>
      </c>
      <c r="AP74" s="528" t="str">
        <f>IF(M74="","",DEGREES(ATAN2(AK74,AL74)))</f>
        <v/>
      </c>
      <c r="AQ74" s="529" t="str">
        <f t="shared" si="632"/>
        <v/>
      </c>
      <c r="AS74" s="954" t="str">
        <f t="shared" si="510"/>
        <v/>
      </c>
      <c r="AT74" s="950" t="str">
        <f t="shared" si="633"/>
        <v/>
      </c>
      <c r="AU74" s="418"/>
      <c r="AV74" s="164" t="str">
        <f t="shared" si="634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9"/>
        <v/>
      </c>
      <c r="BA74" s="296" t="str">
        <f t="shared" si="635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6"/>
        <v/>
      </c>
      <c r="BF74" s="4" t="str">
        <f t="shared" si="637"/>
        <v/>
      </c>
      <c r="BG74" s="5" t="str">
        <f t="shared" si="638"/>
        <v/>
      </c>
      <c r="BH74" s="10" t="str">
        <f t="shared" si="639"/>
        <v/>
      </c>
      <c r="BI74" s="9" t="str">
        <f t="shared" si="142"/>
        <v/>
      </c>
      <c r="BJ74" s="5" t="str">
        <f t="shared" si="640"/>
        <v/>
      </c>
      <c r="BK74" s="8" t="str">
        <f t="shared" si="641"/>
        <v/>
      </c>
      <c r="BL74" s="173" t="str">
        <f t="shared" si="642"/>
        <v/>
      </c>
      <c r="BM74" s="5" t="str">
        <f t="shared" si="643"/>
        <v/>
      </c>
      <c r="BN74" s="6" t="str">
        <f t="shared" si="644"/>
        <v/>
      </c>
      <c r="BO74" s="4" t="str">
        <f t="shared" si="143"/>
        <v/>
      </c>
      <c r="BP74" s="5" t="str">
        <f t="shared" si="144"/>
        <v/>
      </c>
      <c r="BQ74" s="5" t="str">
        <f t="shared" si="145"/>
        <v/>
      </c>
      <c r="BR74" s="6" t="str">
        <f t="shared" si="146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7"/>
        <v/>
      </c>
      <c r="CC74" s="5" t="str">
        <f t="shared" si="148"/>
        <v/>
      </c>
      <c r="CD74" s="5" t="str">
        <f t="shared" si="149"/>
        <v/>
      </c>
      <c r="CE74" s="6" t="str">
        <f t="shared" si="150"/>
        <v/>
      </c>
      <c r="CF74" s="4" t="str">
        <f t="shared" si="151"/>
        <v/>
      </c>
      <c r="CG74" s="5" t="str">
        <f t="shared" si="152"/>
        <v/>
      </c>
      <c r="CH74" s="5" t="str">
        <f t="shared" si="153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5"/>
        <v/>
      </c>
      <c r="CP74" s="4" t="str">
        <f t="shared" si="237"/>
        <v/>
      </c>
      <c r="CQ74" s="5" t="str">
        <f t="shared" si="238"/>
        <v/>
      </c>
      <c r="CR74" s="5" t="str">
        <f t="shared" si="154"/>
        <v/>
      </c>
      <c r="CS74" s="8" t="str">
        <f t="shared" si="155"/>
        <v/>
      </c>
      <c r="CT74" s="9" t="str">
        <f t="shared" si="156"/>
        <v/>
      </c>
      <c r="CU74" s="6" t="str">
        <f t="shared" si="157"/>
        <v/>
      </c>
      <c r="CV74" s="4" t="str">
        <f t="shared" si="239"/>
        <v/>
      </c>
      <c r="CW74" s="5" t="str">
        <f t="shared" si="158"/>
        <v/>
      </c>
      <c r="CX74" s="8" t="str">
        <f t="shared" si="159"/>
        <v/>
      </c>
      <c r="CY74" s="9" t="str">
        <f t="shared" si="160"/>
        <v/>
      </c>
      <c r="CZ74" s="5" t="str">
        <f t="shared" si="161"/>
        <v/>
      </c>
      <c r="DA74" s="6" t="str">
        <f t="shared" si="162"/>
        <v/>
      </c>
      <c r="DB74" s="4" t="str">
        <f t="shared" si="555"/>
        <v/>
      </c>
      <c r="DC74" s="5" t="str">
        <f t="shared" si="555"/>
        <v/>
      </c>
      <c r="DD74" s="10" t="str">
        <f t="shared" si="164"/>
        <v/>
      </c>
      <c r="DE74" s="9" t="str">
        <f t="shared" si="556"/>
        <v/>
      </c>
      <c r="DF74" s="5" t="str">
        <f t="shared" si="556"/>
        <v/>
      </c>
      <c r="DG74" s="10" t="str">
        <f t="shared" si="166"/>
        <v/>
      </c>
      <c r="DH74" s="70" t="str">
        <f t="shared" si="167"/>
        <v/>
      </c>
      <c r="DI74" s="4" t="str">
        <f t="shared" si="168"/>
        <v/>
      </c>
      <c r="DJ74" s="5" t="str">
        <f t="shared" si="169"/>
        <v/>
      </c>
      <c r="DK74" s="10" t="str">
        <f t="shared" si="170"/>
        <v/>
      </c>
      <c r="DL74" s="9" t="str">
        <f t="shared" si="171"/>
        <v/>
      </c>
      <c r="DM74" s="173" t="str">
        <f t="shared" si="172"/>
        <v/>
      </c>
      <c r="DN74" s="178" t="str">
        <f t="shared" si="173"/>
        <v/>
      </c>
      <c r="DO74" s="9" t="str">
        <f t="shared" si="174"/>
        <v/>
      </c>
      <c r="DP74" s="173" t="str">
        <f t="shared" si="175"/>
        <v/>
      </c>
      <c r="DQ74" s="11" t="str">
        <f t="shared" si="176"/>
        <v/>
      </c>
      <c r="DR74" s="173" t="str">
        <f t="shared" si="177"/>
        <v/>
      </c>
      <c r="DS74" s="5" t="str">
        <f t="shared" si="178"/>
        <v/>
      </c>
      <c r="DT74" s="5" t="str">
        <f t="shared" si="179"/>
        <v/>
      </c>
      <c r="DU74" s="5" t="str">
        <f t="shared" si="180"/>
        <v/>
      </c>
      <c r="DV74" s="5" t="str">
        <f t="shared" si="181"/>
        <v/>
      </c>
      <c r="DW74" s="5" t="str">
        <f t="shared" si="182"/>
        <v/>
      </c>
      <c r="DX74" s="167" t="str">
        <f t="shared" si="183"/>
        <v/>
      </c>
      <c r="DY74" s="9" t="str">
        <f t="shared" si="184"/>
        <v/>
      </c>
      <c r="DZ74" s="5" t="str">
        <f t="shared" si="185"/>
        <v/>
      </c>
      <c r="EA74" s="10" t="str">
        <f t="shared" si="186"/>
        <v/>
      </c>
      <c r="EB74" s="6" t="str">
        <f t="shared" si="187"/>
        <v/>
      </c>
      <c r="EC74" s="173" t="str">
        <f t="shared" si="188"/>
        <v/>
      </c>
      <c r="ED74" s="5" t="str">
        <f t="shared" si="189"/>
        <v/>
      </c>
      <c r="EE74" s="4" t="str">
        <f t="shared" si="190"/>
        <v/>
      </c>
      <c r="EF74" s="5" t="str">
        <f t="shared" si="191"/>
        <v/>
      </c>
      <c r="EG74" s="10" t="str">
        <f t="shared" si="192"/>
        <v/>
      </c>
      <c r="EH74" s="9" t="str">
        <f t="shared" si="193"/>
        <v/>
      </c>
      <c r="EI74" s="5" t="str">
        <f t="shared" si="194"/>
        <v/>
      </c>
      <c r="EJ74" s="6" t="str">
        <f t="shared" si="195"/>
        <v/>
      </c>
      <c r="EK74" s="236" t="str">
        <f t="shared" si="196"/>
        <v/>
      </c>
      <c r="EL74" s="238" t="str">
        <f t="shared" si="197"/>
        <v/>
      </c>
      <c r="EM74" s="4" t="str">
        <f t="shared" si="198"/>
        <v/>
      </c>
      <c r="EN74" s="5" t="str">
        <f t="shared" si="199"/>
        <v/>
      </c>
      <c r="EO74" s="10" t="str">
        <f t="shared" si="200"/>
        <v/>
      </c>
      <c r="EP74" s="9" t="str">
        <f t="shared" si="201"/>
        <v/>
      </c>
      <c r="EQ74" s="5" t="str">
        <f t="shared" si="202"/>
        <v/>
      </c>
      <c r="ER74" s="7" t="str">
        <f t="shared" si="203"/>
        <v/>
      </c>
      <c r="ES74" s="21" t="str">
        <f t="shared" si="646"/>
        <v/>
      </c>
      <c r="ET74" s="5" t="str">
        <f t="shared" si="647"/>
        <v/>
      </c>
      <c r="EU74" s="10" t="str">
        <f t="shared" si="648"/>
        <v/>
      </c>
      <c r="EV74" s="174" t="str">
        <f t="shared" si="649"/>
        <v/>
      </c>
      <c r="EW74" s="9" t="str">
        <f t="shared" si="650"/>
        <v/>
      </c>
      <c r="EX74" s="5" t="str">
        <f t="shared" si="651"/>
        <v/>
      </c>
      <c r="EY74" s="6" t="str">
        <f t="shared" si="204"/>
        <v/>
      </c>
      <c r="EZ74" s="51" t="str">
        <f t="shared" si="205"/>
        <v/>
      </c>
      <c r="FA74" s="173" t="str">
        <f t="shared" si="652"/>
        <v/>
      </c>
      <c r="FB74" s="5" t="str">
        <f t="shared" si="653"/>
        <v/>
      </c>
      <c r="FC74" s="6" t="str">
        <f t="shared" si="654"/>
        <v/>
      </c>
      <c r="FD74" s="4" t="str">
        <f t="shared" si="655"/>
        <v/>
      </c>
      <c r="FE74" s="5" t="str">
        <f t="shared" si="656"/>
        <v/>
      </c>
      <c r="FF74" s="7" t="str">
        <f t="shared" si="206"/>
        <v/>
      </c>
      <c r="FG74" s="173" t="str">
        <f t="shared" si="657"/>
        <v/>
      </c>
      <c r="FH74" s="5" t="str">
        <f t="shared" si="658"/>
        <v/>
      </c>
      <c r="FI74" s="10" t="str">
        <f t="shared" si="659"/>
        <v/>
      </c>
      <c r="FJ74" s="279" t="str">
        <f t="shared" si="208"/>
        <v/>
      </c>
      <c r="FK74" s="4" t="str">
        <f t="shared" si="660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1"/>
        <v/>
      </c>
      <c r="FP74" s="277" t="str">
        <f t="shared" ref="FP74:FP129" si="732">IF(ISNUMBER($AV74),FN74*FO74,"")</f>
        <v/>
      </c>
      <c r="FQ74" s="173" t="str">
        <f t="shared" si="240"/>
        <v/>
      </c>
      <c r="FR74" s="10" t="str">
        <f t="shared" si="212"/>
        <v/>
      </c>
      <c r="FS74" s="9" t="str">
        <f t="shared" si="213"/>
        <v/>
      </c>
      <c r="FT74" s="6" t="str">
        <f t="shared" si="214"/>
        <v/>
      </c>
      <c r="FU74" s="4" t="str">
        <f t="shared" si="215"/>
        <v/>
      </c>
      <c r="FV74" s="5" t="str">
        <f t="shared" si="216"/>
        <v/>
      </c>
      <c r="FW74" s="8" t="str">
        <f t="shared" si="241"/>
        <v/>
      </c>
      <c r="FX74" s="9" t="str">
        <f t="shared" si="242"/>
        <v/>
      </c>
      <c r="FY74" s="10" t="str">
        <f t="shared" si="662"/>
        <v/>
      </c>
      <c r="FZ74" s="277" t="str">
        <f t="shared" si="243"/>
        <v/>
      </c>
      <c r="GA74" s="177" t="str">
        <f t="shared" si="217"/>
        <v/>
      </c>
      <c r="GB74" s="4" t="str">
        <f t="shared" si="218"/>
        <v/>
      </c>
      <c r="GC74" s="5" t="str">
        <f t="shared" si="219"/>
        <v/>
      </c>
      <c r="GD74" s="10" t="str">
        <f t="shared" si="220"/>
        <v/>
      </c>
      <c r="GE74" s="311" t="str">
        <f t="shared" si="221"/>
        <v/>
      </c>
      <c r="GF74" s="341" t="str">
        <f t="shared" si="244"/>
        <v/>
      </c>
      <c r="GG74" s="285" t="str">
        <f t="shared" si="663"/>
        <v/>
      </c>
      <c r="GH74" s="286" t="str">
        <f t="shared" si="664"/>
        <v/>
      </c>
      <c r="GI74" s="281" t="str">
        <f t="shared" si="665"/>
        <v/>
      </c>
      <c r="GJ74" s="167" t="str">
        <f t="shared" si="222"/>
        <v/>
      </c>
      <c r="GK74" s="174" t="str">
        <f t="shared" si="666"/>
        <v/>
      </c>
      <c r="GL74" s="174" t="str">
        <f t="shared" si="223"/>
        <v/>
      </c>
      <c r="GM74" s="177" t="str">
        <f t="shared" si="245"/>
        <v/>
      </c>
      <c r="GN74" s="280" t="str">
        <f t="shared" si="224"/>
        <v/>
      </c>
      <c r="GO74" s="4" t="str">
        <f t="shared" si="225"/>
        <v/>
      </c>
      <c r="GP74" s="8" t="str">
        <f t="shared" si="246"/>
        <v/>
      </c>
      <c r="GQ74" s="177" t="str">
        <f t="shared" si="226"/>
        <v/>
      </c>
      <c r="GR74" s="371" t="str">
        <f t="shared" si="247"/>
        <v/>
      </c>
      <c r="GS74" s="342" t="str">
        <f t="shared" si="667"/>
        <v/>
      </c>
      <c r="GT74" s="343" t="str">
        <f t="shared" si="668"/>
        <v/>
      </c>
      <c r="GU74" s="344" t="str">
        <f t="shared" si="669"/>
        <v/>
      </c>
      <c r="GV74" s="343" t="str">
        <f t="shared" si="254"/>
        <v/>
      </c>
      <c r="GW74" s="345" t="str">
        <f t="shared" si="670"/>
        <v/>
      </c>
      <c r="GX74" s="346" t="str">
        <f t="shared" si="671"/>
        <v/>
      </c>
      <c r="GY74" s="344" t="str">
        <f t="shared" si="672"/>
        <v/>
      </c>
      <c r="GZ74" s="345" t="str">
        <f t="shared" si="673"/>
        <v/>
      </c>
      <c r="HA74" s="342" t="str">
        <f t="shared" si="674"/>
        <v/>
      </c>
      <c r="HB74" s="5" t="str">
        <f t="shared" si="227"/>
        <v/>
      </c>
      <c r="HC74" s="343" t="str">
        <f t="shared" si="228"/>
        <v/>
      </c>
      <c r="HD74" s="363" t="str">
        <f t="shared" si="229"/>
        <v/>
      </c>
      <c r="HE74" s="344" t="str">
        <f t="shared" si="675"/>
        <v/>
      </c>
      <c r="HF74" s="5" t="str">
        <f t="shared" si="676"/>
        <v/>
      </c>
      <c r="HG74" s="343" t="str">
        <f t="shared" si="230"/>
        <v/>
      </c>
      <c r="HH74" s="349" t="str">
        <f t="shared" si="231"/>
        <v/>
      </c>
      <c r="HI74" s="317" t="str">
        <f t="shared" si="677"/>
        <v/>
      </c>
      <c r="HK74" s="310" t="str">
        <f t="shared" ref="HK74:HK105" si="733">IF(ISNUMBER(HS74),HK73+1,"")</f>
        <v/>
      </c>
      <c r="HL74" s="348" t="str">
        <f t="shared" si="678"/>
        <v/>
      </c>
      <c r="HM74" s="923" t="str">
        <f t="shared" si="679"/>
        <v/>
      </c>
      <c r="HN74" s="924" t="str">
        <f t="shared" si="680"/>
        <v/>
      </c>
      <c r="HO74" s="925"/>
      <c r="HP74" s="926"/>
      <c r="HQ74" s="924" t="str">
        <f t="shared" si="681"/>
        <v/>
      </c>
      <c r="HR74" s="927" t="str">
        <f t="shared" si="682"/>
        <v/>
      </c>
      <c r="HS74" s="879" t="str">
        <f t="shared" ref="HS74:HS105" si="734">IFERROR(SMALL($GJ$9:$GJ$150,($HK73+1)),"")</f>
        <v/>
      </c>
      <c r="HT74" s="889" t="str">
        <f t="shared" si="683"/>
        <v/>
      </c>
      <c r="HU74" s="890" t="str">
        <f t="shared" si="684"/>
        <v/>
      </c>
      <c r="HV74" s="886" t="str">
        <f t="shared" si="685"/>
        <v/>
      </c>
      <c r="HW74" s="880" t="str">
        <f t="shared" si="686"/>
        <v/>
      </c>
      <c r="HX74" s="881" t="str">
        <f t="shared" si="687"/>
        <v/>
      </c>
      <c r="HY74" s="880" t="str">
        <f t="shared" si="688"/>
        <v/>
      </c>
      <c r="HZ74" s="882" t="str">
        <f t="shared" si="689"/>
        <v/>
      </c>
      <c r="IA74" s="883" t="str">
        <f t="shared" si="690"/>
        <v/>
      </c>
      <c r="IB74" s="884" t="str">
        <f t="shared" si="691"/>
        <v/>
      </c>
      <c r="IC74" s="855" t="str">
        <f t="shared" si="692"/>
        <v/>
      </c>
      <c r="ID74" s="351" t="str">
        <f t="shared" si="693"/>
        <v/>
      </c>
      <c r="IE74" s="857" t="str">
        <f t="shared" si="694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2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695"/>
        <v/>
      </c>
      <c r="IM74" s="482" t="str">
        <f t="shared" si="233"/>
        <v/>
      </c>
      <c r="IN74" s="670" t="str">
        <f t="shared" si="696"/>
        <v/>
      </c>
      <c r="IO74" s="702"/>
      <c r="IP74" s="5" t="str">
        <f t="shared" si="697"/>
        <v/>
      </c>
      <c r="IQ74" s="714"/>
      <c r="IR74" s="9" t="str">
        <f t="shared" si="698"/>
        <v/>
      </c>
      <c r="IS74" s="5" t="str">
        <f t="shared" si="699"/>
        <v/>
      </c>
      <c r="IT74" s="5" t="str">
        <f t="shared" si="700"/>
        <v/>
      </c>
      <c r="IU74" s="5" t="str">
        <f t="shared" si="701"/>
        <v/>
      </c>
      <c r="IV74" s="670" t="str">
        <f t="shared" si="702"/>
        <v/>
      </c>
      <c r="IW74" s="9" t="str">
        <f t="shared" si="703"/>
        <v/>
      </c>
      <c r="IX74" s="5" t="str">
        <f t="shared" si="704"/>
        <v/>
      </c>
      <c r="IY74" s="5" t="str">
        <f t="shared" si="705"/>
        <v/>
      </c>
      <c r="IZ74" s="5" t="str">
        <f t="shared" si="706"/>
        <v/>
      </c>
      <c r="JA74" s="705" t="str">
        <f t="shared" si="707"/>
        <v/>
      </c>
    </row>
    <row r="75" spans="1:261" ht="15" customHeight="1" x14ac:dyDescent="0.25">
      <c r="A75" s="75" t="str">
        <f t="shared" si="708"/>
        <v/>
      </c>
      <c r="B75" s="578" t="str">
        <f t="shared" ref="B75:D75" si="735">IFERROR(O230-($A75*E75),"")</f>
        <v/>
      </c>
      <c r="C75" s="572" t="str">
        <f t="shared" si="735"/>
        <v/>
      </c>
      <c r="D75" s="576" t="str">
        <f t="shared" si="735"/>
        <v/>
      </c>
      <c r="E75" s="580" t="str">
        <f t="shared" ref="E75:K75" si="736">R230</f>
        <v/>
      </c>
      <c r="F75" s="572" t="str">
        <f t="shared" si="736"/>
        <v/>
      </c>
      <c r="G75" s="579" t="str">
        <f t="shared" si="736"/>
        <v/>
      </c>
      <c r="H75" s="580" t="str">
        <f t="shared" si="736"/>
        <v/>
      </c>
      <c r="I75" s="572" t="str">
        <f t="shared" si="736"/>
        <v/>
      </c>
      <c r="J75" s="483" t="str">
        <f t="shared" si="711"/>
        <v/>
      </c>
      <c r="K75" s="806" t="str">
        <f t="shared" si="736"/>
        <v/>
      </c>
      <c r="L75" s="309"/>
      <c r="M75" s="164" t="str">
        <f t="shared" si="625"/>
        <v/>
      </c>
      <c r="N75" s="575" t="str">
        <f t="shared" si="626"/>
        <v/>
      </c>
      <c r="O75" s="572" t="str">
        <f t="shared" si="627"/>
        <v/>
      </c>
      <c r="P75" s="576" t="str">
        <f t="shared" si="628"/>
        <v/>
      </c>
      <c r="Q75" s="528" t="str">
        <f t="shared" si="712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7"/>
        <v/>
      </c>
      <c r="X75" s="572" t="str">
        <f>IF(M75="","",R75)</f>
        <v/>
      </c>
      <c r="Y75" s="573" t="str">
        <f t="shared" si="260"/>
        <v/>
      </c>
      <c r="Z75" s="575" t="str">
        <f t="shared" si="629"/>
        <v/>
      </c>
      <c r="AA75" s="572" t="str">
        <f t="shared" si="630"/>
        <v/>
      </c>
      <c r="AB75" s="572" t="str">
        <f t="shared" si="631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90"/>
        <v/>
      </c>
      <c r="AP75" s="528" t="str">
        <f>IF(M75="","",DEGREES(ATAN2(AK75,AL75)))</f>
        <v/>
      </c>
      <c r="AQ75" s="529" t="str">
        <f t="shared" si="632"/>
        <v/>
      </c>
      <c r="AS75" s="954" t="str">
        <f t="shared" ref="AS75:AS106" si="737">IF(G75="","",IF(AND(W75&lt;(AS74+180),W75&gt;(AS74-180)),W75,IF(W75&gt;(AS74+180),W75-360,IF(W75&lt;(AS74-180),W75+360,"Error"))))</f>
        <v/>
      </c>
      <c r="AT75" s="950" t="str">
        <f t="shared" si="633"/>
        <v/>
      </c>
      <c r="AU75" s="418"/>
      <c r="AV75" s="164" t="str">
        <f t="shared" si="634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5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6"/>
        <v/>
      </c>
      <c r="BF75" s="4" t="str">
        <f t="shared" si="637"/>
        <v/>
      </c>
      <c r="BG75" s="5" t="str">
        <f t="shared" si="638"/>
        <v/>
      </c>
      <c r="BH75" s="10" t="str">
        <f t="shared" si="639"/>
        <v/>
      </c>
      <c r="BI75" s="9" t="str">
        <f t="shared" ref="BI75:BI129" si="739">IF(ISNUMBER($AV75),BF75+0,"")</f>
        <v/>
      </c>
      <c r="BJ75" s="5" t="str">
        <f t="shared" si="640"/>
        <v/>
      </c>
      <c r="BK75" s="8" t="str">
        <f t="shared" si="641"/>
        <v/>
      </c>
      <c r="BL75" s="173" t="str">
        <f t="shared" si="642"/>
        <v/>
      </c>
      <c r="BM75" s="5" t="str">
        <f t="shared" si="643"/>
        <v/>
      </c>
      <c r="BN75" s="6" t="str">
        <f t="shared" si="644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5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6"/>
        <v/>
      </c>
      <c r="ET75" s="5" t="str">
        <f t="shared" si="647"/>
        <v/>
      </c>
      <c r="EU75" s="10" t="str">
        <f t="shared" si="648"/>
        <v/>
      </c>
      <c r="EV75" s="174" t="str">
        <f t="shared" si="649"/>
        <v/>
      </c>
      <c r="EW75" s="9" t="str">
        <f t="shared" si="650"/>
        <v/>
      </c>
      <c r="EX75" s="5" t="str">
        <f t="shared" si="651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2"/>
        <v/>
      </c>
      <c r="FB75" s="5" t="str">
        <f t="shared" si="653"/>
        <v/>
      </c>
      <c r="FC75" s="6" t="str">
        <f t="shared" si="654"/>
        <v/>
      </c>
      <c r="FD75" s="4" t="str">
        <f t="shared" si="655"/>
        <v/>
      </c>
      <c r="FE75" s="5" t="str">
        <f t="shared" si="656"/>
        <v/>
      </c>
      <c r="FF75" s="7" t="str">
        <f t="shared" ref="FF75:FF129" si="806">IF(ISNUMBER($AV75),FC75,"")</f>
        <v/>
      </c>
      <c r="FG75" s="173" t="str">
        <f t="shared" si="657"/>
        <v/>
      </c>
      <c r="FH75" s="5" t="str">
        <f t="shared" si="658"/>
        <v/>
      </c>
      <c r="FI75" s="10" t="str">
        <f t="shared" si="659"/>
        <v/>
      </c>
      <c r="FJ75" s="279" t="str">
        <f t="shared" ref="FJ75:FJ129" si="807">IF(ISNUMBER($AV75),DEGREES(ACOS((2-SQRT((FG75)^2+(FH75)^2+(FI75)^2)^2)/2)),"")</f>
        <v/>
      </c>
      <c r="FK75" s="4" t="str">
        <f t="shared" si="660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1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2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3"/>
        <v/>
      </c>
      <c r="GH75" s="286" t="str">
        <f t="shared" si="664"/>
        <v/>
      </c>
      <c r="GI75" s="281" t="str">
        <f t="shared" si="665"/>
        <v/>
      </c>
      <c r="GJ75" s="167" t="str">
        <f t="shared" ref="GJ75:GJ129" si="823">IF(ISNUMBER($AV75),AW75,"")</f>
        <v/>
      </c>
      <c r="GK75" s="174" t="str">
        <f t="shared" si="666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7"/>
        <v/>
      </c>
      <c r="GT75" s="343" t="str">
        <f t="shared" si="668"/>
        <v/>
      </c>
      <c r="GU75" s="344" t="str">
        <f t="shared" si="669"/>
        <v/>
      </c>
      <c r="GV75" s="343" t="str">
        <f t="shared" ref="GV75:GV129" si="831">IF(ISNUMBER($AV75),GW75*$GL75,"")</f>
        <v/>
      </c>
      <c r="GW75" s="345" t="str">
        <f t="shared" si="670"/>
        <v/>
      </c>
      <c r="GX75" s="346" t="str">
        <f t="shared" si="671"/>
        <v/>
      </c>
      <c r="GY75" s="344" t="str">
        <f t="shared" si="672"/>
        <v/>
      </c>
      <c r="GZ75" s="345" t="str">
        <f t="shared" si="673"/>
        <v/>
      </c>
      <c r="HA75" s="342" t="str">
        <f t="shared" si="674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5"/>
        <v/>
      </c>
      <c r="HF75" s="5" t="str">
        <f t="shared" si="676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7"/>
        <v/>
      </c>
      <c r="HK75" s="310" t="str">
        <f t="shared" si="733"/>
        <v/>
      </c>
      <c r="HL75" s="348" t="str">
        <f t="shared" si="678"/>
        <v/>
      </c>
      <c r="HM75" s="923" t="str">
        <f t="shared" si="679"/>
        <v/>
      </c>
      <c r="HN75" s="924" t="str">
        <f t="shared" si="680"/>
        <v/>
      </c>
      <c r="HO75" s="925"/>
      <c r="HP75" s="926"/>
      <c r="HQ75" s="924" t="str">
        <f t="shared" si="681"/>
        <v/>
      </c>
      <c r="HR75" s="927" t="str">
        <f t="shared" si="682"/>
        <v/>
      </c>
      <c r="HS75" s="879" t="str">
        <f t="shared" si="734"/>
        <v/>
      </c>
      <c r="HT75" s="889" t="str">
        <f t="shared" si="683"/>
        <v/>
      </c>
      <c r="HU75" s="890" t="str">
        <f t="shared" si="684"/>
        <v/>
      </c>
      <c r="HV75" s="886" t="str">
        <f t="shared" si="685"/>
        <v/>
      </c>
      <c r="HW75" s="880" t="str">
        <f t="shared" si="686"/>
        <v/>
      </c>
      <c r="HX75" s="881" t="str">
        <f t="shared" si="687"/>
        <v/>
      </c>
      <c r="HY75" s="880" t="str">
        <f t="shared" si="688"/>
        <v/>
      </c>
      <c r="HZ75" s="882" t="str">
        <f t="shared" si="689"/>
        <v/>
      </c>
      <c r="IA75" s="883" t="str">
        <f t="shared" si="690"/>
        <v/>
      </c>
      <c r="IB75" s="884" t="str">
        <f t="shared" si="691"/>
        <v/>
      </c>
      <c r="IC75" s="855" t="str">
        <f t="shared" si="692"/>
        <v/>
      </c>
      <c r="ID75" s="351" t="str">
        <f t="shared" si="693"/>
        <v/>
      </c>
      <c r="IE75" s="857" t="str">
        <f t="shared" si="694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37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695"/>
        <v/>
      </c>
      <c r="IM75" s="482" t="str">
        <f t="shared" ref="IM75:IM138" si="838">IF(ISNUMBER($IK75),INDEX($K$9:$K$150,MATCH($II75,$M$9:$M$150,0)),"")</f>
        <v/>
      </c>
      <c r="IN75" s="670" t="str">
        <f t="shared" si="696"/>
        <v/>
      </c>
      <c r="IO75" s="702"/>
      <c r="IP75" s="5" t="str">
        <f t="shared" si="697"/>
        <v/>
      </c>
      <c r="IQ75" s="714"/>
      <c r="IR75" s="9" t="str">
        <f t="shared" si="698"/>
        <v/>
      </c>
      <c r="IS75" s="5" t="str">
        <f t="shared" si="699"/>
        <v/>
      </c>
      <c r="IT75" s="5" t="str">
        <f t="shared" si="700"/>
        <v/>
      </c>
      <c r="IU75" s="5" t="str">
        <f t="shared" si="701"/>
        <v/>
      </c>
      <c r="IV75" s="670" t="str">
        <f t="shared" si="702"/>
        <v/>
      </c>
      <c r="IW75" s="9" t="str">
        <f t="shared" si="703"/>
        <v/>
      </c>
      <c r="IX75" s="5" t="str">
        <f t="shared" si="704"/>
        <v/>
      </c>
      <c r="IY75" s="5" t="str">
        <f t="shared" si="705"/>
        <v/>
      </c>
      <c r="IZ75" s="5" t="str">
        <f t="shared" si="706"/>
        <v/>
      </c>
      <c r="JA75" s="705" t="str">
        <f t="shared" si="707"/>
        <v/>
      </c>
    </row>
    <row r="76" spans="1:261" ht="15" customHeight="1" x14ac:dyDescent="0.25">
      <c r="A76" s="75" t="str">
        <f t="shared" si="708"/>
        <v/>
      </c>
      <c r="B76" s="578" t="str">
        <f t="shared" ref="B76:D76" si="839">IFERROR(O231-($A76*E76),"")</f>
        <v/>
      </c>
      <c r="C76" s="572" t="str">
        <f t="shared" si="839"/>
        <v/>
      </c>
      <c r="D76" s="576" t="str">
        <f t="shared" si="839"/>
        <v/>
      </c>
      <c r="E76" s="580" t="str">
        <f t="shared" ref="E76:K76" si="840">R231</f>
        <v/>
      </c>
      <c r="F76" s="572" t="str">
        <f t="shared" si="840"/>
        <v/>
      </c>
      <c r="G76" s="579" t="str">
        <f t="shared" si="840"/>
        <v/>
      </c>
      <c r="H76" s="580" t="str">
        <f t="shared" si="840"/>
        <v/>
      </c>
      <c r="I76" s="572" t="str">
        <f t="shared" si="840"/>
        <v/>
      </c>
      <c r="J76" s="483" t="str">
        <f t="shared" si="711"/>
        <v/>
      </c>
      <c r="K76" s="806" t="str">
        <f t="shared" si="840"/>
        <v/>
      </c>
      <c r="L76" s="309"/>
      <c r="M76" s="164" t="str">
        <f t="shared" si="625"/>
        <v/>
      </c>
      <c r="N76" s="575" t="str">
        <f t="shared" si="626"/>
        <v/>
      </c>
      <c r="O76" s="572" t="str">
        <f t="shared" si="627"/>
        <v/>
      </c>
      <c r="P76" s="576" t="str">
        <f t="shared" si="628"/>
        <v/>
      </c>
      <c r="Q76" s="528" t="str">
        <f t="shared" si="712"/>
        <v/>
      </c>
      <c r="R76" s="572" t="str">
        <f t="shared" si="96"/>
        <v/>
      </c>
      <c r="S76" s="577" t="str">
        <f t="shared" si="97"/>
        <v/>
      </c>
      <c r="T76" s="578" t="str">
        <f t="shared" si="98"/>
        <v/>
      </c>
      <c r="U76" s="572" t="str">
        <f t="shared" si="99"/>
        <v/>
      </c>
      <c r="V76" s="579" t="str">
        <f t="shared" si="136"/>
        <v/>
      </c>
      <c r="W76" s="528" t="str">
        <f t="shared" si="257"/>
        <v/>
      </c>
      <c r="X76" s="572" t="str">
        <f t="shared" si="100"/>
        <v/>
      </c>
      <c r="Y76" s="573" t="str">
        <f t="shared" ref="Y76:Y129" si="841">IF(M76="","",S76)</f>
        <v/>
      </c>
      <c r="Z76" s="575" t="str">
        <f t="shared" si="629"/>
        <v/>
      </c>
      <c r="AA76" s="572" t="str">
        <f t="shared" si="630"/>
        <v/>
      </c>
      <c r="AB76" s="572" t="str">
        <f t="shared" si="631"/>
        <v/>
      </c>
      <c r="AC76" s="579" t="str">
        <f t="shared" si="101"/>
        <v/>
      </c>
      <c r="AD76" s="580" t="str">
        <f t="shared" si="137"/>
        <v/>
      </c>
      <c r="AE76" s="572" t="str">
        <f t="shared" si="102"/>
        <v/>
      </c>
      <c r="AF76" s="576" t="str">
        <f t="shared" si="103"/>
        <v/>
      </c>
      <c r="AG76" s="545" t="str">
        <f t="shared" si="104"/>
        <v/>
      </c>
      <c r="AH76" s="546" t="str">
        <f t="shared" si="105"/>
        <v/>
      </c>
      <c r="AI76" s="528" t="str">
        <f t="shared" si="106"/>
        <v/>
      </c>
      <c r="AJ76" s="529" t="str">
        <f t="shared" si="107"/>
        <v/>
      </c>
      <c r="AK76" s="578" t="str">
        <f t="shared" si="236"/>
        <v/>
      </c>
      <c r="AL76" s="572" t="str">
        <f t="shared" si="108"/>
        <v/>
      </c>
      <c r="AM76" s="577" t="str">
        <f t="shared" si="109"/>
        <v/>
      </c>
      <c r="AN76" s="524" t="str">
        <f t="shared" si="110"/>
        <v/>
      </c>
      <c r="AO76" s="525" t="str">
        <f t="shared" si="590"/>
        <v/>
      </c>
      <c r="AP76" s="528" t="str">
        <f t="shared" si="112"/>
        <v/>
      </c>
      <c r="AQ76" s="529" t="str">
        <f t="shared" si="632"/>
        <v/>
      </c>
      <c r="AS76" s="954" t="str">
        <f t="shared" si="737"/>
        <v/>
      </c>
      <c r="AT76" s="950" t="str">
        <f t="shared" si="633"/>
        <v/>
      </c>
      <c r="AU76" s="418"/>
      <c r="AV76" s="164" t="str">
        <f t="shared" si="634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5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6"/>
        <v/>
      </c>
      <c r="BF76" s="4" t="str">
        <f t="shared" si="637"/>
        <v/>
      </c>
      <c r="BG76" s="5" t="str">
        <f t="shared" si="638"/>
        <v/>
      </c>
      <c r="BH76" s="10" t="str">
        <f t="shared" si="639"/>
        <v/>
      </c>
      <c r="BI76" s="9" t="str">
        <f t="shared" si="739"/>
        <v/>
      </c>
      <c r="BJ76" s="5" t="str">
        <f t="shared" si="640"/>
        <v/>
      </c>
      <c r="BK76" s="8" t="str">
        <f t="shared" si="641"/>
        <v/>
      </c>
      <c r="BL76" s="173" t="str">
        <f t="shared" si="642"/>
        <v/>
      </c>
      <c r="BM76" s="5" t="str">
        <f t="shared" si="643"/>
        <v/>
      </c>
      <c r="BN76" s="6" t="str">
        <f t="shared" si="644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5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6"/>
        <v/>
      </c>
      <c r="ET76" s="5" t="str">
        <f t="shared" si="647"/>
        <v/>
      </c>
      <c r="EU76" s="10" t="str">
        <f t="shared" si="648"/>
        <v/>
      </c>
      <c r="EV76" s="174" t="str">
        <f t="shared" si="649"/>
        <v/>
      </c>
      <c r="EW76" s="9" t="str">
        <f t="shared" si="650"/>
        <v/>
      </c>
      <c r="EX76" s="5" t="str">
        <f t="shared" si="651"/>
        <v/>
      </c>
      <c r="EY76" s="6" t="str">
        <f t="shared" si="804"/>
        <v/>
      </c>
      <c r="EZ76" s="51" t="str">
        <f t="shared" si="805"/>
        <v/>
      </c>
      <c r="FA76" s="173" t="str">
        <f t="shared" si="652"/>
        <v/>
      </c>
      <c r="FB76" s="5" t="str">
        <f t="shared" si="653"/>
        <v/>
      </c>
      <c r="FC76" s="6" t="str">
        <f t="shared" si="654"/>
        <v/>
      </c>
      <c r="FD76" s="4" t="str">
        <f t="shared" si="655"/>
        <v/>
      </c>
      <c r="FE76" s="5" t="str">
        <f t="shared" si="656"/>
        <v/>
      </c>
      <c r="FF76" s="7" t="str">
        <f t="shared" si="806"/>
        <v/>
      </c>
      <c r="FG76" s="173" t="str">
        <f t="shared" si="657"/>
        <v/>
      </c>
      <c r="FH76" s="5" t="str">
        <f t="shared" si="658"/>
        <v/>
      </c>
      <c r="FI76" s="10" t="str">
        <f t="shared" si="659"/>
        <v/>
      </c>
      <c r="FJ76" s="279" t="str">
        <f t="shared" si="807"/>
        <v/>
      </c>
      <c r="FK76" s="4" t="str">
        <f t="shared" si="660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1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2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3"/>
        <v/>
      </c>
      <c r="GH76" s="286" t="str">
        <f t="shared" si="664"/>
        <v/>
      </c>
      <c r="GI76" s="281" t="str">
        <f t="shared" si="665"/>
        <v/>
      </c>
      <c r="GJ76" s="167" t="str">
        <f t="shared" si="823"/>
        <v/>
      </c>
      <c r="GK76" s="174" t="str">
        <f t="shared" si="666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7"/>
        <v/>
      </c>
      <c r="GT76" s="343" t="str">
        <f t="shared" si="668"/>
        <v/>
      </c>
      <c r="GU76" s="344" t="str">
        <f t="shared" si="669"/>
        <v/>
      </c>
      <c r="GV76" s="343" t="str">
        <f t="shared" si="831"/>
        <v/>
      </c>
      <c r="GW76" s="345" t="str">
        <f t="shared" si="670"/>
        <v/>
      </c>
      <c r="GX76" s="346" t="str">
        <f t="shared" si="671"/>
        <v/>
      </c>
      <c r="GY76" s="344" t="str">
        <f t="shared" si="672"/>
        <v/>
      </c>
      <c r="GZ76" s="345" t="str">
        <f t="shared" si="673"/>
        <v/>
      </c>
      <c r="HA76" s="342" t="str">
        <f t="shared" si="674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5"/>
        <v/>
      </c>
      <c r="HF76" s="5" t="str">
        <f t="shared" si="676"/>
        <v/>
      </c>
      <c r="HG76" s="343" t="str">
        <f t="shared" si="835"/>
        <v/>
      </c>
      <c r="HH76" s="349" t="str">
        <f t="shared" si="836"/>
        <v/>
      </c>
      <c r="HI76" s="317" t="str">
        <f t="shared" si="677"/>
        <v/>
      </c>
      <c r="HK76" s="310" t="str">
        <f t="shared" si="733"/>
        <v/>
      </c>
      <c r="HL76" s="348" t="str">
        <f t="shared" si="678"/>
        <v/>
      </c>
      <c r="HM76" s="923" t="str">
        <f t="shared" si="679"/>
        <v/>
      </c>
      <c r="HN76" s="924" t="str">
        <f t="shared" si="680"/>
        <v/>
      </c>
      <c r="HO76" s="925"/>
      <c r="HP76" s="926"/>
      <c r="HQ76" s="924" t="str">
        <f t="shared" si="681"/>
        <v/>
      </c>
      <c r="HR76" s="927" t="str">
        <f t="shared" si="682"/>
        <v/>
      </c>
      <c r="HS76" s="879" t="str">
        <f t="shared" si="734"/>
        <v/>
      </c>
      <c r="HT76" s="889" t="str">
        <f t="shared" si="683"/>
        <v/>
      </c>
      <c r="HU76" s="890" t="str">
        <f t="shared" si="684"/>
        <v/>
      </c>
      <c r="HV76" s="886" t="str">
        <f t="shared" si="685"/>
        <v/>
      </c>
      <c r="HW76" s="880" t="str">
        <f t="shared" si="686"/>
        <v/>
      </c>
      <c r="HX76" s="881" t="str">
        <f t="shared" si="687"/>
        <v/>
      </c>
      <c r="HY76" s="880" t="str">
        <f t="shared" si="688"/>
        <v/>
      </c>
      <c r="HZ76" s="882" t="str">
        <f t="shared" si="689"/>
        <v/>
      </c>
      <c r="IA76" s="883" t="str">
        <f t="shared" si="690"/>
        <v/>
      </c>
      <c r="IB76" s="884" t="str">
        <f t="shared" si="691"/>
        <v/>
      </c>
      <c r="IC76" s="855" t="str">
        <f t="shared" si="692"/>
        <v/>
      </c>
      <c r="ID76" s="351" t="str">
        <f t="shared" si="693"/>
        <v/>
      </c>
      <c r="IE76" s="857" t="str">
        <f t="shared" si="694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37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695"/>
        <v/>
      </c>
      <c r="IM76" s="482" t="str">
        <f t="shared" si="838"/>
        <v/>
      </c>
      <c r="IN76" s="670" t="str">
        <f t="shared" si="696"/>
        <v/>
      </c>
      <c r="IO76" s="702"/>
      <c r="IP76" s="5" t="str">
        <f t="shared" si="697"/>
        <v/>
      </c>
      <c r="IQ76" s="714"/>
      <c r="IR76" s="9" t="str">
        <f t="shared" si="698"/>
        <v/>
      </c>
      <c r="IS76" s="5" t="str">
        <f t="shared" si="699"/>
        <v/>
      </c>
      <c r="IT76" s="5" t="str">
        <f t="shared" si="700"/>
        <v/>
      </c>
      <c r="IU76" s="5" t="str">
        <f t="shared" si="701"/>
        <v/>
      </c>
      <c r="IV76" s="670" t="str">
        <f t="shared" si="702"/>
        <v/>
      </c>
      <c r="IW76" s="9" t="str">
        <f t="shared" si="703"/>
        <v/>
      </c>
      <c r="IX76" s="5" t="str">
        <f t="shared" si="704"/>
        <v/>
      </c>
      <c r="IY76" s="5" t="str">
        <f t="shared" si="705"/>
        <v/>
      </c>
      <c r="IZ76" s="5" t="str">
        <f t="shared" si="706"/>
        <v/>
      </c>
      <c r="JA76" s="705" t="str">
        <f t="shared" si="707"/>
        <v/>
      </c>
    </row>
    <row r="77" spans="1:261" ht="15" customHeight="1" x14ac:dyDescent="0.25">
      <c r="A77" s="75" t="str">
        <f t="shared" si="708"/>
        <v/>
      </c>
      <c r="B77" s="578" t="str">
        <f t="shared" ref="B77:D77" si="842">IFERROR(O232-($A77*E77),"")</f>
        <v/>
      </c>
      <c r="C77" s="572" t="str">
        <f t="shared" si="842"/>
        <v/>
      </c>
      <c r="D77" s="576" t="str">
        <f t="shared" si="842"/>
        <v/>
      </c>
      <c r="E77" s="580" t="str">
        <f t="shared" ref="E77:K77" si="843">R232</f>
        <v/>
      </c>
      <c r="F77" s="572" t="str">
        <f t="shared" si="843"/>
        <v/>
      </c>
      <c r="G77" s="579" t="str">
        <f t="shared" si="843"/>
        <v/>
      </c>
      <c r="H77" s="580" t="str">
        <f t="shared" si="843"/>
        <v/>
      </c>
      <c r="I77" s="572" t="str">
        <f t="shared" si="843"/>
        <v/>
      </c>
      <c r="J77" s="483" t="str">
        <f t="shared" si="711"/>
        <v/>
      </c>
      <c r="K77" s="806" t="str">
        <f t="shared" si="843"/>
        <v/>
      </c>
      <c r="L77" s="309"/>
      <c r="M77" s="164" t="str">
        <f t="shared" si="625"/>
        <v/>
      </c>
      <c r="N77" s="575" t="str">
        <f t="shared" si="626"/>
        <v/>
      </c>
      <c r="O77" s="572" t="str">
        <f t="shared" si="627"/>
        <v/>
      </c>
      <c r="P77" s="576" t="str">
        <f t="shared" si="628"/>
        <v/>
      </c>
      <c r="Q77" s="528" t="str">
        <f t="shared" si="712"/>
        <v/>
      </c>
      <c r="R77" s="572" t="str">
        <f t="shared" si="96"/>
        <v/>
      </c>
      <c r="S77" s="577" t="str">
        <f t="shared" si="97"/>
        <v/>
      </c>
      <c r="T77" s="578" t="str">
        <f t="shared" si="98"/>
        <v/>
      </c>
      <c r="U77" s="572" t="str">
        <f t="shared" si="99"/>
        <v/>
      </c>
      <c r="V77" s="579" t="str">
        <f t="shared" si="136"/>
        <v/>
      </c>
      <c r="W77" s="528" t="str">
        <f t="shared" si="257"/>
        <v/>
      </c>
      <c r="X77" s="572" t="str">
        <f t="shared" si="100"/>
        <v/>
      </c>
      <c r="Y77" s="573" t="str">
        <f t="shared" si="841"/>
        <v/>
      </c>
      <c r="Z77" s="575" t="str">
        <f t="shared" si="629"/>
        <v/>
      </c>
      <c r="AA77" s="572" t="str">
        <f t="shared" si="630"/>
        <v/>
      </c>
      <c r="AB77" s="572" t="str">
        <f t="shared" si="631"/>
        <v/>
      </c>
      <c r="AC77" s="579" t="str">
        <f t="shared" si="101"/>
        <v/>
      </c>
      <c r="AD77" s="580" t="str">
        <f t="shared" si="137"/>
        <v/>
      </c>
      <c r="AE77" s="572" t="str">
        <f t="shared" si="102"/>
        <v/>
      </c>
      <c r="AF77" s="576" t="str">
        <f t="shared" si="103"/>
        <v/>
      </c>
      <c r="AG77" s="545" t="str">
        <f t="shared" si="104"/>
        <v/>
      </c>
      <c r="AH77" s="546" t="str">
        <f t="shared" si="105"/>
        <v/>
      </c>
      <c r="AI77" s="528" t="str">
        <f t="shared" si="106"/>
        <v/>
      </c>
      <c r="AJ77" s="529" t="str">
        <f t="shared" si="107"/>
        <v/>
      </c>
      <c r="AK77" s="578" t="str">
        <f t="shared" si="236"/>
        <v/>
      </c>
      <c r="AL77" s="572" t="str">
        <f t="shared" si="108"/>
        <v/>
      </c>
      <c r="AM77" s="577" t="str">
        <f t="shared" si="109"/>
        <v/>
      </c>
      <c r="AN77" s="524" t="str">
        <f t="shared" si="110"/>
        <v/>
      </c>
      <c r="AO77" s="525" t="str">
        <f t="shared" si="590"/>
        <v/>
      </c>
      <c r="AP77" s="528" t="str">
        <f t="shared" si="112"/>
        <v/>
      </c>
      <c r="AQ77" s="529" t="str">
        <f t="shared" si="632"/>
        <v/>
      </c>
      <c r="AS77" s="954" t="str">
        <f t="shared" si="737"/>
        <v/>
      </c>
      <c r="AT77" s="950" t="str">
        <f t="shared" si="633"/>
        <v/>
      </c>
      <c r="AU77" s="418"/>
      <c r="AV77" s="164" t="str">
        <f t="shared" si="634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5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6"/>
        <v/>
      </c>
      <c r="BF77" s="4" t="str">
        <f t="shared" si="637"/>
        <v/>
      </c>
      <c r="BG77" s="5" t="str">
        <f t="shared" si="638"/>
        <v/>
      </c>
      <c r="BH77" s="10" t="str">
        <f t="shared" si="639"/>
        <v/>
      </c>
      <c r="BI77" s="9" t="str">
        <f t="shared" si="739"/>
        <v/>
      </c>
      <c r="BJ77" s="5" t="str">
        <f t="shared" si="640"/>
        <v/>
      </c>
      <c r="BK77" s="8" t="str">
        <f t="shared" si="641"/>
        <v/>
      </c>
      <c r="BL77" s="173" t="str">
        <f t="shared" si="642"/>
        <v/>
      </c>
      <c r="BM77" s="5" t="str">
        <f t="shared" si="643"/>
        <v/>
      </c>
      <c r="BN77" s="6" t="str">
        <f t="shared" si="644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5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6"/>
        <v/>
      </c>
      <c r="ET77" s="5" t="str">
        <f t="shared" si="647"/>
        <v/>
      </c>
      <c r="EU77" s="10" t="str">
        <f t="shared" si="648"/>
        <v/>
      </c>
      <c r="EV77" s="174" t="str">
        <f t="shared" si="649"/>
        <v/>
      </c>
      <c r="EW77" s="9" t="str">
        <f t="shared" si="650"/>
        <v/>
      </c>
      <c r="EX77" s="5" t="str">
        <f t="shared" si="651"/>
        <v/>
      </c>
      <c r="EY77" s="6" t="str">
        <f t="shared" si="804"/>
        <v/>
      </c>
      <c r="EZ77" s="51" t="str">
        <f t="shared" si="805"/>
        <v/>
      </c>
      <c r="FA77" s="173" t="str">
        <f t="shared" si="652"/>
        <v/>
      </c>
      <c r="FB77" s="5" t="str">
        <f t="shared" si="653"/>
        <v/>
      </c>
      <c r="FC77" s="6" t="str">
        <f t="shared" si="654"/>
        <v/>
      </c>
      <c r="FD77" s="4" t="str">
        <f t="shared" si="655"/>
        <v/>
      </c>
      <c r="FE77" s="5" t="str">
        <f t="shared" si="656"/>
        <v/>
      </c>
      <c r="FF77" s="7" t="str">
        <f t="shared" si="806"/>
        <v/>
      </c>
      <c r="FG77" s="173" t="str">
        <f t="shared" si="657"/>
        <v/>
      </c>
      <c r="FH77" s="5" t="str">
        <f t="shared" si="658"/>
        <v/>
      </c>
      <c r="FI77" s="10" t="str">
        <f t="shared" si="659"/>
        <v/>
      </c>
      <c r="FJ77" s="279" t="str">
        <f t="shared" si="807"/>
        <v/>
      </c>
      <c r="FK77" s="4" t="str">
        <f t="shared" si="660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1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2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3"/>
        <v/>
      </c>
      <c r="GH77" s="286" t="str">
        <f t="shared" si="664"/>
        <v/>
      </c>
      <c r="GI77" s="281" t="str">
        <f t="shared" si="665"/>
        <v/>
      </c>
      <c r="GJ77" s="167" t="str">
        <f t="shared" si="823"/>
        <v/>
      </c>
      <c r="GK77" s="174" t="str">
        <f t="shared" si="666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7"/>
        <v/>
      </c>
      <c r="GT77" s="343" t="str">
        <f t="shared" si="668"/>
        <v/>
      </c>
      <c r="GU77" s="344" t="str">
        <f t="shared" si="669"/>
        <v/>
      </c>
      <c r="GV77" s="343" t="str">
        <f t="shared" si="831"/>
        <v/>
      </c>
      <c r="GW77" s="345" t="str">
        <f t="shared" si="670"/>
        <v/>
      </c>
      <c r="GX77" s="346" t="str">
        <f t="shared" si="671"/>
        <v/>
      </c>
      <c r="GY77" s="344" t="str">
        <f t="shared" si="672"/>
        <v/>
      </c>
      <c r="GZ77" s="345" t="str">
        <f t="shared" si="673"/>
        <v/>
      </c>
      <c r="HA77" s="342" t="str">
        <f t="shared" si="674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5"/>
        <v/>
      </c>
      <c r="HF77" s="5" t="str">
        <f t="shared" si="676"/>
        <v/>
      </c>
      <c r="HG77" s="343" t="str">
        <f t="shared" si="835"/>
        <v/>
      </c>
      <c r="HH77" s="349" t="str">
        <f t="shared" si="836"/>
        <v/>
      </c>
      <c r="HI77" s="317" t="str">
        <f t="shared" si="677"/>
        <v/>
      </c>
      <c r="HK77" s="310" t="str">
        <f t="shared" si="733"/>
        <v/>
      </c>
      <c r="HL77" s="348" t="str">
        <f t="shared" si="678"/>
        <v/>
      </c>
      <c r="HM77" s="923" t="str">
        <f t="shared" si="679"/>
        <v/>
      </c>
      <c r="HN77" s="924" t="str">
        <f t="shared" si="680"/>
        <v/>
      </c>
      <c r="HO77" s="925"/>
      <c r="HP77" s="926"/>
      <c r="HQ77" s="924" t="str">
        <f t="shared" si="681"/>
        <v/>
      </c>
      <c r="HR77" s="927" t="str">
        <f t="shared" si="682"/>
        <v/>
      </c>
      <c r="HS77" s="879" t="str">
        <f t="shared" si="734"/>
        <v/>
      </c>
      <c r="HT77" s="889" t="str">
        <f t="shared" si="683"/>
        <v/>
      </c>
      <c r="HU77" s="890" t="str">
        <f t="shared" si="684"/>
        <v/>
      </c>
      <c r="HV77" s="886" t="str">
        <f t="shared" si="685"/>
        <v/>
      </c>
      <c r="HW77" s="880" t="str">
        <f t="shared" si="686"/>
        <v/>
      </c>
      <c r="HX77" s="881" t="str">
        <f t="shared" si="687"/>
        <v/>
      </c>
      <c r="HY77" s="880" t="str">
        <f t="shared" si="688"/>
        <v/>
      </c>
      <c r="HZ77" s="882" t="str">
        <f t="shared" si="689"/>
        <v/>
      </c>
      <c r="IA77" s="883" t="str">
        <f t="shared" si="690"/>
        <v/>
      </c>
      <c r="IB77" s="884" t="str">
        <f t="shared" si="691"/>
        <v/>
      </c>
      <c r="IC77" s="855" t="str">
        <f t="shared" si="692"/>
        <v/>
      </c>
      <c r="ID77" s="351" t="str">
        <f t="shared" si="693"/>
        <v/>
      </c>
      <c r="IE77" s="857" t="str">
        <f t="shared" si="694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37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695"/>
        <v/>
      </c>
      <c r="IM77" s="482" t="str">
        <f t="shared" si="838"/>
        <v/>
      </c>
      <c r="IN77" s="670" t="str">
        <f t="shared" si="696"/>
        <v/>
      </c>
      <c r="IO77" s="702"/>
      <c r="IP77" s="5" t="str">
        <f t="shared" si="697"/>
        <v/>
      </c>
      <c r="IQ77" s="714"/>
      <c r="IR77" s="9" t="str">
        <f t="shared" si="698"/>
        <v/>
      </c>
      <c r="IS77" s="5" t="str">
        <f t="shared" si="699"/>
        <v/>
      </c>
      <c r="IT77" s="5" t="str">
        <f t="shared" si="700"/>
        <v/>
      </c>
      <c r="IU77" s="5" t="str">
        <f t="shared" si="701"/>
        <v/>
      </c>
      <c r="IV77" s="670" t="str">
        <f t="shared" si="702"/>
        <v/>
      </c>
      <c r="IW77" s="9" t="str">
        <f t="shared" si="703"/>
        <v/>
      </c>
      <c r="IX77" s="5" t="str">
        <f t="shared" si="704"/>
        <v/>
      </c>
      <c r="IY77" s="5" t="str">
        <f t="shared" si="705"/>
        <v/>
      </c>
      <c r="IZ77" s="5" t="str">
        <f t="shared" si="706"/>
        <v/>
      </c>
      <c r="JA77" s="705" t="str">
        <f t="shared" si="707"/>
        <v/>
      </c>
    </row>
    <row r="78" spans="1:261" ht="15" customHeight="1" x14ac:dyDescent="0.25">
      <c r="A78" s="75" t="str">
        <f t="shared" si="708"/>
        <v/>
      </c>
      <c r="B78" s="578" t="str">
        <f t="shared" ref="B78:D78" si="844">IFERROR(O233-($A78*E78),"")</f>
        <v/>
      </c>
      <c r="C78" s="572" t="str">
        <f t="shared" si="844"/>
        <v/>
      </c>
      <c r="D78" s="576" t="str">
        <f t="shared" si="844"/>
        <v/>
      </c>
      <c r="E78" s="580" t="str">
        <f t="shared" ref="E78:K78" si="845">R233</f>
        <v/>
      </c>
      <c r="F78" s="572" t="str">
        <f t="shared" si="845"/>
        <v/>
      </c>
      <c r="G78" s="579" t="str">
        <f t="shared" si="845"/>
        <v/>
      </c>
      <c r="H78" s="580" t="str">
        <f t="shared" si="845"/>
        <v/>
      </c>
      <c r="I78" s="572" t="str">
        <f t="shared" si="845"/>
        <v/>
      </c>
      <c r="J78" s="483" t="str">
        <f t="shared" si="711"/>
        <v/>
      </c>
      <c r="K78" s="806" t="str">
        <f t="shared" si="845"/>
        <v/>
      </c>
      <c r="L78" s="309"/>
      <c r="M78" s="164" t="str">
        <f t="shared" si="625"/>
        <v/>
      </c>
      <c r="N78" s="575" t="str">
        <f t="shared" si="626"/>
        <v/>
      </c>
      <c r="O78" s="572" t="str">
        <f t="shared" si="627"/>
        <v/>
      </c>
      <c r="P78" s="576" t="str">
        <f t="shared" si="628"/>
        <v/>
      </c>
      <c r="Q78" s="528" t="str">
        <f t="shared" si="712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7"/>
        <v/>
      </c>
      <c r="X78" s="572" t="str">
        <f>IF(M78="","",R78)</f>
        <v/>
      </c>
      <c r="Y78" s="573" t="str">
        <f t="shared" si="841"/>
        <v/>
      </c>
      <c r="Z78" s="575" t="str">
        <f t="shared" si="629"/>
        <v/>
      </c>
      <c r="AA78" s="572" t="str">
        <f t="shared" si="630"/>
        <v/>
      </c>
      <c r="AB78" s="572" t="str">
        <f t="shared" si="631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90"/>
        <v/>
      </c>
      <c r="AP78" s="528" t="str">
        <f>IF(M78="","",DEGREES(ATAN2(AK78,AL78)))</f>
        <v/>
      </c>
      <c r="AQ78" s="529" t="str">
        <f t="shared" si="632"/>
        <v/>
      </c>
      <c r="AS78" s="954" t="str">
        <f t="shared" si="737"/>
        <v/>
      </c>
      <c r="AT78" s="950" t="str">
        <f t="shared" si="633"/>
        <v/>
      </c>
      <c r="AU78" s="418"/>
      <c r="AV78" s="164" t="str">
        <f t="shared" si="634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5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6"/>
        <v/>
      </c>
      <c r="BF78" s="4" t="str">
        <f t="shared" si="637"/>
        <v/>
      </c>
      <c r="BG78" s="5" t="str">
        <f t="shared" si="638"/>
        <v/>
      </c>
      <c r="BH78" s="10" t="str">
        <f t="shared" si="639"/>
        <v/>
      </c>
      <c r="BI78" s="9" t="str">
        <f t="shared" si="739"/>
        <v/>
      </c>
      <c r="BJ78" s="5" t="str">
        <f t="shared" si="640"/>
        <v/>
      </c>
      <c r="BK78" s="8" t="str">
        <f t="shared" si="641"/>
        <v/>
      </c>
      <c r="BL78" s="173" t="str">
        <f t="shared" si="642"/>
        <v/>
      </c>
      <c r="BM78" s="5" t="str">
        <f t="shared" si="643"/>
        <v/>
      </c>
      <c r="BN78" s="6" t="str">
        <f t="shared" si="644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5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6"/>
        <v/>
      </c>
      <c r="ET78" s="5" t="str">
        <f t="shared" si="647"/>
        <v/>
      </c>
      <c r="EU78" s="10" t="str">
        <f t="shared" si="648"/>
        <v/>
      </c>
      <c r="EV78" s="174" t="str">
        <f t="shared" si="649"/>
        <v/>
      </c>
      <c r="EW78" s="9" t="str">
        <f t="shared" si="650"/>
        <v/>
      </c>
      <c r="EX78" s="5" t="str">
        <f t="shared" si="651"/>
        <v/>
      </c>
      <c r="EY78" s="6" t="str">
        <f t="shared" si="804"/>
        <v/>
      </c>
      <c r="EZ78" s="51" t="str">
        <f t="shared" si="805"/>
        <v/>
      </c>
      <c r="FA78" s="173" t="str">
        <f t="shared" si="652"/>
        <v/>
      </c>
      <c r="FB78" s="5" t="str">
        <f t="shared" si="653"/>
        <v/>
      </c>
      <c r="FC78" s="6" t="str">
        <f t="shared" si="654"/>
        <v/>
      </c>
      <c r="FD78" s="4" t="str">
        <f t="shared" si="655"/>
        <v/>
      </c>
      <c r="FE78" s="5" t="str">
        <f t="shared" si="656"/>
        <v/>
      </c>
      <c r="FF78" s="7" t="str">
        <f t="shared" si="806"/>
        <v/>
      </c>
      <c r="FG78" s="173" t="str">
        <f t="shared" si="657"/>
        <v/>
      </c>
      <c r="FH78" s="5" t="str">
        <f t="shared" si="658"/>
        <v/>
      </c>
      <c r="FI78" s="10" t="str">
        <f t="shared" si="659"/>
        <v/>
      </c>
      <c r="FJ78" s="279" t="str">
        <f t="shared" si="807"/>
        <v/>
      </c>
      <c r="FK78" s="4" t="str">
        <f t="shared" si="660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1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2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3"/>
        <v/>
      </c>
      <c r="GH78" s="286" t="str">
        <f t="shared" si="664"/>
        <v/>
      </c>
      <c r="GI78" s="281" t="str">
        <f t="shared" si="665"/>
        <v/>
      </c>
      <c r="GJ78" s="167" t="str">
        <f t="shared" si="823"/>
        <v/>
      </c>
      <c r="GK78" s="174" t="str">
        <f t="shared" si="666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7"/>
        <v/>
      </c>
      <c r="GT78" s="343" t="str">
        <f t="shared" si="668"/>
        <v/>
      </c>
      <c r="GU78" s="344" t="str">
        <f t="shared" si="669"/>
        <v/>
      </c>
      <c r="GV78" s="343" t="str">
        <f t="shared" si="831"/>
        <v/>
      </c>
      <c r="GW78" s="345" t="str">
        <f t="shared" si="670"/>
        <v/>
      </c>
      <c r="GX78" s="346" t="str">
        <f t="shared" si="671"/>
        <v/>
      </c>
      <c r="GY78" s="344" t="str">
        <f t="shared" si="672"/>
        <v/>
      </c>
      <c r="GZ78" s="345" t="str">
        <f t="shared" si="673"/>
        <v/>
      </c>
      <c r="HA78" s="342" t="str">
        <f t="shared" si="674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5"/>
        <v/>
      </c>
      <c r="HF78" s="5" t="str">
        <f t="shared" si="676"/>
        <v/>
      </c>
      <c r="HG78" s="343" t="str">
        <f t="shared" si="835"/>
        <v/>
      </c>
      <c r="HH78" s="349" t="str">
        <f t="shared" si="836"/>
        <v/>
      </c>
      <c r="HI78" s="317" t="str">
        <f t="shared" si="677"/>
        <v/>
      </c>
      <c r="HK78" s="310" t="str">
        <f t="shared" si="733"/>
        <v/>
      </c>
      <c r="HL78" s="348" t="str">
        <f t="shared" si="678"/>
        <v/>
      </c>
      <c r="HM78" s="923" t="str">
        <f t="shared" si="679"/>
        <v/>
      </c>
      <c r="HN78" s="924" t="str">
        <f t="shared" si="680"/>
        <v/>
      </c>
      <c r="HO78" s="925"/>
      <c r="HP78" s="926"/>
      <c r="HQ78" s="924" t="str">
        <f t="shared" si="681"/>
        <v/>
      </c>
      <c r="HR78" s="927" t="str">
        <f t="shared" si="682"/>
        <v/>
      </c>
      <c r="HS78" s="879" t="str">
        <f t="shared" si="734"/>
        <v/>
      </c>
      <c r="HT78" s="889" t="str">
        <f t="shared" si="683"/>
        <v/>
      </c>
      <c r="HU78" s="890" t="str">
        <f t="shared" si="684"/>
        <v/>
      </c>
      <c r="HV78" s="886" t="str">
        <f t="shared" si="685"/>
        <v/>
      </c>
      <c r="HW78" s="880" t="str">
        <f t="shared" si="686"/>
        <v/>
      </c>
      <c r="HX78" s="881" t="str">
        <f t="shared" si="687"/>
        <v/>
      </c>
      <c r="HY78" s="880" t="str">
        <f t="shared" si="688"/>
        <v/>
      </c>
      <c r="HZ78" s="882" t="str">
        <f t="shared" si="689"/>
        <v/>
      </c>
      <c r="IA78" s="883" t="str">
        <f t="shared" si="690"/>
        <v/>
      </c>
      <c r="IB78" s="884" t="str">
        <f t="shared" si="691"/>
        <v/>
      </c>
      <c r="IC78" s="855" t="str">
        <f t="shared" si="692"/>
        <v/>
      </c>
      <c r="ID78" s="351" t="str">
        <f t="shared" si="693"/>
        <v/>
      </c>
      <c r="IE78" s="857" t="str">
        <f t="shared" si="694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37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695"/>
        <v/>
      </c>
      <c r="IM78" s="482" t="str">
        <f t="shared" si="838"/>
        <v/>
      </c>
      <c r="IN78" s="670" t="str">
        <f t="shared" si="696"/>
        <v/>
      </c>
      <c r="IO78" s="702"/>
      <c r="IP78" s="5" t="str">
        <f t="shared" si="697"/>
        <v/>
      </c>
      <c r="IQ78" s="714"/>
      <c r="IR78" s="9" t="str">
        <f t="shared" si="698"/>
        <v/>
      </c>
      <c r="IS78" s="5" t="str">
        <f t="shared" si="699"/>
        <v/>
      </c>
      <c r="IT78" s="5" t="str">
        <f t="shared" si="700"/>
        <v/>
      </c>
      <c r="IU78" s="5" t="str">
        <f t="shared" si="701"/>
        <v/>
      </c>
      <c r="IV78" s="670" t="str">
        <f t="shared" si="702"/>
        <v/>
      </c>
      <c r="IW78" s="9" t="str">
        <f t="shared" si="703"/>
        <v/>
      </c>
      <c r="IX78" s="5" t="str">
        <f t="shared" si="704"/>
        <v/>
      </c>
      <c r="IY78" s="5" t="str">
        <f t="shared" si="705"/>
        <v/>
      </c>
      <c r="IZ78" s="5" t="str">
        <f t="shared" si="706"/>
        <v/>
      </c>
      <c r="JA78" s="705" t="str">
        <f t="shared" si="707"/>
        <v/>
      </c>
    </row>
    <row r="79" spans="1:261" ht="15" customHeight="1" x14ac:dyDescent="0.25">
      <c r="A79" s="75" t="str">
        <f t="shared" si="708"/>
        <v/>
      </c>
      <c r="B79" s="578" t="str">
        <f t="shared" ref="B79:D79" si="846">IFERROR(O234-($A79*E79),"")</f>
        <v/>
      </c>
      <c r="C79" s="572" t="str">
        <f t="shared" si="846"/>
        <v/>
      </c>
      <c r="D79" s="576" t="str">
        <f t="shared" si="846"/>
        <v/>
      </c>
      <c r="E79" s="580" t="str">
        <f t="shared" ref="E79:K79" si="847">R234</f>
        <v/>
      </c>
      <c r="F79" s="572" t="str">
        <f t="shared" si="847"/>
        <v/>
      </c>
      <c r="G79" s="579" t="str">
        <f t="shared" si="847"/>
        <v/>
      </c>
      <c r="H79" s="580" t="str">
        <f t="shared" si="847"/>
        <v/>
      </c>
      <c r="I79" s="572" t="str">
        <f t="shared" si="847"/>
        <v/>
      </c>
      <c r="J79" s="483" t="str">
        <f t="shared" si="711"/>
        <v/>
      </c>
      <c r="K79" s="806" t="str">
        <f t="shared" si="847"/>
        <v/>
      </c>
      <c r="L79" s="309"/>
      <c r="M79" s="164" t="str">
        <f t="shared" si="625"/>
        <v/>
      </c>
      <c r="N79" s="575" t="str">
        <f t="shared" si="626"/>
        <v/>
      </c>
      <c r="O79" s="572" t="str">
        <f t="shared" si="627"/>
        <v/>
      </c>
      <c r="P79" s="576" t="str">
        <f t="shared" si="628"/>
        <v/>
      </c>
      <c r="Q79" s="528" t="str">
        <f t="shared" si="712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48">IF(M79="","",IF(Q79-$Q$8&lt;0,360+Q79-$Q$8,Q79-$Q$8))</f>
        <v/>
      </c>
      <c r="X79" s="572" t="str">
        <f>IF(M79="","",R79)</f>
        <v/>
      </c>
      <c r="Y79" s="573" t="str">
        <f t="shared" si="841"/>
        <v/>
      </c>
      <c r="Z79" s="575" t="str">
        <f t="shared" si="629"/>
        <v/>
      </c>
      <c r="AA79" s="572" t="str">
        <f t="shared" si="630"/>
        <v/>
      </c>
      <c r="AB79" s="572" t="str">
        <f t="shared" si="631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90"/>
        <v/>
      </c>
      <c r="AP79" s="528" t="str">
        <f>IF(M79="","",DEGREES(ATAN2(AK79,AL79)))</f>
        <v/>
      </c>
      <c r="AQ79" s="529" t="str">
        <f t="shared" si="632"/>
        <v/>
      </c>
      <c r="AS79" s="954" t="str">
        <f t="shared" si="737"/>
        <v/>
      </c>
      <c r="AT79" s="950" t="str">
        <f t="shared" si="633"/>
        <v/>
      </c>
      <c r="AU79" s="418"/>
      <c r="AV79" s="164" t="str">
        <f t="shared" si="634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5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6"/>
        <v/>
      </c>
      <c r="BF79" s="4" t="str">
        <f t="shared" si="637"/>
        <v/>
      </c>
      <c r="BG79" s="5" t="str">
        <f t="shared" si="638"/>
        <v/>
      </c>
      <c r="BH79" s="10" t="str">
        <f t="shared" si="639"/>
        <v/>
      </c>
      <c r="BI79" s="9" t="str">
        <f t="shared" si="739"/>
        <v/>
      </c>
      <c r="BJ79" s="5" t="str">
        <f t="shared" si="640"/>
        <v/>
      </c>
      <c r="BK79" s="8" t="str">
        <f t="shared" si="641"/>
        <v/>
      </c>
      <c r="BL79" s="173" t="str">
        <f t="shared" si="642"/>
        <v/>
      </c>
      <c r="BM79" s="5" t="str">
        <f t="shared" si="643"/>
        <v/>
      </c>
      <c r="BN79" s="6" t="str">
        <f t="shared" si="644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5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6"/>
        <v/>
      </c>
      <c r="ET79" s="5" t="str">
        <f t="shared" si="647"/>
        <v/>
      </c>
      <c r="EU79" s="10" t="str">
        <f t="shared" si="648"/>
        <v/>
      </c>
      <c r="EV79" s="174" t="str">
        <f t="shared" si="649"/>
        <v/>
      </c>
      <c r="EW79" s="9" t="str">
        <f t="shared" si="650"/>
        <v/>
      </c>
      <c r="EX79" s="5" t="str">
        <f t="shared" si="651"/>
        <v/>
      </c>
      <c r="EY79" s="6" t="str">
        <f t="shared" si="804"/>
        <v/>
      </c>
      <c r="EZ79" s="51" t="str">
        <f t="shared" si="805"/>
        <v/>
      </c>
      <c r="FA79" s="173" t="str">
        <f t="shared" si="652"/>
        <v/>
      </c>
      <c r="FB79" s="5" t="str">
        <f t="shared" si="653"/>
        <v/>
      </c>
      <c r="FC79" s="6" t="str">
        <f t="shared" si="654"/>
        <v/>
      </c>
      <c r="FD79" s="4" t="str">
        <f t="shared" si="655"/>
        <v/>
      </c>
      <c r="FE79" s="5" t="str">
        <f t="shared" si="656"/>
        <v/>
      </c>
      <c r="FF79" s="7" t="str">
        <f t="shared" si="806"/>
        <v/>
      </c>
      <c r="FG79" s="173" t="str">
        <f t="shared" si="657"/>
        <v/>
      </c>
      <c r="FH79" s="5" t="str">
        <f t="shared" si="658"/>
        <v/>
      </c>
      <c r="FI79" s="10" t="str">
        <f t="shared" si="659"/>
        <v/>
      </c>
      <c r="FJ79" s="279" t="str">
        <f t="shared" si="807"/>
        <v/>
      </c>
      <c r="FK79" s="4" t="str">
        <f t="shared" si="660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1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2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3"/>
        <v/>
      </c>
      <c r="GH79" s="286" t="str">
        <f t="shared" si="664"/>
        <v/>
      </c>
      <c r="GI79" s="281" t="str">
        <f t="shared" si="665"/>
        <v/>
      </c>
      <c r="GJ79" s="167" t="str">
        <f t="shared" si="823"/>
        <v/>
      </c>
      <c r="GK79" s="174" t="str">
        <f t="shared" si="666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7"/>
        <v/>
      </c>
      <c r="GT79" s="343" t="str">
        <f t="shared" si="668"/>
        <v/>
      </c>
      <c r="GU79" s="344" t="str">
        <f t="shared" si="669"/>
        <v/>
      </c>
      <c r="GV79" s="343" t="str">
        <f t="shared" si="831"/>
        <v/>
      </c>
      <c r="GW79" s="345" t="str">
        <f t="shared" si="670"/>
        <v/>
      </c>
      <c r="GX79" s="346" t="str">
        <f t="shared" si="671"/>
        <v/>
      </c>
      <c r="GY79" s="344" t="str">
        <f t="shared" si="672"/>
        <v/>
      </c>
      <c r="GZ79" s="345" t="str">
        <f t="shared" si="673"/>
        <v/>
      </c>
      <c r="HA79" s="342" t="str">
        <f t="shared" si="674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5"/>
        <v/>
      </c>
      <c r="HF79" s="5" t="str">
        <f t="shared" si="676"/>
        <v/>
      </c>
      <c r="HG79" s="343" t="str">
        <f t="shared" si="835"/>
        <v/>
      </c>
      <c r="HH79" s="349" t="str">
        <f t="shared" si="836"/>
        <v/>
      </c>
      <c r="HI79" s="317" t="str">
        <f t="shared" si="677"/>
        <v/>
      </c>
      <c r="HK79" s="310" t="str">
        <f t="shared" si="733"/>
        <v/>
      </c>
      <c r="HL79" s="348" t="str">
        <f t="shared" si="678"/>
        <v/>
      </c>
      <c r="HM79" s="923" t="str">
        <f t="shared" si="679"/>
        <v/>
      </c>
      <c r="HN79" s="924" t="str">
        <f t="shared" si="680"/>
        <v/>
      </c>
      <c r="HO79" s="925"/>
      <c r="HP79" s="926"/>
      <c r="HQ79" s="924" t="str">
        <f t="shared" si="681"/>
        <v/>
      </c>
      <c r="HR79" s="927" t="str">
        <f t="shared" si="682"/>
        <v/>
      </c>
      <c r="HS79" s="879" t="str">
        <f t="shared" si="734"/>
        <v/>
      </c>
      <c r="HT79" s="889" t="str">
        <f t="shared" si="683"/>
        <v/>
      </c>
      <c r="HU79" s="890" t="str">
        <f t="shared" si="684"/>
        <v/>
      </c>
      <c r="HV79" s="886" t="str">
        <f t="shared" si="685"/>
        <v/>
      </c>
      <c r="HW79" s="880" t="str">
        <f t="shared" si="686"/>
        <v/>
      </c>
      <c r="HX79" s="881" t="str">
        <f t="shared" si="687"/>
        <v/>
      </c>
      <c r="HY79" s="880" t="str">
        <f t="shared" si="688"/>
        <v/>
      </c>
      <c r="HZ79" s="882" t="str">
        <f t="shared" si="689"/>
        <v/>
      </c>
      <c r="IA79" s="883" t="str">
        <f t="shared" si="690"/>
        <v/>
      </c>
      <c r="IB79" s="884" t="str">
        <f t="shared" si="691"/>
        <v/>
      </c>
      <c r="IC79" s="855" t="str">
        <f t="shared" si="692"/>
        <v/>
      </c>
      <c r="ID79" s="351" t="str">
        <f t="shared" si="693"/>
        <v/>
      </c>
      <c r="IE79" s="857" t="str">
        <f t="shared" si="694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37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695"/>
        <v/>
      </c>
      <c r="IM79" s="482" t="str">
        <f t="shared" si="838"/>
        <v/>
      </c>
      <c r="IN79" s="670" t="str">
        <f t="shared" si="696"/>
        <v/>
      </c>
      <c r="IO79" s="702"/>
      <c r="IP79" s="5" t="str">
        <f t="shared" si="697"/>
        <v/>
      </c>
      <c r="IQ79" s="714"/>
      <c r="IR79" s="9" t="str">
        <f t="shared" si="698"/>
        <v/>
      </c>
      <c r="IS79" s="5" t="str">
        <f t="shared" si="699"/>
        <v/>
      </c>
      <c r="IT79" s="5" t="str">
        <f t="shared" si="700"/>
        <v/>
      </c>
      <c r="IU79" s="5" t="str">
        <f t="shared" si="701"/>
        <v/>
      </c>
      <c r="IV79" s="670" t="str">
        <f t="shared" si="702"/>
        <v/>
      </c>
      <c r="IW79" s="9" t="str">
        <f t="shared" si="703"/>
        <v/>
      </c>
      <c r="IX79" s="5" t="str">
        <f t="shared" si="704"/>
        <v/>
      </c>
      <c r="IY79" s="5" t="str">
        <f t="shared" si="705"/>
        <v/>
      </c>
      <c r="IZ79" s="5" t="str">
        <f t="shared" si="706"/>
        <v/>
      </c>
      <c r="JA79" s="705" t="str">
        <f t="shared" si="707"/>
        <v/>
      </c>
    </row>
    <row r="80" spans="1:261" ht="15" customHeight="1" x14ac:dyDescent="0.25">
      <c r="A80" s="75" t="str">
        <f t="shared" si="708"/>
        <v/>
      </c>
      <c r="B80" s="578" t="str">
        <f t="shared" ref="B80:D80" si="849">IFERROR(O235-($A80*E80),"")</f>
        <v/>
      </c>
      <c r="C80" s="572" t="str">
        <f t="shared" si="849"/>
        <v/>
      </c>
      <c r="D80" s="576" t="str">
        <f t="shared" si="849"/>
        <v/>
      </c>
      <c r="E80" s="580" t="str">
        <f t="shared" ref="E80:K80" si="850">R235</f>
        <v/>
      </c>
      <c r="F80" s="572" t="str">
        <f t="shared" si="850"/>
        <v/>
      </c>
      <c r="G80" s="579" t="str">
        <f t="shared" si="850"/>
        <v/>
      </c>
      <c r="H80" s="580" t="str">
        <f t="shared" si="850"/>
        <v/>
      </c>
      <c r="I80" s="572" t="str">
        <f t="shared" si="850"/>
        <v/>
      </c>
      <c r="J80" s="483" t="str">
        <f t="shared" si="711"/>
        <v/>
      </c>
      <c r="K80" s="806" t="str">
        <f t="shared" si="850"/>
        <v/>
      </c>
      <c r="L80" s="309"/>
      <c r="M80" s="164" t="str">
        <f t="shared" si="625"/>
        <v/>
      </c>
      <c r="N80" s="575" t="str">
        <f t="shared" si="626"/>
        <v/>
      </c>
      <c r="O80" s="572" t="str">
        <f t="shared" si="627"/>
        <v/>
      </c>
      <c r="P80" s="576" t="str">
        <f t="shared" si="628"/>
        <v/>
      </c>
      <c r="Q80" s="528" t="str">
        <f t="shared" si="712"/>
        <v/>
      </c>
      <c r="R80" s="572" t="str">
        <f t="shared" si="96"/>
        <v/>
      </c>
      <c r="S80" s="577" t="str">
        <f t="shared" si="97"/>
        <v/>
      </c>
      <c r="T80" s="578" t="str">
        <f t="shared" si="98"/>
        <v/>
      </c>
      <c r="U80" s="572" t="str">
        <f t="shared" si="99"/>
        <v/>
      </c>
      <c r="V80" s="579" t="str">
        <f t="shared" si="136"/>
        <v/>
      </c>
      <c r="W80" s="528" t="str">
        <f t="shared" si="848"/>
        <v/>
      </c>
      <c r="X80" s="572" t="str">
        <f t="shared" si="100"/>
        <v/>
      </c>
      <c r="Y80" s="573" t="str">
        <f t="shared" si="841"/>
        <v/>
      </c>
      <c r="Z80" s="575" t="str">
        <f t="shared" si="629"/>
        <v/>
      </c>
      <c r="AA80" s="572" t="str">
        <f t="shared" si="630"/>
        <v/>
      </c>
      <c r="AB80" s="572" t="str">
        <f t="shared" si="631"/>
        <v/>
      </c>
      <c r="AC80" s="579" t="str">
        <f t="shared" si="101"/>
        <v/>
      </c>
      <c r="AD80" s="580" t="str">
        <f t="shared" si="137"/>
        <v/>
      </c>
      <c r="AE80" s="572" t="str">
        <f t="shared" si="102"/>
        <v/>
      </c>
      <c r="AF80" s="576" t="str">
        <f t="shared" si="103"/>
        <v/>
      </c>
      <c r="AG80" s="545" t="str">
        <f t="shared" si="104"/>
        <v/>
      </c>
      <c r="AH80" s="546" t="str">
        <f t="shared" si="105"/>
        <v/>
      </c>
      <c r="AI80" s="528" t="str">
        <f t="shared" si="106"/>
        <v/>
      </c>
      <c r="AJ80" s="529" t="str">
        <f t="shared" si="107"/>
        <v/>
      </c>
      <c r="AK80" s="578" t="str">
        <f t="shared" si="236"/>
        <v/>
      </c>
      <c r="AL80" s="572" t="str">
        <f t="shared" si="108"/>
        <v/>
      </c>
      <c r="AM80" s="577" t="str">
        <f t="shared" si="109"/>
        <v/>
      </c>
      <c r="AN80" s="524" t="str">
        <f t="shared" si="110"/>
        <v/>
      </c>
      <c r="AO80" s="525" t="str">
        <f t="shared" si="590"/>
        <v/>
      </c>
      <c r="AP80" s="528" t="str">
        <f t="shared" si="112"/>
        <v/>
      </c>
      <c r="AQ80" s="529" t="str">
        <f t="shared" si="632"/>
        <v/>
      </c>
      <c r="AS80" s="954" t="str">
        <f t="shared" si="737"/>
        <v/>
      </c>
      <c r="AT80" s="950" t="str">
        <f t="shared" si="633"/>
        <v/>
      </c>
      <c r="AU80" s="418"/>
      <c r="AV80" s="164" t="str">
        <f t="shared" si="634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5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6"/>
        <v/>
      </c>
      <c r="BF80" s="4" t="str">
        <f t="shared" si="637"/>
        <v/>
      </c>
      <c r="BG80" s="5" t="str">
        <f t="shared" si="638"/>
        <v/>
      </c>
      <c r="BH80" s="10" t="str">
        <f t="shared" si="639"/>
        <v/>
      </c>
      <c r="BI80" s="9" t="str">
        <f t="shared" si="739"/>
        <v/>
      </c>
      <c r="BJ80" s="5" t="str">
        <f t="shared" si="640"/>
        <v/>
      </c>
      <c r="BK80" s="8" t="str">
        <f t="shared" si="641"/>
        <v/>
      </c>
      <c r="BL80" s="173" t="str">
        <f t="shared" si="642"/>
        <v/>
      </c>
      <c r="BM80" s="5" t="str">
        <f t="shared" si="643"/>
        <v/>
      </c>
      <c r="BN80" s="6" t="str">
        <f t="shared" si="644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5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6"/>
        <v/>
      </c>
      <c r="ET80" s="5" t="str">
        <f t="shared" si="647"/>
        <v/>
      </c>
      <c r="EU80" s="10" t="str">
        <f t="shared" si="648"/>
        <v/>
      </c>
      <c r="EV80" s="174" t="str">
        <f t="shared" si="649"/>
        <v/>
      </c>
      <c r="EW80" s="9" t="str">
        <f t="shared" si="650"/>
        <v/>
      </c>
      <c r="EX80" s="5" t="str">
        <f t="shared" si="651"/>
        <v/>
      </c>
      <c r="EY80" s="6" t="str">
        <f t="shared" si="804"/>
        <v/>
      </c>
      <c r="EZ80" s="51" t="str">
        <f t="shared" si="805"/>
        <v/>
      </c>
      <c r="FA80" s="173" t="str">
        <f t="shared" si="652"/>
        <v/>
      </c>
      <c r="FB80" s="5" t="str">
        <f t="shared" si="653"/>
        <v/>
      </c>
      <c r="FC80" s="6" t="str">
        <f t="shared" si="654"/>
        <v/>
      </c>
      <c r="FD80" s="4" t="str">
        <f t="shared" si="655"/>
        <v/>
      </c>
      <c r="FE80" s="5" t="str">
        <f t="shared" si="656"/>
        <v/>
      </c>
      <c r="FF80" s="7" t="str">
        <f t="shared" si="806"/>
        <v/>
      </c>
      <c r="FG80" s="173" t="str">
        <f t="shared" si="657"/>
        <v/>
      </c>
      <c r="FH80" s="5" t="str">
        <f t="shared" si="658"/>
        <v/>
      </c>
      <c r="FI80" s="10" t="str">
        <f t="shared" si="659"/>
        <v/>
      </c>
      <c r="FJ80" s="279" t="str">
        <f t="shared" si="807"/>
        <v/>
      </c>
      <c r="FK80" s="4" t="str">
        <f t="shared" si="660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1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2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3"/>
        <v/>
      </c>
      <c r="GH80" s="286" t="str">
        <f t="shared" si="664"/>
        <v/>
      </c>
      <c r="GI80" s="281" t="str">
        <f t="shared" si="665"/>
        <v/>
      </c>
      <c r="GJ80" s="167" t="str">
        <f t="shared" si="823"/>
        <v/>
      </c>
      <c r="GK80" s="174" t="str">
        <f t="shared" si="666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7"/>
        <v/>
      </c>
      <c r="GT80" s="343" t="str">
        <f t="shared" si="668"/>
        <v/>
      </c>
      <c r="GU80" s="344" t="str">
        <f t="shared" si="669"/>
        <v/>
      </c>
      <c r="GV80" s="343" t="str">
        <f t="shared" si="831"/>
        <v/>
      </c>
      <c r="GW80" s="345" t="str">
        <f t="shared" si="670"/>
        <v/>
      </c>
      <c r="GX80" s="346" t="str">
        <f t="shared" si="671"/>
        <v/>
      </c>
      <c r="GY80" s="344" t="str">
        <f t="shared" si="672"/>
        <v/>
      </c>
      <c r="GZ80" s="345" t="str">
        <f t="shared" si="673"/>
        <v/>
      </c>
      <c r="HA80" s="342" t="str">
        <f t="shared" si="674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5"/>
        <v/>
      </c>
      <c r="HF80" s="5" t="str">
        <f t="shared" si="676"/>
        <v/>
      </c>
      <c r="HG80" s="343" t="str">
        <f t="shared" si="835"/>
        <v/>
      </c>
      <c r="HH80" s="349" t="str">
        <f t="shared" si="836"/>
        <v/>
      </c>
      <c r="HI80" s="317" t="str">
        <f t="shared" si="677"/>
        <v/>
      </c>
      <c r="HK80" s="310" t="str">
        <f t="shared" si="733"/>
        <v/>
      </c>
      <c r="HL80" s="348" t="str">
        <f t="shared" si="678"/>
        <v/>
      </c>
      <c r="HM80" s="923" t="str">
        <f t="shared" si="679"/>
        <v/>
      </c>
      <c r="HN80" s="924" t="str">
        <f t="shared" si="680"/>
        <v/>
      </c>
      <c r="HO80" s="925"/>
      <c r="HP80" s="926"/>
      <c r="HQ80" s="924" t="str">
        <f t="shared" si="681"/>
        <v/>
      </c>
      <c r="HR80" s="927" t="str">
        <f t="shared" si="682"/>
        <v/>
      </c>
      <c r="HS80" s="879" t="str">
        <f t="shared" si="734"/>
        <v/>
      </c>
      <c r="HT80" s="889" t="str">
        <f t="shared" si="683"/>
        <v/>
      </c>
      <c r="HU80" s="890" t="str">
        <f t="shared" si="684"/>
        <v/>
      </c>
      <c r="HV80" s="886" t="str">
        <f t="shared" si="685"/>
        <v/>
      </c>
      <c r="HW80" s="880" t="str">
        <f t="shared" si="686"/>
        <v/>
      </c>
      <c r="HX80" s="881" t="str">
        <f t="shared" si="687"/>
        <v/>
      </c>
      <c r="HY80" s="880" t="str">
        <f t="shared" si="688"/>
        <v/>
      </c>
      <c r="HZ80" s="882" t="str">
        <f t="shared" si="689"/>
        <v/>
      </c>
      <c r="IA80" s="883" t="str">
        <f t="shared" si="690"/>
        <v/>
      </c>
      <c r="IB80" s="884" t="str">
        <f t="shared" si="691"/>
        <v/>
      </c>
      <c r="IC80" s="855" t="str">
        <f t="shared" si="692"/>
        <v/>
      </c>
      <c r="ID80" s="351" t="str">
        <f t="shared" si="693"/>
        <v/>
      </c>
      <c r="IE80" s="857" t="str">
        <f t="shared" si="694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37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695"/>
        <v/>
      </c>
      <c r="IM80" s="482" t="str">
        <f t="shared" si="838"/>
        <v/>
      </c>
      <c r="IN80" s="670" t="str">
        <f t="shared" si="696"/>
        <v/>
      </c>
      <c r="IO80" s="702"/>
      <c r="IP80" s="5" t="str">
        <f t="shared" si="697"/>
        <v/>
      </c>
      <c r="IQ80" s="714"/>
      <c r="IR80" s="9" t="str">
        <f t="shared" si="698"/>
        <v/>
      </c>
      <c r="IS80" s="5" t="str">
        <f t="shared" si="699"/>
        <v/>
      </c>
      <c r="IT80" s="5" t="str">
        <f t="shared" si="700"/>
        <v/>
      </c>
      <c r="IU80" s="5" t="str">
        <f t="shared" si="701"/>
        <v/>
      </c>
      <c r="IV80" s="670" t="str">
        <f t="shared" si="702"/>
        <v/>
      </c>
      <c r="IW80" s="9" t="str">
        <f t="shared" si="703"/>
        <v/>
      </c>
      <c r="IX80" s="5" t="str">
        <f t="shared" si="704"/>
        <v/>
      </c>
      <c r="IY80" s="5" t="str">
        <f t="shared" si="705"/>
        <v/>
      </c>
      <c r="IZ80" s="5" t="str">
        <f t="shared" si="706"/>
        <v/>
      </c>
      <c r="JA80" s="705" t="str">
        <f t="shared" si="707"/>
        <v/>
      </c>
    </row>
    <row r="81" spans="1:261" ht="15" customHeight="1" x14ac:dyDescent="0.25">
      <c r="A81" s="75" t="str">
        <f t="shared" si="708"/>
        <v/>
      </c>
      <c r="B81" s="578" t="str">
        <f t="shared" ref="B81:D81" si="851">IFERROR(O236-($A81*E81),"")</f>
        <v/>
      </c>
      <c r="C81" s="572" t="str">
        <f t="shared" si="851"/>
        <v/>
      </c>
      <c r="D81" s="576" t="str">
        <f t="shared" si="851"/>
        <v/>
      </c>
      <c r="E81" s="580" t="str">
        <f t="shared" ref="E81:K81" si="852">R236</f>
        <v/>
      </c>
      <c r="F81" s="572" t="str">
        <f t="shared" si="852"/>
        <v/>
      </c>
      <c r="G81" s="579" t="str">
        <f t="shared" si="852"/>
        <v/>
      </c>
      <c r="H81" s="580" t="str">
        <f t="shared" si="852"/>
        <v/>
      </c>
      <c r="I81" s="572" t="str">
        <f t="shared" si="852"/>
        <v/>
      </c>
      <c r="J81" s="483" t="str">
        <f t="shared" si="711"/>
        <v/>
      </c>
      <c r="K81" s="806" t="str">
        <f t="shared" si="852"/>
        <v/>
      </c>
      <c r="L81" s="309"/>
      <c r="M81" s="164" t="str">
        <f t="shared" si="625"/>
        <v/>
      </c>
      <c r="N81" s="575" t="str">
        <f t="shared" si="626"/>
        <v/>
      </c>
      <c r="O81" s="572" t="str">
        <f t="shared" si="627"/>
        <v/>
      </c>
      <c r="P81" s="576" t="str">
        <f t="shared" si="628"/>
        <v/>
      </c>
      <c r="Q81" s="528" t="str">
        <f t="shared" si="712"/>
        <v/>
      </c>
      <c r="R81" s="572" t="str">
        <f t="shared" si="96"/>
        <v/>
      </c>
      <c r="S81" s="577" t="str">
        <f t="shared" si="97"/>
        <v/>
      </c>
      <c r="T81" s="578" t="str">
        <f t="shared" si="98"/>
        <v/>
      </c>
      <c r="U81" s="572" t="str">
        <f t="shared" si="99"/>
        <v/>
      </c>
      <c r="V81" s="579" t="str">
        <f t="shared" si="136"/>
        <v/>
      </c>
      <c r="W81" s="528" t="str">
        <f t="shared" si="848"/>
        <v/>
      </c>
      <c r="X81" s="572" t="str">
        <f t="shared" si="100"/>
        <v/>
      </c>
      <c r="Y81" s="573" t="str">
        <f t="shared" si="841"/>
        <v/>
      </c>
      <c r="Z81" s="575" t="str">
        <f t="shared" si="629"/>
        <v/>
      </c>
      <c r="AA81" s="572" t="str">
        <f t="shared" si="630"/>
        <v/>
      </c>
      <c r="AB81" s="572" t="str">
        <f t="shared" si="631"/>
        <v/>
      </c>
      <c r="AC81" s="579" t="str">
        <f t="shared" si="101"/>
        <v/>
      </c>
      <c r="AD81" s="580" t="str">
        <f t="shared" si="137"/>
        <v/>
      </c>
      <c r="AE81" s="572" t="str">
        <f t="shared" si="102"/>
        <v/>
      </c>
      <c r="AF81" s="576" t="str">
        <f t="shared" si="103"/>
        <v/>
      </c>
      <c r="AG81" s="545" t="str">
        <f t="shared" si="104"/>
        <v/>
      </c>
      <c r="AH81" s="546" t="str">
        <f t="shared" si="105"/>
        <v/>
      </c>
      <c r="AI81" s="528" t="str">
        <f t="shared" si="106"/>
        <v/>
      </c>
      <c r="AJ81" s="529" t="str">
        <f t="shared" si="107"/>
        <v/>
      </c>
      <c r="AK81" s="578" t="str">
        <f t="shared" si="236"/>
        <v/>
      </c>
      <c r="AL81" s="572" t="str">
        <f t="shared" si="108"/>
        <v/>
      </c>
      <c r="AM81" s="577" t="str">
        <f t="shared" si="109"/>
        <v/>
      </c>
      <c r="AN81" s="524" t="str">
        <f t="shared" si="110"/>
        <v/>
      </c>
      <c r="AO81" s="525" t="str">
        <f t="shared" si="590"/>
        <v/>
      </c>
      <c r="AP81" s="528" t="str">
        <f t="shared" si="112"/>
        <v/>
      </c>
      <c r="AQ81" s="529" t="str">
        <f t="shared" si="632"/>
        <v/>
      </c>
      <c r="AS81" s="954" t="str">
        <f t="shared" si="737"/>
        <v/>
      </c>
      <c r="AT81" s="950" t="str">
        <f t="shared" si="633"/>
        <v/>
      </c>
      <c r="AU81" s="418"/>
      <c r="AV81" s="164" t="str">
        <f t="shared" si="634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5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6"/>
        <v/>
      </c>
      <c r="BF81" s="4" t="str">
        <f t="shared" si="637"/>
        <v/>
      </c>
      <c r="BG81" s="5" t="str">
        <f t="shared" si="638"/>
        <v/>
      </c>
      <c r="BH81" s="10" t="str">
        <f t="shared" si="639"/>
        <v/>
      </c>
      <c r="BI81" s="9" t="str">
        <f t="shared" si="739"/>
        <v/>
      </c>
      <c r="BJ81" s="5" t="str">
        <f t="shared" si="640"/>
        <v/>
      </c>
      <c r="BK81" s="8" t="str">
        <f t="shared" si="641"/>
        <v/>
      </c>
      <c r="BL81" s="173" t="str">
        <f t="shared" si="642"/>
        <v/>
      </c>
      <c r="BM81" s="5" t="str">
        <f t="shared" si="643"/>
        <v/>
      </c>
      <c r="BN81" s="6" t="str">
        <f t="shared" si="644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5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6"/>
        <v/>
      </c>
      <c r="ET81" s="5" t="str">
        <f t="shared" si="647"/>
        <v/>
      </c>
      <c r="EU81" s="10" t="str">
        <f t="shared" si="648"/>
        <v/>
      </c>
      <c r="EV81" s="174" t="str">
        <f t="shared" si="649"/>
        <v/>
      </c>
      <c r="EW81" s="9" t="str">
        <f t="shared" si="650"/>
        <v/>
      </c>
      <c r="EX81" s="5" t="str">
        <f t="shared" si="651"/>
        <v/>
      </c>
      <c r="EY81" s="6" t="str">
        <f t="shared" si="804"/>
        <v/>
      </c>
      <c r="EZ81" s="51" t="str">
        <f t="shared" si="805"/>
        <v/>
      </c>
      <c r="FA81" s="173" t="str">
        <f t="shared" si="652"/>
        <v/>
      </c>
      <c r="FB81" s="5" t="str">
        <f t="shared" si="653"/>
        <v/>
      </c>
      <c r="FC81" s="6" t="str">
        <f t="shared" si="654"/>
        <v/>
      </c>
      <c r="FD81" s="4" t="str">
        <f t="shared" si="655"/>
        <v/>
      </c>
      <c r="FE81" s="5" t="str">
        <f t="shared" si="656"/>
        <v/>
      </c>
      <c r="FF81" s="7" t="str">
        <f t="shared" si="806"/>
        <v/>
      </c>
      <c r="FG81" s="173" t="str">
        <f t="shared" si="657"/>
        <v/>
      </c>
      <c r="FH81" s="5" t="str">
        <f t="shared" si="658"/>
        <v/>
      </c>
      <c r="FI81" s="10" t="str">
        <f t="shared" si="659"/>
        <v/>
      </c>
      <c r="FJ81" s="279" t="str">
        <f t="shared" si="807"/>
        <v/>
      </c>
      <c r="FK81" s="4" t="str">
        <f t="shared" si="660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1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2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3"/>
        <v/>
      </c>
      <c r="GH81" s="286" t="str">
        <f t="shared" si="664"/>
        <v/>
      </c>
      <c r="GI81" s="281" t="str">
        <f t="shared" si="665"/>
        <v/>
      </c>
      <c r="GJ81" s="167" t="str">
        <f t="shared" si="823"/>
        <v/>
      </c>
      <c r="GK81" s="174" t="str">
        <f t="shared" si="666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7"/>
        <v/>
      </c>
      <c r="GT81" s="343" t="str">
        <f t="shared" si="668"/>
        <v/>
      </c>
      <c r="GU81" s="344" t="str">
        <f t="shared" si="669"/>
        <v/>
      </c>
      <c r="GV81" s="343" t="str">
        <f t="shared" si="831"/>
        <v/>
      </c>
      <c r="GW81" s="345" t="str">
        <f t="shared" si="670"/>
        <v/>
      </c>
      <c r="GX81" s="346" t="str">
        <f t="shared" si="671"/>
        <v/>
      </c>
      <c r="GY81" s="344" t="str">
        <f t="shared" si="672"/>
        <v/>
      </c>
      <c r="GZ81" s="345" t="str">
        <f t="shared" si="673"/>
        <v/>
      </c>
      <c r="HA81" s="342" t="str">
        <f t="shared" si="674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5"/>
        <v/>
      </c>
      <c r="HF81" s="5" t="str">
        <f t="shared" si="676"/>
        <v/>
      </c>
      <c r="HG81" s="343" t="str">
        <f t="shared" si="835"/>
        <v/>
      </c>
      <c r="HH81" s="349" t="str">
        <f t="shared" si="836"/>
        <v/>
      </c>
      <c r="HI81" s="317" t="str">
        <f t="shared" si="677"/>
        <v/>
      </c>
      <c r="HK81" s="310" t="str">
        <f t="shared" si="733"/>
        <v/>
      </c>
      <c r="HL81" s="348" t="str">
        <f t="shared" si="678"/>
        <v/>
      </c>
      <c r="HM81" s="923" t="str">
        <f t="shared" si="679"/>
        <v/>
      </c>
      <c r="HN81" s="924" t="str">
        <f t="shared" si="680"/>
        <v/>
      </c>
      <c r="HO81" s="925"/>
      <c r="HP81" s="926"/>
      <c r="HQ81" s="924" t="str">
        <f t="shared" si="681"/>
        <v/>
      </c>
      <c r="HR81" s="927" t="str">
        <f t="shared" si="682"/>
        <v/>
      </c>
      <c r="HS81" s="879" t="str">
        <f t="shared" si="734"/>
        <v/>
      </c>
      <c r="HT81" s="889" t="str">
        <f t="shared" si="683"/>
        <v/>
      </c>
      <c r="HU81" s="890" t="str">
        <f t="shared" si="684"/>
        <v/>
      </c>
      <c r="HV81" s="886" t="str">
        <f t="shared" si="685"/>
        <v/>
      </c>
      <c r="HW81" s="880" t="str">
        <f t="shared" si="686"/>
        <v/>
      </c>
      <c r="HX81" s="881" t="str">
        <f t="shared" si="687"/>
        <v/>
      </c>
      <c r="HY81" s="880" t="str">
        <f t="shared" si="688"/>
        <v/>
      </c>
      <c r="HZ81" s="882" t="str">
        <f t="shared" si="689"/>
        <v/>
      </c>
      <c r="IA81" s="883" t="str">
        <f t="shared" si="690"/>
        <v/>
      </c>
      <c r="IB81" s="884" t="str">
        <f t="shared" si="691"/>
        <v/>
      </c>
      <c r="IC81" s="855" t="str">
        <f t="shared" si="692"/>
        <v/>
      </c>
      <c r="ID81" s="351" t="str">
        <f t="shared" si="693"/>
        <v/>
      </c>
      <c r="IE81" s="857" t="str">
        <f t="shared" si="694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37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695"/>
        <v/>
      </c>
      <c r="IM81" s="482" t="str">
        <f t="shared" si="838"/>
        <v/>
      </c>
      <c r="IN81" s="670" t="str">
        <f t="shared" si="696"/>
        <v/>
      </c>
      <c r="IO81" s="702"/>
      <c r="IP81" s="5" t="str">
        <f t="shared" si="697"/>
        <v/>
      </c>
      <c r="IQ81" s="714"/>
      <c r="IR81" s="9" t="str">
        <f t="shared" si="698"/>
        <v/>
      </c>
      <c r="IS81" s="5" t="str">
        <f t="shared" si="699"/>
        <v/>
      </c>
      <c r="IT81" s="5" t="str">
        <f t="shared" si="700"/>
        <v/>
      </c>
      <c r="IU81" s="5" t="str">
        <f t="shared" si="701"/>
        <v/>
      </c>
      <c r="IV81" s="670" t="str">
        <f t="shared" si="702"/>
        <v/>
      </c>
      <c r="IW81" s="9" t="str">
        <f t="shared" si="703"/>
        <v/>
      </c>
      <c r="IX81" s="5" t="str">
        <f t="shared" si="704"/>
        <v/>
      </c>
      <c r="IY81" s="5" t="str">
        <f t="shared" si="705"/>
        <v/>
      </c>
      <c r="IZ81" s="5" t="str">
        <f t="shared" si="706"/>
        <v/>
      </c>
      <c r="JA81" s="705" t="str">
        <f t="shared" si="707"/>
        <v/>
      </c>
    </row>
    <row r="82" spans="1:261" ht="15" customHeight="1" x14ac:dyDescent="0.25">
      <c r="A82" s="75" t="str">
        <f t="shared" si="708"/>
        <v/>
      </c>
      <c r="B82" s="578" t="str">
        <f t="shared" ref="B82:D82" si="853">IFERROR(O237-($A82*E82),"")</f>
        <v/>
      </c>
      <c r="C82" s="572" t="str">
        <f t="shared" si="853"/>
        <v/>
      </c>
      <c r="D82" s="576" t="str">
        <f t="shared" si="853"/>
        <v/>
      </c>
      <c r="E82" s="580" t="str">
        <f t="shared" ref="E82:K82" si="854">R237</f>
        <v/>
      </c>
      <c r="F82" s="572" t="str">
        <f t="shared" si="854"/>
        <v/>
      </c>
      <c r="G82" s="579" t="str">
        <f t="shared" si="854"/>
        <v/>
      </c>
      <c r="H82" s="580" t="str">
        <f t="shared" si="854"/>
        <v/>
      </c>
      <c r="I82" s="572" t="str">
        <f t="shared" si="854"/>
        <v/>
      </c>
      <c r="J82" s="483" t="str">
        <f t="shared" si="711"/>
        <v/>
      </c>
      <c r="K82" s="806" t="str">
        <f t="shared" si="854"/>
        <v/>
      </c>
      <c r="L82" s="309"/>
      <c r="M82" s="164" t="str">
        <f t="shared" si="625"/>
        <v/>
      </c>
      <c r="N82" s="575" t="str">
        <f t="shared" si="626"/>
        <v/>
      </c>
      <c r="O82" s="572" t="str">
        <f t="shared" si="627"/>
        <v/>
      </c>
      <c r="P82" s="576" t="str">
        <f t="shared" si="628"/>
        <v/>
      </c>
      <c r="Q82" s="528" t="str">
        <f t="shared" si="712"/>
        <v/>
      </c>
      <c r="R82" s="572" t="str">
        <f t="shared" si="96"/>
        <v/>
      </c>
      <c r="S82" s="577" t="str">
        <f t="shared" si="97"/>
        <v/>
      </c>
      <c r="T82" s="578" t="str">
        <f t="shared" si="98"/>
        <v/>
      </c>
      <c r="U82" s="572" t="str">
        <f t="shared" si="99"/>
        <v/>
      </c>
      <c r="V82" s="579" t="str">
        <f t="shared" si="136"/>
        <v/>
      </c>
      <c r="W82" s="528" t="str">
        <f t="shared" si="848"/>
        <v/>
      </c>
      <c r="X82" s="572" t="str">
        <f t="shared" si="100"/>
        <v/>
      </c>
      <c r="Y82" s="573" t="str">
        <f t="shared" si="841"/>
        <v/>
      </c>
      <c r="Z82" s="575" t="str">
        <f t="shared" si="629"/>
        <v/>
      </c>
      <c r="AA82" s="572" t="str">
        <f t="shared" si="630"/>
        <v/>
      </c>
      <c r="AB82" s="572" t="str">
        <f t="shared" si="631"/>
        <v/>
      </c>
      <c r="AC82" s="579" t="str">
        <f t="shared" si="101"/>
        <v/>
      </c>
      <c r="AD82" s="580" t="str">
        <f t="shared" si="137"/>
        <v/>
      </c>
      <c r="AE82" s="572" t="str">
        <f t="shared" si="102"/>
        <v/>
      </c>
      <c r="AF82" s="576" t="str">
        <f t="shared" si="103"/>
        <v/>
      </c>
      <c r="AG82" s="545" t="str">
        <f t="shared" si="104"/>
        <v/>
      </c>
      <c r="AH82" s="546" t="str">
        <f t="shared" si="105"/>
        <v/>
      </c>
      <c r="AI82" s="528" t="str">
        <f t="shared" si="106"/>
        <v/>
      </c>
      <c r="AJ82" s="529" t="str">
        <f t="shared" si="107"/>
        <v/>
      </c>
      <c r="AK82" s="578" t="str">
        <f t="shared" si="236"/>
        <v/>
      </c>
      <c r="AL82" s="572" t="str">
        <f t="shared" si="108"/>
        <v/>
      </c>
      <c r="AM82" s="577" t="str">
        <f t="shared" si="109"/>
        <v/>
      </c>
      <c r="AN82" s="524" t="str">
        <f t="shared" si="110"/>
        <v/>
      </c>
      <c r="AO82" s="525" t="str">
        <f t="shared" si="590"/>
        <v/>
      </c>
      <c r="AP82" s="528" t="str">
        <f t="shared" si="112"/>
        <v/>
      </c>
      <c r="AQ82" s="529" t="str">
        <f t="shared" si="632"/>
        <v/>
      </c>
      <c r="AS82" s="954" t="str">
        <f t="shared" si="737"/>
        <v/>
      </c>
      <c r="AT82" s="950" t="str">
        <f t="shared" si="633"/>
        <v/>
      </c>
      <c r="AU82" s="418"/>
      <c r="AV82" s="164" t="str">
        <f t="shared" si="634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5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6"/>
        <v/>
      </c>
      <c r="BF82" s="4" t="str">
        <f t="shared" si="637"/>
        <v/>
      </c>
      <c r="BG82" s="5" t="str">
        <f t="shared" si="638"/>
        <v/>
      </c>
      <c r="BH82" s="10" t="str">
        <f t="shared" si="639"/>
        <v/>
      </c>
      <c r="BI82" s="9" t="str">
        <f t="shared" si="739"/>
        <v/>
      </c>
      <c r="BJ82" s="5" t="str">
        <f t="shared" si="640"/>
        <v/>
      </c>
      <c r="BK82" s="8" t="str">
        <f t="shared" si="641"/>
        <v/>
      </c>
      <c r="BL82" s="173" t="str">
        <f t="shared" si="642"/>
        <v/>
      </c>
      <c r="BM82" s="5" t="str">
        <f t="shared" si="643"/>
        <v/>
      </c>
      <c r="BN82" s="6" t="str">
        <f t="shared" si="644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5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6"/>
        <v/>
      </c>
      <c r="ET82" s="5" t="str">
        <f t="shared" si="647"/>
        <v/>
      </c>
      <c r="EU82" s="10" t="str">
        <f t="shared" si="648"/>
        <v/>
      </c>
      <c r="EV82" s="174" t="str">
        <f t="shared" si="649"/>
        <v/>
      </c>
      <c r="EW82" s="9" t="str">
        <f t="shared" si="650"/>
        <v/>
      </c>
      <c r="EX82" s="5" t="str">
        <f t="shared" si="651"/>
        <v/>
      </c>
      <c r="EY82" s="6" t="str">
        <f t="shared" si="804"/>
        <v/>
      </c>
      <c r="EZ82" s="51" t="str">
        <f t="shared" si="805"/>
        <v/>
      </c>
      <c r="FA82" s="173" t="str">
        <f t="shared" si="652"/>
        <v/>
      </c>
      <c r="FB82" s="5" t="str">
        <f t="shared" si="653"/>
        <v/>
      </c>
      <c r="FC82" s="6" t="str">
        <f t="shared" si="654"/>
        <v/>
      </c>
      <c r="FD82" s="4" t="str">
        <f t="shared" si="655"/>
        <v/>
      </c>
      <c r="FE82" s="5" t="str">
        <f t="shared" si="656"/>
        <v/>
      </c>
      <c r="FF82" s="7" t="str">
        <f t="shared" si="806"/>
        <v/>
      </c>
      <c r="FG82" s="173" t="str">
        <f t="shared" si="657"/>
        <v/>
      </c>
      <c r="FH82" s="5" t="str">
        <f t="shared" si="658"/>
        <v/>
      </c>
      <c r="FI82" s="10" t="str">
        <f t="shared" si="659"/>
        <v/>
      </c>
      <c r="FJ82" s="279" t="str">
        <f t="shared" si="807"/>
        <v/>
      </c>
      <c r="FK82" s="4" t="str">
        <f t="shared" si="660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1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2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3"/>
        <v/>
      </c>
      <c r="GH82" s="286" t="str">
        <f t="shared" si="664"/>
        <v/>
      </c>
      <c r="GI82" s="281" t="str">
        <f t="shared" si="665"/>
        <v/>
      </c>
      <c r="GJ82" s="167" t="str">
        <f t="shared" si="823"/>
        <v/>
      </c>
      <c r="GK82" s="174" t="str">
        <f t="shared" si="666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7"/>
        <v/>
      </c>
      <c r="GT82" s="343" t="str">
        <f t="shared" si="668"/>
        <v/>
      </c>
      <c r="GU82" s="344" t="str">
        <f t="shared" si="669"/>
        <v/>
      </c>
      <c r="GV82" s="343" t="str">
        <f t="shared" si="831"/>
        <v/>
      </c>
      <c r="GW82" s="345" t="str">
        <f t="shared" si="670"/>
        <v/>
      </c>
      <c r="GX82" s="346" t="str">
        <f t="shared" si="671"/>
        <v/>
      </c>
      <c r="GY82" s="344" t="str">
        <f t="shared" si="672"/>
        <v/>
      </c>
      <c r="GZ82" s="345" t="str">
        <f t="shared" si="673"/>
        <v/>
      </c>
      <c r="HA82" s="342" t="str">
        <f t="shared" si="674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5"/>
        <v/>
      </c>
      <c r="HF82" s="5" t="str">
        <f t="shared" si="676"/>
        <v/>
      </c>
      <c r="HG82" s="343" t="str">
        <f t="shared" si="835"/>
        <v/>
      </c>
      <c r="HH82" s="349" t="str">
        <f t="shared" si="836"/>
        <v/>
      </c>
      <c r="HI82" s="317" t="str">
        <f t="shared" si="677"/>
        <v/>
      </c>
      <c r="HK82" s="310" t="str">
        <f t="shared" si="733"/>
        <v/>
      </c>
      <c r="HL82" s="348" t="str">
        <f t="shared" si="678"/>
        <v/>
      </c>
      <c r="HM82" s="923" t="str">
        <f t="shared" si="679"/>
        <v/>
      </c>
      <c r="HN82" s="924" t="str">
        <f t="shared" si="680"/>
        <v/>
      </c>
      <c r="HO82" s="925"/>
      <c r="HP82" s="926"/>
      <c r="HQ82" s="924" t="str">
        <f t="shared" si="681"/>
        <v/>
      </c>
      <c r="HR82" s="927" t="str">
        <f t="shared" si="682"/>
        <v/>
      </c>
      <c r="HS82" s="879" t="str">
        <f t="shared" si="734"/>
        <v/>
      </c>
      <c r="HT82" s="889" t="str">
        <f t="shared" si="683"/>
        <v/>
      </c>
      <c r="HU82" s="890" t="str">
        <f t="shared" si="684"/>
        <v/>
      </c>
      <c r="HV82" s="886" t="str">
        <f t="shared" si="685"/>
        <v/>
      </c>
      <c r="HW82" s="880" t="str">
        <f t="shared" si="686"/>
        <v/>
      </c>
      <c r="HX82" s="881" t="str">
        <f t="shared" si="687"/>
        <v/>
      </c>
      <c r="HY82" s="880" t="str">
        <f t="shared" si="688"/>
        <v/>
      </c>
      <c r="HZ82" s="882" t="str">
        <f t="shared" si="689"/>
        <v/>
      </c>
      <c r="IA82" s="883" t="str">
        <f t="shared" si="690"/>
        <v/>
      </c>
      <c r="IB82" s="884" t="str">
        <f t="shared" si="691"/>
        <v/>
      </c>
      <c r="IC82" s="855" t="str">
        <f t="shared" si="692"/>
        <v/>
      </c>
      <c r="ID82" s="351" t="str">
        <f t="shared" si="693"/>
        <v/>
      </c>
      <c r="IE82" s="857" t="str">
        <f t="shared" si="694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37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695"/>
        <v/>
      </c>
      <c r="IM82" s="482" t="str">
        <f t="shared" si="838"/>
        <v/>
      </c>
      <c r="IN82" s="670" t="str">
        <f t="shared" si="696"/>
        <v/>
      </c>
      <c r="IO82" s="702"/>
      <c r="IP82" s="5" t="str">
        <f t="shared" si="697"/>
        <v/>
      </c>
      <c r="IQ82" s="714"/>
      <c r="IR82" s="9" t="str">
        <f t="shared" si="698"/>
        <v/>
      </c>
      <c r="IS82" s="5" t="str">
        <f t="shared" si="699"/>
        <v/>
      </c>
      <c r="IT82" s="5" t="str">
        <f t="shared" si="700"/>
        <v/>
      </c>
      <c r="IU82" s="5" t="str">
        <f t="shared" si="701"/>
        <v/>
      </c>
      <c r="IV82" s="670" t="str">
        <f t="shared" si="702"/>
        <v/>
      </c>
      <c r="IW82" s="9" t="str">
        <f t="shared" si="703"/>
        <v/>
      </c>
      <c r="IX82" s="5" t="str">
        <f t="shared" si="704"/>
        <v/>
      </c>
      <c r="IY82" s="5" t="str">
        <f t="shared" si="705"/>
        <v/>
      </c>
      <c r="IZ82" s="5" t="str">
        <f t="shared" si="706"/>
        <v/>
      </c>
      <c r="JA82" s="705" t="str">
        <f t="shared" si="707"/>
        <v/>
      </c>
    </row>
    <row r="83" spans="1:261" ht="15" customHeight="1" x14ac:dyDescent="0.25">
      <c r="A83" s="75" t="str">
        <f t="shared" si="708"/>
        <v/>
      </c>
      <c r="B83" s="578" t="str">
        <f t="shared" ref="B83:D83" si="855">IFERROR(O238-($A83*E83),"")</f>
        <v/>
      </c>
      <c r="C83" s="572" t="str">
        <f t="shared" si="855"/>
        <v/>
      </c>
      <c r="D83" s="576" t="str">
        <f t="shared" si="855"/>
        <v/>
      </c>
      <c r="E83" s="580" t="str">
        <f t="shared" ref="E83:K83" si="856">R238</f>
        <v/>
      </c>
      <c r="F83" s="572" t="str">
        <f t="shared" si="856"/>
        <v/>
      </c>
      <c r="G83" s="579" t="str">
        <f t="shared" si="856"/>
        <v/>
      </c>
      <c r="H83" s="580" t="str">
        <f t="shared" si="856"/>
        <v/>
      </c>
      <c r="I83" s="572" t="str">
        <f t="shared" si="856"/>
        <v/>
      </c>
      <c r="J83" s="483" t="str">
        <f t="shared" si="711"/>
        <v/>
      </c>
      <c r="K83" s="806" t="str">
        <f t="shared" si="856"/>
        <v/>
      </c>
      <c r="L83" s="309"/>
      <c r="M83" s="164" t="str">
        <f t="shared" si="625"/>
        <v/>
      </c>
      <c r="N83" s="575" t="str">
        <f t="shared" si="626"/>
        <v/>
      </c>
      <c r="O83" s="572" t="str">
        <f t="shared" si="627"/>
        <v/>
      </c>
      <c r="P83" s="576" t="str">
        <f t="shared" si="628"/>
        <v/>
      </c>
      <c r="Q83" s="528" t="str">
        <f t="shared" si="712"/>
        <v/>
      </c>
      <c r="R83" s="572" t="str">
        <f t="shared" si="96"/>
        <v/>
      </c>
      <c r="S83" s="577" t="str">
        <f t="shared" si="97"/>
        <v/>
      </c>
      <c r="T83" s="578" t="str">
        <f t="shared" si="98"/>
        <v/>
      </c>
      <c r="U83" s="572" t="str">
        <f t="shared" si="99"/>
        <v/>
      </c>
      <c r="V83" s="579" t="str">
        <f t="shared" si="136"/>
        <v/>
      </c>
      <c r="W83" s="528" t="str">
        <f t="shared" si="848"/>
        <v/>
      </c>
      <c r="X83" s="572" t="str">
        <f t="shared" si="100"/>
        <v/>
      </c>
      <c r="Y83" s="573" t="str">
        <f t="shared" si="841"/>
        <v/>
      </c>
      <c r="Z83" s="575" t="str">
        <f t="shared" si="629"/>
        <v/>
      </c>
      <c r="AA83" s="572" t="str">
        <f t="shared" si="630"/>
        <v/>
      </c>
      <c r="AB83" s="572" t="str">
        <f t="shared" si="631"/>
        <v/>
      </c>
      <c r="AC83" s="579" t="str">
        <f t="shared" si="101"/>
        <v/>
      </c>
      <c r="AD83" s="580" t="str">
        <f t="shared" si="137"/>
        <v/>
      </c>
      <c r="AE83" s="572" t="str">
        <f t="shared" si="102"/>
        <v/>
      </c>
      <c r="AF83" s="576" t="str">
        <f t="shared" si="103"/>
        <v/>
      </c>
      <c r="AG83" s="545" t="str">
        <f t="shared" si="104"/>
        <v/>
      </c>
      <c r="AH83" s="546" t="str">
        <f t="shared" si="105"/>
        <v/>
      </c>
      <c r="AI83" s="528" t="str">
        <f t="shared" si="106"/>
        <v/>
      </c>
      <c r="AJ83" s="529" t="str">
        <f t="shared" si="107"/>
        <v/>
      </c>
      <c r="AK83" s="578" t="str">
        <f t="shared" si="236"/>
        <v/>
      </c>
      <c r="AL83" s="572" t="str">
        <f t="shared" si="108"/>
        <v/>
      </c>
      <c r="AM83" s="577" t="str">
        <f t="shared" si="109"/>
        <v/>
      </c>
      <c r="AN83" s="524" t="str">
        <f t="shared" si="110"/>
        <v/>
      </c>
      <c r="AO83" s="525" t="str">
        <f t="shared" si="590"/>
        <v/>
      </c>
      <c r="AP83" s="528" t="str">
        <f t="shared" si="112"/>
        <v/>
      </c>
      <c r="AQ83" s="529" t="str">
        <f t="shared" si="632"/>
        <v/>
      </c>
      <c r="AS83" s="954" t="str">
        <f t="shared" si="737"/>
        <v/>
      </c>
      <c r="AT83" s="950" t="str">
        <f t="shared" si="633"/>
        <v/>
      </c>
      <c r="AU83" s="418"/>
      <c r="AV83" s="164" t="str">
        <f t="shared" si="634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5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6"/>
        <v/>
      </c>
      <c r="BF83" s="4" t="str">
        <f t="shared" si="637"/>
        <v/>
      </c>
      <c r="BG83" s="5" t="str">
        <f t="shared" si="638"/>
        <v/>
      </c>
      <c r="BH83" s="10" t="str">
        <f t="shared" si="639"/>
        <v/>
      </c>
      <c r="BI83" s="9" t="str">
        <f t="shared" si="739"/>
        <v/>
      </c>
      <c r="BJ83" s="5" t="str">
        <f t="shared" si="640"/>
        <v/>
      </c>
      <c r="BK83" s="8" t="str">
        <f t="shared" si="641"/>
        <v/>
      </c>
      <c r="BL83" s="173" t="str">
        <f t="shared" si="642"/>
        <v/>
      </c>
      <c r="BM83" s="5" t="str">
        <f t="shared" si="643"/>
        <v/>
      </c>
      <c r="BN83" s="6" t="str">
        <f t="shared" si="644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5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6"/>
        <v/>
      </c>
      <c r="ET83" s="5" t="str">
        <f t="shared" si="647"/>
        <v/>
      </c>
      <c r="EU83" s="10" t="str">
        <f t="shared" si="648"/>
        <v/>
      </c>
      <c r="EV83" s="174" t="str">
        <f t="shared" si="649"/>
        <v/>
      </c>
      <c r="EW83" s="9" t="str">
        <f t="shared" si="650"/>
        <v/>
      </c>
      <c r="EX83" s="5" t="str">
        <f t="shared" si="651"/>
        <v/>
      </c>
      <c r="EY83" s="6" t="str">
        <f t="shared" si="804"/>
        <v/>
      </c>
      <c r="EZ83" s="51" t="str">
        <f t="shared" si="805"/>
        <v/>
      </c>
      <c r="FA83" s="173" t="str">
        <f t="shared" si="652"/>
        <v/>
      </c>
      <c r="FB83" s="5" t="str">
        <f t="shared" si="653"/>
        <v/>
      </c>
      <c r="FC83" s="6" t="str">
        <f t="shared" si="654"/>
        <v/>
      </c>
      <c r="FD83" s="4" t="str">
        <f t="shared" si="655"/>
        <v/>
      </c>
      <c r="FE83" s="5" t="str">
        <f t="shared" si="656"/>
        <v/>
      </c>
      <c r="FF83" s="7" t="str">
        <f t="shared" si="806"/>
        <v/>
      </c>
      <c r="FG83" s="173" t="str">
        <f t="shared" si="657"/>
        <v/>
      </c>
      <c r="FH83" s="5" t="str">
        <f t="shared" si="658"/>
        <v/>
      </c>
      <c r="FI83" s="10" t="str">
        <f t="shared" si="659"/>
        <v/>
      </c>
      <c r="FJ83" s="279" t="str">
        <f t="shared" si="807"/>
        <v/>
      </c>
      <c r="FK83" s="4" t="str">
        <f t="shared" si="660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1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2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3"/>
        <v/>
      </c>
      <c r="GH83" s="286" t="str">
        <f t="shared" si="664"/>
        <v/>
      </c>
      <c r="GI83" s="281" t="str">
        <f t="shared" si="665"/>
        <v/>
      </c>
      <c r="GJ83" s="167" t="str">
        <f t="shared" si="823"/>
        <v/>
      </c>
      <c r="GK83" s="174" t="str">
        <f t="shared" si="666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7"/>
        <v/>
      </c>
      <c r="GT83" s="343" t="str">
        <f t="shared" si="668"/>
        <v/>
      </c>
      <c r="GU83" s="344" t="str">
        <f t="shared" si="669"/>
        <v/>
      </c>
      <c r="GV83" s="343" t="str">
        <f t="shared" si="831"/>
        <v/>
      </c>
      <c r="GW83" s="345" t="str">
        <f t="shared" si="670"/>
        <v/>
      </c>
      <c r="GX83" s="346" t="str">
        <f t="shared" si="671"/>
        <v/>
      </c>
      <c r="GY83" s="344" t="str">
        <f t="shared" si="672"/>
        <v/>
      </c>
      <c r="GZ83" s="345" t="str">
        <f t="shared" si="673"/>
        <v/>
      </c>
      <c r="HA83" s="342" t="str">
        <f t="shared" si="674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5"/>
        <v/>
      </c>
      <c r="HF83" s="5" t="str">
        <f t="shared" si="676"/>
        <v/>
      </c>
      <c r="HG83" s="343" t="str">
        <f t="shared" si="835"/>
        <v/>
      </c>
      <c r="HH83" s="349" t="str">
        <f t="shared" si="836"/>
        <v/>
      </c>
      <c r="HI83" s="317" t="str">
        <f t="shared" si="677"/>
        <v/>
      </c>
      <c r="HK83" s="310" t="str">
        <f t="shared" si="733"/>
        <v/>
      </c>
      <c r="HL83" s="348" t="str">
        <f t="shared" si="678"/>
        <v/>
      </c>
      <c r="HM83" s="923" t="str">
        <f t="shared" si="679"/>
        <v/>
      </c>
      <c r="HN83" s="924" t="str">
        <f t="shared" si="680"/>
        <v/>
      </c>
      <c r="HO83" s="925"/>
      <c r="HP83" s="926"/>
      <c r="HQ83" s="924" t="str">
        <f t="shared" si="681"/>
        <v/>
      </c>
      <c r="HR83" s="927" t="str">
        <f t="shared" si="682"/>
        <v/>
      </c>
      <c r="HS83" s="879" t="str">
        <f t="shared" si="734"/>
        <v/>
      </c>
      <c r="HT83" s="889" t="str">
        <f t="shared" si="683"/>
        <v/>
      </c>
      <c r="HU83" s="890" t="str">
        <f t="shared" si="684"/>
        <v/>
      </c>
      <c r="HV83" s="886" t="str">
        <f t="shared" si="685"/>
        <v/>
      </c>
      <c r="HW83" s="880" t="str">
        <f t="shared" si="686"/>
        <v/>
      </c>
      <c r="HX83" s="881" t="str">
        <f t="shared" si="687"/>
        <v/>
      </c>
      <c r="HY83" s="880" t="str">
        <f t="shared" si="688"/>
        <v/>
      </c>
      <c r="HZ83" s="882" t="str">
        <f t="shared" si="689"/>
        <v/>
      </c>
      <c r="IA83" s="883" t="str">
        <f t="shared" si="690"/>
        <v/>
      </c>
      <c r="IB83" s="884" t="str">
        <f t="shared" si="691"/>
        <v/>
      </c>
      <c r="IC83" s="855" t="str">
        <f t="shared" si="692"/>
        <v/>
      </c>
      <c r="ID83" s="351" t="str">
        <f t="shared" si="693"/>
        <v/>
      </c>
      <c r="IE83" s="857" t="str">
        <f t="shared" si="694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37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695"/>
        <v/>
      </c>
      <c r="IM83" s="482" t="str">
        <f t="shared" si="838"/>
        <v/>
      </c>
      <c r="IN83" s="670" t="str">
        <f t="shared" si="696"/>
        <v/>
      </c>
      <c r="IO83" s="702"/>
      <c r="IP83" s="5" t="str">
        <f t="shared" si="697"/>
        <v/>
      </c>
      <c r="IQ83" s="714"/>
      <c r="IR83" s="9" t="str">
        <f t="shared" si="698"/>
        <v/>
      </c>
      <c r="IS83" s="5" t="str">
        <f t="shared" si="699"/>
        <v/>
      </c>
      <c r="IT83" s="5" t="str">
        <f t="shared" si="700"/>
        <v/>
      </c>
      <c r="IU83" s="5" t="str">
        <f t="shared" si="701"/>
        <v/>
      </c>
      <c r="IV83" s="670" t="str">
        <f t="shared" si="702"/>
        <v/>
      </c>
      <c r="IW83" s="9" t="str">
        <f t="shared" si="703"/>
        <v/>
      </c>
      <c r="IX83" s="5" t="str">
        <f t="shared" si="704"/>
        <v/>
      </c>
      <c r="IY83" s="5" t="str">
        <f t="shared" si="705"/>
        <v/>
      </c>
      <c r="IZ83" s="5" t="str">
        <f t="shared" si="706"/>
        <v/>
      </c>
      <c r="JA83" s="705" t="str">
        <f t="shared" si="707"/>
        <v/>
      </c>
    </row>
    <row r="84" spans="1:261" ht="15" customHeight="1" x14ac:dyDescent="0.25">
      <c r="A84" s="75" t="str">
        <f t="shared" si="708"/>
        <v/>
      </c>
      <c r="B84" s="578" t="str">
        <f t="shared" ref="B84:D84" si="857">IFERROR(O239-($A84*E84),"")</f>
        <v/>
      </c>
      <c r="C84" s="572" t="str">
        <f t="shared" si="857"/>
        <v/>
      </c>
      <c r="D84" s="576" t="str">
        <f t="shared" si="857"/>
        <v/>
      </c>
      <c r="E84" s="580" t="str">
        <f t="shared" ref="E84:K84" si="858">R239</f>
        <v/>
      </c>
      <c r="F84" s="572" t="str">
        <f t="shared" si="858"/>
        <v/>
      </c>
      <c r="G84" s="579" t="str">
        <f t="shared" si="858"/>
        <v/>
      </c>
      <c r="H84" s="580" t="str">
        <f t="shared" si="858"/>
        <v/>
      </c>
      <c r="I84" s="572" t="str">
        <f t="shared" si="858"/>
        <v/>
      </c>
      <c r="J84" s="483" t="str">
        <f t="shared" si="711"/>
        <v/>
      </c>
      <c r="K84" s="806" t="str">
        <f t="shared" si="858"/>
        <v/>
      </c>
      <c r="L84" s="309"/>
      <c r="M84" s="164" t="str">
        <f t="shared" si="625"/>
        <v/>
      </c>
      <c r="N84" s="575" t="str">
        <f t="shared" si="626"/>
        <v/>
      </c>
      <c r="O84" s="572" t="str">
        <f t="shared" si="627"/>
        <v/>
      </c>
      <c r="P84" s="576" t="str">
        <f t="shared" si="628"/>
        <v/>
      </c>
      <c r="Q84" s="528" t="str">
        <f t="shared" si="712"/>
        <v/>
      </c>
      <c r="R84" s="572" t="str">
        <f t="shared" si="96"/>
        <v/>
      </c>
      <c r="S84" s="577" t="str">
        <f t="shared" si="97"/>
        <v/>
      </c>
      <c r="T84" s="578" t="str">
        <f t="shared" si="98"/>
        <v/>
      </c>
      <c r="U84" s="572" t="str">
        <f t="shared" si="99"/>
        <v/>
      </c>
      <c r="V84" s="579" t="str">
        <f t="shared" si="136"/>
        <v/>
      </c>
      <c r="W84" s="528" t="str">
        <f t="shared" si="848"/>
        <v/>
      </c>
      <c r="X84" s="572" t="str">
        <f t="shared" si="100"/>
        <v/>
      </c>
      <c r="Y84" s="573" t="str">
        <f t="shared" si="841"/>
        <v/>
      </c>
      <c r="Z84" s="575" t="str">
        <f t="shared" si="629"/>
        <v/>
      </c>
      <c r="AA84" s="572" t="str">
        <f t="shared" si="630"/>
        <v/>
      </c>
      <c r="AB84" s="572" t="str">
        <f t="shared" si="631"/>
        <v/>
      </c>
      <c r="AC84" s="579" t="str">
        <f t="shared" si="101"/>
        <v/>
      </c>
      <c r="AD84" s="580" t="str">
        <f t="shared" si="137"/>
        <v/>
      </c>
      <c r="AE84" s="572" t="str">
        <f t="shared" si="102"/>
        <v/>
      </c>
      <c r="AF84" s="576" t="str">
        <f t="shared" si="103"/>
        <v/>
      </c>
      <c r="AG84" s="545" t="str">
        <f t="shared" si="104"/>
        <v/>
      </c>
      <c r="AH84" s="546" t="str">
        <f t="shared" si="105"/>
        <v/>
      </c>
      <c r="AI84" s="528" t="str">
        <f t="shared" si="106"/>
        <v/>
      </c>
      <c r="AJ84" s="529" t="str">
        <f t="shared" si="107"/>
        <v/>
      </c>
      <c r="AK84" s="578" t="str">
        <f t="shared" si="236"/>
        <v/>
      </c>
      <c r="AL84" s="572" t="str">
        <f t="shared" si="108"/>
        <v/>
      </c>
      <c r="AM84" s="577" t="str">
        <f t="shared" si="109"/>
        <v/>
      </c>
      <c r="AN84" s="524" t="str">
        <f t="shared" si="110"/>
        <v/>
      </c>
      <c r="AO84" s="525" t="str">
        <f t="shared" si="590"/>
        <v/>
      </c>
      <c r="AP84" s="528" t="str">
        <f t="shared" si="112"/>
        <v/>
      </c>
      <c r="AQ84" s="529" t="str">
        <f t="shared" si="632"/>
        <v/>
      </c>
      <c r="AS84" s="954" t="str">
        <f t="shared" si="737"/>
        <v/>
      </c>
      <c r="AT84" s="950" t="str">
        <f t="shared" si="633"/>
        <v/>
      </c>
      <c r="AU84" s="418"/>
      <c r="AV84" s="164" t="str">
        <f t="shared" si="634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5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6"/>
        <v/>
      </c>
      <c r="BF84" s="4" t="str">
        <f t="shared" si="637"/>
        <v/>
      </c>
      <c r="BG84" s="5" t="str">
        <f t="shared" si="638"/>
        <v/>
      </c>
      <c r="BH84" s="10" t="str">
        <f t="shared" si="639"/>
        <v/>
      </c>
      <c r="BI84" s="9" t="str">
        <f t="shared" si="739"/>
        <v/>
      </c>
      <c r="BJ84" s="5" t="str">
        <f t="shared" si="640"/>
        <v/>
      </c>
      <c r="BK84" s="8" t="str">
        <f t="shared" si="641"/>
        <v/>
      </c>
      <c r="BL84" s="173" t="str">
        <f t="shared" si="642"/>
        <v/>
      </c>
      <c r="BM84" s="5" t="str">
        <f t="shared" si="643"/>
        <v/>
      </c>
      <c r="BN84" s="6" t="str">
        <f t="shared" si="644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5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6"/>
        <v/>
      </c>
      <c r="ET84" s="5" t="str">
        <f t="shared" si="647"/>
        <v/>
      </c>
      <c r="EU84" s="10" t="str">
        <f t="shared" si="648"/>
        <v/>
      </c>
      <c r="EV84" s="174" t="str">
        <f t="shared" si="649"/>
        <v/>
      </c>
      <c r="EW84" s="9" t="str">
        <f t="shared" si="650"/>
        <v/>
      </c>
      <c r="EX84" s="5" t="str">
        <f t="shared" si="651"/>
        <v/>
      </c>
      <c r="EY84" s="6" t="str">
        <f t="shared" si="804"/>
        <v/>
      </c>
      <c r="EZ84" s="51" t="str">
        <f t="shared" si="805"/>
        <v/>
      </c>
      <c r="FA84" s="173" t="str">
        <f t="shared" si="652"/>
        <v/>
      </c>
      <c r="FB84" s="5" t="str">
        <f t="shared" si="653"/>
        <v/>
      </c>
      <c r="FC84" s="6" t="str">
        <f t="shared" si="654"/>
        <v/>
      </c>
      <c r="FD84" s="4" t="str">
        <f t="shared" si="655"/>
        <v/>
      </c>
      <c r="FE84" s="5" t="str">
        <f t="shared" si="656"/>
        <v/>
      </c>
      <c r="FF84" s="7" t="str">
        <f t="shared" si="806"/>
        <v/>
      </c>
      <c r="FG84" s="173" t="str">
        <f t="shared" si="657"/>
        <v/>
      </c>
      <c r="FH84" s="5" t="str">
        <f t="shared" si="658"/>
        <v/>
      </c>
      <c r="FI84" s="10" t="str">
        <f t="shared" si="659"/>
        <v/>
      </c>
      <c r="FJ84" s="279" t="str">
        <f t="shared" si="807"/>
        <v/>
      </c>
      <c r="FK84" s="4" t="str">
        <f t="shared" si="660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1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2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3"/>
        <v/>
      </c>
      <c r="GH84" s="286" t="str">
        <f t="shared" si="664"/>
        <v/>
      </c>
      <c r="GI84" s="281" t="str">
        <f t="shared" si="665"/>
        <v/>
      </c>
      <c r="GJ84" s="167" t="str">
        <f t="shared" si="823"/>
        <v/>
      </c>
      <c r="GK84" s="174" t="str">
        <f t="shared" si="666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7"/>
        <v/>
      </c>
      <c r="GT84" s="343" t="str">
        <f t="shared" si="668"/>
        <v/>
      </c>
      <c r="GU84" s="344" t="str">
        <f t="shared" si="669"/>
        <v/>
      </c>
      <c r="GV84" s="343" t="str">
        <f t="shared" si="831"/>
        <v/>
      </c>
      <c r="GW84" s="345" t="str">
        <f t="shared" si="670"/>
        <v/>
      </c>
      <c r="GX84" s="346" t="str">
        <f t="shared" si="671"/>
        <v/>
      </c>
      <c r="GY84" s="344" t="str">
        <f t="shared" si="672"/>
        <v/>
      </c>
      <c r="GZ84" s="345" t="str">
        <f t="shared" si="673"/>
        <v/>
      </c>
      <c r="HA84" s="342" t="str">
        <f t="shared" si="674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5"/>
        <v/>
      </c>
      <c r="HF84" s="5" t="str">
        <f t="shared" si="676"/>
        <v/>
      </c>
      <c r="HG84" s="343" t="str">
        <f t="shared" si="835"/>
        <v/>
      </c>
      <c r="HH84" s="349" t="str">
        <f t="shared" si="836"/>
        <v/>
      </c>
      <c r="HI84" s="317" t="str">
        <f t="shared" si="677"/>
        <v/>
      </c>
      <c r="HK84" s="310" t="str">
        <f t="shared" si="733"/>
        <v/>
      </c>
      <c r="HL84" s="348" t="str">
        <f t="shared" si="678"/>
        <v/>
      </c>
      <c r="HM84" s="923" t="str">
        <f t="shared" si="679"/>
        <v/>
      </c>
      <c r="HN84" s="924" t="str">
        <f t="shared" si="680"/>
        <v/>
      </c>
      <c r="HO84" s="925"/>
      <c r="HP84" s="926"/>
      <c r="HQ84" s="924" t="str">
        <f t="shared" si="681"/>
        <v/>
      </c>
      <c r="HR84" s="927" t="str">
        <f t="shared" si="682"/>
        <v/>
      </c>
      <c r="HS84" s="879" t="str">
        <f t="shared" si="734"/>
        <v/>
      </c>
      <c r="HT84" s="889" t="str">
        <f t="shared" si="683"/>
        <v/>
      </c>
      <c r="HU84" s="890" t="str">
        <f t="shared" si="684"/>
        <v/>
      </c>
      <c r="HV84" s="886" t="str">
        <f t="shared" si="685"/>
        <v/>
      </c>
      <c r="HW84" s="880" t="str">
        <f t="shared" si="686"/>
        <v/>
      </c>
      <c r="HX84" s="881" t="str">
        <f t="shared" si="687"/>
        <v/>
      </c>
      <c r="HY84" s="880" t="str">
        <f t="shared" si="688"/>
        <v/>
      </c>
      <c r="HZ84" s="882" t="str">
        <f t="shared" si="689"/>
        <v/>
      </c>
      <c r="IA84" s="883" t="str">
        <f t="shared" si="690"/>
        <v/>
      </c>
      <c r="IB84" s="884" t="str">
        <f t="shared" si="691"/>
        <v/>
      </c>
      <c r="IC84" s="855" t="str">
        <f t="shared" si="692"/>
        <v/>
      </c>
      <c r="ID84" s="351" t="str">
        <f t="shared" si="693"/>
        <v/>
      </c>
      <c r="IE84" s="857" t="str">
        <f t="shared" si="694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37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695"/>
        <v/>
      </c>
      <c r="IM84" s="482" t="str">
        <f t="shared" si="838"/>
        <v/>
      </c>
      <c r="IN84" s="670" t="str">
        <f t="shared" si="696"/>
        <v/>
      </c>
      <c r="IO84" s="702"/>
      <c r="IP84" s="5" t="str">
        <f t="shared" si="697"/>
        <v/>
      </c>
      <c r="IQ84" s="714"/>
      <c r="IR84" s="9" t="str">
        <f t="shared" si="698"/>
        <v/>
      </c>
      <c r="IS84" s="5" t="str">
        <f t="shared" si="699"/>
        <v/>
      </c>
      <c r="IT84" s="5" t="str">
        <f t="shared" si="700"/>
        <v/>
      </c>
      <c r="IU84" s="5" t="str">
        <f t="shared" si="701"/>
        <v/>
      </c>
      <c r="IV84" s="670" t="str">
        <f t="shared" si="702"/>
        <v/>
      </c>
      <c r="IW84" s="9" t="str">
        <f t="shared" si="703"/>
        <v/>
      </c>
      <c r="IX84" s="5" t="str">
        <f t="shared" si="704"/>
        <v/>
      </c>
      <c r="IY84" s="5" t="str">
        <f t="shared" si="705"/>
        <v/>
      </c>
      <c r="IZ84" s="5" t="str">
        <f t="shared" si="706"/>
        <v/>
      </c>
      <c r="JA84" s="705" t="str">
        <f t="shared" si="707"/>
        <v/>
      </c>
    </row>
    <row r="85" spans="1:261" ht="15" customHeight="1" x14ac:dyDescent="0.25">
      <c r="A85" s="75" t="str">
        <f t="shared" si="708"/>
        <v/>
      </c>
      <c r="B85" s="578" t="str">
        <f t="shared" ref="B85:D85" si="859">IFERROR(O240-($A85*E85),"")</f>
        <v/>
      </c>
      <c r="C85" s="572" t="str">
        <f t="shared" si="859"/>
        <v/>
      </c>
      <c r="D85" s="576" t="str">
        <f t="shared" si="859"/>
        <v/>
      </c>
      <c r="E85" s="580" t="str">
        <f t="shared" ref="E85:K85" si="860">R240</f>
        <v/>
      </c>
      <c r="F85" s="572" t="str">
        <f t="shared" si="860"/>
        <v/>
      </c>
      <c r="G85" s="579" t="str">
        <f t="shared" si="860"/>
        <v/>
      </c>
      <c r="H85" s="580" t="str">
        <f t="shared" si="860"/>
        <v/>
      </c>
      <c r="I85" s="572" t="str">
        <f t="shared" si="860"/>
        <v/>
      </c>
      <c r="J85" s="483" t="str">
        <f t="shared" si="711"/>
        <v/>
      </c>
      <c r="K85" s="806" t="str">
        <f t="shared" si="860"/>
        <v/>
      </c>
      <c r="L85" s="309"/>
      <c r="M85" s="164" t="str">
        <f t="shared" si="625"/>
        <v/>
      </c>
      <c r="N85" s="575" t="str">
        <f t="shared" si="626"/>
        <v/>
      </c>
      <c r="O85" s="572" t="str">
        <f t="shared" si="627"/>
        <v/>
      </c>
      <c r="P85" s="576" t="str">
        <f t="shared" si="628"/>
        <v/>
      </c>
      <c r="Q85" s="528" t="str">
        <f t="shared" si="712"/>
        <v/>
      </c>
      <c r="R85" s="572" t="str">
        <f t="shared" si="96"/>
        <v/>
      </c>
      <c r="S85" s="577" t="str">
        <f t="shared" si="97"/>
        <v/>
      </c>
      <c r="T85" s="578" t="str">
        <f t="shared" si="98"/>
        <v/>
      </c>
      <c r="U85" s="572" t="str">
        <f t="shared" si="99"/>
        <v/>
      </c>
      <c r="V85" s="579" t="str">
        <f t="shared" si="136"/>
        <v/>
      </c>
      <c r="W85" s="528" t="str">
        <f t="shared" si="848"/>
        <v/>
      </c>
      <c r="X85" s="572" t="str">
        <f t="shared" si="100"/>
        <v/>
      </c>
      <c r="Y85" s="573" t="str">
        <f t="shared" si="841"/>
        <v/>
      </c>
      <c r="Z85" s="575" t="str">
        <f t="shared" si="629"/>
        <v/>
      </c>
      <c r="AA85" s="572" t="str">
        <f t="shared" si="630"/>
        <v/>
      </c>
      <c r="AB85" s="572" t="str">
        <f t="shared" si="631"/>
        <v/>
      </c>
      <c r="AC85" s="579" t="str">
        <f t="shared" si="101"/>
        <v/>
      </c>
      <c r="AD85" s="580" t="str">
        <f t="shared" si="137"/>
        <v/>
      </c>
      <c r="AE85" s="572" t="str">
        <f t="shared" si="102"/>
        <v/>
      </c>
      <c r="AF85" s="576" t="str">
        <f t="shared" si="103"/>
        <v/>
      </c>
      <c r="AG85" s="545" t="str">
        <f t="shared" si="104"/>
        <v/>
      </c>
      <c r="AH85" s="546" t="str">
        <f t="shared" si="105"/>
        <v/>
      </c>
      <c r="AI85" s="528" t="str">
        <f t="shared" si="106"/>
        <v/>
      </c>
      <c r="AJ85" s="529" t="str">
        <f t="shared" si="107"/>
        <v/>
      </c>
      <c r="AK85" s="578" t="str">
        <f t="shared" si="236"/>
        <v/>
      </c>
      <c r="AL85" s="572" t="str">
        <f t="shared" si="108"/>
        <v/>
      </c>
      <c r="AM85" s="577" t="str">
        <f t="shared" si="109"/>
        <v/>
      </c>
      <c r="AN85" s="524" t="str">
        <f t="shared" si="110"/>
        <v/>
      </c>
      <c r="AO85" s="525" t="str">
        <f t="shared" si="590"/>
        <v/>
      </c>
      <c r="AP85" s="528" t="str">
        <f t="shared" si="112"/>
        <v/>
      </c>
      <c r="AQ85" s="529" t="str">
        <f t="shared" si="632"/>
        <v/>
      </c>
      <c r="AS85" s="954" t="str">
        <f t="shared" si="737"/>
        <v/>
      </c>
      <c r="AT85" s="950" t="str">
        <f t="shared" si="633"/>
        <v/>
      </c>
      <c r="AU85" s="418"/>
      <c r="AV85" s="164" t="str">
        <f t="shared" si="634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5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6"/>
        <v/>
      </c>
      <c r="BF85" s="4" t="str">
        <f t="shared" si="637"/>
        <v/>
      </c>
      <c r="BG85" s="5" t="str">
        <f t="shared" si="638"/>
        <v/>
      </c>
      <c r="BH85" s="10" t="str">
        <f t="shared" si="639"/>
        <v/>
      </c>
      <c r="BI85" s="9" t="str">
        <f t="shared" si="739"/>
        <v/>
      </c>
      <c r="BJ85" s="5" t="str">
        <f t="shared" si="640"/>
        <v/>
      </c>
      <c r="BK85" s="8" t="str">
        <f t="shared" si="641"/>
        <v/>
      </c>
      <c r="BL85" s="173" t="str">
        <f t="shared" si="642"/>
        <v/>
      </c>
      <c r="BM85" s="5" t="str">
        <f t="shared" si="643"/>
        <v/>
      </c>
      <c r="BN85" s="6" t="str">
        <f t="shared" si="644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5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6"/>
        <v/>
      </c>
      <c r="ET85" s="5" t="str">
        <f t="shared" si="647"/>
        <v/>
      </c>
      <c r="EU85" s="10" t="str">
        <f t="shared" si="648"/>
        <v/>
      </c>
      <c r="EV85" s="174" t="str">
        <f t="shared" si="649"/>
        <v/>
      </c>
      <c r="EW85" s="9" t="str">
        <f t="shared" si="650"/>
        <v/>
      </c>
      <c r="EX85" s="5" t="str">
        <f t="shared" si="651"/>
        <v/>
      </c>
      <c r="EY85" s="6" t="str">
        <f t="shared" si="804"/>
        <v/>
      </c>
      <c r="EZ85" s="51" t="str">
        <f t="shared" si="805"/>
        <v/>
      </c>
      <c r="FA85" s="173" t="str">
        <f t="shared" si="652"/>
        <v/>
      </c>
      <c r="FB85" s="5" t="str">
        <f t="shared" si="653"/>
        <v/>
      </c>
      <c r="FC85" s="6" t="str">
        <f t="shared" si="654"/>
        <v/>
      </c>
      <c r="FD85" s="4" t="str">
        <f t="shared" si="655"/>
        <v/>
      </c>
      <c r="FE85" s="5" t="str">
        <f t="shared" si="656"/>
        <v/>
      </c>
      <c r="FF85" s="7" t="str">
        <f t="shared" si="806"/>
        <v/>
      </c>
      <c r="FG85" s="173" t="str">
        <f t="shared" si="657"/>
        <v/>
      </c>
      <c r="FH85" s="5" t="str">
        <f t="shared" si="658"/>
        <v/>
      </c>
      <c r="FI85" s="10" t="str">
        <f t="shared" si="659"/>
        <v/>
      </c>
      <c r="FJ85" s="279" t="str">
        <f t="shared" si="807"/>
        <v/>
      </c>
      <c r="FK85" s="4" t="str">
        <f t="shared" si="660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1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2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3"/>
        <v/>
      </c>
      <c r="GH85" s="286" t="str">
        <f t="shared" si="664"/>
        <v/>
      </c>
      <c r="GI85" s="281" t="str">
        <f t="shared" si="665"/>
        <v/>
      </c>
      <c r="GJ85" s="167" t="str">
        <f t="shared" si="823"/>
        <v/>
      </c>
      <c r="GK85" s="174" t="str">
        <f t="shared" si="666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7"/>
        <v/>
      </c>
      <c r="GT85" s="343" t="str">
        <f t="shared" si="668"/>
        <v/>
      </c>
      <c r="GU85" s="344" t="str">
        <f t="shared" si="669"/>
        <v/>
      </c>
      <c r="GV85" s="343" t="str">
        <f t="shared" si="831"/>
        <v/>
      </c>
      <c r="GW85" s="345" t="str">
        <f t="shared" si="670"/>
        <v/>
      </c>
      <c r="GX85" s="346" t="str">
        <f t="shared" si="671"/>
        <v/>
      </c>
      <c r="GY85" s="344" t="str">
        <f t="shared" si="672"/>
        <v/>
      </c>
      <c r="GZ85" s="345" t="str">
        <f t="shared" si="673"/>
        <v/>
      </c>
      <c r="HA85" s="342" t="str">
        <f t="shared" si="674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5"/>
        <v/>
      </c>
      <c r="HF85" s="5" t="str">
        <f t="shared" si="676"/>
        <v/>
      </c>
      <c r="HG85" s="343" t="str">
        <f t="shared" si="835"/>
        <v/>
      </c>
      <c r="HH85" s="349" t="str">
        <f t="shared" si="836"/>
        <v/>
      </c>
      <c r="HI85" s="317" t="str">
        <f t="shared" si="677"/>
        <v/>
      </c>
      <c r="HK85" s="310" t="str">
        <f t="shared" si="733"/>
        <v/>
      </c>
      <c r="HL85" s="348" t="str">
        <f t="shared" si="678"/>
        <v/>
      </c>
      <c r="HM85" s="923" t="str">
        <f t="shared" si="679"/>
        <v/>
      </c>
      <c r="HN85" s="924" t="str">
        <f t="shared" si="680"/>
        <v/>
      </c>
      <c r="HO85" s="925"/>
      <c r="HP85" s="926"/>
      <c r="HQ85" s="924" t="str">
        <f t="shared" si="681"/>
        <v/>
      </c>
      <c r="HR85" s="927" t="str">
        <f t="shared" si="682"/>
        <v/>
      </c>
      <c r="HS85" s="879" t="str">
        <f t="shared" si="734"/>
        <v/>
      </c>
      <c r="HT85" s="889" t="str">
        <f t="shared" si="683"/>
        <v/>
      </c>
      <c r="HU85" s="890" t="str">
        <f t="shared" si="684"/>
        <v/>
      </c>
      <c r="HV85" s="886" t="str">
        <f t="shared" si="685"/>
        <v/>
      </c>
      <c r="HW85" s="880" t="str">
        <f t="shared" si="686"/>
        <v/>
      </c>
      <c r="HX85" s="881" t="str">
        <f t="shared" si="687"/>
        <v/>
      </c>
      <c r="HY85" s="880" t="str">
        <f t="shared" si="688"/>
        <v/>
      </c>
      <c r="HZ85" s="882" t="str">
        <f t="shared" si="689"/>
        <v/>
      </c>
      <c r="IA85" s="883" t="str">
        <f t="shared" si="690"/>
        <v/>
      </c>
      <c r="IB85" s="884" t="str">
        <f t="shared" si="691"/>
        <v/>
      </c>
      <c r="IC85" s="855" t="str">
        <f t="shared" si="692"/>
        <v/>
      </c>
      <c r="ID85" s="351" t="str">
        <f t="shared" si="693"/>
        <v/>
      </c>
      <c r="IE85" s="857" t="str">
        <f t="shared" si="694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37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695"/>
        <v/>
      </c>
      <c r="IM85" s="482" t="str">
        <f t="shared" si="838"/>
        <v/>
      </c>
      <c r="IN85" s="670" t="str">
        <f t="shared" si="696"/>
        <v/>
      </c>
      <c r="IO85" s="702"/>
      <c r="IP85" s="5" t="str">
        <f t="shared" si="697"/>
        <v/>
      </c>
      <c r="IQ85" s="714"/>
      <c r="IR85" s="9" t="str">
        <f t="shared" si="698"/>
        <v/>
      </c>
      <c r="IS85" s="5" t="str">
        <f t="shared" si="699"/>
        <v/>
      </c>
      <c r="IT85" s="5" t="str">
        <f t="shared" si="700"/>
        <v/>
      </c>
      <c r="IU85" s="5" t="str">
        <f t="shared" si="701"/>
        <v/>
      </c>
      <c r="IV85" s="670" t="str">
        <f t="shared" si="702"/>
        <v/>
      </c>
      <c r="IW85" s="9" t="str">
        <f t="shared" si="703"/>
        <v/>
      </c>
      <c r="IX85" s="5" t="str">
        <f t="shared" si="704"/>
        <v/>
      </c>
      <c r="IY85" s="5" t="str">
        <f t="shared" si="705"/>
        <v/>
      </c>
      <c r="IZ85" s="5" t="str">
        <f t="shared" si="706"/>
        <v/>
      </c>
      <c r="JA85" s="705" t="str">
        <f t="shared" si="707"/>
        <v/>
      </c>
    </row>
    <row r="86" spans="1:261" ht="15" customHeight="1" x14ac:dyDescent="0.25">
      <c r="A86" s="75" t="str">
        <f t="shared" si="708"/>
        <v/>
      </c>
      <c r="B86" s="578" t="str">
        <f>IFERROR(O241-($A86*E86),"")</f>
        <v/>
      </c>
      <c r="C86" s="572" t="str">
        <f t="shared" ref="C86:D86" si="861">IFERROR(P241-($A86*F86),"")</f>
        <v/>
      </c>
      <c r="D86" s="576" t="str">
        <f t="shared" si="861"/>
        <v/>
      </c>
      <c r="E86" s="580" t="str">
        <f t="shared" ref="E86:K86" si="862">R241</f>
        <v/>
      </c>
      <c r="F86" s="572" t="str">
        <f t="shared" si="862"/>
        <v/>
      </c>
      <c r="G86" s="579" t="str">
        <f t="shared" si="862"/>
        <v/>
      </c>
      <c r="H86" s="580" t="str">
        <f t="shared" si="862"/>
        <v/>
      </c>
      <c r="I86" s="572" t="str">
        <f t="shared" si="862"/>
        <v/>
      </c>
      <c r="J86" s="483" t="str">
        <f t="shared" si="711"/>
        <v/>
      </c>
      <c r="K86" s="806" t="str">
        <f t="shared" si="862"/>
        <v/>
      </c>
      <c r="L86" s="309"/>
      <c r="M86" s="164" t="str">
        <f t="shared" si="625"/>
        <v/>
      </c>
      <c r="N86" s="575" t="str">
        <f t="shared" si="626"/>
        <v/>
      </c>
      <c r="O86" s="572" t="str">
        <f t="shared" si="627"/>
        <v/>
      </c>
      <c r="P86" s="576" t="str">
        <f t="shared" si="628"/>
        <v/>
      </c>
      <c r="Q86" s="528" t="str">
        <f t="shared" si="712"/>
        <v/>
      </c>
      <c r="R86" s="572" t="str">
        <f t="shared" si="96"/>
        <v/>
      </c>
      <c r="S86" s="577" t="str">
        <f t="shared" si="97"/>
        <v/>
      </c>
      <c r="T86" s="578" t="str">
        <f t="shared" si="98"/>
        <v/>
      </c>
      <c r="U86" s="572" t="str">
        <f t="shared" si="99"/>
        <v/>
      </c>
      <c r="V86" s="579" t="str">
        <f t="shared" si="136"/>
        <v/>
      </c>
      <c r="W86" s="528" t="str">
        <f t="shared" si="848"/>
        <v/>
      </c>
      <c r="X86" s="572" t="str">
        <f t="shared" si="100"/>
        <v/>
      </c>
      <c r="Y86" s="573" t="str">
        <f t="shared" si="841"/>
        <v/>
      </c>
      <c r="Z86" s="575" t="str">
        <f t="shared" si="629"/>
        <v/>
      </c>
      <c r="AA86" s="572" t="str">
        <f t="shared" si="630"/>
        <v/>
      </c>
      <c r="AB86" s="572" t="str">
        <f t="shared" si="631"/>
        <v/>
      </c>
      <c r="AC86" s="579" t="str">
        <f t="shared" si="101"/>
        <v/>
      </c>
      <c r="AD86" s="580" t="str">
        <f t="shared" si="137"/>
        <v/>
      </c>
      <c r="AE86" s="572" t="str">
        <f t="shared" si="102"/>
        <v/>
      </c>
      <c r="AF86" s="576" t="str">
        <f t="shared" si="103"/>
        <v/>
      </c>
      <c r="AG86" s="545" t="str">
        <f t="shared" si="104"/>
        <v/>
      </c>
      <c r="AH86" s="546" t="str">
        <f t="shared" si="105"/>
        <v/>
      </c>
      <c r="AI86" s="528" t="str">
        <f t="shared" si="106"/>
        <v/>
      </c>
      <c r="AJ86" s="529" t="str">
        <f t="shared" si="107"/>
        <v/>
      </c>
      <c r="AK86" s="578" t="str">
        <f t="shared" si="236"/>
        <v/>
      </c>
      <c r="AL86" s="572" t="str">
        <f t="shared" si="108"/>
        <v/>
      </c>
      <c r="AM86" s="577" t="str">
        <f t="shared" si="109"/>
        <v/>
      </c>
      <c r="AN86" s="524" t="str">
        <f t="shared" si="110"/>
        <v/>
      </c>
      <c r="AO86" s="525" t="str">
        <f t="shared" si="590"/>
        <v/>
      </c>
      <c r="AP86" s="528" t="str">
        <f t="shared" si="112"/>
        <v/>
      </c>
      <c r="AQ86" s="529" t="str">
        <f t="shared" si="632"/>
        <v/>
      </c>
      <c r="AS86" s="954" t="str">
        <f t="shared" si="737"/>
        <v/>
      </c>
      <c r="AT86" s="950" t="str">
        <f t="shared" si="633"/>
        <v/>
      </c>
      <c r="AU86" s="418"/>
      <c r="AV86" s="164" t="str">
        <f t="shared" si="634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5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6"/>
        <v/>
      </c>
      <c r="BF86" s="4" t="str">
        <f t="shared" si="637"/>
        <v/>
      </c>
      <c r="BG86" s="5" t="str">
        <f t="shared" si="638"/>
        <v/>
      </c>
      <c r="BH86" s="10" t="str">
        <f t="shared" si="639"/>
        <v/>
      </c>
      <c r="BI86" s="9" t="str">
        <f t="shared" si="739"/>
        <v/>
      </c>
      <c r="BJ86" s="5" t="str">
        <f t="shared" si="640"/>
        <v/>
      </c>
      <c r="BK86" s="8" t="str">
        <f t="shared" si="641"/>
        <v/>
      </c>
      <c r="BL86" s="173" t="str">
        <f t="shared" si="642"/>
        <v/>
      </c>
      <c r="BM86" s="5" t="str">
        <f t="shared" si="643"/>
        <v/>
      </c>
      <c r="BN86" s="6" t="str">
        <f t="shared" si="644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5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6"/>
        <v/>
      </c>
      <c r="ET86" s="5" t="str">
        <f t="shared" si="647"/>
        <v/>
      </c>
      <c r="EU86" s="10" t="str">
        <f t="shared" si="648"/>
        <v/>
      </c>
      <c r="EV86" s="174" t="str">
        <f t="shared" si="649"/>
        <v/>
      </c>
      <c r="EW86" s="9" t="str">
        <f t="shared" si="650"/>
        <v/>
      </c>
      <c r="EX86" s="5" t="str">
        <f t="shared" si="651"/>
        <v/>
      </c>
      <c r="EY86" s="6" t="str">
        <f t="shared" si="804"/>
        <v/>
      </c>
      <c r="EZ86" s="51" t="str">
        <f t="shared" si="805"/>
        <v/>
      </c>
      <c r="FA86" s="173" t="str">
        <f t="shared" si="652"/>
        <v/>
      </c>
      <c r="FB86" s="5" t="str">
        <f t="shared" si="653"/>
        <v/>
      </c>
      <c r="FC86" s="6" t="str">
        <f t="shared" si="654"/>
        <v/>
      </c>
      <c r="FD86" s="4" t="str">
        <f t="shared" si="655"/>
        <v/>
      </c>
      <c r="FE86" s="5" t="str">
        <f t="shared" si="656"/>
        <v/>
      </c>
      <c r="FF86" s="7" t="str">
        <f t="shared" si="806"/>
        <v/>
      </c>
      <c r="FG86" s="173" t="str">
        <f t="shared" si="657"/>
        <v/>
      </c>
      <c r="FH86" s="5" t="str">
        <f t="shared" si="658"/>
        <v/>
      </c>
      <c r="FI86" s="10" t="str">
        <f t="shared" si="659"/>
        <v/>
      </c>
      <c r="FJ86" s="279" t="str">
        <f t="shared" si="807"/>
        <v/>
      </c>
      <c r="FK86" s="4" t="str">
        <f t="shared" si="660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1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2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3"/>
        <v/>
      </c>
      <c r="GH86" s="286" t="str">
        <f t="shared" si="664"/>
        <v/>
      </c>
      <c r="GI86" s="281" t="str">
        <f t="shared" si="665"/>
        <v/>
      </c>
      <c r="GJ86" s="167" t="str">
        <f t="shared" si="823"/>
        <v/>
      </c>
      <c r="GK86" s="174" t="str">
        <f t="shared" si="666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7"/>
        <v/>
      </c>
      <c r="GT86" s="343" t="str">
        <f t="shared" si="668"/>
        <v/>
      </c>
      <c r="GU86" s="344" t="str">
        <f t="shared" si="669"/>
        <v/>
      </c>
      <c r="GV86" s="343" t="str">
        <f t="shared" si="831"/>
        <v/>
      </c>
      <c r="GW86" s="345" t="str">
        <f t="shared" si="670"/>
        <v/>
      </c>
      <c r="GX86" s="346" t="str">
        <f t="shared" si="671"/>
        <v/>
      </c>
      <c r="GY86" s="344" t="str">
        <f t="shared" si="672"/>
        <v/>
      </c>
      <c r="GZ86" s="345" t="str">
        <f t="shared" si="673"/>
        <v/>
      </c>
      <c r="HA86" s="342" t="str">
        <f t="shared" si="674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5"/>
        <v/>
      </c>
      <c r="HF86" s="5" t="str">
        <f t="shared" si="676"/>
        <v/>
      </c>
      <c r="HG86" s="343" t="str">
        <f t="shared" si="835"/>
        <v/>
      </c>
      <c r="HH86" s="349" t="str">
        <f t="shared" si="836"/>
        <v/>
      </c>
      <c r="HI86" s="317" t="str">
        <f t="shared" si="677"/>
        <v/>
      </c>
      <c r="HK86" s="310" t="str">
        <f t="shared" si="733"/>
        <v/>
      </c>
      <c r="HL86" s="348" t="str">
        <f t="shared" si="678"/>
        <v/>
      </c>
      <c r="HM86" s="923" t="str">
        <f t="shared" si="679"/>
        <v/>
      </c>
      <c r="HN86" s="924" t="str">
        <f t="shared" si="680"/>
        <v/>
      </c>
      <c r="HO86" s="925"/>
      <c r="HP86" s="926"/>
      <c r="HQ86" s="924" t="str">
        <f t="shared" si="681"/>
        <v/>
      </c>
      <c r="HR86" s="927" t="str">
        <f t="shared" si="682"/>
        <v/>
      </c>
      <c r="HS86" s="879" t="str">
        <f t="shared" si="734"/>
        <v/>
      </c>
      <c r="HT86" s="889" t="str">
        <f t="shared" si="683"/>
        <v/>
      </c>
      <c r="HU86" s="890" t="str">
        <f t="shared" si="684"/>
        <v/>
      </c>
      <c r="HV86" s="886" t="str">
        <f t="shared" si="685"/>
        <v/>
      </c>
      <c r="HW86" s="880" t="str">
        <f t="shared" si="686"/>
        <v/>
      </c>
      <c r="HX86" s="881" t="str">
        <f t="shared" si="687"/>
        <v/>
      </c>
      <c r="HY86" s="880" t="str">
        <f t="shared" si="688"/>
        <v/>
      </c>
      <c r="HZ86" s="882" t="str">
        <f t="shared" si="689"/>
        <v/>
      </c>
      <c r="IA86" s="883" t="str">
        <f t="shared" si="690"/>
        <v/>
      </c>
      <c r="IB86" s="884" t="str">
        <f t="shared" si="691"/>
        <v/>
      </c>
      <c r="IC86" s="855" t="str">
        <f t="shared" si="692"/>
        <v/>
      </c>
      <c r="ID86" s="351" t="str">
        <f t="shared" si="693"/>
        <v/>
      </c>
      <c r="IE86" s="857" t="str">
        <f t="shared" si="694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37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695"/>
        <v/>
      </c>
      <c r="IM86" s="482" t="str">
        <f t="shared" si="838"/>
        <v/>
      </c>
      <c r="IN86" s="670" t="str">
        <f t="shared" si="696"/>
        <v/>
      </c>
      <c r="IO86" s="702"/>
      <c r="IP86" s="5" t="str">
        <f t="shared" si="697"/>
        <v/>
      </c>
      <c r="IQ86" s="714"/>
      <c r="IR86" s="9" t="str">
        <f t="shared" si="698"/>
        <v/>
      </c>
      <c r="IS86" s="5" t="str">
        <f t="shared" si="699"/>
        <v/>
      </c>
      <c r="IT86" s="5" t="str">
        <f t="shared" si="700"/>
        <v/>
      </c>
      <c r="IU86" s="5" t="str">
        <f t="shared" si="701"/>
        <v/>
      </c>
      <c r="IV86" s="670" t="str">
        <f t="shared" si="702"/>
        <v/>
      </c>
      <c r="IW86" s="9" t="str">
        <f t="shared" si="703"/>
        <v/>
      </c>
      <c r="IX86" s="5" t="str">
        <f t="shared" si="704"/>
        <v/>
      </c>
      <c r="IY86" s="5" t="str">
        <f t="shared" si="705"/>
        <v/>
      </c>
      <c r="IZ86" s="5" t="str">
        <f t="shared" si="706"/>
        <v/>
      </c>
      <c r="JA86" s="705" t="str">
        <f t="shared" si="707"/>
        <v/>
      </c>
    </row>
    <row r="87" spans="1:261" ht="15" customHeight="1" x14ac:dyDescent="0.25">
      <c r="A87" s="75" t="str">
        <f t="shared" si="708"/>
        <v/>
      </c>
      <c r="B87" s="578" t="str">
        <f t="shared" ref="B87:D87" si="863">IFERROR(O242-($A87*E87),"")</f>
        <v/>
      </c>
      <c r="C87" s="572" t="str">
        <f t="shared" si="863"/>
        <v/>
      </c>
      <c r="D87" s="576" t="str">
        <f t="shared" si="863"/>
        <v/>
      </c>
      <c r="E87" s="580" t="str">
        <f t="shared" ref="E87:K87" si="864">R242</f>
        <v/>
      </c>
      <c r="F87" s="572" t="str">
        <f t="shared" si="864"/>
        <v/>
      </c>
      <c r="G87" s="579" t="str">
        <f t="shared" si="864"/>
        <v/>
      </c>
      <c r="H87" s="580" t="str">
        <f t="shared" si="864"/>
        <v/>
      </c>
      <c r="I87" s="572" t="str">
        <f t="shared" si="864"/>
        <v/>
      </c>
      <c r="J87" s="483" t="str">
        <f t="shared" si="711"/>
        <v/>
      </c>
      <c r="K87" s="806" t="str">
        <f t="shared" si="864"/>
        <v/>
      </c>
      <c r="L87" s="309"/>
      <c r="M87" s="164" t="str">
        <f t="shared" si="625"/>
        <v/>
      </c>
      <c r="N87" s="575" t="str">
        <f t="shared" si="626"/>
        <v/>
      </c>
      <c r="O87" s="572" t="str">
        <f t="shared" si="627"/>
        <v/>
      </c>
      <c r="P87" s="576" t="str">
        <f t="shared" si="628"/>
        <v/>
      </c>
      <c r="Q87" s="528" t="str">
        <f t="shared" si="712"/>
        <v/>
      </c>
      <c r="R87" s="572" t="str">
        <f t="shared" si="96"/>
        <v/>
      </c>
      <c r="S87" s="577" t="str">
        <f t="shared" si="97"/>
        <v/>
      </c>
      <c r="T87" s="578" t="str">
        <f t="shared" si="98"/>
        <v/>
      </c>
      <c r="U87" s="572" t="str">
        <f t="shared" si="99"/>
        <v/>
      </c>
      <c r="V87" s="579" t="str">
        <f t="shared" si="136"/>
        <v/>
      </c>
      <c r="W87" s="528" t="str">
        <f t="shared" si="848"/>
        <v/>
      </c>
      <c r="X87" s="572" t="str">
        <f t="shared" si="100"/>
        <v/>
      </c>
      <c r="Y87" s="573" t="str">
        <f t="shared" si="841"/>
        <v/>
      </c>
      <c r="Z87" s="575" t="str">
        <f t="shared" si="629"/>
        <v/>
      </c>
      <c r="AA87" s="572" t="str">
        <f t="shared" si="630"/>
        <v/>
      </c>
      <c r="AB87" s="572" t="str">
        <f t="shared" si="631"/>
        <v/>
      </c>
      <c r="AC87" s="579" t="str">
        <f t="shared" si="101"/>
        <v/>
      </c>
      <c r="AD87" s="580" t="str">
        <f t="shared" si="137"/>
        <v/>
      </c>
      <c r="AE87" s="572" t="str">
        <f t="shared" si="102"/>
        <v/>
      </c>
      <c r="AF87" s="576" t="str">
        <f t="shared" si="103"/>
        <v/>
      </c>
      <c r="AG87" s="545" t="str">
        <f t="shared" si="104"/>
        <v/>
      </c>
      <c r="AH87" s="546" t="str">
        <f t="shared" si="105"/>
        <v/>
      </c>
      <c r="AI87" s="528" t="str">
        <f t="shared" si="106"/>
        <v/>
      </c>
      <c r="AJ87" s="529" t="str">
        <f t="shared" si="107"/>
        <v/>
      </c>
      <c r="AK87" s="578" t="str">
        <f t="shared" si="236"/>
        <v/>
      </c>
      <c r="AL87" s="572" t="str">
        <f t="shared" si="108"/>
        <v/>
      </c>
      <c r="AM87" s="577" t="str">
        <f t="shared" si="109"/>
        <v/>
      </c>
      <c r="AN87" s="524" t="str">
        <f t="shared" si="110"/>
        <v/>
      </c>
      <c r="AO87" s="525" t="str">
        <f t="shared" si="590"/>
        <v/>
      </c>
      <c r="AP87" s="528" t="str">
        <f t="shared" si="112"/>
        <v/>
      </c>
      <c r="AQ87" s="529" t="str">
        <f t="shared" si="632"/>
        <v/>
      </c>
      <c r="AS87" s="954" t="str">
        <f t="shared" si="737"/>
        <v/>
      </c>
      <c r="AT87" s="950" t="str">
        <f t="shared" si="633"/>
        <v/>
      </c>
      <c r="AU87" s="418"/>
      <c r="AV87" s="164" t="str">
        <f t="shared" si="634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5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6"/>
        <v/>
      </c>
      <c r="BF87" s="4" t="str">
        <f t="shared" si="637"/>
        <v/>
      </c>
      <c r="BG87" s="5" t="str">
        <f t="shared" si="638"/>
        <v/>
      </c>
      <c r="BH87" s="10" t="str">
        <f t="shared" si="639"/>
        <v/>
      </c>
      <c r="BI87" s="9" t="str">
        <f t="shared" si="739"/>
        <v/>
      </c>
      <c r="BJ87" s="5" t="str">
        <f t="shared" si="640"/>
        <v/>
      </c>
      <c r="BK87" s="8" t="str">
        <f t="shared" si="641"/>
        <v/>
      </c>
      <c r="BL87" s="173" t="str">
        <f t="shared" si="642"/>
        <v/>
      </c>
      <c r="BM87" s="5" t="str">
        <f t="shared" si="643"/>
        <v/>
      </c>
      <c r="BN87" s="6" t="str">
        <f t="shared" si="644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5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6"/>
        <v/>
      </c>
      <c r="ET87" s="5" t="str">
        <f t="shared" si="647"/>
        <v/>
      </c>
      <c r="EU87" s="10" t="str">
        <f t="shared" si="648"/>
        <v/>
      </c>
      <c r="EV87" s="174" t="str">
        <f t="shared" si="649"/>
        <v/>
      </c>
      <c r="EW87" s="9" t="str">
        <f t="shared" si="650"/>
        <v/>
      </c>
      <c r="EX87" s="5" t="str">
        <f t="shared" si="651"/>
        <v/>
      </c>
      <c r="EY87" s="6" t="str">
        <f t="shared" si="804"/>
        <v/>
      </c>
      <c r="EZ87" s="51" t="str">
        <f t="shared" si="805"/>
        <v/>
      </c>
      <c r="FA87" s="173" t="str">
        <f t="shared" si="652"/>
        <v/>
      </c>
      <c r="FB87" s="5" t="str">
        <f t="shared" si="653"/>
        <v/>
      </c>
      <c r="FC87" s="6" t="str">
        <f t="shared" si="654"/>
        <v/>
      </c>
      <c r="FD87" s="4" t="str">
        <f t="shared" si="655"/>
        <v/>
      </c>
      <c r="FE87" s="5" t="str">
        <f t="shared" si="656"/>
        <v/>
      </c>
      <c r="FF87" s="7" t="str">
        <f t="shared" si="806"/>
        <v/>
      </c>
      <c r="FG87" s="173" t="str">
        <f t="shared" si="657"/>
        <v/>
      </c>
      <c r="FH87" s="5" t="str">
        <f t="shared" si="658"/>
        <v/>
      </c>
      <c r="FI87" s="10" t="str">
        <f t="shared" si="659"/>
        <v/>
      </c>
      <c r="FJ87" s="279" t="str">
        <f t="shared" si="807"/>
        <v/>
      </c>
      <c r="FK87" s="4" t="str">
        <f t="shared" si="660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1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2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3"/>
        <v/>
      </c>
      <c r="GH87" s="286" t="str">
        <f t="shared" si="664"/>
        <v/>
      </c>
      <c r="GI87" s="281" t="str">
        <f t="shared" si="665"/>
        <v/>
      </c>
      <c r="GJ87" s="167" t="str">
        <f t="shared" si="823"/>
        <v/>
      </c>
      <c r="GK87" s="174" t="str">
        <f t="shared" si="666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7"/>
        <v/>
      </c>
      <c r="GT87" s="343" t="str">
        <f t="shared" si="668"/>
        <v/>
      </c>
      <c r="GU87" s="344" t="str">
        <f t="shared" si="669"/>
        <v/>
      </c>
      <c r="GV87" s="343" t="str">
        <f t="shared" si="831"/>
        <v/>
      </c>
      <c r="GW87" s="345" t="str">
        <f t="shared" si="670"/>
        <v/>
      </c>
      <c r="GX87" s="346" t="str">
        <f t="shared" si="671"/>
        <v/>
      </c>
      <c r="GY87" s="344" t="str">
        <f t="shared" si="672"/>
        <v/>
      </c>
      <c r="GZ87" s="345" t="str">
        <f t="shared" si="673"/>
        <v/>
      </c>
      <c r="HA87" s="342" t="str">
        <f t="shared" si="674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5"/>
        <v/>
      </c>
      <c r="HF87" s="5" t="str">
        <f t="shared" si="676"/>
        <v/>
      </c>
      <c r="HG87" s="343" t="str">
        <f t="shared" si="835"/>
        <v/>
      </c>
      <c r="HH87" s="349" t="str">
        <f t="shared" si="836"/>
        <v/>
      </c>
      <c r="HI87" s="317" t="str">
        <f t="shared" si="677"/>
        <v/>
      </c>
      <c r="HK87" s="310" t="str">
        <f t="shared" si="733"/>
        <v/>
      </c>
      <c r="HL87" s="348" t="str">
        <f t="shared" si="678"/>
        <v/>
      </c>
      <c r="HM87" s="923" t="str">
        <f t="shared" si="679"/>
        <v/>
      </c>
      <c r="HN87" s="924" t="str">
        <f t="shared" si="680"/>
        <v/>
      </c>
      <c r="HO87" s="925"/>
      <c r="HP87" s="926"/>
      <c r="HQ87" s="924" t="str">
        <f t="shared" si="681"/>
        <v/>
      </c>
      <c r="HR87" s="927" t="str">
        <f t="shared" si="682"/>
        <v/>
      </c>
      <c r="HS87" s="879" t="str">
        <f t="shared" si="734"/>
        <v/>
      </c>
      <c r="HT87" s="889" t="str">
        <f t="shared" si="683"/>
        <v/>
      </c>
      <c r="HU87" s="890" t="str">
        <f t="shared" si="684"/>
        <v/>
      </c>
      <c r="HV87" s="886" t="str">
        <f t="shared" si="685"/>
        <v/>
      </c>
      <c r="HW87" s="880" t="str">
        <f t="shared" si="686"/>
        <v/>
      </c>
      <c r="HX87" s="881" t="str">
        <f t="shared" si="687"/>
        <v/>
      </c>
      <c r="HY87" s="880" t="str">
        <f t="shared" si="688"/>
        <v/>
      </c>
      <c r="HZ87" s="882" t="str">
        <f t="shared" si="689"/>
        <v/>
      </c>
      <c r="IA87" s="883" t="str">
        <f t="shared" si="690"/>
        <v/>
      </c>
      <c r="IB87" s="884" t="str">
        <f t="shared" si="691"/>
        <v/>
      </c>
      <c r="IC87" s="855" t="str">
        <f t="shared" si="692"/>
        <v/>
      </c>
      <c r="ID87" s="351" t="str">
        <f t="shared" si="693"/>
        <v/>
      </c>
      <c r="IE87" s="857" t="str">
        <f t="shared" si="694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37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695"/>
        <v/>
      </c>
      <c r="IM87" s="482" t="str">
        <f t="shared" si="838"/>
        <v/>
      </c>
      <c r="IN87" s="670" t="str">
        <f t="shared" si="696"/>
        <v/>
      </c>
      <c r="IO87" s="702"/>
      <c r="IP87" s="5" t="str">
        <f t="shared" si="697"/>
        <v/>
      </c>
      <c r="IQ87" s="714"/>
      <c r="IR87" s="9" t="str">
        <f t="shared" si="698"/>
        <v/>
      </c>
      <c r="IS87" s="5" t="str">
        <f t="shared" si="699"/>
        <v/>
      </c>
      <c r="IT87" s="5" t="str">
        <f t="shared" si="700"/>
        <v/>
      </c>
      <c r="IU87" s="5" t="str">
        <f t="shared" si="701"/>
        <v/>
      </c>
      <c r="IV87" s="670" t="str">
        <f t="shared" si="702"/>
        <v/>
      </c>
      <c r="IW87" s="9" t="str">
        <f t="shared" si="703"/>
        <v/>
      </c>
      <c r="IX87" s="5" t="str">
        <f t="shared" si="704"/>
        <v/>
      </c>
      <c r="IY87" s="5" t="str">
        <f t="shared" si="705"/>
        <v/>
      </c>
      <c r="IZ87" s="5" t="str">
        <f t="shared" si="706"/>
        <v/>
      </c>
      <c r="JA87" s="705" t="str">
        <f t="shared" si="707"/>
        <v/>
      </c>
    </row>
    <row r="88" spans="1:261" ht="15" customHeight="1" x14ac:dyDescent="0.25">
      <c r="A88" s="75" t="str">
        <f t="shared" si="708"/>
        <v/>
      </c>
      <c r="B88" s="578" t="str">
        <f t="shared" ref="B88:D88" si="865">IFERROR(O243-($A88*E88),"")</f>
        <v/>
      </c>
      <c r="C88" s="572" t="str">
        <f t="shared" si="865"/>
        <v/>
      </c>
      <c r="D88" s="576" t="str">
        <f t="shared" si="865"/>
        <v/>
      </c>
      <c r="E88" s="580" t="str">
        <f t="shared" ref="E88:K88" si="866">R243</f>
        <v/>
      </c>
      <c r="F88" s="572" t="str">
        <f t="shared" si="866"/>
        <v/>
      </c>
      <c r="G88" s="579" t="str">
        <f t="shared" si="866"/>
        <v/>
      </c>
      <c r="H88" s="580" t="str">
        <f t="shared" si="866"/>
        <v/>
      </c>
      <c r="I88" s="572" t="str">
        <f t="shared" si="866"/>
        <v/>
      </c>
      <c r="J88" s="483" t="str">
        <f t="shared" si="711"/>
        <v/>
      </c>
      <c r="K88" s="806" t="str">
        <f t="shared" si="866"/>
        <v/>
      </c>
      <c r="L88" s="309"/>
      <c r="M88" s="164" t="str">
        <f t="shared" si="625"/>
        <v/>
      </c>
      <c r="N88" s="575" t="str">
        <f t="shared" si="626"/>
        <v/>
      </c>
      <c r="O88" s="572" t="str">
        <f t="shared" si="627"/>
        <v/>
      </c>
      <c r="P88" s="576" t="str">
        <f t="shared" si="628"/>
        <v/>
      </c>
      <c r="Q88" s="528" t="str">
        <f t="shared" si="712"/>
        <v/>
      </c>
      <c r="R88" s="572" t="str">
        <f t="shared" si="96"/>
        <v/>
      </c>
      <c r="S88" s="577" t="str">
        <f t="shared" si="97"/>
        <v/>
      </c>
      <c r="T88" s="578" t="str">
        <f t="shared" si="98"/>
        <v/>
      </c>
      <c r="U88" s="572" t="str">
        <f t="shared" si="99"/>
        <v/>
      </c>
      <c r="V88" s="579" t="str">
        <f t="shared" si="136"/>
        <v/>
      </c>
      <c r="W88" s="528" t="str">
        <f t="shared" si="848"/>
        <v/>
      </c>
      <c r="X88" s="572" t="str">
        <f t="shared" si="100"/>
        <v/>
      </c>
      <c r="Y88" s="573" t="str">
        <f t="shared" si="841"/>
        <v/>
      </c>
      <c r="Z88" s="575" t="str">
        <f t="shared" si="629"/>
        <v/>
      </c>
      <c r="AA88" s="572" t="str">
        <f t="shared" si="630"/>
        <v/>
      </c>
      <c r="AB88" s="572" t="str">
        <f t="shared" si="631"/>
        <v/>
      </c>
      <c r="AC88" s="579" t="str">
        <f t="shared" si="101"/>
        <v/>
      </c>
      <c r="AD88" s="580" t="str">
        <f t="shared" si="137"/>
        <v/>
      </c>
      <c r="AE88" s="572" t="str">
        <f t="shared" si="102"/>
        <v/>
      </c>
      <c r="AF88" s="576" t="str">
        <f t="shared" si="103"/>
        <v/>
      </c>
      <c r="AG88" s="545" t="str">
        <f t="shared" si="104"/>
        <v/>
      </c>
      <c r="AH88" s="546" t="str">
        <f t="shared" si="105"/>
        <v/>
      </c>
      <c r="AI88" s="528" t="str">
        <f t="shared" si="106"/>
        <v/>
      </c>
      <c r="AJ88" s="529" t="str">
        <f t="shared" si="107"/>
        <v/>
      </c>
      <c r="AK88" s="578" t="str">
        <f t="shared" si="236"/>
        <v/>
      </c>
      <c r="AL88" s="572" t="str">
        <f t="shared" si="108"/>
        <v/>
      </c>
      <c r="AM88" s="577" t="str">
        <f t="shared" si="109"/>
        <v/>
      </c>
      <c r="AN88" s="524" t="str">
        <f t="shared" si="110"/>
        <v/>
      </c>
      <c r="AO88" s="525" t="str">
        <f t="shared" si="590"/>
        <v/>
      </c>
      <c r="AP88" s="528" t="str">
        <f t="shared" si="112"/>
        <v/>
      </c>
      <c r="AQ88" s="529" t="str">
        <f t="shared" si="632"/>
        <v/>
      </c>
      <c r="AS88" s="954" t="str">
        <f t="shared" si="737"/>
        <v/>
      </c>
      <c r="AT88" s="950" t="str">
        <f t="shared" si="633"/>
        <v/>
      </c>
      <c r="AU88" s="418"/>
      <c r="AV88" s="164" t="str">
        <f t="shared" si="634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5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6"/>
        <v/>
      </c>
      <c r="BF88" s="4" t="str">
        <f t="shared" si="637"/>
        <v/>
      </c>
      <c r="BG88" s="5" t="str">
        <f t="shared" si="638"/>
        <v/>
      </c>
      <c r="BH88" s="10" t="str">
        <f t="shared" si="639"/>
        <v/>
      </c>
      <c r="BI88" s="9" t="str">
        <f t="shared" si="739"/>
        <v/>
      </c>
      <c r="BJ88" s="5" t="str">
        <f t="shared" si="640"/>
        <v/>
      </c>
      <c r="BK88" s="8" t="str">
        <f t="shared" si="641"/>
        <v/>
      </c>
      <c r="BL88" s="173" t="str">
        <f t="shared" si="642"/>
        <v/>
      </c>
      <c r="BM88" s="5" t="str">
        <f t="shared" si="643"/>
        <v/>
      </c>
      <c r="BN88" s="6" t="str">
        <f t="shared" si="644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5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6"/>
        <v/>
      </c>
      <c r="ET88" s="5" t="str">
        <f t="shared" si="647"/>
        <v/>
      </c>
      <c r="EU88" s="10" t="str">
        <f t="shared" si="648"/>
        <v/>
      </c>
      <c r="EV88" s="174" t="str">
        <f t="shared" si="649"/>
        <v/>
      </c>
      <c r="EW88" s="9" t="str">
        <f t="shared" si="650"/>
        <v/>
      </c>
      <c r="EX88" s="5" t="str">
        <f t="shared" si="651"/>
        <v/>
      </c>
      <c r="EY88" s="6" t="str">
        <f t="shared" si="804"/>
        <v/>
      </c>
      <c r="EZ88" s="51" t="str">
        <f t="shared" si="805"/>
        <v/>
      </c>
      <c r="FA88" s="173" t="str">
        <f t="shared" si="652"/>
        <v/>
      </c>
      <c r="FB88" s="5" t="str">
        <f t="shared" si="653"/>
        <v/>
      </c>
      <c r="FC88" s="6" t="str">
        <f t="shared" si="654"/>
        <v/>
      </c>
      <c r="FD88" s="4" t="str">
        <f t="shared" si="655"/>
        <v/>
      </c>
      <c r="FE88" s="5" t="str">
        <f t="shared" si="656"/>
        <v/>
      </c>
      <c r="FF88" s="7" t="str">
        <f t="shared" si="806"/>
        <v/>
      </c>
      <c r="FG88" s="173" t="str">
        <f t="shared" si="657"/>
        <v/>
      </c>
      <c r="FH88" s="5" t="str">
        <f t="shared" si="658"/>
        <v/>
      </c>
      <c r="FI88" s="10" t="str">
        <f t="shared" si="659"/>
        <v/>
      </c>
      <c r="FJ88" s="279" t="str">
        <f t="shared" si="807"/>
        <v/>
      </c>
      <c r="FK88" s="4" t="str">
        <f t="shared" si="660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1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2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3"/>
        <v/>
      </c>
      <c r="GH88" s="286" t="str">
        <f t="shared" si="664"/>
        <v/>
      </c>
      <c r="GI88" s="281" t="str">
        <f t="shared" si="665"/>
        <v/>
      </c>
      <c r="GJ88" s="167" t="str">
        <f t="shared" si="823"/>
        <v/>
      </c>
      <c r="GK88" s="174" t="str">
        <f t="shared" si="666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7"/>
        <v/>
      </c>
      <c r="GT88" s="343" t="str">
        <f t="shared" si="668"/>
        <v/>
      </c>
      <c r="GU88" s="344" t="str">
        <f t="shared" si="669"/>
        <v/>
      </c>
      <c r="GV88" s="343" t="str">
        <f t="shared" si="831"/>
        <v/>
      </c>
      <c r="GW88" s="345" t="str">
        <f t="shared" si="670"/>
        <v/>
      </c>
      <c r="GX88" s="346" t="str">
        <f t="shared" si="671"/>
        <v/>
      </c>
      <c r="GY88" s="344" t="str">
        <f t="shared" si="672"/>
        <v/>
      </c>
      <c r="GZ88" s="345" t="str">
        <f t="shared" si="673"/>
        <v/>
      </c>
      <c r="HA88" s="342" t="str">
        <f t="shared" si="674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5"/>
        <v/>
      </c>
      <c r="HF88" s="5" t="str">
        <f t="shared" si="676"/>
        <v/>
      </c>
      <c r="HG88" s="343" t="str">
        <f t="shared" si="835"/>
        <v/>
      </c>
      <c r="HH88" s="349" t="str">
        <f t="shared" si="836"/>
        <v/>
      </c>
      <c r="HI88" s="317" t="str">
        <f t="shared" si="677"/>
        <v/>
      </c>
      <c r="HK88" s="310" t="str">
        <f t="shared" si="733"/>
        <v/>
      </c>
      <c r="HL88" s="348" t="str">
        <f t="shared" si="678"/>
        <v/>
      </c>
      <c r="HM88" s="923" t="str">
        <f t="shared" si="679"/>
        <v/>
      </c>
      <c r="HN88" s="924" t="str">
        <f t="shared" si="680"/>
        <v/>
      </c>
      <c r="HO88" s="925"/>
      <c r="HP88" s="926"/>
      <c r="HQ88" s="924" t="str">
        <f t="shared" si="681"/>
        <v/>
      </c>
      <c r="HR88" s="927" t="str">
        <f t="shared" si="682"/>
        <v/>
      </c>
      <c r="HS88" s="879" t="str">
        <f t="shared" si="734"/>
        <v/>
      </c>
      <c r="HT88" s="889" t="str">
        <f t="shared" si="683"/>
        <v/>
      </c>
      <c r="HU88" s="890" t="str">
        <f t="shared" si="684"/>
        <v/>
      </c>
      <c r="HV88" s="886" t="str">
        <f t="shared" si="685"/>
        <v/>
      </c>
      <c r="HW88" s="880" t="str">
        <f t="shared" si="686"/>
        <v/>
      </c>
      <c r="HX88" s="881" t="str">
        <f t="shared" si="687"/>
        <v/>
      </c>
      <c r="HY88" s="880" t="str">
        <f t="shared" si="688"/>
        <v/>
      </c>
      <c r="HZ88" s="882" t="str">
        <f t="shared" si="689"/>
        <v/>
      </c>
      <c r="IA88" s="883" t="str">
        <f t="shared" si="690"/>
        <v/>
      </c>
      <c r="IB88" s="884" t="str">
        <f t="shared" si="691"/>
        <v/>
      </c>
      <c r="IC88" s="855" t="str">
        <f t="shared" si="692"/>
        <v/>
      </c>
      <c r="ID88" s="351" t="str">
        <f t="shared" si="693"/>
        <v/>
      </c>
      <c r="IE88" s="857" t="str">
        <f t="shared" si="694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37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695"/>
        <v/>
      </c>
      <c r="IM88" s="482" t="str">
        <f t="shared" si="838"/>
        <v/>
      </c>
      <c r="IN88" s="670" t="str">
        <f t="shared" si="696"/>
        <v/>
      </c>
      <c r="IO88" s="702"/>
      <c r="IP88" s="5" t="str">
        <f t="shared" si="697"/>
        <v/>
      </c>
      <c r="IQ88" s="714"/>
      <c r="IR88" s="9" t="str">
        <f t="shared" si="698"/>
        <v/>
      </c>
      <c r="IS88" s="5" t="str">
        <f t="shared" si="699"/>
        <v/>
      </c>
      <c r="IT88" s="5" t="str">
        <f t="shared" si="700"/>
        <v/>
      </c>
      <c r="IU88" s="5" t="str">
        <f t="shared" si="701"/>
        <v/>
      </c>
      <c r="IV88" s="670" t="str">
        <f t="shared" si="702"/>
        <v/>
      </c>
      <c r="IW88" s="9" t="str">
        <f t="shared" si="703"/>
        <v/>
      </c>
      <c r="IX88" s="5" t="str">
        <f t="shared" si="704"/>
        <v/>
      </c>
      <c r="IY88" s="5" t="str">
        <f t="shared" si="705"/>
        <v/>
      </c>
      <c r="IZ88" s="5" t="str">
        <f t="shared" si="706"/>
        <v/>
      </c>
      <c r="JA88" s="705" t="str">
        <f t="shared" si="707"/>
        <v/>
      </c>
    </row>
    <row r="89" spans="1:261" ht="15" customHeight="1" x14ac:dyDescent="0.25">
      <c r="A89" s="75" t="str">
        <f t="shared" si="708"/>
        <v/>
      </c>
      <c r="B89" s="578" t="str">
        <f t="shared" ref="B89:D89" si="867">IFERROR(O244-($A89*E89),"")</f>
        <v/>
      </c>
      <c r="C89" s="572" t="str">
        <f t="shared" si="867"/>
        <v/>
      </c>
      <c r="D89" s="576" t="str">
        <f t="shared" si="867"/>
        <v/>
      </c>
      <c r="E89" s="580" t="str">
        <f t="shared" ref="E89:K89" si="868">R244</f>
        <v/>
      </c>
      <c r="F89" s="572" t="str">
        <f t="shared" si="868"/>
        <v/>
      </c>
      <c r="G89" s="579" t="str">
        <f t="shared" si="868"/>
        <v/>
      </c>
      <c r="H89" s="580" t="str">
        <f t="shared" si="868"/>
        <v/>
      </c>
      <c r="I89" s="572" t="str">
        <f t="shared" si="868"/>
        <v/>
      </c>
      <c r="J89" s="483" t="str">
        <f t="shared" si="711"/>
        <v/>
      </c>
      <c r="K89" s="806" t="str">
        <f t="shared" si="868"/>
        <v/>
      </c>
      <c r="L89" s="309"/>
      <c r="M89" s="164" t="str">
        <f t="shared" si="625"/>
        <v/>
      </c>
      <c r="N89" s="575" t="str">
        <f t="shared" si="626"/>
        <v/>
      </c>
      <c r="O89" s="572" t="str">
        <f t="shared" si="627"/>
        <v/>
      </c>
      <c r="P89" s="576" t="str">
        <f t="shared" si="628"/>
        <v/>
      </c>
      <c r="Q89" s="528" t="str">
        <f t="shared" si="712"/>
        <v/>
      </c>
      <c r="R89" s="572" t="str">
        <f t="shared" si="96"/>
        <v/>
      </c>
      <c r="S89" s="577" t="str">
        <f t="shared" si="97"/>
        <v/>
      </c>
      <c r="T89" s="578" t="str">
        <f t="shared" si="98"/>
        <v/>
      </c>
      <c r="U89" s="572" t="str">
        <f t="shared" si="99"/>
        <v/>
      </c>
      <c r="V89" s="579" t="str">
        <f t="shared" si="136"/>
        <v/>
      </c>
      <c r="W89" s="528" t="str">
        <f t="shared" si="848"/>
        <v/>
      </c>
      <c r="X89" s="572" t="str">
        <f t="shared" si="100"/>
        <v/>
      </c>
      <c r="Y89" s="573" t="str">
        <f t="shared" si="841"/>
        <v/>
      </c>
      <c r="Z89" s="575" t="str">
        <f t="shared" si="629"/>
        <v/>
      </c>
      <c r="AA89" s="572" t="str">
        <f t="shared" si="630"/>
        <v/>
      </c>
      <c r="AB89" s="572" t="str">
        <f t="shared" si="631"/>
        <v/>
      </c>
      <c r="AC89" s="579" t="str">
        <f t="shared" si="101"/>
        <v/>
      </c>
      <c r="AD89" s="580" t="str">
        <f t="shared" si="137"/>
        <v/>
      </c>
      <c r="AE89" s="572" t="str">
        <f t="shared" si="102"/>
        <v/>
      </c>
      <c r="AF89" s="576" t="str">
        <f t="shared" si="103"/>
        <v/>
      </c>
      <c r="AG89" s="545" t="str">
        <f t="shared" si="104"/>
        <v/>
      </c>
      <c r="AH89" s="546" t="str">
        <f t="shared" si="105"/>
        <v/>
      </c>
      <c r="AI89" s="528" t="str">
        <f t="shared" si="106"/>
        <v/>
      </c>
      <c r="AJ89" s="529" t="str">
        <f t="shared" si="107"/>
        <v/>
      </c>
      <c r="AK89" s="578" t="str">
        <f t="shared" si="236"/>
        <v/>
      </c>
      <c r="AL89" s="572" t="str">
        <f t="shared" si="108"/>
        <v/>
      </c>
      <c r="AM89" s="577" t="str">
        <f t="shared" si="109"/>
        <v/>
      </c>
      <c r="AN89" s="524" t="str">
        <f t="shared" si="110"/>
        <v/>
      </c>
      <c r="AO89" s="525" t="str">
        <f t="shared" si="590"/>
        <v/>
      </c>
      <c r="AP89" s="528" t="str">
        <f t="shared" si="112"/>
        <v/>
      </c>
      <c r="AQ89" s="529" t="str">
        <f t="shared" si="632"/>
        <v/>
      </c>
      <c r="AS89" s="954" t="str">
        <f t="shared" si="737"/>
        <v/>
      </c>
      <c r="AT89" s="950" t="str">
        <f t="shared" si="633"/>
        <v/>
      </c>
      <c r="AU89" s="418"/>
      <c r="AV89" s="164" t="str">
        <f t="shared" si="634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5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6"/>
        <v/>
      </c>
      <c r="BF89" s="4" t="str">
        <f t="shared" si="637"/>
        <v/>
      </c>
      <c r="BG89" s="5" t="str">
        <f t="shared" si="638"/>
        <v/>
      </c>
      <c r="BH89" s="10" t="str">
        <f t="shared" si="639"/>
        <v/>
      </c>
      <c r="BI89" s="9" t="str">
        <f t="shared" si="739"/>
        <v/>
      </c>
      <c r="BJ89" s="5" t="str">
        <f t="shared" si="640"/>
        <v/>
      </c>
      <c r="BK89" s="8" t="str">
        <f t="shared" si="641"/>
        <v/>
      </c>
      <c r="BL89" s="173" t="str">
        <f t="shared" si="642"/>
        <v/>
      </c>
      <c r="BM89" s="5" t="str">
        <f t="shared" si="643"/>
        <v/>
      </c>
      <c r="BN89" s="6" t="str">
        <f t="shared" si="644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5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6"/>
        <v/>
      </c>
      <c r="ET89" s="5" t="str">
        <f t="shared" si="647"/>
        <v/>
      </c>
      <c r="EU89" s="10" t="str">
        <f t="shared" si="648"/>
        <v/>
      </c>
      <c r="EV89" s="174" t="str">
        <f t="shared" si="649"/>
        <v/>
      </c>
      <c r="EW89" s="9" t="str">
        <f t="shared" si="650"/>
        <v/>
      </c>
      <c r="EX89" s="5" t="str">
        <f t="shared" si="651"/>
        <v/>
      </c>
      <c r="EY89" s="6" t="str">
        <f t="shared" si="804"/>
        <v/>
      </c>
      <c r="EZ89" s="51" t="str">
        <f t="shared" si="805"/>
        <v/>
      </c>
      <c r="FA89" s="173" t="str">
        <f t="shared" si="652"/>
        <v/>
      </c>
      <c r="FB89" s="5" t="str">
        <f t="shared" si="653"/>
        <v/>
      </c>
      <c r="FC89" s="6" t="str">
        <f t="shared" si="654"/>
        <v/>
      </c>
      <c r="FD89" s="4" t="str">
        <f t="shared" si="655"/>
        <v/>
      </c>
      <c r="FE89" s="5" t="str">
        <f t="shared" si="656"/>
        <v/>
      </c>
      <c r="FF89" s="7" t="str">
        <f t="shared" si="806"/>
        <v/>
      </c>
      <c r="FG89" s="173" t="str">
        <f t="shared" si="657"/>
        <v/>
      </c>
      <c r="FH89" s="5" t="str">
        <f t="shared" si="658"/>
        <v/>
      </c>
      <c r="FI89" s="10" t="str">
        <f t="shared" si="659"/>
        <v/>
      </c>
      <c r="FJ89" s="279" t="str">
        <f t="shared" si="807"/>
        <v/>
      </c>
      <c r="FK89" s="4" t="str">
        <f t="shared" si="660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1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2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3"/>
        <v/>
      </c>
      <c r="GH89" s="286" t="str">
        <f t="shared" si="664"/>
        <v/>
      </c>
      <c r="GI89" s="281" t="str">
        <f t="shared" si="665"/>
        <v/>
      </c>
      <c r="GJ89" s="167" t="str">
        <f t="shared" si="823"/>
        <v/>
      </c>
      <c r="GK89" s="174" t="str">
        <f t="shared" si="666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7"/>
        <v/>
      </c>
      <c r="GT89" s="343" t="str">
        <f t="shared" si="668"/>
        <v/>
      </c>
      <c r="GU89" s="344" t="str">
        <f t="shared" si="669"/>
        <v/>
      </c>
      <c r="GV89" s="343" t="str">
        <f t="shared" si="831"/>
        <v/>
      </c>
      <c r="GW89" s="345" t="str">
        <f t="shared" si="670"/>
        <v/>
      </c>
      <c r="GX89" s="346" t="str">
        <f t="shared" si="671"/>
        <v/>
      </c>
      <c r="GY89" s="344" t="str">
        <f t="shared" si="672"/>
        <v/>
      </c>
      <c r="GZ89" s="345" t="str">
        <f t="shared" si="673"/>
        <v/>
      </c>
      <c r="HA89" s="342" t="str">
        <f t="shared" si="674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5"/>
        <v/>
      </c>
      <c r="HF89" s="5" t="str">
        <f t="shared" si="676"/>
        <v/>
      </c>
      <c r="HG89" s="343" t="str">
        <f t="shared" si="835"/>
        <v/>
      </c>
      <c r="HH89" s="349" t="str">
        <f t="shared" si="836"/>
        <v/>
      </c>
      <c r="HI89" s="317" t="str">
        <f t="shared" si="677"/>
        <v/>
      </c>
      <c r="HK89" s="310" t="str">
        <f t="shared" si="733"/>
        <v/>
      </c>
      <c r="HL89" s="348" t="str">
        <f t="shared" si="678"/>
        <v/>
      </c>
      <c r="HM89" s="923" t="str">
        <f t="shared" si="679"/>
        <v/>
      </c>
      <c r="HN89" s="924" t="str">
        <f t="shared" si="680"/>
        <v/>
      </c>
      <c r="HO89" s="925"/>
      <c r="HP89" s="926"/>
      <c r="HQ89" s="924" t="str">
        <f t="shared" si="681"/>
        <v/>
      </c>
      <c r="HR89" s="927" t="str">
        <f t="shared" si="682"/>
        <v/>
      </c>
      <c r="HS89" s="879" t="str">
        <f t="shared" si="734"/>
        <v/>
      </c>
      <c r="HT89" s="889" t="str">
        <f t="shared" si="683"/>
        <v/>
      </c>
      <c r="HU89" s="890" t="str">
        <f t="shared" si="684"/>
        <v/>
      </c>
      <c r="HV89" s="886" t="str">
        <f t="shared" si="685"/>
        <v/>
      </c>
      <c r="HW89" s="880" t="str">
        <f t="shared" si="686"/>
        <v/>
      </c>
      <c r="HX89" s="881" t="str">
        <f t="shared" si="687"/>
        <v/>
      </c>
      <c r="HY89" s="880" t="str">
        <f t="shared" si="688"/>
        <v/>
      </c>
      <c r="HZ89" s="882" t="str">
        <f t="shared" si="689"/>
        <v/>
      </c>
      <c r="IA89" s="883" t="str">
        <f t="shared" si="690"/>
        <v/>
      </c>
      <c r="IB89" s="884" t="str">
        <f t="shared" si="691"/>
        <v/>
      </c>
      <c r="IC89" s="855" t="str">
        <f t="shared" si="692"/>
        <v/>
      </c>
      <c r="ID89" s="351" t="str">
        <f t="shared" si="693"/>
        <v/>
      </c>
      <c r="IE89" s="857" t="str">
        <f t="shared" si="694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37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695"/>
        <v/>
      </c>
      <c r="IM89" s="482" t="str">
        <f t="shared" si="838"/>
        <v/>
      </c>
      <c r="IN89" s="670" t="str">
        <f t="shared" si="696"/>
        <v/>
      </c>
      <c r="IO89" s="702"/>
      <c r="IP89" s="5" t="str">
        <f t="shared" si="697"/>
        <v/>
      </c>
      <c r="IQ89" s="714"/>
      <c r="IR89" s="9" t="str">
        <f t="shared" si="698"/>
        <v/>
      </c>
      <c r="IS89" s="5" t="str">
        <f t="shared" si="699"/>
        <v/>
      </c>
      <c r="IT89" s="5" t="str">
        <f t="shared" si="700"/>
        <v/>
      </c>
      <c r="IU89" s="5" t="str">
        <f t="shared" si="701"/>
        <v/>
      </c>
      <c r="IV89" s="670" t="str">
        <f t="shared" si="702"/>
        <v/>
      </c>
      <c r="IW89" s="9" t="str">
        <f t="shared" si="703"/>
        <v/>
      </c>
      <c r="IX89" s="5" t="str">
        <f t="shared" si="704"/>
        <v/>
      </c>
      <c r="IY89" s="5" t="str">
        <f t="shared" si="705"/>
        <v/>
      </c>
      <c r="IZ89" s="5" t="str">
        <f t="shared" si="706"/>
        <v/>
      </c>
      <c r="JA89" s="705" t="str">
        <f t="shared" si="707"/>
        <v/>
      </c>
    </row>
    <row r="90" spans="1:261" ht="15" customHeight="1" x14ac:dyDescent="0.25">
      <c r="A90" s="75" t="str">
        <f t="shared" si="708"/>
        <v/>
      </c>
      <c r="B90" s="578" t="str">
        <f t="shared" ref="B90:D90" si="869">IFERROR(O245-($A90*E90),"")</f>
        <v/>
      </c>
      <c r="C90" s="572" t="str">
        <f t="shared" si="869"/>
        <v/>
      </c>
      <c r="D90" s="576" t="str">
        <f t="shared" si="869"/>
        <v/>
      </c>
      <c r="E90" s="580" t="str">
        <f t="shared" ref="E90:K90" si="870">R245</f>
        <v/>
      </c>
      <c r="F90" s="572" t="str">
        <f t="shared" si="870"/>
        <v/>
      </c>
      <c r="G90" s="579" t="str">
        <f t="shared" si="870"/>
        <v/>
      </c>
      <c r="H90" s="580" t="str">
        <f t="shared" si="870"/>
        <v/>
      </c>
      <c r="I90" s="572" t="str">
        <f t="shared" si="870"/>
        <v/>
      </c>
      <c r="J90" s="483" t="str">
        <f t="shared" si="711"/>
        <v/>
      </c>
      <c r="K90" s="806" t="str">
        <f t="shared" si="870"/>
        <v/>
      </c>
      <c r="L90" s="309"/>
      <c r="M90" s="164" t="str">
        <f t="shared" si="625"/>
        <v/>
      </c>
      <c r="N90" s="575" t="str">
        <f t="shared" si="626"/>
        <v/>
      </c>
      <c r="O90" s="572" t="str">
        <f t="shared" si="627"/>
        <v/>
      </c>
      <c r="P90" s="576" t="str">
        <f t="shared" si="628"/>
        <v/>
      </c>
      <c r="Q90" s="528" t="str">
        <f t="shared" si="712"/>
        <v/>
      </c>
      <c r="R90" s="572" t="str">
        <f t="shared" si="96"/>
        <v/>
      </c>
      <c r="S90" s="577" t="str">
        <f t="shared" si="97"/>
        <v/>
      </c>
      <c r="T90" s="578" t="str">
        <f t="shared" si="98"/>
        <v/>
      </c>
      <c r="U90" s="572" t="str">
        <f t="shared" si="99"/>
        <v/>
      </c>
      <c r="V90" s="579" t="str">
        <f t="shared" si="136"/>
        <v/>
      </c>
      <c r="W90" s="528" t="str">
        <f t="shared" si="848"/>
        <v/>
      </c>
      <c r="X90" s="572" t="str">
        <f t="shared" si="100"/>
        <v/>
      </c>
      <c r="Y90" s="573" t="str">
        <f t="shared" si="841"/>
        <v/>
      </c>
      <c r="Z90" s="575" t="str">
        <f t="shared" si="629"/>
        <v/>
      </c>
      <c r="AA90" s="572" t="str">
        <f t="shared" si="630"/>
        <v/>
      </c>
      <c r="AB90" s="572" t="str">
        <f t="shared" si="631"/>
        <v/>
      </c>
      <c r="AC90" s="579" t="str">
        <f t="shared" si="101"/>
        <v/>
      </c>
      <c r="AD90" s="580" t="str">
        <f t="shared" si="137"/>
        <v/>
      </c>
      <c r="AE90" s="572" t="str">
        <f t="shared" si="102"/>
        <v/>
      </c>
      <c r="AF90" s="576" t="str">
        <f t="shared" si="103"/>
        <v/>
      </c>
      <c r="AG90" s="545" t="str">
        <f t="shared" si="104"/>
        <v/>
      </c>
      <c r="AH90" s="546" t="str">
        <f t="shared" si="105"/>
        <v/>
      </c>
      <c r="AI90" s="528" t="str">
        <f t="shared" si="106"/>
        <v/>
      </c>
      <c r="AJ90" s="529" t="str">
        <f t="shared" si="107"/>
        <v/>
      </c>
      <c r="AK90" s="578" t="str">
        <f t="shared" si="236"/>
        <v/>
      </c>
      <c r="AL90" s="572" t="str">
        <f t="shared" si="108"/>
        <v/>
      </c>
      <c r="AM90" s="577" t="str">
        <f t="shared" si="109"/>
        <v/>
      </c>
      <c r="AN90" s="524" t="str">
        <f t="shared" si="110"/>
        <v/>
      </c>
      <c r="AO90" s="525" t="str">
        <f t="shared" si="590"/>
        <v/>
      </c>
      <c r="AP90" s="528" t="str">
        <f t="shared" si="112"/>
        <v/>
      </c>
      <c r="AQ90" s="529" t="str">
        <f t="shared" si="632"/>
        <v/>
      </c>
      <c r="AS90" s="954" t="str">
        <f t="shared" si="737"/>
        <v/>
      </c>
      <c r="AT90" s="950" t="str">
        <f t="shared" si="633"/>
        <v/>
      </c>
      <c r="AU90" s="418"/>
      <c r="AV90" s="164" t="str">
        <f t="shared" si="634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5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6"/>
        <v/>
      </c>
      <c r="BF90" s="4" t="str">
        <f t="shared" si="637"/>
        <v/>
      </c>
      <c r="BG90" s="5" t="str">
        <f t="shared" si="638"/>
        <v/>
      </c>
      <c r="BH90" s="10" t="str">
        <f t="shared" si="639"/>
        <v/>
      </c>
      <c r="BI90" s="9" t="str">
        <f t="shared" si="739"/>
        <v/>
      </c>
      <c r="BJ90" s="5" t="str">
        <f t="shared" si="640"/>
        <v/>
      </c>
      <c r="BK90" s="8" t="str">
        <f t="shared" si="641"/>
        <v/>
      </c>
      <c r="BL90" s="173" t="str">
        <f t="shared" si="642"/>
        <v/>
      </c>
      <c r="BM90" s="5" t="str">
        <f t="shared" si="643"/>
        <v/>
      </c>
      <c r="BN90" s="6" t="str">
        <f t="shared" si="644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5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6"/>
        <v/>
      </c>
      <c r="ET90" s="5" t="str">
        <f t="shared" si="647"/>
        <v/>
      </c>
      <c r="EU90" s="10" t="str">
        <f t="shared" si="648"/>
        <v/>
      </c>
      <c r="EV90" s="174" t="str">
        <f t="shared" si="649"/>
        <v/>
      </c>
      <c r="EW90" s="9" t="str">
        <f t="shared" si="650"/>
        <v/>
      </c>
      <c r="EX90" s="5" t="str">
        <f t="shared" si="651"/>
        <v/>
      </c>
      <c r="EY90" s="6" t="str">
        <f t="shared" si="804"/>
        <v/>
      </c>
      <c r="EZ90" s="51" t="str">
        <f t="shared" si="805"/>
        <v/>
      </c>
      <c r="FA90" s="173" t="str">
        <f t="shared" si="652"/>
        <v/>
      </c>
      <c r="FB90" s="5" t="str">
        <f t="shared" si="653"/>
        <v/>
      </c>
      <c r="FC90" s="6" t="str">
        <f t="shared" si="654"/>
        <v/>
      </c>
      <c r="FD90" s="4" t="str">
        <f t="shared" si="655"/>
        <v/>
      </c>
      <c r="FE90" s="5" t="str">
        <f t="shared" si="656"/>
        <v/>
      </c>
      <c r="FF90" s="7" t="str">
        <f t="shared" si="806"/>
        <v/>
      </c>
      <c r="FG90" s="173" t="str">
        <f t="shared" si="657"/>
        <v/>
      </c>
      <c r="FH90" s="5" t="str">
        <f t="shared" si="658"/>
        <v/>
      </c>
      <c r="FI90" s="10" t="str">
        <f t="shared" si="659"/>
        <v/>
      </c>
      <c r="FJ90" s="279" t="str">
        <f t="shared" si="807"/>
        <v/>
      </c>
      <c r="FK90" s="4" t="str">
        <f t="shared" si="660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1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2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3"/>
        <v/>
      </c>
      <c r="GH90" s="286" t="str">
        <f t="shared" si="664"/>
        <v/>
      </c>
      <c r="GI90" s="281" t="str">
        <f t="shared" si="665"/>
        <v/>
      </c>
      <c r="GJ90" s="167" t="str">
        <f t="shared" si="823"/>
        <v/>
      </c>
      <c r="GK90" s="174" t="str">
        <f t="shared" si="666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7"/>
        <v/>
      </c>
      <c r="GT90" s="343" t="str">
        <f t="shared" si="668"/>
        <v/>
      </c>
      <c r="GU90" s="344" t="str">
        <f t="shared" si="669"/>
        <v/>
      </c>
      <c r="GV90" s="343" t="str">
        <f t="shared" si="831"/>
        <v/>
      </c>
      <c r="GW90" s="345" t="str">
        <f t="shared" si="670"/>
        <v/>
      </c>
      <c r="GX90" s="346" t="str">
        <f t="shared" si="671"/>
        <v/>
      </c>
      <c r="GY90" s="344" t="str">
        <f t="shared" si="672"/>
        <v/>
      </c>
      <c r="GZ90" s="345" t="str">
        <f t="shared" si="673"/>
        <v/>
      </c>
      <c r="HA90" s="342" t="str">
        <f t="shared" si="674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5"/>
        <v/>
      </c>
      <c r="HF90" s="5" t="str">
        <f t="shared" si="676"/>
        <v/>
      </c>
      <c r="HG90" s="343" t="str">
        <f t="shared" si="835"/>
        <v/>
      </c>
      <c r="HH90" s="349" t="str">
        <f t="shared" si="836"/>
        <v/>
      </c>
      <c r="HI90" s="317" t="str">
        <f t="shared" si="677"/>
        <v/>
      </c>
      <c r="HK90" s="310" t="str">
        <f t="shared" si="733"/>
        <v/>
      </c>
      <c r="HL90" s="348" t="str">
        <f t="shared" si="678"/>
        <v/>
      </c>
      <c r="HM90" s="923" t="str">
        <f t="shared" si="679"/>
        <v/>
      </c>
      <c r="HN90" s="924" t="str">
        <f t="shared" si="680"/>
        <v/>
      </c>
      <c r="HO90" s="925"/>
      <c r="HP90" s="926"/>
      <c r="HQ90" s="924" t="str">
        <f t="shared" si="681"/>
        <v/>
      </c>
      <c r="HR90" s="927" t="str">
        <f t="shared" si="682"/>
        <v/>
      </c>
      <c r="HS90" s="879" t="str">
        <f t="shared" si="734"/>
        <v/>
      </c>
      <c r="HT90" s="889" t="str">
        <f t="shared" si="683"/>
        <v/>
      </c>
      <c r="HU90" s="890" t="str">
        <f t="shared" si="684"/>
        <v/>
      </c>
      <c r="HV90" s="886" t="str">
        <f t="shared" si="685"/>
        <v/>
      </c>
      <c r="HW90" s="880" t="str">
        <f t="shared" si="686"/>
        <v/>
      </c>
      <c r="HX90" s="881" t="str">
        <f t="shared" si="687"/>
        <v/>
      </c>
      <c r="HY90" s="880" t="str">
        <f t="shared" si="688"/>
        <v/>
      </c>
      <c r="HZ90" s="882" t="str">
        <f t="shared" si="689"/>
        <v/>
      </c>
      <c r="IA90" s="883" t="str">
        <f t="shared" si="690"/>
        <v/>
      </c>
      <c r="IB90" s="884" t="str">
        <f t="shared" si="691"/>
        <v/>
      </c>
      <c r="IC90" s="855" t="str">
        <f t="shared" si="692"/>
        <v/>
      </c>
      <c r="ID90" s="351" t="str">
        <f t="shared" si="693"/>
        <v/>
      </c>
      <c r="IE90" s="857" t="str">
        <f t="shared" si="694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37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695"/>
        <v/>
      </c>
      <c r="IM90" s="482" t="str">
        <f t="shared" si="838"/>
        <v/>
      </c>
      <c r="IN90" s="670" t="str">
        <f t="shared" si="696"/>
        <v/>
      </c>
      <c r="IO90" s="702"/>
      <c r="IP90" s="5" t="str">
        <f t="shared" si="697"/>
        <v/>
      </c>
      <c r="IQ90" s="714"/>
      <c r="IR90" s="9" t="str">
        <f t="shared" si="698"/>
        <v/>
      </c>
      <c r="IS90" s="5" t="str">
        <f t="shared" si="699"/>
        <v/>
      </c>
      <c r="IT90" s="5" t="str">
        <f t="shared" si="700"/>
        <v/>
      </c>
      <c r="IU90" s="5" t="str">
        <f t="shared" si="701"/>
        <v/>
      </c>
      <c r="IV90" s="670" t="str">
        <f t="shared" si="702"/>
        <v/>
      </c>
      <c r="IW90" s="9" t="str">
        <f t="shared" si="703"/>
        <v/>
      </c>
      <c r="IX90" s="5" t="str">
        <f t="shared" si="704"/>
        <v/>
      </c>
      <c r="IY90" s="5" t="str">
        <f t="shared" si="705"/>
        <v/>
      </c>
      <c r="IZ90" s="5" t="str">
        <f t="shared" si="706"/>
        <v/>
      </c>
      <c r="JA90" s="705" t="str">
        <f t="shared" si="707"/>
        <v/>
      </c>
    </row>
    <row r="91" spans="1:261" ht="15" customHeight="1" x14ac:dyDescent="0.25">
      <c r="A91" s="75" t="str">
        <f t="shared" si="708"/>
        <v/>
      </c>
      <c r="B91" s="578" t="str">
        <f t="shared" ref="B91:D91" si="871">IFERROR(O246-($A91*E91),"")</f>
        <v/>
      </c>
      <c r="C91" s="572" t="str">
        <f t="shared" si="871"/>
        <v/>
      </c>
      <c r="D91" s="576" t="str">
        <f t="shared" si="871"/>
        <v/>
      </c>
      <c r="E91" s="580" t="str">
        <f t="shared" ref="E91:K91" si="872">R246</f>
        <v/>
      </c>
      <c r="F91" s="572" t="str">
        <f t="shared" si="872"/>
        <v/>
      </c>
      <c r="G91" s="579" t="str">
        <f t="shared" si="872"/>
        <v/>
      </c>
      <c r="H91" s="580" t="str">
        <f t="shared" si="872"/>
        <v/>
      </c>
      <c r="I91" s="572" t="str">
        <f t="shared" si="872"/>
        <v/>
      </c>
      <c r="J91" s="483" t="str">
        <f t="shared" si="711"/>
        <v/>
      </c>
      <c r="K91" s="806" t="str">
        <f t="shared" si="872"/>
        <v/>
      </c>
      <c r="L91" s="309"/>
      <c r="M91" s="164" t="str">
        <f t="shared" si="625"/>
        <v/>
      </c>
      <c r="N91" s="575" t="str">
        <f t="shared" si="626"/>
        <v/>
      </c>
      <c r="O91" s="572" t="str">
        <f t="shared" si="627"/>
        <v/>
      </c>
      <c r="P91" s="576" t="str">
        <f t="shared" si="628"/>
        <v/>
      </c>
      <c r="Q91" s="528" t="str">
        <f t="shared" si="712"/>
        <v/>
      </c>
      <c r="R91" s="572" t="str">
        <f t="shared" si="96"/>
        <v/>
      </c>
      <c r="S91" s="577" t="str">
        <f t="shared" si="97"/>
        <v/>
      </c>
      <c r="T91" s="578" t="str">
        <f t="shared" si="98"/>
        <v/>
      </c>
      <c r="U91" s="572" t="str">
        <f t="shared" si="99"/>
        <v/>
      </c>
      <c r="V91" s="579" t="str">
        <f t="shared" si="136"/>
        <v/>
      </c>
      <c r="W91" s="528" t="str">
        <f t="shared" si="848"/>
        <v/>
      </c>
      <c r="X91" s="572" t="str">
        <f t="shared" si="100"/>
        <v/>
      </c>
      <c r="Y91" s="573" t="str">
        <f t="shared" si="841"/>
        <v/>
      </c>
      <c r="Z91" s="575" t="str">
        <f t="shared" si="629"/>
        <v/>
      </c>
      <c r="AA91" s="572" t="str">
        <f t="shared" si="630"/>
        <v/>
      </c>
      <c r="AB91" s="572" t="str">
        <f t="shared" si="631"/>
        <v/>
      </c>
      <c r="AC91" s="579" t="str">
        <f t="shared" si="101"/>
        <v/>
      </c>
      <c r="AD91" s="580" t="str">
        <f t="shared" si="137"/>
        <v/>
      </c>
      <c r="AE91" s="572" t="str">
        <f t="shared" si="102"/>
        <v/>
      </c>
      <c r="AF91" s="576" t="str">
        <f t="shared" si="103"/>
        <v/>
      </c>
      <c r="AG91" s="545" t="str">
        <f t="shared" si="104"/>
        <v/>
      </c>
      <c r="AH91" s="546" t="str">
        <f t="shared" si="105"/>
        <v/>
      </c>
      <c r="AI91" s="528" t="str">
        <f t="shared" si="106"/>
        <v/>
      </c>
      <c r="AJ91" s="529" t="str">
        <f t="shared" si="107"/>
        <v/>
      </c>
      <c r="AK91" s="578" t="str">
        <f t="shared" si="236"/>
        <v/>
      </c>
      <c r="AL91" s="572" t="str">
        <f t="shared" si="108"/>
        <v/>
      </c>
      <c r="AM91" s="577" t="str">
        <f t="shared" si="109"/>
        <v/>
      </c>
      <c r="AN91" s="524" t="str">
        <f t="shared" si="110"/>
        <v/>
      </c>
      <c r="AO91" s="525" t="str">
        <f t="shared" si="590"/>
        <v/>
      </c>
      <c r="AP91" s="528" t="str">
        <f t="shared" si="112"/>
        <v/>
      </c>
      <c r="AQ91" s="529" t="str">
        <f t="shared" si="632"/>
        <v/>
      </c>
      <c r="AS91" s="954" t="str">
        <f t="shared" si="737"/>
        <v/>
      </c>
      <c r="AT91" s="950" t="str">
        <f t="shared" si="633"/>
        <v/>
      </c>
      <c r="AU91" s="418"/>
      <c r="AV91" s="164" t="str">
        <f t="shared" si="634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5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6"/>
        <v/>
      </c>
      <c r="BF91" s="4" t="str">
        <f t="shared" si="637"/>
        <v/>
      </c>
      <c r="BG91" s="5" t="str">
        <f t="shared" si="638"/>
        <v/>
      </c>
      <c r="BH91" s="10" t="str">
        <f t="shared" si="639"/>
        <v/>
      </c>
      <c r="BI91" s="9" t="str">
        <f t="shared" si="739"/>
        <v/>
      </c>
      <c r="BJ91" s="5" t="str">
        <f t="shared" si="640"/>
        <v/>
      </c>
      <c r="BK91" s="8" t="str">
        <f t="shared" si="641"/>
        <v/>
      </c>
      <c r="BL91" s="173" t="str">
        <f t="shared" si="642"/>
        <v/>
      </c>
      <c r="BM91" s="5" t="str">
        <f t="shared" si="643"/>
        <v/>
      </c>
      <c r="BN91" s="6" t="str">
        <f t="shared" si="644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5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6"/>
        <v/>
      </c>
      <c r="ET91" s="5" t="str">
        <f t="shared" si="647"/>
        <v/>
      </c>
      <c r="EU91" s="10" t="str">
        <f t="shared" si="648"/>
        <v/>
      </c>
      <c r="EV91" s="174" t="str">
        <f t="shared" si="649"/>
        <v/>
      </c>
      <c r="EW91" s="9" t="str">
        <f t="shared" si="650"/>
        <v/>
      </c>
      <c r="EX91" s="5" t="str">
        <f t="shared" si="651"/>
        <v/>
      </c>
      <c r="EY91" s="6" t="str">
        <f t="shared" si="804"/>
        <v/>
      </c>
      <c r="EZ91" s="51" t="str">
        <f t="shared" si="805"/>
        <v/>
      </c>
      <c r="FA91" s="173" t="str">
        <f t="shared" si="652"/>
        <v/>
      </c>
      <c r="FB91" s="5" t="str">
        <f t="shared" si="653"/>
        <v/>
      </c>
      <c r="FC91" s="6" t="str">
        <f t="shared" si="654"/>
        <v/>
      </c>
      <c r="FD91" s="4" t="str">
        <f t="shared" si="655"/>
        <v/>
      </c>
      <c r="FE91" s="5" t="str">
        <f t="shared" si="656"/>
        <v/>
      </c>
      <c r="FF91" s="7" t="str">
        <f t="shared" si="806"/>
        <v/>
      </c>
      <c r="FG91" s="173" t="str">
        <f t="shared" si="657"/>
        <v/>
      </c>
      <c r="FH91" s="5" t="str">
        <f t="shared" si="658"/>
        <v/>
      </c>
      <c r="FI91" s="10" t="str">
        <f t="shared" si="659"/>
        <v/>
      </c>
      <c r="FJ91" s="279" t="str">
        <f t="shared" si="807"/>
        <v/>
      </c>
      <c r="FK91" s="4" t="str">
        <f t="shared" si="660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1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2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3"/>
        <v/>
      </c>
      <c r="GH91" s="286" t="str">
        <f t="shared" si="664"/>
        <v/>
      </c>
      <c r="GI91" s="281" t="str">
        <f t="shared" si="665"/>
        <v/>
      </c>
      <c r="GJ91" s="167" t="str">
        <f t="shared" si="823"/>
        <v/>
      </c>
      <c r="GK91" s="174" t="str">
        <f t="shared" si="666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7"/>
        <v/>
      </c>
      <c r="GT91" s="343" t="str">
        <f t="shared" si="668"/>
        <v/>
      </c>
      <c r="GU91" s="344" t="str">
        <f t="shared" si="669"/>
        <v/>
      </c>
      <c r="GV91" s="343" t="str">
        <f t="shared" si="831"/>
        <v/>
      </c>
      <c r="GW91" s="345" t="str">
        <f t="shared" si="670"/>
        <v/>
      </c>
      <c r="GX91" s="346" t="str">
        <f t="shared" si="671"/>
        <v/>
      </c>
      <c r="GY91" s="344" t="str">
        <f t="shared" si="672"/>
        <v/>
      </c>
      <c r="GZ91" s="345" t="str">
        <f t="shared" si="673"/>
        <v/>
      </c>
      <c r="HA91" s="342" t="str">
        <f t="shared" si="674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5"/>
        <v/>
      </c>
      <c r="HF91" s="5" t="str">
        <f t="shared" si="676"/>
        <v/>
      </c>
      <c r="HG91" s="343" t="str">
        <f t="shared" si="835"/>
        <v/>
      </c>
      <c r="HH91" s="349" t="str">
        <f t="shared" si="836"/>
        <v/>
      </c>
      <c r="HI91" s="317" t="str">
        <f t="shared" si="677"/>
        <v/>
      </c>
      <c r="HK91" s="310" t="str">
        <f t="shared" si="733"/>
        <v/>
      </c>
      <c r="HL91" s="348" t="str">
        <f t="shared" si="678"/>
        <v/>
      </c>
      <c r="HM91" s="923" t="str">
        <f t="shared" si="679"/>
        <v/>
      </c>
      <c r="HN91" s="924" t="str">
        <f t="shared" si="680"/>
        <v/>
      </c>
      <c r="HO91" s="925"/>
      <c r="HP91" s="926"/>
      <c r="HQ91" s="924" t="str">
        <f t="shared" si="681"/>
        <v/>
      </c>
      <c r="HR91" s="927" t="str">
        <f t="shared" si="682"/>
        <v/>
      </c>
      <c r="HS91" s="879" t="str">
        <f t="shared" si="734"/>
        <v/>
      </c>
      <c r="HT91" s="889" t="str">
        <f t="shared" si="683"/>
        <v/>
      </c>
      <c r="HU91" s="890" t="str">
        <f t="shared" si="684"/>
        <v/>
      </c>
      <c r="HV91" s="886" t="str">
        <f t="shared" si="685"/>
        <v/>
      </c>
      <c r="HW91" s="880" t="str">
        <f t="shared" si="686"/>
        <v/>
      </c>
      <c r="HX91" s="881" t="str">
        <f t="shared" si="687"/>
        <v/>
      </c>
      <c r="HY91" s="880" t="str">
        <f t="shared" si="688"/>
        <v/>
      </c>
      <c r="HZ91" s="882" t="str">
        <f t="shared" si="689"/>
        <v/>
      </c>
      <c r="IA91" s="883" t="str">
        <f t="shared" si="690"/>
        <v/>
      </c>
      <c r="IB91" s="884" t="str">
        <f t="shared" si="691"/>
        <v/>
      </c>
      <c r="IC91" s="855" t="str">
        <f t="shared" si="692"/>
        <v/>
      </c>
      <c r="ID91" s="351" t="str">
        <f t="shared" si="693"/>
        <v/>
      </c>
      <c r="IE91" s="857" t="str">
        <f t="shared" si="694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37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695"/>
        <v/>
      </c>
      <c r="IM91" s="482" t="str">
        <f t="shared" si="838"/>
        <v/>
      </c>
      <c r="IN91" s="670" t="str">
        <f t="shared" si="696"/>
        <v/>
      </c>
      <c r="IO91" s="702"/>
      <c r="IP91" s="5" t="str">
        <f t="shared" si="697"/>
        <v/>
      </c>
      <c r="IQ91" s="714"/>
      <c r="IR91" s="9" t="str">
        <f t="shared" si="698"/>
        <v/>
      </c>
      <c r="IS91" s="5" t="str">
        <f t="shared" si="699"/>
        <v/>
      </c>
      <c r="IT91" s="5" t="str">
        <f t="shared" si="700"/>
        <v/>
      </c>
      <c r="IU91" s="5" t="str">
        <f t="shared" si="701"/>
        <v/>
      </c>
      <c r="IV91" s="670" t="str">
        <f t="shared" si="702"/>
        <v/>
      </c>
      <c r="IW91" s="9" t="str">
        <f t="shared" si="703"/>
        <v/>
      </c>
      <c r="IX91" s="5" t="str">
        <f t="shared" si="704"/>
        <v/>
      </c>
      <c r="IY91" s="5" t="str">
        <f t="shared" si="705"/>
        <v/>
      </c>
      <c r="IZ91" s="5" t="str">
        <f t="shared" si="706"/>
        <v/>
      </c>
      <c r="JA91" s="705" t="str">
        <f t="shared" si="707"/>
        <v/>
      </c>
    </row>
    <row r="92" spans="1:261" ht="15" customHeight="1" x14ac:dyDescent="0.25">
      <c r="A92" s="75" t="str">
        <f t="shared" si="708"/>
        <v/>
      </c>
      <c r="B92" s="578" t="str">
        <f t="shared" ref="B92:D92" si="873">IFERROR(O247-($A92*E92),"")</f>
        <v/>
      </c>
      <c r="C92" s="572" t="str">
        <f t="shared" si="873"/>
        <v/>
      </c>
      <c r="D92" s="576" t="str">
        <f t="shared" si="873"/>
        <v/>
      </c>
      <c r="E92" s="580" t="str">
        <f t="shared" ref="E92:K92" si="874">R247</f>
        <v/>
      </c>
      <c r="F92" s="572" t="str">
        <f t="shared" si="874"/>
        <v/>
      </c>
      <c r="G92" s="579" t="str">
        <f t="shared" si="874"/>
        <v/>
      </c>
      <c r="H92" s="580" t="str">
        <f t="shared" si="874"/>
        <v/>
      </c>
      <c r="I92" s="572" t="str">
        <f t="shared" si="874"/>
        <v/>
      </c>
      <c r="J92" s="483" t="str">
        <f t="shared" si="711"/>
        <v/>
      </c>
      <c r="K92" s="806" t="str">
        <f t="shared" si="874"/>
        <v/>
      </c>
      <c r="L92" s="309"/>
      <c r="M92" s="164" t="str">
        <f t="shared" si="625"/>
        <v/>
      </c>
      <c r="N92" s="575" t="str">
        <f t="shared" si="626"/>
        <v/>
      </c>
      <c r="O92" s="572" t="str">
        <f t="shared" si="627"/>
        <v/>
      </c>
      <c r="P92" s="576" t="str">
        <f t="shared" si="628"/>
        <v/>
      </c>
      <c r="Q92" s="528" t="str">
        <f t="shared" si="712"/>
        <v/>
      </c>
      <c r="R92" s="572" t="str">
        <f t="shared" si="96"/>
        <v/>
      </c>
      <c r="S92" s="577" t="str">
        <f t="shared" si="97"/>
        <v/>
      </c>
      <c r="T92" s="578" t="str">
        <f t="shared" si="98"/>
        <v/>
      </c>
      <c r="U92" s="572" t="str">
        <f t="shared" si="99"/>
        <v/>
      </c>
      <c r="V92" s="579" t="str">
        <f t="shared" si="136"/>
        <v/>
      </c>
      <c r="W92" s="528" t="str">
        <f t="shared" si="848"/>
        <v/>
      </c>
      <c r="X92" s="572" t="str">
        <f t="shared" si="100"/>
        <v/>
      </c>
      <c r="Y92" s="573" t="str">
        <f t="shared" si="841"/>
        <v/>
      </c>
      <c r="Z92" s="575" t="str">
        <f t="shared" si="629"/>
        <v/>
      </c>
      <c r="AA92" s="572" t="str">
        <f t="shared" si="630"/>
        <v/>
      </c>
      <c r="AB92" s="572" t="str">
        <f t="shared" si="631"/>
        <v/>
      </c>
      <c r="AC92" s="579" t="str">
        <f t="shared" si="101"/>
        <v/>
      </c>
      <c r="AD92" s="580" t="str">
        <f t="shared" si="137"/>
        <v/>
      </c>
      <c r="AE92" s="572" t="str">
        <f t="shared" si="102"/>
        <v/>
      </c>
      <c r="AF92" s="576" t="str">
        <f t="shared" si="103"/>
        <v/>
      </c>
      <c r="AG92" s="545" t="str">
        <f t="shared" si="104"/>
        <v/>
      </c>
      <c r="AH92" s="546" t="str">
        <f t="shared" si="105"/>
        <v/>
      </c>
      <c r="AI92" s="528" t="str">
        <f t="shared" si="106"/>
        <v/>
      </c>
      <c r="AJ92" s="529" t="str">
        <f t="shared" si="107"/>
        <v/>
      </c>
      <c r="AK92" s="578" t="str">
        <f t="shared" si="236"/>
        <v/>
      </c>
      <c r="AL92" s="572" t="str">
        <f t="shared" si="108"/>
        <v/>
      </c>
      <c r="AM92" s="577" t="str">
        <f t="shared" si="109"/>
        <v/>
      </c>
      <c r="AN92" s="524" t="str">
        <f t="shared" si="110"/>
        <v/>
      </c>
      <c r="AO92" s="525" t="str">
        <f t="shared" si="590"/>
        <v/>
      </c>
      <c r="AP92" s="528" t="str">
        <f t="shared" si="112"/>
        <v/>
      </c>
      <c r="AQ92" s="529" t="str">
        <f t="shared" si="632"/>
        <v/>
      </c>
      <c r="AS92" s="954" t="str">
        <f t="shared" si="737"/>
        <v/>
      </c>
      <c r="AT92" s="950" t="str">
        <f t="shared" si="633"/>
        <v/>
      </c>
      <c r="AU92" s="418"/>
      <c r="AV92" s="164" t="str">
        <f t="shared" si="634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5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6"/>
        <v/>
      </c>
      <c r="BF92" s="4" t="str">
        <f t="shared" si="637"/>
        <v/>
      </c>
      <c r="BG92" s="5" t="str">
        <f t="shared" si="638"/>
        <v/>
      </c>
      <c r="BH92" s="10" t="str">
        <f t="shared" si="639"/>
        <v/>
      </c>
      <c r="BI92" s="9" t="str">
        <f t="shared" si="739"/>
        <v/>
      </c>
      <c r="BJ92" s="5" t="str">
        <f t="shared" si="640"/>
        <v/>
      </c>
      <c r="BK92" s="8" t="str">
        <f t="shared" si="641"/>
        <v/>
      </c>
      <c r="BL92" s="173" t="str">
        <f t="shared" si="642"/>
        <v/>
      </c>
      <c r="BM92" s="5" t="str">
        <f t="shared" si="643"/>
        <v/>
      </c>
      <c r="BN92" s="6" t="str">
        <f t="shared" si="644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5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6"/>
        <v/>
      </c>
      <c r="ET92" s="5" t="str">
        <f t="shared" si="647"/>
        <v/>
      </c>
      <c r="EU92" s="10" t="str">
        <f t="shared" si="648"/>
        <v/>
      </c>
      <c r="EV92" s="174" t="str">
        <f t="shared" si="649"/>
        <v/>
      </c>
      <c r="EW92" s="9" t="str">
        <f t="shared" si="650"/>
        <v/>
      </c>
      <c r="EX92" s="5" t="str">
        <f t="shared" si="651"/>
        <v/>
      </c>
      <c r="EY92" s="6" t="str">
        <f t="shared" si="804"/>
        <v/>
      </c>
      <c r="EZ92" s="51" t="str">
        <f t="shared" si="805"/>
        <v/>
      </c>
      <c r="FA92" s="173" t="str">
        <f t="shared" si="652"/>
        <v/>
      </c>
      <c r="FB92" s="5" t="str">
        <f t="shared" si="653"/>
        <v/>
      </c>
      <c r="FC92" s="6" t="str">
        <f t="shared" si="654"/>
        <v/>
      </c>
      <c r="FD92" s="4" t="str">
        <f t="shared" si="655"/>
        <v/>
      </c>
      <c r="FE92" s="5" t="str">
        <f t="shared" si="656"/>
        <v/>
      </c>
      <c r="FF92" s="7" t="str">
        <f t="shared" si="806"/>
        <v/>
      </c>
      <c r="FG92" s="173" t="str">
        <f t="shared" si="657"/>
        <v/>
      </c>
      <c r="FH92" s="5" t="str">
        <f t="shared" si="658"/>
        <v/>
      </c>
      <c r="FI92" s="10" t="str">
        <f t="shared" si="659"/>
        <v/>
      </c>
      <c r="FJ92" s="279" t="str">
        <f t="shared" si="807"/>
        <v/>
      </c>
      <c r="FK92" s="4" t="str">
        <f t="shared" si="660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1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2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3"/>
        <v/>
      </c>
      <c r="GH92" s="286" t="str">
        <f t="shared" si="664"/>
        <v/>
      </c>
      <c r="GI92" s="281" t="str">
        <f t="shared" si="665"/>
        <v/>
      </c>
      <c r="GJ92" s="167" t="str">
        <f t="shared" si="823"/>
        <v/>
      </c>
      <c r="GK92" s="174" t="str">
        <f t="shared" si="666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7"/>
        <v/>
      </c>
      <c r="GT92" s="343" t="str">
        <f t="shared" si="668"/>
        <v/>
      </c>
      <c r="GU92" s="344" t="str">
        <f t="shared" si="669"/>
        <v/>
      </c>
      <c r="GV92" s="343" t="str">
        <f t="shared" si="831"/>
        <v/>
      </c>
      <c r="GW92" s="345" t="str">
        <f t="shared" si="670"/>
        <v/>
      </c>
      <c r="GX92" s="346" t="str">
        <f t="shared" si="671"/>
        <v/>
      </c>
      <c r="GY92" s="344" t="str">
        <f t="shared" si="672"/>
        <v/>
      </c>
      <c r="GZ92" s="345" t="str">
        <f t="shared" si="673"/>
        <v/>
      </c>
      <c r="HA92" s="342" t="str">
        <f t="shared" si="674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5"/>
        <v/>
      </c>
      <c r="HF92" s="5" t="str">
        <f t="shared" si="676"/>
        <v/>
      </c>
      <c r="HG92" s="343" t="str">
        <f t="shared" si="835"/>
        <v/>
      </c>
      <c r="HH92" s="349" t="str">
        <f t="shared" si="836"/>
        <v/>
      </c>
      <c r="HI92" s="317" t="str">
        <f t="shared" si="677"/>
        <v/>
      </c>
      <c r="HK92" s="310" t="str">
        <f t="shared" si="733"/>
        <v/>
      </c>
      <c r="HL92" s="348" t="str">
        <f t="shared" si="678"/>
        <v/>
      </c>
      <c r="HM92" s="923" t="str">
        <f t="shared" si="679"/>
        <v/>
      </c>
      <c r="HN92" s="924" t="str">
        <f t="shared" si="680"/>
        <v/>
      </c>
      <c r="HO92" s="925"/>
      <c r="HP92" s="926"/>
      <c r="HQ92" s="924" t="str">
        <f t="shared" si="681"/>
        <v/>
      </c>
      <c r="HR92" s="927" t="str">
        <f t="shared" si="682"/>
        <v/>
      </c>
      <c r="HS92" s="879" t="str">
        <f t="shared" si="734"/>
        <v/>
      </c>
      <c r="HT92" s="889" t="str">
        <f t="shared" si="683"/>
        <v/>
      </c>
      <c r="HU92" s="890" t="str">
        <f t="shared" si="684"/>
        <v/>
      </c>
      <c r="HV92" s="886" t="str">
        <f t="shared" si="685"/>
        <v/>
      </c>
      <c r="HW92" s="880" t="str">
        <f t="shared" si="686"/>
        <v/>
      </c>
      <c r="HX92" s="881" t="str">
        <f t="shared" si="687"/>
        <v/>
      </c>
      <c r="HY92" s="880" t="str">
        <f t="shared" si="688"/>
        <v/>
      </c>
      <c r="HZ92" s="882" t="str">
        <f t="shared" si="689"/>
        <v/>
      </c>
      <c r="IA92" s="883" t="str">
        <f t="shared" si="690"/>
        <v/>
      </c>
      <c r="IB92" s="884" t="str">
        <f t="shared" si="691"/>
        <v/>
      </c>
      <c r="IC92" s="855" t="str">
        <f t="shared" si="692"/>
        <v/>
      </c>
      <c r="ID92" s="351" t="str">
        <f t="shared" si="693"/>
        <v/>
      </c>
      <c r="IE92" s="857" t="str">
        <f t="shared" si="694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37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695"/>
        <v/>
      </c>
      <c r="IM92" s="482" t="str">
        <f t="shared" si="838"/>
        <v/>
      </c>
      <c r="IN92" s="670" t="str">
        <f t="shared" si="696"/>
        <v/>
      </c>
      <c r="IO92" s="702"/>
      <c r="IP92" s="5" t="str">
        <f t="shared" si="697"/>
        <v/>
      </c>
      <c r="IQ92" s="714"/>
      <c r="IR92" s="9" t="str">
        <f t="shared" si="698"/>
        <v/>
      </c>
      <c r="IS92" s="5" t="str">
        <f t="shared" si="699"/>
        <v/>
      </c>
      <c r="IT92" s="5" t="str">
        <f t="shared" si="700"/>
        <v/>
      </c>
      <c r="IU92" s="5" t="str">
        <f t="shared" si="701"/>
        <v/>
      </c>
      <c r="IV92" s="670" t="str">
        <f t="shared" si="702"/>
        <v/>
      </c>
      <c r="IW92" s="9" t="str">
        <f t="shared" si="703"/>
        <v/>
      </c>
      <c r="IX92" s="5" t="str">
        <f t="shared" si="704"/>
        <v/>
      </c>
      <c r="IY92" s="5" t="str">
        <f t="shared" si="705"/>
        <v/>
      </c>
      <c r="IZ92" s="5" t="str">
        <f t="shared" si="706"/>
        <v/>
      </c>
      <c r="JA92" s="705" t="str">
        <f t="shared" si="707"/>
        <v/>
      </c>
    </row>
    <row r="93" spans="1:261" ht="15" customHeight="1" x14ac:dyDescent="0.25">
      <c r="A93" s="75" t="str">
        <f t="shared" si="708"/>
        <v/>
      </c>
      <c r="B93" s="578" t="str">
        <f t="shared" ref="B93:D93" si="875">IFERROR(O248-($A93*E93),"")</f>
        <v/>
      </c>
      <c r="C93" s="572" t="str">
        <f t="shared" si="875"/>
        <v/>
      </c>
      <c r="D93" s="576" t="str">
        <f t="shared" si="875"/>
        <v/>
      </c>
      <c r="E93" s="580" t="str">
        <f t="shared" ref="E93:K93" si="876">R248</f>
        <v/>
      </c>
      <c r="F93" s="572" t="str">
        <f t="shared" si="876"/>
        <v/>
      </c>
      <c r="G93" s="579" t="str">
        <f t="shared" si="876"/>
        <v/>
      </c>
      <c r="H93" s="580" t="str">
        <f t="shared" si="876"/>
        <v/>
      </c>
      <c r="I93" s="572" t="str">
        <f t="shared" si="876"/>
        <v/>
      </c>
      <c r="J93" s="483" t="str">
        <f t="shared" si="711"/>
        <v/>
      </c>
      <c r="K93" s="806" t="str">
        <f t="shared" si="876"/>
        <v/>
      </c>
      <c r="L93" s="309"/>
      <c r="M93" s="164" t="str">
        <f t="shared" si="625"/>
        <v/>
      </c>
      <c r="N93" s="575" t="str">
        <f t="shared" si="626"/>
        <v/>
      </c>
      <c r="O93" s="572" t="str">
        <f t="shared" si="627"/>
        <v/>
      </c>
      <c r="P93" s="576" t="str">
        <f t="shared" si="628"/>
        <v/>
      </c>
      <c r="Q93" s="528" t="str">
        <f t="shared" si="712"/>
        <v/>
      </c>
      <c r="R93" s="572" t="str">
        <f t="shared" si="96"/>
        <v/>
      </c>
      <c r="S93" s="577" t="str">
        <f t="shared" si="97"/>
        <v/>
      </c>
      <c r="T93" s="578" t="str">
        <f t="shared" si="98"/>
        <v/>
      </c>
      <c r="U93" s="572" t="str">
        <f t="shared" si="99"/>
        <v/>
      </c>
      <c r="V93" s="579" t="str">
        <f t="shared" si="136"/>
        <v/>
      </c>
      <c r="W93" s="528" t="str">
        <f t="shared" si="848"/>
        <v/>
      </c>
      <c r="X93" s="572" t="str">
        <f t="shared" si="100"/>
        <v/>
      </c>
      <c r="Y93" s="573" t="str">
        <f t="shared" si="841"/>
        <v/>
      </c>
      <c r="Z93" s="575" t="str">
        <f t="shared" si="629"/>
        <v/>
      </c>
      <c r="AA93" s="572" t="str">
        <f t="shared" si="630"/>
        <v/>
      </c>
      <c r="AB93" s="572" t="str">
        <f t="shared" si="631"/>
        <v/>
      </c>
      <c r="AC93" s="579" t="str">
        <f t="shared" si="101"/>
        <v/>
      </c>
      <c r="AD93" s="580" t="str">
        <f t="shared" si="137"/>
        <v/>
      </c>
      <c r="AE93" s="572" t="str">
        <f t="shared" si="102"/>
        <v/>
      </c>
      <c r="AF93" s="576" t="str">
        <f t="shared" si="103"/>
        <v/>
      </c>
      <c r="AG93" s="545" t="str">
        <f t="shared" si="104"/>
        <v/>
      </c>
      <c r="AH93" s="546" t="str">
        <f t="shared" si="105"/>
        <v/>
      </c>
      <c r="AI93" s="528" t="str">
        <f t="shared" si="106"/>
        <v/>
      </c>
      <c r="AJ93" s="529" t="str">
        <f t="shared" si="107"/>
        <v/>
      </c>
      <c r="AK93" s="578" t="str">
        <f t="shared" si="236"/>
        <v/>
      </c>
      <c r="AL93" s="572" t="str">
        <f t="shared" si="108"/>
        <v/>
      </c>
      <c r="AM93" s="577" t="str">
        <f t="shared" si="109"/>
        <v/>
      </c>
      <c r="AN93" s="524" t="str">
        <f t="shared" si="110"/>
        <v/>
      </c>
      <c r="AO93" s="525" t="str">
        <f t="shared" si="590"/>
        <v/>
      </c>
      <c r="AP93" s="528" t="str">
        <f t="shared" si="112"/>
        <v/>
      </c>
      <c r="AQ93" s="529" t="str">
        <f t="shared" si="632"/>
        <v/>
      </c>
      <c r="AS93" s="954" t="str">
        <f t="shared" si="737"/>
        <v/>
      </c>
      <c r="AT93" s="950" t="str">
        <f t="shared" si="633"/>
        <v/>
      </c>
      <c r="AU93" s="418"/>
      <c r="AV93" s="164" t="str">
        <f t="shared" si="634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5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6"/>
        <v/>
      </c>
      <c r="BF93" s="4" t="str">
        <f t="shared" si="637"/>
        <v/>
      </c>
      <c r="BG93" s="5" t="str">
        <f t="shared" si="638"/>
        <v/>
      </c>
      <c r="BH93" s="10" t="str">
        <f t="shared" si="639"/>
        <v/>
      </c>
      <c r="BI93" s="9" t="str">
        <f t="shared" si="739"/>
        <v/>
      </c>
      <c r="BJ93" s="5" t="str">
        <f t="shared" si="640"/>
        <v/>
      </c>
      <c r="BK93" s="8" t="str">
        <f t="shared" si="641"/>
        <v/>
      </c>
      <c r="BL93" s="173" t="str">
        <f t="shared" si="642"/>
        <v/>
      </c>
      <c r="BM93" s="5" t="str">
        <f t="shared" si="643"/>
        <v/>
      </c>
      <c r="BN93" s="6" t="str">
        <f t="shared" si="644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5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6"/>
        <v/>
      </c>
      <c r="ET93" s="5" t="str">
        <f t="shared" si="647"/>
        <v/>
      </c>
      <c r="EU93" s="10" t="str">
        <f t="shared" si="648"/>
        <v/>
      </c>
      <c r="EV93" s="174" t="str">
        <f t="shared" si="649"/>
        <v/>
      </c>
      <c r="EW93" s="9" t="str">
        <f t="shared" si="650"/>
        <v/>
      </c>
      <c r="EX93" s="5" t="str">
        <f t="shared" si="651"/>
        <v/>
      </c>
      <c r="EY93" s="6" t="str">
        <f t="shared" si="804"/>
        <v/>
      </c>
      <c r="EZ93" s="51" t="str">
        <f t="shared" si="805"/>
        <v/>
      </c>
      <c r="FA93" s="173" t="str">
        <f t="shared" si="652"/>
        <v/>
      </c>
      <c r="FB93" s="5" t="str">
        <f t="shared" si="653"/>
        <v/>
      </c>
      <c r="FC93" s="6" t="str">
        <f t="shared" si="654"/>
        <v/>
      </c>
      <c r="FD93" s="4" t="str">
        <f t="shared" si="655"/>
        <v/>
      </c>
      <c r="FE93" s="5" t="str">
        <f t="shared" si="656"/>
        <v/>
      </c>
      <c r="FF93" s="7" t="str">
        <f t="shared" si="806"/>
        <v/>
      </c>
      <c r="FG93" s="173" t="str">
        <f t="shared" si="657"/>
        <v/>
      </c>
      <c r="FH93" s="5" t="str">
        <f t="shared" si="658"/>
        <v/>
      </c>
      <c r="FI93" s="10" t="str">
        <f t="shared" si="659"/>
        <v/>
      </c>
      <c r="FJ93" s="279" t="str">
        <f t="shared" si="807"/>
        <v/>
      </c>
      <c r="FK93" s="4" t="str">
        <f t="shared" si="660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1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2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3"/>
        <v/>
      </c>
      <c r="GH93" s="286" t="str">
        <f t="shared" si="664"/>
        <v/>
      </c>
      <c r="GI93" s="281" t="str">
        <f t="shared" si="665"/>
        <v/>
      </c>
      <c r="GJ93" s="167" t="str">
        <f t="shared" si="823"/>
        <v/>
      </c>
      <c r="GK93" s="174" t="str">
        <f t="shared" si="666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7"/>
        <v/>
      </c>
      <c r="GT93" s="343" t="str">
        <f t="shared" si="668"/>
        <v/>
      </c>
      <c r="GU93" s="344" t="str">
        <f t="shared" si="669"/>
        <v/>
      </c>
      <c r="GV93" s="343" t="str">
        <f t="shared" si="831"/>
        <v/>
      </c>
      <c r="GW93" s="345" t="str">
        <f t="shared" si="670"/>
        <v/>
      </c>
      <c r="GX93" s="346" t="str">
        <f t="shared" si="671"/>
        <v/>
      </c>
      <c r="GY93" s="344" t="str">
        <f t="shared" si="672"/>
        <v/>
      </c>
      <c r="GZ93" s="345" t="str">
        <f t="shared" si="673"/>
        <v/>
      </c>
      <c r="HA93" s="342" t="str">
        <f t="shared" si="674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5"/>
        <v/>
      </c>
      <c r="HF93" s="5" t="str">
        <f t="shared" si="676"/>
        <v/>
      </c>
      <c r="HG93" s="343" t="str">
        <f t="shared" si="835"/>
        <v/>
      </c>
      <c r="HH93" s="349" t="str">
        <f t="shared" si="836"/>
        <v/>
      </c>
      <c r="HI93" s="317" t="str">
        <f t="shared" si="677"/>
        <v/>
      </c>
      <c r="HK93" s="310" t="str">
        <f t="shared" si="733"/>
        <v/>
      </c>
      <c r="HL93" s="348" t="str">
        <f t="shared" si="678"/>
        <v/>
      </c>
      <c r="HM93" s="923" t="str">
        <f t="shared" si="679"/>
        <v/>
      </c>
      <c r="HN93" s="924" t="str">
        <f t="shared" si="680"/>
        <v/>
      </c>
      <c r="HO93" s="925"/>
      <c r="HP93" s="926"/>
      <c r="HQ93" s="924" t="str">
        <f t="shared" si="681"/>
        <v/>
      </c>
      <c r="HR93" s="927" t="str">
        <f t="shared" si="682"/>
        <v/>
      </c>
      <c r="HS93" s="879" t="str">
        <f t="shared" si="734"/>
        <v/>
      </c>
      <c r="HT93" s="889" t="str">
        <f t="shared" si="683"/>
        <v/>
      </c>
      <c r="HU93" s="890" t="str">
        <f t="shared" si="684"/>
        <v/>
      </c>
      <c r="HV93" s="886" t="str">
        <f t="shared" si="685"/>
        <v/>
      </c>
      <c r="HW93" s="880" t="str">
        <f t="shared" si="686"/>
        <v/>
      </c>
      <c r="HX93" s="881" t="str">
        <f t="shared" si="687"/>
        <v/>
      </c>
      <c r="HY93" s="880" t="str">
        <f t="shared" si="688"/>
        <v/>
      </c>
      <c r="HZ93" s="882" t="str">
        <f t="shared" si="689"/>
        <v/>
      </c>
      <c r="IA93" s="883" t="str">
        <f t="shared" si="690"/>
        <v/>
      </c>
      <c r="IB93" s="884" t="str">
        <f t="shared" si="691"/>
        <v/>
      </c>
      <c r="IC93" s="855" t="str">
        <f t="shared" si="692"/>
        <v/>
      </c>
      <c r="ID93" s="351" t="str">
        <f t="shared" si="693"/>
        <v/>
      </c>
      <c r="IE93" s="857" t="str">
        <f t="shared" si="694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37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695"/>
        <v/>
      </c>
      <c r="IM93" s="482" t="str">
        <f t="shared" si="838"/>
        <v/>
      </c>
      <c r="IN93" s="670" t="str">
        <f t="shared" si="696"/>
        <v/>
      </c>
      <c r="IO93" s="702"/>
      <c r="IP93" s="5" t="str">
        <f t="shared" si="697"/>
        <v/>
      </c>
      <c r="IQ93" s="714"/>
      <c r="IR93" s="9" t="str">
        <f t="shared" si="698"/>
        <v/>
      </c>
      <c r="IS93" s="5" t="str">
        <f t="shared" si="699"/>
        <v/>
      </c>
      <c r="IT93" s="5" t="str">
        <f t="shared" si="700"/>
        <v/>
      </c>
      <c r="IU93" s="5" t="str">
        <f t="shared" si="701"/>
        <v/>
      </c>
      <c r="IV93" s="670" t="str">
        <f t="shared" si="702"/>
        <v/>
      </c>
      <c r="IW93" s="9" t="str">
        <f t="shared" si="703"/>
        <v/>
      </c>
      <c r="IX93" s="5" t="str">
        <f t="shared" si="704"/>
        <v/>
      </c>
      <c r="IY93" s="5" t="str">
        <f t="shared" si="705"/>
        <v/>
      </c>
      <c r="IZ93" s="5" t="str">
        <f t="shared" si="706"/>
        <v/>
      </c>
      <c r="JA93" s="705" t="str">
        <f t="shared" si="707"/>
        <v/>
      </c>
    </row>
    <row r="94" spans="1:261" ht="15" customHeight="1" x14ac:dyDescent="0.25">
      <c r="A94" s="75" t="str">
        <f t="shared" si="708"/>
        <v/>
      </c>
      <c r="B94" s="578" t="str">
        <f t="shared" ref="B94:D94" si="877">IFERROR(O249-($A94*E94),"")</f>
        <v/>
      </c>
      <c r="C94" s="572" t="str">
        <f t="shared" si="877"/>
        <v/>
      </c>
      <c r="D94" s="576" t="str">
        <f t="shared" si="877"/>
        <v/>
      </c>
      <c r="E94" s="580" t="str">
        <f t="shared" ref="E94:K94" si="878">R249</f>
        <v/>
      </c>
      <c r="F94" s="572" t="str">
        <f t="shared" si="878"/>
        <v/>
      </c>
      <c r="G94" s="579" t="str">
        <f t="shared" si="878"/>
        <v/>
      </c>
      <c r="H94" s="580" t="str">
        <f t="shared" si="878"/>
        <v/>
      </c>
      <c r="I94" s="572" t="str">
        <f t="shared" si="878"/>
        <v/>
      </c>
      <c r="J94" s="483" t="str">
        <f t="shared" si="711"/>
        <v/>
      </c>
      <c r="K94" s="806" t="str">
        <f t="shared" si="878"/>
        <v/>
      </c>
      <c r="L94" s="309"/>
      <c r="M94" s="164" t="str">
        <f t="shared" si="625"/>
        <v/>
      </c>
      <c r="N94" s="575" t="str">
        <f t="shared" si="626"/>
        <v/>
      </c>
      <c r="O94" s="572" t="str">
        <f t="shared" si="627"/>
        <v/>
      </c>
      <c r="P94" s="576" t="str">
        <f t="shared" si="628"/>
        <v/>
      </c>
      <c r="Q94" s="528" t="str">
        <f t="shared" si="712"/>
        <v/>
      </c>
      <c r="R94" s="572" t="str">
        <f t="shared" si="96"/>
        <v/>
      </c>
      <c r="S94" s="577" t="str">
        <f t="shared" si="97"/>
        <v/>
      </c>
      <c r="T94" s="578" t="str">
        <f t="shared" si="98"/>
        <v/>
      </c>
      <c r="U94" s="572" t="str">
        <f t="shared" si="99"/>
        <v/>
      </c>
      <c r="V94" s="579" t="str">
        <f t="shared" si="136"/>
        <v/>
      </c>
      <c r="W94" s="528" t="str">
        <f t="shared" si="848"/>
        <v/>
      </c>
      <c r="X94" s="572" t="str">
        <f t="shared" si="100"/>
        <v/>
      </c>
      <c r="Y94" s="573" t="str">
        <f t="shared" si="841"/>
        <v/>
      </c>
      <c r="Z94" s="575" t="str">
        <f t="shared" si="629"/>
        <v/>
      </c>
      <c r="AA94" s="572" t="str">
        <f t="shared" si="630"/>
        <v/>
      </c>
      <c r="AB94" s="572" t="str">
        <f t="shared" si="631"/>
        <v/>
      </c>
      <c r="AC94" s="579" t="str">
        <f t="shared" si="101"/>
        <v/>
      </c>
      <c r="AD94" s="580" t="str">
        <f t="shared" si="137"/>
        <v/>
      </c>
      <c r="AE94" s="572" t="str">
        <f t="shared" si="102"/>
        <v/>
      </c>
      <c r="AF94" s="576" t="str">
        <f t="shared" si="103"/>
        <v/>
      </c>
      <c r="AG94" s="545" t="str">
        <f t="shared" si="104"/>
        <v/>
      </c>
      <c r="AH94" s="546" t="str">
        <f t="shared" si="105"/>
        <v/>
      </c>
      <c r="AI94" s="528" t="str">
        <f t="shared" si="106"/>
        <v/>
      </c>
      <c r="AJ94" s="529" t="str">
        <f t="shared" si="107"/>
        <v/>
      </c>
      <c r="AK94" s="578" t="str">
        <f t="shared" si="236"/>
        <v/>
      </c>
      <c r="AL94" s="572" t="str">
        <f t="shared" si="108"/>
        <v/>
      </c>
      <c r="AM94" s="577" t="str">
        <f t="shared" si="109"/>
        <v/>
      </c>
      <c r="AN94" s="524" t="str">
        <f t="shared" si="110"/>
        <v/>
      </c>
      <c r="AO94" s="525" t="str">
        <f t="shared" si="590"/>
        <v/>
      </c>
      <c r="AP94" s="528" t="str">
        <f t="shared" si="112"/>
        <v/>
      </c>
      <c r="AQ94" s="529" t="str">
        <f t="shared" si="632"/>
        <v/>
      </c>
      <c r="AS94" s="954" t="str">
        <f t="shared" si="737"/>
        <v/>
      </c>
      <c r="AT94" s="950" t="str">
        <f t="shared" si="633"/>
        <v/>
      </c>
      <c r="AU94" s="418"/>
      <c r="AV94" s="164" t="str">
        <f t="shared" si="634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5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6"/>
        <v/>
      </c>
      <c r="BF94" s="4" t="str">
        <f t="shared" si="637"/>
        <v/>
      </c>
      <c r="BG94" s="5" t="str">
        <f t="shared" si="638"/>
        <v/>
      </c>
      <c r="BH94" s="10" t="str">
        <f t="shared" si="639"/>
        <v/>
      </c>
      <c r="BI94" s="9" t="str">
        <f t="shared" si="739"/>
        <v/>
      </c>
      <c r="BJ94" s="5" t="str">
        <f t="shared" si="640"/>
        <v/>
      </c>
      <c r="BK94" s="8" t="str">
        <f t="shared" si="641"/>
        <v/>
      </c>
      <c r="BL94" s="173" t="str">
        <f t="shared" si="642"/>
        <v/>
      </c>
      <c r="BM94" s="5" t="str">
        <f t="shared" si="643"/>
        <v/>
      </c>
      <c r="BN94" s="6" t="str">
        <f t="shared" si="644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5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6"/>
        <v/>
      </c>
      <c r="ET94" s="5" t="str">
        <f t="shared" si="647"/>
        <v/>
      </c>
      <c r="EU94" s="10" t="str">
        <f t="shared" si="648"/>
        <v/>
      </c>
      <c r="EV94" s="174" t="str">
        <f t="shared" si="649"/>
        <v/>
      </c>
      <c r="EW94" s="9" t="str">
        <f t="shared" si="650"/>
        <v/>
      </c>
      <c r="EX94" s="5" t="str">
        <f t="shared" si="651"/>
        <v/>
      </c>
      <c r="EY94" s="6" t="str">
        <f t="shared" si="804"/>
        <v/>
      </c>
      <c r="EZ94" s="51" t="str">
        <f t="shared" si="805"/>
        <v/>
      </c>
      <c r="FA94" s="173" t="str">
        <f t="shared" si="652"/>
        <v/>
      </c>
      <c r="FB94" s="5" t="str">
        <f t="shared" si="653"/>
        <v/>
      </c>
      <c r="FC94" s="6" t="str">
        <f t="shared" si="654"/>
        <v/>
      </c>
      <c r="FD94" s="4" t="str">
        <f t="shared" si="655"/>
        <v/>
      </c>
      <c r="FE94" s="5" t="str">
        <f t="shared" si="656"/>
        <v/>
      </c>
      <c r="FF94" s="7" t="str">
        <f t="shared" si="806"/>
        <v/>
      </c>
      <c r="FG94" s="173" t="str">
        <f t="shared" si="657"/>
        <v/>
      </c>
      <c r="FH94" s="5" t="str">
        <f t="shared" si="658"/>
        <v/>
      </c>
      <c r="FI94" s="10" t="str">
        <f t="shared" si="659"/>
        <v/>
      </c>
      <c r="FJ94" s="279" t="str">
        <f t="shared" si="807"/>
        <v/>
      </c>
      <c r="FK94" s="4" t="str">
        <f t="shared" si="660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1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2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3"/>
        <v/>
      </c>
      <c r="GH94" s="286" t="str">
        <f t="shared" si="664"/>
        <v/>
      </c>
      <c r="GI94" s="281" t="str">
        <f t="shared" si="665"/>
        <v/>
      </c>
      <c r="GJ94" s="167" t="str">
        <f t="shared" si="823"/>
        <v/>
      </c>
      <c r="GK94" s="174" t="str">
        <f t="shared" si="666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7"/>
        <v/>
      </c>
      <c r="GT94" s="343" t="str">
        <f t="shared" si="668"/>
        <v/>
      </c>
      <c r="GU94" s="344" t="str">
        <f t="shared" si="669"/>
        <v/>
      </c>
      <c r="GV94" s="343" t="str">
        <f t="shared" si="831"/>
        <v/>
      </c>
      <c r="GW94" s="345" t="str">
        <f t="shared" si="670"/>
        <v/>
      </c>
      <c r="GX94" s="346" t="str">
        <f t="shared" si="671"/>
        <v/>
      </c>
      <c r="GY94" s="344" t="str">
        <f t="shared" si="672"/>
        <v/>
      </c>
      <c r="GZ94" s="345" t="str">
        <f t="shared" si="673"/>
        <v/>
      </c>
      <c r="HA94" s="342" t="str">
        <f t="shared" si="674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5"/>
        <v/>
      </c>
      <c r="HF94" s="5" t="str">
        <f t="shared" si="676"/>
        <v/>
      </c>
      <c r="HG94" s="343" t="str">
        <f t="shared" si="835"/>
        <v/>
      </c>
      <c r="HH94" s="349" t="str">
        <f t="shared" si="836"/>
        <v/>
      </c>
      <c r="HI94" s="317" t="str">
        <f t="shared" si="677"/>
        <v/>
      </c>
      <c r="HK94" s="310" t="str">
        <f t="shared" si="733"/>
        <v/>
      </c>
      <c r="HL94" s="348" t="str">
        <f t="shared" si="678"/>
        <v/>
      </c>
      <c r="HM94" s="923" t="str">
        <f t="shared" si="679"/>
        <v/>
      </c>
      <c r="HN94" s="924" t="str">
        <f t="shared" si="680"/>
        <v/>
      </c>
      <c r="HO94" s="925"/>
      <c r="HP94" s="926"/>
      <c r="HQ94" s="924" t="str">
        <f t="shared" si="681"/>
        <v/>
      </c>
      <c r="HR94" s="927" t="str">
        <f t="shared" si="682"/>
        <v/>
      </c>
      <c r="HS94" s="879" t="str">
        <f t="shared" si="734"/>
        <v/>
      </c>
      <c r="HT94" s="889" t="str">
        <f t="shared" si="683"/>
        <v/>
      </c>
      <c r="HU94" s="890" t="str">
        <f t="shared" si="684"/>
        <v/>
      </c>
      <c r="HV94" s="886" t="str">
        <f t="shared" si="685"/>
        <v/>
      </c>
      <c r="HW94" s="880" t="str">
        <f t="shared" si="686"/>
        <v/>
      </c>
      <c r="HX94" s="881" t="str">
        <f t="shared" si="687"/>
        <v/>
      </c>
      <c r="HY94" s="880" t="str">
        <f t="shared" si="688"/>
        <v/>
      </c>
      <c r="HZ94" s="882" t="str">
        <f t="shared" si="689"/>
        <v/>
      </c>
      <c r="IA94" s="883" t="str">
        <f t="shared" si="690"/>
        <v/>
      </c>
      <c r="IB94" s="884" t="str">
        <f t="shared" si="691"/>
        <v/>
      </c>
      <c r="IC94" s="855" t="str">
        <f t="shared" si="692"/>
        <v/>
      </c>
      <c r="ID94" s="351" t="str">
        <f t="shared" si="693"/>
        <v/>
      </c>
      <c r="IE94" s="857" t="str">
        <f t="shared" si="694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37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695"/>
        <v/>
      </c>
      <c r="IM94" s="482" t="str">
        <f t="shared" si="838"/>
        <v/>
      </c>
      <c r="IN94" s="670" t="str">
        <f t="shared" si="696"/>
        <v/>
      </c>
      <c r="IO94" s="702"/>
      <c r="IP94" s="5" t="str">
        <f t="shared" si="697"/>
        <v/>
      </c>
      <c r="IQ94" s="714"/>
      <c r="IR94" s="9" t="str">
        <f t="shared" si="698"/>
        <v/>
      </c>
      <c r="IS94" s="5" t="str">
        <f t="shared" si="699"/>
        <v/>
      </c>
      <c r="IT94" s="5" t="str">
        <f t="shared" si="700"/>
        <v/>
      </c>
      <c r="IU94" s="5" t="str">
        <f t="shared" si="701"/>
        <v/>
      </c>
      <c r="IV94" s="670" t="str">
        <f t="shared" si="702"/>
        <v/>
      </c>
      <c r="IW94" s="9" t="str">
        <f t="shared" si="703"/>
        <v/>
      </c>
      <c r="IX94" s="5" t="str">
        <f t="shared" si="704"/>
        <v/>
      </c>
      <c r="IY94" s="5" t="str">
        <f t="shared" si="705"/>
        <v/>
      </c>
      <c r="IZ94" s="5" t="str">
        <f t="shared" si="706"/>
        <v/>
      </c>
      <c r="JA94" s="705" t="str">
        <f t="shared" si="707"/>
        <v/>
      </c>
    </row>
    <row r="95" spans="1:261" ht="15" customHeight="1" x14ac:dyDescent="0.25">
      <c r="A95" s="75" t="str">
        <f t="shared" si="708"/>
        <v/>
      </c>
      <c r="B95" s="578" t="str">
        <f t="shared" ref="B95:D95" si="879">IFERROR(O250-($A95*E95),"")</f>
        <v/>
      </c>
      <c r="C95" s="572" t="str">
        <f t="shared" si="879"/>
        <v/>
      </c>
      <c r="D95" s="576" t="str">
        <f t="shared" si="879"/>
        <v/>
      </c>
      <c r="E95" s="580" t="str">
        <f t="shared" ref="E95:K95" si="880">R250</f>
        <v/>
      </c>
      <c r="F95" s="572" t="str">
        <f t="shared" si="880"/>
        <v/>
      </c>
      <c r="G95" s="579" t="str">
        <f t="shared" si="880"/>
        <v/>
      </c>
      <c r="H95" s="580" t="str">
        <f t="shared" si="880"/>
        <v/>
      </c>
      <c r="I95" s="572" t="str">
        <f t="shared" si="880"/>
        <v/>
      </c>
      <c r="J95" s="483" t="str">
        <f t="shared" si="711"/>
        <v/>
      </c>
      <c r="K95" s="806" t="str">
        <f t="shared" si="880"/>
        <v/>
      </c>
      <c r="L95" s="309"/>
      <c r="M95" s="164" t="str">
        <f t="shared" si="625"/>
        <v/>
      </c>
      <c r="N95" s="575" t="str">
        <f t="shared" si="626"/>
        <v/>
      </c>
      <c r="O95" s="572" t="str">
        <f t="shared" si="627"/>
        <v/>
      </c>
      <c r="P95" s="576" t="str">
        <f t="shared" si="628"/>
        <v/>
      </c>
      <c r="Q95" s="528" t="str">
        <f t="shared" si="712"/>
        <v/>
      </c>
      <c r="R95" s="572" t="str">
        <f t="shared" si="96"/>
        <v/>
      </c>
      <c r="S95" s="577" t="str">
        <f t="shared" si="97"/>
        <v/>
      </c>
      <c r="T95" s="578" t="str">
        <f t="shared" si="98"/>
        <v/>
      </c>
      <c r="U95" s="572" t="str">
        <f t="shared" si="99"/>
        <v/>
      </c>
      <c r="V95" s="579" t="str">
        <f t="shared" si="136"/>
        <v/>
      </c>
      <c r="W95" s="528" t="str">
        <f t="shared" si="848"/>
        <v/>
      </c>
      <c r="X95" s="572" t="str">
        <f t="shared" si="100"/>
        <v/>
      </c>
      <c r="Y95" s="573" t="str">
        <f t="shared" si="841"/>
        <v/>
      </c>
      <c r="Z95" s="575" t="str">
        <f t="shared" si="629"/>
        <v/>
      </c>
      <c r="AA95" s="572" t="str">
        <f t="shared" si="630"/>
        <v/>
      </c>
      <c r="AB95" s="572" t="str">
        <f t="shared" si="631"/>
        <v/>
      </c>
      <c r="AC95" s="579" t="str">
        <f t="shared" si="101"/>
        <v/>
      </c>
      <c r="AD95" s="580" t="str">
        <f t="shared" si="137"/>
        <v/>
      </c>
      <c r="AE95" s="572" t="str">
        <f t="shared" si="102"/>
        <v/>
      </c>
      <c r="AF95" s="576" t="str">
        <f t="shared" si="103"/>
        <v/>
      </c>
      <c r="AG95" s="545" t="str">
        <f t="shared" si="104"/>
        <v/>
      </c>
      <c r="AH95" s="546" t="str">
        <f t="shared" si="105"/>
        <v/>
      </c>
      <c r="AI95" s="528" t="str">
        <f t="shared" si="106"/>
        <v/>
      </c>
      <c r="AJ95" s="529" t="str">
        <f t="shared" si="107"/>
        <v/>
      </c>
      <c r="AK95" s="578" t="str">
        <f t="shared" si="236"/>
        <v/>
      </c>
      <c r="AL95" s="572" t="str">
        <f t="shared" si="108"/>
        <v/>
      </c>
      <c r="AM95" s="577" t="str">
        <f t="shared" si="109"/>
        <v/>
      </c>
      <c r="AN95" s="524" t="str">
        <f t="shared" si="110"/>
        <v/>
      </c>
      <c r="AO95" s="525" t="str">
        <f t="shared" si="590"/>
        <v/>
      </c>
      <c r="AP95" s="528" t="str">
        <f t="shared" si="112"/>
        <v/>
      </c>
      <c r="AQ95" s="529" t="str">
        <f t="shared" si="632"/>
        <v/>
      </c>
      <c r="AS95" s="954" t="str">
        <f t="shared" si="737"/>
        <v/>
      </c>
      <c r="AT95" s="950" t="str">
        <f t="shared" si="633"/>
        <v/>
      </c>
      <c r="AU95" s="418"/>
      <c r="AV95" s="164" t="str">
        <f t="shared" si="634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5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6"/>
        <v/>
      </c>
      <c r="BF95" s="4" t="str">
        <f t="shared" si="637"/>
        <v/>
      </c>
      <c r="BG95" s="5" t="str">
        <f t="shared" si="638"/>
        <v/>
      </c>
      <c r="BH95" s="10" t="str">
        <f t="shared" si="639"/>
        <v/>
      </c>
      <c r="BI95" s="9" t="str">
        <f t="shared" si="739"/>
        <v/>
      </c>
      <c r="BJ95" s="5" t="str">
        <f t="shared" si="640"/>
        <v/>
      </c>
      <c r="BK95" s="8" t="str">
        <f t="shared" si="641"/>
        <v/>
      </c>
      <c r="BL95" s="173" t="str">
        <f t="shared" si="642"/>
        <v/>
      </c>
      <c r="BM95" s="5" t="str">
        <f t="shared" si="643"/>
        <v/>
      </c>
      <c r="BN95" s="6" t="str">
        <f t="shared" si="644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5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6"/>
        <v/>
      </c>
      <c r="ET95" s="5" t="str">
        <f t="shared" si="647"/>
        <v/>
      </c>
      <c r="EU95" s="10" t="str">
        <f t="shared" si="648"/>
        <v/>
      </c>
      <c r="EV95" s="174" t="str">
        <f t="shared" si="649"/>
        <v/>
      </c>
      <c r="EW95" s="9" t="str">
        <f t="shared" si="650"/>
        <v/>
      </c>
      <c r="EX95" s="5" t="str">
        <f t="shared" si="651"/>
        <v/>
      </c>
      <c r="EY95" s="6" t="str">
        <f t="shared" si="804"/>
        <v/>
      </c>
      <c r="EZ95" s="51" t="str">
        <f t="shared" si="805"/>
        <v/>
      </c>
      <c r="FA95" s="173" t="str">
        <f t="shared" si="652"/>
        <v/>
      </c>
      <c r="FB95" s="5" t="str">
        <f t="shared" si="653"/>
        <v/>
      </c>
      <c r="FC95" s="6" t="str">
        <f t="shared" si="654"/>
        <v/>
      </c>
      <c r="FD95" s="4" t="str">
        <f t="shared" si="655"/>
        <v/>
      </c>
      <c r="FE95" s="5" t="str">
        <f t="shared" si="656"/>
        <v/>
      </c>
      <c r="FF95" s="7" t="str">
        <f t="shared" si="806"/>
        <v/>
      </c>
      <c r="FG95" s="173" t="str">
        <f t="shared" si="657"/>
        <v/>
      </c>
      <c r="FH95" s="5" t="str">
        <f t="shared" si="658"/>
        <v/>
      </c>
      <c r="FI95" s="10" t="str">
        <f t="shared" si="659"/>
        <v/>
      </c>
      <c r="FJ95" s="279" t="str">
        <f t="shared" si="807"/>
        <v/>
      </c>
      <c r="FK95" s="4" t="str">
        <f t="shared" si="660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1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2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3"/>
        <v/>
      </c>
      <c r="GH95" s="286" t="str">
        <f t="shared" si="664"/>
        <v/>
      </c>
      <c r="GI95" s="281" t="str">
        <f t="shared" si="665"/>
        <v/>
      </c>
      <c r="GJ95" s="167" t="str">
        <f t="shared" si="823"/>
        <v/>
      </c>
      <c r="GK95" s="174" t="str">
        <f t="shared" si="666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7"/>
        <v/>
      </c>
      <c r="GT95" s="343" t="str">
        <f t="shared" si="668"/>
        <v/>
      </c>
      <c r="GU95" s="344" t="str">
        <f t="shared" si="669"/>
        <v/>
      </c>
      <c r="GV95" s="343" t="str">
        <f t="shared" si="831"/>
        <v/>
      </c>
      <c r="GW95" s="345" t="str">
        <f t="shared" si="670"/>
        <v/>
      </c>
      <c r="GX95" s="346" t="str">
        <f t="shared" si="671"/>
        <v/>
      </c>
      <c r="GY95" s="344" t="str">
        <f t="shared" si="672"/>
        <v/>
      </c>
      <c r="GZ95" s="345" t="str">
        <f t="shared" si="673"/>
        <v/>
      </c>
      <c r="HA95" s="342" t="str">
        <f t="shared" si="674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5"/>
        <v/>
      </c>
      <c r="HF95" s="5" t="str">
        <f t="shared" si="676"/>
        <v/>
      </c>
      <c r="HG95" s="343" t="str">
        <f t="shared" si="835"/>
        <v/>
      </c>
      <c r="HH95" s="349" t="str">
        <f t="shared" si="836"/>
        <v/>
      </c>
      <c r="HI95" s="317" t="str">
        <f t="shared" si="677"/>
        <v/>
      </c>
      <c r="HK95" s="310" t="str">
        <f t="shared" si="733"/>
        <v/>
      </c>
      <c r="HL95" s="348" t="str">
        <f t="shared" si="678"/>
        <v/>
      </c>
      <c r="HM95" s="923" t="str">
        <f t="shared" si="679"/>
        <v/>
      </c>
      <c r="HN95" s="924" t="str">
        <f t="shared" si="680"/>
        <v/>
      </c>
      <c r="HO95" s="925"/>
      <c r="HP95" s="926"/>
      <c r="HQ95" s="924" t="str">
        <f t="shared" si="681"/>
        <v/>
      </c>
      <c r="HR95" s="927" t="str">
        <f t="shared" si="682"/>
        <v/>
      </c>
      <c r="HS95" s="879" t="str">
        <f t="shared" si="734"/>
        <v/>
      </c>
      <c r="HT95" s="889" t="str">
        <f t="shared" si="683"/>
        <v/>
      </c>
      <c r="HU95" s="890" t="str">
        <f t="shared" si="684"/>
        <v/>
      </c>
      <c r="HV95" s="886" t="str">
        <f t="shared" si="685"/>
        <v/>
      </c>
      <c r="HW95" s="880" t="str">
        <f t="shared" si="686"/>
        <v/>
      </c>
      <c r="HX95" s="881" t="str">
        <f t="shared" si="687"/>
        <v/>
      </c>
      <c r="HY95" s="880" t="str">
        <f t="shared" si="688"/>
        <v/>
      </c>
      <c r="HZ95" s="882" t="str">
        <f t="shared" si="689"/>
        <v/>
      </c>
      <c r="IA95" s="883" t="str">
        <f t="shared" si="690"/>
        <v/>
      </c>
      <c r="IB95" s="884" t="str">
        <f t="shared" si="691"/>
        <v/>
      </c>
      <c r="IC95" s="855" t="str">
        <f t="shared" si="692"/>
        <v/>
      </c>
      <c r="ID95" s="351" t="str">
        <f t="shared" si="693"/>
        <v/>
      </c>
      <c r="IE95" s="857" t="str">
        <f t="shared" si="694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37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695"/>
        <v/>
      </c>
      <c r="IM95" s="482" t="str">
        <f t="shared" si="838"/>
        <v/>
      </c>
      <c r="IN95" s="670" t="str">
        <f t="shared" si="696"/>
        <v/>
      </c>
      <c r="IO95" s="702"/>
      <c r="IP95" s="5" t="str">
        <f t="shared" si="697"/>
        <v/>
      </c>
      <c r="IQ95" s="714"/>
      <c r="IR95" s="9" t="str">
        <f t="shared" si="698"/>
        <v/>
      </c>
      <c r="IS95" s="5" t="str">
        <f t="shared" si="699"/>
        <v/>
      </c>
      <c r="IT95" s="5" t="str">
        <f t="shared" si="700"/>
        <v/>
      </c>
      <c r="IU95" s="5" t="str">
        <f t="shared" si="701"/>
        <v/>
      </c>
      <c r="IV95" s="670" t="str">
        <f t="shared" si="702"/>
        <v/>
      </c>
      <c r="IW95" s="9" t="str">
        <f t="shared" si="703"/>
        <v/>
      </c>
      <c r="IX95" s="5" t="str">
        <f t="shared" si="704"/>
        <v/>
      </c>
      <c r="IY95" s="5" t="str">
        <f t="shared" si="705"/>
        <v/>
      </c>
      <c r="IZ95" s="5" t="str">
        <f t="shared" si="706"/>
        <v/>
      </c>
      <c r="JA95" s="705" t="str">
        <f t="shared" si="707"/>
        <v/>
      </c>
    </row>
    <row r="96" spans="1:261" ht="15" customHeight="1" x14ac:dyDescent="0.25">
      <c r="A96" s="75" t="str">
        <f t="shared" si="708"/>
        <v/>
      </c>
      <c r="B96" s="578" t="str">
        <f t="shared" ref="B96:D96" si="881">IFERROR(O251-($A96*E96),"")</f>
        <v/>
      </c>
      <c r="C96" s="572" t="str">
        <f t="shared" si="881"/>
        <v/>
      </c>
      <c r="D96" s="576" t="str">
        <f t="shared" si="881"/>
        <v/>
      </c>
      <c r="E96" s="580" t="str">
        <f t="shared" ref="E96:K96" si="882">R251</f>
        <v/>
      </c>
      <c r="F96" s="572" t="str">
        <f t="shared" si="882"/>
        <v/>
      </c>
      <c r="G96" s="579" t="str">
        <f t="shared" si="882"/>
        <v/>
      </c>
      <c r="H96" s="580" t="str">
        <f t="shared" si="882"/>
        <v/>
      </c>
      <c r="I96" s="572" t="str">
        <f t="shared" si="882"/>
        <v/>
      </c>
      <c r="J96" s="483" t="str">
        <f t="shared" si="711"/>
        <v/>
      </c>
      <c r="K96" s="806" t="str">
        <f t="shared" si="882"/>
        <v/>
      </c>
      <c r="L96" s="309"/>
      <c r="M96" s="164" t="str">
        <f t="shared" si="625"/>
        <v/>
      </c>
      <c r="N96" s="575" t="str">
        <f t="shared" si="626"/>
        <v/>
      </c>
      <c r="O96" s="572" t="str">
        <f t="shared" si="627"/>
        <v/>
      </c>
      <c r="P96" s="576" t="str">
        <f t="shared" si="628"/>
        <v/>
      </c>
      <c r="Q96" s="528" t="str">
        <f t="shared" si="712"/>
        <v/>
      </c>
      <c r="R96" s="572" t="str">
        <f t="shared" si="96"/>
        <v/>
      </c>
      <c r="S96" s="577" t="str">
        <f t="shared" si="97"/>
        <v/>
      </c>
      <c r="T96" s="578" t="str">
        <f t="shared" si="98"/>
        <v/>
      </c>
      <c r="U96" s="572" t="str">
        <f t="shared" si="99"/>
        <v/>
      </c>
      <c r="V96" s="579" t="str">
        <f t="shared" si="136"/>
        <v/>
      </c>
      <c r="W96" s="528" t="str">
        <f t="shared" si="848"/>
        <v/>
      </c>
      <c r="X96" s="572" t="str">
        <f t="shared" si="100"/>
        <v/>
      </c>
      <c r="Y96" s="573" t="str">
        <f t="shared" si="841"/>
        <v/>
      </c>
      <c r="Z96" s="575" t="str">
        <f t="shared" si="629"/>
        <v/>
      </c>
      <c r="AA96" s="572" t="str">
        <f t="shared" si="630"/>
        <v/>
      </c>
      <c r="AB96" s="572" t="str">
        <f t="shared" si="631"/>
        <v/>
      </c>
      <c r="AC96" s="579" t="str">
        <f t="shared" si="101"/>
        <v/>
      </c>
      <c r="AD96" s="580" t="str">
        <f t="shared" si="137"/>
        <v/>
      </c>
      <c r="AE96" s="572" t="str">
        <f t="shared" si="102"/>
        <v/>
      </c>
      <c r="AF96" s="576" t="str">
        <f t="shared" si="103"/>
        <v/>
      </c>
      <c r="AG96" s="545" t="str">
        <f t="shared" si="104"/>
        <v/>
      </c>
      <c r="AH96" s="546" t="str">
        <f t="shared" si="105"/>
        <v/>
      </c>
      <c r="AI96" s="528" t="str">
        <f t="shared" si="106"/>
        <v/>
      </c>
      <c r="AJ96" s="529" t="str">
        <f t="shared" si="107"/>
        <v/>
      </c>
      <c r="AK96" s="578" t="str">
        <f t="shared" si="236"/>
        <v/>
      </c>
      <c r="AL96" s="572" t="str">
        <f t="shared" si="108"/>
        <v/>
      </c>
      <c r="AM96" s="577" t="str">
        <f t="shared" si="109"/>
        <v/>
      </c>
      <c r="AN96" s="524" t="str">
        <f t="shared" si="110"/>
        <v/>
      </c>
      <c r="AO96" s="525" t="str">
        <f t="shared" si="590"/>
        <v/>
      </c>
      <c r="AP96" s="528" t="str">
        <f t="shared" si="112"/>
        <v/>
      </c>
      <c r="AQ96" s="529" t="str">
        <f t="shared" si="632"/>
        <v/>
      </c>
      <c r="AS96" s="954" t="str">
        <f t="shared" si="737"/>
        <v/>
      </c>
      <c r="AT96" s="950" t="str">
        <f t="shared" si="633"/>
        <v/>
      </c>
      <c r="AU96" s="418"/>
      <c r="AV96" s="164" t="str">
        <f t="shared" si="634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5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6"/>
        <v/>
      </c>
      <c r="BF96" s="4" t="str">
        <f t="shared" si="637"/>
        <v/>
      </c>
      <c r="BG96" s="5" t="str">
        <f t="shared" si="638"/>
        <v/>
      </c>
      <c r="BH96" s="10" t="str">
        <f t="shared" si="639"/>
        <v/>
      </c>
      <c r="BI96" s="9" t="str">
        <f t="shared" si="739"/>
        <v/>
      </c>
      <c r="BJ96" s="5" t="str">
        <f t="shared" si="640"/>
        <v/>
      </c>
      <c r="BK96" s="8" t="str">
        <f t="shared" si="641"/>
        <v/>
      </c>
      <c r="BL96" s="173" t="str">
        <f t="shared" si="642"/>
        <v/>
      </c>
      <c r="BM96" s="5" t="str">
        <f t="shared" si="643"/>
        <v/>
      </c>
      <c r="BN96" s="6" t="str">
        <f t="shared" si="644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5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6"/>
        <v/>
      </c>
      <c r="ET96" s="5" t="str">
        <f t="shared" si="647"/>
        <v/>
      </c>
      <c r="EU96" s="10" t="str">
        <f t="shared" si="648"/>
        <v/>
      </c>
      <c r="EV96" s="174" t="str">
        <f t="shared" si="649"/>
        <v/>
      </c>
      <c r="EW96" s="9" t="str">
        <f t="shared" si="650"/>
        <v/>
      </c>
      <c r="EX96" s="5" t="str">
        <f t="shared" si="651"/>
        <v/>
      </c>
      <c r="EY96" s="6" t="str">
        <f t="shared" si="804"/>
        <v/>
      </c>
      <c r="EZ96" s="51" t="str">
        <f t="shared" si="805"/>
        <v/>
      </c>
      <c r="FA96" s="173" t="str">
        <f t="shared" si="652"/>
        <v/>
      </c>
      <c r="FB96" s="5" t="str">
        <f t="shared" si="653"/>
        <v/>
      </c>
      <c r="FC96" s="6" t="str">
        <f t="shared" si="654"/>
        <v/>
      </c>
      <c r="FD96" s="4" t="str">
        <f t="shared" si="655"/>
        <v/>
      </c>
      <c r="FE96" s="5" t="str">
        <f t="shared" si="656"/>
        <v/>
      </c>
      <c r="FF96" s="7" t="str">
        <f t="shared" si="806"/>
        <v/>
      </c>
      <c r="FG96" s="173" t="str">
        <f t="shared" si="657"/>
        <v/>
      </c>
      <c r="FH96" s="5" t="str">
        <f t="shared" si="658"/>
        <v/>
      </c>
      <c r="FI96" s="10" t="str">
        <f t="shared" si="659"/>
        <v/>
      </c>
      <c r="FJ96" s="279" t="str">
        <f t="shared" si="807"/>
        <v/>
      </c>
      <c r="FK96" s="4" t="str">
        <f t="shared" si="660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1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2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3"/>
        <v/>
      </c>
      <c r="GH96" s="286" t="str">
        <f t="shared" si="664"/>
        <v/>
      </c>
      <c r="GI96" s="281" t="str">
        <f t="shared" si="665"/>
        <v/>
      </c>
      <c r="GJ96" s="167" t="str">
        <f t="shared" si="823"/>
        <v/>
      </c>
      <c r="GK96" s="174" t="str">
        <f t="shared" si="666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7"/>
        <v/>
      </c>
      <c r="GT96" s="343" t="str">
        <f t="shared" si="668"/>
        <v/>
      </c>
      <c r="GU96" s="344" t="str">
        <f t="shared" si="669"/>
        <v/>
      </c>
      <c r="GV96" s="343" t="str">
        <f t="shared" si="831"/>
        <v/>
      </c>
      <c r="GW96" s="345" t="str">
        <f t="shared" si="670"/>
        <v/>
      </c>
      <c r="GX96" s="346" t="str">
        <f t="shared" si="671"/>
        <v/>
      </c>
      <c r="GY96" s="344" t="str">
        <f t="shared" si="672"/>
        <v/>
      </c>
      <c r="GZ96" s="345" t="str">
        <f t="shared" si="673"/>
        <v/>
      </c>
      <c r="HA96" s="342" t="str">
        <f t="shared" si="674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5"/>
        <v/>
      </c>
      <c r="HF96" s="5" t="str">
        <f t="shared" si="676"/>
        <v/>
      </c>
      <c r="HG96" s="343" t="str">
        <f t="shared" si="835"/>
        <v/>
      </c>
      <c r="HH96" s="349" t="str">
        <f t="shared" si="836"/>
        <v/>
      </c>
      <c r="HI96" s="317" t="str">
        <f t="shared" si="677"/>
        <v/>
      </c>
      <c r="HK96" s="310" t="str">
        <f t="shared" si="733"/>
        <v/>
      </c>
      <c r="HL96" s="348" t="str">
        <f t="shared" si="678"/>
        <v/>
      </c>
      <c r="HM96" s="923" t="str">
        <f t="shared" si="679"/>
        <v/>
      </c>
      <c r="HN96" s="924" t="str">
        <f t="shared" si="680"/>
        <v/>
      </c>
      <c r="HO96" s="925"/>
      <c r="HP96" s="926"/>
      <c r="HQ96" s="924" t="str">
        <f t="shared" si="681"/>
        <v/>
      </c>
      <c r="HR96" s="927" t="str">
        <f t="shared" si="682"/>
        <v/>
      </c>
      <c r="HS96" s="879" t="str">
        <f t="shared" si="734"/>
        <v/>
      </c>
      <c r="HT96" s="889" t="str">
        <f t="shared" si="683"/>
        <v/>
      </c>
      <c r="HU96" s="890" t="str">
        <f t="shared" si="684"/>
        <v/>
      </c>
      <c r="HV96" s="886" t="str">
        <f t="shared" si="685"/>
        <v/>
      </c>
      <c r="HW96" s="880" t="str">
        <f t="shared" si="686"/>
        <v/>
      </c>
      <c r="HX96" s="881" t="str">
        <f t="shared" si="687"/>
        <v/>
      </c>
      <c r="HY96" s="880" t="str">
        <f t="shared" si="688"/>
        <v/>
      </c>
      <c r="HZ96" s="882" t="str">
        <f t="shared" si="689"/>
        <v/>
      </c>
      <c r="IA96" s="883" t="str">
        <f t="shared" si="690"/>
        <v/>
      </c>
      <c r="IB96" s="884" t="str">
        <f t="shared" si="691"/>
        <v/>
      </c>
      <c r="IC96" s="855" t="str">
        <f t="shared" si="692"/>
        <v/>
      </c>
      <c r="ID96" s="351" t="str">
        <f t="shared" si="693"/>
        <v/>
      </c>
      <c r="IE96" s="857" t="str">
        <f t="shared" si="694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37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695"/>
        <v/>
      </c>
      <c r="IM96" s="482" t="str">
        <f t="shared" si="838"/>
        <v/>
      </c>
      <c r="IN96" s="670" t="str">
        <f t="shared" si="696"/>
        <v/>
      </c>
      <c r="IO96" s="702"/>
      <c r="IP96" s="5" t="str">
        <f t="shared" si="697"/>
        <v/>
      </c>
      <c r="IQ96" s="714"/>
      <c r="IR96" s="9" t="str">
        <f t="shared" si="698"/>
        <v/>
      </c>
      <c r="IS96" s="5" t="str">
        <f t="shared" si="699"/>
        <v/>
      </c>
      <c r="IT96" s="5" t="str">
        <f t="shared" si="700"/>
        <v/>
      </c>
      <c r="IU96" s="5" t="str">
        <f t="shared" si="701"/>
        <v/>
      </c>
      <c r="IV96" s="670" t="str">
        <f t="shared" si="702"/>
        <v/>
      </c>
      <c r="IW96" s="9" t="str">
        <f t="shared" si="703"/>
        <v/>
      </c>
      <c r="IX96" s="5" t="str">
        <f t="shared" si="704"/>
        <v/>
      </c>
      <c r="IY96" s="5" t="str">
        <f t="shared" si="705"/>
        <v/>
      </c>
      <c r="IZ96" s="5" t="str">
        <f t="shared" si="706"/>
        <v/>
      </c>
      <c r="JA96" s="705" t="str">
        <f t="shared" si="707"/>
        <v/>
      </c>
    </row>
    <row r="97" spans="1:261" ht="15" customHeight="1" x14ac:dyDescent="0.25">
      <c r="A97" s="75" t="str">
        <f t="shared" si="708"/>
        <v/>
      </c>
      <c r="B97" s="578" t="str">
        <f t="shared" ref="B97:D97" si="883">IFERROR(O252-($A97*E97),"")</f>
        <v/>
      </c>
      <c r="C97" s="572" t="str">
        <f t="shared" si="883"/>
        <v/>
      </c>
      <c r="D97" s="576" t="str">
        <f t="shared" si="883"/>
        <v/>
      </c>
      <c r="E97" s="580" t="str">
        <f t="shared" ref="E97:K97" si="884">R252</f>
        <v/>
      </c>
      <c r="F97" s="572" t="str">
        <f t="shared" si="884"/>
        <v/>
      </c>
      <c r="G97" s="579" t="str">
        <f t="shared" si="884"/>
        <v/>
      </c>
      <c r="H97" s="580" t="str">
        <f t="shared" si="884"/>
        <v/>
      </c>
      <c r="I97" s="572" t="str">
        <f t="shared" si="884"/>
        <v/>
      </c>
      <c r="J97" s="483" t="str">
        <f t="shared" si="711"/>
        <v/>
      </c>
      <c r="K97" s="806" t="str">
        <f t="shared" si="884"/>
        <v/>
      </c>
      <c r="L97" s="309"/>
      <c r="M97" s="164" t="str">
        <f t="shared" si="625"/>
        <v/>
      </c>
      <c r="N97" s="575" t="str">
        <f t="shared" si="626"/>
        <v/>
      </c>
      <c r="O97" s="572" t="str">
        <f t="shared" si="627"/>
        <v/>
      </c>
      <c r="P97" s="576" t="str">
        <f t="shared" si="628"/>
        <v/>
      </c>
      <c r="Q97" s="528" t="str">
        <f t="shared" si="712"/>
        <v/>
      </c>
      <c r="R97" s="572" t="str">
        <f t="shared" si="96"/>
        <v/>
      </c>
      <c r="S97" s="577" t="str">
        <f t="shared" si="97"/>
        <v/>
      </c>
      <c r="T97" s="578" t="str">
        <f t="shared" si="98"/>
        <v/>
      </c>
      <c r="U97" s="572" t="str">
        <f t="shared" si="99"/>
        <v/>
      </c>
      <c r="V97" s="579" t="str">
        <f t="shared" si="136"/>
        <v/>
      </c>
      <c r="W97" s="528" t="str">
        <f t="shared" si="848"/>
        <v/>
      </c>
      <c r="X97" s="572" t="str">
        <f t="shared" si="100"/>
        <v/>
      </c>
      <c r="Y97" s="573" t="str">
        <f t="shared" si="841"/>
        <v/>
      </c>
      <c r="Z97" s="575" t="str">
        <f t="shared" si="629"/>
        <v/>
      </c>
      <c r="AA97" s="572" t="str">
        <f t="shared" si="630"/>
        <v/>
      </c>
      <c r="AB97" s="572" t="str">
        <f t="shared" si="631"/>
        <v/>
      </c>
      <c r="AC97" s="579" t="str">
        <f t="shared" si="101"/>
        <v/>
      </c>
      <c r="AD97" s="580" t="str">
        <f t="shared" si="137"/>
        <v/>
      </c>
      <c r="AE97" s="572" t="str">
        <f t="shared" si="102"/>
        <v/>
      </c>
      <c r="AF97" s="576" t="str">
        <f t="shared" si="103"/>
        <v/>
      </c>
      <c r="AG97" s="545" t="str">
        <f t="shared" si="104"/>
        <v/>
      </c>
      <c r="AH97" s="546" t="str">
        <f t="shared" si="105"/>
        <v/>
      </c>
      <c r="AI97" s="528" t="str">
        <f t="shared" si="106"/>
        <v/>
      </c>
      <c r="AJ97" s="529" t="str">
        <f t="shared" si="107"/>
        <v/>
      </c>
      <c r="AK97" s="578" t="str">
        <f t="shared" si="236"/>
        <v/>
      </c>
      <c r="AL97" s="572" t="str">
        <f t="shared" si="108"/>
        <v/>
      </c>
      <c r="AM97" s="577" t="str">
        <f t="shared" si="109"/>
        <v/>
      </c>
      <c r="AN97" s="524" t="str">
        <f t="shared" si="110"/>
        <v/>
      </c>
      <c r="AO97" s="525" t="str">
        <f t="shared" si="590"/>
        <v/>
      </c>
      <c r="AP97" s="528" t="str">
        <f t="shared" si="112"/>
        <v/>
      </c>
      <c r="AQ97" s="529" t="str">
        <f t="shared" si="632"/>
        <v/>
      </c>
      <c r="AS97" s="954" t="str">
        <f t="shared" si="737"/>
        <v/>
      </c>
      <c r="AT97" s="950" t="str">
        <f t="shared" si="633"/>
        <v/>
      </c>
      <c r="AU97" s="418"/>
      <c r="AV97" s="164" t="str">
        <f t="shared" si="634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5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6"/>
        <v/>
      </c>
      <c r="BF97" s="4" t="str">
        <f t="shared" si="637"/>
        <v/>
      </c>
      <c r="BG97" s="5" t="str">
        <f t="shared" si="638"/>
        <v/>
      </c>
      <c r="BH97" s="10" t="str">
        <f t="shared" si="639"/>
        <v/>
      </c>
      <c r="BI97" s="9" t="str">
        <f t="shared" si="739"/>
        <v/>
      </c>
      <c r="BJ97" s="5" t="str">
        <f t="shared" si="640"/>
        <v/>
      </c>
      <c r="BK97" s="8" t="str">
        <f t="shared" si="641"/>
        <v/>
      </c>
      <c r="BL97" s="173" t="str">
        <f t="shared" si="642"/>
        <v/>
      </c>
      <c r="BM97" s="5" t="str">
        <f t="shared" si="643"/>
        <v/>
      </c>
      <c r="BN97" s="6" t="str">
        <f t="shared" si="644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5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6"/>
        <v/>
      </c>
      <c r="ET97" s="5" t="str">
        <f t="shared" si="647"/>
        <v/>
      </c>
      <c r="EU97" s="10" t="str">
        <f t="shared" si="648"/>
        <v/>
      </c>
      <c r="EV97" s="174" t="str">
        <f t="shared" si="649"/>
        <v/>
      </c>
      <c r="EW97" s="9" t="str">
        <f t="shared" si="650"/>
        <v/>
      </c>
      <c r="EX97" s="5" t="str">
        <f t="shared" si="651"/>
        <v/>
      </c>
      <c r="EY97" s="6" t="str">
        <f t="shared" si="804"/>
        <v/>
      </c>
      <c r="EZ97" s="51" t="str">
        <f t="shared" si="805"/>
        <v/>
      </c>
      <c r="FA97" s="173" t="str">
        <f t="shared" si="652"/>
        <v/>
      </c>
      <c r="FB97" s="5" t="str">
        <f t="shared" si="653"/>
        <v/>
      </c>
      <c r="FC97" s="6" t="str">
        <f t="shared" si="654"/>
        <v/>
      </c>
      <c r="FD97" s="4" t="str">
        <f t="shared" si="655"/>
        <v/>
      </c>
      <c r="FE97" s="5" t="str">
        <f t="shared" si="656"/>
        <v/>
      </c>
      <c r="FF97" s="7" t="str">
        <f t="shared" si="806"/>
        <v/>
      </c>
      <c r="FG97" s="173" t="str">
        <f t="shared" si="657"/>
        <v/>
      </c>
      <c r="FH97" s="5" t="str">
        <f t="shared" si="658"/>
        <v/>
      </c>
      <c r="FI97" s="10" t="str">
        <f t="shared" si="659"/>
        <v/>
      </c>
      <c r="FJ97" s="279" t="str">
        <f t="shared" si="807"/>
        <v/>
      </c>
      <c r="FK97" s="4" t="str">
        <f t="shared" si="660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1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2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3"/>
        <v/>
      </c>
      <c r="GH97" s="286" t="str">
        <f t="shared" si="664"/>
        <v/>
      </c>
      <c r="GI97" s="281" t="str">
        <f t="shared" si="665"/>
        <v/>
      </c>
      <c r="GJ97" s="167" t="str">
        <f t="shared" si="823"/>
        <v/>
      </c>
      <c r="GK97" s="174" t="str">
        <f t="shared" si="666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7"/>
        <v/>
      </c>
      <c r="GT97" s="343" t="str">
        <f t="shared" si="668"/>
        <v/>
      </c>
      <c r="GU97" s="344" t="str">
        <f t="shared" si="669"/>
        <v/>
      </c>
      <c r="GV97" s="343" t="str">
        <f t="shared" si="831"/>
        <v/>
      </c>
      <c r="GW97" s="345" t="str">
        <f t="shared" si="670"/>
        <v/>
      </c>
      <c r="GX97" s="346" t="str">
        <f t="shared" si="671"/>
        <v/>
      </c>
      <c r="GY97" s="344" t="str">
        <f t="shared" si="672"/>
        <v/>
      </c>
      <c r="GZ97" s="345" t="str">
        <f t="shared" si="673"/>
        <v/>
      </c>
      <c r="HA97" s="342" t="str">
        <f t="shared" si="674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5"/>
        <v/>
      </c>
      <c r="HF97" s="5" t="str">
        <f t="shared" si="676"/>
        <v/>
      </c>
      <c r="HG97" s="343" t="str">
        <f t="shared" si="835"/>
        <v/>
      </c>
      <c r="HH97" s="349" t="str">
        <f t="shared" si="836"/>
        <v/>
      </c>
      <c r="HI97" s="317" t="str">
        <f t="shared" si="677"/>
        <v/>
      </c>
      <c r="HK97" s="310" t="str">
        <f t="shared" si="733"/>
        <v/>
      </c>
      <c r="HL97" s="348" t="str">
        <f t="shared" si="678"/>
        <v/>
      </c>
      <c r="HM97" s="923" t="str">
        <f t="shared" si="679"/>
        <v/>
      </c>
      <c r="HN97" s="924" t="str">
        <f t="shared" si="680"/>
        <v/>
      </c>
      <c r="HO97" s="925"/>
      <c r="HP97" s="926"/>
      <c r="HQ97" s="924" t="str">
        <f t="shared" si="681"/>
        <v/>
      </c>
      <c r="HR97" s="927" t="str">
        <f t="shared" si="682"/>
        <v/>
      </c>
      <c r="HS97" s="879" t="str">
        <f t="shared" si="734"/>
        <v/>
      </c>
      <c r="HT97" s="889" t="str">
        <f t="shared" si="683"/>
        <v/>
      </c>
      <c r="HU97" s="890" t="str">
        <f t="shared" si="684"/>
        <v/>
      </c>
      <c r="HV97" s="886" t="str">
        <f t="shared" si="685"/>
        <v/>
      </c>
      <c r="HW97" s="880" t="str">
        <f t="shared" si="686"/>
        <v/>
      </c>
      <c r="HX97" s="881" t="str">
        <f t="shared" si="687"/>
        <v/>
      </c>
      <c r="HY97" s="880" t="str">
        <f t="shared" si="688"/>
        <v/>
      </c>
      <c r="HZ97" s="882" t="str">
        <f t="shared" si="689"/>
        <v/>
      </c>
      <c r="IA97" s="883" t="str">
        <f t="shared" si="690"/>
        <v/>
      </c>
      <c r="IB97" s="884" t="str">
        <f t="shared" si="691"/>
        <v/>
      </c>
      <c r="IC97" s="855" t="str">
        <f t="shared" si="692"/>
        <v/>
      </c>
      <c r="ID97" s="351" t="str">
        <f t="shared" si="693"/>
        <v/>
      </c>
      <c r="IE97" s="857" t="str">
        <f t="shared" si="694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37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695"/>
        <v/>
      </c>
      <c r="IM97" s="482" t="str">
        <f t="shared" si="838"/>
        <v/>
      </c>
      <c r="IN97" s="670" t="str">
        <f t="shared" si="696"/>
        <v/>
      </c>
      <c r="IO97" s="702"/>
      <c r="IP97" s="5" t="str">
        <f t="shared" si="697"/>
        <v/>
      </c>
      <c r="IQ97" s="714"/>
      <c r="IR97" s="9" t="str">
        <f t="shared" si="698"/>
        <v/>
      </c>
      <c r="IS97" s="5" t="str">
        <f t="shared" si="699"/>
        <v/>
      </c>
      <c r="IT97" s="5" t="str">
        <f t="shared" si="700"/>
        <v/>
      </c>
      <c r="IU97" s="5" t="str">
        <f t="shared" si="701"/>
        <v/>
      </c>
      <c r="IV97" s="670" t="str">
        <f t="shared" si="702"/>
        <v/>
      </c>
      <c r="IW97" s="9" t="str">
        <f t="shared" si="703"/>
        <v/>
      </c>
      <c r="IX97" s="5" t="str">
        <f t="shared" si="704"/>
        <v/>
      </c>
      <c r="IY97" s="5" t="str">
        <f t="shared" si="705"/>
        <v/>
      </c>
      <c r="IZ97" s="5" t="str">
        <f t="shared" si="706"/>
        <v/>
      </c>
      <c r="JA97" s="705" t="str">
        <f t="shared" si="707"/>
        <v/>
      </c>
    </row>
    <row r="98" spans="1:261" ht="15" customHeight="1" x14ac:dyDescent="0.25">
      <c r="A98" s="75" t="str">
        <f t="shared" si="708"/>
        <v/>
      </c>
      <c r="B98" s="578" t="str">
        <f t="shared" ref="B98:D98" si="885">IFERROR(O253-($A98*E98),"")</f>
        <v/>
      </c>
      <c r="C98" s="572" t="str">
        <f t="shared" si="885"/>
        <v/>
      </c>
      <c r="D98" s="576" t="str">
        <f t="shared" si="885"/>
        <v/>
      </c>
      <c r="E98" s="580" t="str">
        <f t="shared" ref="E98:K98" si="886">R253</f>
        <v/>
      </c>
      <c r="F98" s="572" t="str">
        <f t="shared" si="886"/>
        <v/>
      </c>
      <c r="G98" s="579" t="str">
        <f t="shared" si="886"/>
        <v/>
      </c>
      <c r="H98" s="580" t="str">
        <f t="shared" si="886"/>
        <v/>
      </c>
      <c r="I98" s="572" t="str">
        <f t="shared" si="886"/>
        <v/>
      </c>
      <c r="J98" s="483" t="str">
        <f t="shared" si="711"/>
        <v/>
      </c>
      <c r="K98" s="806" t="str">
        <f t="shared" si="886"/>
        <v/>
      </c>
      <c r="L98" s="309"/>
      <c r="M98" s="164" t="str">
        <f t="shared" si="625"/>
        <v/>
      </c>
      <c r="N98" s="575" t="str">
        <f t="shared" si="626"/>
        <v/>
      </c>
      <c r="O98" s="572" t="str">
        <f t="shared" si="627"/>
        <v/>
      </c>
      <c r="P98" s="576" t="str">
        <f t="shared" si="628"/>
        <v/>
      </c>
      <c r="Q98" s="528" t="str">
        <f t="shared" si="712"/>
        <v/>
      </c>
      <c r="R98" s="572" t="str">
        <f t="shared" si="96"/>
        <v/>
      </c>
      <c r="S98" s="577" t="str">
        <f t="shared" si="97"/>
        <v/>
      </c>
      <c r="T98" s="578" t="str">
        <f t="shared" si="98"/>
        <v/>
      </c>
      <c r="U98" s="572" t="str">
        <f t="shared" si="99"/>
        <v/>
      </c>
      <c r="V98" s="579" t="str">
        <f t="shared" si="136"/>
        <v/>
      </c>
      <c r="W98" s="528" t="str">
        <f t="shared" si="848"/>
        <v/>
      </c>
      <c r="X98" s="572" t="str">
        <f t="shared" si="100"/>
        <v/>
      </c>
      <c r="Y98" s="573" t="str">
        <f t="shared" si="841"/>
        <v/>
      </c>
      <c r="Z98" s="575" t="str">
        <f t="shared" si="629"/>
        <v/>
      </c>
      <c r="AA98" s="572" t="str">
        <f t="shared" si="630"/>
        <v/>
      </c>
      <c r="AB98" s="572" t="str">
        <f t="shared" si="631"/>
        <v/>
      </c>
      <c r="AC98" s="579" t="str">
        <f t="shared" si="101"/>
        <v/>
      </c>
      <c r="AD98" s="580" t="str">
        <f t="shared" si="137"/>
        <v/>
      </c>
      <c r="AE98" s="572" t="str">
        <f t="shared" si="102"/>
        <v/>
      </c>
      <c r="AF98" s="576" t="str">
        <f t="shared" si="103"/>
        <v/>
      </c>
      <c r="AG98" s="545" t="str">
        <f t="shared" si="104"/>
        <v/>
      </c>
      <c r="AH98" s="546" t="str">
        <f t="shared" si="105"/>
        <v/>
      </c>
      <c r="AI98" s="528" t="str">
        <f t="shared" si="106"/>
        <v/>
      </c>
      <c r="AJ98" s="529" t="str">
        <f t="shared" si="107"/>
        <v/>
      </c>
      <c r="AK98" s="578" t="str">
        <f t="shared" si="236"/>
        <v/>
      </c>
      <c r="AL98" s="572" t="str">
        <f t="shared" si="108"/>
        <v/>
      </c>
      <c r="AM98" s="577" t="str">
        <f t="shared" si="109"/>
        <v/>
      </c>
      <c r="AN98" s="524" t="str">
        <f t="shared" si="110"/>
        <v/>
      </c>
      <c r="AO98" s="525" t="str">
        <f t="shared" si="590"/>
        <v/>
      </c>
      <c r="AP98" s="528" t="str">
        <f t="shared" si="112"/>
        <v/>
      </c>
      <c r="AQ98" s="529" t="str">
        <f t="shared" si="632"/>
        <v/>
      </c>
      <c r="AS98" s="954" t="str">
        <f t="shared" si="737"/>
        <v/>
      </c>
      <c r="AT98" s="950" t="str">
        <f t="shared" si="633"/>
        <v/>
      </c>
      <c r="AU98" s="418"/>
      <c r="AV98" s="164" t="str">
        <f t="shared" si="634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5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6"/>
        <v/>
      </c>
      <c r="BF98" s="4" t="str">
        <f t="shared" si="637"/>
        <v/>
      </c>
      <c r="BG98" s="5" t="str">
        <f t="shared" si="638"/>
        <v/>
      </c>
      <c r="BH98" s="10" t="str">
        <f t="shared" si="639"/>
        <v/>
      </c>
      <c r="BI98" s="9" t="str">
        <f t="shared" si="739"/>
        <v/>
      </c>
      <c r="BJ98" s="5" t="str">
        <f t="shared" si="640"/>
        <v/>
      </c>
      <c r="BK98" s="8" t="str">
        <f t="shared" si="641"/>
        <v/>
      </c>
      <c r="BL98" s="173" t="str">
        <f t="shared" si="642"/>
        <v/>
      </c>
      <c r="BM98" s="5" t="str">
        <f t="shared" si="643"/>
        <v/>
      </c>
      <c r="BN98" s="6" t="str">
        <f t="shared" si="644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5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6"/>
        <v/>
      </c>
      <c r="ET98" s="5" t="str">
        <f t="shared" si="647"/>
        <v/>
      </c>
      <c r="EU98" s="10" t="str">
        <f t="shared" si="648"/>
        <v/>
      </c>
      <c r="EV98" s="174" t="str">
        <f t="shared" si="649"/>
        <v/>
      </c>
      <c r="EW98" s="9" t="str">
        <f t="shared" si="650"/>
        <v/>
      </c>
      <c r="EX98" s="5" t="str">
        <f t="shared" si="651"/>
        <v/>
      </c>
      <c r="EY98" s="6" t="str">
        <f t="shared" si="804"/>
        <v/>
      </c>
      <c r="EZ98" s="51" t="str">
        <f t="shared" si="805"/>
        <v/>
      </c>
      <c r="FA98" s="173" t="str">
        <f t="shared" si="652"/>
        <v/>
      </c>
      <c r="FB98" s="5" t="str">
        <f t="shared" si="653"/>
        <v/>
      </c>
      <c r="FC98" s="6" t="str">
        <f t="shared" si="654"/>
        <v/>
      </c>
      <c r="FD98" s="4" t="str">
        <f t="shared" si="655"/>
        <v/>
      </c>
      <c r="FE98" s="5" t="str">
        <f t="shared" si="656"/>
        <v/>
      </c>
      <c r="FF98" s="7" t="str">
        <f t="shared" si="806"/>
        <v/>
      </c>
      <c r="FG98" s="173" t="str">
        <f t="shared" si="657"/>
        <v/>
      </c>
      <c r="FH98" s="5" t="str">
        <f t="shared" si="658"/>
        <v/>
      </c>
      <c r="FI98" s="10" t="str">
        <f t="shared" si="659"/>
        <v/>
      </c>
      <c r="FJ98" s="279" t="str">
        <f t="shared" si="807"/>
        <v/>
      </c>
      <c r="FK98" s="4" t="str">
        <f t="shared" si="660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1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2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3"/>
        <v/>
      </c>
      <c r="GH98" s="286" t="str">
        <f t="shared" si="664"/>
        <v/>
      </c>
      <c r="GI98" s="281" t="str">
        <f t="shared" si="665"/>
        <v/>
      </c>
      <c r="GJ98" s="167" t="str">
        <f t="shared" si="823"/>
        <v/>
      </c>
      <c r="GK98" s="174" t="str">
        <f t="shared" si="666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7"/>
        <v/>
      </c>
      <c r="GT98" s="343" t="str">
        <f t="shared" si="668"/>
        <v/>
      </c>
      <c r="GU98" s="344" t="str">
        <f t="shared" si="669"/>
        <v/>
      </c>
      <c r="GV98" s="343" t="str">
        <f t="shared" si="831"/>
        <v/>
      </c>
      <c r="GW98" s="345" t="str">
        <f t="shared" si="670"/>
        <v/>
      </c>
      <c r="GX98" s="346" t="str">
        <f t="shared" si="671"/>
        <v/>
      </c>
      <c r="GY98" s="344" t="str">
        <f t="shared" si="672"/>
        <v/>
      </c>
      <c r="GZ98" s="345" t="str">
        <f t="shared" si="673"/>
        <v/>
      </c>
      <c r="HA98" s="342" t="str">
        <f t="shared" si="674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5"/>
        <v/>
      </c>
      <c r="HF98" s="5" t="str">
        <f t="shared" si="676"/>
        <v/>
      </c>
      <c r="HG98" s="343" t="str">
        <f t="shared" si="835"/>
        <v/>
      </c>
      <c r="HH98" s="349" t="str">
        <f t="shared" si="836"/>
        <v/>
      </c>
      <c r="HI98" s="317" t="str">
        <f t="shared" si="677"/>
        <v/>
      </c>
      <c r="HK98" s="310" t="str">
        <f t="shared" si="733"/>
        <v/>
      </c>
      <c r="HL98" s="348" t="str">
        <f t="shared" si="678"/>
        <v/>
      </c>
      <c r="HM98" s="923" t="str">
        <f t="shared" si="679"/>
        <v/>
      </c>
      <c r="HN98" s="924" t="str">
        <f t="shared" si="680"/>
        <v/>
      </c>
      <c r="HO98" s="925"/>
      <c r="HP98" s="926"/>
      <c r="HQ98" s="924" t="str">
        <f t="shared" si="681"/>
        <v/>
      </c>
      <c r="HR98" s="927" t="str">
        <f t="shared" si="682"/>
        <v/>
      </c>
      <c r="HS98" s="879" t="str">
        <f t="shared" si="734"/>
        <v/>
      </c>
      <c r="HT98" s="889" t="str">
        <f t="shared" si="683"/>
        <v/>
      </c>
      <c r="HU98" s="890" t="str">
        <f t="shared" si="684"/>
        <v/>
      </c>
      <c r="HV98" s="886" t="str">
        <f t="shared" si="685"/>
        <v/>
      </c>
      <c r="HW98" s="880" t="str">
        <f t="shared" si="686"/>
        <v/>
      </c>
      <c r="HX98" s="881" t="str">
        <f t="shared" si="687"/>
        <v/>
      </c>
      <c r="HY98" s="880" t="str">
        <f t="shared" si="688"/>
        <v/>
      </c>
      <c r="HZ98" s="882" t="str">
        <f t="shared" si="689"/>
        <v/>
      </c>
      <c r="IA98" s="883" t="str">
        <f t="shared" si="690"/>
        <v/>
      </c>
      <c r="IB98" s="884" t="str">
        <f t="shared" si="691"/>
        <v/>
      </c>
      <c r="IC98" s="855" t="str">
        <f t="shared" si="692"/>
        <v/>
      </c>
      <c r="ID98" s="351" t="str">
        <f t="shared" si="693"/>
        <v/>
      </c>
      <c r="IE98" s="857" t="str">
        <f t="shared" si="694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37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695"/>
        <v/>
      </c>
      <c r="IM98" s="482" t="str">
        <f t="shared" si="838"/>
        <v/>
      </c>
      <c r="IN98" s="670" t="str">
        <f t="shared" si="696"/>
        <v/>
      </c>
      <c r="IO98" s="702"/>
      <c r="IP98" s="5" t="str">
        <f t="shared" si="697"/>
        <v/>
      </c>
      <c r="IQ98" s="714"/>
      <c r="IR98" s="9" t="str">
        <f t="shared" si="698"/>
        <v/>
      </c>
      <c r="IS98" s="5" t="str">
        <f t="shared" si="699"/>
        <v/>
      </c>
      <c r="IT98" s="5" t="str">
        <f t="shared" si="700"/>
        <v/>
      </c>
      <c r="IU98" s="5" t="str">
        <f t="shared" si="701"/>
        <v/>
      </c>
      <c r="IV98" s="670" t="str">
        <f t="shared" si="702"/>
        <v/>
      </c>
      <c r="IW98" s="9" t="str">
        <f t="shared" si="703"/>
        <v/>
      </c>
      <c r="IX98" s="5" t="str">
        <f t="shared" si="704"/>
        <v/>
      </c>
      <c r="IY98" s="5" t="str">
        <f t="shared" si="705"/>
        <v/>
      </c>
      <c r="IZ98" s="5" t="str">
        <f t="shared" si="706"/>
        <v/>
      </c>
      <c r="JA98" s="705" t="str">
        <f t="shared" si="707"/>
        <v/>
      </c>
    </row>
    <row r="99" spans="1:261" ht="15" customHeight="1" x14ac:dyDescent="0.25">
      <c r="A99" s="75" t="str">
        <f t="shared" si="708"/>
        <v/>
      </c>
      <c r="B99" s="578" t="str">
        <f t="shared" ref="B99:D99" si="887">IFERROR(O254-($A99*E99),"")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6" t="str">
        <f t="shared" si="888"/>
        <v/>
      </c>
      <c r="L99" s="309"/>
      <c r="M99" s="164" t="str">
        <f t="shared" si="625"/>
        <v/>
      </c>
      <c r="N99" s="575" t="str">
        <f t="shared" si="626"/>
        <v/>
      </c>
      <c r="O99" s="572" t="str">
        <f t="shared" si="627"/>
        <v/>
      </c>
      <c r="P99" s="576" t="str">
        <f t="shared" si="628"/>
        <v/>
      </c>
      <c r="Q99" s="528" t="str">
        <f t="shared" si="712"/>
        <v/>
      </c>
      <c r="R99" s="572" t="str">
        <f t="shared" si="96"/>
        <v/>
      </c>
      <c r="S99" s="577" t="str">
        <f t="shared" si="97"/>
        <v/>
      </c>
      <c r="T99" s="578" t="str">
        <f t="shared" si="98"/>
        <v/>
      </c>
      <c r="U99" s="572" t="str">
        <f t="shared" si="99"/>
        <v/>
      </c>
      <c r="V99" s="579" t="str">
        <f t="shared" si="136"/>
        <v/>
      </c>
      <c r="W99" s="528" t="str">
        <f t="shared" si="848"/>
        <v/>
      </c>
      <c r="X99" s="572" t="str">
        <f t="shared" si="100"/>
        <v/>
      </c>
      <c r="Y99" s="573" t="str">
        <f t="shared" si="841"/>
        <v/>
      </c>
      <c r="Z99" s="575" t="str">
        <f t="shared" si="629"/>
        <v/>
      </c>
      <c r="AA99" s="572" t="str">
        <f t="shared" si="630"/>
        <v/>
      </c>
      <c r="AB99" s="572" t="str">
        <f t="shared" si="631"/>
        <v/>
      </c>
      <c r="AC99" s="579" t="str">
        <f t="shared" si="101"/>
        <v/>
      </c>
      <c r="AD99" s="580" t="str">
        <f t="shared" si="137"/>
        <v/>
      </c>
      <c r="AE99" s="572" t="str">
        <f t="shared" si="102"/>
        <v/>
      </c>
      <c r="AF99" s="576" t="str">
        <f t="shared" si="103"/>
        <v/>
      </c>
      <c r="AG99" s="545" t="str">
        <f t="shared" si="104"/>
        <v/>
      </c>
      <c r="AH99" s="546" t="str">
        <f t="shared" si="105"/>
        <v/>
      </c>
      <c r="AI99" s="528" t="str">
        <f t="shared" si="106"/>
        <v/>
      </c>
      <c r="AJ99" s="529" t="str">
        <f t="shared" si="107"/>
        <v/>
      </c>
      <c r="AK99" s="578" t="str">
        <f t="shared" si="236"/>
        <v/>
      </c>
      <c r="AL99" s="572" t="str">
        <f t="shared" si="108"/>
        <v/>
      </c>
      <c r="AM99" s="577" t="str">
        <f t="shared" si="109"/>
        <v/>
      </c>
      <c r="AN99" s="524" t="str">
        <f t="shared" si="110"/>
        <v/>
      </c>
      <c r="AO99" s="525" t="str">
        <f t="shared" si="590"/>
        <v/>
      </c>
      <c r="AP99" s="528" t="str">
        <f t="shared" si="112"/>
        <v/>
      </c>
      <c r="AQ99" s="529" t="str">
        <f t="shared" si="632"/>
        <v/>
      </c>
      <c r="AS99" s="954" t="str">
        <f t="shared" si="737"/>
        <v/>
      </c>
      <c r="AT99" s="950" t="str">
        <f t="shared" si="633"/>
        <v/>
      </c>
      <c r="AU99" s="418"/>
      <c r="AV99" s="164" t="str">
        <f t="shared" si="634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5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6"/>
        <v/>
      </c>
      <c r="BF99" s="4" t="str">
        <f t="shared" si="637"/>
        <v/>
      </c>
      <c r="BG99" s="5" t="str">
        <f t="shared" si="638"/>
        <v/>
      </c>
      <c r="BH99" s="10" t="str">
        <f t="shared" si="639"/>
        <v/>
      </c>
      <c r="BI99" s="9" t="str">
        <f t="shared" si="739"/>
        <v/>
      </c>
      <c r="BJ99" s="5" t="str">
        <f t="shared" si="640"/>
        <v/>
      </c>
      <c r="BK99" s="8" t="str">
        <f t="shared" si="641"/>
        <v/>
      </c>
      <c r="BL99" s="173" t="str">
        <f t="shared" si="642"/>
        <v/>
      </c>
      <c r="BM99" s="5" t="str">
        <f t="shared" si="643"/>
        <v/>
      </c>
      <c r="BN99" s="6" t="str">
        <f t="shared" si="644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5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6"/>
        <v/>
      </c>
      <c r="ET99" s="5" t="str">
        <f t="shared" si="647"/>
        <v/>
      </c>
      <c r="EU99" s="10" t="str">
        <f t="shared" si="648"/>
        <v/>
      </c>
      <c r="EV99" s="174" t="str">
        <f t="shared" si="649"/>
        <v/>
      </c>
      <c r="EW99" s="9" t="str">
        <f t="shared" si="650"/>
        <v/>
      </c>
      <c r="EX99" s="5" t="str">
        <f t="shared" si="651"/>
        <v/>
      </c>
      <c r="EY99" s="6" t="str">
        <f t="shared" si="804"/>
        <v/>
      </c>
      <c r="EZ99" s="51" t="str">
        <f t="shared" si="805"/>
        <v/>
      </c>
      <c r="FA99" s="173" t="str">
        <f t="shared" si="652"/>
        <v/>
      </c>
      <c r="FB99" s="5" t="str">
        <f t="shared" si="653"/>
        <v/>
      </c>
      <c r="FC99" s="6" t="str">
        <f t="shared" si="654"/>
        <v/>
      </c>
      <c r="FD99" s="4" t="str">
        <f t="shared" si="655"/>
        <v/>
      </c>
      <c r="FE99" s="5" t="str">
        <f t="shared" si="656"/>
        <v/>
      </c>
      <c r="FF99" s="7" t="str">
        <f t="shared" si="806"/>
        <v/>
      </c>
      <c r="FG99" s="173" t="str">
        <f t="shared" si="657"/>
        <v/>
      </c>
      <c r="FH99" s="5" t="str">
        <f t="shared" si="658"/>
        <v/>
      </c>
      <c r="FI99" s="10" t="str">
        <f t="shared" si="659"/>
        <v/>
      </c>
      <c r="FJ99" s="279" t="str">
        <f t="shared" si="807"/>
        <v/>
      </c>
      <c r="FK99" s="4" t="str">
        <f t="shared" si="660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1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2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3"/>
        <v/>
      </c>
      <c r="GH99" s="286" t="str">
        <f t="shared" si="664"/>
        <v/>
      </c>
      <c r="GI99" s="281" t="str">
        <f t="shared" si="665"/>
        <v/>
      </c>
      <c r="GJ99" s="167" t="str">
        <f t="shared" si="823"/>
        <v/>
      </c>
      <c r="GK99" s="174" t="str">
        <f t="shared" si="666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7"/>
        <v/>
      </c>
      <c r="GT99" s="343" t="str">
        <f t="shared" si="668"/>
        <v/>
      </c>
      <c r="GU99" s="344" t="str">
        <f t="shared" si="669"/>
        <v/>
      </c>
      <c r="GV99" s="343" t="str">
        <f t="shared" si="831"/>
        <v/>
      </c>
      <c r="GW99" s="345" t="str">
        <f t="shared" si="670"/>
        <v/>
      </c>
      <c r="GX99" s="346" t="str">
        <f t="shared" si="671"/>
        <v/>
      </c>
      <c r="GY99" s="344" t="str">
        <f t="shared" si="672"/>
        <v/>
      </c>
      <c r="GZ99" s="345" t="str">
        <f t="shared" si="673"/>
        <v/>
      </c>
      <c r="HA99" s="342" t="str">
        <f t="shared" si="674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5"/>
        <v/>
      </c>
      <c r="HF99" s="5" t="str">
        <f t="shared" si="676"/>
        <v/>
      </c>
      <c r="HG99" s="343" t="str">
        <f t="shared" si="835"/>
        <v/>
      </c>
      <c r="HH99" s="349" t="str">
        <f t="shared" si="836"/>
        <v/>
      </c>
      <c r="HI99" s="317" t="str">
        <f t="shared" si="677"/>
        <v/>
      </c>
      <c r="HK99" s="310" t="str">
        <f t="shared" si="733"/>
        <v/>
      </c>
      <c r="HL99" s="348" t="str">
        <f t="shared" si="678"/>
        <v/>
      </c>
      <c r="HM99" s="923" t="str">
        <f t="shared" si="679"/>
        <v/>
      </c>
      <c r="HN99" s="924" t="str">
        <f t="shared" si="680"/>
        <v/>
      </c>
      <c r="HO99" s="925"/>
      <c r="HP99" s="926"/>
      <c r="HQ99" s="924" t="str">
        <f t="shared" si="681"/>
        <v/>
      </c>
      <c r="HR99" s="927" t="str">
        <f t="shared" si="682"/>
        <v/>
      </c>
      <c r="HS99" s="879" t="str">
        <f t="shared" si="734"/>
        <v/>
      </c>
      <c r="HT99" s="889" t="str">
        <f t="shared" si="683"/>
        <v/>
      </c>
      <c r="HU99" s="890" t="str">
        <f t="shared" si="684"/>
        <v/>
      </c>
      <c r="HV99" s="886" t="str">
        <f t="shared" si="685"/>
        <v/>
      </c>
      <c r="HW99" s="880" t="str">
        <f t="shared" si="686"/>
        <v/>
      </c>
      <c r="HX99" s="881" t="str">
        <f t="shared" si="687"/>
        <v/>
      </c>
      <c r="HY99" s="880" t="str">
        <f t="shared" si="688"/>
        <v/>
      </c>
      <c r="HZ99" s="882" t="str">
        <f t="shared" si="689"/>
        <v/>
      </c>
      <c r="IA99" s="883" t="str">
        <f t="shared" si="690"/>
        <v/>
      </c>
      <c r="IB99" s="884" t="str">
        <f t="shared" si="691"/>
        <v/>
      </c>
      <c r="IC99" s="855" t="str">
        <f t="shared" si="692"/>
        <v/>
      </c>
      <c r="ID99" s="351" t="str">
        <f t="shared" si="693"/>
        <v/>
      </c>
      <c r="IE99" s="857" t="str">
        <f t="shared" si="694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37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5"/>
        <v/>
      </c>
      <c r="IM99" s="482" t="str">
        <f t="shared" si="838"/>
        <v/>
      </c>
      <c r="IN99" s="670" t="str">
        <f t="shared" si="696"/>
        <v/>
      </c>
      <c r="IO99" s="702"/>
      <c r="IP99" s="5" t="str">
        <f t="shared" si="697"/>
        <v/>
      </c>
      <c r="IQ99" s="714"/>
      <c r="IR99" s="9" t="str">
        <f t="shared" si="698"/>
        <v/>
      </c>
      <c r="IS99" s="5" t="str">
        <f t="shared" si="699"/>
        <v/>
      </c>
      <c r="IT99" s="5" t="str">
        <f t="shared" si="700"/>
        <v/>
      </c>
      <c r="IU99" s="5" t="str">
        <f t="shared" si="701"/>
        <v/>
      </c>
      <c r="IV99" s="670" t="str">
        <f t="shared" si="702"/>
        <v/>
      </c>
      <c r="IW99" s="9" t="str">
        <f t="shared" si="703"/>
        <v/>
      </c>
      <c r="IX99" s="5" t="str">
        <f t="shared" si="704"/>
        <v/>
      </c>
      <c r="IY99" s="5" t="str">
        <f t="shared" si="705"/>
        <v/>
      </c>
      <c r="IZ99" s="5" t="str">
        <f t="shared" si="706"/>
        <v/>
      </c>
      <c r="JA99" s="705" t="str">
        <f t="shared" si="707"/>
        <v/>
      </c>
    </row>
    <row r="100" spans="1:261" ht="15" customHeight="1" x14ac:dyDescent="0.25">
      <c r="A100" s="75" t="str">
        <f t="shared" si="708"/>
        <v/>
      </c>
      <c r="B100" s="578" t="str">
        <f t="shared" ref="B100:D100" si="889">IFERROR(O255-($A100*E100),"")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6" t="str">
        <f t="shared" si="890"/>
        <v/>
      </c>
      <c r="L100" s="309"/>
      <c r="M100" s="164" t="str">
        <f t="shared" si="625"/>
        <v/>
      </c>
      <c r="N100" s="575" t="str">
        <f t="shared" si="626"/>
        <v/>
      </c>
      <c r="O100" s="572" t="str">
        <f t="shared" si="627"/>
        <v/>
      </c>
      <c r="P100" s="576" t="str">
        <f t="shared" si="628"/>
        <v/>
      </c>
      <c r="Q100" s="528" t="str">
        <f t="shared" si="712"/>
        <v/>
      </c>
      <c r="R100" s="572" t="str">
        <f t="shared" si="96"/>
        <v/>
      </c>
      <c r="S100" s="577" t="str">
        <f t="shared" si="97"/>
        <v/>
      </c>
      <c r="T100" s="578" t="str">
        <f t="shared" si="98"/>
        <v/>
      </c>
      <c r="U100" s="572" t="str">
        <f t="shared" si="99"/>
        <v/>
      </c>
      <c r="V100" s="579" t="str">
        <f t="shared" si="136"/>
        <v/>
      </c>
      <c r="W100" s="528" t="str">
        <f t="shared" si="848"/>
        <v/>
      </c>
      <c r="X100" s="572" t="str">
        <f t="shared" si="100"/>
        <v/>
      </c>
      <c r="Y100" s="573" t="str">
        <f t="shared" si="841"/>
        <v/>
      </c>
      <c r="Z100" s="575" t="str">
        <f t="shared" si="629"/>
        <v/>
      </c>
      <c r="AA100" s="572" t="str">
        <f t="shared" si="630"/>
        <v/>
      </c>
      <c r="AB100" s="572" t="str">
        <f t="shared" si="631"/>
        <v/>
      </c>
      <c r="AC100" s="579" t="str">
        <f t="shared" si="101"/>
        <v/>
      </c>
      <c r="AD100" s="580" t="str">
        <f t="shared" si="137"/>
        <v/>
      </c>
      <c r="AE100" s="572" t="str">
        <f t="shared" si="102"/>
        <v/>
      </c>
      <c r="AF100" s="576" t="str">
        <f t="shared" si="103"/>
        <v/>
      </c>
      <c r="AG100" s="545" t="str">
        <f t="shared" si="104"/>
        <v/>
      </c>
      <c r="AH100" s="546" t="str">
        <f t="shared" si="105"/>
        <v/>
      </c>
      <c r="AI100" s="528" t="str">
        <f t="shared" si="106"/>
        <v/>
      </c>
      <c r="AJ100" s="529" t="str">
        <f t="shared" si="107"/>
        <v/>
      </c>
      <c r="AK100" s="578" t="str">
        <f t="shared" si="236"/>
        <v/>
      </c>
      <c r="AL100" s="572" t="str">
        <f t="shared" si="108"/>
        <v/>
      </c>
      <c r="AM100" s="577" t="str">
        <f t="shared" si="109"/>
        <v/>
      </c>
      <c r="AN100" s="524" t="str">
        <f t="shared" si="110"/>
        <v/>
      </c>
      <c r="AO100" s="525" t="str">
        <f t="shared" si="590"/>
        <v/>
      </c>
      <c r="AP100" s="528" t="str">
        <f t="shared" si="112"/>
        <v/>
      </c>
      <c r="AQ100" s="529" t="str">
        <f t="shared" si="632"/>
        <v/>
      </c>
      <c r="AS100" s="954" t="str">
        <f t="shared" si="737"/>
        <v/>
      </c>
      <c r="AT100" s="950" t="str">
        <f t="shared" si="633"/>
        <v/>
      </c>
      <c r="AU100" s="418"/>
      <c r="AV100" s="164" t="str">
        <f t="shared" si="634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5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6"/>
        <v/>
      </c>
      <c r="BF100" s="4" t="str">
        <f t="shared" si="637"/>
        <v/>
      </c>
      <c r="BG100" s="5" t="str">
        <f t="shared" si="638"/>
        <v/>
      </c>
      <c r="BH100" s="10" t="str">
        <f t="shared" si="639"/>
        <v/>
      </c>
      <c r="BI100" s="9" t="str">
        <f t="shared" si="739"/>
        <v/>
      </c>
      <c r="BJ100" s="5" t="str">
        <f t="shared" si="640"/>
        <v/>
      </c>
      <c r="BK100" s="8" t="str">
        <f t="shared" si="641"/>
        <v/>
      </c>
      <c r="BL100" s="173" t="str">
        <f t="shared" si="642"/>
        <v/>
      </c>
      <c r="BM100" s="5" t="str">
        <f t="shared" si="643"/>
        <v/>
      </c>
      <c r="BN100" s="6" t="str">
        <f t="shared" si="644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5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6"/>
        <v/>
      </c>
      <c r="ET100" s="5" t="str">
        <f t="shared" si="647"/>
        <v/>
      </c>
      <c r="EU100" s="10" t="str">
        <f t="shared" si="648"/>
        <v/>
      </c>
      <c r="EV100" s="174" t="str">
        <f t="shared" si="649"/>
        <v/>
      </c>
      <c r="EW100" s="9" t="str">
        <f t="shared" si="650"/>
        <v/>
      </c>
      <c r="EX100" s="5" t="str">
        <f t="shared" si="651"/>
        <v/>
      </c>
      <c r="EY100" s="6" t="str">
        <f t="shared" si="804"/>
        <v/>
      </c>
      <c r="EZ100" s="51" t="str">
        <f t="shared" si="805"/>
        <v/>
      </c>
      <c r="FA100" s="173" t="str">
        <f t="shared" si="652"/>
        <v/>
      </c>
      <c r="FB100" s="5" t="str">
        <f t="shared" si="653"/>
        <v/>
      </c>
      <c r="FC100" s="6" t="str">
        <f t="shared" si="654"/>
        <v/>
      </c>
      <c r="FD100" s="4" t="str">
        <f t="shared" si="655"/>
        <v/>
      </c>
      <c r="FE100" s="5" t="str">
        <f t="shared" si="656"/>
        <v/>
      </c>
      <c r="FF100" s="7" t="str">
        <f t="shared" si="806"/>
        <v/>
      </c>
      <c r="FG100" s="173" t="str">
        <f t="shared" si="657"/>
        <v/>
      </c>
      <c r="FH100" s="5" t="str">
        <f t="shared" si="658"/>
        <v/>
      </c>
      <c r="FI100" s="10" t="str">
        <f t="shared" si="659"/>
        <v/>
      </c>
      <c r="FJ100" s="279" t="str">
        <f t="shared" si="807"/>
        <v/>
      </c>
      <c r="FK100" s="4" t="str">
        <f t="shared" si="660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1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2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3"/>
        <v/>
      </c>
      <c r="GH100" s="286" t="str">
        <f t="shared" si="664"/>
        <v/>
      </c>
      <c r="GI100" s="281" t="str">
        <f t="shared" si="665"/>
        <v/>
      </c>
      <c r="GJ100" s="167" t="str">
        <f t="shared" si="823"/>
        <v/>
      </c>
      <c r="GK100" s="174" t="str">
        <f t="shared" si="666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7"/>
        <v/>
      </c>
      <c r="GT100" s="343" t="str">
        <f t="shared" si="668"/>
        <v/>
      </c>
      <c r="GU100" s="344" t="str">
        <f t="shared" si="669"/>
        <v/>
      </c>
      <c r="GV100" s="343" t="str">
        <f t="shared" si="831"/>
        <v/>
      </c>
      <c r="GW100" s="345" t="str">
        <f t="shared" si="670"/>
        <v/>
      </c>
      <c r="GX100" s="346" t="str">
        <f t="shared" si="671"/>
        <v/>
      </c>
      <c r="GY100" s="344" t="str">
        <f t="shared" si="672"/>
        <v/>
      </c>
      <c r="GZ100" s="345" t="str">
        <f t="shared" si="673"/>
        <v/>
      </c>
      <c r="HA100" s="342" t="str">
        <f t="shared" si="674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5"/>
        <v/>
      </c>
      <c r="HF100" s="5" t="str">
        <f t="shared" si="676"/>
        <v/>
      </c>
      <c r="HG100" s="343" t="str">
        <f t="shared" si="835"/>
        <v/>
      </c>
      <c r="HH100" s="349" t="str">
        <f t="shared" si="836"/>
        <v/>
      </c>
      <c r="HI100" s="317" t="str">
        <f t="shared" si="677"/>
        <v/>
      </c>
      <c r="HK100" s="310" t="str">
        <f t="shared" si="733"/>
        <v/>
      </c>
      <c r="HL100" s="348" t="str">
        <f t="shared" si="678"/>
        <v/>
      </c>
      <c r="HM100" s="923" t="str">
        <f t="shared" si="679"/>
        <v/>
      </c>
      <c r="HN100" s="924" t="str">
        <f t="shared" si="680"/>
        <v/>
      </c>
      <c r="HO100" s="925"/>
      <c r="HP100" s="926"/>
      <c r="HQ100" s="924" t="str">
        <f t="shared" si="681"/>
        <v/>
      </c>
      <c r="HR100" s="927" t="str">
        <f t="shared" si="682"/>
        <v/>
      </c>
      <c r="HS100" s="879" t="str">
        <f t="shared" si="734"/>
        <v/>
      </c>
      <c r="HT100" s="889" t="str">
        <f t="shared" si="683"/>
        <v/>
      </c>
      <c r="HU100" s="890" t="str">
        <f t="shared" si="684"/>
        <v/>
      </c>
      <c r="HV100" s="886" t="str">
        <f t="shared" si="685"/>
        <v/>
      </c>
      <c r="HW100" s="880" t="str">
        <f t="shared" si="686"/>
        <v/>
      </c>
      <c r="HX100" s="881" t="str">
        <f t="shared" si="687"/>
        <v/>
      </c>
      <c r="HY100" s="880" t="str">
        <f t="shared" si="688"/>
        <v/>
      </c>
      <c r="HZ100" s="882" t="str">
        <f t="shared" si="689"/>
        <v/>
      </c>
      <c r="IA100" s="883" t="str">
        <f t="shared" si="690"/>
        <v/>
      </c>
      <c r="IB100" s="884" t="str">
        <f t="shared" si="691"/>
        <v/>
      </c>
      <c r="IC100" s="855" t="str">
        <f t="shared" si="692"/>
        <v/>
      </c>
      <c r="ID100" s="351" t="str">
        <f t="shared" si="693"/>
        <v/>
      </c>
      <c r="IE100" s="857" t="str">
        <f t="shared" si="694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37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5"/>
        <v/>
      </c>
      <c r="IM100" s="482" t="str">
        <f t="shared" si="838"/>
        <v/>
      </c>
      <c r="IN100" s="670" t="str">
        <f t="shared" si="696"/>
        <v/>
      </c>
      <c r="IO100" s="702"/>
      <c r="IP100" s="5" t="str">
        <f t="shared" si="697"/>
        <v/>
      </c>
      <c r="IQ100" s="714"/>
      <c r="IR100" s="9" t="str">
        <f t="shared" si="698"/>
        <v/>
      </c>
      <c r="IS100" s="5" t="str">
        <f t="shared" si="699"/>
        <v/>
      </c>
      <c r="IT100" s="5" t="str">
        <f t="shared" si="700"/>
        <v/>
      </c>
      <c r="IU100" s="5" t="str">
        <f t="shared" si="701"/>
        <v/>
      </c>
      <c r="IV100" s="670" t="str">
        <f t="shared" si="702"/>
        <v/>
      </c>
      <c r="IW100" s="9" t="str">
        <f t="shared" si="703"/>
        <v/>
      </c>
      <c r="IX100" s="5" t="str">
        <f t="shared" si="704"/>
        <v/>
      </c>
      <c r="IY100" s="5" t="str">
        <f t="shared" si="705"/>
        <v/>
      </c>
      <c r="IZ100" s="5" t="str">
        <f t="shared" si="706"/>
        <v/>
      </c>
      <c r="JA100" s="705" t="str">
        <f t="shared" si="707"/>
        <v/>
      </c>
    </row>
    <row r="101" spans="1:261" ht="15" customHeight="1" x14ac:dyDescent="0.25">
      <c r="A101" s="75" t="str">
        <f t="shared" si="708"/>
        <v/>
      </c>
      <c r="B101" s="578" t="str">
        <f t="shared" ref="B101:D101" si="891">IFERROR(O256-($A101*E101),"")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5"/>
        <v/>
      </c>
      <c r="N101" s="575" t="str">
        <f t="shared" si="626"/>
        <v/>
      </c>
      <c r="O101" s="572" t="str">
        <f t="shared" si="627"/>
        <v/>
      </c>
      <c r="P101" s="576" t="str">
        <f t="shared" si="628"/>
        <v/>
      </c>
      <c r="Q101" s="528" t="str">
        <f t="shared" si="712"/>
        <v/>
      </c>
      <c r="R101" s="572" t="str">
        <f t="shared" si="96"/>
        <v/>
      </c>
      <c r="S101" s="577" t="str">
        <f t="shared" si="97"/>
        <v/>
      </c>
      <c r="T101" s="578" t="str">
        <f t="shared" si="98"/>
        <v/>
      </c>
      <c r="U101" s="572" t="str">
        <f t="shared" si="99"/>
        <v/>
      </c>
      <c r="V101" s="579" t="str">
        <f t="shared" si="136"/>
        <v/>
      </c>
      <c r="W101" s="528" t="str">
        <f t="shared" si="848"/>
        <v/>
      </c>
      <c r="X101" s="572" t="str">
        <f t="shared" si="100"/>
        <v/>
      </c>
      <c r="Y101" s="573" t="str">
        <f t="shared" si="841"/>
        <v/>
      </c>
      <c r="Z101" s="575" t="str">
        <f t="shared" si="629"/>
        <v/>
      </c>
      <c r="AA101" s="572" t="str">
        <f t="shared" si="630"/>
        <v/>
      </c>
      <c r="AB101" s="572" t="str">
        <f t="shared" si="631"/>
        <v/>
      </c>
      <c r="AC101" s="579" t="str">
        <f t="shared" si="101"/>
        <v/>
      </c>
      <c r="AD101" s="580" t="str">
        <f t="shared" si="137"/>
        <v/>
      </c>
      <c r="AE101" s="572" t="str">
        <f t="shared" si="102"/>
        <v/>
      </c>
      <c r="AF101" s="576" t="str">
        <f t="shared" si="103"/>
        <v/>
      </c>
      <c r="AG101" s="545" t="str">
        <f t="shared" si="104"/>
        <v/>
      </c>
      <c r="AH101" s="546" t="str">
        <f t="shared" si="105"/>
        <v/>
      </c>
      <c r="AI101" s="528" t="str">
        <f t="shared" si="106"/>
        <v/>
      </c>
      <c r="AJ101" s="529" t="str">
        <f t="shared" si="107"/>
        <v/>
      </c>
      <c r="AK101" s="578" t="str">
        <f t="shared" si="236"/>
        <v/>
      </c>
      <c r="AL101" s="572" t="str">
        <f t="shared" si="108"/>
        <v/>
      </c>
      <c r="AM101" s="577" t="str">
        <f t="shared" si="109"/>
        <v/>
      </c>
      <c r="AN101" s="524" t="str">
        <f t="shared" si="110"/>
        <v/>
      </c>
      <c r="AO101" s="525" t="str">
        <f t="shared" si="590"/>
        <v/>
      </c>
      <c r="AP101" s="528" t="str">
        <f t="shared" si="112"/>
        <v/>
      </c>
      <c r="AQ101" s="529" t="str">
        <f t="shared" si="632"/>
        <v/>
      </c>
      <c r="AS101" s="954" t="str">
        <f t="shared" si="737"/>
        <v/>
      </c>
      <c r="AT101" s="950" t="str">
        <f t="shared" si="633"/>
        <v/>
      </c>
      <c r="AU101" s="418"/>
      <c r="AV101" s="164" t="str">
        <f t="shared" si="634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5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6"/>
        <v/>
      </c>
      <c r="BF101" s="4" t="str">
        <f t="shared" si="637"/>
        <v/>
      </c>
      <c r="BG101" s="5" t="str">
        <f t="shared" si="638"/>
        <v/>
      </c>
      <c r="BH101" s="10" t="str">
        <f t="shared" si="639"/>
        <v/>
      </c>
      <c r="BI101" s="9" t="str">
        <f t="shared" si="739"/>
        <v/>
      </c>
      <c r="BJ101" s="5" t="str">
        <f t="shared" si="640"/>
        <v/>
      </c>
      <c r="BK101" s="8" t="str">
        <f t="shared" si="641"/>
        <v/>
      </c>
      <c r="BL101" s="173" t="str">
        <f t="shared" si="642"/>
        <v/>
      </c>
      <c r="BM101" s="5" t="str">
        <f t="shared" si="643"/>
        <v/>
      </c>
      <c r="BN101" s="6" t="str">
        <f t="shared" si="644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5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6"/>
        <v/>
      </c>
      <c r="ET101" s="5" t="str">
        <f t="shared" si="647"/>
        <v/>
      </c>
      <c r="EU101" s="10" t="str">
        <f t="shared" si="648"/>
        <v/>
      </c>
      <c r="EV101" s="174" t="str">
        <f t="shared" si="649"/>
        <v/>
      </c>
      <c r="EW101" s="9" t="str">
        <f t="shared" si="650"/>
        <v/>
      </c>
      <c r="EX101" s="5" t="str">
        <f t="shared" si="651"/>
        <v/>
      </c>
      <c r="EY101" s="6" t="str">
        <f t="shared" si="804"/>
        <v/>
      </c>
      <c r="EZ101" s="51" t="str">
        <f t="shared" si="805"/>
        <v/>
      </c>
      <c r="FA101" s="173" t="str">
        <f t="shared" si="652"/>
        <v/>
      </c>
      <c r="FB101" s="5" t="str">
        <f t="shared" si="653"/>
        <v/>
      </c>
      <c r="FC101" s="6" t="str">
        <f t="shared" si="654"/>
        <v/>
      </c>
      <c r="FD101" s="4" t="str">
        <f t="shared" si="655"/>
        <v/>
      </c>
      <c r="FE101" s="5" t="str">
        <f t="shared" si="656"/>
        <v/>
      </c>
      <c r="FF101" s="7" t="str">
        <f t="shared" si="806"/>
        <v/>
      </c>
      <c r="FG101" s="173" t="str">
        <f t="shared" si="657"/>
        <v/>
      </c>
      <c r="FH101" s="5" t="str">
        <f t="shared" si="658"/>
        <v/>
      </c>
      <c r="FI101" s="10" t="str">
        <f t="shared" si="659"/>
        <v/>
      </c>
      <c r="FJ101" s="279" t="str">
        <f t="shared" si="807"/>
        <v/>
      </c>
      <c r="FK101" s="4" t="str">
        <f t="shared" si="660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1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2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3"/>
        <v/>
      </c>
      <c r="GH101" s="286" t="str">
        <f t="shared" si="664"/>
        <v/>
      </c>
      <c r="GI101" s="281" t="str">
        <f t="shared" si="665"/>
        <v/>
      </c>
      <c r="GJ101" s="167" t="str">
        <f t="shared" si="823"/>
        <v/>
      </c>
      <c r="GK101" s="174" t="str">
        <f t="shared" si="666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7"/>
        <v/>
      </c>
      <c r="GT101" s="343" t="str">
        <f t="shared" si="668"/>
        <v/>
      </c>
      <c r="GU101" s="344" t="str">
        <f t="shared" si="669"/>
        <v/>
      </c>
      <c r="GV101" s="343" t="str">
        <f t="shared" si="831"/>
        <v/>
      </c>
      <c r="GW101" s="345" t="str">
        <f t="shared" si="670"/>
        <v/>
      </c>
      <c r="GX101" s="346" t="str">
        <f t="shared" si="671"/>
        <v/>
      </c>
      <c r="GY101" s="344" t="str">
        <f t="shared" si="672"/>
        <v/>
      </c>
      <c r="GZ101" s="345" t="str">
        <f t="shared" si="673"/>
        <v/>
      </c>
      <c r="HA101" s="342" t="str">
        <f t="shared" si="674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5"/>
        <v/>
      </c>
      <c r="HF101" s="5" t="str">
        <f t="shared" si="676"/>
        <v/>
      </c>
      <c r="HG101" s="343" t="str">
        <f t="shared" si="835"/>
        <v/>
      </c>
      <c r="HH101" s="349" t="str">
        <f t="shared" si="836"/>
        <v/>
      </c>
      <c r="HI101" s="317" t="str">
        <f t="shared" si="677"/>
        <v/>
      </c>
      <c r="HK101" s="310" t="str">
        <f t="shared" si="733"/>
        <v/>
      </c>
      <c r="HL101" s="348" t="str">
        <f t="shared" si="678"/>
        <v/>
      </c>
      <c r="HM101" s="923" t="str">
        <f t="shared" si="679"/>
        <v/>
      </c>
      <c r="HN101" s="924" t="str">
        <f t="shared" si="680"/>
        <v/>
      </c>
      <c r="HO101" s="925"/>
      <c r="HP101" s="926"/>
      <c r="HQ101" s="924" t="str">
        <f t="shared" si="681"/>
        <v/>
      </c>
      <c r="HR101" s="927" t="str">
        <f t="shared" si="682"/>
        <v/>
      </c>
      <c r="HS101" s="879" t="str">
        <f t="shared" si="734"/>
        <v/>
      </c>
      <c r="HT101" s="889" t="str">
        <f t="shared" si="683"/>
        <v/>
      </c>
      <c r="HU101" s="890" t="str">
        <f t="shared" si="684"/>
        <v/>
      </c>
      <c r="HV101" s="886" t="str">
        <f t="shared" si="685"/>
        <v/>
      </c>
      <c r="HW101" s="880" t="str">
        <f t="shared" si="686"/>
        <v/>
      </c>
      <c r="HX101" s="881" t="str">
        <f t="shared" si="687"/>
        <v/>
      </c>
      <c r="HY101" s="880" t="str">
        <f t="shared" si="688"/>
        <v/>
      </c>
      <c r="HZ101" s="882" t="str">
        <f t="shared" si="689"/>
        <v/>
      </c>
      <c r="IA101" s="883" t="str">
        <f t="shared" si="690"/>
        <v/>
      </c>
      <c r="IB101" s="884" t="str">
        <f t="shared" si="691"/>
        <v/>
      </c>
      <c r="IC101" s="855" t="str">
        <f t="shared" si="692"/>
        <v/>
      </c>
      <c r="ID101" s="351" t="str">
        <f t="shared" si="693"/>
        <v/>
      </c>
      <c r="IE101" s="857" t="str">
        <f t="shared" si="694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5"/>
        <v/>
      </c>
      <c r="IM101" s="482" t="str">
        <f t="shared" si="838"/>
        <v/>
      </c>
      <c r="IN101" s="670" t="str">
        <f t="shared" si="696"/>
        <v/>
      </c>
      <c r="IO101" s="702"/>
      <c r="IP101" s="5" t="str">
        <f t="shared" si="697"/>
        <v/>
      </c>
      <c r="IQ101" s="714"/>
      <c r="IR101" s="9" t="str">
        <f t="shared" si="698"/>
        <v/>
      </c>
      <c r="IS101" s="5" t="str">
        <f t="shared" si="699"/>
        <v/>
      </c>
      <c r="IT101" s="5" t="str">
        <f t="shared" si="700"/>
        <v/>
      </c>
      <c r="IU101" s="5" t="str">
        <f t="shared" si="701"/>
        <v/>
      </c>
      <c r="IV101" s="670" t="str">
        <f t="shared" si="702"/>
        <v/>
      </c>
      <c r="IW101" s="9" t="str">
        <f t="shared" si="703"/>
        <v/>
      </c>
      <c r="IX101" s="5" t="str">
        <f t="shared" si="704"/>
        <v/>
      </c>
      <c r="IY101" s="5" t="str">
        <f t="shared" si="705"/>
        <v/>
      </c>
      <c r="IZ101" s="5" t="str">
        <f t="shared" si="706"/>
        <v/>
      </c>
      <c r="JA101" s="705" t="str">
        <f t="shared" si="707"/>
        <v/>
      </c>
    </row>
    <row r="102" spans="1:261" ht="15" customHeight="1" x14ac:dyDescent="0.25">
      <c r="A102" s="75" t="str">
        <f t="shared" si="708"/>
        <v/>
      </c>
      <c r="B102" s="578" t="str">
        <f t="shared" ref="B102:D102" si="893">IFERROR(O257-($A102*E102),"")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5"/>
        <v/>
      </c>
      <c r="N102" s="575" t="str">
        <f t="shared" si="626"/>
        <v/>
      </c>
      <c r="O102" s="572" t="str">
        <f t="shared" si="627"/>
        <v/>
      </c>
      <c r="P102" s="576" t="str">
        <f t="shared" si="628"/>
        <v/>
      </c>
      <c r="Q102" s="528" t="str">
        <f t="shared" si="712"/>
        <v/>
      </c>
      <c r="R102" s="572" t="str">
        <f t="shared" si="96"/>
        <v/>
      </c>
      <c r="S102" s="577" t="str">
        <f t="shared" si="97"/>
        <v/>
      </c>
      <c r="T102" s="578" t="str">
        <f t="shared" si="98"/>
        <v/>
      </c>
      <c r="U102" s="572" t="str">
        <f t="shared" si="99"/>
        <v/>
      </c>
      <c r="V102" s="579" t="str">
        <f t="shared" si="136"/>
        <v/>
      </c>
      <c r="W102" s="528" t="str">
        <f t="shared" si="848"/>
        <v/>
      </c>
      <c r="X102" s="572" t="str">
        <f t="shared" si="100"/>
        <v/>
      </c>
      <c r="Y102" s="573" t="str">
        <f t="shared" si="841"/>
        <v/>
      </c>
      <c r="Z102" s="575" t="str">
        <f t="shared" si="629"/>
        <v/>
      </c>
      <c r="AA102" s="572" t="str">
        <f t="shared" si="630"/>
        <v/>
      </c>
      <c r="AB102" s="572" t="str">
        <f t="shared" si="631"/>
        <v/>
      </c>
      <c r="AC102" s="579" t="str">
        <f t="shared" si="101"/>
        <v/>
      </c>
      <c r="AD102" s="580" t="str">
        <f t="shared" si="137"/>
        <v/>
      </c>
      <c r="AE102" s="572" t="str">
        <f t="shared" si="102"/>
        <v/>
      </c>
      <c r="AF102" s="576" t="str">
        <f t="shared" si="103"/>
        <v/>
      </c>
      <c r="AG102" s="545" t="str">
        <f t="shared" si="104"/>
        <v/>
      </c>
      <c r="AH102" s="546" t="str">
        <f t="shared" si="105"/>
        <v/>
      </c>
      <c r="AI102" s="528" t="str">
        <f t="shared" si="106"/>
        <v/>
      </c>
      <c r="AJ102" s="529" t="str">
        <f t="shared" si="107"/>
        <v/>
      </c>
      <c r="AK102" s="578" t="str">
        <f t="shared" si="236"/>
        <v/>
      </c>
      <c r="AL102" s="572" t="str">
        <f t="shared" si="108"/>
        <v/>
      </c>
      <c r="AM102" s="577" t="str">
        <f t="shared" si="109"/>
        <v/>
      </c>
      <c r="AN102" s="524" t="str">
        <f t="shared" si="110"/>
        <v/>
      </c>
      <c r="AO102" s="525" t="str">
        <f t="shared" si="590"/>
        <v/>
      </c>
      <c r="AP102" s="528" t="str">
        <f t="shared" si="112"/>
        <v/>
      </c>
      <c r="AQ102" s="529" t="str">
        <f t="shared" si="632"/>
        <v/>
      </c>
      <c r="AS102" s="954" t="str">
        <f t="shared" si="737"/>
        <v/>
      </c>
      <c r="AT102" s="950" t="str">
        <f t="shared" si="633"/>
        <v/>
      </c>
      <c r="AU102" s="418"/>
      <c r="AV102" s="164" t="str">
        <f t="shared" si="634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5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6"/>
        <v/>
      </c>
      <c r="BF102" s="4" t="str">
        <f t="shared" si="637"/>
        <v/>
      </c>
      <c r="BG102" s="5" t="str">
        <f t="shared" si="638"/>
        <v/>
      </c>
      <c r="BH102" s="10" t="str">
        <f t="shared" si="639"/>
        <v/>
      </c>
      <c r="BI102" s="9" t="str">
        <f t="shared" si="739"/>
        <v/>
      </c>
      <c r="BJ102" s="5" t="str">
        <f t="shared" si="640"/>
        <v/>
      </c>
      <c r="BK102" s="8" t="str">
        <f t="shared" si="641"/>
        <v/>
      </c>
      <c r="BL102" s="173" t="str">
        <f t="shared" si="642"/>
        <v/>
      </c>
      <c r="BM102" s="5" t="str">
        <f t="shared" si="643"/>
        <v/>
      </c>
      <c r="BN102" s="6" t="str">
        <f t="shared" si="644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5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6"/>
        <v/>
      </c>
      <c r="ET102" s="5" t="str">
        <f t="shared" si="647"/>
        <v/>
      </c>
      <c r="EU102" s="10" t="str">
        <f t="shared" si="648"/>
        <v/>
      </c>
      <c r="EV102" s="174" t="str">
        <f t="shared" si="649"/>
        <v/>
      </c>
      <c r="EW102" s="9" t="str">
        <f t="shared" si="650"/>
        <v/>
      </c>
      <c r="EX102" s="5" t="str">
        <f t="shared" si="651"/>
        <v/>
      </c>
      <c r="EY102" s="6" t="str">
        <f t="shared" si="804"/>
        <v/>
      </c>
      <c r="EZ102" s="51" t="str">
        <f t="shared" si="805"/>
        <v/>
      </c>
      <c r="FA102" s="173" t="str">
        <f t="shared" si="652"/>
        <v/>
      </c>
      <c r="FB102" s="5" t="str">
        <f t="shared" si="653"/>
        <v/>
      </c>
      <c r="FC102" s="6" t="str">
        <f t="shared" si="654"/>
        <v/>
      </c>
      <c r="FD102" s="4" t="str">
        <f t="shared" si="655"/>
        <v/>
      </c>
      <c r="FE102" s="5" t="str">
        <f t="shared" si="656"/>
        <v/>
      </c>
      <c r="FF102" s="7" t="str">
        <f t="shared" si="806"/>
        <v/>
      </c>
      <c r="FG102" s="173" t="str">
        <f t="shared" si="657"/>
        <v/>
      </c>
      <c r="FH102" s="5" t="str">
        <f t="shared" si="658"/>
        <v/>
      </c>
      <c r="FI102" s="10" t="str">
        <f t="shared" si="659"/>
        <v/>
      </c>
      <c r="FJ102" s="279" t="str">
        <f t="shared" si="807"/>
        <v/>
      </c>
      <c r="FK102" s="4" t="str">
        <f t="shared" si="660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1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2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3"/>
        <v/>
      </c>
      <c r="GH102" s="286" t="str">
        <f t="shared" si="664"/>
        <v/>
      </c>
      <c r="GI102" s="281" t="str">
        <f t="shared" si="665"/>
        <v/>
      </c>
      <c r="GJ102" s="167" t="str">
        <f t="shared" si="823"/>
        <v/>
      </c>
      <c r="GK102" s="174" t="str">
        <f t="shared" si="666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7"/>
        <v/>
      </c>
      <c r="GT102" s="343" t="str">
        <f t="shared" si="668"/>
        <v/>
      </c>
      <c r="GU102" s="344" t="str">
        <f t="shared" si="669"/>
        <v/>
      </c>
      <c r="GV102" s="343" t="str">
        <f t="shared" si="831"/>
        <v/>
      </c>
      <c r="GW102" s="345" t="str">
        <f t="shared" si="670"/>
        <v/>
      </c>
      <c r="GX102" s="346" t="str">
        <f t="shared" si="671"/>
        <v/>
      </c>
      <c r="GY102" s="344" t="str">
        <f t="shared" si="672"/>
        <v/>
      </c>
      <c r="GZ102" s="345" t="str">
        <f t="shared" si="673"/>
        <v/>
      </c>
      <c r="HA102" s="342" t="str">
        <f t="shared" si="674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5"/>
        <v/>
      </c>
      <c r="HF102" s="5" t="str">
        <f t="shared" si="676"/>
        <v/>
      </c>
      <c r="HG102" s="343" t="str">
        <f t="shared" si="835"/>
        <v/>
      </c>
      <c r="HH102" s="349" t="str">
        <f t="shared" si="836"/>
        <v/>
      </c>
      <c r="HI102" s="317" t="str">
        <f t="shared" si="677"/>
        <v/>
      </c>
      <c r="HK102" s="310" t="str">
        <f t="shared" si="733"/>
        <v/>
      </c>
      <c r="HL102" s="348" t="str">
        <f t="shared" si="678"/>
        <v/>
      </c>
      <c r="HM102" s="923" t="str">
        <f t="shared" si="679"/>
        <v/>
      </c>
      <c r="HN102" s="924" t="str">
        <f t="shared" si="680"/>
        <v/>
      </c>
      <c r="HO102" s="925"/>
      <c r="HP102" s="926"/>
      <c r="HQ102" s="924" t="str">
        <f t="shared" si="681"/>
        <v/>
      </c>
      <c r="HR102" s="927" t="str">
        <f t="shared" si="682"/>
        <v/>
      </c>
      <c r="HS102" s="879" t="str">
        <f t="shared" si="734"/>
        <v/>
      </c>
      <c r="HT102" s="889" t="str">
        <f t="shared" si="683"/>
        <v/>
      </c>
      <c r="HU102" s="890" t="str">
        <f t="shared" si="684"/>
        <v/>
      </c>
      <c r="HV102" s="886" t="str">
        <f t="shared" si="685"/>
        <v/>
      </c>
      <c r="HW102" s="880" t="str">
        <f t="shared" si="686"/>
        <v/>
      </c>
      <c r="HX102" s="881" t="str">
        <f t="shared" si="687"/>
        <v/>
      </c>
      <c r="HY102" s="880" t="str">
        <f t="shared" si="688"/>
        <v/>
      </c>
      <c r="HZ102" s="882" t="str">
        <f t="shared" si="689"/>
        <v/>
      </c>
      <c r="IA102" s="883" t="str">
        <f t="shared" si="690"/>
        <v/>
      </c>
      <c r="IB102" s="884" t="str">
        <f t="shared" si="691"/>
        <v/>
      </c>
      <c r="IC102" s="855" t="str">
        <f t="shared" si="692"/>
        <v/>
      </c>
      <c r="ID102" s="351" t="str">
        <f t="shared" si="693"/>
        <v/>
      </c>
      <c r="IE102" s="857" t="str">
        <f t="shared" si="694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5"/>
        <v/>
      </c>
      <c r="IM102" s="482" t="str">
        <f t="shared" si="838"/>
        <v/>
      </c>
      <c r="IN102" s="670" t="str">
        <f t="shared" si="696"/>
        <v/>
      </c>
      <c r="IO102" s="702"/>
      <c r="IP102" s="5" t="str">
        <f t="shared" si="697"/>
        <v/>
      </c>
      <c r="IQ102" s="714"/>
      <c r="IR102" s="9" t="str">
        <f t="shared" si="698"/>
        <v/>
      </c>
      <c r="IS102" s="5" t="str">
        <f t="shared" si="699"/>
        <v/>
      </c>
      <c r="IT102" s="5" t="str">
        <f t="shared" si="700"/>
        <v/>
      </c>
      <c r="IU102" s="5" t="str">
        <f t="shared" si="701"/>
        <v/>
      </c>
      <c r="IV102" s="670" t="str">
        <f t="shared" si="702"/>
        <v/>
      </c>
      <c r="IW102" s="9" t="str">
        <f t="shared" si="703"/>
        <v/>
      </c>
      <c r="IX102" s="5" t="str">
        <f t="shared" si="704"/>
        <v/>
      </c>
      <c r="IY102" s="5" t="str">
        <f t="shared" si="705"/>
        <v/>
      </c>
      <c r="IZ102" s="5" t="str">
        <f t="shared" si="706"/>
        <v/>
      </c>
      <c r="JA102" s="705" t="str">
        <f t="shared" si="707"/>
        <v/>
      </c>
    </row>
    <row r="103" spans="1:261" ht="15" customHeight="1" x14ac:dyDescent="0.25">
      <c r="A103" s="75" t="str">
        <f t="shared" si="708"/>
        <v/>
      </c>
      <c r="B103" s="578" t="str">
        <f t="shared" ref="B103:D103" si="895">IFERROR(O258-($A103*E103),"")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5"/>
        <v/>
      </c>
      <c r="N103" s="575" t="str">
        <f t="shared" si="626"/>
        <v/>
      </c>
      <c r="O103" s="572" t="str">
        <f t="shared" si="627"/>
        <v/>
      </c>
      <c r="P103" s="576" t="str">
        <f t="shared" si="628"/>
        <v/>
      </c>
      <c r="Q103" s="528" t="str">
        <f t="shared" si="712"/>
        <v/>
      </c>
      <c r="R103" s="572" t="str">
        <f t="shared" si="96"/>
        <v/>
      </c>
      <c r="S103" s="577" t="str">
        <f t="shared" si="97"/>
        <v/>
      </c>
      <c r="T103" s="578" t="str">
        <f t="shared" si="98"/>
        <v/>
      </c>
      <c r="U103" s="572" t="str">
        <f t="shared" si="99"/>
        <v/>
      </c>
      <c r="V103" s="579" t="str">
        <f t="shared" si="136"/>
        <v/>
      </c>
      <c r="W103" s="528" t="str">
        <f t="shared" si="848"/>
        <v/>
      </c>
      <c r="X103" s="572" t="str">
        <f t="shared" si="100"/>
        <v/>
      </c>
      <c r="Y103" s="573" t="str">
        <f t="shared" si="841"/>
        <v/>
      </c>
      <c r="Z103" s="575" t="str">
        <f t="shared" si="629"/>
        <v/>
      </c>
      <c r="AA103" s="572" t="str">
        <f t="shared" si="630"/>
        <v/>
      </c>
      <c r="AB103" s="572" t="str">
        <f t="shared" si="631"/>
        <v/>
      </c>
      <c r="AC103" s="579" t="str">
        <f t="shared" si="101"/>
        <v/>
      </c>
      <c r="AD103" s="580" t="str">
        <f t="shared" si="137"/>
        <v/>
      </c>
      <c r="AE103" s="572" t="str">
        <f t="shared" si="102"/>
        <v/>
      </c>
      <c r="AF103" s="576" t="str">
        <f t="shared" si="103"/>
        <v/>
      </c>
      <c r="AG103" s="545" t="str">
        <f t="shared" si="104"/>
        <v/>
      </c>
      <c r="AH103" s="546" t="str">
        <f t="shared" si="105"/>
        <v/>
      </c>
      <c r="AI103" s="528" t="str">
        <f t="shared" si="106"/>
        <v/>
      </c>
      <c r="AJ103" s="529" t="str">
        <f t="shared" si="107"/>
        <v/>
      </c>
      <c r="AK103" s="578" t="str">
        <f t="shared" si="236"/>
        <v/>
      </c>
      <c r="AL103" s="572" t="str">
        <f t="shared" si="108"/>
        <v/>
      </c>
      <c r="AM103" s="577" t="str">
        <f t="shared" si="109"/>
        <v/>
      </c>
      <c r="AN103" s="524" t="str">
        <f t="shared" si="110"/>
        <v/>
      </c>
      <c r="AO103" s="525" t="str">
        <f t="shared" si="590"/>
        <v/>
      </c>
      <c r="AP103" s="528" t="str">
        <f t="shared" si="112"/>
        <v/>
      </c>
      <c r="AQ103" s="529" t="str">
        <f t="shared" si="632"/>
        <v/>
      </c>
      <c r="AS103" s="954" t="str">
        <f t="shared" si="737"/>
        <v/>
      </c>
      <c r="AT103" s="950" t="str">
        <f t="shared" si="633"/>
        <v/>
      </c>
      <c r="AU103" s="418"/>
      <c r="AV103" s="164" t="str">
        <f t="shared" si="634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5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6"/>
        <v/>
      </c>
      <c r="BF103" s="4" t="str">
        <f t="shared" si="637"/>
        <v/>
      </c>
      <c r="BG103" s="5" t="str">
        <f t="shared" si="638"/>
        <v/>
      </c>
      <c r="BH103" s="10" t="str">
        <f t="shared" si="639"/>
        <v/>
      </c>
      <c r="BI103" s="9" t="str">
        <f t="shared" si="739"/>
        <v/>
      </c>
      <c r="BJ103" s="5" t="str">
        <f t="shared" si="640"/>
        <v/>
      </c>
      <c r="BK103" s="8" t="str">
        <f t="shared" si="641"/>
        <v/>
      </c>
      <c r="BL103" s="173" t="str">
        <f t="shared" si="642"/>
        <v/>
      </c>
      <c r="BM103" s="5" t="str">
        <f t="shared" si="643"/>
        <v/>
      </c>
      <c r="BN103" s="6" t="str">
        <f t="shared" si="644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5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6"/>
        <v/>
      </c>
      <c r="ET103" s="5" t="str">
        <f t="shared" si="647"/>
        <v/>
      </c>
      <c r="EU103" s="10" t="str">
        <f t="shared" si="648"/>
        <v/>
      </c>
      <c r="EV103" s="174" t="str">
        <f t="shared" si="649"/>
        <v/>
      </c>
      <c r="EW103" s="9" t="str">
        <f t="shared" si="650"/>
        <v/>
      </c>
      <c r="EX103" s="5" t="str">
        <f t="shared" si="651"/>
        <v/>
      </c>
      <c r="EY103" s="6" t="str">
        <f t="shared" si="804"/>
        <v/>
      </c>
      <c r="EZ103" s="51" t="str">
        <f t="shared" si="805"/>
        <v/>
      </c>
      <c r="FA103" s="173" t="str">
        <f t="shared" si="652"/>
        <v/>
      </c>
      <c r="FB103" s="5" t="str">
        <f t="shared" si="653"/>
        <v/>
      </c>
      <c r="FC103" s="6" t="str">
        <f t="shared" si="654"/>
        <v/>
      </c>
      <c r="FD103" s="4" t="str">
        <f t="shared" si="655"/>
        <v/>
      </c>
      <c r="FE103" s="5" t="str">
        <f t="shared" si="656"/>
        <v/>
      </c>
      <c r="FF103" s="7" t="str">
        <f t="shared" si="806"/>
        <v/>
      </c>
      <c r="FG103" s="173" t="str">
        <f t="shared" si="657"/>
        <v/>
      </c>
      <c r="FH103" s="5" t="str">
        <f t="shared" si="658"/>
        <v/>
      </c>
      <c r="FI103" s="10" t="str">
        <f t="shared" si="659"/>
        <v/>
      </c>
      <c r="FJ103" s="279" t="str">
        <f t="shared" si="807"/>
        <v/>
      </c>
      <c r="FK103" s="4" t="str">
        <f t="shared" si="660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1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2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3"/>
        <v/>
      </c>
      <c r="GH103" s="286" t="str">
        <f t="shared" si="664"/>
        <v/>
      </c>
      <c r="GI103" s="281" t="str">
        <f t="shared" si="665"/>
        <v/>
      </c>
      <c r="GJ103" s="167" t="str">
        <f t="shared" si="823"/>
        <v/>
      </c>
      <c r="GK103" s="174" t="str">
        <f t="shared" si="666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7"/>
        <v/>
      </c>
      <c r="GT103" s="343" t="str">
        <f t="shared" si="668"/>
        <v/>
      </c>
      <c r="GU103" s="344" t="str">
        <f t="shared" si="669"/>
        <v/>
      </c>
      <c r="GV103" s="343" t="str">
        <f t="shared" si="831"/>
        <v/>
      </c>
      <c r="GW103" s="345" t="str">
        <f t="shared" si="670"/>
        <v/>
      </c>
      <c r="GX103" s="346" t="str">
        <f t="shared" si="671"/>
        <v/>
      </c>
      <c r="GY103" s="344" t="str">
        <f t="shared" si="672"/>
        <v/>
      </c>
      <c r="GZ103" s="345" t="str">
        <f t="shared" si="673"/>
        <v/>
      </c>
      <c r="HA103" s="342" t="str">
        <f t="shared" si="674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5"/>
        <v/>
      </c>
      <c r="HF103" s="5" t="str">
        <f t="shared" si="676"/>
        <v/>
      </c>
      <c r="HG103" s="343" t="str">
        <f t="shared" si="835"/>
        <v/>
      </c>
      <c r="HH103" s="349" t="str">
        <f t="shared" si="836"/>
        <v/>
      </c>
      <c r="HI103" s="317" t="str">
        <f t="shared" si="677"/>
        <v/>
      </c>
      <c r="HK103" s="310" t="str">
        <f t="shared" si="733"/>
        <v/>
      </c>
      <c r="HL103" s="348" t="str">
        <f t="shared" si="678"/>
        <v/>
      </c>
      <c r="HM103" s="923" t="str">
        <f t="shared" si="679"/>
        <v/>
      </c>
      <c r="HN103" s="924" t="str">
        <f t="shared" si="680"/>
        <v/>
      </c>
      <c r="HO103" s="925"/>
      <c r="HP103" s="926"/>
      <c r="HQ103" s="924" t="str">
        <f t="shared" si="681"/>
        <v/>
      </c>
      <c r="HR103" s="927" t="str">
        <f t="shared" si="682"/>
        <v/>
      </c>
      <c r="HS103" s="879" t="str">
        <f t="shared" si="734"/>
        <v/>
      </c>
      <c r="HT103" s="889" t="str">
        <f t="shared" si="683"/>
        <v/>
      </c>
      <c r="HU103" s="890" t="str">
        <f t="shared" si="684"/>
        <v/>
      </c>
      <c r="HV103" s="886" t="str">
        <f t="shared" si="685"/>
        <v/>
      </c>
      <c r="HW103" s="880" t="str">
        <f t="shared" si="686"/>
        <v/>
      </c>
      <c r="HX103" s="881" t="str">
        <f t="shared" si="687"/>
        <v/>
      </c>
      <c r="HY103" s="880" t="str">
        <f t="shared" si="688"/>
        <v/>
      </c>
      <c r="HZ103" s="882" t="str">
        <f t="shared" si="689"/>
        <v/>
      </c>
      <c r="IA103" s="883" t="str">
        <f t="shared" si="690"/>
        <v/>
      </c>
      <c r="IB103" s="884" t="str">
        <f t="shared" si="691"/>
        <v/>
      </c>
      <c r="IC103" s="855" t="str">
        <f t="shared" si="692"/>
        <v/>
      </c>
      <c r="ID103" s="351" t="str">
        <f t="shared" si="693"/>
        <v/>
      </c>
      <c r="IE103" s="857" t="str">
        <f t="shared" si="694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5"/>
        <v/>
      </c>
      <c r="IM103" s="482" t="str">
        <f t="shared" si="838"/>
        <v/>
      </c>
      <c r="IN103" s="670" t="str">
        <f t="shared" si="696"/>
        <v/>
      </c>
      <c r="IO103" s="702"/>
      <c r="IP103" s="5" t="str">
        <f t="shared" si="697"/>
        <v/>
      </c>
      <c r="IQ103" s="714"/>
      <c r="IR103" s="9" t="str">
        <f t="shared" si="698"/>
        <v/>
      </c>
      <c r="IS103" s="5" t="str">
        <f t="shared" si="699"/>
        <v/>
      </c>
      <c r="IT103" s="5" t="str">
        <f t="shared" si="700"/>
        <v/>
      </c>
      <c r="IU103" s="5" t="str">
        <f t="shared" si="701"/>
        <v/>
      </c>
      <c r="IV103" s="670" t="str">
        <f t="shared" si="702"/>
        <v/>
      </c>
      <c r="IW103" s="9" t="str">
        <f t="shared" si="703"/>
        <v/>
      </c>
      <c r="IX103" s="5" t="str">
        <f t="shared" si="704"/>
        <v/>
      </c>
      <c r="IY103" s="5" t="str">
        <f t="shared" si="705"/>
        <v/>
      </c>
      <c r="IZ103" s="5" t="str">
        <f t="shared" si="706"/>
        <v/>
      </c>
      <c r="JA103" s="705" t="str">
        <f t="shared" si="707"/>
        <v/>
      </c>
    </row>
    <row r="104" spans="1:261" ht="15" customHeight="1" x14ac:dyDescent="0.25">
      <c r="A104" s="75" t="str">
        <f t="shared" si="708"/>
        <v/>
      </c>
      <c r="B104" s="578" t="str">
        <f t="shared" ref="B104:D104" si="897">IFERROR(O259-($A104*E104),"")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5"/>
        <v/>
      </c>
      <c r="N104" s="575" t="str">
        <f t="shared" si="626"/>
        <v/>
      </c>
      <c r="O104" s="572" t="str">
        <f t="shared" si="627"/>
        <v/>
      </c>
      <c r="P104" s="576" t="str">
        <f t="shared" si="628"/>
        <v/>
      </c>
      <c r="Q104" s="528" t="str">
        <f t="shared" si="712"/>
        <v/>
      </c>
      <c r="R104" s="572" t="str">
        <f t="shared" si="96"/>
        <v/>
      </c>
      <c r="S104" s="577" t="str">
        <f t="shared" si="97"/>
        <v/>
      </c>
      <c r="T104" s="578" t="str">
        <f t="shared" si="98"/>
        <v/>
      </c>
      <c r="U104" s="572" t="str">
        <f t="shared" si="99"/>
        <v/>
      </c>
      <c r="V104" s="579" t="str">
        <f t="shared" si="136"/>
        <v/>
      </c>
      <c r="W104" s="528" t="str">
        <f t="shared" si="848"/>
        <v/>
      </c>
      <c r="X104" s="572" t="str">
        <f t="shared" si="100"/>
        <v/>
      </c>
      <c r="Y104" s="573" t="str">
        <f t="shared" si="841"/>
        <v/>
      </c>
      <c r="Z104" s="575" t="str">
        <f t="shared" si="629"/>
        <v/>
      </c>
      <c r="AA104" s="572" t="str">
        <f t="shared" si="630"/>
        <v/>
      </c>
      <c r="AB104" s="572" t="str">
        <f t="shared" si="631"/>
        <v/>
      </c>
      <c r="AC104" s="579" t="str">
        <f t="shared" si="101"/>
        <v/>
      </c>
      <c r="AD104" s="580" t="str">
        <f t="shared" si="137"/>
        <v/>
      </c>
      <c r="AE104" s="572" t="str">
        <f t="shared" si="102"/>
        <v/>
      </c>
      <c r="AF104" s="576" t="str">
        <f t="shared" si="103"/>
        <v/>
      </c>
      <c r="AG104" s="545" t="str">
        <f t="shared" si="104"/>
        <v/>
      </c>
      <c r="AH104" s="546" t="str">
        <f t="shared" si="105"/>
        <v/>
      </c>
      <c r="AI104" s="528" t="str">
        <f t="shared" si="106"/>
        <v/>
      </c>
      <c r="AJ104" s="529" t="str">
        <f t="shared" si="107"/>
        <v/>
      </c>
      <c r="AK104" s="578" t="str">
        <f t="shared" si="236"/>
        <v/>
      </c>
      <c r="AL104" s="572" t="str">
        <f t="shared" si="108"/>
        <v/>
      </c>
      <c r="AM104" s="577" t="str">
        <f t="shared" si="109"/>
        <v/>
      </c>
      <c r="AN104" s="524" t="str">
        <f t="shared" si="110"/>
        <v/>
      </c>
      <c r="AO104" s="525" t="str">
        <f t="shared" si="590"/>
        <v/>
      </c>
      <c r="AP104" s="528" t="str">
        <f t="shared" si="112"/>
        <v/>
      </c>
      <c r="AQ104" s="529" t="str">
        <f t="shared" si="632"/>
        <v/>
      </c>
      <c r="AS104" s="954" t="str">
        <f t="shared" si="737"/>
        <v/>
      </c>
      <c r="AT104" s="950" t="str">
        <f t="shared" si="633"/>
        <v/>
      </c>
      <c r="AU104" s="418"/>
      <c r="AV104" s="164" t="str">
        <f t="shared" si="634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5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6"/>
        <v/>
      </c>
      <c r="BF104" s="4" t="str">
        <f t="shared" si="637"/>
        <v/>
      </c>
      <c r="BG104" s="5" t="str">
        <f t="shared" si="638"/>
        <v/>
      </c>
      <c r="BH104" s="10" t="str">
        <f t="shared" si="639"/>
        <v/>
      </c>
      <c r="BI104" s="9" t="str">
        <f t="shared" si="739"/>
        <v/>
      </c>
      <c r="BJ104" s="5" t="str">
        <f t="shared" si="640"/>
        <v/>
      </c>
      <c r="BK104" s="8" t="str">
        <f t="shared" si="641"/>
        <v/>
      </c>
      <c r="BL104" s="173" t="str">
        <f t="shared" si="642"/>
        <v/>
      </c>
      <c r="BM104" s="5" t="str">
        <f t="shared" si="643"/>
        <v/>
      </c>
      <c r="BN104" s="6" t="str">
        <f t="shared" si="644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5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6"/>
        <v/>
      </c>
      <c r="ET104" s="5" t="str">
        <f t="shared" si="647"/>
        <v/>
      </c>
      <c r="EU104" s="10" t="str">
        <f t="shared" si="648"/>
        <v/>
      </c>
      <c r="EV104" s="174" t="str">
        <f t="shared" si="649"/>
        <v/>
      </c>
      <c r="EW104" s="9" t="str">
        <f t="shared" si="650"/>
        <v/>
      </c>
      <c r="EX104" s="5" t="str">
        <f t="shared" si="651"/>
        <v/>
      </c>
      <c r="EY104" s="6" t="str">
        <f t="shared" si="804"/>
        <v/>
      </c>
      <c r="EZ104" s="51" t="str">
        <f t="shared" si="805"/>
        <v/>
      </c>
      <c r="FA104" s="173" t="str">
        <f t="shared" si="652"/>
        <v/>
      </c>
      <c r="FB104" s="5" t="str">
        <f t="shared" si="653"/>
        <v/>
      </c>
      <c r="FC104" s="6" t="str">
        <f t="shared" si="654"/>
        <v/>
      </c>
      <c r="FD104" s="4" t="str">
        <f t="shared" si="655"/>
        <v/>
      </c>
      <c r="FE104" s="5" t="str">
        <f t="shared" si="656"/>
        <v/>
      </c>
      <c r="FF104" s="7" t="str">
        <f t="shared" si="806"/>
        <v/>
      </c>
      <c r="FG104" s="173" t="str">
        <f t="shared" si="657"/>
        <v/>
      </c>
      <c r="FH104" s="5" t="str">
        <f t="shared" si="658"/>
        <v/>
      </c>
      <c r="FI104" s="10" t="str">
        <f t="shared" si="659"/>
        <v/>
      </c>
      <c r="FJ104" s="279" t="str">
        <f t="shared" si="807"/>
        <v/>
      </c>
      <c r="FK104" s="4" t="str">
        <f t="shared" si="660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1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2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3"/>
        <v/>
      </c>
      <c r="GH104" s="286" t="str">
        <f t="shared" si="664"/>
        <v/>
      </c>
      <c r="GI104" s="281" t="str">
        <f t="shared" si="665"/>
        <v/>
      </c>
      <c r="GJ104" s="167" t="str">
        <f t="shared" si="823"/>
        <v/>
      </c>
      <c r="GK104" s="174" t="str">
        <f t="shared" si="666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7"/>
        <v/>
      </c>
      <c r="GT104" s="343" t="str">
        <f t="shared" si="668"/>
        <v/>
      </c>
      <c r="GU104" s="344" t="str">
        <f t="shared" si="669"/>
        <v/>
      </c>
      <c r="GV104" s="343" t="str">
        <f t="shared" si="831"/>
        <v/>
      </c>
      <c r="GW104" s="345" t="str">
        <f t="shared" si="670"/>
        <v/>
      </c>
      <c r="GX104" s="346" t="str">
        <f t="shared" si="671"/>
        <v/>
      </c>
      <c r="GY104" s="344" t="str">
        <f t="shared" si="672"/>
        <v/>
      </c>
      <c r="GZ104" s="345" t="str">
        <f t="shared" si="673"/>
        <v/>
      </c>
      <c r="HA104" s="342" t="str">
        <f t="shared" si="674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5"/>
        <v/>
      </c>
      <c r="HF104" s="5" t="str">
        <f t="shared" si="676"/>
        <v/>
      </c>
      <c r="HG104" s="343" t="str">
        <f t="shared" si="835"/>
        <v/>
      </c>
      <c r="HH104" s="349" t="str">
        <f t="shared" si="836"/>
        <v/>
      </c>
      <c r="HI104" s="317" t="str">
        <f t="shared" si="677"/>
        <v/>
      </c>
      <c r="HK104" s="310" t="str">
        <f t="shared" si="733"/>
        <v/>
      </c>
      <c r="HL104" s="348" t="str">
        <f t="shared" si="678"/>
        <v/>
      </c>
      <c r="HM104" s="923" t="str">
        <f t="shared" si="679"/>
        <v/>
      </c>
      <c r="HN104" s="924" t="str">
        <f t="shared" si="680"/>
        <v/>
      </c>
      <c r="HO104" s="925"/>
      <c r="HP104" s="926"/>
      <c r="HQ104" s="924" t="str">
        <f t="shared" si="681"/>
        <v/>
      </c>
      <c r="HR104" s="927" t="str">
        <f t="shared" si="682"/>
        <v/>
      </c>
      <c r="HS104" s="879" t="str">
        <f t="shared" si="734"/>
        <v/>
      </c>
      <c r="HT104" s="889" t="str">
        <f t="shared" si="683"/>
        <v/>
      </c>
      <c r="HU104" s="890" t="str">
        <f t="shared" si="684"/>
        <v/>
      </c>
      <c r="HV104" s="886" t="str">
        <f t="shared" si="685"/>
        <v/>
      </c>
      <c r="HW104" s="880" t="str">
        <f t="shared" si="686"/>
        <v/>
      </c>
      <c r="HX104" s="881" t="str">
        <f t="shared" si="687"/>
        <v/>
      </c>
      <c r="HY104" s="880" t="str">
        <f t="shared" si="688"/>
        <v/>
      </c>
      <c r="HZ104" s="882" t="str">
        <f t="shared" si="689"/>
        <v/>
      </c>
      <c r="IA104" s="883" t="str">
        <f t="shared" si="690"/>
        <v/>
      </c>
      <c r="IB104" s="884" t="str">
        <f t="shared" si="691"/>
        <v/>
      </c>
      <c r="IC104" s="855" t="str">
        <f t="shared" si="692"/>
        <v/>
      </c>
      <c r="ID104" s="351" t="str">
        <f t="shared" si="693"/>
        <v/>
      </c>
      <c r="IE104" s="857" t="str">
        <f t="shared" si="694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5"/>
        <v/>
      </c>
      <c r="IM104" s="482" t="str">
        <f t="shared" si="838"/>
        <v/>
      </c>
      <c r="IN104" s="670" t="str">
        <f t="shared" si="696"/>
        <v/>
      </c>
      <c r="IO104" s="702"/>
      <c r="IP104" s="5" t="str">
        <f t="shared" si="697"/>
        <v/>
      </c>
      <c r="IQ104" s="714"/>
      <c r="IR104" s="9" t="str">
        <f t="shared" si="698"/>
        <v/>
      </c>
      <c r="IS104" s="5" t="str">
        <f t="shared" si="699"/>
        <v/>
      </c>
      <c r="IT104" s="5" t="str">
        <f t="shared" si="700"/>
        <v/>
      </c>
      <c r="IU104" s="5" t="str">
        <f t="shared" si="701"/>
        <v/>
      </c>
      <c r="IV104" s="670" t="str">
        <f t="shared" si="702"/>
        <v/>
      </c>
      <c r="IW104" s="9" t="str">
        <f t="shared" si="703"/>
        <v/>
      </c>
      <c r="IX104" s="5" t="str">
        <f t="shared" si="704"/>
        <v/>
      </c>
      <c r="IY104" s="5" t="str">
        <f t="shared" si="705"/>
        <v/>
      </c>
      <c r="IZ104" s="5" t="str">
        <f t="shared" si="706"/>
        <v/>
      </c>
      <c r="JA104" s="705" t="str">
        <f t="shared" si="707"/>
        <v/>
      </c>
    </row>
    <row r="105" spans="1:261" ht="15" customHeight="1" x14ac:dyDescent="0.25">
      <c r="A105" s="75" t="str">
        <f t="shared" si="708"/>
        <v/>
      </c>
      <c r="B105" s="578" t="str">
        <f t="shared" ref="B105:D105" si="899">IFERROR(O260-($A105*E105),"")</f>
        <v/>
      </c>
      <c r="C105" s="572" t="str">
        <f t="shared" si="899"/>
        <v/>
      </c>
      <c r="D105" s="576" t="str">
        <f t="shared" si="899"/>
        <v/>
      </c>
      <c r="E105" s="580" t="str">
        <f t="shared" ref="E105:K105" si="900">R260</f>
        <v/>
      </c>
      <c r="F105" s="572" t="str">
        <f t="shared" si="900"/>
        <v/>
      </c>
      <c r="G105" s="579" t="str">
        <f t="shared" si="900"/>
        <v/>
      </c>
      <c r="H105" s="580" t="str">
        <f t="shared" si="900"/>
        <v/>
      </c>
      <c r="I105" s="572" t="str">
        <f t="shared" si="900"/>
        <v/>
      </c>
      <c r="J105" s="483" t="str">
        <f t="shared" si="711"/>
        <v/>
      </c>
      <c r="K105" s="806" t="str">
        <f t="shared" si="900"/>
        <v/>
      </c>
      <c r="L105" s="309"/>
      <c r="M105" s="164" t="str">
        <f t="shared" ref="M105:M136" si="901">IF(J105="","",VALUE(J105))</f>
        <v/>
      </c>
      <c r="N105" s="575" t="str">
        <f t="shared" ref="N105:N136" si="902">IF(M105="","",B105)</f>
        <v/>
      </c>
      <c r="O105" s="572" t="str">
        <f t="shared" ref="O105:O136" si="903">IF(M105="","",C105)</f>
        <v/>
      </c>
      <c r="P105" s="576" t="str">
        <f t="shared" ref="P105:P136" si="904">IF(M105="","",D105)</f>
        <v/>
      </c>
      <c r="Q105" s="528" t="str">
        <f t="shared" si="712"/>
        <v/>
      </c>
      <c r="R105" s="572" t="str">
        <f t="shared" si="96"/>
        <v/>
      </c>
      <c r="S105" s="577" t="str">
        <f t="shared" si="97"/>
        <v/>
      </c>
      <c r="T105" s="578" t="str">
        <f t="shared" si="98"/>
        <v/>
      </c>
      <c r="U105" s="572" t="str">
        <f t="shared" si="99"/>
        <v/>
      </c>
      <c r="V105" s="579" t="str">
        <f t="shared" si="136"/>
        <v/>
      </c>
      <c r="W105" s="528" t="str">
        <f t="shared" si="848"/>
        <v/>
      </c>
      <c r="X105" s="572" t="str">
        <f t="shared" si="100"/>
        <v/>
      </c>
      <c r="Y105" s="573" t="str">
        <f t="shared" si="841"/>
        <v/>
      </c>
      <c r="Z105" s="575" t="str">
        <f t="shared" ref="Z105:Z136" si="905">IF(M105="","",-E105)</f>
        <v/>
      </c>
      <c r="AA105" s="572" t="str">
        <f t="shared" ref="AA105:AA136" si="906">IF(M105="","",-F105)</f>
        <v/>
      </c>
      <c r="AB105" s="572" t="str">
        <f t="shared" ref="AB105:AB136" si="907">IF(M105="","",-G105)</f>
        <v/>
      </c>
      <c r="AC105" s="579" t="str">
        <f t="shared" si="101"/>
        <v/>
      </c>
      <c r="AD105" s="580" t="str">
        <f t="shared" si="137"/>
        <v/>
      </c>
      <c r="AE105" s="572" t="str">
        <f t="shared" si="102"/>
        <v/>
      </c>
      <c r="AF105" s="576" t="str">
        <f t="shared" si="103"/>
        <v/>
      </c>
      <c r="AG105" s="545" t="str">
        <f t="shared" si="104"/>
        <v/>
      </c>
      <c r="AH105" s="546" t="str">
        <f t="shared" si="105"/>
        <v/>
      </c>
      <c r="AI105" s="528" t="str">
        <f t="shared" si="106"/>
        <v/>
      </c>
      <c r="AJ105" s="529" t="str">
        <f t="shared" si="107"/>
        <v/>
      </c>
      <c r="AK105" s="578" t="str">
        <f t="shared" si="236"/>
        <v/>
      </c>
      <c r="AL105" s="572" t="str">
        <f t="shared" si="108"/>
        <v/>
      </c>
      <c r="AM105" s="577" t="str">
        <f t="shared" si="109"/>
        <v/>
      </c>
      <c r="AN105" s="524" t="str">
        <f t="shared" si="110"/>
        <v/>
      </c>
      <c r="AO105" s="525" t="str">
        <f t="shared" si="590"/>
        <v/>
      </c>
      <c r="AP105" s="528" t="str">
        <f t="shared" si="112"/>
        <v/>
      </c>
      <c r="AQ105" s="529" t="str">
        <f t="shared" ref="AQ105:AQ136" si="908">IF(M105="","",DEGREES(ATAN(($AS$5*SIN(RADIANS(90)))/(($X105*2*PI())-($AS$5*COS(RADIANS(90)))))))</f>
        <v/>
      </c>
      <c r="AS105" s="954" t="str">
        <f t="shared" si="737"/>
        <v/>
      </c>
      <c r="AT105" s="950" t="str">
        <f t="shared" ref="AT105:AT136" si="909">IF(M105="","",Y105+(((AS105-$AS$9)*$AS$6)*-1))</f>
        <v/>
      </c>
      <c r="AU105" s="418"/>
      <c r="AV105" s="164" t="str">
        <f t="shared" ref="AV105:AV136" si="910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1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2">IF(ISNUMBER(AV105),Y105+BB105,"")</f>
        <v/>
      </c>
      <c r="BF105" s="4" t="str">
        <f t="shared" ref="BF105:BF136" si="913">IF(ISNUMBER($AV105),N105,"")</f>
        <v/>
      </c>
      <c r="BG105" s="5" t="str">
        <f t="shared" ref="BG105:BG136" si="914">IF(ISNUMBER($AV105),O105,"")</f>
        <v/>
      </c>
      <c r="BH105" s="10" t="str">
        <f t="shared" ref="BH105:BH136" si="915">IF(ISNUMBER($AV105),P105,"")</f>
        <v/>
      </c>
      <c r="BI105" s="9" t="str">
        <f t="shared" si="739"/>
        <v/>
      </c>
      <c r="BJ105" s="5" t="str">
        <f t="shared" ref="BJ105:BJ136" si="916">IF(ISNUMBER($AV105),BG105+COS(RADIANS($AG105)),"")</f>
        <v/>
      </c>
      <c r="BK105" s="8" t="str">
        <f t="shared" ref="BK105:BK136" si="917">IF(ISNUMBER($AV105),BH105+SIN(RADIANS($AG105)),"")</f>
        <v/>
      </c>
      <c r="BL105" s="173" t="str">
        <f t="shared" ref="BL105:BL136" si="918">IF(ISNUMBER($AV105),BF105+SIN(RADIANS($AH105)),"")</f>
        <v/>
      </c>
      <c r="BM105" s="5" t="str">
        <f t="shared" ref="BM105:BM136" si="919">IF(ISNUMBER($AV105),BG105-SIN(RADIANS($AG105))*COS(RADIANS($AH105)),"")</f>
        <v/>
      </c>
      <c r="BN105" s="6" t="str">
        <f t="shared" ref="BN105:BN136" si="920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1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2">IF(ISNUMBER($AV105),AD105,"")</f>
        <v/>
      </c>
      <c r="ET105" s="5" t="str">
        <f t="shared" ref="ET105:ET136" si="923">IF(ISNUMBER($AV105),AE105,"")</f>
        <v/>
      </c>
      <c r="EU105" s="10" t="str">
        <f t="shared" ref="EU105:EU136" si="924">IF(ISNUMBER($AV105),AF105,"")</f>
        <v/>
      </c>
      <c r="EV105" s="174" t="str">
        <f t="shared" ref="EV105:EV129" si="925">IF(ISNUMBER($AV105),IF(($EV$1-EP105)&lt;0,(360+($EV$1-EP105)),($EV$1-EP105)),"")</f>
        <v/>
      </c>
      <c r="EW105" s="9" t="str">
        <f t="shared" ref="EW105:EW129" si="926">IF(ISNUMBER($AV105),(COS(RADIANS($EV105))*ES105)+(-SIN(RADIANS($EV105))*ET105),"")</f>
        <v/>
      </c>
      <c r="EX105" s="5" t="str">
        <f t="shared" ref="EX105:EX129" si="927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8">IF(ISNUMBER($AV105),SIN(RADIANS($EP105))*COS(RADIANS($EZ105)),"")</f>
        <v/>
      </c>
      <c r="FB105" s="5" t="str">
        <f t="shared" ref="FB105:FB150" si="929">IF(ISNUMBER($AV105),-1*COS(RADIANS($EP105))*COS(RADIANS($EZ105)),"")</f>
        <v/>
      </c>
      <c r="FC105" s="6" t="str">
        <f t="shared" ref="FC105:FC150" si="930">IF(ISNUMBER($AV105),-1*SIN(RADIANS($EZ105)),"")</f>
        <v/>
      </c>
      <c r="FD105" s="4" t="str">
        <f t="shared" ref="FD105:FD129" si="931">IF(ISNUMBER($AV105),(COS(RADIANS($EV105))*FA105)+(-SIN(RADIANS($EV105))*FB105),"")</f>
        <v/>
      </c>
      <c r="FE105" s="5" t="str">
        <f t="shared" ref="FE105:FE129" si="932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3">IF(ISNUMBER($AV105),EW105-FD105,"")</f>
        <v/>
      </c>
      <c r="FH105" s="5" t="str">
        <f t="shared" ref="FH105:FH129" si="934">IF(ISNUMBER($AV105),EX105-FE105,"")</f>
        <v/>
      </c>
      <c r="FI105" s="10" t="str">
        <f t="shared" ref="FI105:FI129" si="935">IF(ISNUMBER($AV105),EY105-FF105,"")</f>
        <v/>
      </c>
      <c r="FJ105" s="279" t="str">
        <f t="shared" si="807"/>
        <v/>
      </c>
      <c r="FK105" s="4" t="str">
        <f t="shared" ref="FK105:FK129" si="936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7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8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39">IF(ISNUMBER($AV105),ABS(GB105)/(ABS($GB105)+ABS($GC105)+ABS($GD105)),"")</f>
        <v/>
      </c>
      <c r="GH105" s="286" t="str">
        <f t="shared" ref="GH105:GH129" si="940">IF(ISNUMBER($AV105),ABS(GC105)/(ABS($GB105)+ABS($GC105)+ABS($GD105)),"")</f>
        <v/>
      </c>
      <c r="GI105" s="281" t="str">
        <f t="shared" ref="GI105:GI129" si="941">IF(ISNUMBER($AV105),ABS(GD105)/(ABS($GB105)+ABS($GC105)+ABS($GD105)),"")</f>
        <v/>
      </c>
      <c r="GJ105" s="167" t="str">
        <f t="shared" si="823"/>
        <v/>
      </c>
      <c r="GK105" s="174" t="str">
        <f t="shared" ref="GK105:GK150" si="942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3">IF(ISNUMBER($AV105),GU105/GH105*GG105,"")</f>
        <v/>
      </c>
      <c r="GT105" s="343" t="str">
        <f t="shared" ref="GT105:GT129" si="944">IF(ISNUMBER($AV105),GS105/$GK105,"")</f>
        <v/>
      </c>
      <c r="GU105" s="344" t="str">
        <f t="shared" ref="GU105:GU150" si="945">IF(ISNUMBER($AV105),$GV105*$GK105,"")</f>
        <v/>
      </c>
      <c r="GV105" s="343" t="str">
        <f t="shared" si="831"/>
        <v/>
      </c>
      <c r="GW105" s="345" t="str">
        <f t="shared" ref="GW105:GW150" si="946">IF(ISNUMBER($AV105),$GW$2,"")</f>
        <v/>
      </c>
      <c r="GX105" s="346" t="str">
        <f t="shared" ref="GX105:GX150" si="947">IF(ISNUMBER($AV105),($GJ105/12)*$GV105,"")</f>
        <v/>
      </c>
      <c r="GY105" s="344" t="str">
        <f t="shared" ref="GY105:GY129" si="948">IF(ISNUMBER($AV105),GU105/GH105*GI105,"")</f>
        <v/>
      </c>
      <c r="GZ105" s="345" t="str">
        <f t="shared" ref="GZ105:GZ129" si="949">IF(ISNUMBER($AV105),GY105/$GK105,"")</f>
        <v/>
      </c>
      <c r="HA105" s="342" t="str">
        <f t="shared" ref="HA105:HA150" si="950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1">IF(ISNUMBER($AV105),$FY105*$GV105,"")</f>
        <v/>
      </c>
      <c r="HF105" s="5" t="str">
        <f t="shared" ref="HF105:HF150" si="952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3">IF(ISNUMBER($AV105),$M105,"")</f>
        <v/>
      </c>
      <c r="HK105" s="310" t="str">
        <f t="shared" si="733"/>
        <v/>
      </c>
      <c r="HL105" s="348" t="str">
        <f t="shared" ref="HL105:HL136" si="954">IF(ISNUMBER($HS105),INDEX(HI$9:HI$150,MATCH($HS105,$GJ$9:$GJ$150,0)),"")</f>
        <v/>
      </c>
      <c r="HM105" s="923" t="str">
        <f t="shared" ref="HM105:HM136" si="955">IF(ISNUMBER($HL105),INDEX(GO$9:GO$150,MATCH($HL105,$AV$9:$AV$150,0)),"")</f>
        <v/>
      </c>
      <c r="HN105" s="924" t="str">
        <f t="shared" ref="HN105:HN136" si="956">IF(ISNUMBER($HL105),INDEX(AO$9:AO$150,MATCH($HL105,$AV$9:$AV$150,0)),"")</f>
        <v/>
      </c>
      <c r="HO105" s="925"/>
      <c r="HP105" s="926"/>
      <c r="HQ105" s="924" t="str">
        <f t="shared" ref="HQ105:HQ136" si="957">IF(ISNUMBER($HL105),INDEX(GQ$9:GQ$150,MATCH($HL105,$AV$9:$AV$150,0)),"")</f>
        <v/>
      </c>
      <c r="HR105" s="927" t="str">
        <f t="shared" ref="HR105:HR136" si="958">IF(ISNUMBER($HL105),INDEX(GP$9:GP$150,MATCH($HL105,$AV$9:$AV$150,0)),"")</f>
        <v/>
      </c>
      <c r="HS105" s="879" t="str">
        <f t="shared" si="734"/>
        <v/>
      </c>
      <c r="HT105" s="889" t="str">
        <f t="shared" ref="HT105:HT136" si="959">IF(ISNUMBER($HL105),INDEX(GL$9:GL$150,MATCH($HL105,$AV$9:$AV$150,0)),"")</f>
        <v/>
      </c>
      <c r="HU105" s="890" t="str">
        <f t="shared" ref="HU105:HU136" si="960">IF(ISNUMBER($HL105),INDEX(GM$9:GM$150,MATCH($HL105,$AV$9:$AV$150,0)),"")</f>
        <v/>
      </c>
      <c r="HV105" s="886" t="str">
        <f t="shared" ref="HV105:HV136" si="961">IF(ISNUMBER($HL105),INDEX(GN$9:GN$150,MATCH($HL105,$AV$9:$AV$150,0)),"")</f>
        <v/>
      </c>
      <c r="HW105" s="880" t="str">
        <f t="shared" ref="HW105:HW136" si="962">IF(ISNUMBER($HL105),INDEX(GW$9:GW$150,MATCH($HL105,$AV$9:$AV$150,0)),"")</f>
        <v/>
      </c>
      <c r="HX105" s="881" t="str">
        <f t="shared" ref="HX105:HX136" si="963">IF(ISNUMBER($HL105),INDEX(GX$9:GX$150,MATCH($HL105,$AV$9:$AV$150,0)),"")</f>
        <v/>
      </c>
      <c r="HY105" s="880" t="str">
        <f t="shared" ref="HY105:HY136" si="964">IF(ISNUMBER($HL105),INDEX(GS$9:GS$150,MATCH($HL105,$AV$9:$AV$150,0)),"")</f>
        <v/>
      </c>
      <c r="HZ105" s="882" t="str">
        <f t="shared" ref="HZ105:HZ136" si="965">IF(ISNUMBER($HL105),INDEX(GU$9:GU$150,MATCH($HL105,$AV$9:$AV$150,0)),"")</f>
        <v/>
      </c>
      <c r="IA105" s="883" t="str">
        <f t="shared" ref="IA105:IA136" si="966">IF(ISNUMBER($HL105),INDEX(GY$9:GY$150,MATCH($HL105,$AV$9:$AV$150,0)),"")</f>
        <v/>
      </c>
      <c r="IB105" s="884" t="str">
        <f t="shared" ref="IB105:IB136" si="967">IF(ISNUMBER($HL105),INDEX(GR$9:GR$150,MATCH($HL105,$AV$9:$AV$150,0)),"")</f>
        <v/>
      </c>
      <c r="IC105" s="855" t="str">
        <f t="shared" ref="IC105:IC136" si="968">IF(ISNUMBER($HL105),INDEX(GT$9:GT$150,MATCH($HL105,$AV$9:$AV$150,0)),"")</f>
        <v/>
      </c>
      <c r="ID105" s="351" t="str">
        <f t="shared" ref="ID105:ID136" si="969">IF(ISNUMBER($HL105),INDEX(GV$9:GV$150,MATCH($HL105,$AV$9:$AV$150,0)),"")</f>
        <v/>
      </c>
      <c r="IE105" s="857" t="str">
        <f t="shared" ref="IE105:IE136" si="970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1">IF(ISNUMBER($IK105),INDEX($K$9:$K$150,MATCH($IK105,$M$9:$M$150,0)),$K105)</f>
        <v/>
      </c>
      <c r="IM105" s="482" t="str">
        <f t="shared" si="838"/>
        <v/>
      </c>
      <c r="IN105" s="670" t="str">
        <f t="shared" ref="IN105:IN136" si="972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3">IF(ISNUMBER($IK105),(($IQ105*12)/60)/$AS$3,"")</f>
        <v/>
      </c>
      <c r="IQ105" s="714"/>
      <c r="IR105" s="9" t="str">
        <f t="shared" ref="IR105:IR136" si="974">IF(ISNUMBER($IK105),(INDEX($X$9:$X$150,MATCH($IK105,$M$9:$M$150,0))*-1),"")</f>
        <v/>
      </c>
      <c r="IS105" s="5" t="str">
        <f t="shared" ref="IS105:IS136" si="975">IF(ISNUMBER($IK105),INDEX($Y$9:$Y$150,MATCH($IK105,$M$9:$M$150,0)),"")</f>
        <v/>
      </c>
      <c r="IT105" s="5" t="str">
        <f t="shared" ref="IT105:IT136" si="976">IF(ISNUMBER($IK105),INDEX($H$9:$H$150,MATCH($IK105,$M$9:$M$150,0)),"")</f>
        <v/>
      </c>
      <c r="IU105" s="5" t="str">
        <f t="shared" ref="IU105:IU136" si="977">IF(ISNUMBER($IK105),$IT105*COS(RADIANS(INDEX($AO$9:$AO$150,MATCH($IK105,$M$9:$M$150,0)))),"")</f>
        <v/>
      </c>
      <c r="IV105" s="670" t="str">
        <f t="shared" ref="IV105:IV136" si="978">IF(ISNUMBER($IK105),(-1*INDEX($AN$9:$AN$150,MATCH($IK105,$M$9:$M$150,0))),"")</f>
        <v/>
      </c>
      <c r="IW105" s="9" t="str">
        <f t="shared" ref="IW105:IW136" si="979">IF(ISNUMBER($IK105),-$X105,"")</f>
        <v/>
      </c>
      <c r="IX105" s="5" t="str">
        <f t="shared" ref="IX105:IX136" si="980">IF(ISNUMBER($IK105),$Y105,"")</f>
        <v/>
      </c>
      <c r="IY105" s="5" t="str">
        <f t="shared" ref="IY105:IY136" si="981">IF(ISNUMBER($IK105),$H105,"")</f>
        <v/>
      </c>
      <c r="IZ105" s="5" t="str">
        <f t="shared" ref="IZ105:IZ136" si="982">IF(ISNUMBER($IK105),$IY105*COS(RADIANS($AO105)),"")</f>
        <v/>
      </c>
      <c r="JA105" s="705" t="str">
        <f t="shared" ref="JA105:JA136" si="983">IF(ISNUMBER($IK105),(-1*$AN105),"")</f>
        <v/>
      </c>
    </row>
    <row r="106" spans="1:261" ht="15" customHeight="1" x14ac:dyDescent="0.25">
      <c r="A106" s="75" t="str">
        <f t="shared" si="708"/>
        <v/>
      </c>
      <c r="B106" s="578" t="str">
        <f t="shared" ref="B106:D106" si="984">IFERROR(O261-($A106*E106),"")</f>
        <v/>
      </c>
      <c r="C106" s="572" t="str">
        <f t="shared" si="984"/>
        <v/>
      </c>
      <c r="D106" s="576" t="str">
        <f t="shared" si="984"/>
        <v/>
      </c>
      <c r="E106" s="580" t="str">
        <f t="shared" ref="E106:K106" si="985">R261</f>
        <v/>
      </c>
      <c r="F106" s="572" t="str">
        <f t="shared" si="985"/>
        <v/>
      </c>
      <c r="G106" s="579" t="str">
        <f t="shared" si="985"/>
        <v/>
      </c>
      <c r="H106" s="580" t="str">
        <f t="shared" si="985"/>
        <v/>
      </c>
      <c r="I106" s="572" t="str">
        <f t="shared" si="985"/>
        <v/>
      </c>
      <c r="J106" s="483" t="str">
        <f t="shared" si="711"/>
        <v/>
      </c>
      <c r="K106" s="806" t="str">
        <f t="shared" si="985"/>
        <v/>
      </c>
      <c r="L106" s="309"/>
      <c r="M106" s="164" t="str">
        <f t="shared" si="901"/>
        <v/>
      </c>
      <c r="N106" s="575" t="str">
        <f t="shared" si="902"/>
        <v/>
      </c>
      <c r="O106" s="572" t="str">
        <f t="shared" si="903"/>
        <v/>
      </c>
      <c r="P106" s="576" t="str">
        <f t="shared" si="904"/>
        <v/>
      </c>
      <c r="Q106" s="528" t="str">
        <f t="shared" si="712"/>
        <v/>
      </c>
      <c r="R106" s="572" t="str">
        <f t="shared" ref="R106:R129" si="986">IF(M106="","",SQRT(N106^2+O106^2))</f>
        <v/>
      </c>
      <c r="S106" s="577" t="str">
        <f t="shared" ref="S106:S129" si="987">IF(M106="","",P106)</f>
        <v/>
      </c>
      <c r="T106" s="578" t="str">
        <f t="shared" ref="T106:T129" si="988">IF(M106="","",X106*COS(RADIANS(W106)))</f>
        <v/>
      </c>
      <c r="U106" s="572" t="str">
        <f t="shared" ref="U106:U129" si="989">IF(M106="","",X106*SIN(RADIANS(W106)))</f>
        <v/>
      </c>
      <c r="V106" s="579" t="str">
        <f t="shared" ref="V106:V129" si="990">IF(M106="","",Y106)</f>
        <v/>
      </c>
      <c r="W106" s="528" t="str">
        <f t="shared" si="848"/>
        <v/>
      </c>
      <c r="X106" s="572" t="str">
        <f t="shared" ref="X106:X129" si="991">IF(M106="","",R106)</f>
        <v/>
      </c>
      <c r="Y106" s="573" t="str">
        <f t="shared" si="841"/>
        <v/>
      </c>
      <c r="Z106" s="575" t="str">
        <f t="shared" si="905"/>
        <v/>
      </c>
      <c r="AA106" s="572" t="str">
        <f t="shared" si="906"/>
        <v/>
      </c>
      <c r="AB106" s="572" t="str">
        <f t="shared" si="907"/>
        <v/>
      </c>
      <c r="AC106" s="579" t="str">
        <f t="shared" ref="AC106:AC129" si="992">IF(M106="","",SQRT(Z106^2+AA106^2+AB106^2))</f>
        <v/>
      </c>
      <c r="AD106" s="580" t="str">
        <f t="shared" ref="AD106:AD129" si="993">IF(M106="","",Z106*(1/SQRT(Z106^2+AA106^2+AB106^2)))</f>
        <v/>
      </c>
      <c r="AE106" s="572" t="str">
        <f t="shared" ref="AE106:AE129" si="994">IF(M106="","",AA106*(1/SQRT(Z106^2+AA106^2+AB106^2)))</f>
        <v/>
      </c>
      <c r="AF106" s="576" t="str">
        <f t="shared" ref="AF106:AF129" si="995">IF(M106="","",AB106*(1/SQRT(Z106^2+AA106^2+AB106^2)))</f>
        <v/>
      </c>
      <c r="AG106" s="545" t="str">
        <f t="shared" ref="AG106:AG129" si="996">IF(M106="","",DEGREES(ATAN2(-AF106,AE106)))</f>
        <v/>
      </c>
      <c r="AH106" s="546" t="str">
        <f t="shared" ref="AH106:AH129" si="997">IF(M106="","",DEGREES(ACOS(AD106)))</f>
        <v/>
      </c>
      <c r="AI106" s="528" t="str">
        <f t="shared" ref="AI106:AI129" si="998">IF(M106="","",DEGREES(-ACOS(-AF106)))</f>
        <v/>
      </c>
      <c r="AJ106" s="529" t="str">
        <f t="shared" ref="AJ106:AJ129" si="999">IF(M106="","",DEGREES(ATAN2(-AE106,AD106)))</f>
        <v/>
      </c>
      <c r="AK106" s="578" t="str">
        <f t="shared" ref="AK106:AK129" si="1000">IF(M106="","",(COS(RADIANS((90-$Q$8)-W106))*AD106)+(-SIN(RADIANS((90-$Q$8)-W106))*AE106))</f>
        <v/>
      </c>
      <c r="AL106" s="572" t="str">
        <f t="shared" ref="AL106:AL129" si="1001">IF(M106="","",(SIN(RADIANS((90-$Q$8)-W106))*AD106)+(COS(RADIANS((90-$Q$8)-W106))*AE106))</f>
        <v/>
      </c>
      <c r="AM106" s="577" t="str">
        <f t="shared" ref="AM106:AM129" si="1002">IF(M106="","",AF106)</f>
        <v/>
      </c>
      <c r="AN106" s="524" t="str">
        <f t="shared" ref="AN106:AN129" si="1003">IF(M106="","",DEGREES(ATAN2(-AM106,AL106)))</f>
        <v/>
      </c>
      <c r="AO106" s="525" t="str">
        <f t="shared" si="590"/>
        <v/>
      </c>
      <c r="AP106" s="528" t="str">
        <f t="shared" ref="AP106:AP129" si="1004">IF(M106="","",DEGREES(ATAN2(AK106,AL106)))</f>
        <v/>
      </c>
      <c r="AQ106" s="529" t="str">
        <f t="shared" si="908"/>
        <v/>
      </c>
      <c r="AS106" s="954" t="str">
        <f t="shared" si="737"/>
        <v/>
      </c>
      <c r="AT106" s="950" t="str">
        <f t="shared" si="909"/>
        <v/>
      </c>
      <c r="AU106" s="418"/>
      <c r="AV106" s="164" t="str">
        <f t="shared" si="910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1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2"/>
        <v/>
      </c>
      <c r="BF106" s="4" t="str">
        <f t="shared" si="913"/>
        <v/>
      </c>
      <c r="BG106" s="5" t="str">
        <f t="shared" si="914"/>
        <v/>
      </c>
      <c r="BH106" s="10" t="str">
        <f t="shared" si="915"/>
        <v/>
      </c>
      <c r="BI106" s="9" t="str">
        <f t="shared" si="739"/>
        <v/>
      </c>
      <c r="BJ106" s="5" t="str">
        <f t="shared" si="916"/>
        <v/>
      </c>
      <c r="BK106" s="8" t="str">
        <f t="shared" si="917"/>
        <v/>
      </c>
      <c r="BL106" s="173" t="str">
        <f t="shared" si="918"/>
        <v/>
      </c>
      <c r="BM106" s="5" t="str">
        <f t="shared" si="919"/>
        <v/>
      </c>
      <c r="BN106" s="6" t="str">
        <f t="shared" si="920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5">IF(ISNUMBER($AV106),0,"")</f>
        <v/>
      </c>
      <c r="BT106" s="5" t="str">
        <f t="shared" si="1005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1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2"/>
        <v/>
      </c>
      <c r="ET106" s="5" t="str">
        <f t="shared" si="923"/>
        <v/>
      </c>
      <c r="EU106" s="10" t="str">
        <f t="shared" si="924"/>
        <v/>
      </c>
      <c r="EV106" s="174" t="str">
        <f t="shared" si="925"/>
        <v/>
      </c>
      <c r="EW106" s="9" t="str">
        <f t="shared" si="926"/>
        <v/>
      </c>
      <c r="EX106" s="5" t="str">
        <f t="shared" si="927"/>
        <v/>
      </c>
      <c r="EY106" s="6" t="str">
        <f t="shared" si="804"/>
        <v/>
      </c>
      <c r="EZ106" s="51" t="str">
        <f t="shared" si="805"/>
        <v/>
      </c>
      <c r="FA106" s="173" t="str">
        <f t="shared" si="928"/>
        <v/>
      </c>
      <c r="FB106" s="5" t="str">
        <f t="shared" si="929"/>
        <v/>
      </c>
      <c r="FC106" s="6" t="str">
        <f t="shared" si="930"/>
        <v/>
      </c>
      <c r="FD106" s="4" t="str">
        <f t="shared" si="931"/>
        <v/>
      </c>
      <c r="FE106" s="5" t="str">
        <f t="shared" si="932"/>
        <v/>
      </c>
      <c r="FF106" s="7" t="str">
        <f t="shared" si="806"/>
        <v/>
      </c>
      <c r="FG106" s="173" t="str">
        <f t="shared" si="933"/>
        <v/>
      </c>
      <c r="FH106" s="5" t="str">
        <f t="shared" si="934"/>
        <v/>
      </c>
      <c r="FI106" s="10" t="str">
        <f t="shared" si="935"/>
        <v/>
      </c>
      <c r="FJ106" s="279" t="str">
        <f t="shared" si="807"/>
        <v/>
      </c>
      <c r="FK106" s="4" t="str">
        <f t="shared" si="936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7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8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39"/>
        <v/>
      </c>
      <c r="GH106" s="286" t="str">
        <f t="shared" si="940"/>
        <v/>
      </c>
      <c r="GI106" s="281" t="str">
        <f t="shared" si="941"/>
        <v/>
      </c>
      <c r="GJ106" s="167" t="str">
        <f t="shared" si="823"/>
        <v/>
      </c>
      <c r="GK106" s="174" t="str">
        <f t="shared" si="942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3"/>
        <v/>
      </c>
      <c r="GT106" s="343" t="str">
        <f t="shared" si="944"/>
        <v/>
      </c>
      <c r="GU106" s="344" t="str">
        <f t="shared" si="945"/>
        <v/>
      </c>
      <c r="GV106" s="343" t="str">
        <f t="shared" si="831"/>
        <v/>
      </c>
      <c r="GW106" s="345" t="str">
        <f t="shared" si="946"/>
        <v/>
      </c>
      <c r="GX106" s="346" t="str">
        <f t="shared" si="947"/>
        <v/>
      </c>
      <c r="GY106" s="344" t="str">
        <f t="shared" si="948"/>
        <v/>
      </c>
      <c r="GZ106" s="345" t="str">
        <f t="shared" si="949"/>
        <v/>
      </c>
      <c r="HA106" s="342" t="str">
        <f t="shared" si="950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1"/>
        <v/>
      </c>
      <c r="HF106" s="5" t="str">
        <f t="shared" si="952"/>
        <v/>
      </c>
      <c r="HG106" s="343" t="str">
        <f t="shared" si="835"/>
        <v/>
      </c>
      <c r="HH106" s="349" t="str">
        <f t="shared" si="836"/>
        <v/>
      </c>
      <c r="HI106" s="317" t="str">
        <f t="shared" si="953"/>
        <v/>
      </c>
      <c r="HK106" s="310" t="str">
        <f t="shared" ref="HK106:HK137" si="1006">IF(ISNUMBER(HS106),HK105+1,"")</f>
        <v/>
      </c>
      <c r="HL106" s="348" t="str">
        <f t="shared" si="954"/>
        <v/>
      </c>
      <c r="HM106" s="923" t="str">
        <f t="shared" si="955"/>
        <v/>
      </c>
      <c r="HN106" s="924" t="str">
        <f t="shared" si="956"/>
        <v/>
      </c>
      <c r="HO106" s="925"/>
      <c r="HP106" s="926"/>
      <c r="HQ106" s="924" t="str">
        <f t="shared" si="957"/>
        <v/>
      </c>
      <c r="HR106" s="927" t="str">
        <f t="shared" si="958"/>
        <v/>
      </c>
      <c r="HS106" s="879" t="str">
        <f t="shared" ref="HS106:HS129" si="1007">IFERROR(SMALL($GJ$9:$GJ$150,($HK105+1)),"")</f>
        <v/>
      </c>
      <c r="HT106" s="889" t="str">
        <f t="shared" si="959"/>
        <v/>
      </c>
      <c r="HU106" s="890" t="str">
        <f t="shared" si="960"/>
        <v/>
      </c>
      <c r="HV106" s="886" t="str">
        <f t="shared" si="961"/>
        <v/>
      </c>
      <c r="HW106" s="880" t="str">
        <f t="shared" si="962"/>
        <v/>
      </c>
      <c r="HX106" s="881" t="str">
        <f t="shared" si="963"/>
        <v/>
      </c>
      <c r="HY106" s="880" t="str">
        <f t="shared" si="964"/>
        <v/>
      </c>
      <c r="HZ106" s="882" t="str">
        <f t="shared" si="965"/>
        <v/>
      </c>
      <c r="IA106" s="883" t="str">
        <f t="shared" si="966"/>
        <v/>
      </c>
      <c r="IB106" s="884" t="str">
        <f t="shared" si="967"/>
        <v/>
      </c>
      <c r="IC106" s="855" t="str">
        <f t="shared" si="968"/>
        <v/>
      </c>
      <c r="ID106" s="351" t="str">
        <f t="shared" si="969"/>
        <v/>
      </c>
      <c r="IE106" s="857" t="str">
        <f t="shared" si="970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1"/>
        <v/>
      </c>
      <c r="IM106" s="482" t="str">
        <f t="shared" si="838"/>
        <v/>
      </c>
      <c r="IN106" s="670" t="str">
        <f t="shared" si="972"/>
        <v/>
      </c>
      <c r="IO106" s="702"/>
      <c r="IP106" s="5" t="str">
        <f t="shared" si="973"/>
        <v/>
      </c>
      <c r="IQ106" s="714"/>
      <c r="IR106" s="9" t="str">
        <f t="shared" si="974"/>
        <v/>
      </c>
      <c r="IS106" s="5" t="str">
        <f t="shared" si="975"/>
        <v/>
      </c>
      <c r="IT106" s="5" t="str">
        <f t="shared" si="976"/>
        <v/>
      </c>
      <c r="IU106" s="5" t="str">
        <f t="shared" si="977"/>
        <v/>
      </c>
      <c r="IV106" s="670" t="str">
        <f t="shared" si="978"/>
        <v/>
      </c>
      <c r="IW106" s="9" t="str">
        <f t="shared" si="979"/>
        <v/>
      </c>
      <c r="IX106" s="5" t="str">
        <f t="shared" si="980"/>
        <v/>
      </c>
      <c r="IY106" s="5" t="str">
        <f t="shared" si="981"/>
        <v/>
      </c>
      <c r="IZ106" s="5" t="str">
        <f t="shared" si="982"/>
        <v/>
      </c>
      <c r="JA106" s="705" t="str">
        <f t="shared" si="983"/>
        <v/>
      </c>
    </row>
    <row r="107" spans="1:261" ht="15" customHeight="1" x14ac:dyDescent="0.25">
      <c r="A107" s="75" t="str">
        <f t="shared" si="708"/>
        <v/>
      </c>
      <c r="B107" s="578" t="str">
        <f t="shared" ref="B107:D107" si="1008">IFERROR(O262-($A107*E107),"")</f>
        <v/>
      </c>
      <c r="C107" s="572" t="str">
        <f t="shared" si="1008"/>
        <v/>
      </c>
      <c r="D107" s="576" t="str">
        <f t="shared" si="1008"/>
        <v/>
      </c>
      <c r="E107" s="580" t="str">
        <f t="shared" ref="E107:K107" si="1009">R262</f>
        <v/>
      </c>
      <c r="F107" s="572" t="str">
        <f t="shared" si="1009"/>
        <v/>
      </c>
      <c r="G107" s="579" t="str">
        <f t="shared" si="1009"/>
        <v/>
      </c>
      <c r="H107" s="580" t="str">
        <f t="shared" si="1009"/>
        <v/>
      </c>
      <c r="I107" s="572" t="str">
        <f t="shared" si="1009"/>
        <v/>
      </c>
      <c r="J107" s="483" t="str">
        <f t="shared" si="711"/>
        <v/>
      </c>
      <c r="K107" s="806" t="str">
        <f t="shared" si="1009"/>
        <v/>
      </c>
      <c r="L107" s="309"/>
      <c r="M107" s="164" t="str">
        <f t="shared" si="901"/>
        <v/>
      </c>
      <c r="N107" s="575" t="str">
        <f t="shared" si="902"/>
        <v/>
      </c>
      <c r="O107" s="572" t="str">
        <f t="shared" si="903"/>
        <v/>
      </c>
      <c r="P107" s="576" t="str">
        <f t="shared" si="904"/>
        <v/>
      </c>
      <c r="Q107" s="528" t="str">
        <f t="shared" si="712"/>
        <v/>
      </c>
      <c r="R107" s="572" t="str">
        <f t="shared" si="986"/>
        <v/>
      </c>
      <c r="S107" s="577" t="str">
        <f t="shared" si="987"/>
        <v/>
      </c>
      <c r="T107" s="578" t="str">
        <f t="shared" si="988"/>
        <v/>
      </c>
      <c r="U107" s="572" t="str">
        <f t="shared" si="989"/>
        <v/>
      </c>
      <c r="V107" s="579" t="str">
        <f t="shared" si="990"/>
        <v/>
      </c>
      <c r="W107" s="528" t="str">
        <f t="shared" si="848"/>
        <v/>
      </c>
      <c r="X107" s="572" t="str">
        <f t="shared" si="991"/>
        <v/>
      </c>
      <c r="Y107" s="573" t="str">
        <f t="shared" si="841"/>
        <v/>
      </c>
      <c r="Z107" s="575" t="str">
        <f t="shared" si="905"/>
        <v/>
      </c>
      <c r="AA107" s="572" t="str">
        <f t="shared" si="906"/>
        <v/>
      </c>
      <c r="AB107" s="572" t="str">
        <f t="shared" si="907"/>
        <v/>
      </c>
      <c r="AC107" s="579" t="str">
        <f t="shared" si="992"/>
        <v/>
      </c>
      <c r="AD107" s="580" t="str">
        <f t="shared" si="993"/>
        <v/>
      </c>
      <c r="AE107" s="572" t="str">
        <f t="shared" si="994"/>
        <v/>
      </c>
      <c r="AF107" s="576" t="str">
        <f t="shared" si="995"/>
        <v/>
      </c>
      <c r="AG107" s="545" t="str">
        <f t="shared" si="996"/>
        <v/>
      </c>
      <c r="AH107" s="546" t="str">
        <f t="shared" si="997"/>
        <v/>
      </c>
      <c r="AI107" s="528" t="str">
        <f t="shared" si="998"/>
        <v/>
      </c>
      <c r="AJ107" s="529" t="str">
        <f t="shared" si="999"/>
        <v/>
      </c>
      <c r="AK107" s="578" t="str">
        <f t="shared" si="1000"/>
        <v/>
      </c>
      <c r="AL107" s="572" t="str">
        <f t="shared" si="1001"/>
        <v/>
      </c>
      <c r="AM107" s="577" t="str">
        <f t="shared" si="1002"/>
        <v/>
      </c>
      <c r="AN107" s="524" t="str">
        <f t="shared" si="1003"/>
        <v/>
      </c>
      <c r="AO107" s="525" t="str">
        <f t="shared" si="590"/>
        <v/>
      </c>
      <c r="AP107" s="528" t="str">
        <f t="shared" si="1004"/>
        <v/>
      </c>
      <c r="AQ107" s="529" t="str">
        <f t="shared" si="908"/>
        <v/>
      </c>
      <c r="AS107" s="954" t="str">
        <f t="shared" ref="AS107:AS138" si="1010">IF(G107="","",IF(AND(W107&lt;(AS106+180),W107&gt;(AS106-180)),W107,IF(W107&gt;(AS106+180),W107-360,IF(W107&lt;(AS106-180),W107+360,"Error"))))</f>
        <v/>
      </c>
      <c r="AT107" s="950" t="str">
        <f t="shared" si="909"/>
        <v/>
      </c>
      <c r="AU107" s="418"/>
      <c r="AV107" s="164" t="str">
        <f t="shared" si="910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1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2"/>
        <v/>
      </c>
      <c r="BF107" s="4" t="str">
        <f t="shared" si="913"/>
        <v/>
      </c>
      <c r="BG107" s="5" t="str">
        <f t="shared" si="914"/>
        <v/>
      </c>
      <c r="BH107" s="10" t="str">
        <f t="shared" si="915"/>
        <v/>
      </c>
      <c r="BI107" s="9" t="str">
        <f t="shared" si="739"/>
        <v/>
      </c>
      <c r="BJ107" s="5" t="str">
        <f t="shared" si="916"/>
        <v/>
      </c>
      <c r="BK107" s="8" t="str">
        <f t="shared" si="917"/>
        <v/>
      </c>
      <c r="BL107" s="173" t="str">
        <f t="shared" si="918"/>
        <v/>
      </c>
      <c r="BM107" s="5" t="str">
        <f t="shared" si="919"/>
        <v/>
      </c>
      <c r="BN107" s="6" t="str">
        <f t="shared" si="920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5"/>
        <v/>
      </c>
      <c r="BT107" s="5" t="str">
        <f t="shared" si="1005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1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1">IF(ISNUMBER($AV107),0,"")</f>
        <v/>
      </c>
      <c r="DC107" s="5" t="str">
        <f t="shared" si="1011"/>
        <v/>
      </c>
      <c r="DD107" s="10" t="str">
        <f t="shared" si="764"/>
        <v/>
      </c>
      <c r="DE107" s="9" t="str">
        <f t="shared" ref="DE107:DF150" si="1012">IF(ISNUMBER($AV107),0,"")</f>
        <v/>
      </c>
      <c r="DF107" s="5" t="str">
        <f t="shared" si="1012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2"/>
        <v/>
      </c>
      <c r="ET107" s="5" t="str">
        <f t="shared" si="923"/>
        <v/>
      </c>
      <c r="EU107" s="10" t="str">
        <f t="shared" si="924"/>
        <v/>
      </c>
      <c r="EV107" s="174" t="str">
        <f t="shared" si="925"/>
        <v/>
      </c>
      <c r="EW107" s="9" t="str">
        <f t="shared" si="926"/>
        <v/>
      </c>
      <c r="EX107" s="5" t="str">
        <f t="shared" si="927"/>
        <v/>
      </c>
      <c r="EY107" s="6" t="str">
        <f t="shared" si="804"/>
        <v/>
      </c>
      <c r="EZ107" s="51" t="str">
        <f t="shared" si="805"/>
        <v/>
      </c>
      <c r="FA107" s="173" t="str">
        <f t="shared" si="928"/>
        <v/>
      </c>
      <c r="FB107" s="5" t="str">
        <f t="shared" si="929"/>
        <v/>
      </c>
      <c r="FC107" s="6" t="str">
        <f t="shared" si="930"/>
        <v/>
      </c>
      <c r="FD107" s="4" t="str">
        <f t="shared" si="931"/>
        <v/>
      </c>
      <c r="FE107" s="5" t="str">
        <f t="shared" si="932"/>
        <v/>
      </c>
      <c r="FF107" s="7" t="str">
        <f t="shared" si="806"/>
        <v/>
      </c>
      <c r="FG107" s="173" t="str">
        <f t="shared" si="933"/>
        <v/>
      </c>
      <c r="FH107" s="5" t="str">
        <f t="shared" si="934"/>
        <v/>
      </c>
      <c r="FI107" s="10" t="str">
        <f t="shared" si="935"/>
        <v/>
      </c>
      <c r="FJ107" s="279" t="str">
        <f t="shared" si="807"/>
        <v/>
      </c>
      <c r="FK107" s="4" t="str">
        <f t="shared" si="936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7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8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39"/>
        <v/>
      </c>
      <c r="GH107" s="286" t="str">
        <f t="shared" si="940"/>
        <v/>
      </c>
      <c r="GI107" s="281" t="str">
        <f t="shared" si="941"/>
        <v/>
      </c>
      <c r="GJ107" s="167" t="str">
        <f t="shared" si="823"/>
        <v/>
      </c>
      <c r="GK107" s="174" t="str">
        <f t="shared" si="942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3"/>
        <v/>
      </c>
      <c r="GT107" s="343" t="str">
        <f t="shared" si="944"/>
        <v/>
      </c>
      <c r="GU107" s="344" t="str">
        <f t="shared" si="945"/>
        <v/>
      </c>
      <c r="GV107" s="343" t="str">
        <f t="shared" si="831"/>
        <v/>
      </c>
      <c r="GW107" s="345" t="str">
        <f t="shared" si="946"/>
        <v/>
      </c>
      <c r="GX107" s="346" t="str">
        <f t="shared" si="947"/>
        <v/>
      </c>
      <c r="GY107" s="344" t="str">
        <f t="shared" si="948"/>
        <v/>
      </c>
      <c r="GZ107" s="345" t="str">
        <f t="shared" si="949"/>
        <v/>
      </c>
      <c r="HA107" s="342" t="str">
        <f t="shared" si="950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1"/>
        <v/>
      </c>
      <c r="HF107" s="5" t="str">
        <f t="shared" si="952"/>
        <v/>
      </c>
      <c r="HG107" s="343" t="str">
        <f t="shared" si="835"/>
        <v/>
      </c>
      <c r="HH107" s="349" t="str">
        <f t="shared" si="836"/>
        <v/>
      </c>
      <c r="HI107" s="317" t="str">
        <f t="shared" si="953"/>
        <v/>
      </c>
      <c r="HK107" s="310" t="str">
        <f t="shared" si="1006"/>
        <v/>
      </c>
      <c r="HL107" s="348" t="str">
        <f t="shared" si="954"/>
        <v/>
      </c>
      <c r="HM107" s="923" t="str">
        <f t="shared" si="955"/>
        <v/>
      </c>
      <c r="HN107" s="924" t="str">
        <f t="shared" si="956"/>
        <v/>
      </c>
      <c r="HO107" s="925"/>
      <c r="HP107" s="926"/>
      <c r="HQ107" s="924" t="str">
        <f t="shared" si="957"/>
        <v/>
      </c>
      <c r="HR107" s="927" t="str">
        <f t="shared" si="958"/>
        <v/>
      </c>
      <c r="HS107" s="879" t="str">
        <f t="shared" si="1007"/>
        <v/>
      </c>
      <c r="HT107" s="889" t="str">
        <f t="shared" si="959"/>
        <v/>
      </c>
      <c r="HU107" s="890" t="str">
        <f t="shared" si="960"/>
        <v/>
      </c>
      <c r="HV107" s="886" t="str">
        <f t="shared" si="961"/>
        <v/>
      </c>
      <c r="HW107" s="880" t="str">
        <f t="shared" si="962"/>
        <v/>
      </c>
      <c r="HX107" s="881" t="str">
        <f t="shared" si="963"/>
        <v/>
      </c>
      <c r="HY107" s="880" t="str">
        <f t="shared" si="964"/>
        <v/>
      </c>
      <c r="HZ107" s="882" t="str">
        <f t="shared" si="965"/>
        <v/>
      </c>
      <c r="IA107" s="883" t="str">
        <f t="shared" si="966"/>
        <v/>
      </c>
      <c r="IB107" s="884" t="str">
        <f t="shared" si="967"/>
        <v/>
      </c>
      <c r="IC107" s="855" t="str">
        <f t="shared" si="968"/>
        <v/>
      </c>
      <c r="ID107" s="351" t="str">
        <f t="shared" si="969"/>
        <v/>
      </c>
      <c r="IE107" s="857" t="str">
        <f t="shared" si="970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1"/>
        <v/>
      </c>
      <c r="IM107" s="482" t="str">
        <f t="shared" si="838"/>
        <v/>
      </c>
      <c r="IN107" s="670" t="str">
        <f t="shared" si="972"/>
        <v/>
      </c>
      <c r="IO107" s="702"/>
      <c r="IP107" s="5" t="str">
        <f t="shared" si="973"/>
        <v/>
      </c>
      <c r="IQ107" s="714"/>
      <c r="IR107" s="9" t="str">
        <f t="shared" si="974"/>
        <v/>
      </c>
      <c r="IS107" s="5" t="str">
        <f t="shared" si="975"/>
        <v/>
      </c>
      <c r="IT107" s="5" t="str">
        <f t="shared" si="976"/>
        <v/>
      </c>
      <c r="IU107" s="5" t="str">
        <f t="shared" si="977"/>
        <v/>
      </c>
      <c r="IV107" s="670" t="str">
        <f t="shared" si="978"/>
        <v/>
      </c>
      <c r="IW107" s="9" t="str">
        <f t="shared" si="979"/>
        <v/>
      </c>
      <c r="IX107" s="5" t="str">
        <f t="shared" si="980"/>
        <v/>
      </c>
      <c r="IY107" s="5" t="str">
        <f t="shared" si="981"/>
        <v/>
      </c>
      <c r="IZ107" s="5" t="str">
        <f t="shared" si="982"/>
        <v/>
      </c>
      <c r="JA107" s="705" t="str">
        <f t="shared" si="983"/>
        <v/>
      </c>
    </row>
    <row r="108" spans="1:261" ht="15" customHeight="1" x14ac:dyDescent="0.25">
      <c r="A108" s="75" t="str">
        <f t="shared" si="708"/>
        <v/>
      </c>
      <c r="B108" s="578" t="str">
        <f t="shared" ref="B108:D108" si="1013">IFERROR(O263-($A108*E108),"")</f>
        <v/>
      </c>
      <c r="C108" s="572" t="str">
        <f t="shared" si="1013"/>
        <v/>
      </c>
      <c r="D108" s="576" t="str">
        <f t="shared" si="1013"/>
        <v/>
      </c>
      <c r="E108" s="580" t="str">
        <f t="shared" ref="E108:K108" si="1014">R263</f>
        <v/>
      </c>
      <c r="F108" s="572" t="str">
        <f t="shared" si="1014"/>
        <v/>
      </c>
      <c r="G108" s="579" t="str">
        <f t="shared" si="1014"/>
        <v/>
      </c>
      <c r="H108" s="580" t="str">
        <f t="shared" si="1014"/>
        <v/>
      </c>
      <c r="I108" s="572" t="str">
        <f t="shared" si="1014"/>
        <v/>
      </c>
      <c r="J108" s="483" t="str">
        <f t="shared" si="711"/>
        <v/>
      </c>
      <c r="K108" s="806" t="str">
        <f t="shared" si="1014"/>
        <v/>
      </c>
      <c r="L108" s="309"/>
      <c r="M108" s="164" t="str">
        <f t="shared" si="901"/>
        <v/>
      </c>
      <c r="N108" s="575" t="str">
        <f t="shared" si="902"/>
        <v/>
      </c>
      <c r="O108" s="572" t="str">
        <f t="shared" si="903"/>
        <v/>
      </c>
      <c r="P108" s="576" t="str">
        <f t="shared" si="904"/>
        <v/>
      </c>
      <c r="Q108" s="528" t="str">
        <f t="shared" si="712"/>
        <v/>
      </c>
      <c r="R108" s="572" t="str">
        <f t="shared" si="986"/>
        <v/>
      </c>
      <c r="S108" s="577" t="str">
        <f t="shared" si="987"/>
        <v/>
      </c>
      <c r="T108" s="578" t="str">
        <f t="shared" si="988"/>
        <v/>
      </c>
      <c r="U108" s="572" t="str">
        <f t="shared" si="989"/>
        <v/>
      </c>
      <c r="V108" s="579" t="str">
        <f t="shared" si="990"/>
        <v/>
      </c>
      <c r="W108" s="528" t="str">
        <f t="shared" si="848"/>
        <v/>
      </c>
      <c r="X108" s="572" t="str">
        <f t="shared" si="991"/>
        <v/>
      </c>
      <c r="Y108" s="573" t="str">
        <f t="shared" si="841"/>
        <v/>
      </c>
      <c r="Z108" s="575" t="str">
        <f t="shared" si="905"/>
        <v/>
      </c>
      <c r="AA108" s="572" t="str">
        <f t="shared" si="906"/>
        <v/>
      </c>
      <c r="AB108" s="572" t="str">
        <f t="shared" si="907"/>
        <v/>
      </c>
      <c r="AC108" s="579" t="str">
        <f t="shared" si="992"/>
        <v/>
      </c>
      <c r="AD108" s="580" t="str">
        <f t="shared" si="993"/>
        <v/>
      </c>
      <c r="AE108" s="572" t="str">
        <f t="shared" si="994"/>
        <v/>
      </c>
      <c r="AF108" s="576" t="str">
        <f t="shared" si="995"/>
        <v/>
      </c>
      <c r="AG108" s="545" t="str">
        <f t="shared" si="996"/>
        <v/>
      </c>
      <c r="AH108" s="546" t="str">
        <f t="shared" si="997"/>
        <v/>
      </c>
      <c r="AI108" s="528" t="str">
        <f t="shared" si="998"/>
        <v/>
      </c>
      <c r="AJ108" s="529" t="str">
        <f t="shared" si="999"/>
        <v/>
      </c>
      <c r="AK108" s="578" t="str">
        <f t="shared" si="1000"/>
        <v/>
      </c>
      <c r="AL108" s="572" t="str">
        <f t="shared" si="1001"/>
        <v/>
      </c>
      <c r="AM108" s="577" t="str">
        <f t="shared" si="1002"/>
        <v/>
      </c>
      <c r="AN108" s="524" t="str">
        <f t="shared" si="1003"/>
        <v/>
      </c>
      <c r="AO108" s="525" t="str">
        <f t="shared" si="590"/>
        <v/>
      </c>
      <c r="AP108" s="528" t="str">
        <f t="shared" si="1004"/>
        <v/>
      </c>
      <c r="AQ108" s="529" t="str">
        <f t="shared" si="908"/>
        <v/>
      </c>
      <c r="AS108" s="954" t="str">
        <f t="shared" si="1010"/>
        <v/>
      </c>
      <c r="AT108" s="950" t="str">
        <f t="shared" si="909"/>
        <v/>
      </c>
      <c r="AU108" s="418"/>
      <c r="AV108" s="164" t="str">
        <f t="shared" si="910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1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2"/>
        <v/>
      </c>
      <c r="BF108" s="4" t="str">
        <f t="shared" si="913"/>
        <v/>
      </c>
      <c r="BG108" s="5" t="str">
        <f t="shared" si="914"/>
        <v/>
      </c>
      <c r="BH108" s="10" t="str">
        <f t="shared" si="915"/>
        <v/>
      </c>
      <c r="BI108" s="9" t="str">
        <f t="shared" si="739"/>
        <v/>
      </c>
      <c r="BJ108" s="5" t="str">
        <f t="shared" si="916"/>
        <v/>
      </c>
      <c r="BK108" s="8" t="str">
        <f t="shared" si="917"/>
        <v/>
      </c>
      <c r="BL108" s="173" t="str">
        <f t="shared" si="918"/>
        <v/>
      </c>
      <c r="BM108" s="5" t="str">
        <f t="shared" si="919"/>
        <v/>
      </c>
      <c r="BN108" s="6" t="str">
        <f t="shared" si="920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5"/>
        <v/>
      </c>
      <c r="BT108" s="5" t="str">
        <f t="shared" si="1005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1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1"/>
        <v/>
      </c>
      <c r="DC108" s="5" t="str">
        <f t="shared" si="1011"/>
        <v/>
      </c>
      <c r="DD108" s="10" t="str">
        <f t="shared" si="764"/>
        <v/>
      </c>
      <c r="DE108" s="9" t="str">
        <f t="shared" si="1012"/>
        <v/>
      </c>
      <c r="DF108" s="5" t="str">
        <f t="shared" si="1012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2"/>
        <v/>
      </c>
      <c r="ET108" s="5" t="str">
        <f t="shared" si="923"/>
        <v/>
      </c>
      <c r="EU108" s="10" t="str">
        <f t="shared" si="924"/>
        <v/>
      </c>
      <c r="EV108" s="174" t="str">
        <f t="shared" si="925"/>
        <v/>
      </c>
      <c r="EW108" s="9" t="str">
        <f t="shared" si="926"/>
        <v/>
      </c>
      <c r="EX108" s="5" t="str">
        <f t="shared" si="927"/>
        <v/>
      </c>
      <c r="EY108" s="6" t="str">
        <f t="shared" si="804"/>
        <v/>
      </c>
      <c r="EZ108" s="51" t="str">
        <f t="shared" si="805"/>
        <v/>
      </c>
      <c r="FA108" s="173" t="str">
        <f t="shared" si="928"/>
        <v/>
      </c>
      <c r="FB108" s="5" t="str">
        <f t="shared" si="929"/>
        <v/>
      </c>
      <c r="FC108" s="6" t="str">
        <f t="shared" si="930"/>
        <v/>
      </c>
      <c r="FD108" s="4" t="str">
        <f t="shared" si="931"/>
        <v/>
      </c>
      <c r="FE108" s="5" t="str">
        <f t="shared" si="932"/>
        <v/>
      </c>
      <c r="FF108" s="7" t="str">
        <f t="shared" si="806"/>
        <v/>
      </c>
      <c r="FG108" s="173" t="str">
        <f t="shared" si="933"/>
        <v/>
      </c>
      <c r="FH108" s="5" t="str">
        <f t="shared" si="934"/>
        <v/>
      </c>
      <c r="FI108" s="10" t="str">
        <f t="shared" si="935"/>
        <v/>
      </c>
      <c r="FJ108" s="279" t="str">
        <f t="shared" si="807"/>
        <v/>
      </c>
      <c r="FK108" s="4" t="str">
        <f t="shared" si="936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7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8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39"/>
        <v/>
      </c>
      <c r="GH108" s="286" t="str">
        <f t="shared" si="940"/>
        <v/>
      </c>
      <c r="GI108" s="281" t="str">
        <f t="shared" si="941"/>
        <v/>
      </c>
      <c r="GJ108" s="167" t="str">
        <f t="shared" si="823"/>
        <v/>
      </c>
      <c r="GK108" s="174" t="str">
        <f t="shared" si="942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3"/>
        <v/>
      </c>
      <c r="GT108" s="343" t="str">
        <f t="shared" si="944"/>
        <v/>
      </c>
      <c r="GU108" s="344" t="str">
        <f t="shared" si="945"/>
        <v/>
      </c>
      <c r="GV108" s="343" t="str">
        <f t="shared" si="831"/>
        <v/>
      </c>
      <c r="GW108" s="345" t="str">
        <f t="shared" si="946"/>
        <v/>
      </c>
      <c r="GX108" s="346" t="str">
        <f t="shared" si="947"/>
        <v/>
      </c>
      <c r="GY108" s="344" t="str">
        <f t="shared" si="948"/>
        <v/>
      </c>
      <c r="GZ108" s="345" t="str">
        <f t="shared" si="949"/>
        <v/>
      </c>
      <c r="HA108" s="342" t="str">
        <f t="shared" si="950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1"/>
        <v/>
      </c>
      <c r="HF108" s="5" t="str">
        <f t="shared" si="952"/>
        <v/>
      </c>
      <c r="HG108" s="343" t="str">
        <f t="shared" si="835"/>
        <v/>
      </c>
      <c r="HH108" s="349" t="str">
        <f t="shared" si="836"/>
        <v/>
      </c>
      <c r="HI108" s="317" t="str">
        <f t="shared" si="953"/>
        <v/>
      </c>
      <c r="HK108" s="310" t="str">
        <f t="shared" si="1006"/>
        <v/>
      </c>
      <c r="HL108" s="348" t="str">
        <f t="shared" si="954"/>
        <v/>
      </c>
      <c r="HM108" s="923" t="str">
        <f t="shared" si="955"/>
        <v/>
      </c>
      <c r="HN108" s="924" t="str">
        <f t="shared" si="956"/>
        <v/>
      </c>
      <c r="HO108" s="925"/>
      <c r="HP108" s="926"/>
      <c r="HQ108" s="924" t="str">
        <f t="shared" si="957"/>
        <v/>
      </c>
      <c r="HR108" s="927" t="str">
        <f t="shared" si="958"/>
        <v/>
      </c>
      <c r="HS108" s="879" t="str">
        <f t="shared" si="1007"/>
        <v/>
      </c>
      <c r="HT108" s="889" t="str">
        <f t="shared" si="959"/>
        <v/>
      </c>
      <c r="HU108" s="890" t="str">
        <f t="shared" si="960"/>
        <v/>
      </c>
      <c r="HV108" s="886" t="str">
        <f t="shared" si="961"/>
        <v/>
      </c>
      <c r="HW108" s="880" t="str">
        <f t="shared" si="962"/>
        <v/>
      </c>
      <c r="HX108" s="881" t="str">
        <f t="shared" si="963"/>
        <v/>
      </c>
      <c r="HY108" s="880" t="str">
        <f t="shared" si="964"/>
        <v/>
      </c>
      <c r="HZ108" s="882" t="str">
        <f t="shared" si="965"/>
        <v/>
      </c>
      <c r="IA108" s="883" t="str">
        <f t="shared" si="966"/>
        <v/>
      </c>
      <c r="IB108" s="884" t="str">
        <f t="shared" si="967"/>
        <v/>
      </c>
      <c r="IC108" s="855" t="str">
        <f t="shared" si="968"/>
        <v/>
      </c>
      <c r="ID108" s="351" t="str">
        <f t="shared" si="969"/>
        <v/>
      </c>
      <c r="IE108" s="857" t="str">
        <f t="shared" si="970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1"/>
        <v/>
      </c>
      <c r="IM108" s="482" t="str">
        <f t="shared" si="838"/>
        <v/>
      </c>
      <c r="IN108" s="670" t="str">
        <f t="shared" si="972"/>
        <v/>
      </c>
      <c r="IO108" s="702"/>
      <c r="IP108" s="5" t="str">
        <f t="shared" si="973"/>
        <v/>
      </c>
      <c r="IQ108" s="714"/>
      <c r="IR108" s="9" t="str">
        <f t="shared" si="974"/>
        <v/>
      </c>
      <c r="IS108" s="5" t="str">
        <f t="shared" si="975"/>
        <v/>
      </c>
      <c r="IT108" s="5" t="str">
        <f t="shared" si="976"/>
        <v/>
      </c>
      <c r="IU108" s="5" t="str">
        <f t="shared" si="977"/>
        <v/>
      </c>
      <c r="IV108" s="670" t="str">
        <f t="shared" si="978"/>
        <v/>
      </c>
      <c r="IW108" s="9" t="str">
        <f t="shared" si="979"/>
        <v/>
      </c>
      <c r="IX108" s="5" t="str">
        <f t="shared" si="980"/>
        <v/>
      </c>
      <c r="IY108" s="5" t="str">
        <f t="shared" si="981"/>
        <v/>
      </c>
      <c r="IZ108" s="5" t="str">
        <f t="shared" si="982"/>
        <v/>
      </c>
      <c r="JA108" s="705" t="str">
        <f t="shared" si="983"/>
        <v/>
      </c>
    </row>
    <row r="109" spans="1:261" ht="15" customHeight="1" x14ac:dyDescent="0.25">
      <c r="A109" s="75" t="str">
        <f t="shared" si="708"/>
        <v/>
      </c>
      <c r="B109" s="578" t="str">
        <f t="shared" ref="B109:D109" si="1015">IFERROR(O264-($A109*E109),"")</f>
        <v/>
      </c>
      <c r="C109" s="572" t="str">
        <f t="shared" si="1015"/>
        <v/>
      </c>
      <c r="D109" s="576" t="str">
        <f t="shared" si="1015"/>
        <v/>
      </c>
      <c r="E109" s="580" t="str">
        <f t="shared" ref="E109:K109" si="1016">R264</f>
        <v/>
      </c>
      <c r="F109" s="572" t="str">
        <f t="shared" si="1016"/>
        <v/>
      </c>
      <c r="G109" s="579" t="str">
        <f t="shared" si="1016"/>
        <v/>
      </c>
      <c r="H109" s="580" t="str">
        <f t="shared" si="1016"/>
        <v/>
      </c>
      <c r="I109" s="572" t="str">
        <f t="shared" si="1016"/>
        <v/>
      </c>
      <c r="J109" s="483" t="str">
        <f t="shared" si="711"/>
        <v/>
      </c>
      <c r="K109" s="806" t="str">
        <f t="shared" si="1016"/>
        <v/>
      </c>
      <c r="L109" s="309"/>
      <c r="M109" s="164" t="str">
        <f t="shared" si="901"/>
        <v/>
      </c>
      <c r="N109" s="575" t="str">
        <f t="shared" si="902"/>
        <v/>
      </c>
      <c r="O109" s="572" t="str">
        <f t="shared" si="903"/>
        <v/>
      </c>
      <c r="P109" s="576" t="str">
        <f t="shared" si="904"/>
        <v/>
      </c>
      <c r="Q109" s="528" t="str">
        <f t="shared" si="712"/>
        <v/>
      </c>
      <c r="R109" s="572" t="str">
        <f t="shared" si="986"/>
        <v/>
      </c>
      <c r="S109" s="577" t="str">
        <f t="shared" si="987"/>
        <v/>
      </c>
      <c r="T109" s="578" t="str">
        <f t="shared" si="988"/>
        <v/>
      </c>
      <c r="U109" s="572" t="str">
        <f t="shared" si="989"/>
        <v/>
      </c>
      <c r="V109" s="579" t="str">
        <f t="shared" si="990"/>
        <v/>
      </c>
      <c r="W109" s="528" t="str">
        <f t="shared" si="848"/>
        <v/>
      </c>
      <c r="X109" s="572" t="str">
        <f t="shared" si="991"/>
        <v/>
      </c>
      <c r="Y109" s="573" t="str">
        <f t="shared" si="841"/>
        <v/>
      </c>
      <c r="Z109" s="575" t="str">
        <f t="shared" si="905"/>
        <v/>
      </c>
      <c r="AA109" s="572" t="str">
        <f t="shared" si="906"/>
        <v/>
      </c>
      <c r="AB109" s="572" t="str">
        <f t="shared" si="907"/>
        <v/>
      </c>
      <c r="AC109" s="579" t="str">
        <f t="shared" si="992"/>
        <v/>
      </c>
      <c r="AD109" s="580" t="str">
        <f t="shared" si="993"/>
        <v/>
      </c>
      <c r="AE109" s="572" t="str">
        <f t="shared" si="994"/>
        <v/>
      </c>
      <c r="AF109" s="576" t="str">
        <f t="shared" si="995"/>
        <v/>
      </c>
      <c r="AG109" s="545" t="str">
        <f t="shared" si="996"/>
        <v/>
      </c>
      <c r="AH109" s="546" t="str">
        <f t="shared" si="997"/>
        <v/>
      </c>
      <c r="AI109" s="528" t="str">
        <f t="shared" si="998"/>
        <v/>
      </c>
      <c r="AJ109" s="529" t="str">
        <f t="shared" si="999"/>
        <v/>
      </c>
      <c r="AK109" s="578" t="str">
        <f t="shared" si="1000"/>
        <v/>
      </c>
      <c r="AL109" s="572" t="str">
        <f t="shared" si="1001"/>
        <v/>
      </c>
      <c r="AM109" s="577" t="str">
        <f t="shared" si="1002"/>
        <v/>
      </c>
      <c r="AN109" s="524" t="str">
        <f t="shared" si="1003"/>
        <v/>
      </c>
      <c r="AO109" s="525" t="str">
        <f t="shared" si="590"/>
        <v/>
      </c>
      <c r="AP109" s="528" t="str">
        <f t="shared" si="1004"/>
        <v/>
      </c>
      <c r="AQ109" s="529" t="str">
        <f t="shared" si="908"/>
        <v/>
      </c>
      <c r="AS109" s="954" t="str">
        <f t="shared" si="1010"/>
        <v/>
      </c>
      <c r="AT109" s="950" t="str">
        <f t="shared" si="909"/>
        <v/>
      </c>
      <c r="AU109" s="418"/>
      <c r="AV109" s="164" t="str">
        <f t="shared" si="910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1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2"/>
        <v/>
      </c>
      <c r="BF109" s="4" t="str">
        <f t="shared" si="913"/>
        <v/>
      </c>
      <c r="BG109" s="5" t="str">
        <f t="shared" si="914"/>
        <v/>
      </c>
      <c r="BH109" s="10" t="str">
        <f t="shared" si="915"/>
        <v/>
      </c>
      <c r="BI109" s="9" t="str">
        <f t="shared" si="739"/>
        <v/>
      </c>
      <c r="BJ109" s="5" t="str">
        <f t="shared" si="916"/>
        <v/>
      </c>
      <c r="BK109" s="8" t="str">
        <f t="shared" si="917"/>
        <v/>
      </c>
      <c r="BL109" s="173" t="str">
        <f t="shared" si="918"/>
        <v/>
      </c>
      <c r="BM109" s="5" t="str">
        <f t="shared" si="919"/>
        <v/>
      </c>
      <c r="BN109" s="6" t="str">
        <f t="shared" si="920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5"/>
        <v/>
      </c>
      <c r="BT109" s="5" t="str">
        <f t="shared" si="1005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1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1"/>
        <v/>
      </c>
      <c r="DC109" s="5" t="str">
        <f t="shared" si="1011"/>
        <v/>
      </c>
      <c r="DD109" s="10" t="str">
        <f t="shared" si="764"/>
        <v/>
      </c>
      <c r="DE109" s="9" t="str">
        <f t="shared" si="1012"/>
        <v/>
      </c>
      <c r="DF109" s="5" t="str">
        <f t="shared" si="1012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2"/>
        <v/>
      </c>
      <c r="ET109" s="5" t="str">
        <f t="shared" si="923"/>
        <v/>
      </c>
      <c r="EU109" s="10" t="str">
        <f t="shared" si="924"/>
        <v/>
      </c>
      <c r="EV109" s="174" t="str">
        <f t="shared" si="925"/>
        <v/>
      </c>
      <c r="EW109" s="9" t="str">
        <f t="shared" si="926"/>
        <v/>
      </c>
      <c r="EX109" s="5" t="str">
        <f t="shared" si="927"/>
        <v/>
      </c>
      <c r="EY109" s="6" t="str">
        <f t="shared" si="804"/>
        <v/>
      </c>
      <c r="EZ109" s="51" t="str">
        <f t="shared" si="805"/>
        <v/>
      </c>
      <c r="FA109" s="173" t="str">
        <f t="shared" si="928"/>
        <v/>
      </c>
      <c r="FB109" s="5" t="str">
        <f t="shared" si="929"/>
        <v/>
      </c>
      <c r="FC109" s="6" t="str">
        <f t="shared" si="930"/>
        <v/>
      </c>
      <c r="FD109" s="4" t="str">
        <f t="shared" si="931"/>
        <v/>
      </c>
      <c r="FE109" s="5" t="str">
        <f t="shared" si="932"/>
        <v/>
      </c>
      <c r="FF109" s="7" t="str">
        <f t="shared" si="806"/>
        <v/>
      </c>
      <c r="FG109" s="173" t="str">
        <f t="shared" si="933"/>
        <v/>
      </c>
      <c r="FH109" s="5" t="str">
        <f t="shared" si="934"/>
        <v/>
      </c>
      <c r="FI109" s="10" t="str">
        <f t="shared" si="935"/>
        <v/>
      </c>
      <c r="FJ109" s="279" t="str">
        <f t="shared" si="807"/>
        <v/>
      </c>
      <c r="FK109" s="4" t="str">
        <f t="shared" si="936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7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8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39"/>
        <v/>
      </c>
      <c r="GH109" s="286" t="str">
        <f t="shared" si="940"/>
        <v/>
      </c>
      <c r="GI109" s="281" t="str">
        <f t="shared" si="941"/>
        <v/>
      </c>
      <c r="GJ109" s="167" t="str">
        <f t="shared" si="823"/>
        <v/>
      </c>
      <c r="GK109" s="174" t="str">
        <f t="shared" si="942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3"/>
        <v/>
      </c>
      <c r="GT109" s="343" t="str">
        <f t="shared" si="944"/>
        <v/>
      </c>
      <c r="GU109" s="344" t="str">
        <f t="shared" si="945"/>
        <v/>
      </c>
      <c r="GV109" s="343" t="str">
        <f t="shared" si="831"/>
        <v/>
      </c>
      <c r="GW109" s="345" t="str">
        <f t="shared" si="946"/>
        <v/>
      </c>
      <c r="GX109" s="346" t="str">
        <f t="shared" si="947"/>
        <v/>
      </c>
      <c r="GY109" s="344" t="str">
        <f t="shared" si="948"/>
        <v/>
      </c>
      <c r="GZ109" s="345" t="str">
        <f t="shared" si="949"/>
        <v/>
      </c>
      <c r="HA109" s="342" t="str">
        <f t="shared" si="950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1"/>
        <v/>
      </c>
      <c r="HF109" s="5" t="str">
        <f t="shared" si="952"/>
        <v/>
      </c>
      <c r="HG109" s="343" t="str">
        <f t="shared" si="835"/>
        <v/>
      </c>
      <c r="HH109" s="349" t="str">
        <f t="shared" si="836"/>
        <v/>
      </c>
      <c r="HI109" s="317" t="str">
        <f t="shared" si="953"/>
        <v/>
      </c>
      <c r="HK109" s="310" t="str">
        <f t="shared" si="1006"/>
        <v/>
      </c>
      <c r="HL109" s="348" t="str">
        <f t="shared" si="954"/>
        <v/>
      </c>
      <c r="HM109" s="923" t="str">
        <f t="shared" si="955"/>
        <v/>
      </c>
      <c r="HN109" s="924" t="str">
        <f t="shared" si="956"/>
        <v/>
      </c>
      <c r="HO109" s="925"/>
      <c r="HP109" s="926"/>
      <c r="HQ109" s="924" t="str">
        <f t="shared" si="957"/>
        <v/>
      </c>
      <c r="HR109" s="927" t="str">
        <f t="shared" si="958"/>
        <v/>
      </c>
      <c r="HS109" s="879" t="str">
        <f t="shared" si="1007"/>
        <v/>
      </c>
      <c r="HT109" s="889" t="str">
        <f t="shared" si="959"/>
        <v/>
      </c>
      <c r="HU109" s="890" t="str">
        <f t="shared" si="960"/>
        <v/>
      </c>
      <c r="HV109" s="886" t="str">
        <f t="shared" si="961"/>
        <v/>
      </c>
      <c r="HW109" s="880" t="str">
        <f t="shared" si="962"/>
        <v/>
      </c>
      <c r="HX109" s="881" t="str">
        <f t="shared" si="963"/>
        <v/>
      </c>
      <c r="HY109" s="880" t="str">
        <f t="shared" si="964"/>
        <v/>
      </c>
      <c r="HZ109" s="882" t="str">
        <f t="shared" si="965"/>
        <v/>
      </c>
      <c r="IA109" s="883" t="str">
        <f t="shared" si="966"/>
        <v/>
      </c>
      <c r="IB109" s="884" t="str">
        <f t="shared" si="967"/>
        <v/>
      </c>
      <c r="IC109" s="855" t="str">
        <f t="shared" si="968"/>
        <v/>
      </c>
      <c r="ID109" s="351" t="str">
        <f t="shared" si="969"/>
        <v/>
      </c>
      <c r="IE109" s="857" t="str">
        <f t="shared" si="970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1"/>
        <v/>
      </c>
      <c r="IM109" s="482" t="str">
        <f t="shared" si="838"/>
        <v/>
      </c>
      <c r="IN109" s="670" t="str">
        <f t="shared" si="972"/>
        <v/>
      </c>
      <c r="IO109" s="702"/>
      <c r="IP109" s="5" t="str">
        <f t="shared" si="973"/>
        <v/>
      </c>
      <c r="IQ109" s="714"/>
      <c r="IR109" s="9" t="str">
        <f t="shared" si="974"/>
        <v/>
      </c>
      <c r="IS109" s="5" t="str">
        <f t="shared" si="975"/>
        <v/>
      </c>
      <c r="IT109" s="5" t="str">
        <f t="shared" si="976"/>
        <v/>
      </c>
      <c r="IU109" s="5" t="str">
        <f t="shared" si="977"/>
        <v/>
      </c>
      <c r="IV109" s="670" t="str">
        <f t="shared" si="978"/>
        <v/>
      </c>
      <c r="IW109" s="9" t="str">
        <f t="shared" si="979"/>
        <v/>
      </c>
      <c r="IX109" s="5" t="str">
        <f t="shared" si="980"/>
        <v/>
      </c>
      <c r="IY109" s="5" t="str">
        <f t="shared" si="981"/>
        <v/>
      </c>
      <c r="IZ109" s="5" t="str">
        <f t="shared" si="982"/>
        <v/>
      </c>
      <c r="JA109" s="705" t="str">
        <f t="shared" si="983"/>
        <v/>
      </c>
    </row>
    <row r="110" spans="1:261" ht="15" customHeight="1" x14ac:dyDescent="0.25">
      <c r="A110" s="75" t="str">
        <f t="shared" si="708"/>
        <v/>
      </c>
      <c r="B110" s="578" t="str">
        <f t="shared" ref="B110:D110" si="1017">IFERROR(O265-($A110*E110),"")</f>
        <v/>
      </c>
      <c r="C110" s="572" t="str">
        <f t="shared" si="1017"/>
        <v/>
      </c>
      <c r="D110" s="576" t="str">
        <f t="shared" si="1017"/>
        <v/>
      </c>
      <c r="E110" s="580" t="str">
        <f t="shared" ref="E110:K110" si="1018">R265</f>
        <v/>
      </c>
      <c r="F110" s="572" t="str">
        <f t="shared" si="1018"/>
        <v/>
      </c>
      <c r="G110" s="579" t="str">
        <f t="shared" si="1018"/>
        <v/>
      </c>
      <c r="H110" s="580" t="str">
        <f t="shared" si="1018"/>
        <v/>
      </c>
      <c r="I110" s="572" t="str">
        <f t="shared" si="1018"/>
        <v/>
      </c>
      <c r="J110" s="483" t="str">
        <f t="shared" si="711"/>
        <v/>
      </c>
      <c r="K110" s="806" t="str">
        <f t="shared" si="1018"/>
        <v/>
      </c>
      <c r="L110" s="309"/>
      <c r="M110" s="164" t="str">
        <f t="shared" si="901"/>
        <v/>
      </c>
      <c r="N110" s="575" t="str">
        <f t="shared" si="902"/>
        <v/>
      </c>
      <c r="O110" s="572" t="str">
        <f t="shared" si="903"/>
        <v/>
      </c>
      <c r="P110" s="576" t="str">
        <f t="shared" si="904"/>
        <v/>
      </c>
      <c r="Q110" s="528" t="str">
        <f t="shared" si="712"/>
        <v/>
      </c>
      <c r="R110" s="572" t="str">
        <f t="shared" si="986"/>
        <v/>
      </c>
      <c r="S110" s="577" t="str">
        <f t="shared" si="987"/>
        <v/>
      </c>
      <c r="T110" s="578" t="str">
        <f t="shared" si="988"/>
        <v/>
      </c>
      <c r="U110" s="572" t="str">
        <f t="shared" si="989"/>
        <v/>
      </c>
      <c r="V110" s="579" t="str">
        <f t="shared" si="990"/>
        <v/>
      </c>
      <c r="W110" s="528" t="str">
        <f t="shared" si="848"/>
        <v/>
      </c>
      <c r="X110" s="572" t="str">
        <f t="shared" si="991"/>
        <v/>
      </c>
      <c r="Y110" s="573" t="str">
        <f t="shared" si="841"/>
        <v/>
      </c>
      <c r="Z110" s="575" t="str">
        <f t="shared" si="905"/>
        <v/>
      </c>
      <c r="AA110" s="572" t="str">
        <f t="shared" si="906"/>
        <v/>
      </c>
      <c r="AB110" s="572" t="str">
        <f t="shared" si="907"/>
        <v/>
      </c>
      <c r="AC110" s="579" t="str">
        <f t="shared" si="992"/>
        <v/>
      </c>
      <c r="AD110" s="580" t="str">
        <f t="shared" si="993"/>
        <v/>
      </c>
      <c r="AE110" s="572" t="str">
        <f t="shared" si="994"/>
        <v/>
      </c>
      <c r="AF110" s="576" t="str">
        <f t="shared" si="995"/>
        <v/>
      </c>
      <c r="AG110" s="545" t="str">
        <f t="shared" si="996"/>
        <v/>
      </c>
      <c r="AH110" s="546" t="str">
        <f t="shared" si="997"/>
        <v/>
      </c>
      <c r="AI110" s="528" t="str">
        <f t="shared" si="998"/>
        <v/>
      </c>
      <c r="AJ110" s="529" t="str">
        <f t="shared" si="999"/>
        <v/>
      </c>
      <c r="AK110" s="578" t="str">
        <f t="shared" si="1000"/>
        <v/>
      </c>
      <c r="AL110" s="572" t="str">
        <f t="shared" si="1001"/>
        <v/>
      </c>
      <c r="AM110" s="577" t="str">
        <f t="shared" si="1002"/>
        <v/>
      </c>
      <c r="AN110" s="524" t="str">
        <f t="shared" si="1003"/>
        <v/>
      </c>
      <c r="AO110" s="525" t="str">
        <f t="shared" si="590"/>
        <v/>
      </c>
      <c r="AP110" s="528" t="str">
        <f t="shared" si="1004"/>
        <v/>
      </c>
      <c r="AQ110" s="529" t="str">
        <f t="shared" si="908"/>
        <v/>
      </c>
      <c r="AS110" s="954" t="str">
        <f t="shared" si="1010"/>
        <v/>
      </c>
      <c r="AT110" s="950" t="str">
        <f t="shared" si="909"/>
        <v/>
      </c>
      <c r="AU110" s="418"/>
      <c r="AV110" s="164" t="str">
        <f t="shared" si="910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1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2"/>
        <v/>
      </c>
      <c r="BF110" s="4" t="str">
        <f t="shared" si="913"/>
        <v/>
      </c>
      <c r="BG110" s="5" t="str">
        <f t="shared" si="914"/>
        <v/>
      </c>
      <c r="BH110" s="10" t="str">
        <f t="shared" si="915"/>
        <v/>
      </c>
      <c r="BI110" s="9" t="str">
        <f t="shared" si="739"/>
        <v/>
      </c>
      <c r="BJ110" s="5" t="str">
        <f t="shared" si="916"/>
        <v/>
      </c>
      <c r="BK110" s="8" t="str">
        <f t="shared" si="917"/>
        <v/>
      </c>
      <c r="BL110" s="173" t="str">
        <f t="shared" si="918"/>
        <v/>
      </c>
      <c r="BM110" s="5" t="str">
        <f t="shared" si="919"/>
        <v/>
      </c>
      <c r="BN110" s="6" t="str">
        <f t="shared" si="920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5"/>
        <v/>
      </c>
      <c r="BT110" s="5" t="str">
        <f t="shared" si="1005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1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1"/>
        <v/>
      </c>
      <c r="DC110" s="5" t="str">
        <f t="shared" si="1011"/>
        <v/>
      </c>
      <c r="DD110" s="10" t="str">
        <f t="shared" si="764"/>
        <v/>
      </c>
      <c r="DE110" s="9" t="str">
        <f t="shared" si="1012"/>
        <v/>
      </c>
      <c r="DF110" s="5" t="str">
        <f t="shared" si="1012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2"/>
        <v/>
      </c>
      <c r="ET110" s="5" t="str">
        <f t="shared" si="923"/>
        <v/>
      </c>
      <c r="EU110" s="10" t="str">
        <f t="shared" si="924"/>
        <v/>
      </c>
      <c r="EV110" s="174" t="str">
        <f t="shared" si="925"/>
        <v/>
      </c>
      <c r="EW110" s="9" t="str">
        <f t="shared" si="926"/>
        <v/>
      </c>
      <c r="EX110" s="5" t="str">
        <f t="shared" si="927"/>
        <v/>
      </c>
      <c r="EY110" s="6" t="str">
        <f t="shared" si="804"/>
        <v/>
      </c>
      <c r="EZ110" s="51" t="str">
        <f t="shared" si="805"/>
        <v/>
      </c>
      <c r="FA110" s="173" t="str">
        <f t="shared" si="928"/>
        <v/>
      </c>
      <c r="FB110" s="5" t="str">
        <f t="shared" si="929"/>
        <v/>
      </c>
      <c r="FC110" s="6" t="str">
        <f t="shared" si="930"/>
        <v/>
      </c>
      <c r="FD110" s="4" t="str">
        <f t="shared" si="931"/>
        <v/>
      </c>
      <c r="FE110" s="5" t="str">
        <f t="shared" si="932"/>
        <v/>
      </c>
      <c r="FF110" s="7" t="str">
        <f t="shared" si="806"/>
        <v/>
      </c>
      <c r="FG110" s="173" t="str">
        <f t="shared" si="933"/>
        <v/>
      </c>
      <c r="FH110" s="5" t="str">
        <f t="shared" si="934"/>
        <v/>
      </c>
      <c r="FI110" s="10" t="str">
        <f t="shared" si="935"/>
        <v/>
      </c>
      <c r="FJ110" s="279" t="str">
        <f t="shared" si="807"/>
        <v/>
      </c>
      <c r="FK110" s="4" t="str">
        <f t="shared" si="936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7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8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39"/>
        <v/>
      </c>
      <c r="GH110" s="286" t="str">
        <f t="shared" si="940"/>
        <v/>
      </c>
      <c r="GI110" s="281" t="str">
        <f t="shared" si="941"/>
        <v/>
      </c>
      <c r="GJ110" s="167" t="str">
        <f t="shared" si="823"/>
        <v/>
      </c>
      <c r="GK110" s="174" t="str">
        <f t="shared" si="942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3"/>
        <v/>
      </c>
      <c r="GT110" s="343" t="str">
        <f t="shared" si="944"/>
        <v/>
      </c>
      <c r="GU110" s="344" t="str">
        <f t="shared" si="945"/>
        <v/>
      </c>
      <c r="GV110" s="343" t="str">
        <f t="shared" si="831"/>
        <v/>
      </c>
      <c r="GW110" s="345" t="str">
        <f t="shared" si="946"/>
        <v/>
      </c>
      <c r="GX110" s="346" t="str">
        <f t="shared" si="947"/>
        <v/>
      </c>
      <c r="GY110" s="344" t="str">
        <f t="shared" si="948"/>
        <v/>
      </c>
      <c r="GZ110" s="345" t="str">
        <f t="shared" si="949"/>
        <v/>
      </c>
      <c r="HA110" s="342" t="str">
        <f t="shared" si="950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1"/>
        <v/>
      </c>
      <c r="HF110" s="5" t="str">
        <f t="shared" si="952"/>
        <v/>
      </c>
      <c r="HG110" s="343" t="str">
        <f t="shared" si="835"/>
        <v/>
      </c>
      <c r="HH110" s="349" t="str">
        <f t="shared" si="836"/>
        <v/>
      </c>
      <c r="HI110" s="317" t="str">
        <f t="shared" si="953"/>
        <v/>
      </c>
      <c r="HK110" s="310" t="str">
        <f t="shared" si="1006"/>
        <v/>
      </c>
      <c r="HL110" s="348" t="str">
        <f t="shared" si="954"/>
        <v/>
      </c>
      <c r="HM110" s="923" t="str">
        <f t="shared" si="955"/>
        <v/>
      </c>
      <c r="HN110" s="924" t="str">
        <f t="shared" si="956"/>
        <v/>
      </c>
      <c r="HO110" s="925"/>
      <c r="HP110" s="926"/>
      <c r="HQ110" s="924" t="str">
        <f t="shared" si="957"/>
        <v/>
      </c>
      <c r="HR110" s="927" t="str">
        <f t="shared" si="958"/>
        <v/>
      </c>
      <c r="HS110" s="879" t="str">
        <f t="shared" si="1007"/>
        <v/>
      </c>
      <c r="HT110" s="889" t="str">
        <f t="shared" si="959"/>
        <v/>
      </c>
      <c r="HU110" s="890" t="str">
        <f t="shared" si="960"/>
        <v/>
      </c>
      <c r="HV110" s="886" t="str">
        <f t="shared" si="961"/>
        <v/>
      </c>
      <c r="HW110" s="880" t="str">
        <f t="shared" si="962"/>
        <v/>
      </c>
      <c r="HX110" s="881" t="str">
        <f t="shared" si="963"/>
        <v/>
      </c>
      <c r="HY110" s="880" t="str">
        <f t="shared" si="964"/>
        <v/>
      </c>
      <c r="HZ110" s="882" t="str">
        <f t="shared" si="965"/>
        <v/>
      </c>
      <c r="IA110" s="883" t="str">
        <f t="shared" si="966"/>
        <v/>
      </c>
      <c r="IB110" s="884" t="str">
        <f t="shared" si="967"/>
        <v/>
      </c>
      <c r="IC110" s="855" t="str">
        <f t="shared" si="968"/>
        <v/>
      </c>
      <c r="ID110" s="351" t="str">
        <f t="shared" si="969"/>
        <v/>
      </c>
      <c r="IE110" s="857" t="str">
        <f t="shared" si="970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1"/>
        <v/>
      </c>
      <c r="IM110" s="482" t="str">
        <f t="shared" si="838"/>
        <v/>
      </c>
      <c r="IN110" s="670" t="str">
        <f t="shared" si="972"/>
        <v/>
      </c>
      <c r="IO110" s="702"/>
      <c r="IP110" s="5" t="str">
        <f t="shared" si="973"/>
        <v/>
      </c>
      <c r="IQ110" s="714"/>
      <c r="IR110" s="9" t="str">
        <f t="shared" si="974"/>
        <v/>
      </c>
      <c r="IS110" s="5" t="str">
        <f t="shared" si="975"/>
        <v/>
      </c>
      <c r="IT110" s="5" t="str">
        <f t="shared" si="976"/>
        <v/>
      </c>
      <c r="IU110" s="5" t="str">
        <f t="shared" si="977"/>
        <v/>
      </c>
      <c r="IV110" s="670" t="str">
        <f t="shared" si="978"/>
        <v/>
      </c>
      <c r="IW110" s="9" t="str">
        <f t="shared" si="979"/>
        <v/>
      </c>
      <c r="IX110" s="5" t="str">
        <f t="shared" si="980"/>
        <v/>
      </c>
      <c r="IY110" s="5" t="str">
        <f t="shared" si="981"/>
        <v/>
      </c>
      <c r="IZ110" s="5" t="str">
        <f t="shared" si="982"/>
        <v/>
      </c>
      <c r="JA110" s="705" t="str">
        <f t="shared" si="983"/>
        <v/>
      </c>
    </row>
    <row r="111" spans="1:261" ht="15" customHeight="1" x14ac:dyDescent="0.25">
      <c r="A111" s="75" t="str">
        <f t="shared" si="708"/>
        <v/>
      </c>
      <c r="B111" s="578" t="str">
        <f t="shared" ref="B111:D111" si="1019">IFERROR(O266-($A111*E111),"")</f>
        <v/>
      </c>
      <c r="C111" s="572" t="str">
        <f t="shared" si="1019"/>
        <v/>
      </c>
      <c r="D111" s="576" t="str">
        <f t="shared" si="1019"/>
        <v/>
      </c>
      <c r="E111" s="580" t="str">
        <f t="shared" ref="E111:K111" si="1020">R266</f>
        <v/>
      </c>
      <c r="F111" s="572" t="str">
        <f t="shared" si="1020"/>
        <v/>
      </c>
      <c r="G111" s="579" t="str">
        <f t="shared" si="1020"/>
        <v/>
      </c>
      <c r="H111" s="580" t="str">
        <f t="shared" si="1020"/>
        <v/>
      </c>
      <c r="I111" s="572" t="str">
        <f t="shared" si="1020"/>
        <v/>
      </c>
      <c r="J111" s="483" t="str">
        <f t="shared" si="711"/>
        <v/>
      </c>
      <c r="K111" s="806" t="str">
        <f t="shared" si="1020"/>
        <v/>
      </c>
      <c r="L111" s="309"/>
      <c r="M111" s="164" t="str">
        <f t="shared" si="901"/>
        <v/>
      </c>
      <c r="N111" s="575" t="str">
        <f t="shared" si="902"/>
        <v/>
      </c>
      <c r="O111" s="572" t="str">
        <f t="shared" si="903"/>
        <v/>
      </c>
      <c r="P111" s="576" t="str">
        <f t="shared" si="904"/>
        <v/>
      </c>
      <c r="Q111" s="528" t="str">
        <f t="shared" si="712"/>
        <v/>
      </c>
      <c r="R111" s="572" t="str">
        <f t="shared" si="986"/>
        <v/>
      </c>
      <c r="S111" s="577" t="str">
        <f t="shared" si="987"/>
        <v/>
      </c>
      <c r="T111" s="578" t="str">
        <f t="shared" si="988"/>
        <v/>
      </c>
      <c r="U111" s="572" t="str">
        <f t="shared" si="989"/>
        <v/>
      </c>
      <c r="V111" s="579" t="str">
        <f t="shared" si="990"/>
        <v/>
      </c>
      <c r="W111" s="528" t="str">
        <f t="shared" si="848"/>
        <v/>
      </c>
      <c r="X111" s="572" t="str">
        <f t="shared" si="991"/>
        <v/>
      </c>
      <c r="Y111" s="573" t="str">
        <f t="shared" si="841"/>
        <v/>
      </c>
      <c r="Z111" s="575" t="str">
        <f t="shared" si="905"/>
        <v/>
      </c>
      <c r="AA111" s="572" t="str">
        <f t="shared" si="906"/>
        <v/>
      </c>
      <c r="AB111" s="572" t="str">
        <f t="shared" si="907"/>
        <v/>
      </c>
      <c r="AC111" s="579" t="str">
        <f t="shared" si="992"/>
        <v/>
      </c>
      <c r="AD111" s="580" t="str">
        <f t="shared" si="993"/>
        <v/>
      </c>
      <c r="AE111" s="572" t="str">
        <f t="shared" si="994"/>
        <v/>
      </c>
      <c r="AF111" s="576" t="str">
        <f t="shared" si="995"/>
        <v/>
      </c>
      <c r="AG111" s="545" t="str">
        <f t="shared" si="996"/>
        <v/>
      </c>
      <c r="AH111" s="546" t="str">
        <f t="shared" si="997"/>
        <v/>
      </c>
      <c r="AI111" s="528" t="str">
        <f t="shared" si="998"/>
        <v/>
      </c>
      <c r="AJ111" s="529" t="str">
        <f t="shared" si="999"/>
        <v/>
      </c>
      <c r="AK111" s="578" t="str">
        <f t="shared" si="1000"/>
        <v/>
      </c>
      <c r="AL111" s="572" t="str">
        <f t="shared" si="1001"/>
        <v/>
      </c>
      <c r="AM111" s="577" t="str">
        <f t="shared" si="1002"/>
        <v/>
      </c>
      <c r="AN111" s="524" t="str">
        <f t="shared" si="1003"/>
        <v/>
      </c>
      <c r="AO111" s="525" t="str">
        <f t="shared" si="590"/>
        <v/>
      </c>
      <c r="AP111" s="528" t="str">
        <f t="shared" si="1004"/>
        <v/>
      </c>
      <c r="AQ111" s="529" t="str">
        <f t="shared" si="908"/>
        <v/>
      </c>
      <c r="AS111" s="954" t="str">
        <f t="shared" si="1010"/>
        <v/>
      </c>
      <c r="AT111" s="950" t="str">
        <f t="shared" si="909"/>
        <v/>
      </c>
      <c r="AU111" s="418"/>
      <c r="AV111" s="164" t="str">
        <f t="shared" si="910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1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2"/>
        <v/>
      </c>
      <c r="BF111" s="4" t="str">
        <f t="shared" si="913"/>
        <v/>
      </c>
      <c r="BG111" s="5" t="str">
        <f t="shared" si="914"/>
        <v/>
      </c>
      <c r="BH111" s="10" t="str">
        <f t="shared" si="915"/>
        <v/>
      </c>
      <c r="BI111" s="9" t="str">
        <f t="shared" si="739"/>
        <v/>
      </c>
      <c r="BJ111" s="5" t="str">
        <f t="shared" si="916"/>
        <v/>
      </c>
      <c r="BK111" s="8" t="str">
        <f t="shared" si="917"/>
        <v/>
      </c>
      <c r="BL111" s="173" t="str">
        <f t="shared" si="918"/>
        <v/>
      </c>
      <c r="BM111" s="5" t="str">
        <f t="shared" si="919"/>
        <v/>
      </c>
      <c r="BN111" s="6" t="str">
        <f t="shared" si="920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5"/>
        <v/>
      </c>
      <c r="BT111" s="5" t="str">
        <f t="shared" si="1005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1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1"/>
        <v/>
      </c>
      <c r="DC111" s="5" t="str">
        <f t="shared" si="1011"/>
        <v/>
      </c>
      <c r="DD111" s="10" t="str">
        <f t="shared" si="764"/>
        <v/>
      </c>
      <c r="DE111" s="9" t="str">
        <f t="shared" si="1012"/>
        <v/>
      </c>
      <c r="DF111" s="5" t="str">
        <f t="shared" si="1012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2"/>
        <v/>
      </c>
      <c r="ET111" s="5" t="str">
        <f t="shared" si="923"/>
        <v/>
      </c>
      <c r="EU111" s="10" t="str">
        <f t="shared" si="924"/>
        <v/>
      </c>
      <c r="EV111" s="174" t="str">
        <f t="shared" si="925"/>
        <v/>
      </c>
      <c r="EW111" s="9" t="str">
        <f t="shared" si="926"/>
        <v/>
      </c>
      <c r="EX111" s="5" t="str">
        <f t="shared" si="927"/>
        <v/>
      </c>
      <c r="EY111" s="6" t="str">
        <f t="shared" si="804"/>
        <v/>
      </c>
      <c r="EZ111" s="51" t="str">
        <f t="shared" si="805"/>
        <v/>
      </c>
      <c r="FA111" s="173" t="str">
        <f t="shared" si="928"/>
        <v/>
      </c>
      <c r="FB111" s="5" t="str">
        <f t="shared" si="929"/>
        <v/>
      </c>
      <c r="FC111" s="6" t="str">
        <f t="shared" si="930"/>
        <v/>
      </c>
      <c r="FD111" s="4" t="str">
        <f t="shared" si="931"/>
        <v/>
      </c>
      <c r="FE111" s="5" t="str">
        <f t="shared" si="932"/>
        <v/>
      </c>
      <c r="FF111" s="7" t="str">
        <f t="shared" si="806"/>
        <v/>
      </c>
      <c r="FG111" s="173" t="str">
        <f t="shared" si="933"/>
        <v/>
      </c>
      <c r="FH111" s="5" t="str">
        <f t="shared" si="934"/>
        <v/>
      </c>
      <c r="FI111" s="10" t="str">
        <f t="shared" si="935"/>
        <v/>
      </c>
      <c r="FJ111" s="279" t="str">
        <f t="shared" si="807"/>
        <v/>
      </c>
      <c r="FK111" s="4" t="str">
        <f t="shared" si="936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7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8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39"/>
        <v/>
      </c>
      <c r="GH111" s="286" t="str">
        <f t="shared" si="940"/>
        <v/>
      </c>
      <c r="GI111" s="281" t="str">
        <f t="shared" si="941"/>
        <v/>
      </c>
      <c r="GJ111" s="167" t="str">
        <f t="shared" si="823"/>
        <v/>
      </c>
      <c r="GK111" s="174" t="str">
        <f t="shared" si="942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3"/>
        <v/>
      </c>
      <c r="GT111" s="343" t="str">
        <f t="shared" si="944"/>
        <v/>
      </c>
      <c r="GU111" s="344" t="str">
        <f t="shared" si="945"/>
        <v/>
      </c>
      <c r="GV111" s="343" t="str">
        <f t="shared" si="831"/>
        <v/>
      </c>
      <c r="GW111" s="345" t="str">
        <f t="shared" si="946"/>
        <v/>
      </c>
      <c r="GX111" s="346" t="str">
        <f t="shared" si="947"/>
        <v/>
      </c>
      <c r="GY111" s="344" t="str">
        <f t="shared" si="948"/>
        <v/>
      </c>
      <c r="GZ111" s="345" t="str">
        <f t="shared" si="949"/>
        <v/>
      </c>
      <c r="HA111" s="342" t="str">
        <f t="shared" si="950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1"/>
        <v/>
      </c>
      <c r="HF111" s="5" t="str">
        <f t="shared" si="952"/>
        <v/>
      </c>
      <c r="HG111" s="343" t="str">
        <f t="shared" si="835"/>
        <v/>
      </c>
      <c r="HH111" s="349" t="str">
        <f t="shared" si="836"/>
        <v/>
      </c>
      <c r="HI111" s="317" t="str">
        <f t="shared" si="953"/>
        <v/>
      </c>
      <c r="HK111" s="310" t="str">
        <f t="shared" si="1006"/>
        <v/>
      </c>
      <c r="HL111" s="348" t="str">
        <f t="shared" si="954"/>
        <v/>
      </c>
      <c r="HM111" s="923" t="str">
        <f t="shared" si="955"/>
        <v/>
      </c>
      <c r="HN111" s="924" t="str">
        <f t="shared" si="956"/>
        <v/>
      </c>
      <c r="HO111" s="925"/>
      <c r="HP111" s="926"/>
      <c r="HQ111" s="924" t="str">
        <f t="shared" si="957"/>
        <v/>
      </c>
      <c r="HR111" s="927" t="str">
        <f t="shared" si="958"/>
        <v/>
      </c>
      <c r="HS111" s="879" t="str">
        <f t="shared" si="1007"/>
        <v/>
      </c>
      <c r="HT111" s="889" t="str">
        <f t="shared" si="959"/>
        <v/>
      </c>
      <c r="HU111" s="890" t="str">
        <f t="shared" si="960"/>
        <v/>
      </c>
      <c r="HV111" s="886" t="str">
        <f t="shared" si="961"/>
        <v/>
      </c>
      <c r="HW111" s="880" t="str">
        <f t="shared" si="962"/>
        <v/>
      </c>
      <c r="HX111" s="881" t="str">
        <f t="shared" si="963"/>
        <v/>
      </c>
      <c r="HY111" s="880" t="str">
        <f t="shared" si="964"/>
        <v/>
      </c>
      <c r="HZ111" s="882" t="str">
        <f t="shared" si="965"/>
        <v/>
      </c>
      <c r="IA111" s="883" t="str">
        <f t="shared" si="966"/>
        <v/>
      </c>
      <c r="IB111" s="884" t="str">
        <f t="shared" si="967"/>
        <v/>
      </c>
      <c r="IC111" s="855" t="str">
        <f t="shared" si="968"/>
        <v/>
      </c>
      <c r="ID111" s="351" t="str">
        <f t="shared" si="969"/>
        <v/>
      </c>
      <c r="IE111" s="857" t="str">
        <f t="shared" si="970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1"/>
        <v/>
      </c>
      <c r="IM111" s="482" t="str">
        <f t="shared" si="838"/>
        <v/>
      </c>
      <c r="IN111" s="670" t="str">
        <f t="shared" si="972"/>
        <v/>
      </c>
      <c r="IO111" s="702"/>
      <c r="IP111" s="5" t="str">
        <f t="shared" si="973"/>
        <v/>
      </c>
      <c r="IQ111" s="714"/>
      <c r="IR111" s="9" t="str">
        <f t="shared" si="974"/>
        <v/>
      </c>
      <c r="IS111" s="5" t="str">
        <f t="shared" si="975"/>
        <v/>
      </c>
      <c r="IT111" s="5" t="str">
        <f t="shared" si="976"/>
        <v/>
      </c>
      <c r="IU111" s="5" t="str">
        <f t="shared" si="977"/>
        <v/>
      </c>
      <c r="IV111" s="670" t="str">
        <f t="shared" si="978"/>
        <v/>
      </c>
      <c r="IW111" s="9" t="str">
        <f t="shared" si="979"/>
        <v/>
      </c>
      <c r="IX111" s="5" t="str">
        <f t="shared" si="980"/>
        <v/>
      </c>
      <c r="IY111" s="5" t="str">
        <f t="shared" si="981"/>
        <v/>
      </c>
      <c r="IZ111" s="5" t="str">
        <f t="shared" si="982"/>
        <v/>
      </c>
      <c r="JA111" s="705" t="str">
        <f t="shared" si="983"/>
        <v/>
      </c>
    </row>
    <row r="112" spans="1:261" ht="15" customHeight="1" x14ac:dyDescent="0.25">
      <c r="A112" s="75" t="str">
        <f t="shared" si="708"/>
        <v/>
      </c>
      <c r="B112" s="578" t="str">
        <f t="shared" ref="B112:D112" si="1021">IFERROR(O267-($A112*E112),"")</f>
        <v/>
      </c>
      <c r="C112" s="572" t="str">
        <f t="shared" si="1021"/>
        <v/>
      </c>
      <c r="D112" s="576" t="str">
        <f t="shared" si="1021"/>
        <v/>
      </c>
      <c r="E112" s="580" t="str">
        <f t="shared" ref="E112:K112" si="1022">R267</f>
        <v/>
      </c>
      <c r="F112" s="572" t="str">
        <f t="shared" si="1022"/>
        <v/>
      </c>
      <c r="G112" s="579" t="str">
        <f t="shared" si="1022"/>
        <v/>
      </c>
      <c r="H112" s="580" t="str">
        <f t="shared" si="1022"/>
        <v/>
      </c>
      <c r="I112" s="572" t="str">
        <f t="shared" si="1022"/>
        <v/>
      </c>
      <c r="J112" s="483" t="str">
        <f t="shared" si="711"/>
        <v/>
      </c>
      <c r="K112" s="806" t="str">
        <f t="shared" si="1022"/>
        <v/>
      </c>
      <c r="L112" s="309"/>
      <c r="M112" s="164" t="str">
        <f t="shared" si="901"/>
        <v/>
      </c>
      <c r="N112" s="575" t="str">
        <f t="shared" si="902"/>
        <v/>
      </c>
      <c r="O112" s="572" t="str">
        <f t="shared" si="903"/>
        <v/>
      </c>
      <c r="P112" s="576" t="str">
        <f t="shared" si="904"/>
        <v/>
      </c>
      <c r="Q112" s="528" t="str">
        <f t="shared" si="712"/>
        <v/>
      </c>
      <c r="R112" s="572" t="str">
        <f t="shared" si="986"/>
        <v/>
      </c>
      <c r="S112" s="577" t="str">
        <f t="shared" si="987"/>
        <v/>
      </c>
      <c r="T112" s="578" t="str">
        <f t="shared" si="988"/>
        <v/>
      </c>
      <c r="U112" s="572" t="str">
        <f t="shared" si="989"/>
        <v/>
      </c>
      <c r="V112" s="579" t="str">
        <f t="shared" si="990"/>
        <v/>
      </c>
      <c r="W112" s="528" t="str">
        <f t="shared" si="848"/>
        <v/>
      </c>
      <c r="X112" s="572" t="str">
        <f t="shared" si="991"/>
        <v/>
      </c>
      <c r="Y112" s="573" t="str">
        <f t="shared" si="841"/>
        <v/>
      </c>
      <c r="Z112" s="575" t="str">
        <f t="shared" si="905"/>
        <v/>
      </c>
      <c r="AA112" s="572" t="str">
        <f t="shared" si="906"/>
        <v/>
      </c>
      <c r="AB112" s="572" t="str">
        <f t="shared" si="907"/>
        <v/>
      </c>
      <c r="AC112" s="579" t="str">
        <f t="shared" si="992"/>
        <v/>
      </c>
      <c r="AD112" s="580" t="str">
        <f t="shared" si="993"/>
        <v/>
      </c>
      <c r="AE112" s="572" t="str">
        <f t="shared" si="994"/>
        <v/>
      </c>
      <c r="AF112" s="576" t="str">
        <f t="shared" si="995"/>
        <v/>
      </c>
      <c r="AG112" s="545" t="str">
        <f t="shared" si="996"/>
        <v/>
      </c>
      <c r="AH112" s="546" t="str">
        <f t="shared" si="997"/>
        <v/>
      </c>
      <c r="AI112" s="528" t="str">
        <f t="shared" si="998"/>
        <v/>
      </c>
      <c r="AJ112" s="529" t="str">
        <f t="shared" si="999"/>
        <v/>
      </c>
      <c r="AK112" s="578" t="str">
        <f t="shared" si="1000"/>
        <v/>
      </c>
      <c r="AL112" s="572" t="str">
        <f t="shared" si="1001"/>
        <v/>
      </c>
      <c r="AM112" s="577" t="str">
        <f t="shared" si="1002"/>
        <v/>
      </c>
      <c r="AN112" s="524" t="str">
        <f t="shared" si="1003"/>
        <v/>
      </c>
      <c r="AO112" s="525" t="str">
        <f t="shared" si="590"/>
        <v/>
      </c>
      <c r="AP112" s="528" t="str">
        <f t="shared" si="1004"/>
        <v/>
      </c>
      <c r="AQ112" s="529" t="str">
        <f t="shared" si="908"/>
        <v/>
      </c>
      <c r="AS112" s="954" t="str">
        <f t="shared" si="1010"/>
        <v/>
      </c>
      <c r="AT112" s="950" t="str">
        <f t="shared" si="909"/>
        <v/>
      </c>
      <c r="AU112" s="418"/>
      <c r="AV112" s="164" t="str">
        <f t="shared" si="910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1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2"/>
        <v/>
      </c>
      <c r="BF112" s="4" t="str">
        <f t="shared" si="913"/>
        <v/>
      </c>
      <c r="BG112" s="5" t="str">
        <f t="shared" si="914"/>
        <v/>
      </c>
      <c r="BH112" s="10" t="str">
        <f t="shared" si="915"/>
        <v/>
      </c>
      <c r="BI112" s="9" t="str">
        <f t="shared" si="739"/>
        <v/>
      </c>
      <c r="BJ112" s="5" t="str">
        <f t="shared" si="916"/>
        <v/>
      </c>
      <c r="BK112" s="8" t="str">
        <f t="shared" si="917"/>
        <v/>
      </c>
      <c r="BL112" s="173" t="str">
        <f t="shared" si="918"/>
        <v/>
      </c>
      <c r="BM112" s="5" t="str">
        <f t="shared" si="919"/>
        <v/>
      </c>
      <c r="BN112" s="6" t="str">
        <f t="shared" si="920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5"/>
        <v/>
      </c>
      <c r="BT112" s="5" t="str">
        <f t="shared" si="1005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1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1"/>
        <v/>
      </c>
      <c r="DC112" s="5" t="str">
        <f t="shared" si="1011"/>
        <v/>
      </c>
      <c r="DD112" s="10" t="str">
        <f t="shared" si="764"/>
        <v/>
      </c>
      <c r="DE112" s="9" t="str">
        <f t="shared" si="1012"/>
        <v/>
      </c>
      <c r="DF112" s="5" t="str">
        <f t="shared" si="1012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2"/>
        <v/>
      </c>
      <c r="ET112" s="5" t="str">
        <f t="shared" si="923"/>
        <v/>
      </c>
      <c r="EU112" s="10" t="str">
        <f t="shared" si="924"/>
        <v/>
      </c>
      <c r="EV112" s="174" t="str">
        <f t="shared" si="925"/>
        <v/>
      </c>
      <c r="EW112" s="9" t="str">
        <f t="shared" si="926"/>
        <v/>
      </c>
      <c r="EX112" s="5" t="str">
        <f t="shared" si="927"/>
        <v/>
      </c>
      <c r="EY112" s="6" t="str">
        <f t="shared" si="804"/>
        <v/>
      </c>
      <c r="EZ112" s="51" t="str">
        <f t="shared" si="805"/>
        <v/>
      </c>
      <c r="FA112" s="173" t="str">
        <f t="shared" si="928"/>
        <v/>
      </c>
      <c r="FB112" s="5" t="str">
        <f t="shared" si="929"/>
        <v/>
      </c>
      <c r="FC112" s="6" t="str">
        <f t="shared" si="930"/>
        <v/>
      </c>
      <c r="FD112" s="4" t="str">
        <f t="shared" si="931"/>
        <v/>
      </c>
      <c r="FE112" s="5" t="str">
        <f t="shared" si="932"/>
        <v/>
      </c>
      <c r="FF112" s="7" t="str">
        <f t="shared" si="806"/>
        <v/>
      </c>
      <c r="FG112" s="173" t="str">
        <f t="shared" si="933"/>
        <v/>
      </c>
      <c r="FH112" s="5" t="str">
        <f t="shared" si="934"/>
        <v/>
      </c>
      <c r="FI112" s="10" t="str">
        <f t="shared" si="935"/>
        <v/>
      </c>
      <c r="FJ112" s="279" t="str">
        <f t="shared" si="807"/>
        <v/>
      </c>
      <c r="FK112" s="4" t="str">
        <f t="shared" si="936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7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8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39"/>
        <v/>
      </c>
      <c r="GH112" s="286" t="str">
        <f t="shared" si="940"/>
        <v/>
      </c>
      <c r="GI112" s="281" t="str">
        <f t="shared" si="941"/>
        <v/>
      </c>
      <c r="GJ112" s="167" t="str">
        <f t="shared" si="823"/>
        <v/>
      </c>
      <c r="GK112" s="174" t="str">
        <f t="shared" si="942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3"/>
        <v/>
      </c>
      <c r="GT112" s="343" t="str">
        <f t="shared" si="944"/>
        <v/>
      </c>
      <c r="GU112" s="344" t="str">
        <f t="shared" si="945"/>
        <v/>
      </c>
      <c r="GV112" s="343" t="str">
        <f t="shared" si="831"/>
        <v/>
      </c>
      <c r="GW112" s="345" t="str">
        <f t="shared" si="946"/>
        <v/>
      </c>
      <c r="GX112" s="346" t="str">
        <f t="shared" si="947"/>
        <v/>
      </c>
      <c r="GY112" s="344" t="str">
        <f t="shared" si="948"/>
        <v/>
      </c>
      <c r="GZ112" s="345" t="str">
        <f t="shared" si="949"/>
        <v/>
      </c>
      <c r="HA112" s="342" t="str">
        <f t="shared" si="950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1"/>
        <v/>
      </c>
      <c r="HF112" s="5" t="str">
        <f t="shared" si="952"/>
        <v/>
      </c>
      <c r="HG112" s="343" t="str">
        <f t="shared" si="835"/>
        <v/>
      </c>
      <c r="HH112" s="349" t="str">
        <f t="shared" si="836"/>
        <v/>
      </c>
      <c r="HI112" s="317" t="str">
        <f t="shared" si="953"/>
        <v/>
      </c>
      <c r="HK112" s="310" t="str">
        <f t="shared" si="1006"/>
        <v/>
      </c>
      <c r="HL112" s="348" t="str">
        <f t="shared" si="954"/>
        <v/>
      </c>
      <c r="HM112" s="923" t="str">
        <f t="shared" si="955"/>
        <v/>
      </c>
      <c r="HN112" s="924" t="str">
        <f t="shared" si="956"/>
        <v/>
      </c>
      <c r="HO112" s="925"/>
      <c r="HP112" s="926"/>
      <c r="HQ112" s="924" t="str">
        <f t="shared" si="957"/>
        <v/>
      </c>
      <c r="HR112" s="927" t="str">
        <f t="shared" si="958"/>
        <v/>
      </c>
      <c r="HS112" s="879" t="str">
        <f t="shared" si="1007"/>
        <v/>
      </c>
      <c r="HT112" s="889" t="str">
        <f t="shared" si="959"/>
        <v/>
      </c>
      <c r="HU112" s="890" t="str">
        <f t="shared" si="960"/>
        <v/>
      </c>
      <c r="HV112" s="886" t="str">
        <f t="shared" si="961"/>
        <v/>
      </c>
      <c r="HW112" s="880" t="str">
        <f t="shared" si="962"/>
        <v/>
      </c>
      <c r="HX112" s="881" t="str">
        <f t="shared" si="963"/>
        <v/>
      </c>
      <c r="HY112" s="880" t="str">
        <f t="shared" si="964"/>
        <v/>
      </c>
      <c r="HZ112" s="882" t="str">
        <f t="shared" si="965"/>
        <v/>
      </c>
      <c r="IA112" s="883" t="str">
        <f t="shared" si="966"/>
        <v/>
      </c>
      <c r="IB112" s="884" t="str">
        <f t="shared" si="967"/>
        <v/>
      </c>
      <c r="IC112" s="855" t="str">
        <f t="shared" si="968"/>
        <v/>
      </c>
      <c r="ID112" s="351" t="str">
        <f t="shared" si="969"/>
        <v/>
      </c>
      <c r="IE112" s="857" t="str">
        <f t="shared" si="970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1"/>
        <v/>
      </c>
      <c r="IM112" s="482" t="str">
        <f t="shared" si="838"/>
        <v/>
      </c>
      <c r="IN112" s="670" t="str">
        <f t="shared" si="972"/>
        <v/>
      </c>
      <c r="IO112" s="702"/>
      <c r="IP112" s="5" t="str">
        <f t="shared" si="973"/>
        <v/>
      </c>
      <c r="IQ112" s="714"/>
      <c r="IR112" s="9" t="str">
        <f t="shared" si="974"/>
        <v/>
      </c>
      <c r="IS112" s="5" t="str">
        <f t="shared" si="975"/>
        <v/>
      </c>
      <c r="IT112" s="5" t="str">
        <f t="shared" si="976"/>
        <v/>
      </c>
      <c r="IU112" s="5" t="str">
        <f t="shared" si="977"/>
        <v/>
      </c>
      <c r="IV112" s="670" t="str">
        <f t="shared" si="978"/>
        <v/>
      </c>
      <c r="IW112" s="9" t="str">
        <f t="shared" si="979"/>
        <v/>
      </c>
      <c r="IX112" s="5" t="str">
        <f t="shared" si="980"/>
        <v/>
      </c>
      <c r="IY112" s="5" t="str">
        <f t="shared" si="981"/>
        <v/>
      </c>
      <c r="IZ112" s="5" t="str">
        <f t="shared" si="982"/>
        <v/>
      </c>
      <c r="JA112" s="705" t="str">
        <f t="shared" si="983"/>
        <v/>
      </c>
    </row>
    <row r="113" spans="1:261" ht="15" customHeight="1" x14ac:dyDescent="0.25">
      <c r="A113" s="75" t="str">
        <f t="shared" si="708"/>
        <v/>
      </c>
      <c r="B113" s="578" t="str">
        <f t="shared" ref="B113:D113" si="1023">IFERROR(O268-($A113*E113),"")</f>
        <v/>
      </c>
      <c r="C113" s="572" t="str">
        <f t="shared" si="1023"/>
        <v/>
      </c>
      <c r="D113" s="576" t="str">
        <f t="shared" si="1023"/>
        <v/>
      </c>
      <c r="E113" s="580" t="str">
        <f t="shared" ref="E113:K113" si="1024">R268</f>
        <v/>
      </c>
      <c r="F113" s="572" t="str">
        <f t="shared" si="1024"/>
        <v/>
      </c>
      <c r="G113" s="579" t="str">
        <f t="shared" si="1024"/>
        <v/>
      </c>
      <c r="H113" s="580" t="str">
        <f t="shared" si="1024"/>
        <v/>
      </c>
      <c r="I113" s="572" t="str">
        <f t="shared" si="1024"/>
        <v/>
      </c>
      <c r="J113" s="483" t="str">
        <f t="shared" si="711"/>
        <v/>
      </c>
      <c r="K113" s="806" t="str">
        <f t="shared" si="1024"/>
        <v/>
      </c>
      <c r="L113" s="309"/>
      <c r="M113" s="164" t="str">
        <f t="shared" si="901"/>
        <v/>
      </c>
      <c r="N113" s="575" t="str">
        <f t="shared" si="902"/>
        <v/>
      </c>
      <c r="O113" s="572" t="str">
        <f t="shared" si="903"/>
        <v/>
      </c>
      <c r="P113" s="576" t="str">
        <f t="shared" si="904"/>
        <v/>
      </c>
      <c r="Q113" s="528" t="str">
        <f t="shared" si="712"/>
        <v/>
      </c>
      <c r="R113" s="572" t="str">
        <f t="shared" si="986"/>
        <v/>
      </c>
      <c r="S113" s="577" t="str">
        <f t="shared" si="987"/>
        <v/>
      </c>
      <c r="T113" s="578" t="str">
        <f t="shared" si="988"/>
        <v/>
      </c>
      <c r="U113" s="572" t="str">
        <f t="shared" si="989"/>
        <v/>
      </c>
      <c r="V113" s="579" t="str">
        <f t="shared" si="990"/>
        <v/>
      </c>
      <c r="W113" s="528" t="str">
        <f t="shared" si="848"/>
        <v/>
      </c>
      <c r="X113" s="572" t="str">
        <f t="shared" si="991"/>
        <v/>
      </c>
      <c r="Y113" s="573" t="str">
        <f t="shared" si="841"/>
        <v/>
      </c>
      <c r="Z113" s="575" t="str">
        <f t="shared" si="905"/>
        <v/>
      </c>
      <c r="AA113" s="572" t="str">
        <f t="shared" si="906"/>
        <v/>
      </c>
      <c r="AB113" s="572" t="str">
        <f t="shared" si="907"/>
        <v/>
      </c>
      <c r="AC113" s="579" t="str">
        <f t="shared" si="992"/>
        <v/>
      </c>
      <c r="AD113" s="580" t="str">
        <f t="shared" si="993"/>
        <v/>
      </c>
      <c r="AE113" s="572" t="str">
        <f t="shared" si="994"/>
        <v/>
      </c>
      <c r="AF113" s="576" t="str">
        <f t="shared" si="995"/>
        <v/>
      </c>
      <c r="AG113" s="545" t="str">
        <f t="shared" si="996"/>
        <v/>
      </c>
      <c r="AH113" s="546" t="str">
        <f t="shared" si="997"/>
        <v/>
      </c>
      <c r="AI113" s="528" t="str">
        <f t="shared" si="998"/>
        <v/>
      </c>
      <c r="AJ113" s="529" t="str">
        <f t="shared" si="999"/>
        <v/>
      </c>
      <c r="AK113" s="578" t="str">
        <f t="shared" si="1000"/>
        <v/>
      </c>
      <c r="AL113" s="572" t="str">
        <f t="shared" si="1001"/>
        <v/>
      </c>
      <c r="AM113" s="577" t="str">
        <f t="shared" si="1002"/>
        <v/>
      </c>
      <c r="AN113" s="524" t="str">
        <f t="shared" si="1003"/>
        <v/>
      </c>
      <c r="AO113" s="525" t="str">
        <f t="shared" si="590"/>
        <v/>
      </c>
      <c r="AP113" s="528" t="str">
        <f t="shared" si="1004"/>
        <v/>
      </c>
      <c r="AQ113" s="529" t="str">
        <f t="shared" si="908"/>
        <v/>
      </c>
      <c r="AS113" s="954" t="str">
        <f t="shared" si="1010"/>
        <v/>
      </c>
      <c r="AT113" s="950" t="str">
        <f t="shared" si="909"/>
        <v/>
      </c>
      <c r="AU113" s="418"/>
      <c r="AV113" s="164" t="str">
        <f t="shared" si="910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1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2"/>
        <v/>
      </c>
      <c r="BF113" s="4" t="str">
        <f t="shared" si="913"/>
        <v/>
      </c>
      <c r="BG113" s="5" t="str">
        <f t="shared" si="914"/>
        <v/>
      </c>
      <c r="BH113" s="10" t="str">
        <f t="shared" si="915"/>
        <v/>
      </c>
      <c r="BI113" s="9" t="str">
        <f t="shared" si="739"/>
        <v/>
      </c>
      <c r="BJ113" s="5" t="str">
        <f t="shared" si="916"/>
        <v/>
      </c>
      <c r="BK113" s="8" t="str">
        <f t="shared" si="917"/>
        <v/>
      </c>
      <c r="BL113" s="173" t="str">
        <f t="shared" si="918"/>
        <v/>
      </c>
      <c r="BM113" s="5" t="str">
        <f t="shared" si="919"/>
        <v/>
      </c>
      <c r="BN113" s="6" t="str">
        <f t="shared" si="920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5"/>
        <v/>
      </c>
      <c r="BT113" s="5" t="str">
        <f t="shared" si="1005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1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1"/>
        <v/>
      </c>
      <c r="DC113" s="5" t="str">
        <f t="shared" si="1011"/>
        <v/>
      </c>
      <c r="DD113" s="10" t="str">
        <f t="shared" si="764"/>
        <v/>
      </c>
      <c r="DE113" s="9" t="str">
        <f t="shared" si="1012"/>
        <v/>
      </c>
      <c r="DF113" s="5" t="str">
        <f t="shared" si="1012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2"/>
        <v/>
      </c>
      <c r="ET113" s="5" t="str">
        <f t="shared" si="923"/>
        <v/>
      </c>
      <c r="EU113" s="10" t="str">
        <f t="shared" si="924"/>
        <v/>
      </c>
      <c r="EV113" s="174" t="str">
        <f t="shared" si="925"/>
        <v/>
      </c>
      <c r="EW113" s="9" t="str">
        <f t="shared" si="926"/>
        <v/>
      </c>
      <c r="EX113" s="5" t="str">
        <f t="shared" si="927"/>
        <v/>
      </c>
      <c r="EY113" s="6" t="str">
        <f t="shared" si="804"/>
        <v/>
      </c>
      <c r="EZ113" s="51" t="str">
        <f t="shared" si="805"/>
        <v/>
      </c>
      <c r="FA113" s="173" t="str">
        <f t="shared" si="928"/>
        <v/>
      </c>
      <c r="FB113" s="5" t="str">
        <f t="shared" si="929"/>
        <v/>
      </c>
      <c r="FC113" s="6" t="str">
        <f t="shared" si="930"/>
        <v/>
      </c>
      <c r="FD113" s="4" t="str">
        <f t="shared" si="931"/>
        <v/>
      </c>
      <c r="FE113" s="5" t="str">
        <f t="shared" si="932"/>
        <v/>
      </c>
      <c r="FF113" s="7" t="str">
        <f t="shared" si="806"/>
        <v/>
      </c>
      <c r="FG113" s="173" t="str">
        <f t="shared" si="933"/>
        <v/>
      </c>
      <c r="FH113" s="5" t="str">
        <f t="shared" si="934"/>
        <v/>
      </c>
      <c r="FI113" s="10" t="str">
        <f t="shared" si="935"/>
        <v/>
      </c>
      <c r="FJ113" s="279" t="str">
        <f t="shared" si="807"/>
        <v/>
      </c>
      <c r="FK113" s="4" t="str">
        <f t="shared" si="936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7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8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39"/>
        <v/>
      </c>
      <c r="GH113" s="286" t="str">
        <f t="shared" si="940"/>
        <v/>
      </c>
      <c r="GI113" s="281" t="str">
        <f t="shared" si="941"/>
        <v/>
      </c>
      <c r="GJ113" s="167" t="str">
        <f t="shared" si="823"/>
        <v/>
      </c>
      <c r="GK113" s="174" t="str">
        <f t="shared" si="942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3"/>
        <v/>
      </c>
      <c r="GT113" s="343" t="str">
        <f t="shared" si="944"/>
        <v/>
      </c>
      <c r="GU113" s="344" t="str">
        <f t="shared" si="945"/>
        <v/>
      </c>
      <c r="GV113" s="343" t="str">
        <f t="shared" si="831"/>
        <v/>
      </c>
      <c r="GW113" s="345" t="str">
        <f t="shared" si="946"/>
        <v/>
      </c>
      <c r="GX113" s="346" t="str">
        <f t="shared" si="947"/>
        <v/>
      </c>
      <c r="GY113" s="344" t="str">
        <f t="shared" si="948"/>
        <v/>
      </c>
      <c r="GZ113" s="345" t="str">
        <f t="shared" si="949"/>
        <v/>
      </c>
      <c r="HA113" s="342" t="str">
        <f t="shared" si="950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1"/>
        <v/>
      </c>
      <c r="HF113" s="5" t="str">
        <f t="shared" si="952"/>
        <v/>
      </c>
      <c r="HG113" s="343" t="str">
        <f t="shared" si="835"/>
        <v/>
      </c>
      <c r="HH113" s="349" t="str">
        <f t="shared" si="836"/>
        <v/>
      </c>
      <c r="HI113" s="317" t="str">
        <f t="shared" si="953"/>
        <v/>
      </c>
      <c r="HK113" s="310" t="str">
        <f t="shared" si="1006"/>
        <v/>
      </c>
      <c r="HL113" s="348" t="str">
        <f t="shared" si="954"/>
        <v/>
      </c>
      <c r="HM113" s="923" t="str">
        <f t="shared" si="955"/>
        <v/>
      </c>
      <c r="HN113" s="924" t="str">
        <f t="shared" si="956"/>
        <v/>
      </c>
      <c r="HO113" s="925"/>
      <c r="HP113" s="926"/>
      <c r="HQ113" s="924" t="str">
        <f t="shared" si="957"/>
        <v/>
      </c>
      <c r="HR113" s="927" t="str">
        <f t="shared" si="958"/>
        <v/>
      </c>
      <c r="HS113" s="879" t="str">
        <f t="shared" si="1007"/>
        <v/>
      </c>
      <c r="HT113" s="889" t="str">
        <f t="shared" si="959"/>
        <v/>
      </c>
      <c r="HU113" s="890" t="str">
        <f t="shared" si="960"/>
        <v/>
      </c>
      <c r="HV113" s="886" t="str">
        <f t="shared" si="961"/>
        <v/>
      </c>
      <c r="HW113" s="880" t="str">
        <f t="shared" si="962"/>
        <v/>
      </c>
      <c r="HX113" s="881" t="str">
        <f t="shared" si="963"/>
        <v/>
      </c>
      <c r="HY113" s="880" t="str">
        <f t="shared" si="964"/>
        <v/>
      </c>
      <c r="HZ113" s="882" t="str">
        <f t="shared" si="965"/>
        <v/>
      </c>
      <c r="IA113" s="883" t="str">
        <f t="shared" si="966"/>
        <v/>
      </c>
      <c r="IB113" s="884" t="str">
        <f t="shared" si="967"/>
        <v/>
      </c>
      <c r="IC113" s="855" t="str">
        <f t="shared" si="968"/>
        <v/>
      </c>
      <c r="ID113" s="351" t="str">
        <f t="shared" si="969"/>
        <v/>
      </c>
      <c r="IE113" s="857" t="str">
        <f t="shared" si="970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1"/>
        <v/>
      </c>
      <c r="IM113" s="482" t="str">
        <f t="shared" si="838"/>
        <v/>
      </c>
      <c r="IN113" s="670" t="str">
        <f t="shared" si="972"/>
        <v/>
      </c>
      <c r="IO113" s="702"/>
      <c r="IP113" s="5" t="str">
        <f t="shared" si="973"/>
        <v/>
      </c>
      <c r="IQ113" s="714"/>
      <c r="IR113" s="9" t="str">
        <f t="shared" si="974"/>
        <v/>
      </c>
      <c r="IS113" s="5" t="str">
        <f t="shared" si="975"/>
        <v/>
      </c>
      <c r="IT113" s="5" t="str">
        <f t="shared" si="976"/>
        <v/>
      </c>
      <c r="IU113" s="5" t="str">
        <f t="shared" si="977"/>
        <v/>
      </c>
      <c r="IV113" s="670" t="str">
        <f t="shared" si="978"/>
        <v/>
      </c>
      <c r="IW113" s="9" t="str">
        <f t="shared" si="979"/>
        <v/>
      </c>
      <c r="IX113" s="5" t="str">
        <f t="shared" si="980"/>
        <v/>
      </c>
      <c r="IY113" s="5" t="str">
        <f t="shared" si="981"/>
        <v/>
      </c>
      <c r="IZ113" s="5" t="str">
        <f t="shared" si="982"/>
        <v/>
      </c>
      <c r="JA113" s="705" t="str">
        <f t="shared" si="983"/>
        <v/>
      </c>
    </row>
    <row r="114" spans="1:261" ht="15" customHeight="1" x14ac:dyDescent="0.25">
      <c r="A114" s="75" t="str">
        <f t="shared" si="708"/>
        <v/>
      </c>
      <c r="B114" s="578" t="str">
        <f t="shared" ref="B114:D114" si="1025">IFERROR(O269-($A114*E114),"")</f>
        <v/>
      </c>
      <c r="C114" s="572" t="str">
        <f t="shared" si="1025"/>
        <v/>
      </c>
      <c r="D114" s="576" t="str">
        <f t="shared" si="1025"/>
        <v/>
      </c>
      <c r="E114" s="580" t="str">
        <f t="shared" ref="E114:K114" si="1026">R269</f>
        <v/>
      </c>
      <c r="F114" s="572" t="str">
        <f t="shared" si="1026"/>
        <v/>
      </c>
      <c r="G114" s="579" t="str">
        <f t="shared" si="1026"/>
        <v/>
      </c>
      <c r="H114" s="580" t="str">
        <f t="shared" si="1026"/>
        <v/>
      </c>
      <c r="I114" s="572" t="str">
        <f t="shared" si="1026"/>
        <v/>
      </c>
      <c r="J114" s="483" t="str">
        <f t="shared" si="711"/>
        <v/>
      </c>
      <c r="K114" s="806" t="str">
        <f t="shared" si="1026"/>
        <v/>
      </c>
      <c r="L114" s="309"/>
      <c r="M114" s="164" t="str">
        <f t="shared" si="901"/>
        <v/>
      </c>
      <c r="N114" s="575" t="str">
        <f t="shared" si="902"/>
        <v/>
      </c>
      <c r="O114" s="572" t="str">
        <f t="shared" si="903"/>
        <v/>
      </c>
      <c r="P114" s="576" t="str">
        <f t="shared" si="904"/>
        <v/>
      </c>
      <c r="Q114" s="528" t="str">
        <f t="shared" si="712"/>
        <v/>
      </c>
      <c r="R114" s="572" t="str">
        <f t="shared" si="986"/>
        <v/>
      </c>
      <c r="S114" s="577" t="str">
        <f t="shared" si="987"/>
        <v/>
      </c>
      <c r="T114" s="578" t="str">
        <f t="shared" si="988"/>
        <v/>
      </c>
      <c r="U114" s="572" t="str">
        <f t="shared" si="989"/>
        <v/>
      </c>
      <c r="V114" s="579" t="str">
        <f t="shared" si="990"/>
        <v/>
      </c>
      <c r="W114" s="528" t="str">
        <f t="shared" si="848"/>
        <v/>
      </c>
      <c r="X114" s="572" t="str">
        <f t="shared" si="991"/>
        <v/>
      </c>
      <c r="Y114" s="573" t="str">
        <f t="shared" si="841"/>
        <v/>
      </c>
      <c r="Z114" s="575" t="str">
        <f t="shared" si="905"/>
        <v/>
      </c>
      <c r="AA114" s="572" t="str">
        <f t="shared" si="906"/>
        <v/>
      </c>
      <c r="AB114" s="572" t="str">
        <f t="shared" si="907"/>
        <v/>
      </c>
      <c r="AC114" s="579" t="str">
        <f t="shared" si="992"/>
        <v/>
      </c>
      <c r="AD114" s="580" t="str">
        <f t="shared" si="993"/>
        <v/>
      </c>
      <c r="AE114" s="572" t="str">
        <f t="shared" si="994"/>
        <v/>
      </c>
      <c r="AF114" s="576" t="str">
        <f t="shared" si="995"/>
        <v/>
      </c>
      <c r="AG114" s="545" t="str">
        <f t="shared" si="996"/>
        <v/>
      </c>
      <c r="AH114" s="546" t="str">
        <f t="shared" si="997"/>
        <v/>
      </c>
      <c r="AI114" s="528" t="str">
        <f t="shared" si="998"/>
        <v/>
      </c>
      <c r="AJ114" s="529" t="str">
        <f t="shared" si="999"/>
        <v/>
      </c>
      <c r="AK114" s="578" t="str">
        <f t="shared" si="1000"/>
        <v/>
      </c>
      <c r="AL114" s="572" t="str">
        <f t="shared" si="1001"/>
        <v/>
      </c>
      <c r="AM114" s="577" t="str">
        <f t="shared" si="1002"/>
        <v/>
      </c>
      <c r="AN114" s="524" t="str">
        <f t="shared" si="1003"/>
        <v/>
      </c>
      <c r="AO114" s="525" t="str">
        <f t="shared" si="590"/>
        <v/>
      </c>
      <c r="AP114" s="528" t="str">
        <f t="shared" si="1004"/>
        <v/>
      </c>
      <c r="AQ114" s="529" t="str">
        <f t="shared" si="908"/>
        <v/>
      </c>
      <c r="AS114" s="954" t="str">
        <f t="shared" si="1010"/>
        <v/>
      </c>
      <c r="AT114" s="950" t="str">
        <f t="shared" si="909"/>
        <v/>
      </c>
      <c r="AU114" s="418"/>
      <c r="AV114" s="164" t="str">
        <f t="shared" si="910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1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2"/>
        <v/>
      </c>
      <c r="BF114" s="4" t="str">
        <f t="shared" si="913"/>
        <v/>
      </c>
      <c r="BG114" s="5" t="str">
        <f t="shared" si="914"/>
        <v/>
      </c>
      <c r="BH114" s="10" t="str">
        <f t="shared" si="915"/>
        <v/>
      </c>
      <c r="BI114" s="9" t="str">
        <f t="shared" si="739"/>
        <v/>
      </c>
      <c r="BJ114" s="5" t="str">
        <f t="shared" si="916"/>
        <v/>
      </c>
      <c r="BK114" s="8" t="str">
        <f t="shared" si="917"/>
        <v/>
      </c>
      <c r="BL114" s="173" t="str">
        <f t="shared" si="918"/>
        <v/>
      </c>
      <c r="BM114" s="5" t="str">
        <f t="shared" si="919"/>
        <v/>
      </c>
      <c r="BN114" s="6" t="str">
        <f t="shared" si="920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5"/>
        <v/>
      </c>
      <c r="BT114" s="5" t="str">
        <f t="shared" si="1005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1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1"/>
        <v/>
      </c>
      <c r="DC114" s="5" t="str">
        <f t="shared" si="1011"/>
        <v/>
      </c>
      <c r="DD114" s="10" t="str">
        <f t="shared" si="764"/>
        <v/>
      </c>
      <c r="DE114" s="9" t="str">
        <f t="shared" si="1012"/>
        <v/>
      </c>
      <c r="DF114" s="5" t="str">
        <f t="shared" si="1012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2"/>
        <v/>
      </c>
      <c r="ET114" s="5" t="str">
        <f t="shared" si="923"/>
        <v/>
      </c>
      <c r="EU114" s="10" t="str">
        <f t="shared" si="924"/>
        <v/>
      </c>
      <c r="EV114" s="174" t="str">
        <f t="shared" si="925"/>
        <v/>
      </c>
      <c r="EW114" s="9" t="str">
        <f t="shared" si="926"/>
        <v/>
      </c>
      <c r="EX114" s="5" t="str">
        <f t="shared" si="927"/>
        <v/>
      </c>
      <c r="EY114" s="6" t="str">
        <f t="shared" si="804"/>
        <v/>
      </c>
      <c r="EZ114" s="51" t="str">
        <f t="shared" si="805"/>
        <v/>
      </c>
      <c r="FA114" s="173" t="str">
        <f t="shared" si="928"/>
        <v/>
      </c>
      <c r="FB114" s="5" t="str">
        <f t="shared" si="929"/>
        <v/>
      </c>
      <c r="FC114" s="6" t="str">
        <f t="shared" si="930"/>
        <v/>
      </c>
      <c r="FD114" s="4" t="str">
        <f t="shared" si="931"/>
        <v/>
      </c>
      <c r="FE114" s="5" t="str">
        <f t="shared" si="932"/>
        <v/>
      </c>
      <c r="FF114" s="7" t="str">
        <f t="shared" si="806"/>
        <v/>
      </c>
      <c r="FG114" s="173" t="str">
        <f t="shared" si="933"/>
        <v/>
      </c>
      <c r="FH114" s="5" t="str">
        <f t="shared" si="934"/>
        <v/>
      </c>
      <c r="FI114" s="10" t="str">
        <f t="shared" si="935"/>
        <v/>
      </c>
      <c r="FJ114" s="279" t="str">
        <f t="shared" si="807"/>
        <v/>
      </c>
      <c r="FK114" s="4" t="str">
        <f t="shared" si="936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7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8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39"/>
        <v/>
      </c>
      <c r="GH114" s="286" t="str">
        <f t="shared" si="940"/>
        <v/>
      </c>
      <c r="GI114" s="281" t="str">
        <f t="shared" si="941"/>
        <v/>
      </c>
      <c r="GJ114" s="167" t="str">
        <f t="shared" si="823"/>
        <v/>
      </c>
      <c r="GK114" s="174" t="str">
        <f t="shared" si="942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3"/>
        <v/>
      </c>
      <c r="GT114" s="343" t="str">
        <f t="shared" si="944"/>
        <v/>
      </c>
      <c r="GU114" s="344" t="str">
        <f t="shared" si="945"/>
        <v/>
      </c>
      <c r="GV114" s="343" t="str">
        <f t="shared" si="831"/>
        <v/>
      </c>
      <c r="GW114" s="345" t="str">
        <f t="shared" si="946"/>
        <v/>
      </c>
      <c r="GX114" s="346" t="str">
        <f t="shared" si="947"/>
        <v/>
      </c>
      <c r="GY114" s="344" t="str">
        <f t="shared" si="948"/>
        <v/>
      </c>
      <c r="GZ114" s="345" t="str">
        <f t="shared" si="949"/>
        <v/>
      </c>
      <c r="HA114" s="342" t="str">
        <f t="shared" si="950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1"/>
        <v/>
      </c>
      <c r="HF114" s="5" t="str">
        <f t="shared" si="952"/>
        <v/>
      </c>
      <c r="HG114" s="343" t="str">
        <f t="shared" si="835"/>
        <v/>
      </c>
      <c r="HH114" s="349" t="str">
        <f t="shared" si="836"/>
        <v/>
      </c>
      <c r="HI114" s="317" t="str">
        <f t="shared" si="953"/>
        <v/>
      </c>
      <c r="HK114" s="310" t="str">
        <f t="shared" si="1006"/>
        <v/>
      </c>
      <c r="HL114" s="348" t="str">
        <f t="shared" si="954"/>
        <v/>
      </c>
      <c r="HM114" s="923" t="str">
        <f t="shared" si="955"/>
        <v/>
      </c>
      <c r="HN114" s="924" t="str">
        <f t="shared" si="956"/>
        <v/>
      </c>
      <c r="HO114" s="925"/>
      <c r="HP114" s="926"/>
      <c r="HQ114" s="924" t="str">
        <f t="shared" si="957"/>
        <v/>
      </c>
      <c r="HR114" s="927" t="str">
        <f t="shared" si="958"/>
        <v/>
      </c>
      <c r="HS114" s="879" t="str">
        <f t="shared" si="1007"/>
        <v/>
      </c>
      <c r="HT114" s="889" t="str">
        <f t="shared" si="959"/>
        <v/>
      </c>
      <c r="HU114" s="890" t="str">
        <f t="shared" si="960"/>
        <v/>
      </c>
      <c r="HV114" s="886" t="str">
        <f t="shared" si="961"/>
        <v/>
      </c>
      <c r="HW114" s="880" t="str">
        <f t="shared" si="962"/>
        <v/>
      </c>
      <c r="HX114" s="881" t="str">
        <f t="shared" si="963"/>
        <v/>
      </c>
      <c r="HY114" s="880" t="str">
        <f t="shared" si="964"/>
        <v/>
      </c>
      <c r="HZ114" s="882" t="str">
        <f t="shared" si="965"/>
        <v/>
      </c>
      <c r="IA114" s="883" t="str">
        <f t="shared" si="966"/>
        <v/>
      </c>
      <c r="IB114" s="884" t="str">
        <f t="shared" si="967"/>
        <v/>
      </c>
      <c r="IC114" s="855" t="str">
        <f t="shared" si="968"/>
        <v/>
      </c>
      <c r="ID114" s="351" t="str">
        <f t="shared" si="969"/>
        <v/>
      </c>
      <c r="IE114" s="857" t="str">
        <f t="shared" si="970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1"/>
        <v/>
      </c>
      <c r="IM114" s="482" t="str">
        <f t="shared" si="838"/>
        <v/>
      </c>
      <c r="IN114" s="670" t="str">
        <f t="shared" si="972"/>
        <v/>
      </c>
      <c r="IO114" s="702"/>
      <c r="IP114" s="5" t="str">
        <f t="shared" si="973"/>
        <v/>
      </c>
      <c r="IQ114" s="714"/>
      <c r="IR114" s="9" t="str">
        <f t="shared" si="974"/>
        <v/>
      </c>
      <c r="IS114" s="5" t="str">
        <f t="shared" si="975"/>
        <v/>
      </c>
      <c r="IT114" s="5" t="str">
        <f t="shared" si="976"/>
        <v/>
      </c>
      <c r="IU114" s="5" t="str">
        <f t="shared" si="977"/>
        <v/>
      </c>
      <c r="IV114" s="670" t="str">
        <f t="shared" si="978"/>
        <v/>
      </c>
      <c r="IW114" s="9" t="str">
        <f t="shared" si="979"/>
        <v/>
      </c>
      <c r="IX114" s="5" t="str">
        <f t="shared" si="980"/>
        <v/>
      </c>
      <c r="IY114" s="5" t="str">
        <f t="shared" si="981"/>
        <v/>
      </c>
      <c r="IZ114" s="5" t="str">
        <f t="shared" si="982"/>
        <v/>
      </c>
      <c r="JA114" s="705" t="str">
        <f t="shared" si="983"/>
        <v/>
      </c>
    </row>
    <row r="115" spans="1:261" ht="15" customHeight="1" x14ac:dyDescent="0.25">
      <c r="A115" s="75" t="str">
        <f t="shared" si="708"/>
        <v/>
      </c>
      <c r="B115" s="578" t="str">
        <f t="shared" ref="B115:D115" si="1027">IFERROR(O270-($A115*E115),"")</f>
        <v/>
      </c>
      <c r="C115" s="572" t="str">
        <f t="shared" si="1027"/>
        <v/>
      </c>
      <c r="D115" s="576" t="str">
        <f t="shared" si="1027"/>
        <v/>
      </c>
      <c r="E115" s="580" t="str">
        <f t="shared" ref="E115:K115" si="1028">R270</f>
        <v/>
      </c>
      <c r="F115" s="572" t="str">
        <f t="shared" si="1028"/>
        <v/>
      </c>
      <c r="G115" s="579" t="str">
        <f t="shared" si="1028"/>
        <v/>
      </c>
      <c r="H115" s="580" t="str">
        <f t="shared" si="1028"/>
        <v/>
      </c>
      <c r="I115" s="572" t="str">
        <f t="shared" si="1028"/>
        <v/>
      </c>
      <c r="J115" s="483" t="str">
        <f t="shared" si="711"/>
        <v/>
      </c>
      <c r="K115" s="806" t="str">
        <f t="shared" si="1028"/>
        <v/>
      </c>
      <c r="L115" s="309"/>
      <c r="M115" s="164" t="str">
        <f t="shared" si="901"/>
        <v/>
      </c>
      <c r="N115" s="575" t="str">
        <f t="shared" si="902"/>
        <v/>
      </c>
      <c r="O115" s="572" t="str">
        <f t="shared" si="903"/>
        <v/>
      </c>
      <c r="P115" s="576" t="str">
        <f t="shared" si="904"/>
        <v/>
      </c>
      <c r="Q115" s="528" t="str">
        <f t="shared" si="712"/>
        <v/>
      </c>
      <c r="R115" s="572" t="str">
        <f t="shared" si="986"/>
        <v/>
      </c>
      <c r="S115" s="577" t="str">
        <f t="shared" si="987"/>
        <v/>
      </c>
      <c r="T115" s="578" t="str">
        <f t="shared" si="988"/>
        <v/>
      </c>
      <c r="U115" s="572" t="str">
        <f t="shared" si="989"/>
        <v/>
      </c>
      <c r="V115" s="579" t="str">
        <f t="shared" si="990"/>
        <v/>
      </c>
      <c r="W115" s="528" t="str">
        <f t="shared" si="848"/>
        <v/>
      </c>
      <c r="X115" s="572" t="str">
        <f t="shared" si="991"/>
        <v/>
      </c>
      <c r="Y115" s="573" t="str">
        <f t="shared" si="841"/>
        <v/>
      </c>
      <c r="Z115" s="575" t="str">
        <f t="shared" si="905"/>
        <v/>
      </c>
      <c r="AA115" s="572" t="str">
        <f t="shared" si="906"/>
        <v/>
      </c>
      <c r="AB115" s="572" t="str">
        <f t="shared" si="907"/>
        <v/>
      </c>
      <c r="AC115" s="579" t="str">
        <f t="shared" si="992"/>
        <v/>
      </c>
      <c r="AD115" s="580" t="str">
        <f t="shared" si="993"/>
        <v/>
      </c>
      <c r="AE115" s="572" t="str">
        <f t="shared" si="994"/>
        <v/>
      </c>
      <c r="AF115" s="576" t="str">
        <f t="shared" si="995"/>
        <v/>
      </c>
      <c r="AG115" s="545" t="str">
        <f t="shared" si="996"/>
        <v/>
      </c>
      <c r="AH115" s="546" t="str">
        <f t="shared" si="997"/>
        <v/>
      </c>
      <c r="AI115" s="528" t="str">
        <f t="shared" si="998"/>
        <v/>
      </c>
      <c r="AJ115" s="529" t="str">
        <f t="shared" si="999"/>
        <v/>
      </c>
      <c r="AK115" s="578" t="str">
        <f t="shared" si="1000"/>
        <v/>
      </c>
      <c r="AL115" s="572" t="str">
        <f t="shared" si="1001"/>
        <v/>
      </c>
      <c r="AM115" s="577" t="str">
        <f t="shared" si="1002"/>
        <v/>
      </c>
      <c r="AN115" s="524" t="str">
        <f t="shared" si="1003"/>
        <v/>
      </c>
      <c r="AO115" s="525" t="str">
        <f t="shared" si="590"/>
        <v/>
      </c>
      <c r="AP115" s="528" t="str">
        <f t="shared" si="1004"/>
        <v/>
      </c>
      <c r="AQ115" s="529" t="str">
        <f t="shared" si="908"/>
        <v/>
      </c>
      <c r="AS115" s="954" t="str">
        <f t="shared" si="1010"/>
        <v/>
      </c>
      <c r="AT115" s="950" t="str">
        <f t="shared" si="909"/>
        <v/>
      </c>
      <c r="AU115" s="418"/>
      <c r="AV115" s="164" t="str">
        <f t="shared" si="910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1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2"/>
        <v/>
      </c>
      <c r="BF115" s="4" t="str">
        <f t="shared" si="913"/>
        <v/>
      </c>
      <c r="BG115" s="5" t="str">
        <f t="shared" si="914"/>
        <v/>
      </c>
      <c r="BH115" s="10" t="str">
        <f t="shared" si="915"/>
        <v/>
      </c>
      <c r="BI115" s="9" t="str">
        <f t="shared" si="739"/>
        <v/>
      </c>
      <c r="BJ115" s="5" t="str">
        <f t="shared" si="916"/>
        <v/>
      </c>
      <c r="BK115" s="8" t="str">
        <f t="shared" si="917"/>
        <v/>
      </c>
      <c r="BL115" s="173" t="str">
        <f t="shared" si="918"/>
        <v/>
      </c>
      <c r="BM115" s="5" t="str">
        <f t="shared" si="919"/>
        <v/>
      </c>
      <c r="BN115" s="6" t="str">
        <f t="shared" si="920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5"/>
        <v/>
      </c>
      <c r="BT115" s="5" t="str">
        <f t="shared" si="1005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1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1"/>
        <v/>
      </c>
      <c r="DC115" s="5" t="str">
        <f t="shared" si="1011"/>
        <v/>
      </c>
      <c r="DD115" s="10" t="str">
        <f t="shared" si="764"/>
        <v/>
      </c>
      <c r="DE115" s="9" t="str">
        <f t="shared" si="1012"/>
        <v/>
      </c>
      <c r="DF115" s="5" t="str">
        <f t="shared" si="1012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2"/>
        <v/>
      </c>
      <c r="ET115" s="5" t="str">
        <f t="shared" si="923"/>
        <v/>
      </c>
      <c r="EU115" s="10" t="str">
        <f t="shared" si="924"/>
        <v/>
      </c>
      <c r="EV115" s="174" t="str">
        <f t="shared" si="925"/>
        <v/>
      </c>
      <c r="EW115" s="9" t="str">
        <f t="shared" si="926"/>
        <v/>
      </c>
      <c r="EX115" s="5" t="str">
        <f t="shared" si="927"/>
        <v/>
      </c>
      <c r="EY115" s="6" t="str">
        <f t="shared" si="804"/>
        <v/>
      </c>
      <c r="EZ115" s="51" t="str">
        <f t="shared" si="805"/>
        <v/>
      </c>
      <c r="FA115" s="173" t="str">
        <f t="shared" si="928"/>
        <v/>
      </c>
      <c r="FB115" s="5" t="str">
        <f t="shared" si="929"/>
        <v/>
      </c>
      <c r="FC115" s="6" t="str">
        <f t="shared" si="930"/>
        <v/>
      </c>
      <c r="FD115" s="4" t="str">
        <f t="shared" si="931"/>
        <v/>
      </c>
      <c r="FE115" s="5" t="str">
        <f t="shared" si="932"/>
        <v/>
      </c>
      <c r="FF115" s="7" t="str">
        <f t="shared" si="806"/>
        <v/>
      </c>
      <c r="FG115" s="173" t="str">
        <f t="shared" si="933"/>
        <v/>
      </c>
      <c r="FH115" s="5" t="str">
        <f t="shared" si="934"/>
        <v/>
      </c>
      <c r="FI115" s="10" t="str">
        <f t="shared" si="935"/>
        <v/>
      </c>
      <c r="FJ115" s="279" t="str">
        <f t="shared" si="807"/>
        <v/>
      </c>
      <c r="FK115" s="4" t="str">
        <f t="shared" si="936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7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8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39"/>
        <v/>
      </c>
      <c r="GH115" s="286" t="str">
        <f t="shared" si="940"/>
        <v/>
      </c>
      <c r="GI115" s="281" t="str">
        <f t="shared" si="941"/>
        <v/>
      </c>
      <c r="GJ115" s="167" t="str">
        <f t="shared" si="823"/>
        <v/>
      </c>
      <c r="GK115" s="174" t="str">
        <f t="shared" si="942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3"/>
        <v/>
      </c>
      <c r="GT115" s="343" t="str">
        <f t="shared" si="944"/>
        <v/>
      </c>
      <c r="GU115" s="344" t="str">
        <f t="shared" si="945"/>
        <v/>
      </c>
      <c r="GV115" s="343" t="str">
        <f t="shared" si="831"/>
        <v/>
      </c>
      <c r="GW115" s="345" t="str">
        <f t="shared" si="946"/>
        <v/>
      </c>
      <c r="GX115" s="346" t="str">
        <f t="shared" si="947"/>
        <v/>
      </c>
      <c r="GY115" s="344" t="str">
        <f t="shared" si="948"/>
        <v/>
      </c>
      <c r="GZ115" s="345" t="str">
        <f t="shared" si="949"/>
        <v/>
      </c>
      <c r="HA115" s="342" t="str">
        <f t="shared" si="950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1"/>
        <v/>
      </c>
      <c r="HF115" s="5" t="str">
        <f t="shared" si="952"/>
        <v/>
      </c>
      <c r="HG115" s="343" t="str">
        <f t="shared" si="835"/>
        <v/>
      </c>
      <c r="HH115" s="349" t="str">
        <f t="shared" si="836"/>
        <v/>
      </c>
      <c r="HI115" s="317" t="str">
        <f t="shared" si="953"/>
        <v/>
      </c>
      <c r="HK115" s="310" t="str">
        <f t="shared" si="1006"/>
        <v/>
      </c>
      <c r="HL115" s="348" t="str">
        <f t="shared" si="954"/>
        <v/>
      </c>
      <c r="HM115" s="923" t="str">
        <f t="shared" si="955"/>
        <v/>
      </c>
      <c r="HN115" s="924" t="str">
        <f t="shared" si="956"/>
        <v/>
      </c>
      <c r="HO115" s="925"/>
      <c r="HP115" s="926"/>
      <c r="HQ115" s="924" t="str">
        <f t="shared" si="957"/>
        <v/>
      </c>
      <c r="HR115" s="927" t="str">
        <f t="shared" si="958"/>
        <v/>
      </c>
      <c r="HS115" s="879" t="str">
        <f t="shared" si="1007"/>
        <v/>
      </c>
      <c r="HT115" s="889" t="str">
        <f t="shared" si="959"/>
        <v/>
      </c>
      <c r="HU115" s="890" t="str">
        <f t="shared" si="960"/>
        <v/>
      </c>
      <c r="HV115" s="886" t="str">
        <f t="shared" si="961"/>
        <v/>
      </c>
      <c r="HW115" s="880" t="str">
        <f t="shared" si="962"/>
        <v/>
      </c>
      <c r="HX115" s="881" t="str">
        <f t="shared" si="963"/>
        <v/>
      </c>
      <c r="HY115" s="880" t="str">
        <f t="shared" si="964"/>
        <v/>
      </c>
      <c r="HZ115" s="882" t="str">
        <f t="shared" si="965"/>
        <v/>
      </c>
      <c r="IA115" s="883" t="str">
        <f t="shared" si="966"/>
        <v/>
      </c>
      <c r="IB115" s="884" t="str">
        <f t="shared" si="967"/>
        <v/>
      </c>
      <c r="IC115" s="855" t="str">
        <f t="shared" si="968"/>
        <v/>
      </c>
      <c r="ID115" s="351" t="str">
        <f t="shared" si="969"/>
        <v/>
      </c>
      <c r="IE115" s="857" t="str">
        <f t="shared" si="970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1"/>
        <v/>
      </c>
      <c r="IM115" s="482" t="str">
        <f t="shared" si="838"/>
        <v/>
      </c>
      <c r="IN115" s="670" t="str">
        <f t="shared" si="972"/>
        <v/>
      </c>
      <c r="IO115" s="702"/>
      <c r="IP115" s="5" t="str">
        <f t="shared" si="973"/>
        <v/>
      </c>
      <c r="IQ115" s="714"/>
      <c r="IR115" s="9" t="str">
        <f t="shared" si="974"/>
        <v/>
      </c>
      <c r="IS115" s="5" t="str">
        <f t="shared" si="975"/>
        <v/>
      </c>
      <c r="IT115" s="5" t="str">
        <f t="shared" si="976"/>
        <v/>
      </c>
      <c r="IU115" s="5" t="str">
        <f t="shared" si="977"/>
        <v/>
      </c>
      <c r="IV115" s="670" t="str">
        <f t="shared" si="978"/>
        <v/>
      </c>
      <c r="IW115" s="9" t="str">
        <f t="shared" si="979"/>
        <v/>
      </c>
      <c r="IX115" s="5" t="str">
        <f t="shared" si="980"/>
        <v/>
      </c>
      <c r="IY115" s="5" t="str">
        <f t="shared" si="981"/>
        <v/>
      </c>
      <c r="IZ115" s="5" t="str">
        <f t="shared" si="982"/>
        <v/>
      </c>
      <c r="JA115" s="705" t="str">
        <f t="shared" si="983"/>
        <v/>
      </c>
    </row>
    <row r="116" spans="1:261" ht="15" customHeight="1" x14ac:dyDescent="0.25">
      <c r="A116" s="75" t="str">
        <f t="shared" si="708"/>
        <v/>
      </c>
      <c r="B116" s="578" t="str">
        <f t="shared" ref="B116:D116" si="1029">IFERROR(O271-($A116*E116),"")</f>
        <v/>
      </c>
      <c r="C116" s="572" t="str">
        <f t="shared" si="1029"/>
        <v/>
      </c>
      <c r="D116" s="576" t="str">
        <f t="shared" si="1029"/>
        <v/>
      </c>
      <c r="E116" s="580" t="str">
        <f t="shared" ref="E116:K116" si="1030">R271</f>
        <v/>
      </c>
      <c r="F116" s="572" t="str">
        <f t="shared" si="1030"/>
        <v/>
      </c>
      <c r="G116" s="579" t="str">
        <f t="shared" si="1030"/>
        <v/>
      </c>
      <c r="H116" s="580" t="str">
        <f t="shared" si="1030"/>
        <v/>
      </c>
      <c r="I116" s="572" t="str">
        <f t="shared" si="1030"/>
        <v/>
      </c>
      <c r="J116" s="483" t="str">
        <f t="shared" si="711"/>
        <v/>
      </c>
      <c r="K116" s="806" t="str">
        <f t="shared" si="1030"/>
        <v/>
      </c>
      <c r="L116" s="309"/>
      <c r="M116" s="164" t="str">
        <f t="shared" si="901"/>
        <v/>
      </c>
      <c r="N116" s="575" t="str">
        <f t="shared" si="902"/>
        <v/>
      </c>
      <c r="O116" s="572" t="str">
        <f t="shared" si="903"/>
        <v/>
      </c>
      <c r="P116" s="576" t="str">
        <f t="shared" si="904"/>
        <v/>
      </c>
      <c r="Q116" s="528" t="str">
        <f t="shared" si="712"/>
        <v/>
      </c>
      <c r="R116" s="572" t="str">
        <f t="shared" si="986"/>
        <v/>
      </c>
      <c r="S116" s="577" t="str">
        <f t="shared" si="987"/>
        <v/>
      </c>
      <c r="T116" s="578" t="str">
        <f t="shared" si="988"/>
        <v/>
      </c>
      <c r="U116" s="572" t="str">
        <f t="shared" si="989"/>
        <v/>
      </c>
      <c r="V116" s="579" t="str">
        <f t="shared" si="990"/>
        <v/>
      </c>
      <c r="W116" s="528" t="str">
        <f t="shared" si="848"/>
        <v/>
      </c>
      <c r="X116" s="572" t="str">
        <f t="shared" si="991"/>
        <v/>
      </c>
      <c r="Y116" s="573" t="str">
        <f t="shared" si="841"/>
        <v/>
      </c>
      <c r="Z116" s="575" t="str">
        <f t="shared" si="905"/>
        <v/>
      </c>
      <c r="AA116" s="572" t="str">
        <f t="shared" si="906"/>
        <v/>
      </c>
      <c r="AB116" s="572" t="str">
        <f t="shared" si="907"/>
        <v/>
      </c>
      <c r="AC116" s="579" t="str">
        <f t="shared" si="992"/>
        <v/>
      </c>
      <c r="AD116" s="580" t="str">
        <f t="shared" si="993"/>
        <v/>
      </c>
      <c r="AE116" s="572" t="str">
        <f t="shared" si="994"/>
        <v/>
      </c>
      <c r="AF116" s="576" t="str">
        <f t="shared" si="995"/>
        <v/>
      </c>
      <c r="AG116" s="545" t="str">
        <f t="shared" si="996"/>
        <v/>
      </c>
      <c r="AH116" s="546" t="str">
        <f t="shared" si="997"/>
        <v/>
      </c>
      <c r="AI116" s="528" t="str">
        <f t="shared" si="998"/>
        <v/>
      </c>
      <c r="AJ116" s="529" t="str">
        <f t="shared" si="999"/>
        <v/>
      </c>
      <c r="AK116" s="578" t="str">
        <f t="shared" si="1000"/>
        <v/>
      </c>
      <c r="AL116" s="572" t="str">
        <f t="shared" si="1001"/>
        <v/>
      </c>
      <c r="AM116" s="577" t="str">
        <f t="shared" si="1002"/>
        <v/>
      </c>
      <c r="AN116" s="524" t="str">
        <f t="shared" si="1003"/>
        <v/>
      </c>
      <c r="AO116" s="525" t="str">
        <f t="shared" si="590"/>
        <v/>
      </c>
      <c r="AP116" s="528" t="str">
        <f t="shared" si="1004"/>
        <v/>
      </c>
      <c r="AQ116" s="529" t="str">
        <f t="shared" si="908"/>
        <v/>
      </c>
      <c r="AS116" s="954" t="str">
        <f t="shared" si="1010"/>
        <v/>
      </c>
      <c r="AT116" s="950" t="str">
        <f t="shared" si="909"/>
        <v/>
      </c>
      <c r="AU116" s="418"/>
      <c r="AV116" s="164" t="str">
        <f t="shared" si="910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1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2"/>
        <v/>
      </c>
      <c r="BF116" s="4" t="str">
        <f t="shared" si="913"/>
        <v/>
      </c>
      <c r="BG116" s="5" t="str">
        <f t="shared" si="914"/>
        <v/>
      </c>
      <c r="BH116" s="10" t="str">
        <f t="shared" si="915"/>
        <v/>
      </c>
      <c r="BI116" s="9" t="str">
        <f t="shared" si="739"/>
        <v/>
      </c>
      <c r="BJ116" s="5" t="str">
        <f t="shared" si="916"/>
        <v/>
      </c>
      <c r="BK116" s="8" t="str">
        <f t="shared" si="917"/>
        <v/>
      </c>
      <c r="BL116" s="173" t="str">
        <f t="shared" si="918"/>
        <v/>
      </c>
      <c r="BM116" s="5" t="str">
        <f t="shared" si="919"/>
        <v/>
      </c>
      <c r="BN116" s="6" t="str">
        <f t="shared" si="920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5"/>
        <v/>
      </c>
      <c r="BT116" s="5" t="str">
        <f t="shared" si="1005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1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1"/>
        <v/>
      </c>
      <c r="DC116" s="5" t="str">
        <f t="shared" si="1011"/>
        <v/>
      </c>
      <c r="DD116" s="10" t="str">
        <f t="shared" si="764"/>
        <v/>
      </c>
      <c r="DE116" s="9" t="str">
        <f t="shared" si="1012"/>
        <v/>
      </c>
      <c r="DF116" s="5" t="str">
        <f t="shared" si="1012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2"/>
        <v/>
      </c>
      <c r="ET116" s="5" t="str">
        <f t="shared" si="923"/>
        <v/>
      </c>
      <c r="EU116" s="10" t="str">
        <f t="shared" si="924"/>
        <v/>
      </c>
      <c r="EV116" s="174" t="str">
        <f t="shared" si="925"/>
        <v/>
      </c>
      <c r="EW116" s="9" t="str">
        <f t="shared" si="926"/>
        <v/>
      </c>
      <c r="EX116" s="5" t="str">
        <f t="shared" si="927"/>
        <v/>
      </c>
      <c r="EY116" s="6" t="str">
        <f t="shared" si="804"/>
        <v/>
      </c>
      <c r="EZ116" s="51" t="str">
        <f t="shared" si="805"/>
        <v/>
      </c>
      <c r="FA116" s="173" t="str">
        <f t="shared" si="928"/>
        <v/>
      </c>
      <c r="FB116" s="5" t="str">
        <f t="shared" si="929"/>
        <v/>
      </c>
      <c r="FC116" s="6" t="str">
        <f t="shared" si="930"/>
        <v/>
      </c>
      <c r="FD116" s="4" t="str">
        <f t="shared" si="931"/>
        <v/>
      </c>
      <c r="FE116" s="5" t="str">
        <f t="shared" si="932"/>
        <v/>
      </c>
      <c r="FF116" s="7" t="str">
        <f t="shared" si="806"/>
        <v/>
      </c>
      <c r="FG116" s="173" t="str">
        <f t="shared" si="933"/>
        <v/>
      </c>
      <c r="FH116" s="5" t="str">
        <f t="shared" si="934"/>
        <v/>
      </c>
      <c r="FI116" s="10" t="str">
        <f t="shared" si="935"/>
        <v/>
      </c>
      <c r="FJ116" s="279" t="str">
        <f t="shared" si="807"/>
        <v/>
      </c>
      <c r="FK116" s="4" t="str">
        <f t="shared" si="936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7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8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39"/>
        <v/>
      </c>
      <c r="GH116" s="286" t="str">
        <f t="shared" si="940"/>
        <v/>
      </c>
      <c r="GI116" s="281" t="str">
        <f t="shared" si="941"/>
        <v/>
      </c>
      <c r="GJ116" s="167" t="str">
        <f t="shared" si="823"/>
        <v/>
      </c>
      <c r="GK116" s="174" t="str">
        <f t="shared" si="942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3"/>
        <v/>
      </c>
      <c r="GT116" s="343" t="str">
        <f t="shared" si="944"/>
        <v/>
      </c>
      <c r="GU116" s="344" t="str">
        <f t="shared" si="945"/>
        <v/>
      </c>
      <c r="GV116" s="343" t="str">
        <f t="shared" si="831"/>
        <v/>
      </c>
      <c r="GW116" s="345" t="str">
        <f t="shared" si="946"/>
        <v/>
      </c>
      <c r="GX116" s="346" t="str">
        <f t="shared" si="947"/>
        <v/>
      </c>
      <c r="GY116" s="344" t="str">
        <f t="shared" si="948"/>
        <v/>
      </c>
      <c r="GZ116" s="345" t="str">
        <f t="shared" si="949"/>
        <v/>
      </c>
      <c r="HA116" s="342" t="str">
        <f t="shared" si="950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1"/>
        <v/>
      </c>
      <c r="HF116" s="5" t="str">
        <f t="shared" si="952"/>
        <v/>
      </c>
      <c r="HG116" s="343" t="str">
        <f t="shared" si="835"/>
        <v/>
      </c>
      <c r="HH116" s="349" t="str">
        <f t="shared" si="836"/>
        <v/>
      </c>
      <c r="HI116" s="317" t="str">
        <f t="shared" si="953"/>
        <v/>
      </c>
      <c r="HK116" s="310" t="str">
        <f t="shared" si="1006"/>
        <v/>
      </c>
      <c r="HL116" s="348" t="str">
        <f t="shared" si="954"/>
        <v/>
      </c>
      <c r="HM116" s="923" t="str">
        <f t="shared" si="955"/>
        <v/>
      </c>
      <c r="HN116" s="924" t="str">
        <f t="shared" si="956"/>
        <v/>
      </c>
      <c r="HO116" s="925"/>
      <c r="HP116" s="926"/>
      <c r="HQ116" s="924" t="str">
        <f t="shared" si="957"/>
        <v/>
      </c>
      <c r="HR116" s="927" t="str">
        <f t="shared" si="958"/>
        <v/>
      </c>
      <c r="HS116" s="879" t="str">
        <f t="shared" si="1007"/>
        <v/>
      </c>
      <c r="HT116" s="889" t="str">
        <f t="shared" si="959"/>
        <v/>
      </c>
      <c r="HU116" s="890" t="str">
        <f t="shared" si="960"/>
        <v/>
      </c>
      <c r="HV116" s="886" t="str">
        <f t="shared" si="961"/>
        <v/>
      </c>
      <c r="HW116" s="880" t="str">
        <f t="shared" si="962"/>
        <v/>
      </c>
      <c r="HX116" s="881" t="str">
        <f t="shared" si="963"/>
        <v/>
      </c>
      <c r="HY116" s="880" t="str">
        <f t="shared" si="964"/>
        <v/>
      </c>
      <c r="HZ116" s="882" t="str">
        <f t="shared" si="965"/>
        <v/>
      </c>
      <c r="IA116" s="883" t="str">
        <f t="shared" si="966"/>
        <v/>
      </c>
      <c r="IB116" s="884" t="str">
        <f t="shared" si="967"/>
        <v/>
      </c>
      <c r="IC116" s="855" t="str">
        <f t="shared" si="968"/>
        <v/>
      </c>
      <c r="ID116" s="351" t="str">
        <f t="shared" si="969"/>
        <v/>
      </c>
      <c r="IE116" s="857" t="str">
        <f t="shared" si="970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1"/>
        <v/>
      </c>
      <c r="IM116" s="482" t="str">
        <f t="shared" si="838"/>
        <v/>
      </c>
      <c r="IN116" s="670" t="str">
        <f t="shared" si="972"/>
        <v/>
      </c>
      <c r="IO116" s="702"/>
      <c r="IP116" s="5" t="str">
        <f t="shared" si="973"/>
        <v/>
      </c>
      <c r="IQ116" s="714"/>
      <c r="IR116" s="9" t="str">
        <f t="shared" si="974"/>
        <v/>
      </c>
      <c r="IS116" s="5" t="str">
        <f t="shared" si="975"/>
        <v/>
      </c>
      <c r="IT116" s="5" t="str">
        <f t="shared" si="976"/>
        <v/>
      </c>
      <c r="IU116" s="5" t="str">
        <f t="shared" si="977"/>
        <v/>
      </c>
      <c r="IV116" s="670" t="str">
        <f t="shared" si="978"/>
        <v/>
      </c>
      <c r="IW116" s="9" t="str">
        <f t="shared" si="979"/>
        <v/>
      </c>
      <c r="IX116" s="5" t="str">
        <f t="shared" si="980"/>
        <v/>
      </c>
      <c r="IY116" s="5" t="str">
        <f t="shared" si="981"/>
        <v/>
      </c>
      <c r="IZ116" s="5" t="str">
        <f t="shared" si="982"/>
        <v/>
      </c>
      <c r="JA116" s="705" t="str">
        <f t="shared" si="983"/>
        <v/>
      </c>
    </row>
    <row r="117" spans="1:261" ht="15" customHeight="1" x14ac:dyDescent="0.25">
      <c r="A117" s="75" t="str">
        <f t="shared" si="708"/>
        <v/>
      </c>
      <c r="B117" s="578" t="str">
        <f t="shared" ref="B117:D117" si="1031">IFERROR(O272-($A117*E117),"")</f>
        <v/>
      </c>
      <c r="C117" s="572" t="str">
        <f t="shared" si="1031"/>
        <v/>
      </c>
      <c r="D117" s="576" t="str">
        <f t="shared" si="1031"/>
        <v/>
      </c>
      <c r="E117" s="580" t="str">
        <f t="shared" ref="E117:K117" si="1032">R272</f>
        <v/>
      </c>
      <c r="F117" s="572" t="str">
        <f t="shared" si="1032"/>
        <v/>
      </c>
      <c r="G117" s="579" t="str">
        <f t="shared" si="1032"/>
        <v/>
      </c>
      <c r="H117" s="580" t="str">
        <f t="shared" si="1032"/>
        <v/>
      </c>
      <c r="I117" s="572" t="str">
        <f t="shared" si="1032"/>
        <v/>
      </c>
      <c r="J117" s="483" t="str">
        <f t="shared" si="711"/>
        <v/>
      </c>
      <c r="K117" s="806" t="str">
        <f t="shared" si="1032"/>
        <v/>
      </c>
      <c r="L117" s="309"/>
      <c r="M117" s="164" t="str">
        <f t="shared" si="901"/>
        <v/>
      </c>
      <c r="N117" s="575" t="str">
        <f t="shared" si="902"/>
        <v/>
      </c>
      <c r="O117" s="572" t="str">
        <f t="shared" si="903"/>
        <v/>
      </c>
      <c r="P117" s="576" t="str">
        <f t="shared" si="904"/>
        <v/>
      </c>
      <c r="Q117" s="528" t="str">
        <f t="shared" si="712"/>
        <v/>
      </c>
      <c r="R117" s="572" t="str">
        <f t="shared" si="986"/>
        <v/>
      </c>
      <c r="S117" s="577" t="str">
        <f t="shared" si="987"/>
        <v/>
      </c>
      <c r="T117" s="578" t="str">
        <f t="shared" si="988"/>
        <v/>
      </c>
      <c r="U117" s="572" t="str">
        <f t="shared" si="989"/>
        <v/>
      </c>
      <c r="V117" s="579" t="str">
        <f t="shared" si="990"/>
        <v/>
      </c>
      <c r="W117" s="528" t="str">
        <f t="shared" si="848"/>
        <v/>
      </c>
      <c r="X117" s="572" t="str">
        <f t="shared" si="991"/>
        <v/>
      </c>
      <c r="Y117" s="573" t="str">
        <f t="shared" si="841"/>
        <v/>
      </c>
      <c r="Z117" s="575" t="str">
        <f t="shared" si="905"/>
        <v/>
      </c>
      <c r="AA117" s="572" t="str">
        <f t="shared" si="906"/>
        <v/>
      </c>
      <c r="AB117" s="572" t="str">
        <f t="shared" si="907"/>
        <v/>
      </c>
      <c r="AC117" s="579" t="str">
        <f t="shared" si="992"/>
        <v/>
      </c>
      <c r="AD117" s="580" t="str">
        <f t="shared" si="993"/>
        <v/>
      </c>
      <c r="AE117" s="572" t="str">
        <f t="shared" si="994"/>
        <v/>
      </c>
      <c r="AF117" s="576" t="str">
        <f t="shared" si="995"/>
        <v/>
      </c>
      <c r="AG117" s="545" t="str">
        <f t="shared" si="996"/>
        <v/>
      </c>
      <c r="AH117" s="546" t="str">
        <f t="shared" si="997"/>
        <v/>
      </c>
      <c r="AI117" s="528" t="str">
        <f t="shared" si="998"/>
        <v/>
      </c>
      <c r="AJ117" s="529" t="str">
        <f t="shared" si="999"/>
        <v/>
      </c>
      <c r="AK117" s="578" t="str">
        <f t="shared" si="1000"/>
        <v/>
      </c>
      <c r="AL117" s="572" t="str">
        <f t="shared" si="1001"/>
        <v/>
      </c>
      <c r="AM117" s="577" t="str">
        <f t="shared" si="1002"/>
        <v/>
      </c>
      <c r="AN117" s="524" t="str">
        <f t="shared" si="1003"/>
        <v/>
      </c>
      <c r="AO117" s="525" t="str">
        <f t="shared" si="590"/>
        <v/>
      </c>
      <c r="AP117" s="528" t="str">
        <f t="shared" si="1004"/>
        <v/>
      </c>
      <c r="AQ117" s="529" t="str">
        <f t="shared" si="908"/>
        <v/>
      </c>
      <c r="AS117" s="954" t="str">
        <f t="shared" si="1010"/>
        <v/>
      </c>
      <c r="AT117" s="950" t="str">
        <f t="shared" si="909"/>
        <v/>
      </c>
      <c r="AU117" s="418"/>
      <c r="AV117" s="164" t="str">
        <f t="shared" si="910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1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2"/>
        <v/>
      </c>
      <c r="BF117" s="4" t="str">
        <f t="shared" si="913"/>
        <v/>
      </c>
      <c r="BG117" s="5" t="str">
        <f t="shared" si="914"/>
        <v/>
      </c>
      <c r="BH117" s="10" t="str">
        <f t="shared" si="915"/>
        <v/>
      </c>
      <c r="BI117" s="9" t="str">
        <f t="shared" si="739"/>
        <v/>
      </c>
      <c r="BJ117" s="5" t="str">
        <f t="shared" si="916"/>
        <v/>
      </c>
      <c r="BK117" s="8" t="str">
        <f t="shared" si="917"/>
        <v/>
      </c>
      <c r="BL117" s="173" t="str">
        <f t="shared" si="918"/>
        <v/>
      </c>
      <c r="BM117" s="5" t="str">
        <f t="shared" si="919"/>
        <v/>
      </c>
      <c r="BN117" s="6" t="str">
        <f t="shared" si="920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5"/>
        <v/>
      </c>
      <c r="BT117" s="5" t="str">
        <f t="shared" si="1005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1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1"/>
        <v/>
      </c>
      <c r="DC117" s="5" t="str">
        <f t="shared" si="1011"/>
        <v/>
      </c>
      <c r="DD117" s="10" t="str">
        <f t="shared" si="764"/>
        <v/>
      </c>
      <c r="DE117" s="9" t="str">
        <f t="shared" si="1012"/>
        <v/>
      </c>
      <c r="DF117" s="5" t="str">
        <f t="shared" si="1012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2"/>
        <v/>
      </c>
      <c r="ET117" s="5" t="str">
        <f t="shared" si="923"/>
        <v/>
      </c>
      <c r="EU117" s="10" t="str">
        <f t="shared" si="924"/>
        <v/>
      </c>
      <c r="EV117" s="174" t="str">
        <f t="shared" si="925"/>
        <v/>
      </c>
      <c r="EW117" s="9" t="str">
        <f t="shared" si="926"/>
        <v/>
      </c>
      <c r="EX117" s="5" t="str">
        <f t="shared" si="927"/>
        <v/>
      </c>
      <c r="EY117" s="6" t="str">
        <f t="shared" si="804"/>
        <v/>
      </c>
      <c r="EZ117" s="51" t="str">
        <f t="shared" si="805"/>
        <v/>
      </c>
      <c r="FA117" s="173" t="str">
        <f t="shared" si="928"/>
        <v/>
      </c>
      <c r="FB117" s="5" t="str">
        <f t="shared" si="929"/>
        <v/>
      </c>
      <c r="FC117" s="6" t="str">
        <f t="shared" si="930"/>
        <v/>
      </c>
      <c r="FD117" s="4" t="str">
        <f t="shared" si="931"/>
        <v/>
      </c>
      <c r="FE117" s="5" t="str">
        <f t="shared" si="932"/>
        <v/>
      </c>
      <c r="FF117" s="7" t="str">
        <f t="shared" si="806"/>
        <v/>
      </c>
      <c r="FG117" s="173" t="str">
        <f t="shared" si="933"/>
        <v/>
      </c>
      <c r="FH117" s="5" t="str">
        <f t="shared" si="934"/>
        <v/>
      </c>
      <c r="FI117" s="10" t="str">
        <f t="shared" si="935"/>
        <v/>
      </c>
      <c r="FJ117" s="279" t="str">
        <f t="shared" si="807"/>
        <v/>
      </c>
      <c r="FK117" s="4" t="str">
        <f t="shared" si="936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7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8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39"/>
        <v/>
      </c>
      <c r="GH117" s="286" t="str">
        <f t="shared" si="940"/>
        <v/>
      </c>
      <c r="GI117" s="281" t="str">
        <f t="shared" si="941"/>
        <v/>
      </c>
      <c r="GJ117" s="167" t="str">
        <f t="shared" si="823"/>
        <v/>
      </c>
      <c r="GK117" s="174" t="str">
        <f t="shared" si="942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3"/>
        <v/>
      </c>
      <c r="GT117" s="343" t="str">
        <f t="shared" si="944"/>
        <v/>
      </c>
      <c r="GU117" s="344" t="str">
        <f t="shared" si="945"/>
        <v/>
      </c>
      <c r="GV117" s="343" t="str">
        <f t="shared" si="831"/>
        <v/>
      </c>
      <c r="GW117" s="345" t="str">
        <f t="shared" si="946"/>
        <v/>
      </c>
      <c r="GX117" s="346" t="str">
        <f t="shared" si="947"/>
        <v/>
      </c>
      <c r="GY117" s="344" t="str">
        <f t="shared" si="948"/>
        <v/>
      </c>
      <c r="GZ117" s="345" t="str">
        <f t="shared" si="949"/>
        <v/>
      </c>
      <c r="HA117" s="342" t="str">
        <f t="shared" si="950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1"/>
        <v/>
      </c>
      <c r="HF117" s="5" t="str">
        <f t="shared" si="952"/>
        <v/>
      </c>
      <c r="HG117" s="343" t="str">
        <f t="shared" si="835"/>
        <v/>
      </c>
      <c r="HH117" s="349" t="str">
        <f t="shared" si="836"/>
        <v/>
      </c>
      <c r="HI117" s="317" t="str">
        <f t="shared" si="953"/>
        <v/>
      </c>
      <c r="HK117" s="310" t="str">
        <f t="shared" si="1006"/>
        <v/>
      </c>
      <c r="HL117" s="348" t="str">
        <f t="shared" si="954"/>
        <v/>
      </c>
      <c r="HM117" s="923" t="str">
        <f t="shared" si="955"/>
        <v/>
      </c>
      <c r="HN117" s="924" t="str">
        <f t="shared" si="956"/>
        <v/>
      </c>
      <c r="HO117" s="925"/>
      <c r="HP117" s="926"/>
      <c r="HQ117" s="924" t="str">
        <f t="shared" si="957"/>
        <v/>
      </c>
      <c r="HR117" s="927" t="str">
        <f t="shared" si="958"/>
        <v/>
      </c>
      <c r="HS117" s="879" t="str">
        <f t="shared" si="1007"/>
        <v/>
      </c>
      <c r="HT117" s="889" t="str">
        <f t="shared" si="959"/>
        <v/>
      </c>
      <c r="HU117" s="890" t="str">
        <f t="shared" si="960"/>
        <v/>
      </c>
      <c r="HV117" s="886" t="str">
        <f t="shared" si="961"/>
        <v/>
      </c>
      <c r="HW117" s="880" t="str">
        <f t="shared" si="962"/>
        <v/>
      </c>
      <c r="HX117" s="881" t="str">
        <f t="shared" si="963"/>
        <v/>
      </c>
      <c r="HY117" s="880" t="str">
        <f t="shared" si="964"/>
        <v/>
      </c>
      <c r="HZ117" s="882" t="str">
        <f t="shared" si="965"/>
        <v/>
      </c>
      <c r="IA117" s="883" t="str">
        <f t="shared" si="966"/>
        <v/>
      </c>
      <c r="IB117" s="884" t="str">
        <f t="shared" si="967"/>
        <v/>
      </c>
      <c r="IC117" s="855" t="str">
        <f t="shared" si="968"/>
        <v/>
      </c>
      <c r="ID117" s="351" t="str">
        <f t="shared" si="969"/>
        <v/>
      </c>
      <c r="IE117" s="857" t="str">
        <f t="shared" si="970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1"/>
        <v/>
      </c>
      <c r="IM117" s="482" t="str">
        <f t="shared" si="838"/>
        <v/>
      </c>
      <c r="IN117" s="670" t="str">
        <f t="shared" si="972"/>
        <v/>
      </c>
      <c r="IO117" s="702"/>
      <c r="IP117" s="5" t="str">
        <f t="shared" si="973"/>
        <v/>
      </c>
      <c r="IQ117" s="714"/>
      <c r="IR117" s="9" t="str">
        <f t="shared" si="974"/>
        <v/>
      </c>
      <c r="IS117" s="5" t="str">
        <f t="shared" si="975"/>
        <v/>
      </c>
      <c r="IT117" s="5" t="str">
        <f t="shared" si="976"/>
        <v/>
      </c>
      <c r="IU117" s="5" t="str">
        <f t="shared" si="977"/>
        <v/>
      </c>
      <c r="IV117" s="670" t="str">
        <f t="shared" si="978"/>
        <v/>
      </c>
      <c r="IW117" s="9" t="str">
        <f t="shared" si="979"/>
        <v/>
      </c>
      <c r="IX117" s="5" t="str">
        <f t="shared" si="980"/>
        <v/>
      </c>
      <c r="IY117" s="5" t="str">
        <f t="shared" si="981"/>
        <v/>
      </c>
      <c r="IZ117" s="5" t="str">
        <f t="shared" si="982"/>
        <v/>
      </c>
      <c r="JA117" s="705" t="str">
        <f t="shared" si="983"/>
        <v/>
      </c>
    </row>
    <row r="118" spans="1:261" ht="15" customHeight="1" x14ac:dyDescent="0.25">
      <c r="A118" s="75" t="str">
        <f t="shared" si="708"/>
        <v/>
      </c>
      <c r="B118" s="578" t="str">
        <f t="shared" ref="B118:D118" si="1033">IFERROR(O273-($A118*E118),"")</f>
        <v/>
      </c>
      <c r="C118" s="572" t="str">
        <f t="shared" si="1033"/>
        <v/>
      </c>
      <c r="D118" s="576" t="str">
        <f t="shared" si="1033"/>
        <v/>
      </c>
      <c r="E118" s="580" t="str">
        <f t="shared" ref="E118:K118" si="1034">R273</f>
        <v/>
      </c>
      <c r="F118" s="572" t="str">
        <f t="shared" si="1034"/>
        <v/>
      </c>
      <c r="G118" s="579" t="str">
        <f t="shared" si="1034"/>
        <v/>
      </c>
      <c r="H118" s="580" t="str">
        <f t="shared" si="1034"/>
        <v/>
      </c>
      <c r="I118" s="572" t="str">
        <f t="shared" si="1034"/>
        <v/>
      </c>
      <c r="J118" s="483" t="str">
        <f t="shared" si="711"/>
        <v/>
      </c>
      <c r="K118" s="806" t="str">
        <f t="shared" si="1034"/>
        <v/>
      </c>
      <c r="L118" s="309"/>
      <c r="M118" s="164" t="str">
        <f t="shared" si="901"/>
        <v/>
      </c>
      <c r="N118" s="575" t="str">
        <f t="shared" si="902"/>
        <v/>
      </c>
      <c r="O118" s="572" t="str">
        <f t="shared" si="903"/>
        <v/>
      </c>
      <c r="P118" s="576" t="str">
        <f t="shared" si="904"/>
        <v/>
      </c>
      <c r="Q118" s="528" t="str">
        <f t="shared" si="712"/>
        <v/>
      </c>
      <c r="R118" s="572" t="str">
        <f t="shared" si="986"/>
        <v/>
      </c>
      <c r="S118" s="577" t="str">
        <f t="shared" si="987"/>
        <v/>
      </c>
      <c r="T118" s="578" t="str">
        <f t="shared" si="988"/>
        <v/>
      </c>
      <c r="U118" s="572" t="str">
        <f t="shared" si="989"/>
        <v/>
      </c>
      <c r="V118" s="579" t="str">
        <f t="shared" si="990"/>
        <v/>
      </c>
      <c r="W118" s="528" t="str">
        <f t="shared" si="848"/>
        <v/>
      </c>
      <c r="X118" s="572" t="str">
        <f t="shared" si="991"/>
        <v/>
      </c>
      <c r="Y118" s="573" t="str">
        <f t="shared" si="841"/>
        <v/>
      </c>
      <c r="Z118" s="575" t="str">
        <f t="shared" si="905"/>
        <v/>
      </c>
      <c r="AA118" s="572" t="str">
        <f t="shared" si="906"/>
        <v/>
      </c>
      <c r="AB118" s="572" t="str">
        <f t="shared" si="907"/>
        <v/>
      </c>
      <c r="AC118" s="579" t="str">
        <f t="shared" si="992"/>
        <v/>
      </c>
      <c r="AD118" s="580" t="str">
        <f t="shared" si="993"/>
        <v/>
      </c>
      <c r="AE118" s="572" t="str">
        <f t="shared" si="994"/>
        <v/>
      </c>
      <c r="AF118" s="576" t="str">
        <f t="shared" si="995"/>
        <v/>
      </c>
      <c r="AG118" s="545" t="str">
        <f t="shared" si="996"/>
        <v/>
      </c>
      <c r="AH118" s="546" t="str">
        <f t="shared" si="997"/>
        <v/>
      </c>
      <c r="AI118" s="528" t="str">
        <f t="shared" si="998"/>
        <v/>
      </c>
      <c r="AJ118" s="529" t="str">
        <f t="shared" si="999"/>
        <v/>
      </c>
      <c r="AK118" s="578" t="str">
        <f t="shared" si="1000"/>
        <v/>
      </c>
      <c r="AL118" s="572" t="str">
        <f t="shared" si="1001"/>
        <v/>
      </c>
      <c r="AM118" s="577" t="str">
        <f t="shared" si="1002"/>
        <v/>
      </c>
      <c r="AN118" s="524" t="str">
        <f t="shared" si="1003"/>
        <v/>
      </c>
      <c r="AO118" s="525" t="str">
        <f t="shared" si="590"/>
        <v/>
      </c>
      <c r="AP118" s="528" t="str">
        <f t="shared" si="1004"/>
        <v/>
      </c>
      <c r="AQ118" s="529" t="str">
        <f t="shared" si="908"/>
        <v/>
      </c>
      <c r="AS118" s="954" t="str">
        <f t="shared" si="1010"/>
        <v/>
      </c>
      <c r="AT118" s="950" t="str">
        <f t="shared" si="909"/>
        <v/>
      </c>
      <c r="AU118" s="418"/>
      <c r="AV118" s="164" t="str">
        <f t="shared" si="910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1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2"/>
        <v/>
      </c>
      <c r="BF118" s="4" t="str">
        <f t="shared" si="913"/>
        <v/>
      </c>
      <c r="BG118" s="5" t="str">
        <f t="shared" si="914"/>
        <v/>
      </c>
      <c r="BH118" s="10" t="str">
        <f t="shared" si="915"/>
        <v/>
      </c>
      <c r="BI118" s="9" t="str">
        <f t="shared" si="739"/>
        <v/>
      </c>
      <c r="BJ118" s="5" t="str">
        <f t="shared" si="916"/>
        <v/>
      </c>
      <c r="BK118" s="8" t="str">
        <f t="shared" si="917"/>
        <v/>
      </c>
      <c r="BL118" s="173" t="str">
        <f t="shared" si="918"/>
        <v/>
      </c>
      <c r="BM118" s="5" t="str">
        <f t="shared" si="919"/>
        <v/>
      </c>
      <c r="BN118" s="6" t="str">
        <f t="shared" si="920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5"/>
        <v/>
      </c>
      <c r="BT118" s="5" t="str">
        <f t="shared" si="1005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1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1"/>
        <v/>
      </c>
      <c r="DC118" s="5" t="str">
        <f t="shared" si="1011"/>
        <v/>
      </c>
      <c r="DD118" s="10" t="str">
        <f t="shared" si="764"/>
        <v/>
      </c>
      <c r="DE118" s="9" t="str">
        <f t="shared" si="1012"/>
        <v/>
      </c>
      <c r="DF118" s="5" t="str">
        <f t="shared" si="1012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2"/>
        <v/>
      </c>
      <c r="ET118" s="5" t="str">
        <f t="shared" si="923"/>
        <v/>
      </c>
      <c r="EU118" s="10" t="str">
        <f t="shared" si="924"/>
        <v/>
      </c>
      <c r="EV118" s="174" t="str">
        <f t="shared" si="925"/>
        <v/>
      </c>
      <c r="EW118" s="9" t="str">
        <f t="shared" si="926"/>
        <v/>
      </c>
      <c r="EX118" s="5" t="str">
        <f t="shared" si="927"/>
        <v/>
      </c>
      <c r="EY118" s="6" t="str">
        <f t="shared" si="804"/>
        <v/>
      </c>
      <c r="EZ118" s="51" t="str">
        <f t="shared" si="805"/>
        <v/>
      </c>
      <c r="FA118" s="173" t="str">
        <f t="shared" si="928"/>
        <v/>
      </c>
      <c r="FB118" s="5" t="str">
        <f t="shared" si="929"/>
        <v/>
      </c>
      <c r="FC118" s="6" t="str">
        <f t="shared" si="930"/>
        <v/>
      </c>
      <c r="FD118" s="4" t="str">
        <f t="shared" si="931"/>
        <v/>
      </c>
      <c r="FE118" s="5" t="str">
        <f t="shared" si="932"/>
        <v/>
      </c>
      <c r="FF118" s="7" t="str">
        <f t="shared" si="806"/>
        <v/>
      </c>
      <c r="FG118" s="173" t="str">
        <f t="shared" si="933"/>
        <v/>
      </c>
      <c r="FH118" s="5" t="str">
        <f t="shared" si="934"/>
        <v/>
      </c>
      <c r="FI118" s="10" t="str">
        <f t="shared" si="935"/>
        <v/>
      </c>
      <c r="FJ118" s="279" t="str">
        <f t="shared" si="807"/>
        <v/>
      </c>
      <c r="FK118" s="4" t="str">
        <f t="shared" si="936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7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8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39"/>
        <v/>
      </c>
      <c r="GH118" s="286" t="str">
        <f t="shared" si="940"/>
        <v/>
      </c>
      <c r="GI118" s="281" t="str">
        <f t="shared" si="941"/>
        <v/>
      </c>
      <c r="GJ118" s="167" t="str">
        <f t="shared" si="823"/>
        <v/>
      </c>
      <c r="GK118" s="174" t="str">
        <f t="shared" si="942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3"/>
        <v/>
      </c>
      <c r="GT118" s="343" t="str">
        <f t="shared" si="944"/>
        <v/>
      </c>
      <c r="GU118" s="344" t="str">
        <f t="shared" si="945"/>
        <v/>
      </c>
      <c r="GV118" s="343" t="str">
        <f t="shared" si="831"/>
        <v/>
      </c>
      <c r="GW118" s="345" t="str">
        <f t="shared" si="946"/>
        <v/>
      </c>
      <c r="GX118" s="346" t="str">
        <f t="shared" si="947"/>
        <v/>
      </c>
      <c r="GY118" s="344" t="str">
        <f t="shared" si="948"/>
        <v/>
      </c>
      <c r="GZ118" s="345" t="str">
        <f t="shared" si="949"/>
        <v/>
      </c>
      <c r="HA118" s="342" t="str">
        <f t="shared" si="950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1"/>
        <v/>
      </c>
      <c r="HF118" s="5" t="str">
        <f t="shared" si="952"/>
        <v/>
      </c>
      <c r="HG118" s="343" t="str">
        <f t="shared" si="835"/>
        <v/>
      </c>
      <c r="HH118" s="349" t="str">
        <f t="shared" si="836"/>
        <v/>
      </c>
      <c r="HI118" s="317" t="str">
        <f t="shared" si="953"/>
        <v/>
      </c>
      <c r="HK118" s="310" t="str">
        <f t="shared" si="1006"/>
        <v/>
      </c>
      <c r="HL118" s="348" t="str">
        <f t="shared" si="954"/>
        <v/>
      </c>
      <c r="HM118" s="923" t="str">
        <f t="shared" si="955"/>
        <v/>
      </c>
      <c r="HN118" s="924" t="str">
        <f t="shared" si="956"/>
        <v/>
      </c>
      <c r="HO118" s="925"/>
      <c r="HP118" s="926"/>
      <c r="HQ118" s="924" t="str">
        <f t="shared" si="957"/>
        <v/>
      </c>
      <c r="HR118" s="927" t="str">
        <f t="shared" si="958"/>
        <v/>
      </c>
      <c r="HS118" s="879" t="str">
        <f t="shared" si="1007"/>
        <v/>
      </c>
      <c r="HT118" s="889" t="str">
        <f t="shared" si="959"/>
        <v/>
      </c>
      <c r="HU118" s="890" t="str">
        <f t="shared" si="960"/>
        <v/>
      </c>
      <c r="HV118" s="886" t="str">
        <f t="shared" si="961"/>
        <v/>
      </c>
      <c r="HW118" s="880" t="str">
        <f t="shared" si="962"/>
        <v/>
      </c>
      <c r="HX118" s="881" t="str">
        <f t="shared" si="963"/>
        <v/>
      </c>
      <c r="HY118" s="880" t="str">
        <f t="shared" si="964"/>
        <v/>
      </c>
      <c r="HZ118" s="882" t="str">
        <f t="shared" si="965"/>
        <v/>
      </c>
      <c r="IA118" s="883" t="str">
        <f t="shared" si="966"/>
        <v/>
      </c>
      <c r="IB118" s="884" t="str">
        <f t="shared" si="967"/>
        <v/>
      </c>
      <c r="IC118" s="855" t="str">
        <f t="shared" si="968"/>
        <v/>
      </c>
      <c r="ID118" s="351" t="str">
        <f t="shared" si="969"/>
        <v/>
      </c>
      <c r="IE118" s="857" t="str">
        <f t="shared" si="970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1"/>
        <v/>
      </c>
      <c r="IM118" s="482" t="str">
        <f t="shared" si="838"/>
        <v/>
      </c>
      <c r="IN118" s="670" t="str">
        <f t="shared" si="972"/>
        <v/>
      </c>
      <c r="IO118" s="702"/>
      <c r="IP118" s="5" t="str">
        <f t="shared" si="973"/>
        <v/>
      </c>
      <c r="IQ118" s="714"/>
      <c r="IR118" s="9" t="str">
        <f t="shared" si="974"/>
        <v/>
      </c>
      <c r="IS118" s="5" t="str">
        <f t="shared" si="975"/>
        <v/>
      </c>
      <c r="IT118" s="5" t="str">
        <f t="shared" si="976"/>
        <v/>
      </c>
      <c r="IU118" s="5" t="str">
        <f t="shared" si="977"/>
        <v/>
      </c>
      <c r="IV118" s="670" t="str">
        <f t="shared" si="978"/>
        <v/>
      </c>
      <c r="IW118" s="9" t="str">
        <f t="shared" si="979"/>
        <v/>
      </c>
      <c r="IX118" s="5" t="str">
        <f t="shared" si="980"/>
        <v/>
      </c>
      <c r="IY118" s="5" t="str">
        <f t="shared" si="981"/>
        <v/>
      </c>
      <c r="IZ118" s="5" t="str">
        <f t="shared" si="982"/>
        <v/>
      </c>
      <c r="JA118" s="705" t="str">
        <f t="shared" si="983"/>
        <v/>
      </c>
    </row>
    <row r="119" spans="1:261" ht="15" customHeight="1" x14ac:dyDescent="0.25">
      <c r="A119" s="75" t="str">
        <f t="shared" si="708"/>
        <v/>
      </c>
      <c r="B119" s="578" t="str">
        <f t="shared" ref="B119:D119" si="1035">IFERROR(O274-($A119*E119),"")</f>
        <v/>
      </c>
      <c r="C119" s="572" t="str">
        <f t="shared" si="1035"/>
        <v/>
      </c>
      <c r="D119" s="576" t="str">
        <f t="shared" si="1035"/>
        <v/>
      </c>
      <c r="E119" s="580" t="str">
        <f t="shared" ref="E119:K119" si="1036">R274</f>
        <v/>
      </c>
      <c r="F119" s="572" t="str">
        <f t="shared" si="1036"/>
        <v/>
      </c>
      <c r="G119" s="579" t="str">
        <f t="shared" si="1036"/>
        <v/>
      </c>
      <c r="H119" s="580" t="str">
        <f t="shared" si="1036"/>
        <v/>
      </c>
      <c r="I119" s="572" t="str">
        <f t="shared" si="1036"/>
        <v/>
      </c>
      <c r="J119" s="483" t="str">
        <f t="shared" si="711"/>
        <v/>
      </c>
      <c r="K119" s="806" t="str">
        <f t="shared" si="1036"/>
        <v/>
      </c>
      <c r="L119" s="309"/>
      <c r="M119" s="164" t="str">
        <f t="shared" si="901"/>
        <v/>
      </c>
      <c r="N119" s="575" t="str">
        <f t="shared" si="902"/>
        <v/>
      </c>
      <c r="O119" s="572" t="str">
        <f t="shared" si="903"/>
        <v/>
      </c>
      <c r="P119" s="576" t="str">
        <f t="shared" si="904"/>
        <v/>
      </c>
      <c r="Q119" s="528" t="str">
        <f t="shared" si="712"/>
        <v/>
      </c>
      <c r="R119" s="572" t="str">
        <f t="shared" si="986"/>
        <v/>
      </c>
      <c r="S119" s="577" t="str">
        <f t="shared" si="987"/>
        <v/>
      </c>
      <c r="T119" s="578" t="str">
        <f t="shared" si="988"/>
        <v/>
      </c>
      <c r="U119" s="572" t="str">
        <f t="shared" si="989"/>
        <v/>
      </c>
      <c r="V119" s="579" t="str">
        <f t="shared" si="990"/>
        <v/>
      </c>
      <c r="W119" s="528" t="str">
        <f t="shared" si="848"/>
        <v/>
      </c>
      <c r="X119" s="572" t="str">
        <f t="shared" si="991"/>
        <v/>
      </c>
      <c r="Y119" s="573" t="str">
        <f t="shared" si="841"/>
        <v/>
      </c>
      <c r="Z119" s="575" t="str">
        <f t="shared" si="905"/>
        <v/>
      </c>
      <c r="AA119" s="572" t="str">
        <f t="shared" si="906"/>
        <v/>
      </c>
      <c r="AB119" s="572" t="str">
        <f t="shared" si="907"/>
        <v/>
      </c>
      <c r="AC119" s="579" t="str">
        <f t="shared" si="992"/>
        <v/>
      </c>
      <c r="AD119" s="580" t="str">
        <f t="shared" si="993"/>
        <v/>
      </c>
      <c r="AE119" s="572" t="str">
        <f t="shared" si="994"/>
        <v/>
      </c>
      <c r="AF119" s="576" t="str">
        <f t="shared" si="995"/>
        <v/>
      </c>
      <c r="AG119" s="545" t="str">
        <f t="shared" si="996"/>
        <v/>
      </c>
      <c r="AH119" s="546" t="str">
        <f t="shared" si="997"/>
        <v/>
      </c>
      <c r="AI119" s="528" t="str">
        <f t="shared" si="998"/>
        <v/>
      </c>
      <c r="AJ119" s="529" t="str">
        <f t="shared" si="999"/>
        <v/>
      </c>
      <c r="AK119" s="578" t="str">
        <f t="shared" si="1000"/>
        <v/>
      </c>
      <c r="AL119" s="572" t="str">
        <f t="shared" si="1001"/>
        <v/>
      </c>
      <c r="AM119" s="577" t="str">
        <f t="shared" si="1002"/>
        <v/>
      </c>
      <c r="AN119" s="524" t="str">
        <f t="shared" si="1003"/>
        <v/>
      </c>
      <c r="AO119" s="525" t="str">
        <f t="shared" si="590"/>
        <v/>
      </c>
      <c r="AP119" s="528" t="str">
        <f t="shared" si="1004"/>
        <v/>
      </c>
      <c r="AQ119" s="529" t="str">
        <f t="shared" si="908"/>
        <v/>
      </c>
      <c r="AS119" s="954" t="str">
        <f t="shared" si="1010"/>
        <v/>
      </c>
      <c r="AT119" s="950" t="str">
        <f t="shared" si="909"/>
        <v/>
      </c>
      <c r="AU119" s="418"/>
      <c r="AV119" s="164" t="str">
        <f t="shared" si="910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1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2"/>
        <v/>
      </c>
      <c r="BF119" s="4" t="str">
        <f t="shared" si="913"/>
        <v/>
      </c>
      <c r="BG119" s="5" t="str">
        <f t="shared" si="914"/>
        <v/>
      </c>
      <c r="BH119" s="10" t="str">
        <f t="shared" si="915"/>
        <v/>
      </c>
      <c r="BI119" s="9" t="str">
        <f t="shared" si="739"/>
        <v/>
      </c>
      <c r="BJ119" s="5" t="str">
        <f t="shared" si="916"/>
        <v/>
      </c>
      <c r="BK119" s="8" t="str">
        <f t="shared" si="917"/>
        <v/>
      </c>
      <c r="BL119" s="173" t="str">
        <f t="shared" si="918"/>
        <v/>
      </c>
      <c r="BM119" s="5" t="str">
        <f t="shared" si="919"/>
        <v/>
      </c>
      <c r="BN119" s="6" t="str">
        <f t="shared" si="920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5"/>
        <v/>
      </c>
      <c r="BT119" s="5" t="str">
        <f t="shared" si="1005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1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1"/>
        <v/>
      </c>
      <c r="DC119" s="5" t="str">
        <f t="shared" si="1011"/>
        <v/>
      </c>
      <c r="DD119" s="10" t="str">
        <f t="shared" si="764"/>
        <v/>
      </c>
      <c r="DE119" s="9" t="str">
        <f t="shared" si="1012"/>
        <v/>
      </c>
      <c r="DF119" s="5" t="str">
        <f t="shared" si="1012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2"/>
        <v/>
      </c>
      <c r="ET119" s="5" t="str">
        <f t="shared" si="923"/>
        <v/>
      </c>
      <c r="EU119" s="10" t="str">
        <f t="shared" si="924"/>
        <v/>
      </c>
      <c r="EV119" s="174" t="str">
        <f t="shared" si="925"/>
        <v/>
      </c>
      <c r="EW119" s="9" t="str">
        <f t="shared" si="926"/>
        <v/>
      </c>
      <c r="EX119" s="5" t="str">
        <f t="shared" si="927"/>
        <v/>
      </c>
      <c r="EY119" s="6" t="str">
        <f t="shared" si="804"/>
        <v/>
      </c>
      <c r="EZ119" s="51" t="str">
        <f t="shared" si="805"/>
        <v/>
      </c>
      <c r="FA119" s="173" t="str">
        <f t="shared" si="928"/>
        <v/>
      </c>
      <c r="FB119" s="5" t="str">
        <f t="shared" si="929"/>
        <v/>
      </c>
      <c r="FC119" s="6" t="str">
        <f t="shared" si="930"/>
        <v/>
      </c>
      <c r="FD119" s="4" t="str">
        <f t="shared" si="931"/>
        <v/>
      </c>
      <c r="FE119" s="5" t="str">
        <f t="shared" si="932"/>
        <v/>
      </c>
      <c r="FF119" s="7" t="str">
        <f t="shared" si="806"/>
        <v/>
      </c>
      <c r="FG119" s="173" t="str">
        <f t="shared" si="933"/>
        <v/>
      </c>
      <c r="FH119" s="5" t="str">
        <f t="shared" si="934"/>
        <v/>
      </c>
      <c r="FI119" s="10" t="str">
        <f t="shared" si="935"/>
        <v/>
      </c>
      <c r="FJ119" s="279" t="str">
        <f t="shared" si="807"/>
        <v/>
      </c>
      <c r="FK119" s="4" t="str">
        <f t="shared" si="936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7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8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39"/>
        <v/>
      </c>
      <c r="GH119" s="286" t="str">
        <f t="shared" si="940"/>
        <v/>
      </c>
      <c r="GI119" s="281" t="str">
        <f t="shared" si="941"/>
        <v/>
      </c>
      <c r="GJ119" s="167" t="str">
        <f t="shared" si="823"/>
        <v/>
      </c>
      <c r="GK119" s="174" t="str">
        <f t="shared" si="942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3"/>
        <v/>
      </c>
      <c r="GT119" s="343" t="str">
        <f t="shared" si="944"/>
        <v/>
      </c>
      <c r="GU119" s="344" t="str">
        <f t="shared" si="945"/>
        <v/>
      </c>
      <c r="GV119" s="343" t="str">
        <f t="shared" si="831"/>
        <v/>
      </c>
      <c r="GW119" s="345" t="str">
        <f t="shared" si="946"/>
        <v/>
      </c>
      <c r="GX119" s="346" t="str">
        <f t="shared" si="947"/>
        <v/>
      </c>
      <c r="GY119" s="344" t="str">
        <f t="shared" si="948"/>
        <v/>
      </c>
      <c r="GZ119" s="345" t="str">
        <f t="shared" si="949"/>
        <v/>
      </c>
      <c r="HA119" s="342" t="str">
        <f t="shared" si="950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1"/>
        <v/>
      </c>
      <c r="HF119" s="5" t="str">
        <f t="shared" si="952"/>
        <v/>
      </c>
      <c r="HG119" s="343" t="str">
        <f t="shared" si="835"/>
        <v/>
      </c>
      <c r="HH119" s="349" t="str">
        <f t="shared" si="836"/>
        <v/>
      </c>
      <c r="HI119" s="317" t="str">
        <f t="shared" si="953"/>
        <v/>
      </c>
      <c r="HK119" s="310" t="str">
        <f t="shared" si="1006"/>
        <v/>
      </c>
      <c r="HL119" s="348" t="str">
        <f t="shared" si="954"/>
        <v/>
      </c>
      <c r="HM119" s="923" t="str">
        <f t="shared" si="955"/>
        <v/>
      </c>
      <c r="HN119" s="924" t="str">
        <f t="shared" si="956"/>
        <v/>
      </c>
      <c r="HO119" s="925"/>
      <c r="HP119" s="926"/>
      <c r="HQ119" s="924" t="str">
        <f t="shared" si="957"/>
        <v/>
      </c>
      <c r="HR119" s="927" t="str">
        <f t="shared" si="958"/>
        <v/>
      </c>
      <c r="HS119" s="879" t="str">
        <f t="shared" si="1007"/>
        <v/>
      </c>
      <c r="HT119" s="889" t="str">
        <f t="shared" si="959"/>
        <v/>
      </c>
      <c r="HU119" s="890" t="str">
        <f t="shared" si="960"/>
        <v/>
      </c>
      <c r="HV119" s="886" t="str">
        <f t="shared" si="961"/>
        <v/>
      </c>
      <c r="HW119" s="880" t="str">
        <f t="shared" si="962"/>
        <v/>
      </c>
      <c r="HX119" s="881" t="str">
        <f t="shared" si="963"/>
        <v/>
      </c>
      <c r="HY119" s="880" t="str">
        <f t="shared" si="964"/>
        <v/>
      </c>
      <c r="HZ119" s="882" t="str">
        <f t="shared" si="965"/>
        <v/>
      </c>
      <c r="IA119" s="883" t="str">
        <f t="shared" si="966"/>
        <v/>
      </c>
      <c r="IB119" s="884" t="str">
        <f t="shared" si="967"/>
        <v/>
      </c>
      <c r="IC119" s="855" t="str">
        <f t="shared" si="968"/>
        <v/>
      </c>
      <c r="ID119" s="351" t="str">
        <f t="shared" si="969"/>
        <v/>
      </c>
      <c r="IE119" s="857" t="str">
        <f t="shared" si="970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1"/>
        <v/>
      </c>
      <c r="IM119" s="482" t="str">
        <f t="shared" si="838"/>
        <v/>
      </c>
      <c r="IN119" s="670" t="str">
        <f t="shared" si="972"/>
        <v/>
      </c>
      <c r="IO119" s="702"/>
      <c r="IP119" s="5" t="str">
        <f t="shared" si="973"/>
        <v/>
      </c>
      <c r="IQ119" s="714"/>
      <c r="IR119" s="9" t="str">
        <f t="shared" si="974"/>
        <v/>
      </c>
      <c r="IS119" s="5" t="str">
        <f t="shared" si="975"/>
        <v/>
      </c>
      <c r="IT119" s="5" t="str">
        <f t="shared" si="976"/>
        <v/>
      </c>
      <c r="IU119" s="5" t="str">
        <f t="shared" si="977"/>
        <v/>
      </c>
      <c r="IV119" s="670" t="str">
        <f t="shared" si="978"/>
        <v/>
      </c>
      <c r="IW119" s="9" t="str">
        <f t="shared" si="979"/>
        <v/>
      </c>
      <c r="IX119" s="5" t="str">
        <f t="shared" si="980"/>
        <v/>
      </c>
      <c r="IY119" s="5" t="str">
        <f t="shared" si="981"/>
        <v/>
      </c>
      <c r="IZ119" s="5" t="str">
        <f t="shared" si="982"/>
        <v/>
      </c>
      <c r="JA119" s="705" t="str">
        <f t="shared" si="983"/>
        <v/>
      </c>
    </row>
    <row r="120" spans="1:261" ht="15" customHeight="1" x14ac:dyDescent="0.25">
      <c r="A120" s="75" t="str">
        <f t="shared" si="708"/>
        <v/>
      </c>
      <c r="B120" s="578" t="str">
        <f t="shared" ref="B120:D120" si="1037">IFERROR(O275-($A120*E120),"")</f>
        <v/>
      </c>
      <c r="C120" s="572" t="str">
        <f t="shared" si="1037"/>
        <v/>
      </c>
      <c r="D120" s="576" t="str">
        <f t="shared" si="1037"/>
        <v/>
      </c>
      <c r="E120" s="580" t="str">
        <f t="shared" ref="E120:K120" si="1038">R275</f>
        <v/>
      </c>
      <c r="F120" s="572" t="str">
        <f t="shared" si="1038"/>
        <v/>
      </c>
      <c r="G120" s="579" t="str">
        <f t="shared" si="1038"/>
        <v/>
      </c>
      <c r="H120" s="580" t="str">
        <f t="shared" si="1038"/>
        <v/>
      </c>
      <c r="I120" s="572" t="str">
        <f t="shared" si="1038"/>
        <v/>
      </c>
      <c r="J120" s="483" t="str">
        <f t="shared" si="711"/>
        <v/>
      </c>
      <c r="K120" s="806" t="str">
        <f t="shared" si="1038"/>
        <v/>
      </c>
      <c r="L120" s="309"/>
      <c r="M120" s="164" t="str">
        <f t="shared" si="901"/>
        <v/>
      </c>
      <c r="N120" s="575" t="str">
        <f t="shared" si="902"/>
        <v/>
      </c>
      <c r="O120" s="572" t="str">
        <f t="shared" si="903"/>
        <v/>
      </c>
      <c r="P120" s="576" t="str">
        <f t="shared" si="904"/>
        <v/>
      </c>
      <c r="Q120" s="528" t="str">
        <f t="shared" si="712"/>
        <v/>
      </c>
      <c r="R120" s="572" t="str">
        <f t="shared" si="986"/>
        <v/>
      </c>
      <c r="S120" s="577" t="str">
        <f t="shared" si="987"/>
        <v/>
      </c>
      <c r="T120" s="578" t="str">
        <f t="shared" si="988"/>
        <v/>
      </c>
      <c r="U120" s="572" t="str">
        <f t="shared" si="989"/>
        <v/>
      </c>
      <c r="V120" s="579" t="str">
        <f t="shared" si="990"/>
        <v/>
      </c>
      <c r="W120" s="528" t="str">
        <f t="shared" si="848"/>
        <v/>
      </c>
      <c r="X120" s="572" t="str">
        <f t="shared" si="991"/>
        <v/>
      </c>
      <c r="Y120" s="573" t="str">
        <f t="shared" si="841"/>
        <v/>
      </c>
      <c r="Z120" s="575" t="str">
        <f t="shared" si="905"/>
        <v/>
      </c>
      <c r="AA120" s="572" t="str">
        <f t="shared" si="906"/>
        <v/>
      </c>
      <c r="AB120" s="572" t="str">
        <f t="shared" si="907"/>
        <v/>
      </c>
      <c r="AC120" s="579" t="str">
        <f t="shared" si="992"/>
        <v/>
      </c>
      <c r="AD120" s="580" t="str">
        <f t="shared" si="993"/>
        <v/>
      </c>
      <c r="AE120" s="572" t="str">
        <f t="shared" si="994"/>
        <v/>
      </c>
      <c r="AF120" s="576" t="str">
        <f t="shared" si="995"/>
        <v/>
      </c>
      <c r="AG120" s="545" t="str">
        <f t="shared" si="996"/>
        <v/>
      </c>
      <c r="AH120" s="546" t="str">
        <f t="shared" si="997"/>
        <v/>
      </c>
      <c r="AI120" s="528" t="str">
        <f t="shared" si="998"/>
        <v/>
      </c>
      <c r="AJ120" s="529" t="str">
        <f t="shared" si="999"/>
        <v/>
      </c>
      <c r="AK120" s="578" t="str">
        <f t="shared" si="1000"/>
        <v/>
      </c>
      <c r="AL120" s="572" t="str">
        <f t="shared" si="1001"/>
        <v/>
      </c>
      <c r="AM120" s="577" t="str">
        <f t="shared" si="1002"/>
        <v/>
      </c>
      <c r="AN120" s="524" t="str">
        <f t="shared" si="1003"/>
        <v/>
      </c>
      <c r="AO120" s="525" t="str">
        <f t="shared" ref="AO120:AO150" si="1039">IF(ROUND(IF(M120="",0,DEGREES(ACOS(AK120))),4)=90,0,IF(M120="","",DEGREES(ACOS(AK120))))</f>
        <v/>
      </c>
      <c r="AP120" s="528" t="str">
        <f t="shared" si="1004"/>
        <v/>
      </c>
      <c r="AQ120" s="529" t="str">
        <f t="shared" si="908"/>
        <v/>
      </c>
      <c r="AS120" s="954" t="str">
        <f t="shared" si="1010"/>
        <v/>
      </c>
      <c r="AT120" s="950" t="str">
        <f t="shared" si="909"/>
        <v/>
      </c>
      <c r="AU120" s="418"/>
      <c r="AV120" s="164" t="str">
        <f t="shared" si="910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1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2"/>
        <v/>
      </c>
      <c r="BF120" s="4" t="str">
        <f t="shared" si="913"/>
        <v/>
      </c>
      <c r="BG120" s="5" t="str">
        <f t="shared" si="914"/>
        <v/>
      </c>
      <c r="BH120" s="10" t="str">
        <f t="shared" si="915"/>
        <v/>
      </c>
      <c r="BI120" s="9" t="str">
        <f t="shared" si="739"/>
        <v/>
      </c>
      <c r="BJ120" s="5" t="str">
        <f t="shared" si="916"/>
        <v/>
      </c>
      <c r="BK120" s="8" t="str">
        <f t="shared" si="917"/>
        <v/>
      </c>
      <c r="BL120" s="173" t="str">
        <f t="shared" si="918"/>
        <v/>
      </c>
      <c r="BM120" s="5" t="str">
        <f t="shared" si="919"/>
        <v/>
      </c>
      <c r="BN120" s="6" t="str">
        <f t="shared" si="920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5"/>
        <v/>
      </c>
      <c r="BT120" s="5" t="str">
        <f t="shared" si="1005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1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1"/>
        <v/>
      </c>
      <c r="DC120" s="5" t="str">
        <f t="shared" si="1011"/>
        <v/>
      </c>
      <c r="DD120" s="10" t="str">
        <f t="shared" si="764"/>
        <v/>
      </c>
      <c r="DE120" s="9" t="str">
        <f t="shared" si="1012"/>
        <v/>
      </c>
      <c r="DF120" s="5" t="str">
        <f t="shared" si="1012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2"/>
        <v/>
      </c>
      <c r="ET120" s="5" t="str">
        <f t="shared" si="923"/>
        <v/>
      </c>
      <c r="EU120" s="10" t="str">
        <f t="shared" si="924"/>
        <v/>
      </c>
      <c r="EV120" s="174" t="str">
        <f t="shared" si="925"/>
        <v/>
      </c>
      <c r="EW120" s="9" t="str">
        <f t="shared" si="926"/>
        <v/>
      </c>
      <c r="EX120" s="5" t="str">
        <f t="shared" si="927"/>
        <v/>
      </c>
      <c r="EY120" s="6" t="str">
        <f t="shared" si="804"/>
        <v/>
      </c>
      <c r="EZ120" s="51" t="str">
        <f t="shared" si="805"/>
        <v/>
      </c>
      <c r="FA120" s="173" t="str">
        <f t="shared" si="928"/>
        <v/>
      </c>
      <c r="FB120" s="5" t="str">
        <f t="shared" si="929"/>
        <v/>
      </c>
      <c r="FC120" s="6" t="str">
        <f t="shared" si="930"/>
        <v/>
      </c>
      <c r="FD120" s="4" t="str">
        <f t="shared" si="931"/>
        <v/>
      </c>
      <c r="FE120" s="5" t="str">
        <f t="shared" si="932"/>
        <v/>
      </c>
      <c r="FF120" s="7" t="str">
        <f t="shared" si="806"/>
        <v/>
      </c>
      <c r="FG120" s="173" t="str">
        <f t="shared" si="933"/>
        <v/>
      </c>
      <c r="FH120" s="5" t="str">
        <f t="shared" si="934"/>
        <v/>
      </c>
      <c r="FI120" s="10" t="str">
        <f t="shared" si="935"/>
        <v/>
      </c>
      <c r="FJ120" s="279" t="str">
        <f t="shared" si="807"/>
        <v/>
      </c>
      <c r="FK120" s="4" t="str">
        <f t="shared" si="936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7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8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39"/>
        <v/>
      </c>
      <c r="GH120" s="286" t="str">
        <f t="shared" si="940"/>
        <v/>
      </c>
      <c r="GI120" s="281" t="str">
        <f t="shared" si="941"/>
        <v/>
      </c>
      <c r="GJ120" s="167" t="str">
        <f t="shared" si="823"/>
        <v/>
      </c>
      <c r="GK120" s="174" t="str">
        <f t="shared" si="942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3"/>
        <v/>
      </c>
      <c r="GT120" s="343" t="str">
        <f t="shared" si="944"/>
        <v/>
      </c>
      <c r="GU120" s="344" t="str">
        <f t="shared" si="945"/>
        <v/>
      </c>
      <c r="GV120" s="343" t="str">
        <f t="shared" si="831"/>
        <v/>
      </c>
      <c r="GW120" s="345" t="str">
        <f t="shared" si="946"/>
        <v/>
      </c>
      <c r="GX120" s="346" t="str">
        <f t="shared" si="947"/>
        <v/>
      </c>
      <c r="GY120" s="344" t="str">
        <f t="shared" si="948"/>
        <v/>
      </c>
      <c r="GZ120" s="345" t="str">
        <f t="shared" si="949"/>
        <v/>
      </c>
      <c r="HA120" s="342" t="str">
        <f t="shared" si="950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1"/>
        <v/>
      </c>
      <c r="HF120" s="5" t="str">
        <f t="shared" si="952"/>
        <v/>
      </c>
      <c r="HG120" s="343" t="str">
        <f t="shared" si="835"/>
        <v/>
      </c>
      <c r="HH120" s="349" t="str">
        <f t="shared" si="836"/>
        <v/>
      </c>
      <c r="HI120" s="317" t="str">
        <f t="shared" si="953"/>
        <v/>
      </c>
      <c r="HK120" s="310" t="str">
        <f t="shared" si="1006"/>
        <v/>
      </c>
      <c r="HL120" s="348" t="str">
        <f t="shared" si="954"/>
        <v/>
      </c>
      <c r="HM120" s="923" t="str">
        <f t="shared" si="955"/>
        <v/>
      </c>
      <c r="HN120" s="924" t="str">
        <f t="shared" si="956"/>
        <v/>
      </c>
      <c r="HO120" s="925"/>
      <c r="HP120" s="926"/>
      <c r="HQ120" s="924" t="str">
        <f t="shared" si="957"/>
        <v/>
      </c>
      <c r="HR120" s="927" t="str">
        <f t="shared" si="958"/>
        <v/>
      </c>
      <c r="HS120" s="879" t="str">
        <f t="shared" si="1007"/>
        <v/>
      </c>
      <c r="HT120" s="889" t="str">
        <f t="shared" si="959"/>
        <v/>
      </c>
      <c r="HU120" s="890" t="str">
        <f t="shared" si="960"/>
        <v/>
      </c>
      <c r="HV120" s="886" t="str">
        <f t="shared" si="961"/>
        <v/>
      </c>
      <c r="HW120" s="880" t="str">
        <f t="shared" si="962"/>
        <v/>
      </c>
      <c r="HX120" s="881" t="str">
        <f t="shared" si="963"/>
        <v/>
      </c>
      <c r="HY120" s="880" t="str">
        <f t="shared" si="964"/>
        <v/>
      </c>
      <c r="HZ120" s="882" t="str">
        <f t="shared" si="965"/>
        <v/>
      </c>
      <c r="IA120" s="883" t="str">
        <f t="shared" si="966"/>
        <v/>
      </c>
      <c r="IB120" s="884" t="str">
        <f t="shared" si="967"/>
        <v/>
      </c>
      <c r="IC120" s="855" t="str">
        <f t="shared" si="968"/>
        <v/>
      </c>
      <c r="ID120" s="351" t="str">
        <f t="shared" si="969"/>
        <v/>
      </c>
      <c r="IE120" s="857" t="str">
        <f t="shared" si="970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1"/>
        <v/>
      </c>
      <c r="IM120" s="482" t="str">
        <f t="shared" si="838"/>
        <v/>
      </c>
      <c r="IN120" s="670" t="str">
        <f t="shared" si="972"/>
        <v/>
      </c>
      <c r="IO120" s="702"/>
      <c r="IP120" s="5" t="str">
        <f t="shared" si="973"/>
        <v/>
      </c>
      <c r="IQ120" s="714"/>
      <c r="IR120" s="9" t="str">
        <f t="shared" si="974"/>
        <v/>
      </c>
      <c r="IS120" s="5" t="str">
        <f t="shared" si="975"/>
        <v/>
      </c>
      <c r="IT120" s="5" t="str">
        <f t="shared" si="976"/>
        <v/>
      </c>
      <c r="IU120" s="5" t="str">
        <f t="shared" si="977"/>
        <v/>
      </c>
      <c r="IV120" s="670" t="str">
        <f t="shared" si="978"/>
        <v/>
      </c>
      <c r="IW120" s="9" t="str">
        <f t="shared" si="979"/>
        <v/>
      </c>
      <c r="IX120" s="5" t="str">
        <f t="shared" si="980"/>
        <v/>
      </c>
      <c r="IY120" s="5" t="str">
        <f t="shared" si="981"/>
        <v/>
      </c>
      <c r="IZ120" s="5" t="str">
        <f t="shared" si="982"/>
        <v/>
      </c>
      <c r="JA120" s="705" t="str">
        <f t="shared" si="983"/>
        <v/>
      </c>
    </row>
    <row r="121" spans="1:261" ht="15" customHeight="1" x14ac:dyDescent="0.25">
      <c r="A121" s="75" t="str">
        <f t="shared" si="708"/>
        <v/>
      </c>
      <c r="B121" s="578" t="str">
        <f t="shared" ref="B121:D121" si="1040">IFERROR(O276-($A121*E121),"")</f>
        <v/>
      </c>
      <c r="C121" s="572" t="str">
        <f t="shared" si="1040"/>
        <v/>
      </c>
      <c r="D121" s="576" t="str">
        <f t="shared" si="1040"/>
        <v/>
      </c>
      <c r="E121" s="580" t="str">
        <f t="shared" ref="E121:K121" si="1041">R276</f>
        <v/>
      </c>
      <c r="F121" s="572" t="str">
        <f t="shared" si="1041"/>
        <v/>
      </c>
      <c r="G121" s="579" t="str">
        <f t="shared" si="1041"/>
        <v/>
      </c>
      <c r="H121" s="580" t="str">
        <f t="shared" si="1041"/>
        <v/>
      </c>
      <c r="I121" s="572" t="str">
        <f t="shared" si="1041"/>
        <v/>
      </c>
      <c r="J121" s="483" t="str">
        <f t="shared" si="711"/>
        <v/>
      </c>
      <c r="K121" s="806" t="str">
        <f t="shared" si="1041"/>
        <v/>
      </c>
      <c r="L121" s="309"/>
      <c r="M121" s="164" t="str">
        <f t="shared" si="901"/>
        <v/>
      </c>
      <c r="N121" s="575" t="str">
        <f t="shared" si="902"/>
        <v/>
      </c>
      <c r="O121" s="572" t="str">
        <f t="shared" si="903"/>
        <v/>
      </c>
      <c r="P121" s="576" t="str">
        <f t="shared" si="904"/>
        <v/>
      </c>
      <c r="Q121" s="528" t="str">
        <f t="shared" si="712"/>
        <v/>
      </c>
      <c r="R121" s="572" t="str">
        <f t="shared" si="986"/>
        <v/>
      </c>
      <c r="S121" s="577" t="str">
        <f t="shared" si="987"/>
        <v/>
      </c>
      <c r="T121" s="578" t="str">
        <f t="shared" si="988"/>
        <v/>
      </c>
      <c r="U121" s="572" t="str">
        <f t="shared" si="989"/>
        <v/>
      </c>
      <c r="V121" s="579" t="str">
        <f t="shared" si="990"/>
        <v/>
      </c>
      <c r="W121" s="528" t="str">
        <f t="shared" si="848"/>
        <v/>
      </c>
      <c r="X121" s="572" t="str">
        <f t="shared" si="991"/>
        <v/>
      </c>
      <c r="Y121" s="573" t="str">
        <f t="shared" si="841"/>
        <v/>
      </c>
      <c r="Z121" s="575" t="str">
        <f t="shared" si="905"/>
        <v/>
      </c>
      <c r="AA121" s="572" t="str">
        <f t="shared" si="906"/>
        <v/>
      </c>
      <c r="AB121" s="572" t="str">
        <f t="shared" si="907"/>
        <v/>
      </c>
      <c r="AC121" s="579" t="str">
        <f t="shared" si="992"/>
        <v/>
      </c>
      <c r="AD121" s="580" t="str">
        <f t="shared" si="993"/>
        <v/>
      </c>
      <c r="AE121" s="572" t="str">
        <f t="shared" si="994"/>
        <v/>
      </c>
      <c r="AF121" s="576" t="str">
        <f t="shared" si="995"/>
        <v/>
      </c>
      <c r="AG121" s="545" t="str">
        <f t="shared" si="996"/>
        <v/>
      </c>
      <c r="AH121" s="546" t="str">
        <f t="shared" si="997"/>
        <v/>
      </c>
      <c r="AI121" s="528" t="str">
        <f t="shared" si="998"/>
        <v/>
      </c>
      <c r="AJ121" s="529" t="str">
        <f t="shared" si="999"/>
        <v/>
      </c>
      <c r="AK121" s="578" t="str">
        <f t="shared" si="1000"/>
        <v/>
      </c>
      <c r="AL121" s="572" t="str">
        <f t="shared" si="1001"/>
        <v/>
      </c>
      <c r="AM121" s="577" t="str">
        <f t="shared" si="1002"/>
        <v/>
      </c>
      <c r="AN121" s="524" t="str">
        <f t="shared" si="1003"/>
        <v/>
      </c>
      <c r="AO121" s="525" t="str">
        <f t="shared" si="1039"/>
        <v/>
      </c>
      <c r="AP121" s="528" t="str">
        <f t="shared" si="1004"/>
        <v/>
      </c>
      <c r="AQ121" s="529" t="str">
        <f t="shared" si="908"/>
        <v/>
      </c>
      <c r="AS121" s="954" t="str">
        <f t="shared" si="1010"/>
        <v/>
      </c>
      <c r="AT121" s="950" t="str">
        <f t="shared" si="909"/>
        <v/>
      </c>
      <c r="AU121" s="418"/>
      <c r="AV121" s="164" t="str">
        <f t="shared" si="910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1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2"/>
        <v/>
      </c>
      <c r="BF121" s="4" t="str">
        <f t="shared" si="913"/>
        <v/>
      </c>
      <c r="BG121" s="5" t="str">
        <f t="shared" si="914"/>
        <v/>
      </c>
      <c r="BH121" s="10" t="str">
        <f t="shared" si="915"/>
        <v/>
      </c>
      <c r="BI121" s="9" t="str">
        <f t="shared" si="739"/>
        <v/>
      </c>
      <c r="BJ121" s="5" t="str">
        <f t="shared" si="916"/>
        <v/>
      </c>
      <c r="BK121" s="8" t="str">
        <f t="shared" si="917"/>
        <v/>
      </c>
      <c r="BL121" s="173" t="str">
        <f t="shared" si="918"/>
        <v/>
      </c>
      <c r="BM121" s="5" t="str">
        <f t="shared" si="919"/>
        <v/>
      </c>
      <c r="BN121" s="6" t="str">
        <f t="shared" si="920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5"/>
        <v/>
      </c>
      <c r="BT121" s="5" t="str">
        <f t="shared" si="1005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1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1"/>
        <v/>
      </c>
      <c r="DC121" s="5" t="str">
        <f t="shared" si="1011"/>
        <v/>
      </c>
      <c r="DD121" s="10" t="str">
        <f t="shared" si="764"/>
        <v/>
      </c>
      <c r="DE121" s="9" t="str">
        <f t="shared" si="1012"/>
        <v/>
      </c>
      <c r="DF121" s="5" t="str">
        <f t="shared" si="1012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2"/>
        <v/>
      </c>
      <c r="ET121" s="5" t="str">
        <f t="shared" si="923"/>
        <v/>
      </c>
      <c r="EU121" s="10" t="str">
        <f t="shared" si="924"/>
        <v/>
      </c>
      <c r="EV121" s="174" t="str">
        <f t="shared" si="925"/>
        <v/>
      </c>
      <c r="EW121" s="9" t="str">
        <f t="shared" si="926"/>
        <v/>
      </c>
      <c r="EX121" s="5" t="str">
        <f t="shared" si="927"/>
        <v/>
      </c>
      <c r="EY121" s="6" t="str">
        <f t="shared" si="804"/>
        <v/>
      </c>
      <c r="EZ121" s="51" t="str">
        <f t="shared" si="805"/>
        <v/>
      </c>
      <c r="FA121" s="173" t="str">
        <f t="shared" si="928"/>
        <v/>
      </c>
      <c r="FB121" s="5" t="str">
        <f t="shared" si="929"/>
        <v/>
      </c>
      <c r="FC121" s="6" t="str">
        <f t="shared" si="930"/>
        <v/>
      </c>
      <c r="FD121" s="4" t="str">
        <f t="shared" si="931"/>
        <v/>
      </c>
      <c r="FE121" s="5" t="str">
        <f t="shared" si="932"/>
        <v/>
      </c>
      <c r="FF121" s="7" t="str">
        <f t="shared" si="806"/>
        <v/>
      </c>
      <c r="FG121" s="173" t="str">
        <f t="shared" si="933"/>
        <v/>
      </c>
      <c r="FH121" s="5" t="str">
        <f t="shared" si="934"/>
        <v/>
      </c>
      <c r="FI121" s="10" t="str">
        <f t="shared" si="935"/>
        <v/>
      </c>
      <c r="FJ121" s="279" t="str">
        <f t="shared" si="807"/>
        <v/>
      </c>
      <c r="FK121" s="4" t="str">
        <f t="shared" si="936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7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8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39"/>
        <v/>
      </c>
      <c r="GH121" s="286" t="str">
        <f t="shared" si="940"/>
        <v/>
      </c>
      <c r="GI121" s="281" t="str">
        <f t="shared" si="941"/>
        <v/>
      </c>
      <c r="GJ121" s="167" t="str">
        <f t="shared" si="823"/>
        <v/>
      </c>
      <c r="GK121" s="174" t="str">
        <f t="shared" si="942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3"/>
        <v/>
      </c>
      <c r="GT121" s="343" t="str">
        <f t="shared" si="944"/>
        <v/>
      </c>
      <c r="GU121" s="344" t="str">
        <f t="shared" si="945"/>
        <v/>
      </c>
      <c r="GV121" s="343" t="str">
        <f t="shared" si="831"/>
        <v/>
      </c>
      <c r="GW121" s="345" t="str">
        <f t="shared" si="946"/>
        <v/>
      </c>
      <c r="GX121" s="346" t="str">
        <f t="shared" si="947"/>
        <v/>
      </c>
      <c r="GY121" s="344" t="str">
        <f t="shared" si="948"/>
        <v/>
      </c>
      <c r="GZ121" s="345" t="str">
        <f t="shared" si="949"/>
        <v/>
      </c>
      <c r="HA121" s="342" t="str">
        <f t="shared" si="950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1"/>
        <v/>
      </c>
      <c r="HF121" s="5" t="str">
        <f t="shared" si="952"/>
        <v/>
      </c>
      <c r="HG121" s="343" t="str">
        <f t="shared" si="835"/>
        <v/>
      </c>
      <c r="HH121" s="349" t="str">
        <f t="shared" si="836"/>
        <v/>
      </c>
      <c r="HI121" s="317" t="str">
        <f t="shared" si="953"/>
        <v/>
      </c>
      <c r="HK121" s="310" t="str">
        <f t="shared" si="1006"/>
        <v/>
      </c>
      <c r="HL121" s="348" t="str">
        <f t="shared" si="954"/>
        <v/>
      </c>
      <c r="HM121" s="923" t="str">
        <f t="shared" si="955"/>
        <v/>
      </c>
      <c r="HN121" s="924" t="str">
        <f t="shared" si="956"/>
        <v/>
      </c>
      <c r="HO121" s="925"/>
      <c r="HP121" s="926"/>
      <c r="HQ121" s="924" t="str">
        <f t="shared" si="957"/>
        <v/>
      </c>
      <c r="HR121" s="927" t="str">
        <f t="shared" si="958"/>
        <v/>
      </c>
      <c r="HS121" s="879" t="str">
        <f t="shared" si="1007"/>
        <v/>
      </c>
      <c r="HT121" s="889" t="str">
        <f t="shared" si="959"/>
        <v/>
      </c>
      <c r="HU121" s="890" t="str">
        <f t="shared" si="960"/>
        <v/>
      </c>
      <c r="HV121" s="886" t="str">
        <f t="shared" si="961"/>
        <v/>
      </c>
      <c r="HW121" s="880" t="str">
        <f t="shared" si="962"/>
        <v/>
      </c>
      <c r="HX121" s="881" t="str">
        <f t="shared" si="963"/>
        <v/>
      </c>
      <c r="HY121" s="880" t="str">
        <f t="shared" si="964"/>
        <v/>
      </c>
      <c r="HZ121" s="882" t="str">
        <f t="shared" si="965"/>
        <v/>
      </c>
      <c r="IA121" s="883" t="str">
        <f t="shared" si="966"/>
        <v/>
      </c>
      <c r="IB121" s="884" t="str">
        <f t="shared" si="967"/>
        <v/>
      </c>
      <c r="IC121" s="855" t="str">
        <f t="shared" si="968"/>
        <v/>
      </c>
      <c r="ID121" s="351" t="str">
        <f t="shared" si="969"/>
        <v/>
      </c>
      <c r="IE121" s="857" t="str">
        <f t="shared" si="970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1"/>
        <v/>
      </c>
      <c r="IM121" s="482" t="str">
        <f t="shared" si="838"/>
        <v/>
      </c>
      <c r="IN121" s="670" t="str">
        <f t="shared" si="972"/>
        <v/>
      </c>
      <c r="IO121" s="702"/>
      <c r="IP121" s="5" t="str">
        <f t="shared" si="973"/>
        <v/>
      </c>
      <c r="IQ121" s="714"/>
      <c r="IR121" s="9" t="str">
        <f t="shared" si="974"/>
        <v/>
      </c>
      <c r="IS121" s="5" t="str">
        <f t="shared" si="975"/>
        <v/>
      </c>
      <c r="IT121" s="5" t="str">
        <f t="shared" si="976"/>
        <v/>
      </c>
      <c r="IU121" s="5" t="str">
        <f t="shared" si="977"/>
        <v/>
      </c>
      <c r="IV121" s="670" t="str">
        <f t="shared" si="978"/>
        <v/>
      </c>
      <c r="IW121" s="9" t="str">
        <f t="shared" si="979"/>
        <v/>
      </c>
      <c r="IX121" s="5" t="str">
        <f t="shared" si="980"/>
        <v/>
      </c>
      <c r="IY121" s="5" t="str">
        <f t="shared" si="981"/>
        <v/>
      </c>
      <c r="IZ121" s="5" t="str">
        <f t="shared" si="982"/>
        <v/>
      </c>
      <c r="JA121" s="705" t="str">
        <f t="shared" si="983"/>
        <v/>
      </c>
    </row>
    <row r="122" spans="1:261" ht="15" customHeight="1" x14ac:dyDescent="0.25">
      <c r="A122" s="75" t="str">
        <f t="shared" si="708"/>
        <v/>
      </c>
      <c r="B122" s="578" t="str">
        <f t="shared" ref="B122:D122" si="1042">IFERROR(O277-($A122*E122),"")</f>
        <v/>
      </c>
      <c r="C122" s="572" t="str">
        <f t="shared" si="1042"/>
        <v/>
      </c>
      <c r="D122" s="576" t="str">
        <f t="shared" si="1042"/>
        <v/>
      </c>
      <c r="E122" s="580" t="str">
        <f t="shared" ref="E122:K122" si="1043">R277</f>
        <v/>
      </c>
      <c r="F122" s="572" t="str">
        <f t="shared" si="1043"/>
        <v/>
      </c>
      <c r="G122" s="579" t="str">
        <f t="shared" si="1043"/>
        <v/>
      </c>
      <c r="H122" s="580" t="str">
        <f t="shared" si="1043"/>
        <v/>
      </c>
      <c r="I122" s="572" t="str">
        <f t="shared" si="1043"/>
        <v/>
      </c>
      <c r="J122" s="483" t="str">
        <f t="shared" si="711"/>
        <v/>
      </c>
      <c r="K122" s="806" t="str">
        <f t="shared" si="1043"/>
        <v/>
      </c>
      <c r="L122" s="309"/>
      <c r="M122" s="164" t="str">
        <f t="shared" si="901"/>
        <v/>
      </c>
      <c r="N122" s="575" t="str">
        <f t="shared" si="902"/>
        <v/>
      </c>
      <c r="O122" s="572" t="str">
        <f t="shared" si="903"/>
        <v/>
      </c>
      <c r="P122" s="576" t="str">
        <f t="shared" si="904"/>
        <v/>
      </c>
      <c r="Q122" s="528" t="str">
        <f t="shared" si="712"/>
        <v/>
      </c>
      <c r="R122" s="572" t="str">
        <f t="shared" si="986"/>
        <v/>
      </c>
      <c r="S122" s="577" t="str">
        <f t="shared" si="987"/>
        <v/>
      </c>
      <c r="T122" s="578" t="str">
        <f t="shared" si="988"/>
        <v/>
      </c>
      <c r="U122" s="572" t="str">
        <f t="shared" si="989"/>
        <v/>
      </c>
      <c r="V122" s="579" t="str">
        <f t="shared" si="990"/>
        <v/>
      </c>
      <c r="W122" s="528" t="str">
        <f t="shared" si="848"/>
        <v/>
      </c>
      <c r="X122" s="572" t="str">
        <f t="shared" si="991"/>
        <v/>
      </c>
      <c r="Y122" s="573" t="str">
        <f t="shared" si="841"/>
        <v/>
      </c>
      <c r="Z122" s="575" t="str">
        <f t="shared" si="905"/>
        <v/>
      </c>
      <c r="AA122" s="572" t="str">
        <f t="shared" si="906"/>
        <v/>
      </c>
      <c r="AB122" s="572" t="str">
        <f t="shared" si="907"/>
        <v/>
      </c>
      <c r="AC122" s="579" t="str">
        <f t="shared" si="992"/>
        <v/>
      </c>
      <c r="AD122" s="580" t="str">
        <f t="shared" si="993"/>
        <v/>
      </c>
      <c r="AE122" s="572" t="str">
        <f t="shared" si="994"/>
        <v/>
      </c>
      <c r="AF122" s="576" t="str">
        <f t="shared" si="995"/>
        <v/>
      </c>
      <c r="AG122" s="545" t="str">
        <f t="shared" si="996"/>
        <v/>
      </c>
      <c r="AH122" s="546" t="str">
        <f t="shared" si="997"/>
        <v/>
      </c>
      <c r="AI122" s="528" t="str">
        <f t="shared" si="998"/>
        <v/>
      </c>
      <c r="AJ122" s="529" t="str">
        <f t="shared" si="999"/>
        <v/>
      </c>
      <c r="AK122" s="578" t="str">
        <f t="shared" si="1000"/>
        <v/>
      </c>
      <c r="AL122" s="572" t="str">
        <f t="shared" si="1001"/>
        <v/>
      </c>
      <c r="AM122" s="577" t="str">
        <f t="shared" si="1002"/>
        <v/>
      </c>
      <c r="AN122" s="524" t="str">
        <f t="shared" si="1003"/>
        <v/>
      </c>
      <c r="AO122" s="525" t="str">
        <f t="shared" si="1039"/>
        <v/>
      </c>
      <c r="AP122" s="528" t="str">
        <f t="shared" si="1004"/>
        <v/>
      </c>
      <c r="AQ122" s="529" t="str">
        <f t="shared" si="908"/>
        <v/>
      </c>
      <c r="AS122" s="954" t="str">
        <f t="shared" si="1010"/>
        <v/>
      </c>
      <c r="AT122" s="950" t="str">
        <f t="shared" si="909"/>
        <v/>
      </c>
      <c r="AU122" s="418"/>
      <c r="AV122" s="164" t="str">
        <f t="shared" si="910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1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2"/>
        <v/>
      </c>
      <c r="BF122" s="4" t="str">
        <f t="shared" si="913"/>
        <v/>
      </c>
      <c r="BG122" s="5" t="str">
        <f t="shared" si="914"/>
        <v/>
      </c>
      <c r="BH122" s="10" t="str">
        <f t="shared" si="915"/>
        <v/>
      </c>
      <c r="BI122" s="9" t="str">
        <f t="shared" si="739"/>
        <v/>
      </c>
      <c r="BJ122" s="5" t="str">
        <f t="shared" si="916"/>
        <v/>
      </c>
      <c r="BK122" s="8" t="str">
        <f t="shared" si="917"/>
        <v/>
      </c>
      <c r="BL122" s="173" t="str">
        <f t="shared" si="918"/>
        <v/>
      </c>
      <c r="BM122" s="5" t="str">
        <f t="shared" si="919"/>
        <v/>
      </c>
      <c r="BN122" s="6" t="str">
        <f t="shared" si="920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5"/>
        <v/>
      </c>
      <c r="BT122" s="5" t="str">
        <f t="shared" si="1005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1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1"/>
        <v/>
      </c>
      <c r="DC122" s="5" t="str">
        <f t="shared" si="1011"/>
        <v/>
      </c>
      <c r="DD122" s="10" t="str">
        <f t="shared" si="764"/>
        <v/>
      </c>
      <c r="DE122" s="9" t="str">
        <f t="shared" si="1012"/>
        <v/>
      </c>
      <c r="DF122" s="5" t="str">
        <f t="shared" si="1012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2"/>
        <v/>
      </c>
      <c r="ET122" s="5" t="str">
        <f t="shared" si="923"/>
        <v/>
      </c>
      <c r="EU122" s="10" t="str">
        <f t="shared" si="924"/>
        <v/>
      </c>
      <c r="EV122" s="174" t="str">
        <f t="shared" si="925"/>
        <v/>
      </c>
      <c r="EW122" s="9" t="str">
        <f t="shared" si="926"/>
        <v/>
      </c>
      <c r="EX122" s="5" t="str">
        <f t="shared" si="927"/>
        <v/>
      </c>
      <c r="EY122" s="6" t="str">
        <f t="shared" si="804"/>
        <v/>
      </c>
      <c r="EZ122" s="51" t="str">
        <f t="shared" si="805"/>
        <v/>
      </c>
      <c r="FA122" s="173" t="str">
        <f t="shared" si="928"/>
        <v/>
      </c>
      <c r="FB122" s="5" t="str">
        <f t="shared" si="929"/>
        <v/>
      </c>
      <c r="FC122" s="6" t="str">
        <f t="shared" si="930"/>
        <v/>
      </c>
      <c r="FD122" s="4" t="str">
        <f t="shared" si="931"/>
        <v/>
      </c>
      <c r="FE122" s="5" t="str">
        <f t="shared" si="932"/>
        <v/>
      </c>
      <c r="FF122" s="7" t="str">
        <f t="shared" si="806"/>
        <v/>
      </c>
      <c r="FG122" s="173" t="str">
        <f t="shared" si="933"/>
        <v/>
      </c>
      <c r="FH122" s="5" t="str">
        <f t="shared" si="934"/>
        <v/>
      </c>
      <c r="FI122" s="10" t="str">
        <f t="shared" si="935"/>
        <v/>
      </c>
      <c r="FJ122" s="279" t="str">
        <f t="shared" si="807"/>
        <v/>
      </c>
      <c r="FK122" s="4" t="str">
        <f t="shared" si="936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7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8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39"/>
        <v/>
      </c>
      <c r="GH122" s="286" t="str">
        <f t="shared" si="940"/>
        <v/>
      </c>
      <c r="GI122" s="281" t="str">
        <f t="shared" si="941"/>
        <v/>
      </c>
      <c r="GJ122" s="167" t="str">
        <f t="shared" si="823"/>
        <v/>
      </c>
      <c r="GK122" s="174" t="str">
        <f t="shared" si="942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3"/>
        <v/>
      </c>
      <c r="GT122" s="343" t="str">
        <f t="shared" si="944"/>
        <v/>
      </c>
      <c r="GU122" s="344" t="str">
        <f t="shared" si="945"/>
        <v/>
      </c>
      <c r="GV122" s="343" t="str">
        <f t="shared" si="831"/>
        <v/>
      </c>
      <c r="GW122" s="345" t="str">
        <f t="shared" si="946"/>
        <v/>
      </c>
      <c r="GX122" s="346" t="str">
        <f t="shared" si="947"/>
        <v/>
      </c>
      <c r="GY122" s="344" t="str">
        <f t="shared" si="948"/>
        <v/>
      </c>
      <c r="GZ122" s="345" t="str">
        <f t="shared" si="949"/>
        <v/>
      </c>
      <c r="HA122" s="342" t="str">
        <f t="shared" si="950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1"/>
        <v/>
      </c>
      <c r="HF122" s="5" t="str">
        <f t="shared" si="952"/>
        <v/>
      </c>
      <c r="HG122" s="343" t="str">
        <f t="shared" si="835"/>
        <v/>
      </c>
      <c r="HH122" s="349" t="str">
        <f t="shared" si="836"/>
        <v/>
      </c>
      <c r="HI122" s="317" t="str">
        <f t="shared" si="953"/>
        <v/>
      </c>
      <c r="HK122" s="310" t="str">
        <f t="shared" si="1006"/>
        <v/>
      </c>
      <c r="HL122" s="348" t="str">
        <f t="shared" si="954"/>
        <v/>
      </c>
      <c r="HM122" s="923" t="str">
        <f t="shared" si="955"/>
        <v/>
      </c>
      <c r="HN122" s="924" t="str">
        <f t="shared" si="956"/>
        <v/>
      </c>
      <c r="HO122" s="925"/>
      <c r="HP122" s="926"/>
      <c r="HQ122" s="924" t="str">
        <f t="shared" si="957"/>
        <v/>
      </c>
      <c r="HR122" s="927" t="str">
        <f t="shared" si="958"/>
        <v/>
      </c>
      <c r="HS122" s="879" t="str">
        <f t="shared" si="1007"/>
        <v/>
      </c>
      <c r="HT122" s="889" t="str">
        <f t="shared" si="959"/>
        <v/>
      </c>
      <c r="HU122" s="890" t="str">
        <f t="shared" si="960"/>
        <v/>
      </c>
      <c r="HV122" s="886" t="str">
        <f t="shared" si="961"/>
        <v/>
      </c>
      <c r="HW122" s="880" t="str">
        <f t="shared" si="962"/>
        <v/>
      </c>
      <c r="HX122" s="881" t="str">
        <f t="shared" si="963"/>
        <v/>
      </c>
      <c r="HY122" s="880" t="str">
        <f t="shared" si="964"/>
        <v/>
      </c>
      <c r="HZ122" s="882" t="str">
        <f t="shared" si="965"/>
        <v/>
      </c>
      <c r="IA122" s="883" t="str">
        <f t="shared" si="966"/>
        <v/>
      </c>
      <c r="IB122" s="884" t="str">
        <f t="shared" si="967"/>
        <v/>
      </c>
      <c r="IC122" s="855" t="str">
        <f t="shared" si="968"/>
        <v/>
      </c>
      <c r="ID122" s="351" t="str">
        <f t="shared" si="969"/>
        <v/>
      </c>
      <c r="IE122" s="857" t="str">
        <f t="shared" si="970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1"/>
        <v/>
      </c>
      <c r="IM122" s="482" t="str">
        <f t="shared" si="838"/>
        <v/>
      </c>
      <c r="IN122" s="670" t="str">
        <f t="shared" si="972"/>
        <v/>
      </c>
      <c r="IO122" s="702"/>
      <c r="IP122" s="5" t="str">
        <f t="shared" si="973"/>
        <v/>
      </c>
      <c r="IQ122" s="714"/>
      <c r="IR122" s="9" t="str">
        <f t="shared" si="974"/>
        <v/>
      </c>
      <c r="IS122" s="5" t="str">
        <f t="shared" si="975"/>
        <v/>
      </c>
      <c r="IT122" s="5" t="str">
        <f t="shared" si="976"/>
        <v/>
      </c>
      <c r="IU122" s="5" t="str">
        <f t="shared" si="977"/>
        <v/>
      </c>
      <c r="IV122" s="670" t="str">
        <f t="shared" si="978"/>
        <v/>
      </c>
      <c r="IW122" s="9" t="str">
        <f t="shared" si="979"/>
        <v/>
      </c>
      <c r="IX122" s="5" t="str">
        <f t="shared" si="980"/>
        <v/>
      </c>
      <c r="IY122" s="5" t="str">
        <f t="shared" si="981"/>
        <v/>
      </c>
      <c r="IZ122" s="5" t="str">
        <f t="shared" si="982"/>
        <v/>
      </c>
      <c r="JA122" s="705" t="str">
        <f t="shared" si="983"/>
        <v/>
      </c>
    </row>
    <row r="123" spans="1:261" ht="15" customHeight="1" x14ac:dyDescent="0.25">
      <c r="A123" s="75" t="str">
        <f t="shared" si="708"/>
        <v/>
      </c>
      <c r="B123" s="578" t="str">
        <f t="shared" ref="B123:D123" si="1044">IFERROR(O278-($A123*E123),"")</f>
        <v/>
      </c>
      <c r="C123" s="572" t="str">
        <f t="shared" si="1044"/>
        <v/>
      </c>
      <c r="D123" s="576" t="str">
        <f t="shared" si="1044"/>
        <v/>
      </c>
      <c r="E123" s="580" t="str">
        <f t="shared" ref="E123:K123" si="1045">R278</f>
        <v/>
      </c>
      <c r="F123" s="572" t="str">
        <f t="shared" si="1045"/>
        <v/>
      </c>
      <c r="G123" s="579" t="str">
        <f t="shared" si="1045"/>
        <v/>
      </c>
      <c r="H123" s="580" t="str">
        <f t="shared" si="1045"/>
        <v/>
      </c>
      <c r="I123" s="572" t="str">
        <f t="shared" si="1045"/>
        <v/>
      </c>
      <c r="J123" s="483" t="str">
        <f t="shared" si="711"/>
        <v/>
      </c>
      <c r="K123" s="806" t="str">
        <f t="shared" si="1045"/>
        <v/>
      </c>
      <c r="L123" s="309"/>
      <c r="M123" s="164" t="str">
        <f t="shared" si="901"/>
        <v/>
      </c>
      <c r="N123" s="575" t="str">
        <f t="shared" si="902"/>
        <v/>
      </c>
      <c r="O123" s="572" t="str">
        <f t="shared" si="903"/>
        <v/>
      </c>
      <c r="P123" s="576" t="str">
        <f t="shared" si="904"/>
        <v/>
      </c>
      <c r="Q123" s="528" t="str">
        <f t="shared" si="712"/>
        <v/>
      </c>
      <c r="R123" s="572" t="str">
        <f t="shared" si="986"/>
        <v/>
      </c>
      <c r="S123" s="577" t="str">
        <f t="shared" si="987"/>
        <v/>
      </c>
      <c r="T123" s="578" t="str">
        <f t="shared" si="988"/>
        <v/>
      </c>
      <c r="U123" s="572" t="str">
        <f t="shared" si="989"/>
        <v/>
      </c>
      <c r="V123" s="579" t="str">
        <f t="shared" si="990"/>
        <v/>
      </c>
      <c r="W123" s="528" t="str">
        <f t="shared" si="848"/>
        <v/>
      </c>
      <c r="X123" s="572" t="str">
        <f t="shared" si="991"/>
        <v/>
      </c>
      <c r="Y123" s="573" t="str">
        <f t="shared" si="841"/>
        <v/>
      </c>
      <c r="Z123" s="575" t="str">
        <f t="shared" si="905"/>
        <v/>
      </c>
      <c r="AA123" s="572" t="str">
        <f t="shared" si="906"/>
        <v/>
      </c>
      <c r="AB123" s="572" t="str">
        <f t="shared" si="907"/>
        <v/>
      </c>
      <c r="AC123" s="579" t="str">
        <f t="shared" si="992"/>
        <v/>
      </c>
      <c r="AD123" s="580" t="str">
        <f t="shared" si="993"/>
        <v/>
      </c>
      <c r="AE123" s="572" t="str">
        <f t="shared" si="994"/>
        <v/>
      </c>
      <c r="AF123" s="576" t="str">
        <f t="shared" si="995"/>
        <v/>
      </c>
      <c r="AG123" s="545" t="str">
        <f t="shared" si="996"/>
        <v/>
      </c>
      <c r="AH123" s="546" t="str">
        <f t="shared" si="997"/>
        <v/>
      </c>
      <c r="AI123" s="528" t="str">
        <f t="shared" si="998"/>
        <v/>
      </c>
      <c r="AJ123" s="529" t="str">
        <f t="shared" si="999"/>
        <v/>
      </c>
      <c r="AK123" s="578" t="str">
        <f t="shared" si="1000"/>
        <v/>
      </c>
      <c r="AL123" s="572" t="str">
        <f t="shared" si="1001"/>
        <v/>
      </c>
      <c r="AM123" s="577" t="str">
        <f t="shared" si="1002"/>
        <v/>
      </c>
      <c r="AN123" s="524" t="str">
        <f t="shared" si="1003"/>
        <v/>
      </c>
      <c r="AO123" s="525" t="str">
        <f t="shared" si="1039"/>
        <v/>
      </c>
      <c r="AP123" s="528" t="str">
        <f t="shared" si="1004"/>
        <v/>
      </c>
      <c r="AQ123" s="529" t="str">
        <f t="shared" si="908"/>
        <v/>
      </c>
      <c r="AS123" s="954" t="str">
        <f t="shared" si="1010"/>
        <v/>
      </c>
      <c r="AT123" s="950" t="str">
        <f t="shared" si="909"/>
        <v/>
      </c>
      <c r="AU123" s="418"/>
      <c r="AV123" s="164" t="str">
        <f t="shared" si="910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1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2"/>
        <v/>
      </c>
      <c r="BF123" s="4" t="str">
        <f t="shared" si="913"/>
        <v/>
      </c>
      <c r="BG123" s="5" t="str">
        <f t="shared" si="914"/>
        <v/>
      </c>
      <c r="BH123" s="10" t="str">
        <f t="shared" si="915"/>
        <v/>
      </c>
      <c r="BI123" s="9" t="str">
        <f t="shared" si="739"/>
        <v/>
      </c>
      <c r="BJ123" s="5" t="str">
        <f t="shared" si="916"/>
        <v/>
      </c>
      <c r="BK123" s="8" t="str">
        <f t="shared" si="917"/>
        <v/>
      </c>
      <c r="BL123" s="173" t="str">
        <f t="shared" si="918"/>
        <v/>
      </c>
      <c r="BM123" s="5" t="str">
        <f t="shared" si="919"/>
        <v/>
      </c>
      <c r="BN123" s="6" t="str">
        <f t="shared" si="920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5"/>
        <v/>
      </c>
      <c r="BT123" s="5" t="str">
        <f t="shared" si="1005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1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1"/>
        <v/>
      </c>
      <c r="DC123" s="5" t="str">
        <f t="shared" si="1011"/>
        <v/>
      </c>
      <c r="DD123" s="10" t="str">
        <f t="shared" si="764"/>
        <v/>
      </c>
      <c r="DE123" s="9" t="str">
        <f t="shared" si="1012"/>
        <v/>
      </c>
      <c r="DF123" s="5" t="str">
        <f t="shared" si="1012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2"/>
        <v/>
      </c>
      <c r="ET123" s="5" t="str">
        <f t="shared" si="923"/>
        <v/>
      </c>
      <c r="EU123" s="10" t="str">
        <f t="shared" si="924"/>
        <v/>
      </c>
      <c r="EV123" s="174" t="str">
        <f t="shared" si="925"/>
        <v/>
      </c>
      <c r="EW123" s="9" t="str">
        <f t="shared" si="926"/>
        <v/>
      </c>
      <c r="EX123" s="5" t="str">
        <f t="shared" si="927"/>
        <v/>
      </c>
      <c r="EY123" s="6" t="str">
        <f t="shared" si="804"/>
        <v/>
      </c>
      <c r="EZ123" s="51" t="str">
        <f t="shared" si="805"/>
        <v/>
      </c>
      <c r="FA123" s="173" t="str">
        <f t="shared" si="928"/>
        <v/>
      </c>
      <c r="FB123" s="5" t="str">
        <f t="shared" si="929"/>
        <v/>
      </c>
      <c r="FC123" s="6" t="str">
        <f t="shared" si="930"/>
        <v/>
      </c>
      <c r="FD123" s="4" t="str">
        <f t="shared" si="931"/>
        <v/>
      </c>
      <c r="FE123" s="5" t="str">
        <f t="shared" si="932"/>
        <v/>
      </c>
      <c r="FF123" s="7" t="str">
        <f t="shared" si="806"/>
        <v/>
      </c>
      <c r="FG123" s="173" t="str">
        <f t="shared" si="933"/>
        <v/>
      </c>
      <c r="FH123" s="5" t="str">
        <f t="shared" si="934"/>
        <v/>
      </c>
      <c r="FI123" s="10" t="str">
        <f t="shared" si="935"/>
        <v/>
      </c>
      <c r="FJ123" s="279" t="str">
        <f t="shared" si="807"/>
        <v/>
      </c>
      <c r="FK123" s="4" t="str">
        <f t="shared" si="936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7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8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39"/>
        <v/>
      </c>
      <c r="GH123" s="286" t="str">
        <f t="shared" si="940"/>
        <v/>
      </c>
      <c r="GI123" s="281" t="str">
        <f t="shared" si="941"/>
        <v/>
      </c>
      <c r="GJ123" s="167" t="str">
        <f t="shared" si="823"/>
        <v/>
      </c>
      <c r="GK123" s="174" t="str">
        <f t="shared" si="942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3"/>
        <v/>
      </c>
      <c r="GT123" s="343" t="str">
        <f t="shared" si="944"/>
        <v/>
      </c>
      <c r="GU123" s="344" t="str">
        <f t="shared" si="945"/>
        <v/>
      </c>
      <c r="GV123" s="343" t="str">
        <f t="shared" si="831"/>
        <v/>
      </c>
      <c r="GW123" s="345" t="str">
        <f t="shared" si="946"/>
        <v/>
      </c>
      <c r="GX123" s="346" t="str">
        <f t="shared" si="947"/>
        <v/>
      </c>
      <c r="GY123" s="344" t="str">
        <f t="shared" si="948"/>
        <v/>
      </c>
      <c r="GZ123" s="345" t="str">
        <f t="shared" si="949"/>
        <v/>
      </c>
      <c r="HA123" s="342" t="str">
        <f t="shared" si="950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1"/>
        <v/>
      </c>
      <c r="HF123" s="5" t="str">
        <f t="shared" si="952"/>
        <v/>
      </c>
      <c r="HG123" s="343" t="str">
        <f t="shared" si="835"/>
        <v/>
      </c>
      <c r="HH123" s="349" t="str">
        <f t="shared" si="836"/>
        <v/>
      </c>
      <c r="HI123" s="317" t="str">
        <f t="shared" si="953"/>
        <v/>
      </c>
      <c r="HK123" s="310" t="str">
        <f t="shared" si="1006"/>
        <v/>
      </c>
      <c r="HL123" s="348" t="str">
        <f t="shared" si="954"/>
        <v/>
      </c>
      <c r="HM123" s="923" t="str">
        <f t="shared" si="955"/>
        <v/>
      </c>
      <c r="HN123" s="924" t="str">
        <f t="shared" si="956"/>
        <v/>
      </c>
      <c r="HO123" s="925"/>
      <c r="HP123" s="926"/>
      <c r="HQ123" s="924" t="str">
        <f t="shared" si="957"/>
        <v/>
      </c>
      <c r="HR123" s="927" t="str">
        <f t="shared" si="958"/>
        <v/>
      </c>
      <c r="HS123" s="879" t="str">
        <f t="shared" si="1007"/>
        <v/>
      </c>
      <c r="HT123" s="889" t="str">
        <f t="shared" si="959"/>
        <v/>
      </c>
      <c r="HU123" s="890" t="str">
        <f t="shared" si="960"/>
        <v/>
      </c>
      <c r="HV123" s="886" t="str">
        <f t="shared" si="961"/>
        <v/>
      </c>
      <c r="HW123" s="880" t="str">
        <f t="shared" si="962"/>
        <v/>
      </c>
      <c r="HX123" s="881" t="str">
        <f t="shared" si="963"/>
        <v/>
      </c>
      <c r="HY123" s="880" t="str">
        <f t="shared" si="964"/>
        <v/>
      </c>
      <c r="HZ123" s="882" t="str">
        <f t="shared" si="965"/>
        <v/>
      </c>
      <c r="IA123" s="883" t="str">
        <f t="shared" si="966"/>
        <v/>
      </c>
      <c r="IB123" s="884" t="str">
        <f t="shared" si="967"/>
        <v/>
      </c>
      <c r="IC123" s="855" t="str">
        <f t="shared" si="968"/>
        <v/>
      </c>
      <c r="ID123" s="351" t="str">
        <f t="shared" si="969"/>
        <v/>
      </c>
      <c r="IE123" s="857" t="str">
        <f t="shared" si="970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1"/>
        <v/>
      </c>
      <c r="IM123" s="482" t="str">
        <f t="shared" si="838"/>
        <v/>
      </c>
      <c r="IN123" s="670" t="str">
        <f t="shared" si="972"/>
        <v/>
      </c>
      <c r="IO123" s="702"/>
      <c r="IP123" s="5" t="str">
        <f t="shared" si="973"/>
        <v/>
      </c>
      <c r="IQ123" s="714"/>
      <c r="IR123" s="9" t="str">
        <f t="shared" si="974"/>
        <v/>
      </c>
      <c r="IS123" s="5" t="str">
        <f t="shared" si="975"/>
        <v/>
      </c>
      <c r="IT123" s="5" t="str">
        <f t="shared" si="976"/>
        <v/>
      </c>
      <c r="IU123" s="5" t="str">
        <f t="shared" si="977"/>
        <v/>
      </c>
      <c r="IV123" s="670" t="str">
        <f t="shared" si="978"/>
        <v/>
      </c>
      <c r="IW123" s="9" t="str">
        <f t="shared" si="979"/>
        <v/>
      </c>
      <c r="IX123" s="5" t="str">
        <f t="shared" si="980"/>
        <v/>
      </c>
      <c r="IY123" s="5" t="str">
        <f t="shared" si="981"/>
        <v/>
      </c>
      <c r="IZ123" s="5" t="str">
        <f t="shared" si="982"/>
        <v/>
      </c>
      <c r="JA123" s="705" t="str">
        <f t="shared" si="983"/>
        <v/>
      </c>
    </row>
    <row r="124" spans="1:261" ht="15" customHeight="1" x14ac:dyDescent="0.25">
      <c r="A124" s="75" t="str">
        <f t="shared" si="708"/>
        <v/>
      </c>
      <c r="B124" s="578" t="str">
        <f t="shared" ref="B124:D124" si="1046">IFERROR(O279-($A124*E124),"")</f>
        <v/>
      </c>
      <c r="C124" s="572" t="str">
        <f t="shared" si="1046"/>
        <v/>
      </c>
      <c r="D124" s="576" t="str">
        <f t="shared" si="1046"/>
        <v/>
      </c>
      <c r="E124" s="580" t="str">
        <f t="shared" ref="E124:K124" si="1047">R279</f>
        <v/>
      </c>
      <c r="F124" s="572" t="str">
        <f t="shared" si="1047"/>
        <v/>
      </c>
      <c r="G124" s="579" t="str">
        <f t="shared" si="1047"/>
        <v/>
      </c>
      <c r="H124" s="580" t="str">
        <f t="shared" si="1047"/>
        <v/>
      </c>
      <c r="I124" s="572" t="str">
        <f t="shared" si="1047"/>
        <v/>
      </c>
      <c r="J124" s="483" t="str">
        <f t="shared" si="711"/>
        <v/>
      </c>
      <c r="K124" s="806" t="str">
        <f t="shared" si="1047"/>
        <v/>
      </c>
      <c r="L124" s="309"/>
      <c r="M124" s="164" t="str">
        <f t="shared" si="901"/>
        <v/>
      </c>
      <c r="N124" s="575" t="str">
        <f t="shared" si="902"/>
        <v/>
      </c>
      <c r="O124" s="572" t="str">
        <f t="shared" si="903"/>
        <v/>
      </c>
      <c r="P124" s="576" t="str">
        <f t="shared" si="904"/>
        <v/>
      </c>
      <c r="Q124" s="528" t="str">
        <f t="shared" si="712"/>
        <v/>
      </c>
      <c r="R124" s="572" t="str">
        <f t="shared" si="986"/>
        <v/>
      </c>
      <c r="S124" s="577" t="str">
        <f t="shared" si="987"/>
        <v/>
      </c>
      <c r="T124" s="578" t="str">
        <f t="shared" si="988"/>
        <v/>
      </c>
      <c r="U124" s="572" t="str">
        <f t="shared" si="989"/>
        <v/>
      </c>
      <c r="V124" s="579" t="str">
        <f t="shared" si="990"/>
        <v/>
      </c>
      <c r="W124" s="528" t="str">
        <f t="shared" si="848"/>
        <v/>
      </c>
      <c r="X124" s="572" t="str">
        <f t="shared" si="991"/>
        <v/>
      </c>
      <c r="Y124" s="573" t="str">
        <f t="shared" si="841"/>
        <v/>
      </c>
      <c r="Z124" s="575" t="str">
        <f t="shared" si="905"/>
        <v/>
      </c>
      <c r="AA124" s="572" t="str">
        <f t="shared" si="906"/>
        <v/>
      </c>
      <c r="AB124" s="572" t="str">
        <f t="shared" si="907"/>
        <v/>
      </c>
      <c r="AC124" s="579" t="str">
        <f t="shared" si="992"/>
        <v/>
      </c>
      <c r="AD124" s="580" t="str">
        <f t="shared" si="993"/>
        <v/>
      </c>
      <c r="AE124" s="572" t="str">
        <f t="shared" si="994"/>
        <v/>
      </c>
      <c r="AF124" s="576" t="str">
        <f t="shared" si="995"/>
        <v/>
      </c>
      <c r="AG124" s="545" t="str">
        <f t="shared" si="996"/>
        <v/>
      </c>
      <c r="AH124" s="546" t="str">
        <f t="shared" si="997"/>
        <v/>
      </c>
      <c r="AI124" s="528" t="str">
        <f t="shared" si="998"/>
        <v/>
      </c>
      <c r="AJ124" s="529" t="str">
        <f t="shared" si="999"/>
        <v/>
      </c>
      <c r="AK124" s="578" t="str">
        <f t="shared" si="1000"/>
        <v/>
      </c>
      <c r="AL124" s="572" t="str">
        <f t="shared" si="1001"/>
        <v/>
      </c>
      <c r="AM124" s="577" t="str">
        <f t="shared" si="1002"/>
        <v/>
      </c>
      <c r="AN124" s="524" t="str">
        <f t="shared" si="1003"/>
        <v/>
      </c>
      <c r="AO124" s="525" t="str">
        <f t="shared" si="1039"/>
        <v/>
      </c>
      <c r="AP124" s="528" t="str">
        <f t="shared" si="1004"/>
        <v/>
      </c>
      <c r="AQ124" s="529" t="str">
        <f t="shared" si="908"/>
        <v/>
      </c>
      <c r="AS124" s="954" t="str">
        <f t="shared" si="1010"/>
        <v/>
      </c>
      <c r="AT124" s="950" t="str">
        <f t="shared" si="909"/>
        <v/>
      </c>
      <c r="AU124" s="418"/>
      <c r="AV124" s="164" t="str">
        <f t="shared" si="910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1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2"/>
        <v/>
      </c>
      <c r="BF124" s="4" t="str">
        <f t="shared" si="913"/>
        <v/>
      </c>
      <c r="BG124" s="5" t="str">
        <f t="shared" si="914"/>
        <v/>
      </c>
      <c r="BH124" s="10" t="str">
        <f t="shared" si="915"/>
        <v/>
      </c>
      <c r="BI124" s="9" t="str">
        <f t="shared" si="739"/>
        <v/>
      </c>
      <c r="BJ124" s="5" t="str">
        <f t="shared" si="916"/>
        <v/>
      </c>
      <c r="BK124" s="8" t="str">
        <f t="shared" si="917"/>
        <v/>
      </c>
      <c r="BL124" s="173" t="str">
        <f t="shared" si="918"/>
        <v/>
      </c>
      <c r="BM124" s="5" t="str">
        <f t="shared" si="919"/>
        <v/>
      </c>
      <c r="BN124" s="6" t="str">
        <f t="shared" si="920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5"/>
        <v/>
      </c>
      <c r="BT124" s="5" t="str">
        <f t="shared" si="1005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1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1"/>
        <v/>
      </c>
      <c r="DC124" s="5" t="str">
        <f t="shared" si="1011"/>
        <v/>
      </c>
      <c r="DD124" s="10" t="str">
        <f t="shared" si="764"/>
        <v/>
      </c>
      <c r="DE124" s="9" t="str">
        <f t="shared" si="1012"/>
        <v/>
      </c>
      <c r="DF124" s="5" t="str">
        <f t="shared" si="1012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2"/>
        <v/>
      </c>
      <c r="ET124" s="5" t="str">
        <f t="shared" si="923"/>
        <v/>
      </c>
      <c r="EU124" s="10" t="str">
        <f t="shared" si="924"/>
        <v/>
      </c>
      <c r="EV124" s="174" t="str">
        <f t="shared" si="925"/>
        <v/>
      </c>
      <c r="EW124" s="9" t="str">
        <f t="shared" si="926"/>
        <v/>
      </c>
      <c r="EX124" s="5" t="str">
        <f t="shared" si="927"/>
        <v/>
      </c>
      <c r="EY124" s="6" t="str">
        <f t="shared" si="804"/>
        <v/>
      </c>
      <c r="EZ124" s="51" t="str">
        <f t="shared" si="805"/>
        <v/>
      </c>
      <c r="FA124" s="173" t="str">
        <f t="shared" si="928"/>
        <v/>
      </c>
      <c r="FB124" s="5" t="str">
        <f t="shared" si="929"/>
        <v/>
      </c>
      <c r="FC124" s="6" t="str">
        <f t="shared" si="930"/>
        <v/>
      </c>
      <c r="FD124" s="4" t="str">
        <f t="shared" si="931"/>
        <v/>
      </c>
      <c r="FE124" s="5" t="str">
        <f t="shared" si="932"/>
        <v/>
      </c>
      <c r="FF124" s="7" t="str">
        <f t="shared" si="806"/>
        <v/>
      </c>
      <c r="FG124" s="173" t="str">
        <f t="shared" si="933"/>
        <v/>
      </c>
      <c r="FH124" s="5" t="str">
        <f t="shared" si="934"/>
        <v/>
      </c>
      <c r="FI124" s="10" t="str">
        <f t="shared" si="935"/>
        <v/>
      </c>
      <c r="FJ124" s="279" t="str">
        <f t="shared" si="807"/>
        <v/>
      </c>
      <c r="FK124" s="4" t="str">
        <f t="shared" si="936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7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8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39"/>
        <v/>
      </c>
      <c r="GH124" s="286" t="str">
        <f t="shared" si="940"/>
        <v/>
      </c>
      <c r="GI124" s="281" t="str">
        <f t="shared" si="941"/>
        <v/>
      </c>
      <c r="GJ124" s="167" t="str">
        <f t="shared" si="823"/>
        <v/>
      </c>
      <c r="GK124" s="174" t="str">
        <f t="shared" si="942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3"/>
        <v/>
      </c>
      <c r="GT124" s="343" t="str">
        <f t="shared" si="944"/>
        <v/>
      </c>
      <c r="GU124" s="344" t="str">
        <f t="shared" si="945"/>
        <v/>
      </c>
      <c r="GV124" s="343" t="str">
        <f t="shared" si="831"/>
        <v/>
      </c>
      <c r="GW124" s="345" t="str">
        <f t="shared" si="946"/>
        <v/>
      </c>
      <c r="GX124" s="346" t="str">
        <f t="shared" si="947"/>
        <v/>
      </c>
      <c r="GY124" s="344" t="str">
        <f t="shared" si="948"/>
        <v/>
      </c>
      <c r="GZ124" s="345" t="str">
        <f t="shared" si="949"/>
        <v/>
      </c>
      <c r="HA124" s="342" t="str">
        <f t="shared" si="950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1"/>
        <v/>
      </c>
      <c r="HF124" s="5" t="str">
        <f t="shared" si="952"/>
        <v/>
      </c>
      <c r="HG124" s="343" t="str">
        <f t="shared" si="835"/>
        <v/>
      </c>
      <c r="HH124" s="349" t="str">
        <f t="shared" si="836"/>
        <v/>
      </c>
      <c r="HI124" s="317" t="str">
        <f t="shared" si="953"/>
        <v/>
      </c>
      <c r="HK124" s="310" t="str">
        <f t="shared" si="1006"/>
        <v/>
      </c>
      <c r="HL124" s="348" t="str">
        <f t="shared" si="954"/>
        <v/>
      </c>
      <c r="HM124" s="923" t="str">
        <f t="shared" si="955"/>
        <v/>
      </c>
      <c r="HN124" s="924" t="str">
        <f t="shared" si="956"/>
        <v/>
      </c>
      <c r="HO124" s="925"/>
      <c r="HP124" s="926"/>
      <c r="HQ124" s="924" t="str">
        <f t="shared" si="957"/>
        <v/>
      </c>
      <c r="HR124" s="927" t="str">
        <f t="shared" si="958"/>
        <v/>
      </c>
      <c r="HS124" s="879" t="str">
        <f t="shared" si="1007"/>
        <v/>
      </c>
      <c r="HT124" s="889" t="str">
        <f t="shared" si="959"/>
        <v/>
      </c>
      <c r="HU124" s="890" t="str">
        <f t="shared" si="960"/>
        <v/>
      </c>
      <c r="HV124" s="886" t="str">
        <f t="shared" si="961"/>
        <v/>
      </c>
      <c r="HW124" s="880" t="str">
        <f t="shared" si="962"/>
        <v/>
      </c>
      <c r="HX124" s="881" t="str">
        <f t="shared" si="963"/>
        <v/>
      </c>
      <c r="HY124" s="880" t="str">
        <f t="shared" si="964"/>
        <v/>
      </c>
      <c r="HZ124" s="882" t="str">
        <f t="shared" si="965"/>
        <v/>
      </c>
      <c r="IA124" s="883" t="str">
        <f t="shared" si="966"/>
        <v/>
      </c>
      <c r="IB124" s="884" t="str">
        <f t="shared" si="967"/>
        <v/>
      </c>
      <c r="IC124" s="855" t="str">
        <f t="shared" si="968"/>
        <v/>
      </c>
      <c r="ID124" s="351" t="str">
        <f t="shared" si="969"/>
        <v/>
      </c>
      <c r="IE124" s="857" t="str">
        <f t="shared" si="970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1"/>
        <v/>
      </c>
      <c r="IM124" s="482" t="str">
        <f t="shared" si="838"/>
        <v/>
      </c>
      <c r="IN124" s="670" t="str">
        <f t="shared" si="972"/>
        <v/>
      </c>
      <c r="IO124" s="702"/>
      <c r="IP124" s="5" t="str">
        <f t="shared" si="973"/>
        <v/>
      </c>
      <c r="IQ124" s="714"/>
      <c r="IR124" s="9" t="str">
        <f t="shared" si="974"/>
        <v/>
      </c>
      <c r="IS124" s="5" t="str">
        <f t="shared" si="975"/>
        <v/>
      </c>
      <c r="IT124" s="5" t="str">
        <f t="shared" si="976"/>
        <v/>
      </c>
      <c r="IU124" s="5" t="str">
        <f t="shared" si="977"/>
        <v/>
      </c>
      <c r="IV124" s="670" t="str">
        <f t="shared" si="978"/>
        <v/>
      </c>
      <c r="IW124" s="9" t="str">
        <f t="shared" si="979"/>
        <v/>
      </c>
      <c r="IX124" s="5" t="str">
        <f t="shared" si="980"/>
        <v/>
      </c>
      <c r="IY124" s="5" t="str">
        <f t="shared" si="981"/>
        <v/>
      </c>
      <c r="IZ124" s="5" t="str">
        <f t="shared" si="982"/>
        <v/>
      </c>
      <c r="JA124" s="705" t="str">
        <f t="shared" si="983"/>
        <v/>
      </c>
    </row>
    <row r="125" spans="1:261" ht="15" customHeight="1" x14ac:dyDescent="0.25">
      <c r="A125" s="75" t="str">
        <f t="shared" si="708"/>
        <v/>
      </c>
      <c r="B125" s="578" t="str">
        <f t="shared" ref="B125:D125" si="1048">IFERROR(O280-($A125*E125),"")</f>
        <v/>
      </c>
      <c r="C125" s="572" t="str">
        <f t="shared" si="1048"/>
        <v/>
      </c>
      <c r="D125" s="576" t="str">
        <f t="shared" si="1048"/>
        <v/>
      </c>
      <c r="E125" s="580" t="str">
        <f t="shared" ref="E125:K125" si="1049">R280</f>
        <v/>
      </c>
      <c r="F125" s="572" t="str">
        <f t="shared" si="1049"/>
        <v/>
      </c>
      <c r="G125" s="579" t="str">
        <f t="shared" si="1049"/>
        <v/>
      </c>
      <c r="H125" s="580" t="str">
        <f t="shared" si="1049"/>
        <v/>
      </c>
      <c r="I125" s="572" t="str">
        <f t="shared" si="1049"/>
        <v/>
      </c>
      <c r="J125" s="483" t="str">
        <f t="shared" si="711"/>
        <v/>
      </c>
      <c r="K125" s="806" t="str">
        <f t="shared" si="1049"/>
        <v/>
      </c>
      <c r="L125" s="309"/>
      <c r="M125" s="164" t="str">
        <f t="shared" si="901"/>
        <v/>
      </c>
      <c r="N125" s="575" t="str">
        <f t="shared" si="902"/>
        <v/>
      </c>
      <c r="O125" s="572" t="str">
        <f t="shared" si="903"/>
        <v/>
      </c>
      <c r="P125" s="576" t="str">
        <f t="shared" si="904"/>
        <v/>
      </c>
      <c r="Q125" s="528" t="str">
        <f t="shared" si="712"/>
        <v/>
      </c>
      <c r="R125" s="572" t="str">
        <f t="shared" si="986"/>
        <v/>
      </c>
      <c r="S125" s="577" t="str">
        <f t="shared" si="987"/>
        <v/>
      </c>
      <c r="T125" s="578" t="str">
        <f t="shared" si="988"/>
        <v/>
      </c>
      <c r="U125" s="572" t="str">
        <f t="shared" si="989"/>
        <v/>
      </c>
      <c r="V125" s="579" t="str">
        <f t="shared" si="990"/>
        <v/>
      </c>
      <c r="W125" s="528" t="str">
        <f t="shared" si="848"/>
        <v/>
      </c>
      <c r="X125" s="572" t="str">
        <f t="shared" si="991"/>
        <v/>
      </c>
      <c r="Y125" s="573" t="str">
        <f t="shared" si="841"/>
        <v/>
      </c>
      <c r="Z125" s="575" t="str">
        <f t="shared" si="905"/>
        <v/>
      </c>
      <c r="AA125" s="572" t="str">
        <f t="shared" si="906"/>
        <v/>
      </c>
      <c r="AB125" s="572" t="str">
        <f t="shared" si="907"/>
        <v/>
      </c>
      <c r="AC125" s="579" t="str">
        <f t="shared" si="992"/>
        <v/>
      </c>
      <c r="AD125" s="580" t="str">
        <f t="shared" si="993"/>
        <v/>
      </c>
      <c r="AE125" s="572" t="str">
        <f t="shared" si="994"/>
        <v/>
      </c>
      <c r="AF125" s="576" t="str">
        <f t="shared" si="995"/>
        <v/>
      </c>
      <c r="AG125" s="545" t="str">
        <f t="shared" si="996"/>
        <v/>
      </c>
      <c r="AH125" s="546" t="str">
        <f t="shared" si="997"/>
        <v/>
      </c>
      <c r="AI125" s="528" t="str">
        <f t="shared" si="998"/>
        <v/>
      </c>
      <c r="AJ125" s="529" t="str">
        <f t="shared" si="999"/>
        <v/>
      </c>
      <c r="AK125" s="578" t="str">
        <f t="shared" si="1000"/>
        <v/>
      </c>
      <c r="AL125" s="572" t="str">
        <f t="shared" si="1001"/>
        <v/>
      </c>
      <c r="AM125" s="577" t="str">
        <f t="shared" si="1002"/>
        <v/>
      </c>
      <c r="AN125" s="524" t="str">
        <f t="shared" si="1003"/>
        <v/>
      </c>
      <c r="AO125" s="525" t="str">
        <f t="shared" si="1039"/>
        <v/>
      </c>
      <c r="AP125" s="528" t="str">
        <f t="shared" si="1004"/>
        <v/>
      </c>
      <c r="AQ125" s="529" t="str">
        <f t="shared" si="908"/>
        <v/>
      </c>
      <c r="AS125" s="954" t="str">
        <f t="shared" si="1010"/>
        <v/>
      </c>
      <c r="AT125" s="950" t="str">
        <f t="shared" si="909"/>
        <v/>
      </c>
      <c r="AU125" s="418"/>
      <c r="AV125" s="164" t="str">
        <f t="shared" si="910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1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2"/>
        <v/>
      </c>
      <c r="BF125" s="4" t="str">
        <f t="shared" si="913"/>
        <v/>
      </c>
      <c r="BG125" s="5" t="str">
        <f t="shared" si="914"/>
        <v/>
      </c>
      <c r="BH125" s="10" t="str">
        <f t="shared" si="915"/>
        <v/>
      </c>
      <c r="BI125" s="9" t="str">
        <f t="shared" si="739"/>
        <v/>
      </c>
      <c r="BJ125" s="5" t="str">
        <f t="shared" si="916"/>
        <v/>
      </c>
      <c r="BK125" s="8" t="str">
        <f t="shared" si="917"/>
        <v/>
      </c>
      <c r="BL125" s="173" t="str">
        <f t="shared" si="918"/>
        <v/>
      </c>
      <c r="BM125" s="5" t="str">
        <f t="shared" si="919"/>
        <v/>
      </c>
      <c r="BN125" s="6" t="str">
        <f t="shared" si="920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5"/>
        <v/>
      </c>
      <c r="BT125" s="5" t="str">
        <f t="shared" si="1005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1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1"/>
        <v/>
      </c>
      <c r="DC125" s="5" t="str">
        <f t="shared" si="1011"/>
        <v/>
      </c>
      <c r="DD125" s="10" t="str">
        <f t="shared" si="764"/>
        <v/>
      </c>
      <c r="DE125" s="9" t="str">
        <f t="shared" si="1012"/>
        <v/>
      </c>
      <c r="DF125" s="5" t="str">
        <f t="shared" si="1012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2"/>
        <v/>
      </c>
      <c r="ET125" s="5" t="str">
        <f t="shared" si="923"/>
        <v/>
      </c>
      <c r="EU125" s="10" t="str">
        <f t="shared" si="924"/>
        <v/>
      </c>
      <c r="EV125" s="174" t="str">
        <f t="shared" si="925"/>
        <v/>
      </c>
      <c r="EW125" s="9" t="str">
        <f t="shared" si="926"/>
        <v/>
      </c>
      <c r="EX125" s="5" t="str">
        <f t="shared" si="927"/>
        <v/>
      </c>
      <c r="EY125" s="6" t="str">
        <f t="shared" si="804"/>
        <v/>
      </c>
      <c r="EZ125" s="51" t="str">
        <f t="shared" si="805"/>
        <v/>
      </c>
      <c r="FA125" s="173" t="str">
        <f t="shared" si="928"/>
        <v/>
      </c>
      <c r="FB125" s="5" t="str">
        <f t="shared" si="929"/>
        <v/>
      </c>
      <c r="FC125" s="6" t="str">
        <f t="shared" si="930"/>
        <v/>
      </c>
      <c r="FD125" s="4" t="str">
        <f t="shared" si="931"/>
        <v/>
      </c>
      <c r="FE125" s="5" t="str">
        <f t="shared" si="932"/>
        <v/>
      </c>
      <c r="FF125" s="7" t="str">
        <f t="shared" si="806"/>
        <v/>
      </c>
      <c r="FG125" s="173" t="str">
        <f t="shared" si="933"/>
        <v/>
      </c>
      <c r="FH125" s="5" t="str">
        <f t="shared" si="934"/>
        <v/>
      </c>
      <c r="FI125" s="10" t="str">
        <f t="shared" si="935"/>
        <v/>
      </c>
      <c r="FJ125" s="279" t="str">
        <f t="shared" si="807"/>
        <v/>
      </c>
      <c r="FK125" s="4" t="str">
        <f t="shared" si="936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7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8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39"/>
        <v/>
      </c>
      <c r="GH125" s="286" t="str">
        <f t="shared" si="940"/>
        <v/>
      </c>
      <c r="GI125" s="281" t="str">
        <f t="shared" si="941"/>
        <v/>
      </c>
      <c r="GJ125" s="167" t="str">
        <f t="shared" si="823"/>
        <v/>
      </c>
      <c r="GK125" s="174" t="str">
        <f t="shared" si="942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3"/>
        <v/>
      </c>
      <c r="GT125" s="343" t="str">
        <f t="shared" si="944"/>
        <v/>
      </c>
      <c r="GU125" s="344" t="str">
        <f t="shared" si="945"/>
        <v/>
      </c>
      <c r="GV125" s="343" t="str">
        <f t="shared" si="831"/>
        <v/>
      </c>
      <c r="GW125" s="345" t="str">
        <f t="shared" si="946"/>
        <v/>
      </c>
      <c r="GX125" s="346" t="str">
        <f t="shared" si="947"/>
        <v/>
      </c>
      <c r="GY125" s="344" t="str">
        <f t="shared" si="948"/>
        <v/>
      </c>
      <c r="GZ125" s="345" t="str">
        <f t="shared" si="949"/>
        <v/>
      </c>
      <c r="HA125" s="342" t="str">
        <f t="shared" si="950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1"/>
        <v/>
      </c>
      <c r="HF125" s="5" t="str">
        <f t="shared" si="952"/>
        <v/>
      </c>
      <c r="HG125" s="343" t="str">
        <f t="shared" si="835"/>
        <v/>
      </c>
      <c r="HH125" s="349" t="str">
        <f t="shared" si="836"/>
        <v/>
      </c>
      <c r="HI125" s="317" t="str">
        <f t="shared" si="953"/>
        <v/>
      </c>
      <c r="HK125" s="310" t="str">
        <f t="shared" si="1006"/>
        <v/>
      </c>
      <c r="HL125" s="348" t="str">
        <f t="shared" si="954"/>
        <v/>
      </c>
      <c r="HM125" s="923" t="str">
        <f t="shared" si="955"/>
        <v/>
      </c>
      <c r="HN125" s="924" t="str">
        <f t="shared" si="956"/>
        <v/>
      </c>
      <c r="HO125" s="925"/>
      <c r="HP125" s="926"/>
      <c r="HQ125" s="924" t="str">
        <f t="shared" si="957"/>
        <v/>
      </c>
      <c r="HR125" s="927" t="str">
        <f t="shared" si="958"/>
        <v/>
      </c>
      <c r="HS125" s="879" t="str">
        <f t="shared" si="1007"/>
        <v/>
      </c>
      <c r="HT125" s="889" t="str">
        <f t="shared" si="959"/>
        <v/>
      </c>
      <c r="HU125" s="890" t="str">
        <f t="shared" si="960"/>
        <v/>
      </c>
      <c r="HV125" s="886" t="str">
        <f t="shared" si="961"/>
        <v/>
      </c>
      <c r="HW125" s="880" t="str">
        <f t="shared" si="962"/>
        <v/>
      </c>
      <c r="HX125" s="881" t="str">
        <f t="shared" si="963"/>
        <v/>
      </c>
      <c r="HY125" s="880" t="str">
        <f t="shared" si="964"/>
        <v/>
      </c>
      <c r="HZ125" s="882" t="str">
        <f t="shared" si="965"/>
        <v/>
      </c>
      <c r="IA125" s="883" t="str">
        <f t="shared" si="966"/>
        <v/>
      </c>
      <c r="IB125" s="884" t="str">
        <f t="shared" si="967"/>
        <v/>
      </c>
      <c r="IC125" s="855" t="str">
        <f t="shared" si="968"/>
        <v/>
      </c>
      <c r="ID125" s="351" t="str">
        <f t="shared" si="969"/>
        <v/>
      </c>
      <c r="IE125" s="857" t="str">
        <f t="shared" si="970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1"/>
        <v/>
      </c>
      <c r="IM125" s="482" t="str">
        <f t="shared" si="838"/>
        <v/>
      </c>
      <c r="IN125" s="670" t="str">
        <f t="shared" si="972"/>
        <v/>
      </c>
      <c r="IO125" s="702"/>
      <c r="IP125" s="5" t="str">
        <f t="shared" si="973"/>
        <v/>
      </c>
      <c r="IQ125" s="714"/>
      <c r="IR125" s="9" t="str">
        <f t="shared" si="974"/>
        <v/>
      </c>
      <c r="IS125" s="5" t="str">
        <f t="shared" si="975"/>
        <v/>
      </c>
      <c r="IT125" s="5" t="str">
        <f t="shared" si="976"/>
        <v/>
      </c>
      <c r="IU125" s="5" t="str">
        <f t="shared" si="977"/>
        <v/>
      </c>
      <c r="IV125" s="670" t="str">
        <f t="shared" si="978"/>
        <v/>
      </c>
      <c r="IW125" s="9" t="str">
        <f t="shared" si="979"/>
        <v/>
      </c>
      <c r="IX125" s="5" t="str">
        <f t="shared" si="980"/>
        <v/>
      </c>
      <c r="IY125" s="5" t="str">
        <f t="shared" si="981"/>
        <v/>
      </c>
      <c r="IZ125" s="5" t="str">
        <f t="shared" si="982"/>
        <v/>
      </c>
      <c r="JA125" s="705" t="str">
        <f t="shared" si="983"/>
        <v/>
      </c>
    </row>
    <row r="126" spans="1:261" ht="15" customHeight="1" x14ac:dyDescent="0.25">
      <c r="A126" s="75" t="str">
        <f t="shared" si="708"/>
        <v/>
      </c>
      <c r="B126" s="578" t="str">
        <f t="shared" ref="B126:D126" si="1050">IFERROR(O281-($A126*E126),"")</f>
        <v/>
      </c>
      <c r="C126" s="572" t="str">
        <f t="shared" si="1050"/>
        <v/>
      </c>
      <c r="D126" s="576" t="str">
        <f t="shared" si="1050"/>
        <v/>
      </c>
      <c r="E126" s="580" t="str">
        <f t="shared" ref="E126:K126" si="1051">R281</f>
        <v/>
      </c>
      <c r="F126" s="572" t="str">
        <f t="shared" si="1051"/>
        <v/>
      </c>
      <c r="G126" s="579" t="str">
        <f t="shared" si="1051"/>
        <v/>
      </c>
      <c r="H126" s="580" t="str">
        <f t="shared" si="1051"/>
        <v/>
      </c>
      <c r="I126" s="572" t="str">
        <f t="shared" si="1051"/>
        <v/>
      </c>
      <c r="J126" s="483" t="str">
        <f t="shared" si="711"/>
        <v/>
      </c>
      <c r="K126" s="806" t="str">
        <f t="shared" si="1051"/>
        <v/>
      </c>
      <c r="L126" s="309"/>
      <c r="M126" s="164" t="str">
        <f t="shared" si="901"/>
        <v/>
      </c>
      <c r="N126" s="575" t="str">
        <f t="shared" si="902"/>
        <v/>
      </c>
      <c r="O126" s="572" t="str">
        <f t="shared" si="903"/>
        <v/>
      </c>
      <c r="P126" s="576" t="str">
        <f t="shared" si="904"/>
        <v/>
      </c>
      <c r="Q126" s="528" t="str">
        <f t="shared" si="712"/>
        <v/>
      </c>
      <c r="R126" s="572" t="str">
        <f t="shared" si="986"/>
        <v/>
      </c>
      <c r="S126" s="577" t="str">
        <f t="shared" si="987"/>
        <v/>
      </c>
      <c r="T126" s="578" t="str">
        <f t="shared" si="988"/>
        <v/>
      </c>
      <c r="U126" s="572" t="str">
        <f t="shared" si="989"/>
        <v/>
      </c>
      <c r="V126" s="579" t="str">
        <f t="shared" si="990"/>
        <v/>
      </c>
      <c r="W126" s="528" t="str">
        <f t="shared" si="848"/>
        <v/>
      </c>
      <c r="X126" s="572" t="str">
        <f t="shared" si="991"/>
        <v/>
      </c>
      <c r="Y126" s="573" t="str">
        <f t="shared" si="841"/>
        <v/>
      </c>
      <c r="Z126" s="575" t="str">
        <f t="shared" si="905"/>
        <v/>
      </c>
      <c r="AA126" s="572" t="str">
        <f t="shared" si="906"/>
        <v/>
      </c>
      <c r="AB126" s="572" t="str">
        <f t="shared" si="907"/>
        <v/>
      </c>
      <c r="AC126" s="579" t="str">
        <f t="shared" si="992"/>
        <v/>
      </c>
      <c r="AD126" s="580" t="str">
        <f t="shared" si="993"/>
        <v/>
      </c>
      <c r="AE126" s="572" t="str">
        <f t="shared" si="994"/>
        <v/>
      </c>
      <c r="AF126" s="576" t="str">
        <f t="shared" si="995"/>
        <v/>
      </c>
      <c r="AG126" s="545" t="str">
        <f t="shared" si="996"/>
        <v/>
      </c>
      <c r="AH126" s="546" t="str">
        <f t="shared" si="997"/>
        <v/>
      </c>
      <c r="AI126" s="528" t="str">
        <f t="shared" si="998"/>
        <v/>
      </c>
      <c r="AJ126" s="529" t="str">
        <f t="shared" si="999"/>
        <v/>
      </c>
      <c r="AK126" s="578" t="str">
        <f t="shared" si="1000"/>
        <v/>
      </c>
      <c r="AL126" s="572" t="str">
        <f t="shared" si="1001"/>
        <v/>
      </c>
      <c r="AM126" s="577" t="str">
        <f t="shared" si="1002"/>
        <v/>
      </c>
      <c r="AN126" s="524" t="str">
        <f t="shared" si="1003"/>
        <v/>
      </c>
      <c r="AO126" s="525" t="str">
        <f t="shared" si="1039"/>
        <v/>
      </c>
      <c r="AP126" s="528" t="str">
        <f t="shared" si="1004"/>
        <v/>
      </c>
      <c r="AQ126" s="529" t="str">
        <f t="shared" si="908"/>
        <v/>
      </c>
      <c r="AS126" s="954" t="str">
        <f t="shared" si="1010"/>
        <v/>
      </c>
      <c r="AT126" s="950" t="str">
        <f t="shared" si="909"/>
        <v/>
      </c>
      <c r="AU126" s="418"/>
      <c r="AV126" s="164" t="str">
        <f t="shared" si="910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1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2"/>
        <v/>
      </c>
      <c r="BF126" s="4" t="str">
        <f t="shared" si="913"/>
        <v/>
      </c>
      <c r="BG126" s="5" t="str">
        <f t="shared" si="914"/>
        <v/>
      </c>
      <c r="BH126" s="10" t="str">
        <f t="shared" si="915"/>
        <v/>
      </c>
      <c r="BI126" s="9" t="str">
        <f t="shared" si="739"/>
        <v/>
      </c>
      <c r="BJ126" s="5" t="str">
        <f t="shared" si="916"/>
        <v/>
      </c>
      <c r="BK126" s="8" t="str">
        <f t="shared" si="917"/>
        <v/>
      </c>
      <c r="BL126" s="173" t="str">
        <f t="shared" si="918"/>
        <v/>
      </c>
      <c r="BM126" s="5" t="str">
        <f t="shared" si="919"/>
        <v/>
      </c>
      <c r="BN126" s="6" t="str">
        <f t="shared" si="920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5"/>
        <v/>
      </c>
      <c r="BT126" s="5" t="str">
        <f t="shared" si="1005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1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1"/>
        <v/>
      </c>
      <c r="DC126" s="5" t="str">
        <f t="shared" si="1011"/>
        <v/>
      </c>
      <c r="DD126" s="10" t="str">
        <f t="shared" si="764"/>
        <v/>
      </c>
      <c r="DE126" s="9" t="str">
        <f t="shared" si="1012"/>
        <v/>
      </c>
      <c r="DF126" s="5" t="str">
        <f t="shared" si="1012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2"/>
        <v/>
      </c>
      <c r="ET126" s="5" t="str">
        <f t="shared" si="923"/>
        <v/>
      </c>
      <c r="EU126" s="10" t="str">
        <f t="shared" si="924"/>
        <v/>
      </c>
      <c r="EV126" s="174" t="str">
        <f t="shared" si="925"/>
        <v/>
      </c>
      <c r="EW126" s="9" t="str">
        <f t="shared" si="926"/>
        <v/>
      </c>
      <c r="EX126" s="5" t="str">
        <f t="shared" si="927"/>
        <v/>
      </c>
      <c r="EY126" s="6" t="str">
        <f t="shared" si="804"/>
        <v/>
      </c>
      <c r="EZ126" s="51" t="str">
        <f t="shared" si="805"/>
        <v/>
      </c>
      <c r="FA126" s="173" t="str">
        <f t="shared" si="928"/>
        <v/>
      </c>
      <c r="FB126" s="5" t="str">
        <f t="shared" si="929"/>
        <v/>
      </c>
      <c r="FC126" s="6" t="str">
        <f t="shared" si="930"/>
        <v/>
      </c>
      <c r="FD126" s="4" t="str">
        <f t="shared" si="931"/>
        <v/>
      </c>
      <c r="FE126" s="5" t="str">
        <f t="shared" si="932"/>
        <v/>
      </c>
      <c r="FF126" s="7" t="str">
        <f t="shared" si="806"/>
        <v/>
      </c>
      <c r="FG126" s="173" t="str">
        <f t="shared" si="933"/>
        <v/>
      </c>
      <c r="FH126" s="5" t="str">
        <f t="shared" si="934"/>
        <v/>
      </c>
      <c r="FI126" s="10" t="str">
        <f t="shared" si="935"/>
        <v/>
      </c>
      <c r="FJ126" s="279" t="str">
        <f t="shared" si="807"/>
        <v/>
      </c>
      <c r="FK126" s="4" t="str">
        <f t="shared" si="936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7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8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39"/>
        <v/>
      </c>
      <c r="GH126" s="286" t="str">
        <f t="shared" si="940"/>
        <v/>
      </c>
      <c r="GI126" s="281" t="str">
        <f t="shared" si="941"/>
        <v/>
      </c>
      <c r="GJ126" s="167" t="str">
        <f t="shared" si="823"/>
        <v/>
      </c>
      <c r="GK126" s="174" t="str">
        <f t="shared" si="942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3"/>
        <v/>
      </c>
      <c r="GT126" s="343" t="str">
        <f t="shared" si="944"/>
        <v/>
      </c>
      <c r="GU126" s="344" t="str">
        <f t="shared" si="945"/>
        <v/>
      </c>
      <c r="GV126" s="343" t="str">
        <f t="shared" si="831"/>
        <v/>
      </c>
      <c r="GW126" s="345" t="str">
        <f t="shared" si="946"/>
        <v/>
      </c>
      <c r="GX126" s="346" t="str">
        <f t="shared" si="947"/>
        <v/>
      </c>
      <c r="GY126" s="344" t="str">
        <f t="shared" si="948"/>
        <v/>
      </c>
      <c r="GZ126" s="345" t="str">
        <f t="shared" si="949"/>
        <v/>
      </c>
      <c r="HA126" s="342" t="str">
        <f t="shared" si="950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1"/>
        <v/>
      </c>
      <c r="HF126" s="5" t="str">
        <f t="shared" si="952"/>
        <v/>
      </c>
      <c r="HG126" s="343" t="str">
        <f t="shared" si="835"/>
        <v/>
      </c>
      <c r="HH126" s="349" t="str">
        <f t="shared" si="836"/>
        <v/>
      </c>
      <c r="HI126" s="317" t="str">
        <f t="shared" si="953"/>
        <v/>
      </c>
      <c r="HK126" s="310" t="str">
        <f t="shared" si="1006"/>
        <v/>
      </c>
      <c r="HL126" s="348" t="str">
        <f t="shared" si="954"/>
        <v/>
      </c>
      <c r="HM126" s="923" t="str">
        <f t="shared" si="955"/>
        <v/>
      </c>
      <c r="HN126" s="924" t="str">
        <f t="shared" si="956"/>
        <v/>
      </c>
      <c r="HO126" s="925"/>
      <c r="HP126" s="926"/>
      <c r="HQ126" s="924" t="str">
        <f t="shared" si="957"/>
        <v/>
      </c>
      <c r="HR126" s="927" t="str">
        <f t="shared" si="958"/>
        <v/>
      </c>
      <c r="HS126" s="879" t="str">
        <f t="shared" si="1007"/>
        <v/>
      </c>
      <c r="HT126" s="889" t="str">
        <f t="shared" si="959"/>
        <v/>
      </c>
      <c r="HU126" s="890" t="str">
        <f t="shared" si="960"/>
        <v/>
      </c>
      <c r="HV126" s="886" t="str">
        <f t="shared" si="961"/>
        <v/>
      </c>
      <c r="HW126" s="880" t="str">
        <f t="shared" si="962"/>
        <v/>
      </c>
      <c r="HX126" s="881" t="str">
        <f t="shared" si="963"/>
        <v/>
      </c>
      <c r="HY126" s="880" t="str">
        <f t="shared" si="964"/>
        <v/>
      </c>
      <c r="HZ126" s="882" t="str">
        <f t="shared" si="965"/>
        <v/>
      </c>
      <c r="IA126" s="883" t="str">
        <f t="shared" si="966"/>
        <v/>
      </c>
      <c r="IB126" s="884" t="str">
        <f t="shared" si="967"/>
        <v/>
      </c>
      <c r="IC126" s="855" t="str">
        <f t="shared" si="968"/>
        <v/>
      </c>
      <c r="ID126" s="351" t="str">
        <f t="shared" si="969"/>
        <v/>
      </c>
      <c r="IE126" s="857" t="str">
        <f t="shared" si="970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1"/>
        <v/>
      </c>
      <c r="IM126" s="482" t="str">
        <f t="shared" si="838"/>
        <v/>
      </c>
      <c r="IN126" s="670" t="str">
        <f t="shared" si="972"/>
        <v/>
      </c>
      <c r="IO126" s="702"/>
      <c r="IP126" s="5" t="str">
        <f t="shared" si="973"/>
        <v/>
      </c>
      <c r="IQ126" s="714"/>
      <c r="IR126" s="9" t="str">
        <f t="shared" si="974"/>
        <v/>
      </c>
      <c r="IS126" s="5" t="str">
        <f t="shared" si="975"/>
        <v/>
      </c>
      <c r="IT126" s="5" t="str">
        <f t="shared" si="976"/>
        <v/>
      </c>
      <c r="IU126" s="5" t="str">
        <f t="shared" si="977"/>
        <v/>
      </c>
      <c r="IV126" s="670" t="str">
        <f t="shared" si="978"/>
        <v/>
      </c>
      <c r="IW126" s="9" t="str">
        <f t="shared" si="979"/>
        <v/>
      </c>
      <c r="IX126" s="5" t="str">
        <f t="shared" si="980"/>
        <v/>
      </c>
      <c r="IY126" s="5" t="str">
        <f t="shared" si="981"/>
        <v/>
      </c>
      <c r="IZ126" s="5" t="str">
        <f t="shared" si="982"/>
        <v/>
      </c>
      <c r="JA126" s="705" t="str">
        <f t="shared" si="983"/>
        <v/>
      </c>
    </row>
    <row r="127" spans="1:261" ht="15" customHeight="1" x14ac:dyDescent="0.25">
      <c r="A127" s="75" t="str">
        <f t="shared" si="708"/>
        <v/>
      </c>
      <c r="B127" s="578" t="str">
        <f t="shared" ref="B127:D127" si="1052">IFERROR(O282-($A127*E127),"")</f>
        <v/>
      </c>
      <c r="C127" s="572" t="str">
        <f t="shared" si="1052"/>
        <v/>
      </c>
      <c r="D127" s="576" t="str">
        <f t="shared" si="1052"/>
        <v/>
      </c>
      <c r="E127" s="580" t="str">
        <f t="shared" ref="E127:K127" si="1053">R282</f>
        <v/>
      </c>
      <c r="F127" s="572" t="str">
        <f t="shared" si="1053"/>
        <v/>
      </c>
      <c r="G127" s="579" t="str">
        <f t="shared" si="1053"/>
        <v/>
      </c>
      <c r="H127" s="580" t="str">
        <f t="shared" si="1053"/>
        <v/>
      </c>
      <c r="I127" s="572" t="str">
        <f t="shared" si="1053"/>
        <v/>
      </c>
      <c r="J127" s="483" t="str">
        <f t="shared" si="711"/>
        <v/>
      </c>
      <c r="K127" s="806" t="str">
        <f t="shared" si="1053"/>
        <v/>
      </c>
      <c r="L127" s="309"/>
      <c r="M127" s="164" t="str">
        <f t="shared" si="901"/>
        <v/>
      </c>
      <c r="N127" s="575" t="str">
        <f t="shared" si="902"/>
        <v/>
      </c>
      <c r="O127" s="572" t="str">
        <f t="shared" si="903"/>
        <v/>
      </c>
      <c r="P127" s="576" t="str">
        <f t="shared" si="904"/>
        <v/>
      </c>
      <c r="Q127" s="528" t="str">
        <f t="shared" si="712"/>
        <v/>
      </c>
      <c r="R127" s="572" t="str">
        <f t="shared" si="986"/>
        <v/>
      </c>
      <c r="S127" s="577" t="str">
        <f t="shared" si="987"/>
        <v/>
      </c>
      <c r="T127" s="578" t="str">
        <f t="shared" si="988"/>
        <v/>
      </c>
      <c r="U127" s="572" t="str">
        <f t="shared" si="989"/>
        <v/>
      </c>
      <c r="V127" s="579" t="str">
        <f t="shared" si="990"/>
        <v/>
      </c>
      <c r="W127" s="528" t="str">
        <f t="shared" si="848"/>
        <v/>
      </c>
      <c r="X127" s="572" t="str">
        <f t="shared" si="991"/>
        <v/>
      </c>
      <c r="Y127" s="573" t="str">
        <f t="shared" si="841"/>
        <v/>
      </c>
      <c r="Z127" s="575" t="str">
        <f t="shared" si="905"/>
        <v/>
      </c>
      <c r="AA127" s="572" t="str">
        <f t="shared" si="906"/>
        <v/>
      </c>
      <c r="AB127" s="572" t="str">
        <f t="shared" si="907"/>
        <v/>
      </c>
      <c r="AC127" s="579" t="str">
        <f t="shared" si="992"/>
        <v/>
      </c>
      <c r="AD127" s="580" t="str">
        <f t="shared" si="993"/>
        <v/>
      </c>
      <c r="AE127" s="572" t="str">
        <f t="shared" si="994"/>
        <v/>
      </c>
      <c r="AF127" s="576" t="str">
        <f t="shared" si="995"/>
        <v/>
      </c>
      <c r="AG127" s="545" t="str">
        <f t="shared" si="996"/>
        <v/>
      </c>
      <c r="AH127" s="546" t="str">
        <f t="shared" si="997"/>
        <v/>
      </c>
      <c r="AI127" s="528" t="str">
        <f t="shared" si="998"/>
        <v/>
      </c>
      <c r="AJ127" s="529" t="str">
        <f t="shared" si="999"/>
        <v/>
      </c>
      <c r="AK127" s="578" t="str">
        <f t="shared" si="1000"/>
        <v/>
      </c>
      <c r="AL127" s="572" t="str">
        <f t="shared" si="1001"/>
        <v/>
      </c>
      <c r="AM127" s="577" t="str">
        <f t="shared" si="1002"/>
        <v/>
      </c>
      <c r="AN127" s="524" t="str">
        <f t="shared" si="1003"/>
        <v/>
      </c>
      <c r="AO127" s="525" t="str">
        <f t="shared" si="1039"/>
        <v/>
      </c>
      <c r="AP127" s="528" t="str">
        <f t="shared" si="1004"/>
        <v/>
      </c>
      <c r="AQ127" s="529" t="str">
        <f t="shared" si="908"/>
        <v/>
      </c>
      <c r="AS127" s="954" t="str">
        <f t="shared" si="1010"/>
        <v/>
      </c>
      <c r="AT127" s="950" t="str">
        <f t="shared" si="909"/>
        <v/>
      </c>
      <c r="AU127" s="418"/>
      <c r="AV127" s="164" t="str">
        <f t="shared" si="910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1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2"/>
        <v/>
      </c>
      <c r="BF127" s="4" t="str">
        <f t="shared" si="913"/>
        <v/>
      </c>
      <c r="BG127" s="5" t="str">
        <f t="shared" si="914"/>
        <v/>
      </c>
      <c r="BH127" s="10" t="str">
        <f t="shared" si="915"/>
        <v/>
      </c>
      <c r="BI127" s="9" t="str">
        <f t="shared" si="739"/>
        <v/>
      </c>
      <c r="BJ127" s="5" t="str">
        <f t="shared" si="916"/>
        <v/>
      </c>
      <c r="BK127" s="8" t="str">
        <f t="shared" si="917"/>
        <v/>
      </c>
      <c r="BL127" s="173" t="str">
        <f t="shared" si="918"/>
        <v/>
      </c>
      <c r="BM127" s="5" t="str">
        <f t="shared" si="919"/>
        <v/>
      </c>
      <c r="BN127" s="6" t="str">
        <f t="shared" si="920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5"/>
        <v/>
      </c>
      <c r="BT127" s="5" t="str">
        <f t="shared" si="1005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1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1"/>
        <v/>
      </c>
      <c r="DC127" s="5" t="str">
        <f t="shared" si="1011"/>
        <v/>
      </c>
      <c r="DD127" s="10" t="str">
        <f t="shared" si="764"/>
        <v/>
      </c>
      <c r="DE127" s="9" t="str">
        <f t="shared" si="1012"/>
        <v/>
      </c>
      <c r="DF127" s="5" t="str">
        <f t="shared" si="1012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2"/>
        <v/>
      </c>
      <c r="ET127" s="5" t="str">
        <f t="shared" si="923"/>
        <v/>
      </c>
      <c r="EU127" s="10" t="str">
        <f t="shared" si="924"/>
        <v/>
      </c>
      <c r="EV127" s="174" t="str">
        <f t="shared" si="925"/>
        <v/>
      </c>
      <c r="EW127" s="9" t="str">
        <f t="shared" si="926"/>
        <v/>
      </c>
      <c r="EX127" s="5" t="str">
        <f t="shared" si="927"/>
        <v/>
      </c>
      <c r="EY127" s="6" t="str">
        <f t="shared" si="804"/>
        <v/>
      </c>
      <c r="EZ127" s="51" t="str">
        <f t="shared" si="805"/>
        <v/>
      </c>
      <c r="FA127" s="173" t="str">
        <f t="shared" si="928"/>
        <v/>
      </c>
      <c r="FB127" s="5" t="str">
        <f t="shared" si="929"/>
        <v/>
      </c>
      <c r="FC127" s="6" t="str">
        <f t="shared" si="930"/>
        <v/>
      </c>
      <c r="FD127" s="4" t="str">
        <f t="shared" si="931"/>
        <v/>
      </c>
      <c r="FE127" s="5" t="str">
        <f t="shared" si="932"/>
        <v/>
      </c>
      <c r="FF127" s="7" t="str">
        <f t="shared" si="806"/>
        <v/>
      </c>
      <c r="FG127" s="173" t="str">
        <f t="shared" si="933"/>
        <v/>
      </c>
      <c r="FH127" s="5" t="str">
        <f t="shared" si="934"/>
        <v/>
      </c>
      <c r="FI127" s="10" t="str">
        <f t="shared" si="935"/>
        <v/>
      </c>
      <c r="FJ127" s="279" t="str">
        <f t="shared" si="807"/>
        <v/>
      </c>
      <c r="FK127" s="4" t="str">
        <f t="shared" si="936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7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8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39"/>
        <v/>
      </c>
      <c r="GH127" s="286" t="str">
        <f t="shared" si="940"/>
        <v/>
      </c>
      <c r="GI127" s="281" t="str">
        <f t="shared" si="941"/>
        <v/>
      </c>
      <c r="GJ127" s="167" t="str">
        <f t="shared" si="823"/>
        <v/>
      </c>
      <c r="GK127" s="174" t="str">
        <f t="shared" si="942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3"/>
        <v/>
      </c>
      <c r="GT127" s="343" t="str">
        <f t="shared" si="944"/>
        <v/>
      </c>
      <c r="GU127" s="344" t="str">
        <f t="shared" si="945"/>
        <v/>
      </c>
      <c r="GV127" s="343" t="str">
        <f t="shared" si="831"/>
        <v/>
      </c>
      <c r="GW127" s="345" t="str">
        <f t="shared" si="946"/>
        <v/>
      </c>
      <c r="GX127" s="346" t="str">
        <f t="shared" si="947"/>
        <v/>
      </c>
      <c r="GY127" s="344" t="str">
        <f t="shared" si="948"/>
        <v/>
      </c>
      <c r="GZ127" s="345" t="str">
        <f t="shared" si="949"/>
        <v/>
      </c>
      <c r="HA127" s="342" t="str">
        <f t="shared" si="950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1"/>
        <v/>
      </c>
      <c r="HF127" s="5" t="str">
        <f t="shared" si="952"/>
        <v/>
      </c>
      <c r="HG127" s="343" t="str">
        <f t="shared" si="835"/>
        <v/>
      </c>
      <c r="HH127" s="349" t="str">
        <f t="shared" si="836"/>
        <v/>
      </c>
      <c r="HI127" s="317" t="str">
        <f t="shared" si="953"/>
        <v/>
      </c>
      <c r="HK127" s="310" t="str">
        <f t="shared" si="1006"/>
        <v/>
      </c>
      <c r="HL127" s="348" t="str">
        <f t="shared" si="954"/>
        <v/>
      </c>
      <c r="HM127" s="923" t="str">
        <f t="shared" si="955"/>
        <v/>
      </c>
      <c r="HN127" s="924" t="str">
        <f t="shared" si="956"/>
        <v/>
      </c>
      <c r="HO127" s="925"/>
      <c r="HP127" s="926"/>
      <c r="HQ127" s="924" t="str">
        <f t="shared" si="957"/>
        <v/>
      </c>
      <c r="HR127" s="927" t="str">
        <f t="shared" si="958"/>
        <v/>
      </c>
      <c r="HS127" s="879" t="str">
        <f t="shared" si="1007"/>
        <v/>
      </c>
      <c r="HT127" s="889" t="str">
        <f t="shared" si="959"/>
        <v/>
      </c>
      <c r="HU127" s="890" t="str">
        <f t="shared" si="960"/>
        <v/>
      </c>
      <c r="HV127" s="886" t="str">
        <f t="shared" si="961"/>
        <v/>
      </c>
      <c r="HW127" s="880" t="str">
        <f t="shared" si="962"/>
        <v/>
      </c>
      <c r="HX127" s="881" t="str">
        <f t="shared" si="963"/>
        <v/>
      </c>
      <c r="HY127" s="880" t="str">
        <f t="shared" si="964"/>
        <v/>
      </c>
      <c r="HZ127" s="882" t="str">
        <f t="shared" si="965"/>
        <v/>
      </c>
      <c r="IA127" s="883" t="str">
        <f t="shared" si="966"/>
        <v/>
      </c>
      <c r="IB127" s="884" t="str">
        <f t="shared" si="967"/>
        <v/>
      </c>
      <c r="IC127" s="855" t="str">
        <f t="shared" si="968"/>
        <v/>
      </c>
      <c r="ID127" s="351" t="str">
        <f t="shared" si="969"/>
        <v/>
      </c>
      <c r="IE127" s="857" t="str">
        <f t="shared" si="970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1"/>
        <v/>
      </c>
      <c r="IM127" s="482" t="str">
        <f t="shared" si="838"/>
        <v/>
      </c>
      <c r="IN127" s="670" t="str">
        <f t="shared" si="972"/>
        <v/>
      </c>
      <c r="IO127" s="702"/>
      <c r="IP127" s="5" t="str">
        <f t="shared" si="973"/>
        <v/>
      </c>
      <c r="IQ127" s="714"/>
      <c r="IR127" s="9" t="str">
        <f t="shared" si="974"/>
        <v/>
      </c>
      <c r="IS127" s="5" t="str">
        <f t="shared" si="975"/>
        <v/>
      </c>
      <c r="IT127" s="5" t="str">
        <f t="shared" si="976"/>
        <v/>
      </c>
      <c r="IU127" s="5" t="str">
        <f t="shared" si="977"/>
        <v/>
      </c>
      <c r="IV127" s="670" t="str">
        <f t="shared" si="978"/>
        <v/>
      </c>
      <c r="IW127" s="9" t="str">
        <f t="shared" si="979"/>
        <v/>
      </c>
      <c r="IX127" s="5" t="str">
        <f t="shared" si="980"/>
        <v/>
      </c>
      <c r="IY127" s="5" t="str">
        <f t="shared" si="981"/>
        <v/>
      </c>
      <c r="IZ127" s="5" t="str">
        <f t="shared" si="982"/>
        <v/>
      </c>
      <c r="JA127" s="705" t="str">
        <f t="shared" si="983"/>
        <v/>
      </c>
    </row>
    <row r="128" spans="1:261" ht="15" customHeight="1" x14ac:dyDescent="0.25">
      <c r="A128" s="75" t="str">
        <f t="shared" si="708"/>
        <v/>
      </c>
      <c r="B128" s="578" t="str">
        <f t="shared" ref="B128:D128" si="1054">IFERROR(O283-($A128*E128),"")</f>
        <v/>
      </c>
      <c r="C128" s="572" t="str">
        <f t="shared" si="1054"/>
        <v/>
      </c>
      <c r="D128" s="576" t="str">
        <f t="shared" si="1054"/>
        <v/>
      </c>
      <c r="E128" s="580" t="str">
        <f t="shared" ref="E128:K128" si="1055">R283</f>
        <v/>
      </c>
      <c r="F128" s="572" t="str">
        <f t="shared" si="1055"/>
        <v/>
      </c>
      <c r="G128" s="579" t="str">
        <f t="shared" si="1055"/>
        <v/>
      </c>
      <c r="H128" s="580" t="str">
        <f t="shared" si="1055"/>
        <v/>
      </c>
      <c r="I128" s="572" t="str">
        <f t="shared" si="1055"/>
        <v/>
      </c>
      <c r="J128" s="483" t="str">
        <f t="shared" si="711"/>
        <v/>
      </c>
      <c r="K128" s="806" t="str">
        <f t="shared" si="1055"/>
        <v/>
      </c>
      <c r="L128" s="309"/>
      <c r="M128" s="164" t="str">
        <f t="shared" si="901"/>
        <v/>
      </c>
      <c r="N128" s="575" t="str">
        <f t="shared" si="902"/>
        <v/>
      </c>
      <c r="O128" s="572" t="str">
        <f t="shared" si="903"/>
        <v/>
      </c>
      <c r="P128" s="576" t="str">
        <f t="shared" si="904"/>
        <v/>
      </c>
      <c r="Q128" s="528" t="str">
        <f t="shared" si="712"/>
        <v/>
      </c>
      <c r="R128" s="572" t="str">
        <f t="shared" si="986"/>
        <v/>
      </c>
      <c r="S128" s="577" t="str">
        <f t="shared" si="987"/>
        <v/>
      </c>
      <c r="T128" s="578" t="str">
        <f t="shared" si="988"/>
        <v/>
      </c>
      <c r="U128" s="572" t="str">
        <f t="shared" si="989"/>
        <v/>
      </c>
      <c r="V128" s="579" t="str">
        <f t="shared" si="990"/>
        <v/>
      </c>
      <c r="W128" s="528" t="str">
        <f t="shared" si="848"/>
        <v/>
      </c>
      <c r="X128" s="572" t="str">
        <f t="shared" si="991"/>
        <v/>
      </c>
      <c r="Y128" s="573" t="str">
        <f t="shared" si="841"/>
        <v/>
      </c>
      <c r="Z128" s="575" t="str">
        <f t="shared" si="905"/>
        <v/>
      </c>
      <c r="AA128" s="572" t="str">
        <f t="shared" si="906"/>
        <v/>
      </c>
      <c r="AB128" s="572" t="str">
        <f t="shared" si="907"/>
        <v/>
      </c>
      <c r="AC128" s="579" t="str">
        <f t="shared" si="992"/>
        <v/>
      </c>
      <c r="AD128" s="580" t="str">
        <f t="shared" si="993"/>
        <v/>
      </c>
      <c r="AE128" s="572" t="str">
        <f t="shared" si="994"/>
        <v/>
      </c>
      <c r="AF128" s="576" t="str">
        <f t="shared" si="995"/>
        <v/>
      </c>
      <c r="AG128" s="545" t="str">
        <f t="shared" si="996"/>
        <v/>
      </c>
      <c r="AH128" s="546" t="str">
        <f t="shared" si="997"/>
        <v/>
      </c>
      <c r="AI128" s="528" t="str">
        <f t="shared" si="998"/>
        <v/>
      </c>
      <c r="AJ128" s="529" t="str">
        <f t="shared" si="999"/>
        <v/>
      </c>
      <c r="AK128" s="578" t="str">
        <f t="shared" si="1000"/>
        <v/>
      </c>
      <c r="AL128" s="572" t="str">
        <f t="shared" si="1001"/>
        <v/>
      </c>
      <c r="AM128" s="577" t="str">
        <f t="shared" si="1002"/>
        <v/>
      </c>
      <c r="AN128" s="524" t="str">
        <f t="shared" si="1003"/>
        <v/>
      </c>
      <c r="AO128" s="525" t="str">
        <f t="shared" si="1039"/>
        <v/>
      </c>
      <c r="AP128" s="528" t="str">
        <f t="shared" si="1004"/>
        <v/>
      </c>
      <c r="AQ128" s="529" t="str">
        <f t="shared" si="908"/>
        <v/>
      </c>
      <c r="AS128" s="954" t="str">
        <f t="shared" si="1010"/>
        <v/>
      </c>
      <c r="AT128" s="950" t="str">
        <f t="shared" si="909"/>
        <v/>
      </c>
      <c r="AU128" s="418"/>
      <c r="AV128" s="164" t="str">
        <f t="shared" si="910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1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2"/>
        <v/>
      </c>
      <c r="BF128" s="4" t="str">
        <f t="shared" si="913"/>
        <v/>
      </c>
      <c r="BG128" s="5" t="str">
        <f t="shared" si="914"/>
        <v/>
      </c>
      <c r="BH128" s="10" t="str">
        <f t="shared" si="915"/>
        <v/>
      </c>
      <c r="BI128" s="9" t="str">
        <f t="shared" si="739"/>
        <v/>
      </c>
      <c r="BJ128" s="5" t="str">
        <f t="shared" si="916"/>
        <v/>
      </c>
      <c r="BK128" s="8" t="str">
        <f t="shared" si="917"/>
        <v/>
      </c>
      <c r="BL128" s="173" t="str">
        <f t="shared" si="918"/>
        <v/>
      </c>
      <c r="BM128" s="5" t="str">
        <f t="shared" si="919"/>
        <v/>
      </c>
      <c r="BN128" s="6" t="str">
        <f t="shared" si="920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5"/>
        <v/>
      </c>
      <c r="BT128" s="5" t="str">
        <f t="shared" si="1005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1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1"/>
        <v/>
      </c>
      <c r="DC128" s="5" t="str">
        <f t="shared" si="1011"/>
        <v/>
      </c>
      <c r="DD128" s="10" t="str">
        <f t="shared" si="764"/>
        <v/>
      </c>
      <c r="DE128" s="9" t="str">
        <f t="shared" si="1012"/>
        <v/>
      </c>
      <c r="DF128" s="5" t="str">
        <f t="shared" si="1012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2"/>
        <v/>
      </c>
      <c r="ET128" s="5" t="str">
        <f t="shared" si="923"/>
        <v/>
      </c>
      <c r="EU128" s="10" t="str">
        <f t="shared" si="924"/>
        <v/>
      </c>
      <c r="EV128" s="174" t="str">
        <f t="shared" si="925"/>
        <v/>
      </c>
      <c r="EW128" s="9" t="str">
        <f t="shared" si="926"/>
        <v/>
      </c>
      <c r="EX128" s="5" t="str">
        <f t="shared" si="927"/>
        <v/>
      </c>
      <c r="EY128" s="6" t="str">
        <f t="shared" si="804"/>
        <v/>
      </c>
      <c r="EZ128" s="51" t="str">
        <f t="shared" si="805"/>
        <v/>
      </c>
      <c r="FA128" s="173" t="str">
        <f t="shared" si="928"/>
        <v/>
      </c>
      <c r="FB128" s="5" t="str">
        <f t="shared" si="929"/>
        <v/>
      </c>
      <c r="FC128" s="6" t="str">
        <f t="shared" si="930"/>
        <v/>
      </c>
      <c r="FD128" s="4" t="str">
        <f t="shared" si="931"/>
        <v/>
      </c>
      <c r="FE128" s="5" t="str">
        <f t="shared" si="932"/>
        <v/>
      </c>
      <c r="FF128" s="7" t="str">
        <f t="shared" si="806"/>
        <v/>
      </c>
      <c r="FG128" s="173" t="str">
        <f t="shared" si="933"/>
        <v/>
      </c>
      <c r="FH128" s="5" t="str">
        <f t="shared" si="934"/>
        <v/>
      </c>
      <c r="FI128" s="10" t="str">
        <f t="shared" si="935"/>
        <v/>
      </c>
      <c r="FJ128" s="279" t="str">
        <f t="shared" si="807"/>
        <v/>
      </c>
      <c r="FK128" s="4" t="str">
        <f t="shared" si="936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7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8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39"/>
        <v/>
      </c>
      <c r="GH128" s="286" t="str">
        <f t="shared" si="940"/>
        <v/>
      </c>
      <c r="GI128" s="281" t="str">
        <f t="shared" si="941"/>
        <v/>
      </c>
      <c r="GJ128" s="167" t="str">
        <f t="shared" si="823"/>
        <v/>
      </c>
      <c r="GK128" s="174" t="str">
        <f t="shared" si="942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3"/>
        <v/>
      </c>
      <c r="GT128" s="343" t="str">
        <f t="shared" si="944"/>
        <v/>
      </c>
      <c r="GU128" s="344" t="str">
        <f t="shared" si="945"/>
        <v/>
      </c>
      <c r="GV128" s="343" t="str">
        <f t="shared" si="831"/>
        <v/>
      </c>
      <c r="GW128" s="345" t="str">
        <f t="shared" si="946"/>
        <v/>
      </c>
      <c r="GX128" s="346" t="str">
        <f t="shared" si="947"/>
        <v/>
      </c>
      <c r="GY128" s="344" t="str">
        <f t="shared" si="948"/>
        <v/>
      </c>
      <c r="GZ128" s="345" t="str">
        <f t="shared" si="949"/>
        <v/>
      </c>
      <c r="HA128" s="342" t="str">
        <f t="shared" si="950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1"/>
        <v/>
      </c>
      <c r="HF128" s="5" t="str">
        <f t="shared" si="952"/>
        <v/>
      </c>
      <c r="HG128" s="343" t="str">
        <f t="shared" si="835"/>
        <v/>
      </c>
      <c r="HH128" s="349" t="str">
        <f t="shared" si="836"/>
        <v/>
      </c>
      <c r="HI128" s="317" t="str">
        <f t="shared" si="953"/>
        <v/>
      </c>
      <c r="HK128" s="310" t="str">
        <f t="shared" si="1006"/>
        <v/>
      </c>
      <c r="HL128" s="348" t="str">
        <f t="shared" si="954"/>
        <v/>
      </c>
      <c r="HM128" s="923" t="str">
        <f t="shared" si="955"/>
        <v/>
      </c>
      <c r="HN128" s="924" t="str">
        <f t="shared" si="956"/>
        <v/>
      </c>
      <c r="HO128" s="925"/>
      <c r="HP128" s="926"/>
      <c r="HQ128" s="924" t="str">
        <f t="shared" si="957"/>
        <v/>
      </c>
      <c r="HR128" s="927" t="str">
        <f t="shared" si="958"/>
        <v/>
      </c>
      <c r="HS128" s="879" t="str">
        <f t="shared" si="1007"/>
        <v/>
      </c>
      <c r="HT128" s="889" t="str">
        <f t="shared" si="959"/>
        <v/>
      </c>
      <c r="HU128" s="890" t="str">
        <f t="shared" si="960"/>
        <v/>
      </c>
      <c r="HV128" s="886" t="str">
        <f t="shared" si="961"/>
        <v/>
      </c>
      <c r="HW128" s="880" t="str">
        <f t="shared" si="962"/>
        <v/>
      </c>
      <c r="HX128" s="881" t="str">
        <f t="shared" si="963"/>
        <v/>
      </c>
      <c r="HY128" s="880" t="str">
        <f t="shared" si="964"/>
        <v/>
      </c>
      <c r="HZ128" s="882" t="str">
        <f t="shared" si="965"/>
        <v/>
      </c>
      <c r="IA128" s="883" t="str">
        <f t="shared" si="966"/>
        <v/>
      </c>
      <c r="IB128" s="884" t="str">
        <f t="shared" si="967"/>
        <v/>
      </c>
      <c r="IC128" s="855" t="str">
        <f t="shared" si="968"/>
        <v/>
      </c>
      <c r="ID128" s="351" t="str">
        <f t="shared" si="969"/>
        <v/>
      </c>
      <c r="IE128" s="857" t="str">
        <f t="shared" si="970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1"/>
        <v/>
      </c>
      <c r="IM128" s="482" t="str">
        <f t="shared" si="838"/>
        <v/>
      </c>
      <c r="IN128" s="670" t="str">
        <f t="shared" si="972"/>
        <v/>
      </c>
      <c r="IO128" s="702"/>
      <c r="IP128" s="5" t="str">
        <f t="shared" si="973"/>
        <v/>
      </c>
      <c r="IQ128" s="714"/>
      <c r="IR128" s="9" t="str">
        <f t="shared" si="974"/>
        <v/>
      </c>
      <c r="IS128" s="5" t="str">
        <f t="shared" si="975"/>
        <v/>
      </c>
      <c r="IT128" s="5" t="str">
        <f t="shared" si="976"/>
        <v/>
      </c>
      <c r="IU128" s="5" t="str">
        <f t="shared" si="977"/>
        <v/>
      </c>
      <c r="IV128" s="670" t="str">
        <f t="shared" si="978"/>
        <v/>
      </c>
      <c r="IW128" s="9" t="str">
        <f t="shared" si="979"/>
        <v/>
      </c>
      <c r="IX128" s="5" t="str">
        <f t="shared" si="980"/>
        <v/>
      </c>
      <c r="IY128" s="5" t="str">
        <f t="shared" si="981"/>
        <v/>
      </c>
      <c r="IZ128" s="5" t="str">
        <f t="shared" si="982"/>
        <v/>
      </c>
      <c r="JA128" s="705" t="str">
        <f t="shared" si="983"/>
        <v/>
      </c>
    </row>
    <row r="129" spans="1:261" ht="15" customHeight="1" x14ac:dyDescent="0.25">
      <c r="A129" s="75" t="str">
        <f t="shared" si="708"/>
        <v/>
      </c>
      <c r="B129" s="578" t="str">
        <f t="shared" ref="B129:D129" si="1056">IFERROR(O284-($A129*E129),"")</f>
        <v/>
      </c>
      <c r="C129" s="572" t="str">
        <f t="shared" si="1056"/>
        <v/>
      </c>
      <c r="D129" s="576" t="str">
        <f t="shared" si="1056"/>
        <v/>
      </c>
      <c r="E129" s="580" t="str">
        <f t="shared" ref="E129:K129" si="1057">R284</f>
        <v/>
      </c>
      <c r="F129" s="572" t="str">
        <f t="shared" si="1057"/>
        <v/>
      </c>
      <c r="G129" s="579" t="str">
        <f t="shared" si="1057"/>
        <v/>
      </c>
      <c r="H129" s="580" t="str">
        <f t="shared" si="1057"/>
        <v/>
      </c>
      <c r="I129" s="572" t="str">
        <f t="shared" si="1057"/>
        <v/>
      </c>
      <c r="J129" s="483" t="str">
        <f t="shared" si="711"/>
        <v/>
      </c>
      <c r="K129" s="806" t="str">
        <f t="shared" si="1057"/>
        <v/>
      </c>
      <c r="L129" s="309"/>
      <c r="M129" s="164" t="str">
        <f t="shared" si="901"/>
        <v/>
      </c>
      <c r="N129" s="575" t="str">
        <f t="shared" si="902"/>
        <v/>
      </c>
      <c r="O129" s="572" t="str">
        <f t="shared" si="903"/>
        <v/>
      </c>
      <c r="P129" s="576" t="str">
        <f t="shared" si="904"/>
        <v/>
      </c>
      <c r="Q129" s="528" t="str">
        <f t="shared" si="712"/>
        <v/>
      </c>
      <c r="R129" s="572" t="str">
        <f t="shared" si="986"/>
        <v/>
      </c>
      <c r="S129" s="577" t="str">
        <f t="shared" si="987"/>
        <v/>
      </c>
      <c r="T129" s="578" t="str">
        <f t="shared" si="988"/>
        <v/>
      </c>
      <c r="U129" s="572" t="str">
        <f t="shared" si="989"/>
        <v/>
      </c>
      <c r="V129" s="579" t="str">
        <f t="shared" si="990"/>
        <v/>
      </c>
      <c r="W129" s="528" t="str">
        <f t="shared" si="848"/>
        <v/>
      </c>
      <c r="X129" s="572" t="str">
        <f t="shared" si="991"/>
        <v/>
      </c>
      <c r="Y129" s="573" t="str">
        <f t="shared" si="841"/>
        <v/>
      </c>
      <c r="Z129" s="575" t="str">
        <f t="shared" si="905"/>
        <v/>
      </c>
      <c r="AA129" s="572" t="str">
        <f t="shared" si="906"/>
        <v/>
      </c>
      <c r="AB129" s="572" t="str">
        <f t="shared" si="907"/>
        <v/>
      </c>
      <c r="AC129" s="579" t="str">
        <f t="shared" si="992"/>
        <v/>
      </c>
      <c r="AD129" s="580" t="str">
        <f t="shared" si="993"/>
        <v/>
      </c>
      <c r="AE129" s="572" t="str">
        <f t="shared" si="994"/>
        <v/>
      </c>
      <c r="AF129" s="576" t="str">
        <f t="shared" si="995"/>
        <v/>
      </c>
      <c r="AG129" s="545" t="str">
        <f t="shared" si="996"/>
        <v/>
      </c>
      <c r="AH129" s="546" t="str">
        <f t="shared" si="997"/>
        <v/>
      </c>
      <c r="AI129" s="528" t="str">
        <f t="shared" si="998"/>
        <v/>
      </c>
      <c r="AJ129" s="529" t="str">
        <f t="shared" si="999"/>
        <v/>
      </c>
      <c r="AK129" s="578" t="str">
        <f t="shared" si="1000"/>
        <v/>
      </c>
      <c r="AL129" s="572" t="str">
        <f t="shared" si="1001"/>
        <v/>
      </c>
      <c r="AM129" s="577" t="str">
        <f t="shared" si="1002"/>
        <v/>
      </c>
      <c r="AN129" s="524" t="str">
        <f t="shared" si="1003"/>
        <v/>
      </c>
      <c r="AO129" s="525" t="str">
        <f t="shared" si="1039"/>
        <v/>
      </c>
      <c r="AP129" s="528" t="str">
        <f t="shared" si="1004"/>
        <v/>
      </c>
      <c r="AQ129" s="529" t="str">
        <f t="shared" si="908"/>
        <v/>
      </c>
      <c r="AS129" s="954" t="str">
        <f t="shared" si="1010"/>
        <v/>
      </c>
      <c r="AT129" s="950" t="str">
        <f t="shared" si="909"/>
        <v/>
      </c>
      <c r="AU129" s="418"/>
      <c r="AV129" s="164" t="str">
        <f t="shared" si="910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1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2"/>
        <v/>
      </c>
      <c r="BF129" s="4" t="str">
        <f t="shared" si="913"/>
        <v/>
      </c>
      <c r="BG129" s="5" t="str">
        <f t="shared" si="914"/>
        <v/>
      </c>
      <c r="BH129" s="10" t="str">
        <f t="shared" si="915"/>
        <v/>
      </c>
      <c r="BI129" s="9" t="str">
        <f t="shared" si="739"/>
        <v/>
      </c>
      <c r="BJ129" s="5" t="str">
        <f t="shared" si="916"/>
        <v/>
      </c>
      <c r="BK129" s="8" t="str">
        <f t="shared" si="917"/>
        <v/>
      </c>
      <c r="BL129" s="173" t="str">
        <f t="shared" si="918"/>
        <v/>
      </c>
      <c r="BM129" s="5" t="str">
        <f t="shared" si="919"/>
        <v/>
      </c>
      <c r="BN129" s="6" t="str">
        <f t="shared" si="920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5"/>
        <v/>
      </c>
      <c r="BT129" s="5" t="str">
        <f t="shared" si="1005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1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1"/>
        <v/>
      </c>
      <c r="DC129" s="5" t="str">
        <f t="shared" si="1011"/>
        <v/>
      </c>
      <c r="DD129" s="10" t="str">
        <f t="shared" si="764"/>
        <v/>
      </c>
      <c r="DE129" s="9" t="str">
        <f t="shared" si="1012"/>
        <v/>
      </c>
      <c r="DF129" s="5" t="str">
        <f t="shared" si="1012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2"/>
        <v/>
      </c>
      <c r="ET129" s="5" t="str">
        <f t="shared" si="923"/>
        <v/>
      </c>
      <c r="EU129" s="10" t="str">
        <f t="shared" si="924"/>
        <v/>
      </c>
      <c r="EV129" s="174" t="str">
        <f t="shared" si="925"/>
        <v/>
      </c>
      <c r="EW129" s="9" t="str">
        <f t="shared" si="926"/>
        <v/>
      </c>
      <c r="EX129" s="5" t="str">
        <f t="shared" si="927"/>
        <v/>
      </c>
      <c r="EY129" s="6" t="str">
        <f t="shared" si="804"/>
        <v/>
      </c>
      <c r="EZ129" s="51" t="str">
        <f t="shared" si="805"/>
        <v/>
      </c>
      <c r="FA129" s="173" t="str">
        <f t="shared" si="928"/>
        <v/>
      </c>
      <c r="FB129" s="5" t="str">
        <f t="shared" si="929"/>
        <v/>
      </c>
      <c r="FC129" s="6" t="str">
        <f t="shared" si="930"/>
        <v/>
      </c>
      <c r="FD129" s="4" t="str">
        <f t="shared" si="931"/>
        <v/>
      </c>
      <c r="FE129" s="5" t="str">
        <f t="shared" si="932"/>
        <v/>
      </c>
      <c r="FF129" s="7" t="str">
        <f t="shared" si="806"/>
        <v/>
      </c>
      <c r="FG129" s="173" t="str">
        <f t="shared" si="933"/>
        <v/>
      </c>
      <c r="FH129" s="5" t="str">
        <f t="shared" si="934"/>
        <v/>
      </c>
      <c r="FI129" s="10" t="str">
        <f t="shared" si="935"/>
        <v/>
      </c>
      <c r="FJ129" s="279" t="str">
        <f t="shared" si="807"/>
        <v/>
      </c>
      <c r="FK129" s="4" t="str">
        <f t="shared" si="936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7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8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39"/>
        <v/>
      </c>
      <c r="GH129" s="286" t="str">
        <f t="shared" si="940"/>
        <v/>
      </c>
      <c r="GI129" s="281" t="str">
        <f t="shared" si="941"/>
        <v/>
      </c>
      <c r="GJ129" s="167" t="str">
        <f t="shared" si="823"/>
        <v/>
      </c>
      <c r="GK129" s="174" t="str">
        <f t="shared" si="942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3"/>
        <v/>
      </c>
      <c r="GT129" s="343" t="str">
        <f t="shared" si="944"/>
        <v/>
      </c>
      <c r="GU129" s="344" t="str">
        <f t="shared" si="945"/>
        <v/>
      </c>
      <c r="GV129" s="343" t="str">
        <f t="shared" si="831"/>
        <v/>
      </c>
      <c r="GW129" s="345" t="str">
        <f t="shared" si="946"/>
        <v/>
      </c>
      <c r="GX129" s="346" t="str">
        <f t="shared" si="947"/>
        <v/>
      </c>
      <c r="GY129" s="344" t="str">
        <f t="shared" si="948"/>
        <v/>
      </c>
      <c r="GZ129" s="345" t="str">
        <f t="shared" si="949"/>
        <v/>
      </c>
      <c r="HA129" s="342" t="str">
        <f t="shared" si="950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1"/>
        <v/>
      </c>
      <c r="HF129" s="5" t="str">
        <f t="shared" si="952"/>
        <v/>
      </c>
      <c r="HG129" s="343" t="str">
        <f t="shared" si="835"/>
        <v/>
      </c>
      <c r="HH129" s="349" t="str">
        <f t="shared" si="836"/>
        <v/>
      </c>
      <c r="HI129" s="317" t="str">
        <f t="shared" si="953"/>
        <v/>
      </c>
      <c r="HK129" s="310" t="str">
        <f t="shared" si="1006"/>
        <v/>
      </c>
      <c r="HL129" s="348" t="str">
        <f t="shared" si="954"/>
        <v/>
      </c>
      <c r="HM129" s="923" t="str">
        <f t="shared" si="955"/>
        <v/>
      </c>
      <c r="HN129" s="924" t="str">
        <f t="shared" si="956"/>
        <v/>
      </c>
      <c r="HO129" s="925"/>
      <c r="HP129" s="926"/>
      <c r="HQ129" s="924" t="str">
        <f t="shared" si="957"/>
        <v/>
      </c>
      <c r="HR129" s="927" t="str">
        <f t="shared" si="958"/>
        <v/>
      </c>
      <c r="HS129" s="879" t="str">
        <f t="shared" si="1007"/>
        <v/>
      </c>
      <c r="HT129" s="889" t="str">
        <f t="shared" si="959"/>
        <v/>
      </c>
      <c r="HU129" s="890" t="str">
        <f t="shared" si="960"/>
        <v/>
      </c>
      <c r="HV129" s="886" t="str">
        <f t="shared" si="961"/>
        <v/>
      </c>
      <c r="HW129" s="880" t="str">
        <f t="shared" si="962"/>
        <v/>
      </c>
      <c r="HX129" s="881" t="str">
        <f t="shared" si="963"/>
        <v/>
      </c>
      <c r="HY129" s="880" t="str">
        <f t="shared" si="964"/>
        <v/>
      </c>
      <c r="HZ129" s="882" t="str">
        <f t="shared" si="965"/>
        <v/>
      </c>
      <c r="IA129" s="883" t="str">
        <f t="shared" si="966"/>
        <v/>
      </c>
      <c r="IB129" s="884" t="str">
        <f t="shared" si="967"/>
        <v/>
      </c>
      <c r="IC129" s="855" t="str">
        <f t="shared" si="968"/>
        <v/>
      </c>
      <c r="ID129" s="351" t="str">
        <f t="shared" si="969"/>
        <v/>
      </c>
      <c r="IE129" s="857" t="str">
        <f t="shared" si="970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1"/>
        <v/>
      </c>
      <c r="IM129" s="482" t="str">
        <f t="shared" si="838"/>
        <v/>
      </c>
      <c r="IN129" s="670" t="str">
        <f t="shared" si="972"/>
        <v/>
      </c>
      <c r="IO129" s="702"/>
      <c r="IP129" s="5" t="str">
        <f t="shared" si="973"/>
        <v/>
      </c>
      <c r="IQ129" s="714"/>
      <c r="IR129" s="9" t="str">
        <f t="shared" si="974"/>
        <v/>
      </c>
      <c r="IS129" s="5" t="str">
        <f t="shared" si="975"/>
        <v/>
      </c>
      <c r="IT129" s="5" t="str">
        <f t="shared" si="976"/>
        <v/>
      </c>
      <c r="IU129" s="5" t="str">
        <f t="shared" si="977"/>
        <v/>
      </c>
      <c r="IV129" s="670" t="str">
        <f t="shared" si="978"/>
        <v/>
      </c>
      <c r="IW129" s="9" t="str">
        <f t="shared" si="979"/>
        <v/>
      </c>
      <c r="IX129" s="5" t="str">
        <f t="shared" si="980"/>
        <v/>
      </c>
      <c r="IY129" s="5" t="str">
        <f t="shared" si="981"/>
        <v/>
      </c>
      <c r="IZ129" s="5" t="str">
        <f t="shared" si="982"/>
        <v/>
      </c>
      <c r="JA129" s="705" t="str">
        <f t="shared" si="983"/>
        <v/>
      </c>
    </row>
    <row r="130" spans="1:261" ht="15" customHeight="1" x14ac:dyDescent="0.25">
      <c r="A130" s="75" t="str">
        <f t="shared" si="708"/>
        <v/>
      </c>
      <c r="B130" s="585" t="str">
        <f t="shared" ref="B130:D130" si="1058">IFERROR(O285-($A130*E130),"")</f>
        <v/>
      </c>
      <c r="C130" s="582" t="str">
        <f t="shared" si="1058"/>
        <v/>
      </c>
      <c r="D130" s="583" t="str">
        <f t="shared" si="1058"/>
        <v/>
      </c>
      <c r="E130" s="588" t="str">
        <f t="shared" ref="E130:K130" si="1059">R285</f>
        <v/>
      </c>
      <c r="F130" s="582" t="str">
        <f t="shared" si="1059"/>
        <v/>
      </c>
      <c r="G130" s="586" t="str">
        <f t="shared" si="1059"/>
        <v/>
      </c>
      <c r="H130" s="588" t="str">
        <f t="shared" si="1059"/>
        <v/>
      </c>
      <c r="I130" s="582" t="str">
        <f t="shared" si="1059"/>
        <v/>
      </c>
      <c r="J130" s="491" t="str">
        <f t="shared" si="711"/>
        <v/>
      </c>
      <c r="K130" s="807" t="str">
        <f t="shared" si="1059"/>
        <v/>
      </c>
      <c r="L130" s="309"/>
      <c r="M130" s="492" t="str">
        <f t="shared" si="901"/>
        <v/>
      </c>
      <c r="N130" s="581" t="str">
        <f t="shared" si="902"/>
        <v/>
      </c>
      <c r="O130" s="582" t="str">
        <f t="shared" si="903"/>
        <v/>
      </c>
      <c r="P130" s="583" t="str">
        <f t="shared" si="904"/>
        <v/>
      </c>
      <c r="Q130" s="536" t="str">
        <f t="shared" ref="Q130:Q150" si="1060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1">IF(M130="","",SQRT(N130^2+O130^2))</f>
        <v/>
      </c>
      <c r="S130" s="584" t="str">
        <f t="shared" ref="S130:S150" si="1062">IF(M130="","",P130)</f>
        <v/>
      </c>
      <c r="T130" s="585" t="str">
        <f t="shared" ref="T130:T150" si="1063">IF(M130="","",X130*COS(RADIANS(W130)))</f>
        <v/>
      </c>
      <c r="U130" s="582" t="str">
        <f t="shared" ref="U130:U150" si="1064">IF(M130="","",X130*SIN(RADIANS(W130)))</f>
        <v/>
      </c>
      <c r="V130" s="586" t="str">
        <f t="shared" ref="V130:V150" si="1065">IF(M130="","",Y130)</f>
        <v/>
      </c>
      <c r="W130" s="536" t="str">
        <f t="shared" ref="W130:W150" si="1066">IF(M130="","",IF(Q130-$Q$8&lt;0,360+Q130-$Q$8,Q130-$Q$8))</f>
        <v/>
      </c>
      <c r="X130" s="582" t="str">
        <f t="shared" ref="X130:X150" si="1067">IF(M130="","",R130)</f>
        <v/>
      </c>
      <c r="Y130" s="587" t="str">
        <f t="shared" ref="Y130:Y150" si="1068">IF(M130="","",S130)</f>
        <v/>
      </c>
      <c r="Z130" s="581" t="str">
        <f t="shared" si="905"/>
        <v/>
      </c>
      <c r="AA130" s="582" t="str">
        <f t="shared" si="906"/>
        <v/>
      </c>
      <c r="AB130" s="582" t="str">
        <f t="shared" si="907"/>
        <v/>
      </c>
      <c r="AC130" s="586" t="str">
        <f t="shared" ref="AC130:AC150" si="1069">IF(M130="","",SQRT(Z130^2+AA130^2+AB130^2))</f>
        <v/>
      </c>
      <c r="AD130" s="588" t="str">
        <f t="shared" ref="AD130:AD150" si="1070">IF(M130="","",Z130*(1/SQRT(Z130^2+AA130^2+AB130^2)))</f>
        <v/>
      </c>
      <c r="AE130" s="582" t="str">
        <f t="shared" ref="AE130:AE150" si="1071">IF(M130="","",AA130*(1/SQRT(Z130^2+AA130^2+AB130^2)))</f>
        <v/>
      </c>
      <c r="AF130" s="583" t="str">
        <f t="shared" ref="AF130:AF150" si="1072">IF(M130="","",AB130*(1/SQRT(Z130^2+AA130^2+AB130^2)))</f>
        <v/>
      </c>
      <c r="AG130" s="547" t="str">
        <f t="shared" ref="AG130:AG150" si="1073">IF(M130="","",DEGREES(ATAN2(-AF130,AE130)))</f>
        <v/>
      </c>
      <c r="AH130" s="548" t="str">
        <f t="shared" ref="AH130:AH150" si="1074">IF(M130="","",DEGREES(ACOS(AD130)))</f>
        <v/>
      </c>
      <c r="AI130" s="536" t="str">
        <f t="shared" ref="AI130:AI150" si="1075">IF(M130="","",DEGREES(-ACOS(-AF130)))</f>
        <v/>
      </c>
      <c r="AJ130" s="537" t="str">
        <f t="shared" ref="AJ130:AJ150" si="1076">IF(M130="","",DEGREES(ATAN2(-AE130,AD130)))</f>
        <v/>
      </c>
      <c r="AK130" s="585" t="str">
        <f t="shared" ref="AK130:AK150" si="1077">IF(M130="","",(COS(RADIANS((90-$Q$8)-W130))*AD130)+(-SIN(RADIANS((90-$Q$8)-W130))*AE130))</f>
        <v/>
      </c>
      <c r="AL130" s="582" t="str">
        <f t="shared" ref="AL130:AL150" si="1078">IF(M130="","",(SIN(RADIANS((90-$Q$8)-W130))*AD130)+(COS(RADIANS((90-$Q$8)-W130))*AE130))</f>
        <v/>
      </c>
      <c r="AM130" s="584" t="str">
        <f t="shared" ref="AM130:AM150" si="1079">IF(M130="","",AF130)</f>
        <v/>
      </c>
      <c r="AN130" s="534" t="str">
        <f t="shared" ref="AN130:AN150" si="1080">IF(M130="","",DEGREES(ATAN2(-AM130,AL130)))</f>
        <v/>
      </c>
      <c r="AO130" s="535" t="str">
        <f t="shared" si="1039"/>
        <v/>
      </c>
      <c r="AP130" s="536" t="str">
        <f t="shared" ref="AP130:AP150" si="1081">IF(M130="","",DEGREES(ATAN2(AK130,AL130)))</f>
        <v/>
      </c>
      <c r="AQ130" s="537" t="str">
        <f t="shared" si="908"/>
        <v/>
      </c>
      <c r="AS130" s="955" t="str">
        <f t="shared" si="1010"/>
        <v/>
      </c>
      <c r="AT130" s="951" t="str">
        <f t="shared" si="909"/>
        <v/>
      </c>
      <c r="AU130" s="418"/>
      <c r="AV130" s="164" t="str">
        <f t="shared" si="910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2">IF(ISNUMBER(AV130),$AY130*SQRT((2*PI()*$AW130)^2+$AS$5^2),"")</f>
        <v/>
      </c>
      <c r="BA130" s="505" t="str">
        <f t="shared" ref="BA130:BA150" si="1083">IF(ISNUMBER(AV130),AZ130/$AZ$151,"")</f>
        <v/>
      </c>
      <c r="BB130" s="506" t="str">
        <f t="shared" si="713"/>
        <v/>
      </c>
      <c r="BC130" s="496"/>
      <c r="BD130" s="494" t="str">
        <f t="shared" ref="BD130:BD150" si="1084">IF(ISNUMBER(AV130),AW130,"")</f>
        <v/>
      </c>
      <c r="BE130" s="497" t="str">
        <f t="shared" si="912"/>
        <v/>
      </c>
      <c r="BF130" s="498" t="str">
        <f t="shared" si="913"/>
        <v/>
      </c>
      <c r="BG130" s="494" t="str">
        <f t="shared" si="914"/>
        <v/>
      </c>
      <c r="BH130" s="495" t="str">
        <f t="shared" si="915"/>
        <v/>
      </c>
      <c r="BI130" s="496" t="str">
        <f t="shared" ref="BI130:BI150" si="1085">IF(ISNUMBER($AV130),BF130+0,"")</f>
        <v/>
      </c>
      <c r="BJ130" s="494" t="str">
        <f t="shared" si="916"/>
        <v/>
      </c>
      <c r="BK130" s="499" t="str">
        <f t="shared" si="917"/>
        <v/>
      </c>
      <c r="BL130" s="502" t="str">
        <f t="shared" si="918"/>
        <v/>
      </c>
      <c r="BM130" s="494" t="str">
        <f t="shared" si="919"/>
        <v/>
      </c>
      <c r="BN130" s="497" t="str">
        <f t="shared" si="920"/>
        <v/>
      </c>
      <c r="BO130" s="498" t="str">
        <f t="shared" ref="BO130:BO150" si="1086">IF(ISNUMBER($AV130),BJ130*BN130-BM130*BK130-BG130*(BN130-BK130)+BH130*(BM130-BJ130),"")</f>
        <v/>
      </c>
      <c r="BP130" s="494" t="str">
        <f t="shared" ref="BP130:BP150" si="1087">IF(ISNUMBER($AV130),BF130*(BN130-BK130)-(BI130*BN130-BL130*BK130)+BH130*(BI130-BL130),"")</f>
        <v/>
      </c>
      <c r="BQ130" s="494" t="str">
        <f t="shared" ref="BQ130:BQ150" si="1088">IF(ISNUMBER($AV130),BF130*(BJ130-BM130)-BG130*(BI130-BL130)+(BI130*BM130-BL130*BJ130),"")</f>
        <v/>
      </c>
      <c r="BR130" s="497" t="str">
        <f t="shared" ref="BR130:BR150" si="1089">IF(ISNUMBER($AV130),-(BF130*(BJ130*BN130-BM130*BK130)-BG130*(BI130*BN130-BL130*BK130)+BH130*(BI130*BM130-BL130*BJ130)),"")</f>
        <v/>
      </c>
      <c r="BS130" s="498" t="str">
        <f t="shared" si="1005"/>
        <v/>
      </c>
      <c r="BT130" s="494" t="str">
        <f t="shared" si="1005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0">IF(ISNUMBER($AV130),BW130*CA130-BZ130*BX130-BT130*(CA130-BX130)+BU130*(BZ130-BW130),"")</f>
        <v/>
      </c>
      <c r="CC130" s="494" t="str">
        <f t="shared" ref="CC130:CC150" si="1091">IF(ISNUMBER($AV130),BS130*(CA130-BX130)-(BV130*CA130-BY130*BX130)+BU130*(BV130-BY130),"")</f>
        <v/>
      </c>
      <c r="CD130" s="494" t="str">
        <f t="shared" ref="CD130:CD150" si="1092">IF(ISNUMBER($AV130),BS130*(BW130-BZ130)-BT130*(BV130-BY130)+(BV130*BZ130-BY130*BW130),"")</f>
        <v/>
      </c>
      <c r="CE130" s="497" t="str">
        <f t="shared" ref="CE130:CE150" si="1093">IF(ISNUMBER($AV130),-(BS130*(BW130*CA130-BZ130*BX130)-BT130*(BV130*CA130-BY130*BX130)+BU130*(BV130*BZ130-BY130*BW130)),"")</f>
        <v/>
      </c>
      <c r="CF130" s="498" t="str">
        <f t="shared" ref="CF130:CF150" si="1094">IF(ISNUMBER($AV130),(BP130*CD130)-(BQ130*CC130),"")</f>
        <v/>
      </c>
      <c r="CG130" s="494" t="str">
        <f t="shared" ref="CG130:CG150" si="1095">IF(ISNUMBER($AV130),(BQ130*CB130)-(BO130*CD130),"")</f>
        <v/>
      </c>
      <c r="CH130" s="494" t="str">
        <f t="shared" ref="CH130:CH150" si="1096">IF(ISNUMBER($AV130),(BO130*CC130)-(BP130*CB130),"")</f>
        <v/>
      </c>
      <c r="CI130" s="498" t="str">
        <f t="shared" si="723"/>
        <v/>
      </c>
      <c r="CJ130" s="494" t="str">
        <f t="shared" ref="CJ130:CJ150" si="1097">IF(ISNUMBER($AV130),(CD130*BR130-BQ130*CE130)/(BQ130*CC130-CD130*BP130),"")</f>
        <v/>
      </c>
      <c r="CK130" s="499" t="str">
        <f t="shared" ref="CK130:CK150" si="1098">IF(ISNUMBER($AV130),(CC130*BR130-BP130*CE130)/(-CC130*BQ130+BP130*CD130),"")</f>
        <v/>
      </c>
      <c r="CL130" s="502" t="str">
        <f t="shared" ref="CL130:CL150" si="1099">IF(ISNUMBER($AV130),CI130+CF130,"")</f>
        <v/>
      </c>
      <c r="CM130" s="494" t="str">
        <f t="shared" ref="CM130:CM150" si="1100">IF(ISNUMBER($AV130),CJ130+CG130,"")</f>
        <v/>
      </c>
      <c r="CN130" s="497" t="str">
        <f t="shared" ref="CN130:CN150" si="1101">IF(ISNUMBER($AV130),CK130+CH130,"")</f>
        <v/>
      </c>
      <c r="CO130" s="507" t="str">
        <f t="shared" si="921"/>
        <v/>
      </c>
      <c r="CP130" s="498" t="str">
        <f t="shared" ref="CP130:CP150" si="1102">IF(ISNUMBER($AV130),(CL130-CI130)^2+(CM130-CJ130)^2+(CN130-CK130)^2,"")</f>
        <v/>
      </c>
      <c r="CQ130" s="494" t="str">
        <f t="shared" ref="CQ130:CQ150" si="1103">IF(ISNUMBER($AV130),2*((CL130-CI130)*(CI130-BF130)+(CM130-CJ130)*(CJ130-BG130)+(CN130-CK130)*(CK130-BH130)),"")</f>
        <v/>
      </c>
      <c r="CR130" s="494" t="str">
        <f t="shared" ref="CR130:CR150" si="1104">IF(ISNUMBER($AV130),BF130^2+BG130^2+BH130^2+CI130^2+CJ130^2+CK130^2-2*(BF130*CI130+BG130*CJ130+BH130*CK130)-CO130^2,"")</f>
        <v/>
      </c>
      <c r="CS130" s="499" t="str">
        <f t="shared" ref="CS130:CS150" si="1105">IF(ISNUMBER($AV130),CQ130^2-(4*CP130*CR130),"")</f>
        <v/>
      </c>
      <c r="CT130" s="496" t="str">
        <f t="shared" ref="CT130:CT150" si="1106">IF(ISNUMBER($AV130),(-CQ130+SQRT(CS130))/(CP130*2),"")</f>
        <v/>
      </c>
      <c r="CU130" s="497" t="str">
        <f t="shared" ref="CU130:CU150" si="1107">IF(ISNUMBER($AV130),(-CQ130-SQRT(CS130))/(CP130*2),"")</f>
        <v/>
      </c>
      <c r="CV130" s="498" t="str">
        <f t="shared" ref="CV130:CV150" si="1108">IF(ISNUMBER($AV130),CI130+($CT130*(CL130-CI130)),"")</f>
        <v/>
      </c>
      <c r="CW130" s="494" t="str">
        <f t="shared" ref="CW130:CW150" si="1109">IF(ISNUMBER($AV130),CJ130+($CT130*(CM130-CJ130)),"")</f>
        <v/>
      </c>
      <c r="CX130" s="499" t="str">
        <f t="shared" ref="CX130:CX150" si="1110">IF(ISNUMBER($AV130),CK130+($CT130*(CN130-CK130)),"")</f>
        <v/>
      </c>
      <c r="CY130" s="496" t="str">
        <f t="shared" ref="CY130:CY150" si="1111">IF(ISNUMBER($AV130),CI130+($CU130*(CL130-CI130)),"")</f>
        <v/>
      </c>
      <c r="CZ130" s="494" t="str">
        <f t="shared" ref="CZ130:CZ150" si="1112">IF(ISNUMBER($AV130),CJ130+($CU130*(CM130-CJ130)),"")</f>
        <v/>
      </c>
      <c r="DA130" s="497" t="str">
        <f t="shared" ref="DA130:DA150" si="1113">IF(ISNUMBER($AV130),CK130+($CU130*(CN130-CK130)),"")</f>
        <v/>
      </c>
      <c r="DB130" s="498" t="str">
        <f t="shared" si="1011"/>
        <v/>
      </c>
      <c r="DC130" s="494" t="str">
        <f t="shared" si="1011"/>
        <v/>
      </c>
      <c r="DD130" s="495" t="str">
        <f t="shared" si="764"/>
        <v/>
      </c>
      <c r="DE130" s="496" t="str">
        <f t="shared" si="1012"/>
        <v/>
      </c>
      <c r="DF130" s="494" t="str">
        <f t="shared" si="1012"/>
        <v/>
      </c>
      <c r="DG130" s="495" t="str">
        <f t="shared" si="766"/>
        <v/>
      </c>
      <c r="DH130" s="501" t="str">
        <f t="shared" ref="DH130:DH150" si="1114">IF(ISNUMBER($AV130),BD130,"")</f>
        <v/>
      </c>
      <c r="DI130" s="498" t="str">
        <f t="shared" ref="DI130:DI150" si="1115">IF(ISNUMBER($AV130),DE130-DB130,"")</f>
        <v/>
      </c>
      <c r="DJ130" s="494" t="str">
        <f t="shared" ref="DJ130:DJ150" si="1116">IF(ISNUMBER($AV130),DF130-DC130,"")</f>
        <v/>
      </c>
      <c r="DK130" s="495" t="str">
        <f t="shared" ref="DK130:DK150" si="1117">IF(ISNUMBER($AV130),DG130-DD130,"")</f>
        <v/>
      </c>
      <c r="DL130" s="496" t="str">
        <f t="shared" ref="DL130:DL150" si="1118">IF(ISNUMBER($AV130),CV130-DB130,"")</f>
        <v/>
      </c>
      <c r="DM130" s="502" t="str">
        <f t="shared" ref="DM130:DM150" si="1119">IF(ISNUMBER($AV130),CW130-DC130,"")</f>
        <v/>
      </c>
      <c r="DN130" s="508" t="str">
        <f t="shared" ref="DN130:DN150" si="1120">IF(ISNUMBER($AV130),CX130-DD130,"")</f>
        <v/>
      </c>
      <c r="DO130" s="496" t="str">
        <f t="shared" ref="DO130:DO150" si="1121">IF(ISNUMBER($AV130),CY130-CV130,"")</f>
        <v/>
      </c>
      <c r="DP130" s="502" t="str">
        <f t="shared" ref="DP130:DP150" si="1122">IF(ISNUMBER($AV130),CZ130-CW130,"")</f>
        <v/>
      </c>
      <c r="DQ130" s="503" t="str">
        <f t="shared" ref="DQ130:DQ150" si="1123">IF(ISNUMBER($AV130),DA130-CX130,"")</f>
        <v/>
      </c>
      <c r="DR130" s="502" t="str">
        <f t="shared" ref="DR130:DR150" si="1124">IF(ISNUMBER($AV130),SUMPRODUCT(DI130:DK130,DL130:DN130),"")</f>
        <v/>
      </c>
      <c r="DS130" s="494" t="str">
        <f t="shared" ref="DS130:DS150" si="1125">IF(ISNUMBER($AV130),SUMPRODUCT(DO130:DQ130,DI130:DK130),"")</f>
        <v/>
      </c>
      <c r="DT130" s="494" t="str">
        <f t="shared" ref="DT130:DT150" si="1126">IF(ISNUMBER($AV130),SUMPRODUCT(DI130:DK130,DI130:DK130),"")</f>
        <v/>
      </c>
      <c r="DU130" s="494" t="str">
        <f t="shared" ref="DU130:DU150" si="1127">IF(ISNUMBER($AV130),SUMPRODUCT(DO130:DQ130,DO130:DQ130),"")</f>
        <v/>
      </c>
      <c r="DV130" s="494" t="str">
        <f t="shared" ref="DV130:DV150" si="1128">IF(ISNUMBER($AV130),SUMPRODUCT(DL130:DN130,DO130:DQ130),"")</f>
        <v/>
      </c>
      <c r="DW130" s="494" t="str">
        <f t="shared" ref="DW130:DW150" si="1129">IF(ISNUMBER($AV130),SUMPRODUCT(DL130:DN130,DL130:DN130),"")</f>
        <v/>
      </c>
      <c r="DX130" s="507" t="str">
        <f t="shared" ref="DX130:DX150" si="1130">IF(ISNUMBER($AV130),DW130-DH130*DH130,"")</f>
        <v/>
      </c>
      <c r="DY130" s="496" t="str">
        <f t="shared" ref="DY130:DY150" si="1131">IF(ISNUMBER($AV130),DT130*DU130-DS130*DS130,"")</f>
        <v/>
      </c>
      <c r="DZ130" s="494" t="str">
        <f t="shared" ref="DZ130:DZ150" si="1132">IF(ISNUMBER($AV130),DT130*DV130-DS130*DR130,"")</f>
        <v/>
      </c>
      <c r="EA130" s="495" t="str">
        <f t="shared" ref="EA130:EA150" si="1133">IF(ISNUMBER($AV130),DT130*DX130-DR130*DR130,"")</f>
        <v/>
      </c>
      <c r="EB130" s="497" t="str">
        <f t="shared" ref="EB130:EB150" si="1134">IF(ISNUMBER($AV130),DZ130*DZ130-DY130*EA130,"")</f>
        <v/>
      </c>
      <c r="EC130" s="502" t="str">
        <f t="shared" ref="EC130:EC150" si="1135">IF(ISNUMBER($AV130),(-DZ130+SQRT(DZ130^2-DY130*EA130))/DY130,"")</f>
        <v/>
      </c>
      <c r="ED130" s="494" t="str">
        <f t="shared" ref="ED130:ED150" si="1136">IF(ISNUMBER($AV130),(-DZ130-SQRT(DZ130^2-DY130*EA130))/DY130,"")</f>
        <v/>
      </c>
      <c r="EE130" s="498" t="str">
        <f t="shared" ref="EE130:EE150" si="1137">IF(ISNUMBER($AV130),CV130+DO130*$EC130,"")</f>
        <v/>
      </c>
      <c r="EF130" s="494" t="str">
        <f t="shared" ref="EF130:EF150" si="1138">IF(ISNUMBER($AV130),CW130+DP130*$EC130,"")</f>
        <v/>
      </c>
      <c r="EG130" s="495" t="str">
        <f t="shared" ref="EG130:EG150" si="1139">IF(ISNUMBER($AV130),CX130+DQ130*$EC130,"")</f>
        <v/>
      </c>
      <c r="EH130" s="496" t="str">
        <f t="shared" ref="EH130:EH150" si="1140">IF(ISNUMBER($AV130),CV130+DO130*$ED130,"")</f>
        <v/>
      </c>
      <c r="EI130" s="494" t="str">
        <f t="shared" ref="EI130:EI150" si="1141">IF(ISNUMBER($AV130),CW130+DP130*$ED130,"")</f>
        <v/>
      </c>
      <c r="EJ130" s="497" t="str">
        <f t="shared" ref="EJ130:EJ150" si="1142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3">IF(ISNUMBER($AV130),IF($EK130=TRUE,EE130,IF($EL130=TRUE,EH130,"")),"")</f>
        <v/>
      </c>
      <c r="EN130" s="494" t="str">
        <f t="shared" ref="EN130:EN150" si="1144">IF(ISNUMBER($AV130),IF($EK130=TRUE,EF130,IF($EL130=TRUE,EI130,"")),"")</f>
        <v/>
      </c>
      <c r="EO130" s="495" t="str">
        <f t="shared" ref="EO130:EO150" si="1145">IF(ISNUMBER($AV130),IF($EK130=TRUE,EG130,IF($EL130=TRUE,EJ130,"")),"")</f>
        <v/>
      </c>
      <c r="EP130" s="496" t="str">
        <f t="shared" ref="EP130:EP150" si="1146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7">IF(ISNUMBER($AV130),SQRT(EM130^2+EN130^2),"")</f>
        <v/>
      </c>
      <c r="ER130" s="500" t="str">
        <f t="shared" ref="ER130:ER150" si="1148">IF(ISNUMBER($AV130),EO130,"")</f>
        <v/>
      </c>
      <c r="ES130" s="493" t="str">
        <f t="shared" si="922"/>
        <v/>
      </c>
      <c r="ET130" s="494" t="str">
        <f t="shared" si="923"/>
        <v/>
      </c>
      <c r="EU130" s="495" t="str">
        <f t="shared" si="924"/>
        <v/>
      </c>
      <c r="EV130" s="174" t="str">
        <f t="shared" ref="EV130:EV150" si="1149">IF(ISNUMBER($AV130),IF(($EV$1-EP130)&lt;0,(360+($EV$1-EP130)),($EV$1-EP130)),"")</f>
        <v/>
      </c>
      <c r="EW130" s="496" t="str">
        <f t="shared" ref="EW130:EW150" si="1150">IF(ISNUMBER($AV130),(COS(RADIANS($EV130))*ES130)+(-SIN(RADIANS($EV130))*ET130),"")</f>
        <v/>
      </c>
      <c r="EX130" s="494" t="str">
        <f t="shared" ref="EX130:EX150" si="1151">IF(ISNUMBER($AV130),(SIN(RADIANS($EV130))*ES130)+(COS(RADIANS($EV130))*ET130),"")</f>
        <v/>
      </c>
      <c r="EY130" s="497" t="str">
        <f t="shared" ref="EY130:EY150" si="1152">IF(ISNUMBER($AV130),EU130,"")</f>
        <v/>
      </c>
      <c r="EZ130" s="504" t="str">
        <f t="shared" si="805"/>
        <v/>
      </c>
      <c r="FA130" s="502" t="str">
        <f t="shared" si="928"/>
        <v/>
      </c>
      <c r="FB130" s="494" t="str">
        <f t="shared" si="929"/>
        <v/>
      </c>
      <c r="FC130" s="497" t="str">
        <f t="shared" si="930"/>
        <v/>
      </c>
      <c r="FD130" s="498" t="str">
        <f t="shared" ref="FD130:FD150" si="1153">IF(ISNUMBER($AV130),(COS(RADIANS($EV130))*FA130)+(-SIN(RADIANS($EV130))*FB130),"")</f>
        <v/>
      </c>
      <c r="FE130" s="494" t="str">
        <f t="shared" ref="FE130:FE150" si="1154">IF(ISNUMBER($AV130),(SIN(RADIANS($EV130))*FA130)+(COS(RADIANS($EV130))*FB130),"")</f>
        <v/>
      </c>
      <c r="FF130" s="500" t="str">
        <f t="shared" ref="FF130:FF150" si="1155">IF(ISNUMBER($AV130),FC130,"")</f>
        <v/>
      </c>
      <c r="FG130" s="173" t="str">
        <f t="shared" ref="FG130:FG150" si="1156">IF(ISNUMBER($AV130),EW130-FD130,"")</f>
        <v/>
      </c>
      <c r="FH130" s="5" t="str">
        <f t="shared" ref="FH130:FH150" si="1157">IF(ISNUMBER($AV130),EX130-FE130,"")</f>
        <v/>
      </c>
      <c r="FI130" s="10" t="str">
        <f t="shared" ref="FI130:FI150" si="1158">IF(ISNUMBER($AV130),EY130-FF130,"")</f>
        <v/>
      </c>
      <c r="FJ130" s="279" t="str">
        <f t="shared" ref="FJ130:FJ150" si="1159">IF(ISNUMBER($AV130),DEGREES(ACOS((2-SQRT((FG130)^2+(FH130)^2+(FI130)^2)^2)/2)),"")</f>
        <v/>
      </c>
      <c r="FK130" s="4" t="str">
        <f t="shared" ref="FK130:FK150" si="1160">IF(ISNUMBER($AV130),SQRT(ES130^2+ET130^2),"")</f>
        <v/>
      </c>
      <c r="FL130" s="5" t="str">
        <f t="shared" ref="FL130:FL150" si="1161">IF(ISNUMBER($AV130),SQRT(FA130^2+FB130^2),"")</f>
        <v/>
      </c>
      <c r="FM130" s="8" t="str">
        <f t="shared" ref="FM130:FM150" si="1162">IF(ISNUMBER($AV130),SQRT(FG130^2+FH130^2),"")</f>
        <v/>
      </c>
      <c r="FN130" s="9" t="str">
        <f t="shared" ref="FN130:FN150" si="1163">IF(ISNUMBER($AV130),DEGREES(ACOS((FK130^2+FL130^2-FM130^2)/(2*FK130*FL130))),"")</f>
        <v/>
      </c>
      <c r="FO130" s="10" t="str">
        <f t="shared" ref="FO130:FO150" si="1164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5">IF(ISNUMBER($AV130),FN130*FO130,"")</f>
        <v/>
      </c>
      <c r="FQ130" s="173" t="str">
        <f t="shared" ref="FQ130:FQ150" si="1166">IF(ISNUMBER($AV130),SIN(RADIANS(FN130)),"")</f>
        <v/>
      </c>
      <c r="FR130" s="10" t="str">
        <f t="shared" ref="FR130:FR150" si="1167">IF(ISNUMBER($AV130),COS(RADIANS(FN130)),"")</f>
        <v/>
      </c>
      <c r="FS130" s="9" t="str">
        <f t="shared" ref="FS130:FS150" si="1168">IF(ISNUMBER($AV130),FQ130/(FQ130+FR130),"")</f>
        <v/>
      </c>
      <c r="FT130" s="6" t="str">
        <f t="shared" ref="FT130:FT150" si="1169">IF(ISNUMBER($AV130),FR130/(FQ130+FR130),"")</f>
        <v/>
      </c>
      <c r="FU130" s="4" t="str">
        <f t="shared" ref="FU130:FU150" si="1170">IF(ISNUMBER($AV130),SQRT(EW130^2+EY130^2),"")</f>
        <v/>
      </c>
      <c r="FV130" s="5" t="str">
        <f t="shared" ref="FV130:FV150" si="1171">IF(ISNUMBER($AV130),SQRT(FD130^2+FF130^2),"")</f>
        <v/>
      </c>
      <c r="FW130" s="8" t="str">
        <f t="shared" ref="FW130:FW150" si="1172">IF(ISNUMBER($AV130),SQRT(FG130^2+FI130^2),"")</f>
        <v/>
      </c>
      <c r="FX130" s="9" t="str">
        <f t="shared" ref="FX130:FX150" si="1173">IF(ISNUMBER($AV130),DEGREES(ACOS((FU130^2+FV130^2-FW130^2)/(2*FU130*FV130))),"")</f>
        <v/>
      </c>
      <c r="FY130" s="10" t="str">
        <f t="shared" ref="FY130:FY150" si="1174">IF(ISNUMBER($AV130),IF(EU130&lt;FC130,1,-1),"")</f>
        <v/>
      </c>
      <c r="FZ130" s="277" t="str">
        <f t="shared" ref="FZ130:FZ150" si="1175">IF(ISNUMBER($AV130),FX130*FY130,"")</f>
        <v/>
      </c>
      <c r="GA130" s="177" t="str">
        <f t="shared" ref="GA130:GA150" si="1176">IF(ISNUMBER($AV130),DEGREES(FZ130*SIN(RADIANS(FU130))),"")</f>
        <v/>
      </c>
      <c r="GB130" s="4" t="str">
        <f t="shared" ref="GB130:GB150" si="1177">IF(ISNUMBER($AV130),COS(RADIANS(FP130+90))*COS(RADIANS(FZ130)),"")</f>
        <v/>
      </c>
      <c r="GC130" s="5" t="str">
        <f t="shared" ref="GC130:GC150" si="1178">IF(ISNUMBER($AV130),SIN(RADIANS(FP130+90))*COS(RADIANS(FZ130)),"")</f>
        <v/>
      </c>
      <c r="GD130" s="10" t="str">
        <f t="shared" ref="GD130:GD150" si="1179">IF(ISNUMBER($AV130),-SIN(RADIANS(FZ130)),"")</f>
        <v/>
      </c>
      <c r="GE130" s="311" t="str">
        <f t="shared" ref="GE130:GE150" si="1180">IF(ISNUMBER($AV130),SUM(ABS(GB130),ABS(GC130),ABS(GD130)),"")</f>
        <v/>
      </c>
      <c r="GF130" s="341" t="str">
        <f t="shared" ref="GF130:GF150" si="1181">IF(ISNUMBER($AV130),1/GE130,"")</f>
        <v/>
      </c>
      <c r="GG130" s="306" t="str">
        <f t="shared" ref="GG130:GG150" si="1182">IF(ISNUMBER($AV130),ABS(GB130)/(ABS($GB130)+ABS($GC130)+ABS($GD130)),"")</f>
        <v/>
      </c>
      <c r="GH130" s="307" t="str">
        <f t="shared" ref="GH130:GH150" si="1183">IF(ISNUMBER($AV130),ABS(GC130)/(ABS($GB130)+ABS($GC130)+ABS($GD130)),"")</f>
        <v/>
      </c>
      <c r="GI130" s="308" t="str">
        <f t="shared" ref="GI130:GI150" si="1184">IF(ISNUMBER($AV130),ABS(GD130)/(ABS($GB130)+ABS($GC130)+ABS($GD130)),"")</f>
        <v/>
      </c>
      <c r="GJ130" s="167" t="str">
        <f t="shared" ref="GJ130:GJ150" si="1185">IF(ISNUMBER($AV130),AW130,"")</f>
        <v/>
      </c>
      <c r="GK130" s="174" t="str">
        <f t="shared" si="942"/>
        <v/>
      </c>
      <c r="GL130" s="174" t="str">
        <f t="shared" ref="GL130:GL150" si="1186">IF(ISNUMBER($AV130),AY130,"")</f>
        <v/>
      </c>
      <c r="GM130" s="177" t="str">
        <f t="shared" ref="GM130:GM150" si="1187">IF(ISNUMBER($AV130),AZ130,"")</f>
        <v/>
      </c>
      <c r="GN130" s="280" t="str">
        <f t="shared" ref="GN130:GN150" si="1188">IF(ISNUMBER($AV130),BA130,"")</f>
        <v/>
      </c>
      <c r="GO130" s="4" t="str">
        <f t="shared" ref="GO130:GO150" si="1189">IF(ISNUMBER($AV130),FP130,"")</f>
        <v/>
      </c>
      <c r="GP130" s="8" t="str">
        <f t="shared" ref="GP130:GP150" si="1190">IF(ISNUMBER($AV130),FZ130,"")</f>
        <v/>
      </c>
      <c r="GQ130" s="177" t="str">
        <f t="shared" ref="GQ130:GQ150" si="1191">IF(ISNUMBER($AV130),FJ130,"")</f>
        <v/>
      </c>
      <c r="GR130" s="371" t="str">
        <f t="shared" ref="GR130:GR150" si="1192">IF(ISNUMBER($AV130),GS130+GU130+GY130,"")</f>
        <v/>
      </c>
      <c r="GS130" s="342" t="str">
        <f t="shared" ref="GS130:GS150" si="1193">IF(ISNUMBER($AV130),GU130/GH130*GG130,"")</f>
        <v/>
      </c>
      <c r="GT130" s="343" t="str">
        <f t="shared" ref="GT130:GT150" si="1194">IF(ISNUMBER($AV130),GS130/$GK130,"")</f>
        <v/>
      </c>
      <c r="GU130" s="344" t="str">
        <f t="shared" si="945"/>
        <v/>
      </c>
      <c r="GV130" s="343" t="str">
        <f t="shared" ref="GV130:GV150" si="1195">IF(ISNUMBER($AV130),GW130*$GL130,"")</f>
        <v/>
      </c>
      <c r="GW130" s="345" t="str">
        <f t="shared" si="946"/>
        <v/>
      </c>
      <c r="GX130" s="346" t="str">
        <f t="shared" si="947"/>
        <v/>
      </c>
      <c r="GY130" s="344" t="str">
        <f t="shared" ref="GY130:GY150" si="1196">IF(ISNUMBER($AV130),GU130/GH130*GI130,"")</f>
        <v/>
      </c>
      <c r="GZ130" s="345" t="str">
        <f t="shared" ref="GZ130:GZ150" si="1197">IF(ISNUMBER($AV130),GY130/$GK130,"")</f>
        <v/>
      </c>
      <c r="HA130" s="342" t="str">
        <f t="shared" si="950"/>
        <v/>
      </c>
      <c r="HB130" s="5" t="str">
        <f t="shared" si="832"/>
        <v/>
      </c>
      <c r="HC130" s="343" t="str">
        <f t="shared" ref="HC130:HC150" si="1198">IF(ISNUMBER($AV130),HA130*COS(RADIANS(HB130)),"")</f>
        <v/>
      </c>
      <c r="HD130" s="363" t="str">
        <f t="shared" ref="HD130:HD150" si="1199">IF(ISNUMBER($AV130),HA130*SIN(RADIANS(HB130)),"")</f>
        <v/>
      </c>
      <c r="HE130" s="344" t="str">
        <f t="shared" si="951"/>
        <v/>
      </c>
      <c r="HF130" s="5" t="str">
        <f t="shared" si="952"/>
        <v/>
      </c>
      <c r="HG130" s="343" t="str">
        <f t="shared" ref="HG130:HG150" si="1200">IF(ISNUMBER($AV130),HE130*COS(RADIANS(HF130)),"")</f>
        <v/>
      </c>
      <c r="HH130" s="349" t="str">
        <f t="shared" ref="HH130:HH150" si="1201">IF(ISNUMBER($AV130),HE130*SIN(RADIANS(HF130)),"")</f>
        <v/>
      </c>
      <c r="HI130" s="317" t="str">
        <f t="shared" si="953"/>
        <v/>
      </c>
      <c r="HK130" s="310" t="str">
        <f t="shared" si="1006"/>
        <v/>
      </c>
      <c r="HL130" s="348" t="str">
        <f t="shared" si="954"/>
        <v/>
      </c>
      <c r="HM130" s="923" t="str">
        <f t="shared" si="955"/>
        <v/>
      </c>
      <c r="HN130" s="924" t="str">
        <f t="shared" si="956"/>
        <v/>
      </c>
      <c r="HO130" s="925"/>
      <c r="HP130" s="926"/>
      <c r="HQ130" s="924" t="str">
        <f t="shared" si="957"/>
        <v/>
      </c>
      <c r="HR130" s="927" t="str">
        <f t="shared" si="958"/>
        <v/>
      </c>
      <c r="HS130" s="879" t="str">
        <f t="shared" ref="HS130:HS150" si="1202">IFERROR(SMALL($GJ$9:$GJ$150,($HK129+1)),"")</f>
        <v/>
      </c>
      <c r="HT130" s="889" t="str">
        <f t="shared" si="959"/>
        <v/>
      </c>
      <c r="HU130" s="890" t="str">
        <f t="shared" si="960"/>
        <v/>
      </c>
      <c r="HV130" s="886" t="str">
        <f t="shared" si="961"/>
        <v/>
      </c>
      <c r="HW130" s="880" t="str">
        <f t="shared" si="962"/>
        <v/>
      </c>
      <c r="HX130" s="881" t="str">
        <f t="shared" si="963"/>
        <v/>
      </c>
      <c r="HY130" s="880" t="str">
        <f t="shared" si="964"/>
        <v/>
      </c>
      <c r="HZ130" s="882" t="str">
        <f t="shared" si="965"/>
        <v/>
      </c>
      <c r="IA130" s="883" t="str">
        <f t="shared" si="966"/>
        <v/>
      </c>
      <c r="IB130" s="884" t="str">
        <f t="shared" si="967"/>
        <v/>
      </c>
      <c r="IC130" s="855" t="str">
        <f t="shared" si="968"/>
        <v/>
      </c>
      <c r="ID130" s="351" t="str">
        <f t="shared" si="969"/>
        <v/>
      </c>
      <c r="IE130" s="857" t="str">
        <f t="shared" si="970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1"/>
        <v/>
      </c>
      <c r="IM130" s="482" t="str">
        <f t="shared" si="838"/>
        <v/>
      </c>
      <c r="IN130" s="670" t="str">
        <f t="shared" si="972"/>
        <v/>
      </c>
      <c r="IO130" s="702"/>
      <c r="IP130" s="5" t="str">
        <f t="shared" si="973"/>
        <v/>
      </c>
      <c r="IQ130" s="714"/>
      <c r="IR130" s="9" t="str">
        <f t="shared" si="974"/>
        <v/>
      </c>
      <c r="IS130" s="5" t="str">
        <f t="shared" si="975"/>
        <v/>
      </c>
      <c r="IT130" s="5" t="str">
        <f t="shared" si="976"/>
        <v/>
      </c>
      <c r="IU130" s="5" t="str">
        <f t="shared" si="977"/>
        <v/>
      </c>
      <c r="IV130" s="670" t="str">
        <f t="shared" si="978"/>
        <v/>
      </c>
      <c r="IW130" s="9" t="str">
        <f t="shared" si="979"/>
        <v/>
      </c>
      <c r="IX130" s="5" t="str">
        <f t="shared" si="980"/>
        <v/>
      </c>
      <c r="IY130" s="5" t="str">
        <f t="shared" si="981"/>
        <v/>
      </c>
      <c r="IZ130" s="5" t="str">
        <f t="shared" si="982"/>
        <v/>
      </c>
      <c r="JA130" s="705" t="str">
        <f t="shared" si="983"/>
        <v/>
      </c>
    </row>
    <row r="131" spans="1:261" ht="15" customHeight="1" x14ac:dyDescent="0.25">
      <c r="A131" s="75" t="str">
        <f t="shared" si="708"/>
        <v/>
      </c>
      <c r="B131" s="585" t="str">
        <f t="shared" ref="B131:D131" si="1203">IFERROR(O286-($A131*E131),"")</f>
        <v/>
      </c>
      <c r="C131" s="582" t="str">
        <f t="shared" si="1203"/>
        <v/>
      </c>
      <c r="D131" s="583" t="str">
        <f t="shared" si="1203"/>
        <v/>
      </c>
      <c r="E131" s="588" t="str">
        <f t="shared" ref="E131:K131" si="1204">R286</f>
        <v/>
      </c>
      <c r="F131" s="582" t="str">
        <f t="shared" si="1204"/>
        <v/>
      </c>
      <c r="G131" s="586" t="str">
        <f t="shared" si="1204"/>
        <v/>
      </c>
      <c r="H131" s="588" t="str">
        <f t="shared" si="1204"/>
        <v/>
      </c>
      <c r="I131" s="582" t="str">
        <f t="shared" si="1204"/>
        <v/>
      </c>
      <c r="J131" s="491" t="str">
        <f t="shared" si="711"/>
        <v/>
      </c>
      <c r="K131" s="807" t="str">
        <f t="shared" si="1204"/>
        <v/>
      </c>
      <c r="L131" s="309"/>
      <c r="M131" s="492" t="str">
        <f t="shared" si="901"/>
        <v/>
      </c>
      <c r="N131" s="581" t="str">
        <f t="shared" si="902"/>
        <v/>
      </c>
      <c r="O131" s="582" t="str">
        <f t="shared" si="903"/>
        <v/>
      </c>
      <c r="P131" s="583" t="str">
        <f t="shared" si="904"/>
        <v/>
      </c>
      <c r="Q131" s="536" t="str">
        <f t="shared" si="1060"/>
        <v/>
      </c>
      <c r="R131" s="582" t="str">
        <f t="shared" si="1061"/>
        <v/>
      </c>
      <c r="S131" s="584" t="str">
        <f t="shared" si="1062"/>
        <v/>
      </c>
      <c r="T131" s="585" t="str">
        <f t="shared" si="1063"/>
        <v/>
      </c>
      <c r="U131" s="582" t="str">
        <f t="shared" si="1064"/>
        <v/>
      </c>
      <c r="V131" s="586" t="str">
        <f t="shared" si="1065"/>
        <v/>
      </c>
      <c r="W131" s="536" t="str">
        <f t="shared" si="1066"/>
        <v/>
      </c>
      <c r="X131" s="582" t="str">
        <f t="shared" si="1067"/>
        <v/>
      </c>
      <c r="Y131" s="587" t="str">
        <f t="shared" si="1068"/>
        <v/>
      </c>
      <c r="Z131" s="581" t="str">
        <f t="shared" si="905"/>
        <v/>
      </c>
      <c r="AA131" s="582" t="str">
        <f t="shared" si="906"/>
        <v/>
      </c>
      <c r="AB131" s="582" t="str">
        <f t="shared" si="907"/>
        <v/>
      </c>
      <c r="AC131" s="586" t="str">
        <f t="shared" si="1069"/>
        <v/>
      </c>
      <c r="AD131" s="588" t="str">
        <f t="shared" si="1070"/>
        <v/>
      </c>
      <c r="AE131" s="582" t="str">
        <f t="shared" si="1071"/>
        <v/>
      </c>
      <c r="AF131" s="583" t="str">
        <f t="shared" si="1072"/>
        <v/>
      </c>
      <c r="AG131" s="547" t="str">
        <f t="shared" si="1073"/>
        <v/>
      </c>
      <c r="AH131" s="548" t="str">
        <f t="shared" si="1074"/>
        <v/>
      </c>
      <c r="AI131" s="536" t="str">
        <f t="shared" si="1075"/>
        <v/>
      </c>
      <c r="AJ131" s="537" t="str">
        <f t="shared" si="1076"/>
        <v/>
      </c>
      <c r="AK131" s="585" t="str">
        <f t="shared" si="1077"/>
        <v/>
      </c>
      <c r="AL131" s="582" t="str">
        <f t="shared" si="1078"/>
        <v/>
      </c>
      <c r="AM131" s="584" t="str">
        <f t="shared" si="1079"/>
        <v/>
      </c>
      <c r="AN131" s="534" t="str">
        <f t="shared" si="1080"/>
        <v/>
      </c>
      <c r="AO131" s="535" t="str">
        <f t="shared" si="1039"/>
        <v/>
      </c>
      <c r="AP131" s="536" t="str">
        <f t="shared" si="1081"/>
        <v/>
      </c>
      <c r="AQ131" s="537" t="str">
        <f t="shared" si="908"/>
        <v/>
      </c>
      <c r="AS131" s="955" t="str">
        <f t="shared" si="1010"/>
        <v/>
      </c>
      <c r="AT131" s="951" t="str">
        <f t="shared" si="909"/>
        <v/>
      </c>
      <c r="AU131" s="418"/>
      <c r="AV131" s="164" t="str">
        <f t="shared" si="910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2"/>
        <v/>
      </c>
      <c r="BA131" s="505" t="str">
        <f t="shared" si="1083"/>
        <v/>
      </c>
      <c r="BB131" s="506" t="str">
        <f t="shared" si="713"/>
        <v/>
      </c>
      <c r="BC131" s="496"/>
      <c r="BD131" s="494" t="str">
        <f t="shared" si="1084"/>
        <v/>
      </c>
      <c r="BE131" s="497" t="str">
        <f t="shared" si="912"/>
        <v/>
      </c>
      <c r="BF131" s="498" t="str">
        <f t="shared" si="913"/>
        <v/>
      </c>
      <c r="BG131" s="494" t="str">
        <f t="shared" si="914"/>
        <v/>
      </c>
      <c r="BH131" s="495" t="str">
        <f t="shared" si="915"/>
        <v/>
      </c>
      <c r="BI131" s="496" t="str">
        <f t="shared" si="1085"/>
        <v/>
      </c>
      <c r="BJ131" s="494" t="str">
        <f t="shared" si="916"/>
        <v/>
      </c>
      <c r="BK131" s="499" t="str">
        <f t="shared" si="917"/>
        <v/>
      </c>
      <c r="BL131" s="502" t="str">
        <f t="shared" si="918"/>
        <v/>
      </c>
      <c r="BM131" s="494" t="str">
        <f t="shared" si="919"/>
        <v/>
      </c>
      <c r="BN131" s="497" t="str">
        <f t="shared" si="920"/>
        <v/>
      </c>
      <c r="BO131" s="498" t="str">
        <f t="shared" si="1086"/>
        <v/>
      </c>
      <c r="BP131" s="494" t="str">
        <f t="shared" si="1087"/>
        <v/>
      </c>
      <c r="BQ131" s="494" t="str">
        <f t="shared" si="1088"/>
        <v/>
      </c>
      <c r="BR131" s="497" t="str">
        <f t="shared" si="1089"/>
        <v/>
      </c>
      <c r="BS131" s="498" t="str">
        <f t="shared" si="1005"/>
        <v/>
      </c>
      <c r="BT131" s="494" t="str">
        <f t="shared" si="1005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0"/>
        <v/>
      </c>
      <c r="CC131" s="494" t="str">
        <f t="shared" si="1091"/>
        <v/>
      </c>
      <c r="CD131" s="494" t="str">
        <f t="shared" si="1092"/>
        <v/>
      </c>
      <c r="CE131" s="497" t="str">
        <f t="shared" si="1093"/>
        <v/>
      </c>
      <c r="CF131" s="498" t="str">
        <f t="shared" si="1094"/>
        <v/>
      </c>
      <c r="CG131" s="494" t="str">
        <f t="shared" si="1095"/>
        <v/>
      </c>
      <c r="CH131" s="494" t="str">
        <f t="shared" si="1096"/>
        <v/>
      </c>
      <c r="CI131" s="498" t="str">
        <f t="shared" si="723"/>
        <v/>
      </c>
      <c r="CJ131" s="494" t="str">
        <f t="shared" si="1097"/>
        <v/>
      </c>
      <c r="CK131" s="499" t="str">
        <f t="shared" si="1098"/>
        <v/>
      </c>
      <c r="CL131" s="502" t="str">
        <f t="shared" si="1099"/>
        <v/>
      </c>
      <c r="CM131" s="494" t="str">
        <f t="shared" si="1100"/>
        <v/>
      </c>
      <c r="CN131" s="497" t="str">
        <f t="shared" si="1101"/>
        <v/>
      </c>
      <c r="CO131" s="507" t="str">
        <f t="shared" si="921"/>
        <v/>
      </c>
      <c r="CP131" s="498" t="str">
        <f t="shared" si="1102"/>
        <v/>
      </c>
      <c r="CQ131" s="494" t="str">
        <f t="shared" si="1103"/>
        <v/>
      </c>
      <c r="CR131" s="494" t="str">
        <f t="shared" si="1104"/>
        <v/>
      </c>
      <c r="CS131" s="499" t="str">
        <f t="shared" si="1105"/>
        <v/>
      </c>
      <c r="CT131" s="496" t="str">
        <f t="shared" si="1106"/>
        <v/>
      </c>
      <c r="CU131" s="497" t="str">
        <f t="shared" si="1107"/>
        <v/>
      </c>
      <c r="CV131" s="498" t="str">
        <f t="shared" si="1108"/>
        <v/>
      </c>
      <c r="CW131" s="494" t="str">
        <f t="shared" si="1109"/>
        <v/>
      </c>
      <c r="CX131" s="499" t="str">
        <f t="shared" si="1110"/>
        <v/>
      </c>
      <c r="CY131" s="496" t="str">
        <f t="shared" si="1111"/>
        <v/>
      </c>
      <c r="CZ131" s="494" t="str">
        <f t="shared" si="1112"/>
        <v/>
      </c>
      <c r="DA131" s="497" t="str">
        <f t="shared" si="1113"/>
        <v/>
      </c>
      <c r="DB131" s="498" t="str">
        <f t="shared" si="1011"/>
        <v/>
      </c>
      <c r="DC131" s="494" t="str">
        <f t="shared" si="1011"/>
        <v/>
      </c>
      <c r="DD131" s="495" t="str">
        <f t="shared" si="764"/>
        <v/>
      </c>
      <c r="DE131" s="496" t="str">
        <f t="shared" si="1012"/>
        <v/>
      </c>
      <c r="DF131" s="494" t="str">
        <f t="shared" si="1012"/>
        <v/>
      </c>
      <c r="DG131" s="495" t="str">
        <f t="shared" si="766"/>
        <v/>
      </c>
      <c r="DH131" s="501" t="str">
        <f t="shared" si="1114"/>
        <v/>
      </c>
      <c r="DI131" s="498" t="str">
        <f t="shared" si="1115"/>
        <v/>
      </c>
      <c r="DJ131" s="494" t="str">
        <f t="shared" si="1116"/>
        <v/>
      </c>
      <c r="DK131" s="495" t="str">
        <f t="shared" si="1117"/>
        <v/>
      </c>
      <c r="DL131" s="496" t="str">
        <f t="shared" si="1118"/>
        <v/>
      </c>
      <c r="DM131" s="502" t="str">
        <f t="shared" si="1119"/>
        <v/>
      </c>
      <c r="DN131" s="508" t="str">
        <f t="shared" si="1120"/>
        <v/>
      </c>
      <c r="DO131" s="496" t="str">
        <f t="shared" si="1121"/>
        <v/>
      </c>
      <c r="DP131" s="502" t="str">
        <f t="shared" si="1122"/>
        <v/>
      </c>
      <c r="DQ131" s="503" t="str">
        <f t="shared" si="1123"/>
        <v/>
      </c>
      <c r="DR131" s="502" t="str">
        <f t="shared" si="1124"/>
        <v/>
      </c>
      <c r="DS131" s="494" t="str">
        <f t="shared" si="1125"/>
        <v/>
      </c>
      <c r="DT131" s="494" t="str">
        <f t="shared" si="1126"/>
        <v/>
      </c>
      <c r="DU131" s="494" t="str">
        <f t="shared" si="1127"/>
        <v/>
      </c>
      <c r="DV131" s="494" t="str">
        <f t="shared" si="1128"/>
        <v/>
      </c>
      <c r="DW131" s="494" t="str">
        <f t="shared" si="1129"/>
        <v/>
      </c>
      <c r="DX131" s="507" t="str">
        <f t="shared" si="1130"/>
        <v/>
      </c>
      <c r="DY131" s="496" t="str">
        <f t="shared" si="1131"/>
        <v/>
      </c>
      <c r="DZ131" s="494" t="str">
        <f t="shared" si="1132"/>
        <v/>
      </c>
      <c r="EA131" s="495" t="str">
        <f t="shared" si="1133"/>
        <v/>
      </c>
      <c r="EB131" s="497" t="str">
        <f t="shared" si="1134"/>
        <v/>
      </c>
      <c r="EC131" s="502" t="str">
        <f t="shared" si="1135"/>
        <v/>
      </c>
      <c r="ED131" s="494" t="str">
        <f t="shared" si="1136"/>
        <v/>
      </c>
      <c r="EE131" s="498" t="str">
        <f t="shared" si="1137"/>
        <v/>
      </c>
      <c r="EF131" s="494" t="str">
        <f t="shared" si="1138"/>
        <v/>
      </c>
      <c r="EG131" s="495" t="str">
        <f t="shared" si="1139"/>
        <v/>
      </c>
      <c r="EH131" s="496" t="str">
        <f t="shared" si="1140"/>
        <v/>
      </c>
      <c r="EI131" s="494" t="str">
        <f t="shared" si="1141"/>
        <v/>
      </c>
      <c r="EJ131" s="497" t="str">
        <f t="shared" si="1142"/>
        <v/>
      </c>
      <c r="EK131" s="509" t="str">
        <f t="shared" si="796"/>
        <v/>
      </c>
      <c r="EL131" s="510" t="str">
        <f t="shared" si="797"/>
        <v/>
      </c>
      <c r="EM131" s="498" t="str">
        <f t="shared" si="1143"/>
        <v/>
      </c>
      <c r="EN131" s="494" t="str">
        <f t="shared" si="1144"/>
        <v/>
      </c>
      <c r="EO131" s="495" t="str">
        <f t="shared" si="1145"/>
        <v/>
      </c>
      <c r="EP131" s="496" t="str">
        <f t="shared" si="1146"/>
        <v/>
      </c>
      <c r="EQ131" s="494" t="str">
        <f t="shared" si="1147"/>
        <v/>
      </c>
      <c r="ER131" s="500" t="str">
        <f t="shared" si="1148"/>
        <v/>
      </c>
      <c r="ES131" s="493" t="str">
        <f t="shared" si="922"/>
        <v/>
      </c>
      <c r="ET131" s="494" t="str">
        <f t="shared" si="923"/>
        <v/>
      </c>
      <c r="EU131" s="495" t="str">
        <f t="shared" si="924"/>
        <v/>
      </c>
      <c r="EV131" s="174" t="str">
        <f t="shared" si="1149"/>
        <v/>
      </c>
      <c r="EW131" s="496" t="str">
        <f t="shared" si="1150"/>
        <v/>
      </c>
      <c r="EX131" s="494" t="str">
        <f t="shared" si="1151"/>
        <v/>
      </c>
      <c r="EY131" s="497" t="str">
        <f t="shared" si="1152"/>
        <v/>
      </c>
      <c r="EZ131" s="504" t="str">
        <f t="shared" si="805"/>
        <v/>
      </c>
      <c r="FA131" s="502" t="str">
        <f t="shared" si="928"/>
        <v/>
      </c>
      <c r="FB131" s="494" t="str">
        <f t="shared" si="929"/>
        <v/>
      </c>
      <c r="FC131" s="497" t="str">
        <f t="shared" si="930"/>
        <v/>
      </c>
      <c r="FD131" s="498" t="str">
        <f t="shared" si="1153"/>
        <v/>
      </c>
      <c r="FE131" s="494" t="str">
        <f t="shared" si="1154"/>
        <v/>
      </c>
      <c r="FF131" s="500" t="str">
        <f t="shared" si="1155"/>
        <v/>
      </c>
      <c r="FG131" s="173" t="str">
        <f t="shared" si="1156"/>
        <v/>
      </c>
      <c r="FH131" s="5" t="str">
        <f t="shared" si="1157"/>
        <v/>
      </c>
      <c r="FI131" s="10" t="str">
        <f t="shared" si="1158"/>
        <v/>
      </c>
      <c r="FJ131" s="279" t="str">
        <f t="shared" si="1159"/>
        <v/>
      </c>
      <c r="FK131" s="4" t="str">
        <f t="shared" si="1160"/>
        <v/>
      </c>
      <c r="FL131" s="5" t="str">
        <f t="shared" si="1161"/>
        <v/>
      </c>
      <c r="FM131" s="8" t="str">
        <f t="shared" si="1162"/>
        <v/>
      </c>
      <c r="FN131" s="9" t="str">
        <f t="shared" si="1163"/>
        <v/>
      </c>
      <c r="FO131" s="10" t="str">
        <f t="shared" si="1164"/>
        <v/>
      </c>
      <c r="FP131" s="277" t="str">
        <f t="shared" si="1165"/>
        <v/>
      </c>
      <c r="FQ131" s="173" t="str">
        <f t="shared" si="1166"/>
        <v/>
      </c>
      <c r="FR131" s="10" t="str">
        <f t="shared" si="1167"/>
        <v/>
      </c>
      <c r="FS131" s="9" t="str">
        <f t="shared" si="1168"/>
        <v/>
      </c>
      <c r="FT131" s="6" t="str">
        <f t="shared" si="1169"/>
        <v/>
      </c>
      <c r="FU131" s="4" t="str">
        <f t="shared" si="1170"/>
        <v/>
      </c>
      <c r="FV131" s="5" t="str">
        <f t="shared" si="1171"/>
        <v/>
      </c>
      <c r="FW131" s="8" t="str">
        <f t="shared" si="1172"/>
        <v/>
      </c>
      <c r="FX131" s="9" t="str">
        <f t="shared" si="1173"/>
        <v/>
      </c>
      <c r="FY131" s="10" t="str">
        <f t="shared" si="1174"/>
        <v/>
      </c>
      <c r="FZ131" s="277" t="str">
        <f t="shared" si="1175"/>
        <v/>
      </c>
      <c r="GA131" s="177" t="str">
        <f t="shared" si="1176"/>
        <v/>
      </c>
      <c r="GB131" s="4" t="str">
        <f t="shared" si="1177"/>
        <v/>
      </c>
      <c r="GC131" s="5" t="str">
        <f t="shared" si="1178"/>
        <v/>
      </c>
      <c r="GD131" s="10" t="str">
        <f t="shared" si="1179"/>
        <v/>
      </c>
      <c r="GE131" s="311" t="str">
        <f t="shared" si="1180"/>
        <v/>
      </c>
      <c r="GF131" s="341" t="str">
        <f t="shared" si="1181"/>
        <v/>
      </c>
      <c r="GG131" s="306" t="str">
        <f t="shared" si="1182"/>
        <v/>
      </c>
      <c r="GH131" s="307" t="str">
        <f t="shared" si="1183"/>
        <v/>
      </c>
      <c r="GI131" s="308" t="str">
        <f t="shared" si="1184"/>
        <v/>
      </c>
      <c r="GJ131" s="167" t="str">
        <f t="shared" si="1185"/>
        <v/>
      </c>
      <c r="GK131" s="174" t="str">
        <f t="shared" si="942"/>
        <v/>
      </c>
      <c r="GL131" s="174" t="str">
        <f t="shared" si="1186"/>
        <v/>
      </c>
      <c r="GM131" s="177" t="str">
        <f t="shared" si="1187"/>
        <v/>
      </c>
      <c r="GN131" s="280" t="str">
        <f t="shared" si="1188"/>
        <v/>
      </c>
      <c r="GO131" s="4" t="str">
        <f t="shared" si="1189"/>
        <v/>
      </c>
      <c r="GP131" s="8" t="str">
        <f t="shared" si="1190"/>
        <v/>
      </c>
      <c r="GQ131" s="177" t="str">
        <f t="shared" si="1191"/>
        <v/>
      </c>
      <c r="GR131" s="371" t="str">
        <f t="shared" si="1192"/>
        <v/>
      </c>
      <c r="GS131" s="342" t="str">
        <f t="shared" si="1193"/>
        <v/>
      </c>
      <c r="GT131" s="343" t="str">
        <f t="shared" si="1194"/>
        <v/>
      </c>
      <c r="GU131" s="344" t="str">
        <f t="shared" si="945"/>
        <v/>
      </c>
      <c r="GV131" s="343" t="str">
        <f t="shared" si="1195"/>
        <v/>
      </c>
      <c r="GW131" s="345" t="str">
        <f t="shared" si="946"/>
        <v/>
      </c>
      <c r="GX131" s="346" t="str">
        <f t="shared" si="947"/>
        <v/>
      </c>
      <c r="GY131" s="344" t="str">
        <f t="shared" si="1196"/>
        <v/>
      </c>
      <c r="GZ131" s="345" t="str">
        <f t="shared" si="1197"/>
        <v/>
      </c>
      <c r="HA131" s="342" t="str">
        <f t="shared" si="950"/>
        <v/>
      </c>
      <c r="HB131" s="5" t="str">
        <f t="shared" si="832"/>
        <v/>
      </c>
      <c r="HC131" s="343" t="str">
        <f t="shared" si="1198"/>
        <v/>
      </c>
      <c r="HD131" s="363" t="str">
        <f t="shared" si="1199"/>
        <v/>
      </c>
      <c r="HE131" s="344" t="str">
        <f t="shared" si="951"/>
        <v/>
      </c>
      <c r="HF131" s="5" t="str">
        <f t="shared" si="952"/>
        <v/>
      </c>
      <c r="HG131" s="343" t="str">
        <f t="shared" si="1200"/>
        <v/>
      </c>
      <c r="HH131" s="349" t="str">
        <f t="shared" si="1201"/>
        <v/>
      </c>
      <c r="HI131" s="317" t="str">
        <f t="shared" si="953"/>
        <v/>
      </c>
      <c r="HK131" s="310" t="str">
        <f t="shared" si="1006"/>
        <v/>
      </c>
      <c r="HL131" s="348" t="str">
        <f t="shared" si="954"/>
        <v/>
      </c>
      <c r="HM131" s="923" t="str">
        <f t="shared" si="955"/>
        <v/>
      </c>
      <c r="HN131" s="924" t="str">
        <f t="shared" si="956"/>
        <v/>
      </c>
      <c r="HO131" s="925"/>
      <c r="HP131" s="926"/>
      <c r="HQ131" s="924" t="str">
        <f t="shared" si="957"/>
        <v/>
      </c>
      <c r="HR131" s="927" t="str">
        <f t="shared" si="958"/>
        <v/>
      </c>
      <c r="HS131" s="879" t="str">
        <f t="shared" si="1202"/>
        <v/>
      </c>
      <c r="HT131" s="889" t="str">
        <f t="shared" si="959"/>
        <v/>
      </c>
      <c r="HU131" s="890" t="str">
        <f t="shared" si="960"/>
        <v/>
      </c>
      <c r="HV131" s="886" t="str">
        <f t="shared" si="961"/>
        <v/>
      </c>
      <c r="HW131" s="880" t="str">
        <f t="shared" si="962"/>
        <v/>
      </c>
      <c r="HX131" s="881" t="str">
        <f t="shared" si="963"/>
        <v/>
      </c>
      <c r="HY131" s="880" t="str">
        <f t="shared" si="964"/>
        <v/>
      </c>
      <c r="HZ131" s="882" t="str">
        <f t="shared" si="965"/>
        <v/>
      </c>
      <c r="IA131" s="883" t="str">
        <f t="shared" si="966"/>
        <v/>
      </c>
      <c r="IB131" s="884" t="str">
        <f t="shared" si="967"/>
        <v/>
      </c>
      <c r="IC131" s="855" t="str">
        <f t="shared" si="968"/>
        <v/>
      </c>
      <c r="ID131" s="351" t="str">
        <f t="shared" si="969"/>
        <v/>
      </c>
      <c r="IE131" s="857" t="str">
        <f t="shared" si="970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1"/>
        <v/>
      </c>
      <c r="IM131" s="482" t="str">
        <f t="shared" si="838"/>
        <v/>
      </c>
      <c r="IN131" s="670" t="str">
        <f t="shared" si="972"/>
        <v/>
      </c>
      <c r="IO131" s="702"/>
      <c r="IP131" s="5" t="str">
        <f t="shared" si="973"/>
        <v/>
      </c>
      <c r="IQ131" s="714"/>
      <c r="IR131" s="9" t="str">
        <f t="shared" si="974"/>
        <v/>
      </c>
      <c r="IS131" s="5" t="str">
        <f t="shared" si="975"/>
        <v/>
      </c>
      <c r="IT131" s="5" t="str">
        <f t="shared" si="976"/>
        <v/>
      </c>
      <c r="IU131" s="5" t="str">
        <f t="shared" si="977"/>
        <v/>
      </c>
      <c r="IV131" s="670" t="str">
        <f t="shared" si="978"/>
        <v/>
      </c>
      <c r="IW131" s="9" t="str">
        <f t="shared" si="979"/>
        <v/>
      </c>
      <c r="IX131" s="5" t="str">
        <f t="shared" si="980"/>
        <v/>
      </c>
      <c r="IY131" s="5" t="str">
        <f t="shared" si="981"/>
        <v/>
      </c>
      <c r="IZ131" s="5" t="str">
        <f t="shared" si="982"/>
        <v/>
      </c>
      <c r="JA131" s="705" t="str">
        <f t="shared" si="983"/>
        <v/>
      </c>
    </row>
    <row r="132" spans="1:261" ht="15" customHeight="1" x14ac:dyDescent="0.25">
      <c r="A132" s="75" t="str">
        <f t="shared" si="708"/>
        <v/>
      </c>
      <c r="B132" s="585" t="str">
        <f t="shared" ref="B132:D132" si="1205">IFERROR(O287-($A132*E132),"")</f>
        <v/>
      </c>
      <c r="C132" s="582" t="str">
        <f t="shared" si="1205"/>
        <v/>
      </c>
      <c r="D132" s="583" t="str">
        <f t="shared" si="1205"/>
        <v/>
      </c>
      <c r="E132" s="588" t="str">
        <f t="shared" ref="E132:K132" si="1206">R287</f>
        <v/>
      </c>
      <c r="F132" s="582" t="str">
        <f t="shared" si="1206"/>
        <v/>
      </c>
      <c r="G132" s="586" t="str">
        <f t="shared" si="1206"/>
        <v/>
      </c>
      <c r="H132" s="588" t="str">
        <f t="shared" si="1206"/>
        <v/>
      </c>
      <c r="I132" s="582" t="str">
        <f t="shared" si="1206"/>
        <v/>
      </c>
      <c r="J132" s="491" t="str">
        <f t="shared" si="711"/>
        <v/>
      </c>
      <c r="K132" s="807" t="str">
        <f t="shared" si="1206"/>
        <v/>
      </c>
      <c r="L132" s="309"/>
      <c r="M132" s="492" t="str">
        <f t="shared" si="901"/>
        <v/>
      </c>
      <c r="N132" s="581" t="str">
        <f t="shared" si="902"/>
        <v/>
      </c>
      <c r="O132" s="582" t="str">
        <f t="shared" si="903"/>
        <v/>
      </c>
      <c r="P132" s="583" t="str">
        <f t="shared" si="904"/>
        <v/>
      </c>
      <c r="Q132" s="536" t="str">
        <f t="shared" si="1060"/>
        <v/>
      </c>
      <c r="R132" s="582" t="str">
        <f t="shared" si="1061"/>
        <v/>
      </c>
      <c r="S132" s="584" t="str">
        <f t="shared" si="1062"/>
        <v/>
      </c>
      <c r="T132" s="585" t="str">
        <f t="shared" si="1063"/>
        <v/>
      </c>
      <c r="U132" s="582" t="str">
        <f t="shared" si="1064"/>
        <v/>
      </c>
      <c r="V132" s="586" t="str">
        <f t="shared" si="1065"/>
        <v/>
      </c>
      <c r="W132" s="536" t="str">
        <f t="shared" si="1066"/>
        <v/>
      </c>
      <c r="X132" s="582" t="str">
        <f t="shared" si="1067"/>
        <v/>
      </c>
      <c r="Y132" s="587" t="str">
        <f t="shared" si="1068"/>
        <v/>
      </c>
      <c r="Z132" s="581" t="str">
        <f t="shared" si="905"/>
        <v/>
      </c>
      <c r="AA132" s="582" t="str">
        <f t="shared" si="906"/>
        <v/>
      </c>
      <c r="AB132" s="582" t="str">
        <f t="shared" si="907"/>
        <v/>
      </c>
      <c r="AC132" s="586" t="str">
        <f t="shared" si="1069"/>
        <v/>
      </c>
      <c r="AD132" s="588" t="str">
        <f t="shared" si="1070"/>
        <v/>
      </c>
      <c r="AE132" s="582" t="str">
        <f t="shared" si="1071"/>
        <v/>
      </c>
      <c r="AF132" s="583" t="str">
        <f t="shared" si="1072"/>
        <v/>
      </c>
      <c r="AG132" s="547" t="str">
        <f t="shared" si="1073"/>
        <v/>
      </c>
      <c r="AH132" s="548" t="str">
        <f t="shared" si="1074"/>
        <v/>
      </c>
      <c r="AI132" s="536" t="str">
        <f t="shared" si="1075"/>
        <v/>
      </c>
      <c r="AJ132" s="537" t="str">
        <f t="shared" si="1076"/>
        <v/>
      </c>
      <c r="AK132" s="585" t="str">
        <f t="shared" si="1077"/>
        <v/>
      </c>
      <c r="AL132" s="582" t="str">
        <f t="shared" si="1078"/>
        <v/>
      </c>
      <c r="AM132" s="584" t="str">
        <f t="shared" si="1079"/>
        <v/>
      </c>
      <c r="AN132" s="534" t="str">
        <f t="shared" si="1080"/>
        <v/>
      </c>
      <c r="AO132" s="535" t="str">
        <f t="shared" si="1039"/>
        <v/>
      </c>
      <c r="AP132" s="536" t="str">
        <f t="shared" si="1081"/>
        <v/>
      </c>
      <c r="AQ132" s="537" t="str">
        <f t="shared" si="908"/>
        <v/>
      </c>
      <c r="AS132" s="955" t="str">
        <f t="shared" si="1010"/>
        <v/>
      </c>
      <c r="AT132" s="951" t="str">
        <f t="shared" si="909"/>
        <v/>
      </c>
      <c r="AU132" s="418"/>
      <c r="AV132" s="164" t="str">
        <f t="shared" si="910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2"/>
        <v/>
      </c>
      <c r="BA132" s="505" t="str">
        <f t="shared" si="1083"/>
        <v/>
      </c>
      <c r="BB132" s="506" t="str">
        <f t="shared" si="713"/>
        <v/>
      </c>
      <c r="BC132" s="496"/>
      <c r="BD132" s="494" t="str">
        <f t="shared" si="1084"/>
        <v/>
      </c>
      <c r="BE132" s="497" t="str">
        <f t="shared" si="912"/>
        <v/>
      </c>
      <c r="BF132" s="498" t="str">
        <f t="shared" si="913"/>
        <v/>
      </c>
      <c r="BG132" s="494" t="str">
        <f t="shared" si="914"/>
        <v/>
      </c>
      <c r="BH132" s="495" t="str">
        <f t="shared" si="915"/>
        <v/>
      </c>
      <c r="BI132" s="496" t="str">
        <f t="shared" si="1085"/>
        <v/>
      </c>
      <c r="BJ132" s="494" t="str">
        <f t="shared" si="916"/>
        <v/>
      </c>
      <c r="BK132" s="499" t="str">
        <f t="shared" si="917"/>
        <v/>
      </c>
      <c r="BL132" s="502" t="str">
        <f t="shared" si="918"/>
        <v/>
      </c>
      <c r="BM132" s="494" t="str">
        <f t="shared" si="919"/>
        <v/>
      </c>
      <c r="BN132" s="497" t="str">
        <f t="shared" si="920"/>
        <v/>
      </c>
      <c r="BO132" s="498" t="str">
        <f t="shared" si="1086"/>
        <v/>
      </c>
      <c r="BP132" s="494" t="str">
        <f t="shared" si="1087"/>
        <v/>
      </c>
      <c r="BQ132" s="494" t="str">
        <f t="shared" si="1088"/>
        <v/>
      </c>
      <c r="BR132" s="497" t="str">
        <f t="shared" si="1089"/>
        <v/>
      </c>
      <c r="BS132" s="498" t="str">
        <f t="shared" si="1005"/>
        <v/>
      </c>
      <c r="BT132" s="494" t="str">
        <f t="shared" si="1005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0"/>
        <v/>
      </c>
      <c r="CC132" s="494" t="str">
        <f t="shared" si="1091"/>
        <v/>
      </c>
      <c r="CD132" s="494" t="str">
        <f t="shared" si="1092"/>
        <v/>
      </c>
      <c r="CE132" s="497" t="str">
        <f t="shared" si="1093"/>
        <v/>
      </c>
      <c r="CF132" s="498" t="str">
        <f t="shared" si="1094"/>
        <v/>
      </c>
      <c r="CG132" s="494" t="str">
        <f t="shared" si="1095"/>
        <v/>
      </c>
      <c r="CH132" s="494" t="str">
        <f t="shared" si="1096"/>
        <v/>
      </c>
      <c r="CI132" s="498" t="str">
        <f t="shared" si="723"/>
        <v/>
      </c>
      <c r="CJ132" s="494" t="str">
        <f t="shared" si="1097"/>
        <v/>
      </c>
      <c r="CK132" s="499" t="str">
        <f t="shared" si="1098"/>
        <v/>
      </c>
      <c r="CL132" s="502" t="str">
        <f t="shared" si="1099"/>
        <v/>
      </c>
      <c r="CM132" s="494" t="str">
        <f t="shared" si="1100"/>
        <v/>
      </c>
      <c r="CN132" s="497" t="str">
        <f t="shared" si="1101"/>
        <v/>
      </c>
      <c r="CO132" s="507" t="str">
        <f t="shared" si="921"/>
        <v/>
      </c>
      <c r="CP132" s="498" t="str">
        <f t="shared" si="1102"/>
        <v/>
      </c>
      <c r="CQ132" s="494" t="str">
        <f t="shared" si="1103"/>
        <v/>
      </c>
      <c r="CR132" s="494" t="str">
        <f t="shared" si="1104"/>
        <v/>
      </c>
      <c r="CS132" s="499" t="str">
        <f t="shared" si="1105"/>
        <v/>
      </c>
      <c r="CT132" s="496" t="str">
        <f t="shared" si="1106"/>
        <v/>
      </c>
      <c r="CU132" s="497" t="str">
        <f t="shared" si="1107"/>
        <v/>
      </c>
      <c r="CV132" s="498" t="str">
        <f t="shared" si="1108"/>
        <v/>
      </c>
      <c r="CW132" s="494" t="str">
        <f t="shared" si="1109"/>
        <v/>
      </c>
      <c r="CX132" s="499" t="str">
        <f t="shared" si="1110"/>
        <v/>
      </c>
      <c r="CY132" s="496" t="str">
        <f t="shared" si="1111"/>
        <v/>
      </c>
      <c r="CZ132" s="494" t="str">
        <f t="shared" si="1112"/>
        <v/>
      </c>
      <c r="DA132" s="497" t="str">
        <f t="shared" si="1113"/>
        <v/>
      </c>
      <c r="DB132" s="498" t="str">
        <f t="shared" si="1011"/>
        <v/>
      </c>
      <c r="DC132" s="494" t="str">
        <f t="shared" si="1011"/>
        <v/>
      </c>
      <c r="DD132" s="495" t="str">
        <f t="shared" si="764"/>
        <v/>
      </c>
      <c r="DE132" s="496" t="str">
        <f t="shared" si="1012"/>
        <v/>
      </c>
      <c r="DF132" s="494" t="str">
        <f t="shared" si="1012"/>
        <v/>
      </c>
      <c r="DG132" s="495" t="str">
        <f t="shared" si="766"/>
        <v/>
      </c>
      <c r="DH132" s="501" t="str">
        <f t="shared" si="1114"/>
        <v/>
      </c>
      <c r="DI132" s="498" t="str">
        <f t="shared" si="1115"/>
        <v/>
      </c>
      <c r="DJ132" s="494" t="str">
        <f t="shared" si="1116"/>
        <v/>
      </c>
      <c r="DK132" s="495" t="str">
        <f t="shared" si="1117"/>
        <v/>
      </c>
      <c r="DL132" s="496" t="str">
        <f t="shared" si="1118"/>
        <v/>
      </c>
      <c r="DM132" s="502" t="str">
        <f t="shared" si="1119"/>
        <v/>
      </c>
      <c r="DN132" s="508" t="str">
        <f t="shared" si="1120"/>
        <v/>
      </c>
      <c r="DO132" s="496" t="str">
        <f t="shared" si="1121"/>
        <v/>
      </c>
      <c r="DP132" s="502" t="str">
        <f t="shared" si="1122"/>
        <v/>
      </c>
      <c r="DQ132" s="503" t="str">
        <f t="shared" si="1123"/>
        <v/>
      </c>
      <c r="DR132" s="502" t="str">
        <f t="shared" si="1124"/>
        <v/>
      </c>
      <c r="DS132" s="494" t="str">
        <f t="shared" si="1125"/>
        <v/>
      </c>
      <c r="DT132" s="494" t="str">
        <f t="shared" si="1126"/>
        <v/>
      </c>
      <c r="DU132" s="494" t="str">
        <f t="shared" si="1127"/>
        <v/>
      </c>
      <c r="DV132" s="494" t="str">
        <f t="shared" si="1128"/>
        <v/>
      </c>
      <c r="DW132" s="494" t="str">
        <f t="shared" si="1129"/>
        <v/>
      </c>
      <c r="DX132" s="507" t="str">
        <f t="shared" si="1130"/>
        <v/>
      </c>
      <c r="DY132" s="496" t="str">
        <f t="shared" si="1131"/>
        <v/>
      </c>
      <c r="DZ132" s="494" t="str">
        <f t="shared" si="1132"/>
        <v/>
      </c>
      <c r="EA132" s="495" t="str">
        <f t="shared" si="1133"/>
        <v/>
      </c>
      <c r="EB132" s="497" t="str">
        <f t="shared" si="1134"/>
        <v/>
      </c>
      <c r="EC132" s="502" t="str">
        <f t="shared" si="1135"/>
        <v/>
      </c>
      <c r="ED132" s="494" t="str">
        <f t="shared" si="1136"/>
        <v/>
      </c>
      <c r="EE132" s="498" t="str">
        <f t="shared" si="1137"/>
        <v/>
      </c>
      <c r="EF132" s="494" t="str">
        <f t="shared" si="1138"/>
        <v/>
      </c>
      <c r="EG132" s="495" t="str">
        <f t="shared" si="1139"/>
        <v/>
      </c>
      <c r="EH132" s="496" t="str">
        <f t="shared" si="1140"/>
        <v/>
      </c>
      <c r="EI132" s="494" t="str">
        <f t="shared" si="1141"/>
        <v/>
      </c>
      <c r="EJ132" s="497" t="str">
        <f t="shared" si="1142"/>
        <v/>
      </c>
      <c r="EK132" s="509" t="str">
        <f t="shared" si="796"/>
        <v/>
      </c>
      <c r="EL132" s="510" t="str">
        <f t="shared" si="797"/>
        <v/>
      </c>
      <c r="EM132" s="498" t="str">
        <f t="shared" si="1143"/>
        <v/>
      </c>
      <c r="EN132" s="494" t="str">
        <f t="shared" si="1144"/>
        <v/>
      </c>
      <c r="EO132" s="495" t="str">
        <f t="shared" si="1145"/>
        <v/>
      </c>
      <c r="EP132" s="496" t="str">
        <f t="shared" si="1146"/>
        <v/>
      </c>
      <c r="EQ132" s="494" t="str">
        <f t="shared" si="1147"/>
        <v/>
      </c>
      <c r="ER132" s="500" t="str">
        <f t="shared" si="1148"/>
        <v/>
      </c>
      <c r="ES132" s="493" t="str">
        <f t="shared" si="922"/>
        <v/>
      </c>
      <c r="ET132" s="494" t="str">
        <f t="shared" si="923"/>
        <v/>
      </c>
      <c r="EU132" s="495" t="str">
        <f t="shared" si="924"/>
        <v/>
      </c>
      <c r="EV132" s="174" t="str">
        <f t="shared" si="1149"/>
        <v/>
      </c>
      <c r="EW132" s="496" t="str">
        <f t="shared" si="1150"/>
        <v/>
      </c>
      <c r="EX132" s="494" t="str">
        <f t="shared" si="1151"/>
        <v/>
      </c>
      <c r="EY132" s="497" t="str">
        <f t="shared" si="1152"/>
        <v/>
      </c>
      <c r="EZ132" s="504" t="str">
        <f t="shared" si="805"/>
        <v/>
      </c>
      <c r="FA132" s="502" t="str">
        <f t="shared" si="928"/>
        <v/>
      </c>
      <c r="FB132" s="494" t="str">
        <f t="shared" si="929"/>
        <v/>
      </c>
      <c r="FC132" s="497" t="str">
        <f t="shared" si="930"/>
        <v/>
      </c>
      <c r="FD132" s="498" t="str">
        <f t="shared" si="1153"/>
        <v/>
      </c>
      <c r="FE132" s="494" t="str">
        <f t="shared" si="1154"/>
        <v/>
      </c>
      <c r="FF132" s="500" t="str">
        <f t="shared" si="1155"/>
        <v/>
      </c>
      <c r="FG132" s="173" t="str">
        <f t="shared" si="1156"/>
        <v/>
      </c>
      <c r="FH132" s="5" t="str">
        <f t="shared" si="1157"/>
        <v/>
      </c>
      <c r="FI132" s="10" t="str">
        <f t="shared" si="1158"/>
        <v/>
      </c>
      <c r="FJ132" s="279" t="str">
        <f t="shared" si="1159"/>
        <v/>
      </c>
      <c r="FK132" s="4" t="str">
        <f t="shared" si="1160"/>
        <v/>
      </c>
      <c r="FL132" s="5" t="str">
        <f t="shared" si="1161"/>
        <v/>
      </c>
      <c r="FM132" s="8" t="str">
        <f t="shared" si="1162"/>
        <v/>
      </c>
      <c r="FN132" s="9" t="str">
        <f t="shared" si="1163"/>
        <v/>
      </c>
      <c r="FO132" s="10" t="str">
        <f t="shared" si="1164"/>
        <v/>
      </c>
      <c r="FP132" s="277" t="str">
        <f t="shared" si="1165"/>
        <v/>
      </c>
      <c r="FQ132" s="173" t="str">
        <f t="shared" si="1166"/>
        <v/>
      </c>
      <c r="FR132" s="10" t="str">
        <f t="shared" si="1167"/>
        <v/>
      </c>
      <c r="FS132" s="9" t="str">
        <f t="shared" si="1168"/>
        <v/>
      </c>
      <c r="FT132" s="6" t="str">
        <f t="shared" si="1169"/>
        <v/>
      </c>
      <c r="FU132" s="4" t="str">
        <f t="shared" si="1170"/>
        <v/>
      </c>
      <c r="FV132" s="5" t="str">
        <f t="shared" si="1171"/>
        <v/>
      </c>
      <c r="FW132" s="8" t="str">
        <f t="shared" si="1172"/>
        <v/>
      </c>
      <c r="FX132" s="9" t="str">
        <f t="shared" si="1173"/>
        <v/>
      </c>
      <c r="FY132" s="10" t="str">
        <f t="shared" si="1174"/>
        <v/>
      </c>
      <c r="FZ132" s="277" t="str">
        <f t="shared" si="1175"/>
        <v/>
      </c>
      <c r="GA132" s="177" t="str">
        <f t="shared" si="1176"/>
        <v/>
      </c>
      <c r="GB132" s="4" t="str">
        <f t="shared" si="1177"/>
        <v/>
      </c>
      <c r="GC132" s="5" t="str">
        <f t="shared" si="1178"/>
        <v/>
      </c>
      <c r="GD132" s="10" t="str">
        <f t="shared" si="1179"/>
        <v/>
      </c>
      <c r="GE132" s="311" t="str">
        <f t="shared" si="1180"/>
        <v/>
      </c>
      <c r="GF132" s="341" t="str">
        <f t="shared" si="1181"/>
        <v/>
      </c>
      <c r="GG132" s="306" t="str">
        <f t="shared" si="1182"/>
        <v/>
      </c>
      <c r="GH132" s="307" t="str">
        <f t="shared" si="1183"/>
        <v/>
      </c>
      <c r="GI132" s="308" t="str">
        <f t="shared" si="1184"/>
        <v/>
      </c>
      <c r="GJ132" s="167" t="str">
        <f t="shared" si="1185"/>
        <v/>
      </c>
      <c r="GK132" s="174" t="str">
        <f t="shared" si="942"/>
        <v/>
      </c>
      <c r="GL132" s="174" t="str">
        <f t="shared" si="1186"/>
        <v/>
      </c>
      <c r="GM132" s="177" t="str">
        <f t="shared" si="1187"/>
        <v/>
      </c>
      <c r="GN132" s="280" t="str">
        <f t="shared" si="1188"/>
        <v/>
      </c>
      <c r="GO132" s="4" t="str">
        <f t="shared" si="1189"/>
        <v/>
      </c>
      <c r="GP132" s="8" t="str">
        <f t="shared" si="1190"/>
        <v/>
      </c>
      <c r="GQ132" s="177" t="str">
        <f t="shared" si="1191"/>
        <v/>
      </c>
      <c r="GR132" s="371" t="str">
        <f t="shared" si="1192"/>
        <v/>
      </c>
      <c r="GS132" s="342" t="str">
        <f t="shared" si="1193"/>
        <v/>
      </c>
      <c r="GT132" s="343" t="str">
        <f t="shared" si="1194"/>
        <v/>
      </c>
      <c r="GU132" s="344" t="str">
        <f t="shared" si="945"/>
        <v/>
      </c>
      <c r="GV132" s="343" t="str">
        <f t="shared" si="1195"/>
        <v/>
      </c>
      <c r="GW132" s="345" t="str">
        <f t="shared" si="946"/>
        <v/>
      </c>
      <c r="GX132" s="346" t="str">
        <f t="shared" si="947"/>
        <v/>
      </c>
      <c r="GY132" s="344" t="str">
        <f t="shared" si="1196"/>
        <v/>
      </c>
      <c r="GZ132" s="345" t="str">
        <f t="shared" si="1197"/>
        <v/>
      </c>
      <c r="HA132" s="342" t="str">
        <f t="shared" si="950"/>
        <v/>
      </c>
      <c r="HB132" s="5" t="str">
        <f t="shared" si="832"/>
        <v/>
      </c>
      <c r="HC132" s="343" t="str">
        <f t="shared" si="1198"/>
        <v/>
      </c>
      <c r="HD132" s="363" t="str">
        <f t="shared" si="1199"/>
        <v/>
      </c>
      <c r="HE132" s="344" t="str">
        <f t="shared" si="951"/>
        <v/>
      </c>
      <c r="HF132" s="5" t="str">
        <f t="shared" si="952"/>
        <v/>
      </c>
      <c r="HG132" s="343" t="str">
        <f t="shared" si="1200"/>
        <v/>
      </c>
      <c r="HH132" s="349" t="str">
        <f t="shared" si="1201"/>
        <v/>
      </c>
      <c r="HI132" s="317" t="str">
        <f t="shared" si="953"/>
        <v/>
      </c>
      <c r="HK132" s="310" t="str">
        <f t="shared" si="1006"/>
        <v/>
      </c>
      <c r="HL132" s="348" t="str">
        <f t="shared" si="954"/>
        <v/>
      </c>
      <c r="HM132" s="923" t="str">
        <f t="shared" si="955"/>
        <v/>
      </c>
      <c r="HN132" s="924" t="str">
        <f t="shared" si="956"/>
        <v/>
      </c>
      <c r="HO132" s="925"/>
      <c r="HP132" s="926"/>
      <c r="HQ132" s="924" t="str">
        <f t="shared" si="957"/>
        <v/>
      </c>
      <c r="HR132" s="927" t="str">
        <f t="shared" si="958"/>
        <v/>
      </c>
      <c r="HS132" s="879" t="str">
        <f t="shared" si="1202"/>
        <v/>
      </c>
      <c r="HT132" s="889" t="str">
        <f t="shared" si="959"/>
        <v/>
      </c>
      <c r="HU132" s="890" t="str">
        <f t="shared" si="960"/>
        <v/>
      </c>
      <c r="HV132" s="886" t="str">
        <f t="shared" si="961"/>
        <v/>
      </c>
      <c r="HW132" s="880" t="str">
        <f t="shared" si="962"/>
        <v/>
      </c>
      <c r="HX132" s="881" t="str">
        <f t="shared" si="963"/>
        <v/>
      </c>
      <c r="HY132" s="880" t="str">
        <f t="shared" si="964"/>
        <v/>
      </c>
      <c r="HZ132" s="882" t="str">
        <f t="shared" si="965"/>
        <v/>
      </c>
      <c r="IA132" s="883" t="str">
        <f t="shared" si="966"/>
        <v/>
      </c>
      <c r="IB132" s="884" t="str">
        <f t="shared" si="967"/>
        <v/>
      </c>
      <c r="IC132" s="855" t="str">
        <f t="shared" si="968"/>
        <v/>
      </c>
      <c r="ID132" s="351" t="str">
        <f t="shared" si="969"/>
        <v/>
      </c>
      <c r="IE132" s="857" t="str">
        <f t="shared" si="970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1"/>
        <v/>
      </c>
      <c r="IM132" s="482" t="str">
        <f t="shared" si="838"/>
        <v/>
      </c>
      <c r="IN132" s="670" t="str">
        <f t="shared" si="972"/>
        <v/>
      </c>
      <c r="IO132" s="702"/>
      <c r="IP132" s="5" t="str">
        <f t="shared" si="973"/>
        <v/>
      </c>
      <c r="IQ132" s="714"/>
      <c r="IR132" s="9" t="str">
        <f t="shared" si="974"/>
        <v/>
      </c>
      <c r="IS132" s="5" t="str">
        <f t="shared" si="975"/>
        <v/>
      </c>
      <c r="IT132" s="5" t="str">
        <f t="shared" si="976"/>
        <v/>
      </c>
      <c r="IU132" s="5" t="str">
        <f t="shared" si="977"/>
        <v/>
      </c>
      <c r="IV132" s="670" t="str">
        <f t="shared" si="978"/>
        <v/>
      </c>
      <c r="IW132" s="9" t="str">
        <f t="shared" si="979"/>
        <v/>
      </c>
      <c r="IX132" s="5" t="str">
        <f t="shared" si="980"/>
        <v/>
      </c>
      <c r="IY132" s="5" t="str">
        <f t="shared" si="981"/>
        <v/>
      </c>
      <c r="IZ132" s="5" t="str">
        <f t="shared" si="982"/>
        <v/>
      </c>
      <c r="JA132" s="705" t="str">
        <f t="shared" si="983"/>
        <v/>
      </c>
    </row>
    <row r="133" spans="1:261" ht="15" customHeight="1" x14ac:dyDescent="0.25">
      <c r="A133" s="75" t="str">
        <f t="shared" si="708"/>
        <v/>
      </c>
      <c r="B133" s="585" t="str">
        <f t="shared" ref="B133:D133" si="1207">IFERROR(O288-($A133*E133),"")</f>
        <v/>
      </c>
      <c r="C133" s="582" t="str">
        <f t="shared" si="1207"/>
        <v/>
      </c>
      <c r="D133" s="583" t="str">
        <f t="shared" si="1207"/>
        <v/>
      </c>
      <c r="E133" s="588" t="str">
        <f t="shared" ref="E133:K133" si="1208">R288</f>
        <v/>
      </c>
      <c r="F133" s="582" t="str">
        <f t="shared" si="1208"/>
        <v/>
      </c>
      <c r="G133" s="586" t="str">
        <f t="shared" si="1208"/>
        <v/>
      </c>
      <c r="H133" s="588" t="str">
        <f t="shared" si="1208"/>
        <v/>
      </c>
      <c r="I133" s="582" t="str">
        <f t="shared" si="1208"/>
        <v/>
      </c>
      <c r="J133" s="491" t="str">
        <f t="shared" si="711"/>
        <v/>
      </c>
      <c r="K133" s="807" t="str">
        <f t="shared" si="1208"/>
        <v/>
      </c>
      <c r="L133" s="309"/>
      <c r="M133" s="492" t="str">
        <f t="shared" si="901"/>
        <v/>
      </c>
      <c r="N133" s="581" t="str">
        <f t="shared" si="902"/>
        <v/>
      </c>
      <c r="O133" s="582" t="str">
        <f t="shared" si="903"/>
        <v/>
      </c>
      <c r="P133" s="583" t="str">
        <f t="shared" si="904"/>
        <v/>
      </c>
      <c r="Q133" s="536" t="str">
        <f t="shared" si="1060"/>
        <v/>
      </c>
      <c r="R133" s="582" t="str">
        <f t="shared" si="1061"/>
        <v/>
      </c>
      <c r="S133" s="584" t="str">
        <f t="shared" si="1062"/>
        <v/>
      </c>
      <c r="T133" s="585" t="str">
        <f t="shared" si="1063"/>
        <v/>
      </c>
      <c r="U133" s="582" t="str">
        <f t="shared" si="1064"/>
        <v/>
      </c>
      <c r="V133" s="586" t="str">
        <f t="shared" si="1065"/>
        <v/>
      </c>
      <c r="W133" s="536" t="str">
        <f t="shared" si="1066"/>
        <v/>
      </c>
      <c r="X133" s="582" t="str">
        <f t="shared" si="1067"/>
        <v/>
      </c>
      <c r="Y133" s="587" t="str">
        <f t="shared" si="1068"/>
        <v/>
      </c>
      <c r="Z133" s="581" t="str">
        <f t="shared" si="905"/>
        <v/>
      </c>
      <c r="AA133" s="582" t="str">
        <f t="shared" si="906"/>
        <v/>
      </c>
      <c r="AB133" s="582" t="str">
        <f t="shared" si="907"/>
        <v/>
      </c>
      <c r="AC133" s="586" t="str">
        <f t="shared" si="1069"/>
        <v/>
      </c>
      <c r="AD133" s="588" t="str">
        <f t="shared" si="1070"/>
        <v/>
      </c>
      <c r="AE133" s="582" t="str">
        <f t="shared" si="1071"/>
        <v/>
      </c>
      <c r="AF133" s="583" t="str">
        <f t="shared" si="1072"/>
        <v/>
      </c>
      <c r="AG133" s="547" t="str">
        <f t="shared" si="1073"/>
        <v/>
      </c>
      <c r="AH133" s="548" t="str">
        <f t="shared" si="1074"/>
        <v/>
      </c>
      <c r="AI133" s="536" t="str">
        <f t="shared" si="1075"/>
        <v/>
      </c>
      <c r="AJ133" s="537" t="str">
        <f t="shared" si="1076"/>
        <v/>
      </c>
      <c r="AK133" s="585" t="str">
        <f t="shared" si="1077"/>
        <v/>
      </c>
      <c r="AL133" s="582" t="str">
        <f t="shared" si="1078"/>
        <v/>
      </c>
      <c r="AM133" s="584" t="str">
        <f t="shared" si="1079"/>
        <v/>
      </c>
      <c r="AN133" s="534" t="str">
        <f t="shared" si="1080"/>
        <v/>
      </c>
      <c r="AO133" s="535" t="str">
        <f t="shared" si="1039"/>
        <v/>
      </c>
      <c r="AP133" s="536" t="str">
        <f t="shared" si="1081"/>
        <v/>
      </c>
      <c r="AQ133" s="537" t="str">
        <f t="shared" si="908"/>
        <v/>
      </c>
      <c r="AS133" s="955" t="str">
        <f t="shared" si="1010"/>
        <v/>
      </c>
      <c r="AT133" s="951" t="str">
        <f t="shared" si="909"/>
        <v/>
      </c>
      <c r="AU133" s="418"/>
      <c r="AV133" s="164" t="str">
        <f t="shared" si="910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2"/>
        <v/>
      </c>
      <c r="BA133" s="505" t="str">
        <f t="shared" si="1083"/>
        <v/>
      </c>
      <c r="BB133" s="506" t="str">
        <f t="shared" si="713"/>
        <v/>
      </c>
      <c r="BC133" s="496"/>
      <c r="BD133" s="494" t="str">
        <f t="shared" si="1084"/>
        <v/>
      </c>
      <c r="BE133" s="497" t="str">
        <f t="shared" si="912"/>
        <v/>
      </c>
      <c r="BF133" s="498" t="str">
        <f t="shared" si="913"/>
        <v/>
      </c>
      <c r="BG133" s="494" t="str">
        <f t="shared" si="914"/>
        <v/>
      </c>
      <c r="BH133" s="495" t="str">
        <f t="shared" si="915"/>
        <v/>
      </c>
      <c r="BI133" s="496" t="str">
        <f t="shared" si="1085"/>
        <v/>
      </c>
      <c r="BJ133" s="494" t="str">
        <f t="shared" si="916"/>
        <v/>
      </c>
      <c r="BK133" s="499" t="str">
        <f t="shared" si="917"/>
        <v/>
      </c>
      <c r="BL133" s="502" t="str">
        <f t="shared" si="918"/>
        <v/>
      </c>
      <c r="BM133" s="494" t="str">
        <f t="shared" si="919"/>
        <v/>
      </c>
      <c r="BN133" s="497" t="str">
        <f t="shared" si="920"/>
        <v/>
      </c>
      <c r="BO133" s="498" t="str">
        <f t="shared" si="1086"/>
        <v/>
      </c>
      <c r="BP133" s="494" t="str">
        <f t="shared" si="1087"/>
        <v/>
      </c>
      <c r="BQ133" s="494" t="str">
        <f t="shared" si="1088"/>
        <v/>
      </c>
      <c r="BR133" s="497" t="str">
        <f t="shared" si="1089"/>
        <v/>
      </c>
      <c r="BS133" s="498" t="str">
        <f t="shared" si="1005"/>
        <v/>
      </c>
      <c r="BT133" s="494" t="str">
        <f t="shared" si="1005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0"/>
        <v/>
      </c>
      <c r="CC133" s="494" t="str">
        <f t="shared" si="1091"/>
        <v/>
      </c>
      <c r="CD133" s="494" t="str">
        <f t="shared" si="1092"/>
        <v/>
      </c>
      <c r="CE133" s="497" t="str">
        <f t="shared" si="1093"/>
        <v/>
      </c>
      <c r="CF133" s="498" t="str">
        <f t="shared" si="1094"/>
        <v/>
      </c>
      <c r="CG133" s="494" t="str">
        <f t="shared" si="1095"/>
        <v/>
      </c>
      <c r="CH133" s="494" t="str">
        <f t="shared" si="1096"/>
        <v/>
      </c>
      <c r="CI133" s="498" t="str">
        <f t="shared" si="723"/>
        <v/>
      </c>
      <c r="CJ133" s="494" t="str">
        <f t="shared" si="1097"/>
        <v/>
      </c>
      <c r="CK133" s="499" t="str">
        <f t="shared" si="1098"/>
        <v/>
      </c>
      <c r="CL133" s="502" t="str">
        <f t="shared" si="1099"/>
        <v/>
      </c>
      <c r="CM133" s="494" t="str">
        <f t="shared" si="1100"/>
        <v/>
      </c>
      <c r="CN133" s="497" t="str">
        <f t="shared" si="1101"/>
        <v/>
      </c>
      <c r="CO133" s="507" t="str">
        <f t="shared" si="921"/>
        <v/>
      </c>
      <c r="CP133" s="498" t="str">
        <f t="shared" si="1102"/>
        <v/>
      </c>
      <c r="CQ133" s="494" t="str">
        <f t="shared" si="1103"/>
        <v/>
      </c>
      <c r="CR133" s="494" t="str">
        <f t="shared" si="1104"/>
        <v/>
      </c>
      <c r="CS133" s="499" t="str">
        <f t="shared" si="1105"/>
        <v/>
      </c>
      <c r="CT133" s="496" t="str">
        <f t="shared" si="1106"/>
        <v/>
      </c>
      <c r="CU133" s="497" t="str">
        <f t="shared" si="1107"/>
        <v/>
      </c>
      <c r="CV133" s="498" t="str">
        <f t="shared" si="1108"/>
        <v/>
      </c>
      <c r="CW133" s="494" t="str">
        <f t="shared" si="1109"/>
        <v/>
      </c>
      <c r="CX133" s="499" t="str">
        <f t="shared" si="1110"/>
        <v/>
      </c>
      <c r="CY133" s="496" t="str">
        <f t="shared" si="1111"/>
        <v/>
      </c>
      <c r="CZ133" s="494" t="str">
        <f t="shared" si="1112"/>
        <v/>
      </c>
      <c r="DA133" s="497" t="str">
        <f t="shared" si="1113"/>
        <v/>
      </c>
      <c r="DB133" s="498" t="str">
        <f t="shared" si="1011"/>
        <v/>
      </c>
      <c r="DC133" s="494" t="str">
        <f t="shared" si="1011"/>
        <v/>
      </c>
      <c r="DD133" s="495" t="str">
        <f t="shared" si="764"/>
        <v/>
      </c>
      <c r="DE133" s="496" t="str">
        <f t="shared" si="1012"/>
        <v/>
      </c>
      <c r="DF133" s="494" t="str">
        <f t="shared" si="1012"/>
        <v/>
      </c>
      <c r="DG133" s="495" t="str">
        <f t="shared" si="766"/>
        <v/>
      </c>
      <c r="DH133" s="501" t="str">
        <f t="shared" si="1114"/>
        <v/>
      </c>
      <c r="DI133" s="498" t="str">
        <f t="shared" si="1115"/>
        <v/>
      </c>
      <c r="DJ133" s="494" t="str">
        <f t="shared" si="1116"/>
        <v/>
      </c>
      <c r="DK133" s="495" t="str">
        <f t="shared" si="1117"/>
        <v/>
      </c>
      <c r="DL133" s="496" t="str">
        <f t="shared" si="1118"/>
        <v/>
      </c>
      <c r="DM133" s="502" t="str">
        <f t="shared" si="1119"/>
        <v/>
      </c>
      <c r="DN133" s="508" t="str">
        <f t="shared" si="1120"/>
        <v/>
      </c>
      <c r="DO133" s="496" t="str">
        <f t="shared" si="1121"/>
        <v/>
      </c>
      <c r="DP133" s="502" t="str">
        <f t="shared" si="1122"/>
        <v/>
      </c>
      <c r="DQ133" s="503" t="str">
        <f t="shared" si="1123"/>
        <v/>
      </c>
      <c r="DR133" s="502" t="str">
        <f t="shared" si="1124"/>
        <v/>
      </c>
      <c r="DS133" s="494" t="str">
        <f t="shared" si="1125"/>
        <v/>
      </c>
      <c r="DT133" s="494" t="str">
        <f t="shared" si="1126"/>
        <v/>
      </c>
      <c r="DU133" s="494" t="str">
        <f t="shared" si="1127"/>
        <v/>
      </c>
      <c r="DV133" s="494" t="str">
        <f t="shared" si="1128"/>
        <v/>
      </c>
      <c r="DW133" s="494" t="str">
        <f t="shared" si="1129"/>
        <v/>
      </c>
      <c r="DX133" s="507" t="str">
        <f t="shared" si="1130"/>
        <v/>
      </c>
      <c r="DY133" s="496" t="str">
        <f t="shared" si="1131"/>
        <v/>
      </c>
      <c r="DZ133" s="494" t="str">
        <f t="shared" si="1132"/>
        <v/>
      </c>
      <c r="EA133" s="495" t="str">
        <f t="shared" si="1133"/>
        <v/>
      </c>
      <c r="EB133" s="497" t="str">
        <f t="shared" si="1134"/>
        <v/>
      </c>
      <c r="EC133" s="502" t="str">
        <f t="shared" si="1135"/>
        <v/>
      </c>
      <c r="ED133" s="494" t="str">
        <f t="shared" si="1136"/>
        <v/>
      </c>
      <c r="EE133" s="498" t="str">
        <f t="shared" si="1137"/>
        <v/>
      </c>
      <c r="EF133" s="494" t="str">
        <f t="shared" si="1138"/>
        <v/>
      </c>
      <c r="EG133" s="495" t="str">
        <f t="shared" si="1139"/>
        <v/>
      </c>
      <c r="EH133" s="496" t="str">
        <f t="shared" si="1140"/>
        <v/>
      </c>
      <c r="EI133" s="494" t="str">
        <f t="shared" si="1141"/>
        <v/>
      </c>
      <c r="EJ133" s="497" t="str">
        <f t="shared" si="1142"/>
        <v/>
      </c>
      <c r="EK133" s="509" t="str">
        <f t="shared" si="796"/>
        <v/>
      </c>
      <c r="EL133" s="510" t="str">
        <f t="shared" si="797"/>
        <v/>
      </c>
      <c r="EM133" s="498" t="str">
        <f t="shared" si="1143"/>
        <v/>
      </c>
      <c r="EN133" s="494" t="str">
        <f t="shared" si="1144"/>
        <v/>
      </c>
      <c r="EO133" s="495" t="str">
        <f t="shared" si="1145"/>
        <v/>
      </c>
      <c r="EP133" s="496" t="str">
        <f t="shared" si="1146"/>
        <v/>
      </c>
      <c r="EQ133" s="494" t="str">
        <f t="shared" si="1147"/>
        <v/>
      </c>
      <c r="ER133" s="500" t="str">
        <f t="shared" si="1148"/>
        <v/>
      </c>
      <c r="ES133" s="493" t="str">
        <f t="shared" si="922"/>
        <v/>
      </c>
      <c r="ET133" s="494" t="str">
        <f t="shared" si="923"/>
        <v/>
      </c>
      <c r="EU133" s="495" t="str">
        <f t="shared" si="924"/>
        <v/>
      </c>
      <c r="EV133" s="174" t="str">
        <f t="shared" si="1149"/>
        <v/>
      </c>
      <c r="EW133" s="496" t="str">
        <f t="shared" si="1150"/>
        <v/>
      </c>
      <c r="EX133" s="494" t="str">
        <f t="shared" si="1151"/>
        <v/>
      </c>
      <c r="EY133" s="497" t="str">
        <f t="shared" si="1152"/>
        <v/>
      </c>
      <c r="EZ133" s="504" t="str">
        <f t="shared" si="805"/>
        <v/>
      </c>
      <c r="FA133" s="502" t="str">
        <f t="shared" si="928"/>
        <v/>
      </c>
      <c r="FB133" s="494" t="str">
        <f t="shared" si="929"/>
        <v/>
      </c>
      <c r="FC133" s="497" t="str">
        <f t="shared" si="930"/>
        <v/>
      </c>
      <c r="FD133" s="498" t="str">
        <f t="shared" si="1153"/>
        <v/>
      </c>
      <c r="FE133" s="494" t="str">
        <f t="shared" si="1154"/>
        <v/>
      </c>
      <c r="FF133" s="500" t="str">
        <f t="shared" si="1155"/>
        <v/>
      </c>
      <c r="FG133" s="173" t="str">
        <f t="shared" si="1156"/>
        <v/>
      </c>
      <c r="FH133" s="5" t="str">
        <f t="shared" si="1157"/>
        <v/>
      </c>
      <c r="FI133" s="10" t="str">
        <f t="shared" si="1158"/>
        <v/>
      </c>
      <c r="FJ133" s="279" t="str">
        <f t="shared" si="1159"/>
        <v/>
      </c>
      <c r="FK133" s="4" t="str">
        <f t="shared" si="1160"/>
        <v/>
      </c>
      <c r="FL133" s="5" t="str">
        <f t="shared" si="1161"/>
        <v/>
      </c>
      <c r="FM133" s="8" t="str">
        <f t="shared" si="1162"/>
        <v/>
      </c>
      <c r="FN133" s="9" t="str">
        <f t="shared" si="1163"/>
        <v/>
      </c>
      <c r="FO133" s="10" t="str">
        <f t="shared" si="1164"/>
        <v/>
      </c>
      <c r="FP133" s="277" t="str">
        <f t="shared" si="1165"/>
        <v/>
      </c>
      <c r="FQ133" s="173" t="str">
        <f t="shared" si="1166"/>
        <v/>
      </c>
      <c r="FR133" s="10" t="str">
        <f t="shared" si="1167"/>
        <v/>
      </c>
      <c r="FS133" s="9" t="str">
        <f t="shared" si="1168"/>
        <v/>
      </c>
      <c r="FT133" s="6" t="str">
        <f t="shared" si="1169"/>
        <v/>
      </c>
      <c r="FU133" s="4" t="str">
        <f t="shared" si="1170"/>
        <v/>
      </c>
      <c r="FV133" s="5" t="str">
        <f t="shared" si="1171"/>
        <v/>
      </c>
      <c r="FW133" s="8" t="str">
        <f t="shared" si="1172"/>
        <v/>
      </c>
      <c r="FX133" s="9" t="str">
        <f t="shared" si="1173"/>
        <v/>
      </c>
      <c r="FY133" s="10" t="str">
        <f t="shared" si="1174"/>
        <v/>
      </c>
      <c r="FZ133" s="277" t="str">
        <f t="shared" si="1175"/>
        <v/>
      </c>
      <c r="GA133" s="177" t="str">
        <f t="shared" si="1176"/>
        <v/>
      </c>
      <c r="GB133" s="4" t="str">
        <f t="shared" si="1177"/>
        <v/>
      </c>
      <c r="GC133" s="5" t="str">
        <f t="shared" si="1178"/>
        <v/>
      </c>
      <c r="GD133" s="10" t="str">
        <f t="shared" si="1179"/>
        <v/>
      </c>
      <c r="GE133" s="311" t="str">
        <f t="shared" si="1180"/>
        <v/>
      </c>
      <c r="GF133" s="341" t="str">
        <f t="shared" si="1181"/>
        <v/>
      </c>
      <c r="GG133" s="306" t="str">
        <f t="shared" si="1182"/>
        <v/>
      </c>
      <c r="GH133" s="307" t="str">
        <f t="shared" si="1183"/>
        <v/>
      </c>
      <c r="GI133" s="308" t="str">
        <f t="shared" si="1184"/>
        <v/>
      </c>
      <c r="GJ133" s="167" t="str">
        <f t="shared" si="1185"/>
        <v/>
      </c>
      <c r="GK133" s="174" t="str">
        <f t="shared" si="942"/>
        <v/>
      </c>
      <c r="GL133" s="174" t="str">
        <f t="shared" si="1186"/>
        <v/>
      </c>
      <c r="GM133" s="177" t="str">
        <f t="shared" si="1187"/>
        <v/>
      </c>
      <c r="GN133" s="280" t="str">
        <f t="shared" si="1188"/>
        <v/>
      </c>
      <c r="GO133" s="4" t="str">
        <f t="shared" si="1189"/>
        <v/>
      </c>
      <c r="GP133" s="8" t="str">
        <f t="shared" si="1190"/>
        <v/>
      </c>
      <c r="GQ133" s="177" t="str">
        <f t="shared" si="1191"/>
        <v/>
      </c>
      <c r="GR133" s="371" t="str">
        <f t="shared" si="1192"/>
        <v/>
      </c>
      <c r="GS133" s="342" t="str">
        <f t="shared" si="1193"/>
        <v/>
      </c>
      <c r="GT133" s="343" t="str">
        <f t="shared" si="1194"/>
        <v/>
      </c>
      <c r="GU133" s="344" t="str">
        <f t="shared" si="945"/>
        <v/>
      </c>
      <c r="GV133" s="343" t="str">
        <f t="shared" si="1195"/>
        <v/>
      </c>
      <c r="GW133" s="345" t="str">
        <f t="shared" si="946"/>
        <v/>
      </c>
      <c r="GX133" s="346" t="str">
        <f t="shared" si="947"/>
        <v/>
      </c>
      <c r="GY133" s="344" t="str">
        <f t="shared" si="1196"/>
        <v/>
      </c>
      <c r="GZ133" s="345" t="str">
        <f t="shared" si="1197"/>
        <v/>
      </c>
      <c r="HA133" s="342" t="str">
        <f t="shared" si="950"/>
        <v/>
      </c>
      <c r="HB133" s="5" t="str">
        <f t="shared" si="832"/>
        <v/>
      </c>
      <c r="HC133" s="343" t="str">
        <f t="shared" si="1198"/>
        <v/>
      </c>
      <c r="HD133" s="363" t="str">
        <f t="shared" si="1199"/>
        <v/>
      </c>
      <c r="HE133" s="344" t="str">
        <f t="shared" si="951"/>
        <v/>
      </c>
      <c r="HF133" s="5" t="str">
        <f t="shared" si="952"/>
        <v/>
      </c>
      <c r="HG133" s="343" t="str">
        <f t="shared" si="1200"/>
        <v/>
      </c>
      <c r="HH133" s="349" t="str">
        <f t="shared" si="1201"/>
        <v/>
      </c>
      <c r="HI133" s="317" t="str">
        <f t="shared" si="953"/>
        <v/>
      </c>
      <c r="HK133" s="310" t="str">
        <f t="shared" si="1006"/>
        <v/>
      </c>
      <c r="HL133" s="348" t="str">
        <f t="shared" si="954"/>
        <v/>
      </c>
      <c r="HM133" s="923" t="str">
        <f t="shared" si="955"/>
        <v/>
      </c>
      <c r="HN133" s="924" t="str">
        <f t="shared" si="956"/>
        <v/>
      </c>
      <c r="HO133" s="925"/>
      <c r="HP133" s="926"/>
      <c r="HQ133" s="924" t="str">
        <f t="shared" si="957"/>
        <v/>
      </c>
      <c r="HR133" s="927" t="str">
        <f t="shared" si="958"/>
        <v/>
      </c>
      <c r="HS133" s="879" t="str">
        <f t="shared" si="1202"/>
        <v/>
      </c>
      <c r="HT133" s="889" t="str">
        <f t="shared" si="959"/>
        <v/>
      </c>
      <c r="HU133" s="890" t="str">
        <f t="shared" si="960"/>
        <v/>
      </c>
      <c r="HV133" s="886" t="str">
        <f t="shared" si="961"/>
        <v/>
      </c>
      <c r="HW133" s="880" t="str">
        <f t="shared" si="962"/>
        <v/>
      </c>
      <c r="HX133" s="881" t="str">
        <f t="shared" si="963"/>
        <v/>
      </c>
      <c r="HY133" s="880" t="str">
        <f t="shared" si="964"/>
        <v/>
      </c>
      <c r="HZ133" s="882" t="str">
        <f t="shared" si="965"/>
        <v/>
      </c>
      <c r="IA133" s="883" t="str">
        <f t="shared" si="966"/>
        <v/>
      </c>
      <c r="IB133" s="884" t="str">
        <f t="shared" si="967"/>
        <v/>
      </c>
      <c r="IC133" s="855" t="str">
        <f t="shared" si="968"/>
        <v/>
      </c>
      <c r="ID133" s="351" t="str">
        <f t="shared" si="969"/>
        <v/>
      </c>
      <c r="IE133" s="857" t="str">
        <f t="shared" si="970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1"/>
        <v/>
      </c>
      <c r="IM133" s="482" t="str">
        <f t="shared" si="838"/>
        <v/>
      </c>
      <c r="IN133" s="670" t="str">
        <f t="shared" si="972"/>
        <v/>
      </c>
      <c r="IO133" s="702"/>
      <c r="IP133" s="5" t="str">
        <f t="shared" si="973"/>
        <v/>
      </c>
      <c r="IQ133" s="714"/>
      <c r="IR133" s="9" t="str">
        <f t="shared" si="974"/>
        <v/>
      </c>
      <c r="IS133" s="5" t="str">
        <f t="shared" si="975"/>
        <v/>
      </c>
      <c r="IT133" s="5" t="str">
        <f t="shared" si="976"/>
        <v/>
      </c>
      <c r="IU133" s="5" t="str">
        <f t="shared" si="977"/>
        <v/>
      </c>
      <c r="IV133" s="670" t="str">
        <f t="shared" si="978"/>
        <v/>
      </c>
      <c r="IW133" s="9" t="str">
        <f t="shared" si="979"/>
        <v/>
      </c>
      <c r="IX133" s="5" t="str">
        <f t="shared" si="980"/>
        <v/>
      </c>
      <c r="IY133" s="5" t="str">
        <f t="shared" si="981"/>
        <v/>
      </c>
      <c r="IZ133" s="5" t="str">
        <f t="shared" si="982"/>
        <v/>
      </c>
      <c r="JA133" s="705" t="str">
        <f t="shared" si="983"/>
        <v/>
      </c>
    </row>
    <row r="134" spans="1:261" ht="15" customHeight="1" x14ac:dyDescent="0.25">
      <c r="A134" s="75" t="str">
        <f t="shared" si="708"/>
        <v/>
      </c>
      <c r="B134" s="585" t="str">
        <f t="shared" ref="B134:D134" si="1209">IFERROR(O289-($A134*E134),"")</f>
        <v/>
      </c>
      <c r="C134" s="582" t="str">
        <f t="shared" si="1209"/>
        <v/>
      </c>
      <c r="D134" s="583" t="str">
        <f t="shared" si="1209"/>
        <v/>
      </c>
      <c r="E134" s="588" t="str">
        <f t="shared" ref="E134:K134" si="1210">R289</f>
        <v/>
      </c>
      <c r="F134" s="582" t="str">
        <f t="shared" si="1210"/>
        <v/>
      </c>
      <c r="G134" s="586" t="str">
        <f t="shared" si="1210"/>
        <v/>
      </c>
      <c r="H134" s="588" t="str">
        <f t="shared" si="1210"/>
        <v/>
      </c>
      <c r="I134" s="582" t="str">
        <f t="shared" si="1210"/>
        <v/>
      </c>
      <c r="J134" s="491" t="str">
        <f t="shared" si="711"/>
        <v/>
      </c>
      <c r="K134" s="807" t="str">
        <f t="shared" si="1210"/>
        <v/>
      </c>
      <c r="L134" s="309"/>
      <c r="M134" s="492" t="str">
        <f t="shared" si="901"/>
        <v/>
      </c>
      <c r="N134" s="581" t="str">
        <f t="shared" si="902"/>
        <v/>
      </c>
      <c r="O134" s="582" t="str">
        <f t="shared" si="903"/>
        <v/>
      </c>
      <c r="P134" s="583" t="str">
        <f t="shared" si="904"/>
        <v/>
      </c>
      <c r="Q134" s="536" t="str">
        <f t="shared" si="1060"/>
        <v/>
      </c>
      <c r="R134" s="582" t="str">
        <f t="shared" si="1061"/>
        <v/>
      </c>
      <c r="S134" s="584" t="str">
        <f t="shared" si="1062"/>
        <v/>
      </c>
      <c r="T134" s="585" t="str">
        <f t="shared" si="1063"/>
        <v/>
      </c>
      <c r="U134" s="582" t="str">
        <f t="shared" si="1064"/>
        <v/>
      </c>
      <c r="V134" s="586" t="str">
        <f t="shared" si="1065"/>
        <v/>
      </c>
      <c r="W134" s="536" t="str">
        <f t="shared" si="1066"/>
        <v/>
      </c>
      <c r="X134" s="582" t="str">
        <f t="shared" si="1067"/>
        <v/>
      </c>
      <c r="Y134" s="587" t="str">
        <f t="shared" si="1068"/>
        <v/>
      </c>
      <c r="Z134" s="581" t="str">
        <f t="shared" si="905"/>
        <v/>
      </c>
      <c r="AA134" s="582" t="str">
        <f t="shared" si="906"/>
        <v/>
      </c>
      <c r="AB134" s="582" t="str">
        <f t="shared" si="907"/>
        <v/>
      </c>
      <c r="AC134" s="586" t="str">
        <f t="shared" si="1069"/>
        <v/>
      </c>
      <c r="AD134" s="588" t="str">
        <f t="shared" si="1070"/>
        <v/>
      </c>
      <c r="AE134" s="582" t="str">
        <f t="shared" si="1071"/>
        <v/>
      </c>
      <c r="AF134" s="583" t="str">
        <f t="shared" si="1072"/>
        <v/>
      </c>
      <c r="AG134" s="547" t="str">
        <f t="shared" si="1073"/>
        <v/>
      </c>
      <c r="AH134" s="548" t="str">
        <f t="shared" si="1074"/>
        <v/>
      </c>
      <c r="AI134" s="536" t="str">
        <f t="shared" si="1075"/>
        <v/>
      </c>
      <c r="AJ134" s="537" t="str">
        <f t="shared" si="1076"/>
        <v/>
      </c>
      <c r="AK134" s="585" t="str">
        <f t="shared" si="1077"/>
        <v/>
      </c>
      <c r="AL134" s="582" t="str">
        <f t="shared" si="1078"/>
        <v/>
      </c>
      <c r="AM134" s="584" t="str">
        <f t="shared" si="1079"/>
        <v/>
      </c>
      <c r="AN134" s="534" t="str">
        <f t="shared" si="1080"/>
        <v/>
      </c>
      <c r="AO134" s="535" t="str">
        <f t="shared" si="1039"/>
        <v/>
      </c>
      <c r="AP134" s="536" t="str">
        <f t="shared" si="1081"/>
        <v/>
      </c>
      <c r="AQ134" s="537" t="str">
        <f t="shared" si="908"/>
        <v/>
      </c>
      <c r="AS134" s="955" t="str">
        <f t="shared" si="1010"/>
        <v/>
      </c>
      <c r="AT134" s="951" t="str">
        <f t="shared" si="909"/>
        <v/>
      </c>
      <c r="AU134" s="418"/>
      <c r="AV134" s="164" t="str">
        <f t="shared" si="910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2"/>
        <v/>
      </c>
      <c r="BA134" s="505" t="str">
        <f t="shared" si="1083"/>
        <v/>
      </c>
      <c r="BB134" s="506" t="str">
        <f t="shared" si="713"/>
        <v/>
      </c>
      <c r="BC134" s="496"/>
      <c r="BD134" s="494" t="str">
        <f t="shared" si="1084"/>
        <v/>
      </c>
      <c r="BE134" s="497" t="str">
        <f t="shared" si="912"/>
        <v/>
      </c>
      <c r="BF134" s="498" t="str">
        <f t="shared" si="913"/>
        <v/>
      </c>
      <c r="BG134" s="494" t="str">
        <f t="shared" si="914"/>
        <v/>
      </c>
      <c r="BH134" s="495" t="str">
        <f t="shared" si="915"/>
        <v/>
      </c>
      <c r="BI134" s="496" t="str">
        <f t="shared" si="1085"/>
        <v/>
      </c>
      <c r="BJ134" s="494" t="str">
        <f t="shared" si="916"/>
        <v/>
      </c>
      <c r="BK134" s="499" t="str">
        <f t="shared" si="917"/>
        <v/>
      </c>
      <c r="BL134" s="502" t="str">
        <f t="shared" si="918"/>
        <v/>
      </c>
      <c r="BM134" s="494" t="str">
        <f t="shared" si="919"/>
        <v/>
      </c>
      <c r="BN134" s="497" t="str">
        <f t="shared" si="920"/>
        <v/>
      </c>
      <c r="BO134" s="498" t="str">
        <f t="shared" si="1086"/>
        <v/>
      </c>
      <c r="BP134" s="494" t="str">
        <f t="shared" si="1087"/>
        <v/>
      </c>
      <c r="BQ134" s="494" t="str">
        <f t="shared" si="1088"/>
        <v/>
      </c>
      <c r="BR134" s="497" t="str">
        <f t="shared" si="1089"/>
        <v/>
      </c>
      <c r="BS134" s="498" t="str">
        <f t="shared" si="1005"/>
        <v/>
      </c>
      <c r="BT134" s="494" t="str">
        <f t="shared" si="1005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0"/>
        <v/>
      </c>
      <c r="CC134" s="494" t="str">
        <f t="shared" si="1091"/>
        <v/>
      </c>
      <c r="CD134" s="494" t="str">
        <f t="shared" si="1092"/>
        <v/>
      </c>
      <c r="CE134" s="497" t="str">
        <f t="shared" si="1093"/>
        <v/>
      </c>
      <c r="CF134" s="498" t="str">
        <f t="shared" si="1094"/>
        <v/>
      </c>
      <c r="CG134" s="494" t="str">
        <f t="shared" si="1095"/>
        <v/>
      </c>
      <c r="CH134" s="494" t="str">
        <f t="shared" si="1096"/>
        <v/>
      </c>
      <c r="CI134" s="498" t="str">
        <f t="shared" si="723"/>
        <v/>
      </c>
      <c r="CJ134" s="494" t="str">
        <f t="shared" si="1097"/>
        <v/>
      </c>
      <c r="CK134" s="499" t="str">
        <f t="shared" si="1098"/>
        <v/>
      </c>
      <c r="CL134" s="502" t="str">
        <f t="shared" si="1099"/>
        <v/>
      </c>
      <c r="CM134" s="494" t="str">
        <f t="shared" si="1100"/>
        <v/>
      </c>
      <c r="CN134" s="497" t="str">
        <f t="shared" si="1101"/>
        <v/>
      </c>
      <c r="CO134" s="507" t="str">
        <f t="shared" si="921"/>
        <v/>
      </c>
      <c r="CP134" s="498" t="str">
        <f t="shared" si="1102"/>
        <v/>
      </c>
      <c r="CQ134" s="494" t="str">
        <f t="shared" si="1103"/>
        <v/>
      </c>
      <c r="CR134" s="494" t="str">
        <f t="shared" si="1104"/>
        <v/>
      </c>
      <c r="CS134" s="499" t="str">
        <f t="shared" si="1105"/>
        <v/>
      </c>
      <c r="CT134" s="496" t="str">
        <f t="shared" si="1106"/>
        <v/>
      </c>
      <c r="CU134" s="497" t="str">
        <f t="shared" si="1107"/>
        <v/>
      </c>
      <c r="CV134" s="498" t="str">
        <f t="shared" si="1108"/>
        <v/>
      </c>
      <c r="CW134" s="494" t="str">
        <f t="shared" si="1109"/>
        <v/>
      </c>
      <c r="CX134" s="499" t="str">
        <f t="shared" si="1110"/>
        <v/>
      </c>
      <c r="CY134" s="496" t="str">
        <f t="shared" si="1111"/>
        <v/>
      </c>
      <c r="CZ134" s="494" t="str">
        <f t="shared" si="1112"/>
        <v/>
      </c>
      <c r="DA134" s="497" t="str">
        <f t="shared" si="1113"/>
        <v/>
      </c>
      <c r="DB134" s="498" t="str">
        <f t="shared" si="1011"/>
        <v/>
      </c>
      <c r="DC134" s="494" t="str">
        <f t="shared" si="1011"/>
        <v/>
      </c>
      <c r="DD134" s="495" t="str">
        <f t="shared" si="764"/>
        <v/>
      </c>
      <c r="DE134" s="496" t="str">
        <f t="shared" si="1012"/>
        <v/>
      </c>
      <c r="DF134" s="494" t="str">
        <f t="shared" si="1012"/>
        <v/>
      </c>
      <c r="DG134" s="495" t="str">
        <f t="shared" si="766"/>
        <v/>
      </c>
      <c r="DH134" s="501" t="str">
        <f t="shared" si="1114"/>
        <v/>
      </c>
      <c r="DI134" s="498" t="str">
        <f t="shared" si="1115"/>
        <v/>
      </c>
      <c r="DJ134" s="494" t="str">
        <f t="shared" si="1116"/>
        <v/>
      </c>
      <c r="DK134" s="495" t="str">
        <f t="shared" si="1117"/>
        <v/>
      </c>
      <c r="DL134" s="496" t="str">
        <f t="shared" si="1118"/>
        <v/>
      </c>
      <c r="DM134" s="502" t="str">
        <f t="shared" si="1119"/>
        <v/>
      </c>
      <c r="DN134" s="508" t="str">
        <f t="shared" si="1120"/>
        <v/>
      </c>
      <c r="DO134" s="496" t="str">
        <f t="shared" si="1121"/>
        <v/>
      </c>
      <c r="DP134" s="502" t="str">
        <f t="shared" si="1122"/>
        <v/>
      </c>
      <c r="DQ134" s="503" t="str">
        <f t="shared" si="1123"/>
        <v/>
      </c>
      <c r="DR134" s="502" t="str">
        <f t="shared" si="1124"/>
        <v/>
      </c>
      <c r="DS134" s="494" t="str">
        <f t="shared" si="1125"/>
        <v/>
      </c>
      <c r="DT134" s="494" t="str">
        <f t="shared" si="1126"/>
        <v/>
      </c>
      <c r="DU134" s="494" t="str">
        <f t="shared" si="1127"/>
        <v/>
      </c>
      <c r="DV134" s="494" t="str">
        <f t="shared" si="1128"/>
        <v/>
      </c>
      <c r="DW134" s="494" t="str">
        <f t="shared" si="1129"/>
        <v/>
      </c>
      <c r="DX134" s="507" t="str">
        <f t="shared" si="1130"/>
        <v/>
      </c>
      <c r="DY134" s="496" t="str">
        <f t="shared" si="1131"/>
        <v/>
      </c>
      <c r="DZ134" s="494" t="str">
        <f t="shared" si="1132"/>
        <v/>
      </c>
      <c r="EA134" s="495" t="str">
        <f t="shared" si="1133"/>
        <v/>
      </c>
      <c r="EB134" s="497" t="str">
        <f t="shared" si="1134"/>
        <v/>
      </c>
      <c r="EC134" s="502" t="str">
        <f t="shared" si="1135"/>
        <v/>
      </c>
      <c r="ED134" s="494" t="str">
        <f t="shared" si="1136"/>
        <v/>
      </c>
      <c r="EE134" s="498" t="str">
        <f t="shared" si="1137"/>
        <v/>
      </c>
      <c r="EF134" s="494" t="str">
        <f t="shared" si="1138"/>
        <v/>
      </c>
      <c r="EG134" s="495" t="str">
        <f t="shared" si="1139"/>
        <v/>
      </c>
      <c r="EH134" s="496" t="str">
        <f t="shared" si="1140"/>
        <v/>
      </c>
      <c r="EI134" s="494" t="str">
        <f t="shared" si="1141"/>
        <v/>
      </c>
      <c r="EJ134" s="497" t="str">
        <f t="shared" si="1142"/>
        <v/>
      </c>
      <c r="EK134" s="509" t="str">
        <f t="shared" si="796"/>
        <v/>
      </c>
      <c r="EL134" s="510" t="str">
        <f t="shared" si="797"/>
        <v/>
      </c>
      <c r="EM134" s="498" t="str">
        <f t="shared" si="1143"/>
        <v/>
      </c>
      <c r="EN134" s="494" t="str">
        <f t="shared" si="1144"/>
        <v/>
      </c>
      <c r="EO134" s="495" t="str">
        <f t="shared" si="1145"/>
        <v/>
      </c>
      <c r="EP134" s="496" t="str">
        <f t="shared" si="1146"/>
        <v/>
      </c>
      <c r="EQ134" s="494" t="str">
        <f t="shared" si="1147"/>
        <v/>
      </c>
      <c r="ER134" s="500" t="str">
        <f t="shared" si="1148"/>
        <v/>
      </c>
      <c r="ES134" s="493" t="str">
        <f t="shared" si="922"/>
        <v/>
      </c>
      <c r="ET134" s="494" t="str">
        <f t="shared" si="923"/>
        <v/>
      </c>
      <c r="EU134" s="495" t="str">
        <f t="shared" si="924"/>
        <v/>
      </c>
      <c r="EV134" s="174" t="str">
        <f t="shared" si="1149"/>
        <v/>
      </c>
      <c r="EW134" s="496" t="str">
        <f t="shared" si="1150"/>
        <v/>
      </c>
      <c r="EX134" s="494" t="str">
        <f t="shared" si="1151"/>
        <v/>
      </c>
      <c r="EY134" s="497" t="str">
        <f t="shared" si="1152"/>
        <v/>
      </c>
      <c r="EZ134" s="504" t="str">
        <f t="shared" si="805"/>
        <v/>
      </c>
      <c r="FA134" s="502" t="str">
        <f t="shared" si="928"/>
        <v/>
      </c>
      <c r="FB134" s="494" t="str">
        <f t="shared" si="929"/>
        <v/>
      </c>
      <c r="FC134" s="497" t="str">
        <f t="shared" si="930"/>
        <v/>
      </c>
      <c r="FD134" s="498" t="str">
        <f t="shared" si="1153"/>
        <v/>
      </c>
      <c r="FE134" s="494" t="str">
        <f t="shared" si="1154"/>
        <v/>
      </c>
      <c r="FF134" s="500" t="str">
        <f t="shared" si="1155"/>
        <v/>
      </c>
      <c r="FG134" s="173" t="str">
        <f t="shared" si="1156"/>
        <v/>
      </c>
      <c r="FH134" s="5" t="str">
        <f t="shared" si="1157"/>
        <v/>
      </c>
      <c r="FI134" s="10" t="str">
        <f t="shared" si="1158"/>
        <v/>
      </c>
      <c r="FJ134" s="279" t="str">
        <f t="shared" si="1159"/>
        <v/>
      </c>
      <c r="FK134" s="4" t="str">
        <f t="shared" si="1160"/>
        <v/>
      </c>
      <c r="FL134" s="5" t="str">
        <f t="shared" si="1161"/>
        <v/>
      </c>
      <c r="FM134" s="8" t="str">
        <f t="shared" si="1162"/>
        <v/>
      </c>
      <c r="FN134" s="9" t="str">
        <f t="shared" si="1163"/>
        <v/>
      </c>
      <c r="FO134" s="10" t="str">
        <f t="shared" si="1164"/>
        <v/>
      </c>
      <c r="FP134" s="277" t="str">
        <f t="shared" si="1165"/>
        <v/>
      </c>
      <c r="FQ134" s="173" t="str">
        <f t="shared" si="1166"/>
        <v/>
      </c>
      <c r="FR134" s="10" t="str">
        <f t="shared" si="1167"/>
        <v/>
      </c>
      <c r="FS134" s="9" t="str">
        <f t="shared" si="1168"/>
        <v/>
      </c>
      <c r="FT134" s="6" t="str">
        <f t="shared" si="1169"/>
        <v/>
      </c>
      <c r="FU134" s="4" t="str">
        <f t="shared" si="1170"/>
        <v/>
      </c>
      <c r="FV134" s="5" t="str">
        <f t="shared" si="1171"/>
        <v/>
      </c>
      <c r="FW134" s="8" t="str">
        <f t="shared" si="1172"/>
        <v/>
      </c>
      <c r="FX134" s="9" t="str">
        <f t="shared" si="1173"/>
        <v/>
      </c>
      <c r="FY134" s="10" t="str">
        <f t="shared" si="1174"/>
        <v/>
      </c>
      <c r="FZ134" s="277" t="str">
        <f t="shared" si="1175"/>
        <v/>
      </c>
      <c r="GA134" s="177" t="str">
        <f t="shared" si="1176"/>
        <v/>
      </c>
      <c r="GB134" s="4" t="str">
        <f t="shared" si="1177"/>
        <v/>
      </c>
      <c r="GC134" s="5" t="str">
        <f t="shared" si="1178"/>
        <v/>
      </c>
      <c r="GD134" s="10" t="str">
        <f t="shared" si="1179"/>
        <v/>
      </c>
      <c r="GE134" s="311" t="str">
        <f t="shared" si="1180"/>
        <v/>
      </c>
      <c r="GF134" s="341" t="str">
        <f t="shared" si="1181"/>
        <v/>
      </c>
      <c r="GG134" s="306" t="str">
        <f t="shared" si="1182"/>
        <v/>
      </c>
      <c r="GH134" s="307" t="str">
        <f t="shared" si="1183"/>
        <v/>
      </c>
      <c r="GI134" s="308" t="str">
        <f t="shared" si="1184"/>
        <v/>
      </c>
      <c r="GJ134" s="167" t="str">
        <f t="shared" si="1185"/>
        <v/>
      </c>
      <c r="GK134" s="174" t="str">
        <f t="shared" si="942"/>
        <v/>
      </c>
      <c r="GL134" s="174" t="str">
        <f t="shared" si="1186"/>
        <v/>
      </c>
      <c r="GM134" s="177" t="str">
        <f t="shared" si="1187"/>
        <v/>
      </c>
      <c r="GN134" s="280" t="str">
        <f t="shared" si="1188"/>
        <v/>
      </c>
      <c r="GO134" s="4" t="str">
        <f t="shared" si="1189"/>
        <v/>
      </c>
      <c r="GP134" s="8" t="str">
        <f t="shared" si="1190"/>
        <v/>
      </c>
      <c r="GQ134" s="177" t="str">
        <f t="shared" si="1191"/>
        <v/>
      </c>
      <c r="GR134" s="371" t="str">
        <f t="shared" si="1192"/>
        <v/>
      </c>
      <c r="GS134" s="342" t="str">
        <f t="shared" si="1193"/>
        <v/>
      </c>
      <c r="GT134" s="343" t="str">
        <f t="shared" si="1194"/>
        <v/>
      </c>
      <c r="GU134" s="344" t="str">
        <f t="shared" si="945"/>
        <v/>
      </c>
      <c r="GV134" s="343" t="str">
        <f t="shared" si="1195"/>
        <v/>
      </c>
      <c r="GW134" s="345" t="str">
        <f t="shared" si="946"/>
        <v/>
      </c>
      <c r="GX134" s="346" t="str">
        <f t="shared" si="947"/>
        <v/>
      </c>
      <c r="GY134" s="344" t="str">
        <f t="shared" si="1196"/>
        <v/>
      </c>
      <c r="GZ134" s="345" t="str">
        <f t="shared" si="1197"/>
        <v/>
      </c>
      <c r="HA134" s="342" t="str">
        <f t="shared" si="950"/>
        <v/>
      </c>
      <c r="HB134" s="5" t="str">
        <f t="shared" si="832"/>
        <v/>
      </c>
      <c r="HC134" s="343" t="str">
        <f t="shared" si="1198"/>
        <v/>
      </c>
      <c r="HD134" s="363" t="str">
        <f t="shared" si="1199"/>
        <v/>
      </c>
      <c r="HE134" s="344" t="str">
        <f t="shared" si="951"/>
        <v/>
      </c>
      <c r="HF134" s="5" t="str">
        <f t="shared" si="952"/>
        <v/>
      </c>
      <c r="HG134" s="343" t="str">
        <f t="shared" si="1200"/>
        <v/>
      </c>
      <c r="HH134" s="349" t="str">
        <f t="shared" si="1201"/>
        <v/>
      </c>
      <c r="HI134" s="317" t="str">
        <f t="shared" si="953"/>
        <v/>
      </c>
      <c r="HK134" s="310" t="str">
        <f t="shared" si="1006"/>
        <v/>
      </c>
      <c r="HL134" s="348" t="str">
        <f t="shared" si="954"/>
        <v/>
      </c>
      <c r="HM134" s="923" t="str">
        <f t="shared" si="955"/>
        <v/>
      </c>
      <c r="HN134" s="924" t="str">
        <f t="shared" si="956"/>
        <v/>
      </c>
      <c r="HO134" s="925"/>
      <c r="HP134" s="926"/>
      <c r="HQ134" s="924" t="str">
        <f t="shared" si="957"/>
        <v/>
      </c>
      <c r="HR134" s="927" t="str">
        <f t="shared" si="958"/>
        <v/>
      </c>
      <c r="HS134" s="879" t="str">
        <f t="shared" si="1202"/>
        <v/>
      </c>
      <c r="HT134" s="889" t="str">
        <f t="shared" si="959"/>
        <v/>
      </c>
      <c r="HU134" s="890" t="str">
        <f t="shared" si="960"/>
        <v/>
      </c>
      <c r="HV134" s="886" t="str">
        <f t="shared" si="961"/>
        <v/>
      </c>
      <c r="HW134" s="880" t="str">
        <f t="shared" si="962"/>
        <v/>
      </c>
      <c r="HX134" s="881" t="str">
        <f t="shared" si="963"/>
        <v/>
      </c>
      <c r="HY134" s="880" t="str">
        <f t="shared" si="964"/>
        <v/>
      </c>
      <c r="HZ134" s="882" t="str">
        <f t="shared" si="965"/>
        <v/>
      </c>
      <c r="IA134" s="883" t="str">
        <f t="shared" si="966"/>
        <v/>
      </c>
      <c r="IB134" s="884" t="str">
        <f t="shared" si="967"/>
        <v/>
      </c>
      <c r="IC134" s="855" t="str">
        <f t="shared" si="968"/>
        <v/>
      </c>
      <c r="ID134" s="351" t="str">
        <f t="shared" si="969"/>
        <v/>
      </c>
      <c r="IE134" s="857" t="str">
        <f t="shared" si="970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1"/>
        <v/>
      </c>
      <c r="IM134" s="482" t="str">
        <f t="shared" si="838"/>
        <v/>
      </c>
      <c r="IN134" s="670" t="str">
        <f t="shared" si="972"/>
        <v/>
      </c>
      <c r="IO134" s="702"/>
      <c r="IP134" s="5" t="str">
        <f t="shared" si="973"/>
        <v/>
      </c>
      <c r="IQ134" s="714"/>
      <c r="IR134" s="9" t="str">
        <f t="shared" si="974"/>
        <v/>
      </c>
      <c r="IS134" s="5" t="str">
        <f t="shared" si="975"/>
        <v/>
      </c>
      <c r="IT134" s="5" t="str">
        <f t="shared" si="976"/>
        <v/>
      </c>
      <c r="IU134" s="5" t="str">
        <f t="shared" si="977"/>
        <v/>
      </c>
      <c r="IV134" s="670" t="str">
        <f t="shared" si="978"/>
        <v/>
      </c>
      <c r="IW134" s="9" t="str">
        <f t="shared" si="979"/>
        <v/>
      </c>
      <c r="IX134" s="5" t="str">
        <f t="shared" si="980"/>
        <v/>
      </c>
      <c r="IY134" s="5" t="str">
        <f t="shared" si="981"/>
        <v/>
      </c>
      <c r="IZ134" s="5" t="str">
        <f t="shared" si="982"/>
        <v/>
      </c>
      <c r="JA134" s="705" t="str">
        <f t="shared" si="983"/>
        <v/>
      </c>
    </row>
    <row r="135" spans="1:261" ht="15" customHeight="1" x14ac:dyDescent="0.25">
      <c r="A135" s="75" t="str">
        <f t="shared" si="708"/>
        <v/>
      </c>
      <c r="B135" s="585" t="str">
        <f t="shared" ref="B135:D135" si="1211">IFERROR(O290-($A135*E135),"")</f>
        <v/>
      </c>
      <c r="C135" s="582" t="str">
        <f t="shared" si="1211"/>
        <v/>
      </c>
      <c r="D135" s="583" t="str">
        <f t="shared" si="1211"/>
        <v/>
      </c>
      <c r="E135" s="588" t="str">
        <f t="shared" ref="E135:K135" si="1212">R290</f>
        <v/>
      </c>
      <c r="F135" s="582" t="str">
        <f t="shared" si="1212"/>
        <v/>
      </c>
      <c r="G135" s="586" t="str">
        <f t="shared" si="1212"/>
        <v/>
      </c>
      <c r="H135" s="588" t="str">
        <f t="shared" si="1212"/>
        <v/>
      </c>
      <c r="I135" s="582" t="str">
        <f t="shared" si="1212"/>
        <v/>
      </c>
      <c r="J135" s="491" t="str">
        <f t="shared" si="711"/>
        <v/>
      </c>
      <c r="K135" s="807" t="str">
        <f t="shared" si="1212"/>
        <v/>
      </c>
      <c r="L135" s="309"/>
      <c r="M135" s="492" t="str">
        <f t="shared" si="901"/>
        <v/>
      </c>
      <c r="N135" s="581" t="str">
        <f t="shared" si="902"/>
        <v/>
      </c>
      <c r="O135" s="582" t="str">
        <f t="shared" si="903"/>
        <v/>
      </c>
      <c r="P135" s="583" t="str">
        <f t="shared" si="904"/>
        <v/>
      </c>
      <c r="Q135" s="536" t="str">
        <f t="shared" si="1060"/>
        <v/>
      </c>
      <c r="R135" s="582" t="str">
        <f t="shared" si="1061"/>
        <v/>
      </c>
      <c r="S135" s="584" t="str">
        <f t="shared" si="1062"/>
        <v/>
      </c>
      <c r="T135" s="585" t="str">
        <f t="shared" si="1063"/>
        <v/>
      </c>
      <c r="U135" s="582" t="str">
        <f t="shared" si="1064"/>
        <v/>
      </c>
      <c r="V135" s="586" t="str">
        <f t="shared" si="1065"/>
        <v/>
      </c>
      <c r="W135" s="536" t="str">
        <f t="shared" si="1066"/>
        <v/>
      </c>
      <c r="X135" s="582" t="str">
        <f t="shared" si="1067"/>
        <v/>
      </c>
      <c r="Y135" s="587" t="str">
        <f t="shared" si="1068"/>
        <v/>
      </c>
      <c r="Z135" s="581" t="str">
        <f t="shared" si="905"/>
        <v/>
      </c>
      <c r="AA135" s="582" t="str">
        <f t="shared" si="906"/>
        <v/>
      </c>
      <c r="AB135" s="582" t="str">
        <f t="shared" si="907"/>
        <v/>
      </c>
      <c r="AC135" s="586" t="str">
        <f t="shared" si="1069"/>
        <v/>
      </c>
      <c r="AD135" s="588" t="str">
        <f t="shared" si="1070"/>
        <v/>
      </c>
      <c r="AE135" s="582" t="str">
        <f t="shared" si="1071"/>
        <v/>
      </c>
      <c r="AF135" s="583" t="str">
        <f t="shared" si="1072"/>
        <v/>
      </c>
      <c r="AG135" s="547" t="str">
        <f t="shared" si="1073"/>
        <v/>
      </c>
      <c r="AH135" s="548" t="str">
        <f t="shared" si="1074"/>
        <v/>
      </c>
      <c r="AI135" s="536" t="str">
        <f t="shared" si="1075"/>
        <v/>
      </c>
      <c r="AJ135" s="537" t="str">
        <f t="shared" si="1076"/>
        <v/>
      </c>
      <c r="AK135" s="585" t="str">
        <f t="shared" si="1077"/>
        <v/>
      </c>
      <c r="AL135" s="582" t="str">
        <f t="shared" si="1078"/>
        <v/>
      </c>
      <c r="AM135" s="584" t="str">
        <f t="shared" si="1079"/>
        <v/>
      </c>
      <c r="AN135" s="534" t="str">
        <f t="shared" si="1080"/>
        <v/>
      </c>
      <c r="AO135" s="535" t="str">
        <f t="shared" si="1039"/>
        <v/>
      </c>
      <c r="AP135" s="536" t="str">
        <f t="shared" si="1081"/>
        <v/>
      </c>
      <c r="AQ135" s="537" t="str">
        <f t="shared" si="908"/>
        <v/>
      </c>
      <c r="AS135" s="955" t="str">
        <f t="shared" si="1010"/>
        <v/>
      </c>
      <c r="AT135" s="951" t="str">
        <f t="shared" si="909"/>
        <v/>
      </c>
      <c r="AU135" s="418"/>
      <c r="AV135" s="164" t="str">
        <f t="shared" si="910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2"/>
        <v/>
      </c>
      <c r="BA135" s="505" t="str">
        <f t="shared" si="1083"/>
        <v/>
      </c>
      <c r="BB135" s="506" t="str">
        <f t="shared" si="713"/>
        <v/>
      </c>
      <c r="BC135" s="496"/>
      <c r="BD135" s="494" t="str">
        <f t="shared" si="1084"/>
        <v/>
      </c>
      <c r="BE135" s="497" t="str">
        <f t="shared" si="912"/>
        <v/>
      </c>
      <c r="BF135" s="498" t="str">
        <f t="shared" si="913"/>
        <v/>
      </c>
      <c r="BG135" s="494" t="str">
        <f t="shared" si="914"/>
        <v/>
      </c>
      <c r="BH135" s="495" t="str">
        <f t="shared" si="915"/>
        <v/>
      </c>
      <c r="BI135" s="496" t="str">
        <f t="shared" si="1085"/>
        <v/>
      </c>
      <c r="BJ135" s="494" t="str">
        <f t="shared" si="916"/>
        <v/>
      </c>
      <c r="BK135" s="499" t="str">
        <f t="shared" si="917"/>
        <v/>
      </c>
      <c r="BL135" s="502" t="str">
        <f t="shared" si="918"/>
        <v/>
      </c>
      <c r="BM135" s="494" t="str">
        <f t="shared" si="919"/>
        <v/>
      </c>
      <c r="BN135" s="497" t="str">
        <f t="shared" si="920"/>
        <v/>
      </c>
      <c r="BO135" s="498" t="str">
        <f t="shared" si="1086"/>
        <v/>
      </c>
      <c r="BP135" s="494" t="str">
        <f t="shared" si="1087"/>
        <v/>
      </c>
      <c r="BQ135" s="494" t="str">
        <f t="shared" si="1088"/>
        <v/>
      </c>
      <c r="BR135" s="497" t="str">
        <f t="shared" si="1089"/>
        <v/>
      </c>
      <c r="BS135" s="498" t="str">
        <f t="shared" si="1005"/>
        <v/>
      </c>
      <c r="BT135" s="494" t="str">
        <f t="shared" si="1005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0"/>
        <v/>
      </c>
      <c r="CC135" s="494" t="str">
        <f t="shared" si="1091"/>
        <v/>
      </c>
      <c r="CD135" s="494" t="str">
        <f t="shared" si="1092"/>
        <v/>
      </c>
      <c r="CE135" s="497" t="str">
        <f t="shared" si="1093"/>
        <v/>
      </c>
      <c r="CF135" s="498" t="str">
        <f t="shared" si="1094"/>
        <v/>
      </c>
      <c r="CG135" s="494" t="str">
        <f t="shared" si="1095"/>
        <v/>
      </c>
      <c r="CH135" s="494" t="str">
        <f t="shared" si="1096"/>
        <v/>
      </c>
      <c r="CI135" s="498" t="str">
        <f t="shared" si="723"/>
        <v/>
      </c>
      <c r="CJ135" s="494" t="str">
        <f t="shared" si="1097"/>
        <v/>
      </c>
      <c r="CK135" s="499" t="str">
        <f t="shared" si="1098"/>
        <v/>
      </c>
      <c r="CL135" s="502" t="str">
        <f t="shared" si="1099"/>
        <v/>
      </c>
      <c r="CM135" s="494" t="str">
        <f t="shared" si="1100"/>
        <v/>
      </c>
      <c r="CN135" s="497" t="str">
        <f t="shared" si="1101"/>
        <v/>
      </c>
      <c r="CO135" s="507" t="str">
        <f t="shared" si="921"/>
        <v/>
      </c>
      <c r="CP135" s="498" t="str">
        <f t="shared" si="1102"/>
        <v/>
      </c>
      <c r="CQ135" s="494" t="str">
        <f t="shared" si="1103"/>
        <v/>
      </c>
      <c r="CR135" s="494" t="str">
        <f t="shared" si="1104"/>
        <v/>
      </c>
      <c r="CS135" s="499" t="str">
        <f t="shared" si="1105"/>
        <v/>
      </c>
      <c r="CT135" s="496" t="str">
        <f t="shared" si="1106"/>
        <v/>
      </c>
      <c r="CU135" s="497" t="str">
        <f t="shared" si="1107"/>
        <v/>
      </c>
      <c r="CV135" s="498" t="str">
        <f t="shared" si="1108"/>
        <v/>
      </c>
      <c r="CW135" s="494" t="str">
        <f t="shared" si="1109"/>
        <v/>
      </c>
      <c r="CX135" s="499" t="str">
        <f t="shared" si="1110"/>
        <v/>
      </c>
      <c r="CY135" s="496" t="str">
        <f t="shared" si="1111"/>
        <v/>
      </c>
      <c r="CZ135" s="494" t="str">
        <f t="shared" si="1112"/>
        <v/>
      </c>
      <c r="DA135" s="497" t="str">
        <f t="shared" si="1113"/>
        <v/>
      </c>
      <c r="DB135" s="498" t="str">
        <f t="shared" si="1011"/>
        <v/>
      </c>
      <c r="DC135" s="494" t="str">
        <f t="shared" si="1011"/>
        <v/>
      </c>
      <c r="DD135" s="495" t="str">
        <f t="shared" si="764"/>
        <v/>
      </c>
      <c r="DE135" s="496" t="str">
        <f t="shared" si="1012"/>
        <v/>
      </c>
      <c r="DF135" s="494" t="str">
        <f t="shared" si="1012"/>
        <v/>
      </c>
      <c r="DG135" s="495" t="str">
        <f t="shared" si="766"/>
        <v/>
      </c>
      <c r="DH135" s="501" t="str">
        <f t="shared" si="1114"/>
        <v/>
      </c>
      <c r="DI135" s="498" t="str">
        <f t="shared" si="1115"/>
        <v/>
      </c>
      <c r="DJ135" s="494" t="str">
        <f t="shared" si="1116"/>
        <v/>
      </c>
      <c r="DK135" s="495" t="str">
        <f t="shared" si="1117"/>
        <v/>
      </c>
      <c r="DL135" s="496" t="str">
        <f t="shared" si="1118"/>
        <v/>
      </c>
      <c r="DM135" s="502" t="str">
        <f t="shared" si="1119"/>
        <v/>
      </c>
      <c r="DN135" s="508" t="str">
        <f t="shared" si="1120"/>
        <v/>
      </c>
      <c r="DO135" s="496" t="str">
        <f t="shared" si="1121"/>
        <v/>
      </c>
      <c r="DP135" s="502" t="str">
        <f t="shared" si="1122"/>
        <v/>
      </c>
      <c r="DQ135" s="503" t="str">
        <f t="shared" si="1123"/>
        <v/>
      </c>
      <c r="DR135" s="502" t="str">
        <f t="shared" si="1124"/>
        <v/>
      </c>
      <c r="DS135" s="494" t="str">
        <f t="shared" si="1125"/>
        <v/>
      </c>
      <c r="DT135" s="494" t="str">
        <f t="shared" si="1126"/>
        <v/>
      </c>
      <c r="DU135" s="494" t="str">
        <f t="shared" si="1127"/>
        <v/>
      </c>
      <c r="DV135" s="494" t="str">
        <f t="shared" si="1128"/>
        <v/>
      </c>
      <c r="DW135" s="494" t="str">
        <f t="shared" si="1129"/>
        <v/>
      </c>
      <c r="DX135" s="507" t="str">
        <f t="shared" si="1130"/>
        <v/>
      </c>
      <c r="DY135" s="496" t="str">
        <f t="shared" si="1131"/>
        <v/>
      </c>
      <c r="DZ135" s="494" t="str">
        <f t="shared" si="1132"/>
        <v/>
      </c>
      <c r="EA135" s="495" t="str">
        <f t="shared" si="1133"/>
        <v/>
      </c>
      <c r="EB135" s="497" t="str">
        <f t="shared" si="1134"/>
        <v/>
      </c>
      <c r="EC135" s="502" t="str">
        <f t="shared" si="1135"/>
        <v/>
      </c>
      <c r="ED135" s="494" t="str">
        <f t="shared" si="1136"/>
        <v/>
      </c>
      <c r="EE135" s="498" t="str">
        <f t="shared" si="1137"/>
        <v/>
      </c>
      <c r="EF135" s="494" t="str">
        <f t="shared" si="1138"/>
        <v/>
      </c>
      <c r="EG135" s="495" t="str">
        <f t="shared" si="1139"/>
        <v/>
      </c>
      <c r="EH135" s="496" t="str">
        <f t="shared" si="1140"/>
        <v/>
      </c>
      <c r="EI135" s="494" t="str">
        <f t="shared" si="1141"/>
        <v/>
      </c>
      <c r="EJ135" s="497" t="str">
        <f t="shared" si="1142"/>
        <v/>
      </c>
      <c r="EK135" s="509" t="str">
        <f t="shared" si="796"/>
        <v/>
      </c>
      <c r="EL135" s="510" t="str">
        <f t="shared" si="797"/>
        <v/>
      </c>
      <c r="EM135" s="498" t="str">
        <f t="shared" si="1143"/>
        <v/>
      </c>
      <c r="EN135" s="494" t="str">
        <f t="shared" si="1144"/>
        <v/>
      </c>
      <c r="EO135" s="495" t="str">
        <f t="shared" si="1145"/>
        <v/>
      </c>
      <c r="EP135" s="496" t="str">
        <f t="shared" si="1146"/>
        <v/>
      </c>
      <c r="EQ135" s="494" t="str">
        <f t="shared" si="1147"/>
        <v/>
      </c>
      <c r="ER135" s="500" t="str">
        <f t="shared" si="1148"/>
        <v/>
      </c>
      <c r="ES135" s="493" t="str">
        <f t="shared" si="922"/>
        <v/>
      </c>
      <c r="ET135" s="494" t="str">
        <f t="shared" si="923"/>
        <v/>
      </c>
      <c r="EU135" s="495" t="str">
        <f t="shared" si="924"/>
        <v/>
      </c>
      <c r="EV135" s="174" t="str">
        <f t="shared" si="1149"/>
        <v/>
      </c>
      <c r="EW135" s="496" t="str">
        <f t="shared" si="1150"/>
        <v/>
      </c>
      <c r="EX135" s="494" t="str">
        <f t="shared" si="1151"/>
        <v/>
      </c>
      <c r="EY135" s="497" t="str">
        <f t="shared" si="1152"/>
        <v/>
      </c>
      <c r="EZ135" s="504" t="str">
        <f t="shared" si="805"/>
        <v/>
      </c>
      <c r="FA135" s="502" t="str">
        <f t="shared" si="928"/>
        <v/>
      </c>
      <c r="FB135" s="494" t="str">
        <f t="shared" si="929"/>
        <v/>
      </c>
      <c r="FC135" s="497" t="str">
        <f t="shared" si="930"/>
        <v/>
      </c>
      <c r="FD135" s="498" t="str">
        <f t="shared" si="1153"/>
        <v/>
      </c>
      <c r="FE135" s="494" t="str">
        <f t="shared" si="1154"/>
        <v/>
      </c>
      <c r="FF135" s="500" t="str">
        <f t="shared" si="1155"/>
        <v/>
      </c>
      <c r="FG135" s="173" t="str">
        <f t="shared" si="1156"/>
        <v/>
      </c>
      <c r="FH135" s="5" t="str">
        <f t="shared" si="1157"/>
        <v/>
      </c>
      <c r="FI135" s="10" t="str">
        <f t="shared" si="1158"/>
        <v/>
      </c>
      <c r="FJ135" s="279" t="str">
        <f t="shared" si="1159"/>
        <v/>
      </c>
      <c r="FK135" s="4" t="str">
        <f t="shared" si="1160"/>
        <v/>
      </c>
      <c r="FL135" s="5" t="str">
        <f t="shared" si="1161"/>
        <v/>
      </c>
      <c r="FM135" s="8" t="str">
        <f t="shared" si="1162"/>
        <v/>
      </c>
      <c r="FN135" s="9" t="str">
        <f t="shared" si="1163"/>
        <v/>
      </c>
      <c r="FO135" s="10" t="str">
        <f t="shared" si="1164"/>
        <v/>
      </c>
      <c r="FP135" s="277" t="str">
        <f t="shared" si="1165"/>
        <v/>
      </c>
      <c r="FQ135" s="173" t="str">
        <f t="shared" si="1166"/>
        <v/>
      </c>
      <c r="FR135" s="10" t="str">
        <f t="shared" si="1167"/>
        <v/>
      </c>
      <c r="FS135" s="9" t="str">
        <f t="shared" si="1168"/>
        <v/>
      </c>
      <c r="FT135" s="6" t="str">
        <f t="shared" si="1169"/>
        <v/>
      </c>
      <c r="FU135" s="4" t="str">
        <f t="shared" si="1170"/>
        <v/>
      </c>
      <c r="FV135" s="5" t="str">
        <f t="shared" si="1171"/>
        <v/>
      </c>
      <c r="FW135" s="8" t="str">
        <f t="shared" si="1172"/>
        <v/>
      </c>
      <c r="FX135" s="9" t="str">
        <f t="shared" si="1173"/>
        <v/>
      </c>
      <c r="FY135" s="10" t="str">
        <f t="shared" si="1174"/>
        <v/>
      </c>
      <c r="FZ135" s="277" t="str">
        <f t="shared" si="1175"/>
        <v/>
      </c>
      <c r="GA135" s="177" t="str">
        <f t="shared" si="1176"/>
        <v/>
      </c>
      <c r="GB135" s="4" t="str">
        <f t="shared" si="1177"/>
        <v/>
      </c>
      <c r="GC135" s="5" t="str">
        <f t="shared" si="1178"/>
        <v/>
      </c>
      <c r="GD135" s="10" t="str">
        <f t="shared" si="1179"/>
        <v/>
      </c>
      <c r="GE135" s="311" t="str">
        <f t="shared" si="1180"/>
        <v/>
      </c>
      <c r="GF135" s="341" t="str">
        <f t="shared" si="1181"/>
        <v/>
      </c>
      <c r="GG135" s="306" t="str">
        <f t="shared" si="1182"/>
        <v/>
      </c>
      <c r="GH135" s="307" t="str">
        <f t="shared" si="1183"/>
        <v/>
      </c>
      <c r="GI135" s="308" t="str">
        <f t="shared" si="1184"/>
        <v/>
      </c>
      <c r="GJ135" s="167" t="str">
        <f t="shared" si="1185"/>
        <v/>
      </c>
      <c r="GK135" s="174" t="str">
        <f t="shared" si="942"/>
        <v/>
      </c>
      <c r="GL135" s="174" t="str">
        <f t="shared" si="1186"/>
        <v/>
      </c>
      <c r="GM135" s="177" t="str">
        <f t="shared" si="1187"/>
        <v/>
      </c>
      <c r="GN135" s="280" t="str">
        <f t="shared" si="1188"/>
        <v/>
      </c>
      <c r="GO135" s="4" t="str">
        <f t="shared" si="1189"/>
        <v/>
      </c>
      <c r="GP135" s="8" t="str">
        <f t="shared" si="1190"/>
        <v/>
      </c>
      <c r="GQ135" s="177" t="str">
        <f t="shared" si="1191"/>
        <v/>
      </c>
      <c r="GR135" s="371" t="str">
        <f t="shared" si="1192"/>
        <v/>
      </c>
      <c r="GS135" s="342" t="str">
        <f t="shared" si="1193"/>
        <v/>
      </c>
      <c r="GT135" s="343" t="str">
        <f t="shared" si="1194"/>
        <v/>
      </c>
      <c r="GU135" s="344" t="str">
        <f t="shared" si="945"/>
        <v/>
      </c>
      <c r="GV135" s="343" t="str">
        <f t="shared" si="1195"/>
        <v/>
      </c>
      <c r="GW135" s="345" t="str">
        <f t="shared" si="946"/>
        <v/>
      </c>
      <c r="GX135" s="346" t="str">
        <f t="shared" si="947"/>
        <v/>
      </c>
      <c r="GY135" s="344" t="str">
        <f t="shared" si="1196"/>
        <v/>
      </c>
      <c r="GZ135" s="345" t="str">
        <f t="shared" si="1197"/>
        <v/>
      </c>
      <c r="HA135" s="342" t="str">
        <f t="shared" si="950"/>
        <v/>
      </c>
      <c r="HB135" s="5" t="str">
        <f t="shared" si="832"/>
        <v/>
      </c>
      <c r="HC135" s="343" t="str">
        <f t="shared" si="1198"/>
        <v/>
      </c>
      <c r="HD135" s="363" t="str">
        <f t="shared" si="1199"/>
        <v/>
      </c>
      <c r="HE135" s="344" t="str">
        <f t="shared" si="951"/>
        <v/>
      </c>
      <c r="HF135" s="5" t="str">
        <f t="shared" si="952"/>
        <v/>
      </c>
      <c r="HG135" s="343" t="str">
        <f t="shared" si="1200"/>
        <v/>
      </c>
      <c r="HH135" s="349" t="str">
        <f t="shared" si="1201"/>
        <v/>
      </c>
      <c r="HI135" s="317" t="str">
        <f t="shared" si="953"/>
        <v/>
      </c>
      <c r="HK135" s="310" t="str">
        <f t="shared" si="1006"/>
        <v/>
      </c>
      <c r="HL135" s="348" t="str">
        <f t="shared" si="954"/>
        <v/>
      </c>
      <c r="HM135" s="923" t="str">
        <f t="shared" si="955"/>
        <v/>
      </c>
      <c r="HN135" s="924" t="str">
        <f t="shared" si="956"/>
        <v/>
      </c>
      <c r="HO135" s="925"/>
      <c r="HP135" s="926"/>
      <c r="HQ135" s="924" t="str">
        <f t="shared" si="957"/>
        <v/>
      </c>
      <c r="HR135" s="927" t="str">
        <f t="shared" si="958"/>
        <v/>
      </c>
      <c r="HS135" s="879" t="str">
        <f t="shared" si="1202"/>
        <v/>
      </c>
      <c r="HT135" s="889" t="str">
        <f t="shared" si="959"/>
        <v/>
      </c>
      <c r="HU135" s="890" t="str">
        <f t="shared" si="960"/>
        <v/>
      </c>
      <c r="HV135" s="886" t="str">
        <f t="shared" si="961"/>
        <v/>
      </c>
      <c r="HW135" s="880" t="str">
        <f t="shared" si="962"/>
        <v/>
      </c>
      <c r="HX135" s="881" t="str">
        <f t="shared" si="963"/>
        <v/>
      </c>
      <c r="HY135" s="880" t="str">
        <f t="shared" si="964"/>
        <v/>
      </c>
      <c r="HZ135" s="882" t="str">
        <f t="shared" si="965"/>
        <v/>
      </c>
      <c r="IA135" s="883" t="str">
        <f t="shared" si="966"/>
        <v/>
      </c>
      <c r="IB135" s="884" t="str">
        <f t="shared" si="967"/>
        <v/>
      </c>
      <c r="IC135" s="855" t="str">
        <f t="shared" si="968"/>
        <v/>
      </c>
      <c r="ID135" s="351" t="str">
        <f t="shared" si="969"/>
        <v/>
      </c>
      <c r="IE135" s="857" t="str">
        <f t="shared" si="970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1"/>
        <v/>
      </c>
      <c r="IM135" s="482" t="str">
        <f t="shared" si="838"/>
        <v/>
      </c>
      <c r="IN135" s="670" t="str">
        <f t="shared" si="972"/>
        <v/>
      </c>
      <c r="IO135" s="702"/>
      <c r="IP135" s="5" t="str">
        <f t="shared" si="973"/>
        <v/>
      </c>
      <c r="IQ135" s="714"/>
      <c r="IR135" s="9" t="str">
        <f t="shared" si="974"/>
        <v/>
      </c>
      <c r="IS135" s="5" t="str">
        <f t="shared" si="975"/>
        <v/>
      </c>
      <c r="IT135" s="5" t="str">
        <f t="shared" si="976"/>
        <v/>
      </c>
      <c r="IU135" s="5" t="str">
        <f t="shared" si="977"/>
        <v/>
      </c>
      <c r="IV135" s="670" t="str">
        <f t="shared" si="978"/>
        <v/>
      </c>
      <c r="IW135" s="9" t="str">
        <f t="shared" si="979"/>
        <v/>
      </c>
      <c r="IX135" s="5" t="str">
        <f t="shared" si="980"/>
        <v/>
      </c>
      <c r="IY135" s="5" t="str">
        <f t="shared" si="981"/>
        <v/>
      </c>
      <c r="IZ135" s="5" t="str">
        <f t="shared" si="982"/>
        <v/>
      </c>
      <c r="JA135" s="705" t="str">
        <f t="shared" si="983"/>
        <v/>
      </c>
    </row>
    <row r="136" spans="1:261" ht="15" customHeight="1" x14ac:dyDescent="0.25">
      <c r="A136" s="75" t="str">
        <f t="shared" si="708"/>
        <v/>
      </c>
      <c r="B136" s="585" t="str">
        <f t="shared" ref="B136:D136" si="1213">IFERROR(O291-($A136*E136),"")</f>
        <v/>
      </c>
      <c r="C136" s="582" t="str">
        <f t="shared" si="1213"/>
        <v/>
      </c>
      <c r="D136" s="583" t="str">
        <f t="shared" si="1213"/>
        <v/>
      </c>
      <c r="E136" s="588" t="str">
        <f t="shared" ref="E136:K136" si="1214">R291</f>
        <v/>
      </c>
      <c r="F136" s="582" t="str">
        <f t="shared" si="1214"/>
        <v/>
      </c>
      <c r="G136" s="586" t="str">
        <f t="shared" si="1214"/>
        <v/>
      </c>
      <c r="H136" s="588" t="str">
        <f t="shared" si="1214"/>
        <v/>
      </c>
      <c r="I136" s="582" t="str">
        <f t="shared" si="1214"/>
        <v/>
      </c>
      <c r="J136" s="491" t="str">
        <f t="shared" si="711"/>
        <v/>
      </c>
      <c r="K136" s="807" t="str">
        <f t="shared" si="1214"/>
        <v/>
      </c>
      <c r="L136" s="309"/>
      <c r="M136" s="492" t="str">
        <f t="shared" si="901"/>
        <v/>
      </c>
      <c r="N136" s="581" t="str">
        <f t="shared" si="902"/>
        <v/>
      </c>
      <c r="O136" s="582" t="str">
        <f t="shared" si="903"/>
        <v/>
      </c>
      <c r="P136" s="583" t="str">
        <f t="shared" si="904"/>
        <v/>
      </c>
      <c r="Q136" s="536" t="str">
        <f t="shared" si="1060"/>
        <v/>
      </c>
      <c r="R136" s="582" t="str">
        <f t="shared" si="1061"/>
        <v/>
      </c>
      <c r="S136" s="584" t="str">
        <f t="shared" si="1062"/>
        <v/>
      </c>
      <c r="T136" s="585" t="str">
        <f t="shared" si="1063"/>
        <v/>
      </c>
      <c r="U136" s="582" t="str">
        <f t="shared" si="1064"/>
        <v/>
      </c>
      <c r="V136" s="586" t="str">
        <f t="shared" si="1065"/>
        <v/>
      </c>
      <c r="W136" s="536" t="str">
        <f t="shared" si="1066"/>
        <v/>
      </c>
      <c r="X136" s="582" t="str">
        <f t="shared" si="1067"/>
        <v/>
      </c>
      <c r="Y136" s="587" t="str">
        <f t="shared" si="1068"/>
        <v/>
      </c>
      <c r="Z136" s="581" t="str">
        <f t="shared" si="905"/>
        <v/>
      </c>
      <c r="AA136" s="582" t="str">
        <f t="shared" si="906"/>
        <v/>
      </c>
      <c r="AB136" s="582" t="str">
        <f t="shared" si="907"/>
        <v/>
      </c>
      <c r="AC136" s="586" t="str">
        <f t="shared" si="1069"/>
        <v/>
      </c>
      <c r="AD136" s="588" t="str">
        <f t="shared" si="1070"/>
        <v/>
      </c>
      <c r="AE136" s="582" t="str">
        <f t="shared" si="1071"/>
        <v/>
      </c>
      <c r="AF136" s="583" t="str">
        <f t="shared" si="1072"/>
        <v/>
      </c>
      <c r="AG136" s="547" t="str">
        <f t="shared" si="1073"/>
        <v/>
      </c>
      <c r="AH136" s="548" t="str">
        <f t="shared" si="1074"/>
        <v/>
      </c>
      <c r="AI136" s="536" t="str">
        <f t="shared" si="1075"/>
        <v/>
      </c>
      <c r="AJ136" s="537" t="str">
        <f t="shared" si="1076"/>
        <v/>
      </c>
      <c r="AK136" s="585" t="str">
        <f t="shared" si="1077"/>
        <v/>
      </c>
      <c r="AL136" s="582" t="str">
        <f t="shared" si="1078"/>
        <v/>
      </c>
      <c r="AM136" s="584" t="str">
        <f t="shared" si="1079"/>
        <v/>
      </c>
      <c r="AN136" s="534" t="str">
        <f t="shared" si="1080"/>
        <v/>
      </c>
      <c r="AO136" s="535" t="str">
        <f t="shared" si="1039"/>
        <v/>
      </c>
      <c r="AP136" s="536" t="str">
        <f t="shared" si="1081"/>
        <v/>
      </c>
      <c r="AQ136" s="537" t="str">
        <f t="shared" si="908"/>
        <v/>
      </c>
      <c r="AS136" s="955" t="str">
        <f t="shared" si="1010"/>
        <v/>
      </c>
      <c r="AT136" s="951" t="str">
        <f t="shared" si="909"/>
        <v/>
      </c>
      <c r="AU136" s="418"/>
      <c r="AV136" s="164" t="str">
        <f t="shared" si="910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2"/>
        <v/>
      </c>
      <c r="BA136" s="505" t="str">
        <f t="shared" si="1083"/>
        <v/>
      </c>
      <c r="BB136" s="506" t="str">
        <f t="shared" si="713"/>
        <v/>
      </c>
      <c r="BC136" s="496"/>
      <c r="BD136" s="494" t="str">
        <f t="shared" si="1084"/>
        <v/>
      </c>
      <c r="BE136" s="497" t="str">
        <f t="shared" si="912"/>
        <v/>
      </c>
      <c r="BF136" s="498" t="str">
        <f t="shared" si="913"/>
        <v/>
      </c>
      <c r="BG136" s="494" t="str">
        <f t="shared" si="914"/>
        <v/>
      </c>
      <c r="BH136" s="495" t="str">
        <f t="shared" si="915"/>
        <v/>
      </c>
      <c r="BI136" s="496" t="str">
        <f t="shared" si="1085"/>
        <v/>
      </c>
      <c r="BJ136" s="494" t="str">
        <f t="shared" si="916"/>
        <v/>
      </c>
      <c r="BK136" s="499" t="str">
        <f t="shared" si="917"/>
        <v/>
      </c>
      <c r="BL136" s="502" t="str">
        <f t="shared" si="918"/>
        <v/>
      </c>
      <c r="BM136" s="494" t="str">
        <f t="shared" si="919"/>
        <v/>
      </c>
      <c r="BN136" s="497" t="str">
        <f t="shared" si="920"/>
        <v/>
      </c>
      <c r="BO136" s="498" t="str">
        <f t="shared" si="1086"/>
        <v/>
      </c>
      <c r="BP136" s="494" t="str">
        <f t="shared" si="1087"/>
        <v/>
      </c>
      <c r="BQ136" s="494" t="str">
        <f t="shared" si="1088"/>
        <v/>
      </c>
      <c r="BR136" s="497" t="str">
        <f t="shared" si="1089"/>
        <v/>
      </c>
      <c r="BS136" s="498" t="str">
        <f t="shared" si="1005"/>
        <v/>
      </c>
      <c r="BT136" s="494" t="str">
        <f t="shared" si="1005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0"/>
        <v/>
      </c>
      <c r="CC136" s="494" t="str">
        <f t="shared" si="1091"/>
        <v/>
      </c>
      <c r="CD136" s="494" t="str">
        <f t="shared" si="1092"/>
        <v/>
      </c>
      <c r="CE136" s="497" t="str">
        <f t="shared" si="1093"/>
        <v/>
      </c>
      <c r="CF136" s="498" t="str">
        <f t="shared" si="1094"/>
        <v/>
      </c>
      <c r="CG136" s="494" t="str">
        <f t="shared" si="1095"/>
        <v/>
      </c>
      <c r="CH136" s="494" t="str">
        <f t="shared" si="1096"/>
        <v/>
      </c>
      <c r="CI136" s="498" t="str">
        <f t="shared" si="723"/>
        <v/>
      </c>
      <c r="CJ136" s="494" t="str">
        <f t="shared" si="1097"/>
        <v/>
      </c>
      <c r="CK136" s="499" t="str">
        <f t="shared" si="1098"/>
        <v/>
      </c>
      <c r="CL136" s="502" t="str">
        <f t="shared" si="1099"/>
        <v/>
      </c>
      <c r="CM136" s="494" t="str">
        <f t="shared" si="1100"/>
        <v/>
      </c>
      <c r="CN136" s="497" t="str">
        <f t="shared" si="1101"/>
        <v/>
      </c>
      <c r="CO136" s="507" t="str">
        <f t="shared" si="921"/>
        <v/>
      </c>
      <c r="CP136" s="498" t="str">
        <f t="shared" si="1102"/>
        <v/>
      </c>
      <c r="CQ136" s="494" t="str">
        <f t="shared" si="1103"/>
        <v/>
      </c>
      <c r="CR136" s="494" t="str">
        <f t="shared" si="1104"/>
        <v/>
      </c>
      <c r="CS136" s="499" t="str">
        <f t="shared" si="1105"/>
        <v/>
      </c>
      <c r="CT136" s="496" t="str">
        <f t="shared" si="1106"/>
        <v/>
      </c>
      <c r="CU136" s="497" t="str">
        <f t="shared" si="1107"/>
        <v/>
      </c>
      <c r="CV136" s="498" t="str">
        <f t="shared" si="1108"/>
        <v/>
      </c>
      <c r="CW136" s="494" t="str">
        <f t="shared" si="1109"/>
        <v/>
      </c>
      <c r="CX136" s="499" t="str">
        <f t="shared" si="1110"/>
        <v/>
      </c>
      <c r="CY136" s="496" t="str">
        <f t="shared" si="1111"/>
        <v/>
      </c>
      <c r="CZ136" s="494" t="str">
        <f t="shared" si="1112"/>
        <v/>
      </c>
      <c r="DA136" s="497" t="str">
        <f t="shared" si="1113"/>
        <v/>
      </c>
      <c r="DB136" s="498" t="str">
        <f t="shared" si="1011"/>
        <v/>
      </c>
      <c r="DC136" s="494" t="str">
        <f t="shared" si="1011"/>
        <v/>
      </c>
      <c r="DD136" s="495" t="str">
        <f t="shared" si="764"/>
        <v/>
      </c>
      <c r="DE136" s="496" t="str">
        <f t="shared" si="1012"/>
        <v/>
      </c>
      <c r="DF136" s="494" t="str">
        <f t="shared" si="1012"/>
        <v/>
      </c>
      <c r="DG136" s="495" t="str">
        <f t="shared" si="766"/>
        <v/>
      </c>
      <c r="DH136" s="501" t="str">
        <f t="shared" si="1114"/>
        <v/>
      </c>
      <c r="DI136" s="498" t="str">
        <f t="shared" si="1115"/>
        <v/>
      </c>
      <c r="DJ136" s="494" t="str">
        <f t="shared" si="1116"/>
        <v/>
      </c>
      <c r="DK136" s="495" t="str">
        <f t="shared" si="1117"/>
        <v/>
      </c>
      <c r="DL136" s="496" t="str">
        <f t="shared" si="1118"/>
        <v/>
      </c>
      <c r="DM136" s="502" t="str">
        <f t="shared" si="1119"/>
        <v/>
      </c>
      <c r="DN136" s="508" t="str">
        <f t="shared" si="1120"/>
        <v/>
      </c>
      <c r="DO136" s="496" t="str">
        <f t="shared" si="1121"/>
        <v/>
      </c>
      <c r="DP136" s="502" t="str">
        <f t="shared" si="1122"/>
        <v/>
      </c>
      <c r="DQ136" s="503" t="str">
        <f t="shared" si="1123"/>
        <v/>
      </c>
      <c r="DR136" s="502" t="str">
        <f t="shared" si="1124"/>
        <v/>
      </c>
      <c r="DS136" s="494" t="str">
        <f t="shared" si="1125"/>
        <v/>
      </c>
      <c r="DT136" s="494" t="str">
        <f t="shared" si="1126"/>
        <v/>
      </c>
      <c r="DU136" s="494" t="str">
        <f t="shared" si="1127"/>
        <v/>
      </c>
      <c r="DV136" s="494" t="str">
        <f t="shared" si="1128"/>
        <v/>
      </c>
      <c r="DW136" s="494" t="str">
        <f t="shared" si="1129"/>
        <v/>
      </c>
      <c r="DX136" s="507" t="str">
        <f t="shared" si="1130"/>
        <v/>
      </c>
      <c r="DY136" s="496" t="str">
        <f t="shared" si="1131"/>
        <v/>
      </c>
      <c r="DZ136" s="494" t="str">
        <f t="shared" si="1132"/>
        <v/>
      </c>
      <c r="EA136" s="495" t="str">
        <f t="shared" si="1133"/>
        <v/>
      </c>
      <c r="EB136" s="497" t="str">
        <f t="shared" si="1134"/>
        <v/>
      </c>
      <c r="EC136" s="502" t="str">
        <f t="shared" si="1135"/>
        <v/>
      </c>
      <c r="ED136" s="494" t="str">
        <f t="shared" si="1136"/>
        <v/>
      </c>
      <c r="EE136" s="498" t="str">
        <f t="shared" si="1137"/>
        <v/>
      </c>
      <c r="EF136" s="494" t="str">
        <f t="shared" si="1138"/>
        <v/>
      </c>
      <c r="EG136" s="495" t="str">
        <f t="shared" si="1139"/>
        <v/>
      </c>
      <c r="EH136" s="496" t="str">
        <f t="shared" si="1140"/>
        <v/>
      </c>
      <c r="EI136" s="494" t="str">
        <f t="shared" si="1141"/>
        <v/>
      </c>
      <c r="EJ136" s="497" t="str">
        <f t="shared" si="1142"/>
        <v/>
      </c>
      <c r="EK136" s="509" t="str">
        <f t="shared" si="796"/>
        <v/>
      </c>
      <c r="EL136" s="510" t="str">
        <f t="shared" si="797"/>
        <v/>
      </c>
      <c r="EM136" s="498" t="str">
        <f t="shared" si="1143"/>
        <v/>
      </c>
      <c r="EN136" s="494" t="str">
        <f t="shared" si="1144"/>
        <v/>
      </c>
      <c r="EO136" s="495" t="str">
        <f t="shared" si="1145"/>
        <v/>
      </c>
      <c r="EP136" s="496" t="str">
        <f t="shared" si="1146"/>
        <v/>
      </c>
      <c r="EQ136" s="494" t="str">
        <f t="shared" si="1147"/>
        <v/>
      </c>
      <c r="ER136" s="500" t="str">
        <f t="shared" si="1148"/>
        <v/>
      </c>
      <c r="ES136" s="493" t="str">
        <f t="shared" si="922"/>
        <v/>
      </c>
      <c r="ET136" s="494" t="str">
        <f t="shared" si="923"/>
        <v/>
      </c>
      <c r="EU136" s="495" t="str">
        <f t="shared" si="924"/>
        <v/>
      </c>
      <c r="EV136" s="174" t="str">
        <f t="shared" si="1149"/>
        <v/>
      </c>
      <c r="EW136" s="496" t="str">
        <f t="shared" si="1150"/>
        <v/>
      </c>
      <c r="EX136" s="494" t="str">
        <f t="shared" si="1151"/>
        <v/>
      </c>
      <c r="EY136" s="497" t="str">
        <f t="shared" si="1152"/>
        <v/>
      </c>
      <c r="EZ136" s="504" t="str">
        <f t="shared" si="805"/>
        <v/>
      </c>
      <c r="FA136" s="502" t="str">
        <f t="shared" si="928"/>
        <v/>
      </c>
      <c r="FB136" s="494" t="str">
        <f t="shared" si="929"/>
        <v/>
      </c>
      <c r="FC136" s="497" t="str">
        <f t="shared" si="930"/>
        <v/>
      </c>
      <c r="FD136" s="498" t="str">
        <f t="shared" si="1153"/>
        <v/>
      </c>
      <c r="FE136" s="494" t="str">
        <f t="shared" si="1154"/>
        <v/>
      </c>
      <c r="FF136" s="500" t="str">
        <f t="shared" si="1155"/>
        <v/>
      </c>
      <c r="FG136" s="173" t="str">
        <f t="shared" si="1156"/>
        <v/>
      </c>
      <c r="FH136" s="5" t="str">
        <f t="shared" si="1157"/>
        <v/>
      </c>
      <c r="FI136" s="10" t="str">
        <f t="shared" si="1158"/>
        <v/>
      </c>
      <c r="FJ136" s="279" t="str">
        <f t="shared" si="1159"/>
        <v/>
      </c>
      <c r="FK136" s="4" t="str">
        <f t="shared" si="1160"/>
        <v/>
      </c>
      <c r="FL136" s="5" t="str">
        <f t="shared" si="1161"/>
        <v/>
      </c>
      <c r="FM136" s="8" t="str">
        <f t="shared" si="1162"/>
        <v/>
      </c>
      <c r="FN136" s="9" t="str">
        <f t="shared" si="1163"/>
        <v/>
      </c>
      <c r="FO136" s="10" t="str">
        <f t="shared" si="1164"/>
        <v/>
      </c>
      <c r="FP136" s="277" t="str">
        <f t="shared" si="1165"/>
        <v/>
      </c>
      <c r="FQ136" s="173" t="str">
        <f t="shared" si="1166"/>
        <v/>
      </c>
      <c r="FR136" s="10" t="str">
        <f t="shared" si="1167"/>
        <v/>
      </c>
      <c r="FS136" s="9" t="str">
        <f t="shared" si="1168"/>
        <v/>
      </c>
      <c r="FT136" s="6" t="str">
        <f t="shared" si="1169"/>
        <v/>
      </c>
      <c r="FU136" s="4" t="str">
        <f t="shared" si="1170"/>
        <v/>
      </c>
      <c r="FV136" s="5" t="str">
        <f t="shared" si="1171"/>
        <v/>
      </c>
      <c r="FW136" s="8" t="str">
        <f t="shared" si="1172"/>
        <v/>
      </c>
      <c r="FX136" s="9" t="str">
        <f t="shared" si="1173"/>
        <v/>
      </c>
      <c r="FY136" s="10" t="str">
        <f t="shared" si="1174"/>
        <v/>
      </c>
      <c r="FZ136" s="277" t="str">
        <f t="shared" si="1175"/>
        <v/>
      </c>
      <c r="GA136" s="177" t="str">
        <f t="shared" si="1176"/>
        <v/>
      </c>
      <c r="GB136" s="4" t="str">
        <f t="shared" si="1177"/>
        <v/>
      </c>
      <c r="GC136" s="5" t="str">
        <f t="shared" si="1178"/>
        <v/>
      </c>
      <c r="GD136" s="10" t="str">
        <f t="shared" si="1179"/>
        <v/>
      </c>
      <c r="GE136" s="311" t="str">
        <f t="shared" si="1180"/>
        <v/>
      </c>
      <c r="GF136" s="341" t="str">
        <f t="shared" si="1181"/>
        <v/>
      </c>
      <c r="GG136" s="306" t="str">
        <f t="shared" si="1182"/>
        <v/>
      </c>
      <c r="GH136" s="307" t="str">
        <f t="shared" si="1183"/>
        <v/>
      </c>
      <c r="GI136" s="308" t="str">
        <f t="shared" si="1184"/>
        <v/>
      </c>
      <c r="GJ136" s="167" t="str">
        <f t="shared" si="1185"/>
        <v/>
      </c>
      <c r="GK136" s="174" t="str">
        <f t="shared" si="942"/>
        <v/>
      </c>
      <c r="GL136" s="174" t="str">
        <f t="shared" si="1186"/>
        <v/>
      </c>
      <c r="GM136" s="177" t="str">
        <f t="shared" si="1187"/>
        <v/>
      </c>
      <c r="GN136" s="280" t="str">
        <f t="shared" si="1188"/>
        <v/>
      </c>
      <c r="GO136" s="4" t="str">
        <f t="shared" si="1189"/>
        <v/>
      </c>
      <c r="GP136" s="8" t="str">
        <f t="shared" si="1190"/>
        <v/>
      </c>
      <c r="GQ136" s="177" t="str">
        <f t="shared" si="1191"/>
        <v/>
      </c>
      <c r="GR136" s="371" t="str">
        <f t="shared" si="1192"/>
        <v/>
      </c>
      <c r="GS136" s="342" t="str">
        <f t="shared" si="1193"/>
        <v/>
      </c>
      <c r="GT136" s="343" t="str">
        <f t="shared" si="1194"/>
        <v/>
      </c>
      <c r="GU136" s="344" t="str">
        <f t="shared" si="945"/>
        <v/>
      </c>
      <c r="GV136" s="343" t="str">
        <f t="shared" si="1195"/>
        <v/>
      </c>
      <c r="GW136" s="345" t="str">
        <f t="shared" si="946"/>
        <v/>
      </c>
      <c r="GX136" s="346" t="str">
        <f t="shared" si="947"/>
        <v/>
      </c>
      <c r="GY136" s="344" t="str">
        <f t="shared" si="1196"/>
        <v/>
      </c>
      <c r="GZ136" s="345" t="str">
        <f t="shared" si="1197"/>
        <v/>
      </c>
      <c r="HA136" s="342" t="str">
        <f t="shared" si="950"/>
        <v/>
      </c>
      <c r="HB136" s="5" t="str">
        <f t="shared" si="832"/>
        <v/>
      </c>
      <c r="HC136" s="343" t="str">
        <f t="shared" si="1198"/>
        <v/>
      </c>
      <c r="HD136" s="363" t="str">
        <f t="shared" si="1199"/>
        <v/>
      </c>
      <c r="HE136" s="344" t="str">
        <f t="shared" si="951"/>
        <v/>
      </c>
      <c r="HF136" s="5" t="str">
        <f t="shared" si="952"/>
        <v/>
      </c>
      <c r="HG136" s="343" t="str">
        <f t="shared" si="1200"/>
        <v/>
      </c>
      <c r="HH136" s="349" t="str">
        <f t="shared" si="1201"/>
        <v/>
      </c>
      <c r="HI136" s="317" t="str">
        <f t="shared" si="953"/>
        <v/>
      </c>
      <c r="HK136" s="310" t="str">
        <f t="shared" si="1006"/>
        <v/>
      </c>
      <c r="HL136" s="348" t="str">
        <f t="shared" si="954"/>
        <v/>
      </c>
      <c r="HM136" s="923" t="str">
        <f t="shared" si="955"/>
        <v/>
      </c>
      <c r="HN136" s="924" t="str">
        <f t="shared" si="956"/>
        <v/>
      </c>
      <c r="HO136" s="925"/>
      <c r="HP136" s="926"/>
      <c r="HQ136" s="924" t="str">
        <f t="shared" si="957"/>
        <v/>
      </c>
      <c r="HR136" s="927" t="str">
        <f t="shared" si="958"/>
        <v/>
      </c>
      <c r="HS136" s="879" t="str">
        <f t="shared" si="1202"/>
        <v/>
      </c>
      <c r="HT136" s="889" t="str">
        <f t="shared" si="959"/>
        <v/>
      </c>
      <c r="HU136" s="890" t="str">
        <f t="shared" si="960"/>
        <v/>
      </c>
      <c r="HV136" s="886" t="str">
        <f t="shared" si="961"/>
        <v/>
      </c>
      <c r="HW136" s="880" t="str">
        <f t="shared" si="962"/>
        <v/>
      </c>
      <c r="HX136" s="881" t="str">
        <f t="shared" si="963"/>
        <v/>
      </c>
      <c r="HY136" s="880" t="str">
        <f t="shared" si="964"/>
        <v/>
      </c>
      <c r="HZ136" s="882" t="str">
        <f t="shared" si="965"/>
        <v/>
      </c>
      <c r="IA136" s="883" t="str">
        <f t="shared" si="966"/>
        <v/>
      </c>
      <c r="IB136" s="884" t="str">
        <f t="shared" si="967"/>
        <v/>
      </c>
      <c r="IC136" s="855" t="str">
        <f t="shared" si="968"/>
        <v/>
      </c>
      <c r="ID136" s="351" t="str">
        <f t="shared" si="969"/>
        <v/>
      </c>
      <c r="IE136" s="857" t="str">
        <f t="shared" si="970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1"/>
        <v/>
      </c>
      <c r="IM136" s="482" t="str">
        <f t="shared" si="838"/>
        <v/>
      </c>
      <c r="IN136" s="670" t="str">
        <f t="shared" si="972"/>
        <v/>
      </c>
      <c r="IO136" s="702"/>
      <c r="IP136" s="5" t="str">
        <f t="shared" si="973"/>
        <v/>
      </c>
      <c r="IQ136" s="714"/>
      <c r="IR136" s="9" t="str">
        <f t="shared" si="974"/>
        <v/>
      </c>
      <c r="IS136" s="5" t="str">
        <f t="shared" si="975"/>
        <v/>
      </c>
      <c r="IT136" s="5" t="str">
        <f t="shared" si="976"/>
        <v/>
      </c>
      <c r="IU136" s="5" t="str">
        <f t="shared" si="977"/>
        <v/>
      </c>
      <c r="IV136" s="670" t="str">
        <f t="shared" si="978"/>
        <v/>
      </c>
      <c r="IW136" s="9" t="str">
        <f t="shared" si="979"/>
        <v/>
      </c>
      <c r="IX136" s="5" t="str">
        <f t="shared" si="980"/>
        <v/>
      </c>
      <c r="IY136" s="5" t="str">
        <f t="shared" si="981"/>
        <v/>
      </c>
      <c r="IZ136" s="5" t="str">
        <f t="shared" si="982"/>
        <v/>
      </c>
      <c r="JA136" s="705" t="str">
        <f t="shared" si="983"/>
        <v/>
      </c>
    </row>
    <row r="137" spans="1:261" ht="15" customHeight="1" x14ac:dyDescent="0.25">
      <c r="A137" s="75" t="str">
        <f t="shared" si="708"/>
        <v/>
      </c>
      <c r="B137" s="585" t="str">
        <f t="shared" ref="B137:D137" si="1215">IFERROR(O292-($A137*E137),"")</f>
        <v/>
      </c>
      <c r="C137" s="582" t="str">
        <f t="shared" si="1215"/>
        <v/>
      </c>
      <c r="D137" s="583" t="str">
        <f t="shared" si="1215"/>
        <v/>
      </c>
      <c r="E137" s="588" t="str">
        <f t="shared" ref="E137:K137" si="1216">R292</f>
        <v/>
      </c>
      <c r="F137" s="582" t="str">
        <f t="shared" si="1216"/>
        <v/>
      </c>
      <c r="G137" s="586" t="str">
        <f t="shared" si="1216"/>
        <v/>
      </c>
      <c r="H137" s="588" t="str">
        <f t="shared" si="1216"/>
        <v/>
      </c>
      <c r="I137" s="582" t="str">
        <f t="shared" si="1216"/>
        <v/>
      </c>
      <c r="J137" s="491" t="str">
        <f t="shared" si="711"/>
        <v/>
      </c>
      <c r="K137" s="807" t="str">
        <f t="shared" si="1216"/>
        <v/>
      </c>
      <c r="L137" s="309"/>
      <c r="M137" s="492" t="str">
        <f t="shared" ref="M137:M150" si="1217">IF(J137="","",VALUE(J137))</f>
        <v/>
      </c>
      <c r="N137" s="581" t="str">
        <f t="shared" ref="N137:N150" si="1218">IF(M137="","",B137)</f>
        <v/>
      </c>
      <c r="O137" s="582" t="str">
        <f t="shared" ref="O137:O150" si="1219">IF(M137="","",C137)</f>
        <v/>
      </c>
      <c r="P137" s="583" t="str">
        <f t="shared" ref="P137:P150" si="1220">IF(M137="","",D137)</f>
        <v/>
      </c>
      <c r="Q137" s="536" t="str">
        <f t="shared" si="1060"/>
        <v/>
      </c>
      <c r="R137" s="582" t="str">
        <f t="shared" si="1061"/>
        <v/>
      </c>
      <c r="S137" s="584" t="str">
        <f t="shared" si="1062"/>
        <v/>
      </c>
      <c r="T137" s="585" t="str">
        <f t="shared" si="1063"/>
        <v/>
      </c>
      <c r="U137" s="582" t="str">
        <f t="shared" si="1064"/>
        <v/>
      </c>
      <c r="V137" s="586" t="str">
        <f t="shared" si="1065"/>
        <v/>
      </c>
      <c r="W137" s="536" t="str">
        <f t="shared" si="1066"/>
        <v/>
      </c>
      <c r="X137" s="582" t="str">
        <f t="shared" si="1067"/>
        <v/>
      </c>
      <c r="Y137" s="587" t="str">
        <f t="shared" si="1068"/>
        <v/>
      </c>
      <c r="Z137" s="581" t="str">
        <f t="shared" ref="Z137:Z150" si="1221">IF(M137="","",-E137)</f>
        <v/>
      </c>
      <c r="AA137" s="582" t="str">
        <f t="shared" ref="AA137:AA150" si="1222">IF(M137="","",-F137)</f>
        <v/>
      </c>
      <c r="AB137" s="582" t="str">
        <f t="shared" ref="AB137:AB150" si="1223">IF(M137="","",-G137)</f>
        <v/>
      </c>
      <c r="AC137" s="586" t="str">
        <f t="shared" si="1069"/>
        <v/>
      </c>
      <c r="AD137" s="588" t="str">
        <f t="shared" si="1070"/>
        <v/>
      </c>
      <c r="AE137" s="582" t="str">
        <f t="shared" si="1071"/>
        <v/>
      </c>
      <c r="AF137" s="583" t="str">
        <f t="shared" si="1072"/>
        <v/>
      </c>
      <c r="AG137" s="547" t="str">
        <f t="shared" si="1073"/>
        <v/>
      </c>
      <c r="AH137" s="548" t="str">
        <f t="shared" si="1074"/>
        <v/>
      </c>
      <c r="AI137" s="536" t="str">
        <f t="shared" si="1075"/>
        <v/>
      </c>
      <c r="AJ137" s="537" t="str">
        <f t="shared" si="1076"/>
        <v/>
      </c>
      <c r="AK137" s="585" t="str">
        <f t="shared" si="1077"/>
        <v/>
      </c>
      <c r="AL137" s="582" t="str">
        <f t="shared" si="1078"/>
        <v/>
      </c>
      <c r="AM137" s="584" t="str">
        <f t="shared" si="1079"/>
        <v/>
      </c>
      <c r="AN137" s="534" t="str">
        <f t="shared" si="1080"/>
        <v/>
      </c>
      <c r="AO137" s="535" t="str">
        <f t="shared" si="1039"/>
        <v/>
      </c>
      <c r="AP137" s="536" t="str">
        <f t="shared" si="1081"/>
        <v/>
      </c>
      <c r="AQ137" s="537" t="str">
        <f t="shared" ref="AQ137:AQ150" si="1224">IF(M137="","",DEGREES(ATAN(($AS$5*SIN(RADIANS(90)))/(($X137*2*PI())-($AS$5*COS(RADIANS(90)))))))</f>
        <v/>
      </c>
      <c r="AS137" s="955" t="str">
        <f t="shared" si="1010"/>
        <v/>
      </c>
      <c r="AT137" s="951" t="str">
        <f t="shared" ref="AT137:AT150" si="1225">IF(M137="","",Y137+(((AS137-$AS$9)*$AS$6)*-1))</f>
        <v/>
      </c>
      <c r="AU137" s="418"/>
      <c r="AV137" s="164" t="str">
        <f t="shared" ref="AV137:AV150" si="122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2"/>
        <v/>
      </c>
      <c r="BA137" s="505" t="str">
        <f t="shared" si="1083"/>
        <v/>
      </c>
      <c r="BB137" s="506" t="str">
        <f t="shared" si="713"/>
        <v/>
      </c>
      <c r="BC137" s="496"/>
      <c r="BD137" s="494" t="str">
        <f t="shared" si="1084"/>
        <v/>
      </c>
      <c r="BE137" s="497" t="str">
        <f t="shared" ref="BE137:BE150" si="1227">IF(ISNUMBER(AV137),Y137+BB137,"")</f>
        <v/>
      </c>
      <c r="BF137" s="498" t="str">
        <f t="shared" ref="BF137:BF150" si="1228">IF(ISNUMBER($AV137),N137,"")</f>
        <v/>
      </c>
      <c r="BG137" s="494" t="str">
        <f t="shared" ref="BG137:BG150" si="1229">IF(ISNUMBER($AV137),O137,"")</f>
        <v/>
      </c>
      <c r="BH137" s="495" t="str">
        <f t="shared" ref="BH137:BH150" si="1230">IF(ISNUMBER($AV137),P137,"")</f>
        <v/>
      </c>
      <c r="BI137" s="496" t="str">
        <f t="shared" si="1085"/>
        <v/>
      </c>
      <c r="BJ137" s="494" t="str">
        <f t="shared" ref="BJ137:BJ150" si="1231">IF(ISNUMBER($AV137),BG137+COS(RADIANS($AG137)),"")</f>
        <v/>
      </c>
      <c r="BK137" s="499" t="str">
        <f t="shared" ref="BK137:BK150" si="1232">IF(ISNUMBER($AV137),BH137+SIN(RADIANS($AG137)),"")</f>
        <v/>
      </c>
      <c r="BL137" s="502" t="str">
        <f t="shared" ref="BL137:BL150" si="1233">IF(ISNUMBER($AV137),BF137+SIN(RADIANS($AH137)),"")</f>
        <v/>
      </c>
      <c r="BM137" s="494" t="str">
        <f t="shared" ref="BM137:BM150" si="1234">IF(ISNUMBER($AV137),BG137-SIN(RADIANS($AG137))*COS(RADIANS($AH137)),"")</f>
        <v/>
      </c>
      <c r="BN137" s="497" t="str">
        <f t="shared" ref="BN137:BN150" si="1235">IF(ISNUMBER($AV137),BH137+COS(RADIANS($AG137))*COS(RADIANS($AH137)),"")</f>
        <v/>
      </c>
      <c r="BO137" s="498" t="str">
        <f t="shared" si="1086"/>
        <v/>
      </c>
      <c r="BP137" s="494" t="str">
        <f t="shared" si="1087"/>
        <v/>
      </c>
      <c r="BQ137" s="494" t="str">
        <f t="shared" si="1088"/>
        <v/>
      </c>
      <c r="BR137" s="497" t="str">
        <f t="shared" si="1089"/>
        <v/>
      </c>
      <c r="BS137" s="498" t="str">
        <f t="shared" si="1005"/>
        <v/>
      </c>
      <c r="BT137" s="494" t="str">
        <f t="shared" si="1005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0"/>
        <v/>
      </c>
      <c r="CC137" s="494" t="str">
        <f t="shared" si="1091"/>
        <v/>
      </c>
      <c r="CD137" s="494" t="str">
        <f t="shared" si="1092"/>
        <v/>
      </c>
      <c r="CE137" s="497" t="str">
        <f t="shared" si="1093"/>
        <v/>
      </c>
      <c r="CF137" s="498" t="str">
        <f t="shared" si="1094"/>
        <v/>
      </c>
      <c r="CG137" s="494" t="str">
        <f t="shared" si="1095"/>
        <v/>
      </c>
      <c r="CH137" s="494" t="str">
        <f t="shared" si="1096"/>
        <v/>
      </c>
      <c r="CI137" s="498" t="str">
        <f t="shared" si="723"/>
        <v/>
      </c>
      <c r="CJ137" s="494" t="str">
        <f t="shared" si="1097"/>
        <v/>
      </c>
      <c r="CK137" s="499" t="str">
        <f t="shared" si="1098"/>
        <v/>
      </c>
      <c r="CL137" s="502" t="str">
        <f t="shared" si="1099"/>
        <v/>
      </c>
      <c r="CM137" s="494" t="str">
        <f t="shared" si="1100"/>
        <v/>
      </c>
      <c r="CN137" s="497" t="str">
        <f t="shared" si="1101"/>
        <v/>
      </c>
      <c r="CO137" s="507" t="str">
        <f t="shared" ref="CO137:CO150" si="123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2"/>
        <v/>
      </c>
      <c r="CQ137" s="494" t="str">
        <f t="shared" si="1103"/>
        <v/>
      </c>
      <c r="CR137" s="494" t="str">
        <f t="shared" si="1104"/>
        <v/>
      </c>
      <c r="CS137" s="499" t="str">
        <f t="shared" si="1105"/>
        <v/>
      </c>
      <c r="CT137" s="496" t="str">
        <f t="shared" si="1106"/>
        <v/>
      </c>
      <c r="CU137" s="497" t="str">
        <f t="shared" si="1107"/>
        <v/>
      </c>
      <c r="CV137" s="498" t="str">
        <f t="shared" si="1108"/>
        <v/>
      </c>
      <c r="CW137" s="494" t="str">
        <f t="shared" si="1109"/>
        <v/>
      </c>
      <c r="CX137" s="499" t="str">
        <f t="shared" si="1110"/>
        <v/>
      </c>
      <c r="CY137" s="496" t="str">
        <f t="shared" si="1111"/>
        <v/>
      </c>
      <c r="CZ137" s="494" t="str">
        <f t="shared" si="1112"/>
        <v/>
      </c>
      <c r="DA137" s="497" t="str">
        <f t="shared" si="1113"/>
        <v/>
      </c>
      <c r="DB137" s="498" t="str">
        <f t="shared" si="1011"/>
        <v/>
      </c>
      <c r="DC137" s="494" t="str">
        <f t="shared" si="1011"/>
        <v/>
      </c>
      <c r="DD137" s="495" t="str">
        <f t="shared" si="764"/>
        <v/>
      </c>
      <c r="DE137" s="496" t="str">
        <f t="shared" si="1012"/>
        <v/>
      </c>
      <c r="DF137" s="494" t="str">
        <f t="shared" si="1012"/>
        <v/>
      </c>
      <c r="DG137" s="495" t="str">
        <f t="shared" si="766"/>
        <v/>
      </c>
      <c r="DH137" s="501" t="str">
        <f t="shared" si="1114"/>
        <v/>
      </c>
      <c r="DI137" s="498" t="str">
        <f t="shared" si="1115"/>
        <v/>
      </c>
      <c r="DJ137" s="494" t="str">
        <f t="shared" si="1116"/>
        <v/>
      </c>
      <c r="DK137" s="495" t="str">
        <f t="shared" si="1117"/>
        <v/>
      </c>
      <c r="DL137" s="496" t="str">
        <f t="shared" si="1118"/>
        <v/>
      </c>
      <c r="DM137" s="502" t="str">
        <f t="shared" si="1119"/>
        <v/>
      </c>
      <c r="DN137" s="508" t="str">
        <f t="shared" si="1120"/>
        <v/>
      </c>
      <c r="DO137" s="496" t="str">
        <f t="shared" si="1121"/>
        <v/>
      </c>
      <c r="DP137" s="502" t="str">
        <f t="shared" si="1122"/>
        <v/>
      </c>
      <c r="DQ137" s="503" t="str">
        <f t="shared" si="1123"/>
        <v/>
      </c>
      <c r="DR137" s="502" t="str">
        <f t="shared" si="1124"/>
        <v/>
      </c>
      <c r="DS137" s="494" t="str">
        <f t="shared" si="1125"/>
        <v/>
      </c>
      <c r="DT137" s="494" t="str">
        <f t="shared" si="1126"/>
        <v/>
      </c>
      <c r="DU137" s="494" t="str">
        <f t="shared" si="1127"/>
        <v/>
      </c>
      <c r="DV137" s="494" t="str">
        <f t="shared" si="1128"/>
        <v/>
      </c>
      <c r="DW137" s="494" t="str">
        <f t="shared" si="1129"/>
        <v/>
      </c>
      <c r="DX137" s="507" t="str">
        <f t="shared" si="1130"/>
        <v/>
      </c>
      <c r="DY137" s="496" t="str">
        <f t="shared" si="1131"/>
        <v/>
      </c>
      <c r="DZ137" s="494" t="str">
        <f t="shared" si="1132"/>
        <v/>
      </c>
      <c r="EA137" s="495" t="str">
        <f t="shared" si="1133"/>
        <v/>
      </c>
      <c r="EB137" s="497" t="str">
        <f t="shared" si="1134"/>
        <v/>
      </c>
      <c r="EC137" s="502" t="str">
        <f t="shared" si="1135"/>
        <v/>
      </c>
      <c r="ED137" s="494" t="str">
        <f t="shared" si="1136"/>
        <v/>
      </c>
      <c r="EE137" s="498" t="str">
        <f t="shared" si="1137"/>
        <v/>
      </c>
      <c r="EF137" s="494" t="str">
        <f t="shared" si="1138"/>
        <v/>
      </c>
      <c r="EG137" s="495" t="str">
        <f t="shared" si="1139"/>
        <v/>
      </c>
      <c r="EH137" s="496" t="str">
        <f t="shared" si="1140"/>
        <v/>
      </c>
      <c r="EI137" s="494" t="str">
        <f t="shared" si="1141"/>
        <v/>
      </c>
      <c r="EJ137" s="497" t="str">
        <f t="shared" si="1142"/>
        <v/>
      </c>
      <c r="EK137" s="509" t="str">
        <f t="shared" si="796"/>
        <v/>
      </c>
      <c r="EL137" s="510" t="str">
        <f t="shared" si="797"/>
        <v/>
      </c>
      <c r="EM137" s="498" t="str">
        <f t="shared" si="1143"/>
        <v/>
      </c>
      <c r="EN137" s="494" t="str">
        <f t="shared" si="1144"/>
        <v/>
      </c>
      <c r="EO137" s="495" t="str">
        <f t="shared" si="1145"/>
        <v/>
      </c>
      <c r="EP137" s="496" t="str">
        <f t="shared" si="1146"/>
        <v/>
      </c>
      <c r="EQ137" s="494" t="str">
        <f t="shared" si="1147"/>
        <v/>
      </c>
      <c r="ER137" s="500" t="str">
        <f t="shared" si="1148"/>
        <v/>
      </c>
      <c r="ES137" s="493" t="str">
        <f t="shared" ref="ES137:ES150" si="1237">IF(ISNUMBER($AV137),AD137,"")</f>
        <v/>
      </c>
      <c r="ET137" s="494" t="str">
        <f t="shared" ref="ET137:ET150" si="1238">IF(ISNUMBER($AV137),AE137,"")</f>
        <v/>
      </c>
      <c r="EU137" s="495" t="str">
        <f t="shared" ref="EU137:EU150" si="1239">IF(ISNUMBER($AV137),AF137,"")</f>
        <v/>
      </c>
      <c r="EV137" s="174" t="str">
        <f t="shared" si="1149"/>
        <v/>
      </c>
      <c r="EW137" s="496" t="str">
        <f t="shared" si="1150"/>
        <v/>
      </c>
      <c r="EX137" s="494" t="str">
        <f t="shared" si="1151"/>
        <v/>
      </c>
      <c r="EY137" s="497" t="str">
        <f t="shared" si="1152"/>
        <v/>
      </c>
      <c r="EZ137" s="504" t="str">
        <f t="shared" si="805"/>
        <v/>
      </c>
      <c r="FA137" s="502" t="str">
        <f t="shared" si="928"/>
        <v/>
      </c>
      <c r="FB137" s="494" t="str">
        <f t="shared" si="929"/>
        <v/>
      </c>
      <c r="FC137" s="497" t="str">
        <f t="shared" si="930"/>
        <v/>
      </c>
      <c r="FD137" s="498" t="str">
        <f t="shared" si="1153"/>
        <v/>
      </c>
      <c r="FE137" s="494" t="str">
        <f t="shared" si="1154"/>
        <v/>
      </c>
      <c r="FF137" s="500" t="str">
        <f t="shared" si="1155"/>
        <v/>
      </c>
      <c r="FG137" s="173" t="str">
        <f t="shared" si="1156"/>
        <v/>
      </c>
      <c r="FH137" s="5" t="str">
        <f t="shared" si="1157"/>
        <v/>
      </c>
      <c r="FI137" s="10" t="str">
        <f t="shared" si="1158"/>
        <v/>
      </c>
      <c r="FJ137" s="279" t="str">
        <f t="shared" si="1159"/>
        <v/>
      </c>
      <c r="FK137" s="4" t="str">
        <f t="shared" si="1160"/>
        <v/>
      </c>
      <c r="FL137" s="5" t="str">
        <f t="shared" si="1161"/>
        <v/>
      </c>
      <c r="FM137" s="8" t="str">
        <f t="shared" si="1162"/>
        <v/>
      </c>
      <c r="FN137" s="9" t="str">
        <f t="shared" si="1163"/>
        <v/>
      </c>
      <c r="FO137" s="10" t="str">
        <f t="shared" si="1164"/>
        <v/>
      </c>
      <c r="FP137" s="277" t="str">
        <f t="shared" si="1165"/>
        <v/>
      </c>
      <c r="FQ137" s="173" t="str">
        <f t="shared" si="1166"/>
        <v/>
      </c>
      <c r="FR137" s="10" t="str">
        <f t="shared" si="1167"/>
        <v/>
      </c>
      <c r="FS137" s="9" t="str">
        <f t="shared" si="1168"/>
        <v/>
      </c>
      <c r="FT137" s="6" t="str">
        <f t="shared" si="1169"/>
        <v/>
      </c>
      <c r="FU137" s="4" t="str">
        <f t="shared" si="1170"/>
        <v/>
      </c>
      <c r="FV137" s="5" t="str">
        <f t="shared" si="1171"/>
        <v/>
      </c>
      <c r="FW137" s="8" t="str">
        <f t="shared" si="1172"/>
        <v/>
      </c>
      <c r="FX137" s="9" t="str">
        <f t="shared" si="1173"/>
        <v/>
      </c>
      <c r="FY137" s="10" t="str">
        <f t="shared" si="1174"/>
        <v/>
      </c>
      <c r="FZ137" s="277" t="str">
        <f t="shared" si="1175"/>
        <v/>
      </c>
      <c r="GA137" s="177" t="str">
        <f t="shared" si="1176"/>
        <v/>
      </c>
      <c r="GB137" s="4" t="str">
        <f t="shared" si="1177"/>
        <v/>
      </c>
      <c r="GC137" s="5" t="str">
        <f t="shared" si="1178"/>
        <v/>
      </c>
      <c r="GD137" s="10" t="str">
        <f t="shared" si="1179"/>
        <v/>
      </c>
      <c r="GE137" s="311" t="str">
        <f t="shared" si="1180"/>
        <v/>
      </c>
      <c r="GF137" s="341" t="str">
        <f t="shared" si="1181"/>
        <v/>
      </c>
      <c r="GG137" s="306" t="str">
        <f t="shared" si="1182"/>
        <v/>
      </c>
      <c r="GH137" s="307" t="str">
        <f t="shared" si="1183"/>
        <v/>
      </c>
      <c r="GI137" s="308" t="str">
        <f t="shared" si="1184"/>
        <v/>
      </c>
      <c r="GJ137" s="167" t="str">
        <f t="shared" si="1185"/>
        <v/>
      </c>
      <c r="GK137" s="174" t="str">
        <f t="shared" si="942"/>
        <v/>
      </c>
      <c r="GL137" s="174" t="str">
        <f t="shared" si="1186"/>
        <v/>
      </c>
      <c r="GM137" s="177" t="str">
        <f t="shared" si="1187"/>
        <v/>
      </c>
      <c r="GN137" s="280" t="str">
        <f t="shared" si="1188"/>
        <v/>
      </c>
      <c r="GO137" s="4" t="str">
        <f t="shared" si="1189"/>
        <v/>
      </c>
      <c r="GP137" s="8" t="str">
        <f t="shared" si="1190"/>
        <v/>
      </c>
      <c r="GQ137" s="177" t="str">
        <f t="shared" si="1191"/>
        <v/>
      </c>
      <c r="GR137" s="371" t="str">
        <f t="shared" si="1192"/>
        <v/>
      </c>
      <c r="GS137" s="342" t="str">
        <f t="shared" si="1193"/>
        <v/>
      </c>
      <c r="GT137" s="343" t="str">
        <f t="shared" si="1194"/>
        <v/>
      </c>
      <c r="GU137" s="344" t="str">
        <f t="shared" si="945"/>
        <v/>
      </c>
      <c r="GV137" s="343" t="str">
        <f t="shared" si="1195"/>
        <v/>
      </c>
      <c r="GW137" s="345" t="str">
        <f t="shared" si="946"/>
        <v/>
      </c>
      <c r="GX137" s="346" t="str">
        <f t="shared" si="947"/>
        <v/>
      </c>
      <c r="GY137" s="344" t="str">
        <f t="shared" si="1196"/>
        <v/>
      </c>
      <c r="GZ137" s="345" t="str">
        <f t="shared" si="1197"/>
        <v/>
      </c>
      <c r="HA137" s="342" t="str">
        <f t="shared" si="950"/>
        <v/>
      </c>
      <c r="HB137" s="5" t="str">
        <f t="shared" si="832"/>
        <v/>
      </c>
      <c r="HC137" s="343" t="str">
        <f t="shared" si="1198"/>
        <v/>
      </c>
      <c r="HD137" s="363" t="str">
        <f t="shared" si="1199"/>
        <v/>
      </c>
      <c r="HE137" s="344" t="str">
        <f t="shared" si="951"/>
        <v/>
      </c>
      <c r="HF137" s="5" t="str">
        <f t="shared" si="952"/>
        <v/>
      </c>
      <c r="HG137" s="343" t="str">
        <f t="shared" si="1200"/>
        <v/>
      </c>
      <c r="HH137" s="349" t="str">
        <f t="shared" si="1201"/>
        <v/>
      </c>
      <c r="HI137" s="317" t="str">
        <f t="shared" ref="HI137:HI150" si="1240">IF(ISNUMBER($AV137),$M137,"")</f>
        <v/>
      </c>
      <c r="HK137" s="310" t="str">
        <f t="shared" si="1006"/>
        <v/>
      </c>
      <c r="HL137" s="348" t="str">
        <f t="shared" ref="HL137:HL150" si="1241">IF(ISNUMBER($HS137),INDEX(HI$9:HI$150,MATCH($HS137,$GJ$9:$GJ$150,0)),"")</f>
        <v/>
      </c>
      <c r="HM137" s="923" t="str">
        <f t="shared" ref="HM137:HM150" si="1242">IF(ISNUMBER($HL137),INDEX(GO$9:GO$150,MATCH($HL137,$AV$9:$AV$150,0)),"")</f>
        <v/>
      </c>
      <c r="HN137" s="924" t="str">
        <f t="shared" ref="HN137:HN150" si="1243">IF(ISNUMBER($HL137),INDEX(AO$9:AO$150,MATCH($HL137,$AV$9:$AV$150,0)),"")</f>
        <v/>
      </c>
      <c r="HO137" s="925"/>
      <c r="HP137" s="926"/>
      <c r="HQ137" s="924" t="str">
        <f t="shared" ref="HQ137:HQ150" si="1244">IF(ISNUMBER($HL137),INDEX(GQ$9:GQ$150,MATCH($HL137,$AV$9:$AV$150,0)),"")</f>
        <v/>
      </c>
      <c r="HR137" s="927" t="str">
        <f t="shared" ref="HR137:HR150" si="1245">IF(ISNUMBER($HL137),INDEX(GP$9:GP$150,MATCH($HL137,$AV$9:$AV$150,0)),"")</f>
        <v/>
      </c>
      <c r="HS137" s="879" t="str">
        <f t="shared" si="1202"/>
        <v/>
      </c>
      <c r="HT137" s="889" t="str">
        <f t="shared" ref="HT137:HT150" si="1246">IF(ISNUMBER($HL137),INDEX(GL$9:GL$150,MATCH($HL137,$AV$9:$AV$150,0)),"")</f>
        <v/>
      </c>
      <c r="HU137" s="890" t="str">
        <f t="shared" ref="HU137:HU150" si="1247">IF(ISNUMBER($HL137),INDEX(GM$9:GM$150,MATCH($HL137,$AV$9:$AV$150,0)),"")</f>
        <v/>
      </c>
      <c r="HV137" s="886" t="str">
        <f t="shared" ref="HV137:HV150" si="1248">IF(ISNUMBER($HL137),INDEX(GN$9:GN$150,MATCH($HL137,$AV$9:$AV$150,0)),"")</f>
        <v/>
      </c>
      <c r="HW137" s="880" t="str">
        <f t="shared" ref="HW137:HW150" si="1249">IF(ISNUMBER($HL137),INDEX(GW$9:GW$150,MATCH($HL137,$AV$9:$AV$150,0)),"")</f>
        <v/>
      </c>
      <c r="HX137" s="881" t="str">
        <f t="shared" ref="HX137:HX150" si="1250">IF(ISNUMBER($HL137),INDEX(GX$9:GX$150,MATCH($HL137,$AV$9:$AV$150,0)),"")</f>
        <v/>
      </c>
      <c r="HY137" s="880" t="str">
        <f t="shared" ref="HY137:HY150" si="1251">IF(ISNUMBER($HL137),INDEX(GS$9:GS$150,MATCH($HL137,$AV$9:$AV$150,0)),"")</f>
        <v/>
      </c>
      <c r="HZ137" s="882" t="str">
        <f t="shared" ref="HZ137:HZ150" si="1252">IF(ISNUMBER($HL137),INDEX(GU$9:GU$150,MATCH($HL137,$AV$9:$AV$150,0)),"")</f>
        <v/>
      </c>
      <c r="IA137" s="883" t="str">
        <f t="shared" ref="IA137:IA150" si="1253">IF(ISNUMBER($HL137),INDEX(GY$9:GY$150,MATCH($HL137,$AV$9:$AV$150,0)),"")</f>
        <v/>
      </c>
      <c r="IB137" s="884" t="str">
        <f t="shared" ref="IB137:IB150" si="1254">IF(ISNUMBER($HL137),INDEX(GR$9:GR$150,MATCH($HL137,$AV$9:$AV$150,0)),"")</f>
        <v/>
      </c>
      <c r="IC137" s="855" t="str">
        <f t="shared" ref="IC137:IC150" si="1255">IF(ISNUMBER($HL137),INDEX(GT$9:GT$150,MATCH($HL137,$AV$9:$AV$150,0)),"")</f>
        <v/>
      </c>
      <c r="ID137" s="351" t="str">
        <f t="shared" ref="ID137:ID150" si="1256">IF(ISNUMBER($HL137),INDEX(GV$9:GV$150,MATCH($HL137,$AV$9:$AV$150,0)),"")</f>
        <v/>
      </c>
      <c r="IE137" s="857" t="str">
        <f t="shared" ref="IE137:IE150" si="125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58">IF(ISNUMBER($IK137),INDEX($K$9:$K$150,MATCH($IK137,$M$9:$M$150,0)),$K137)</f>
        <v/>
      </c>
      <c r="IM137" s="482" t="str">
        <f t="shared" si="838"/>
        <v/>
      </c>
      <c r="IN137" s="670" t="str">
        <f t="shared" ref="IN137:IN150" si="125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0">IF(ISNUMBER($IK137),(($IQ137*12)/60)/$AS$3,"")</f>
        <v/>
      </c>
      <c r="IQ137" s="714"/>
      <c r="IR137" s="9" t="str">
        <f t="shared" ref="IR137:IR150" si="1261">IF(ISNUMBER($IK137),(INDEX($X$9:$X$150,MATCH($IK137,$M$9:$M$150,0))*-1),"")</f>
        <v/>
      </c>
      <c r="IS137" s="5" t="str">
        <f t="shared" ref="IS137:IS150" si="1262">IF(ISNUMBER($IK137),INDEX($Y$9:$Y$150,MATCH($IK137,$M$9:$M$150,0)),"")</f>
        <v/>
      </c>
      <c r="IT137" s="5" t="str">
        <f t="shared" ref="IT137:IT150" si="1263">IF(ISNUMBER($IK137),INDEX($H$9:$H$150,MATCH($IK137,$M$9:$M$150,0)),"")</f>
        <v/>
      </c>
      <c r="IU137" s="5" t="str">
        <f t="shared" ref="IU137:IU150" si="1264">IF(ISNUMBER($IK137),$IT137*COS(RADIANS(INDEX($AO$9:$AO$150,MATCH($IK137,$M$9:$M$150,0)))),"")</f>
        <v/>
      </c>
      <c r="IV137" s="670" t="str">
        <f t="shared" ref="IV137:IV150" si="1265">IF(ISNUMBER($IK137),(-1*INDEX($AN$9:$AN$150,MATCH($IK137,$M$9:$M$150,0))),"")</f>
        <v/>
      </c>
      <c r="IW137" s="9" t="str">
        <f t="shared" ref="IW137:IW150" si="1266">IF(ISNUMBER($IK137),-$X137,"")</f>
        <v/>
      </c>
      <c r="IX137" s="5" t="str">
        <f t="shared" ref="IX137:IX150" si="1267">IF(ISNUMBER($IK137),$Y137,"")</f>
        <v/>
      </c>
      <c r="IY137" s="5" t="str">
        <f t="shared" ref="IY137:IY150" si="1268">IF(ISNUMBER($IK137),$H137,"")</f>
        <v/>
      </c>
      <c r="IZ137" s="5" t="str">
        <f t="shared" ref="IZ137:IZ150" si="1269">IF(ISNUMBER($IK137),$IY137*COS(RADIANS($AO137)),"")</f>
        <v/>
      </c>
      <c r="JA137" s="705" t="str">
        <f t="shared" ref="JA137:JA150" si="1270">IF(ISNUMBER($IK137),(-1*$AN137),"")</f>
        <v/>
      </c>
    </row>
    <row r="138" spans="1:261" ht="15" customHeight="1" x14ac:dyDescent="0.25">
      <c r="A138" s="75" t="str">
        <f t="shared" ref="A138:A150" si="1271">IF($K138="","",IF(ISNUMBER($K138),0.02,0))</f>
        <v/>
      </c>
      <c r="B138" s="585" t="str">
        <f t="shared" ref="B138:D138" si="1272">IFERROR(O293-($A138*E138),"")</f>
        <v/>
      </c>
      <c r="C138" s="582" t="str">
        <f t="shared" si="1272"/>
        <v/>
      </c>
      <c r="D138" s="583" t="str">
        <f t="shared" si="1272"/>
        <v/>
      </c>
      <c r="E138" s="588" t="str">
        <f t="shared" ref="E138:K138" si="1273">R293</f>
        <v/>
      </c>
      <c r="F138" s="582" t="str">
        <f t="shared" si="1273"/>
        <v/>
      </c>
      <c r="G138" s="586" t="str">
        <f t="shared" si="1273"/>
        <v/>
      </c>
      <c r="H138" s="588" t="str">
        <f t="shared" si="1273"/>
        <v/>
      </c>
      <c r="I138" s="582" t="str">
        <f t="shared" si="1273"/>
        <v/>
      </c>
      <c r="J138" s="491" t="str">
        <f t="shared" ref="J138:J150" si="1274">IF(W293=0,"",W293)</f>
        <v/>
      </c>
      <c r="K138" s="807" t="str">
        <f t="shared" si="1273"/>
        <v/>
      </c>
      <c r="L138" s="309"/>
      <c r="M138" s="492" t="str">
        <f t="shared" si="1217"/>
        <v/>
      </c>
      <c r="N138" s="581" t="str">
        <f t="shared" si="1218"/>
        <v/>
      </c>
      <c r="O138" s="582" t="str">
        <f t="shared" si="1219"/>
        <v/>
      </c>
      <c r="P138" s="583" t="str">
        <f t="shared" si="1220"/>
        <v/>
      </c>
      <c r="Q138" s="536" t="str">
        <f t="shared" si="1060"/>
        <v/>
      </c>
      <c r="R138" s="582" t="str">
        <f t="shared" si="1061"/>
        <v/>
      </c>
      <c r="S138" s="584" t="str">
        <f t="shared" si="1062"/>
        <v/>
      </c>
      <c r="T138" s="585" t="str">
        <f t="shared" si="1063"/>
        <v/>
      </c>
      <c r="U138" s="582" t="str">
        <f t="shared" si="1064"/>
        <v/>
      </c>
      <c r="V138" s="586" t="str">
        <f t="shared" si="1065"/>
        <v/>
      </c>
      <c r="W138" s="536" t="str">
        <f t="shared" si="1066"/>
        <v/>
      </c>
      <c r="X138" s="582" t="str">
        <f t="shared" si="1067"/>
        <v/>
      </c>
      <c r="Y138" s="587" t="str">
        <f t="shared" si="1068"/>
        <v/>
      </c>
      <c r="Z138" s="581" t="str">
        <f t="shared" si="1221"/>
        <v/>
      </c>
      <c r="AA138" s="582" t="str">
        <f t="shared" si="1222"/>
        <v/>
      </c>
      <c r="AB138" s="582" t="str">
        <f t="shared" si="1223"/>
        <v/>
      </c>
      <c r="AC138" s="586" t="str">
        <f t="shared" si="1069"/>
        <v/>
      </c>
      <c r="AD138" s="588" t="str">
        <f t="shared" si="1070"/>
        <v/>
      </c>
      <c r="AE138" s="582" t="str">
        <f t="shared" si="1071"/>
        <v/>
      </c>
      <c r="AF138" s="583" t="str">
        <f t="shared" si="1072"/>
        <v/>
      </c>
      <c r="AG138" s="547" t="str">
        <f t="shared" si="1073"/>
        <v/>
      </c>
      <c r="AH138" s="548" t="str">
        <f t="shared" si="1074"/>
        <v/>
      </c>
      <c r="AI138" s="536" t="str">
        <f t="shared" si="1075"/>
        <v/>
      </c>
      <c r="AJ138" s="537" t="str">
        <f t="shared" si="1076"/>
        <v/>
      </c>
      <c r="AK138" s="585" t="str">
        <f t="shared" si="1077"/>
        <v/>
      </c>
      <c r="AL138" s="582" t="str">
        <f t="shared" si="1078"/>
        <v/>
      </c>
      <c r="AM138" s="584" t="str">
        <f t="shared" si="1079"/>
        <v/>
      </c>
      <c r="AN138" s="534" t="str">
        <f t="shared" si="1080"/>
        <v/>
      </c>
      <c r="AO138" s="535" t="str">
        <f t="shared" si="1039"/>
        <v/>
      </c>
      <c r="AP138" s="536" t="str">
        <f t="shared" si="1081"/>
        <v/>
      </c>
      <c r="AQ138" s="537" t="str">
        <f t="shared" si="1224"/>
        <v/>
      </c>
      <c r="AS138" s="955" t="str">
        <f t="shared" si="1010"/>
        <v/>
      </c>
      <c r="AT138" s="951" t="str">
        <f t="shared" si="1225"/>
        <v/>
      </c>
      <c r="AU138" s="418"/>
      <c r="AV138" s="164" t="str">
        <f t="shared" si="122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2"/>
        <v/>
      </c>
      <c r="BA138" s="505" t="str">
        <f t="shared" si="1083"/>
        <v/>
      </c>
      <c r="BB138" s="506" t="str">
        <f t="shared" si="713"/>
        <v/>
      </c>
      <c r="BC138" s="496"/>
      <c r="BD138" s="494" t="str">
        <f t="shared" si="1084"/>
        <v/>
      </c>
      <c r="BE138" s="497" t="str">
        <f t="shared" si="1227"/>
        <v/>
      </c>
      <c r="BF138" s="498" t="str">
        <f t="shared" si="1228"/>
        <v/>
      </c>
      <c r="BG138" s="494" t="str">
        <f t="shared" si="1229"/>
        <v/>
      </c>
      <c r="BH138" s="495" t="str">
        <f t="shared" si="1230"/>
        <v/>
      </c>
      <c r="BI138" s="496" t="str">
        <f t="shared" si="1085"/>
        <v/>
      </c>
      <c r="BJ138" s="494" t="str">
        <f t="shared" si="1231"/>
        <v/>
      </c>
      <c r="BK138" s="499" t="str">
        <f t="shared" si="1232"/>
        <v/>
      </c>
      <c r="BL138" s="502" t="str">
        <f t="shared" si="1233"/>
        <v/>
      </c>
      <c r="BM138" s="494" t="str">
        <f t="shared" si="1234"/>
        <v/>
      </c>
      <c r="BN138" s="497" t="str">
        <f t="shared" si="1235"/>
        <v/>
      </c>
      <c r="BO138" s="498" t="str">
        <f t="shared" si="1086"/>
        <v/>
      </c>
      <c r="BP138" s="494" t="str">
        <f t="shared" si="1087"/>
        <v/>
      </c>
      <c r="BQ138" s="494" t="str">
        <f t="shared" si="1088"/>
        <v/>
      </c>
      <c r="BR138" s="497" t="str">
        <f t="shared" si="1089"/>
        <v/>
      </c>
      <c r="BS138" s="498" t="str">
        <f t="shared" si="1005"/>
        <v/>
      </c>
      <c r="BT138" s="494" t="str">
        <f t="shared" si="1005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0"/>
        <v/>
      </c>
      <c r="CC138" s="494" t="str">
        <f t="shared" si="1091"/>
        <v/>
      </c>
      <c r="CD138" s="494" t="str">
        <f t="shared" si="1092"/>
        <v/>
      </c>
      <c r="CE138" s="497" t="str">
        <f t="shared" si="1093"/>
        <v/>
      </c>
      <c r="CF138" s="498" t="str">
        <f t="shared" si="1094"/>
        <v/>
      </c>
      <c r="CG138" s="494" t="str">
        <f t="shared" si="1095"/>
        <v/>
      </c>
      <c r="CH138" s="494" t="str">
        <f t="shared" si="1096"/>
        <v/>
      </c>
      <c r="CI138" s="498" t="str">
        <f t="shared" si="723"/>
        <v/>
      </c>
      <c r="CJ138" s="494" t="str">
        <f t="shared" si="1097"/>
        <v/>
      </c>
      <c r="CK138" s="499" t="str">
        <f t="shared" si="1098"/>
        <v/>
      </c>
      <c r="CL138" s="502" t="str">
        <f t="shared" si="1099"/>
        <v/>
      </c>
      <c r="CM138" s="494" t="str">
        <f t="shared" si="1100"/>
        <v/>
      </c>
      <c r="CN138" s="497" t="str">
        <f t="shared" si="1101"/>
        <v/>
      </c>
      <c r="CO138" s="507" t="str">
        <f t="shared" si="1236"/>
        <v/>
      </c>
      <c r="CP138" s="498" t="str">
        <f t="shared" si="1102"/>
        <v/>
      </c>
      <c r="CQ138" s="494" t="str">
        <f t="shared" si="1103"/>
        <v/>
      </c>
      <c r="CR138" s="494" t="str">
        <f t="shared" si="1104"/>
        <v/>
      </c>
      <c r="CS138" s="499" t="str">
        <f t="shared" si="1105"/>
        <v/>
      </c>
      <c r="CT138" s="496" t="str">
        <f t="shared" si="1106"/>
        <v/>
      </c>
      <c r="CU138" s="497" t="str">
        <f t="shared" si="1107"/>
        <v/>
      </c>
      <c r="CV138" s="498" t="str">
        <f t="shared" si="1108"/>
        <v/>
      </c>
      <c r="CW138" s="494" t="str">
        <f t="shared" si="1109"/>
        <v/>
      </c>
      <c r="CX138" s="499" t="str">
        <f t="shared" si="1110"/>
        <v/>
      </c>
      <c r="CY138" s="496" t="str">
        <f t="shared" si="1111"/>
        <v/>
      </c>
      <c r="CZ138" s="494" t="str">
        <f t="shared" si="1112"/>
        <v/>
      </c>
      <c r="DA138" s="497" t="str">
        <f t="shared" si="1113"/>
        <v/>
      </c>
      <c r="DB138" s="498" t="str">
        <f t="shared" si="1011"/>
        <v/>
      </c>
      <c r="DC138" s="494" t="str">
        <f t="shared" si="1011"/>
        <v/>
      </c>
      <c r="DD138" s="495" t="str">
        <f t="shared" si="764"/>
        <v/>
      </c>
      <c r="DE138" s="496" t="str">
        <f t="shared" si="1012"/>
        <v/>
      </c>
      <c r="DF138" s="494" t="str">
        <f t="shared" si="1012"/>
        <v/>
      </c>
      <c r="DG138" s="495" t="str">
        <f t="shared" si="766"/>
        <v/>
      </c>
      <c r="DH138" s="501" t="str">
        <f t="shared" si="1114"/>
        <v/>
      </c>
      <c r="DI138" s="498" t="str">
        <f t="shared" si="1115"/>
        <v/>
      </c>
      <c r="DJ138" s="494" t="str">
        <f t="shared" si="1116"/>
        <v/>
      </c>
      <c r="DK138" s="495" t="str">
        <f t="shared" si="1117"/>
        <v/>
      </c>
      <c r="DL138" s="496" t="str">
        <f t="shared" si="1118"/>
        <v/>
      </c>
      <c r="DM138" s="502" t="str">
        <f t="shared" si="1119"/>
        <v/>
      </c>
      <c r="DN138" s="508" t="str">
        <f t="shared" si="1120"/>
        <v/>
      </c>
      <c r="DO138" s="496" t="str">
        <f t="shared" si="1121"/>
        <v/>
      </c>
      <c r="DP138" s="502" t="str">
        <f t="shared" si="1122"/>
        <v/>
      </c>
      <c r="DQ138" s="503" t="str">
        <f t="shared" si="1123"/>
        <v/>
      </c>
      <c r="DR138" s="502" t="str">
        <f t="shared" si="1124"/>
        <v/>
      </c>
      <c r="DS138" s="494" t="str">
        <f t="shared" si="1125"/>
        <v/>
      </c>
      <c r="DT138" s="494" t="str">
        <f t="shared" si="1126"/>
        <v/>
      </c>
      <c r="DU138" s="494" t="str">
        <f t="shared" si="1127"/>
        <v/>
      </c>
      <c r="DV138" s="494" t="str">
        <f t="shared" si="1128"/>
        <v/>
      </c>
      <c r="DW138" s="494" t="str">
        <f t="shared" si="1129"/>
        <v/>
      </c>
      <c r="DX138" s="507" t="str">
        <f t="shared" si="1130"/>
        <v/>
      </c>
      <c r="DY138" s="496" t="str">
        <f t="shared" si="1131"/>
        <v/>
      </c>
      <c r="DZ138" s="494" t="str">
        <f t="shared" si="1132"/>
        <v/>
      </c>
      <c r="EA138" s="495" t="str">
        <f t="shared" si="1133"/>
        <v/>
      </c>
      <c r="EB138" s="497" t="str">
        <f t="shared" si="1134"/>
        <v/>
      </c>
      <c r="EC138" s="502" t="str">
        <f t="shared" si="1135"/>
        <v/>
      </c>
      <c r="ED138" s="494" t="str">
        <f t="shared" si="1136"/>
        <v/>
      </c>
      <c r="EE138" s="498" t="str">
        <f t="shared" si="1137"/>
        <v/>
      </c>
      <c r="EF138" s="494" t="str">
        <f t="shared" si="1138"/>
        <v/>
      </c>
      <c r="EG138" s="495" t="str">
        <f t="shared" si="1139"/>
        <v/>
      </c>
      <c r="EH138" s="496" t="str">
        <f t="shared" si="1140"/>
        <v/>
      </c>
      <c r="EI138" s="494" t="str">
        <f t="shared" si="1141"/>
        <v/>
      </c>
      <c r="EJ138" s="497" t="str">
        <f t="shared" si="1142"/>
        <v/>
      </c>
      <c r="EK138" s="509" t="str">
        <f t="shared" si="796"/>
        <v/>
      </c>
      <c r="EL138" s="510" t="str">
        <f t="shared" si="797"/>
        <v/>
      </c>
      <c r="EM138" s="498" t="str">
        <f t="shared" si="1143"/>
        <v/>
      </c>
      <c r="EN138" s="494" t="str">
        <f t="shared" si="1144"/>
        <v/>
      </c>
      <c r="EO138" s="495" t="str">
        <f t="shared" si="1145"/>
        <v/>
      </c>
      <c r="EP138" s="496" t="str">
        <f t="shared" si="1146"/>
        <v/>
      </c>
      <c r="EQ138" s="494" t="str">
        <f t="shared" si="1147"/>
        <v/>
      </c>
      <c r="ER138" s="500" t="str">
        <f t="shared" si="1148"/>
        <v/>
      </c>
      <c r="ES138" s="493" t="str">
        <f t="shared" si="1237"/>
        <v/>
      </c>
      <c r="ET138" s="494" t="str">
        <f t="shared" si="1238"/>
        <v/>
      </c>
      <c r="EU138" s="495" t="str">
        <f t="shared" si="1239"/>
        <v/>
      </c>
      <c r="EV138" s="174" t="str">
        <f t="shared" si="1149"/>
        <v/>
      </c>
      <c r="EW138" s="496" t="str">
        <f t="shared" si="1150"/>
        <v/>
      </c>
      <c r="EX138" s="494" t="str">
        <f t="shared" si="1151"/>
        <v/>
      </c>
      <c r="EY138" s="497" t="str">
        <f t="shared" si="1152"/>
        <v/>
      </c>
      <c r="EZ138" s="504" t="str">
        <f t="shared" si="805"/>
        <v/>
      </c>
      <c r="FA138" s="502" t="str">
        <f t="shared" si="928"/>
        <v/>
      </c>
      <c r="FB138" s="494" t="str">
        <f t="shared" si="929"/>
        <v/>
      </c>
      <c r="FC138" s="497" t="str">
        <f t="shared" si="930"/>
        <v/>
      </c>
      <c r="FD138" s="498" t="str">
        <f t="shared" si="1153"/>
        <v/>
      </c>
      <c r="FE138" s="494" t="str">
        <f t="shared" si="1154"/>
        <v/>
      </c>
      <c r="FF138" s="500" t="str">
        <f t="shared" si="1155"/>
        <v/>
      </c>
      <c r="FG138" s="173" t="str">
        <f t="shared" si="1156"/>
        <v/>
      </c>
      <c r="FH138" s="5" t="str">
        <f t="shared" si="1157"/>
        <v/>
      </c>
      <c r="FI138" s="10" t="str">
        <f t="shared" si="1158"/>
        <v/>
      </c>
      <c r="FJ138" s="279" t="str">
        <f t="shared" si="1159"/>
        <v/>
      </c>
      <c r="FK138" s="4" t="str">
        <f t="shared" si="1160"/>
        <v/>
      </c>
      <c r="FL138" s="5" t="str">
        <f t="shared" si="1161"/>
        <v/>
      </c>
      <c r="FM138" s="8" t="str">
        <f t="shared" si="1162"/>
        <v/>
      </c>
      <c r="FN138" s="9" t="str">
        <f t="shared" si="1163"/>
        <v/>
      </c>
      <c r="FO138" s="10" t="str">
        <f t="shared" si="1164"/>
        <v/>
      </c>
      <c r="FP138" s="277" t="str">
        <f t="shared" si="1165"/>
        <v/>
      </c>
      <c r="FQ138" s="173" t="str">
        <f t="shared" si="1166"/>
        <v/>
      </c>
      <c r="FR138" s="10" t="str">
        <f t="shared" si="1167"/>
        <v/>
      </c>
      <c r="FS138" s="9" t="str">
        <f t="shared" si="1168"/>
        <v/>
      </c>
      <c r="FT138" s="6" t="str">
        <f t="shared" si="1169"/>
        <v/>
      </c>
      <c r="FU138" s="4" t="str">
        <f t="shared" si="1170"/>
        <v/>
      </c>
      <c r="FV138" s="5" t="str">
        <f t="shared" si="1171"/>
        <v/>
      </c>
      <c r="FW138" s="8" t="str">
        <f t="shared" si="1172"/>
        <v/>
      </c>
      <c r="FX138" s="9" t="str">
        <f t="shared" si="1173"/>
        <v/>
      </c>
      <c r="FY138" s="10" t="str">
        <f t="shared" si="1174"/>
        <v/>
      </c>
      <c r="FZ138" s="277" t="str">
        <f t="shared" si="1175"/>
        <v/>
      </c>
      <c r="GA138" s="177" t="str">
        <f t="shared" si="1176"/>
        <v/>
      </c>
      <c r="GB138" s="4" t="str">
        <f t="shared" si="1177"/>
        <v/>
      </c>
      <c r="GC138" s="5" t="str">
        <f t="shared" si="1178"/>
        <v/>
      </c>
      <c r="GD138" s="10" t="str">
        <f t="shared" si="1179"/>
        <v/>
      </c>
      <c r="GE138" s="311" t="str">
        <f t="shared" si="1180"/>
        <v/>
      </c>
      <c r="GF138" s="341" t="str">
        <f t="shared" si="1181"/>
        <v/>
      </c>
      <c r="GG138" s="306" t="str">
        <f t="shared" si="1182"/>
        <v/>
      </c>
      <c r="GH138" s="307" t="str">
        <f t="shared" si="1183"/>
        <v/>
      </c>
      <c r="GI138" s="308" t="str">
        <f t="shared" si="1184"/>
        <v/>
      </c>
      <c r="GJ138" s="167" t="str">
        <f t="shared" si="1185"/>
        <v/>
      </c>
      <c r="GK138" s="174" t="str">
        <f t="shared" si="942"/>
        <v/>
      </c>
      <c r="GL138" s="174" t="str">
        <f t="shared" si="1186"/>
        <v/>
      </c>
      <c r="GM138" s="177" t="str">
        <f t="shared" si="1187"/>
        <v/>
      </c>
      <c r="GN138" s="280" t="str">
        <f t="shared" si="1188"/>
        <v/>
      </c>
      <c r="GO138" s="4" t="str">
        <f t="shared" si="1189"/>
        <v/>
      </c>
      <c r="GP138" s="8" t="str">
        <f t="shared" si="1190"/>
        <v/>
      </c>
      <c r="GQ138" s="177" t="str">
        <f t="shared" si="1191"/>
        <v/>
      </c>
      <c r="GR138" s="371" t="str">
        <f t="shared" si="1192"/>
        <v/>
      </c>
      <c r="GS138" s="342" t="str">
        <f t="shared" si="1193"/>
        <v/>
      </c>
      <c r="GT138" s="343" t="str">
        <f t="shared" si="1194"/>
        <v/>
      </c>
      <c r="GU138" s="344" t="str">
        <f t="shared" si="945"/>
        <v/>
      </c>
      <c r="GV138" s="343" t="str">
        <f t="shared" si="1195"/>
        <v/>
      </c>
      <c r="GW138" s="345" t="str">
        <f t="shared" si="946"/>
        <v/>
      </c>
      <c r="GX138" s="346" t="str">
        <f t="shared" si="947"/>
        <v/>
      </c>
      <c r="GY138" s="344" t="str">
        <f t="shared" si="1196"/>
        <v/>
      </c>
      <c r="GZ138" s="345" t="str">
        <f t="shared" si="1197"/>
        <v/>
      </c>
      <c r="HA138" s="342" t="str">
        <f t="shared" si="950"/>
        <v/>
      </c>
      <c r="HB138" s="5" t="str">
        <f t="shared" si="832"/>
        <v/>
      </c>
      <c r="HC138" s="343" t="str">
        <f t="shared" si="1198"/>
        <v/>
      </c>
      <c r="HD138" s="363" t="str">
        <f t="shared" si="1199"/>
        <v/>
      </c>
      <c r="HE138" s="344" t="str">
        <f t="shared" si="951"/>
        <v/>
      </c>
      <c r="HF138" s="5" t="str">
        <f t="shared" si="952"/>
        <v/>
      </c>
      <c r="HG138" s="343" t="str">
        <f t="shared" si="1200"/>
        <v/>
      </c>
      <c r="HH138" s="349" t="str">
        <f t="shared" si="1201"/>
        <v/>
      </c>
      <c r="HI138" s="317" t="str">
        <f t="shared" si="1240"/>
        <v/>
      </c>
      <c r="HK138" s="310" t="str">
        <f t="shared" ref="HK138:HK150" si="1275">IF(ISNUMBER(HS138),HK137+1,"")</f>
        <v/>
      </c>
      <c r="HL138" s="348" t="str">
        <f t="shared" si="1241"/>
        <v/>
      </c>
      <c r="HM138" s="923" t="str">
        <f t="shared" si="1242"/>
        <v/>
      </c>
      <c r="HN138" s="924" t="str">
        <f t="shared" si="1243"/>
        <v/>
      </c>
      <c r="HO138" s="925"/>
      <c r="HP138" s="926"/>
      <c r="HQ138" s="924" t="str">
        <f t="shared" si="1244"/>
        <v/>
      </c>
      <c r="HR138" s="927" t="str">
        <f t="shared" si="1245"/>
        <v/>
      </c>
      <c r="HS138" s="879" t="str">
        <f t="shared" si="1202"/>
        <v/>
      </c>
      <c r="HT138" s="889" t="str">
        <f t="shared" si="1246"/>
        <v/>
      </c>
      <c r="HU138" s="890" t="str">
        <f t="shared" si="1247"/>
        <v/>
      </c>
      <c r="HV138" s="886" t="str">
        <f t="shared" si="1248"/>
        <v/>
      </c>
      <c r="HW138" s="880" t="str">
        <f t="shared" si="1249"/>
        <v/>
      </c>
      <c r="HX138" s="881" t="str">
        <f t="shared" si="1250"/>
        <v/>
      </c>
      <c r="HY138" s="880" t="str">
        <f t="shared" si="1251"/>
        <v/>
      </c>
      <c r="HZ138" s="882" t="str">
        <f t="shared" si="1252"/>
        <v/>
      </c>
      <c r="IA138" s="883" t="str">
        <f t="shared" si="1253"/>
        <v/>
      </c>
      <c r="IB138" s="884" t="str">
        <f t="shared" si="1254"/>
        <v/>
      </c>
      <c r="IC138" s="855" t="str">
        <f t="shared" si="1255"/>
        <v/>
      </c>
      <c r="ID138" s="351" t="str">
        <f t="shared" si="1256"/>
        <v/>
      </c>
      <c r="IE138" s="857" t="str">
        <f t="shared" si="125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58"/>
        <v/>
      </c>
      <c r="IM138" s="482" t="str">
        <f t="shared" si="838"/>
        <v/>
      </c>
      <c r="IN138" s="670" t="str">
        <f t="shared" si="1259"/>
        <v/>
      </c>
      <c r="IO138" s="702"/>
      <c r="IP138" s="5" t="str">
        <f t="shared" si="1260"/>
        <v/>
      </c>
      <c r="IQ138" s="714"/>
      <c r="IR138" s="9" t="str">
        <f t="shared" si="1261"/>
        <v/>
      </c>
      <c r="IS138" s="5" t="str">
        <f t="shared" si="1262"/>
        <v/>
      </c>
      <c r="IT138" s="5" t="str">
        <f t="shared" si="1263"/>
        <v/>
      </c>
      <c r="IU138" s="5" t="str">
        <f t="shared" si="1264"/>
        <v/>
      </c>
      <c r="IV138" s="670" t="str">
        <f t="shared" si="1265"/>
        <v/>
      </c>
      <c r="IW138" s="9" t="str">
        <f t="shared" si="1266"/>
        <v/>
      </c>
      <c r="IX138" s="5" t="str">
        <f t="shared" si="1267"/>
        <v/>
      </c>
      <c r="IY138" s="5" t="str">
        <f t="shared" si="1268"/>
        <v/>
      </c>
      <c r="IZ138" s="5" t="str">
        <f t="shared" si="1269"/>
        <v/>
      </c>
      <c r="JA138" s="705" t="str">
        <f t="shared" si="1270"/>
        <v/>
      </c>
    </row>
    <row r="139" spans="1:261" ht="15" customHeight="1" x14ac:dyDescent="0.25">
      <c r="A139" s="75" t="str">
        <f t="shared" si="1271"/>
        <v/>
      </c>
      <c r="B139" s="585" t="str">
        <f t="shared" ref="B139:D139" si="1276">IFERROR(O294-($A139*E139),"")</f>
        <v/>
      </c>
      <c r="C139" s="582" t="str">
        <f t="shared" si="1276"/>
        <v/>
      </c>
      <c r="D139" s="583" t="str">
        <f t="shared" si="1276"/>
        <v/>
      </c>
      <c r="E139" s="588" t="str">
        <f t="shared" ref="E139:K139" si="1277">R294</f>
        <v/>
      </c>
      <c r="F139" s="582" t="str">
        <f t="shared" si="1277"/>
        <v/>
      </c>
      <c r="G139" s="586" t="str">
        <f t="shared" si="1277"/>
        <v/>
      </c>
      <c r="H139" s="588" t="str">
        <f t="shared" si="1277"/>
        <v/>
      </c>
      <c r="I139" s="582" t="str">
        <f t="shared" si="1277"/>
        <v/>
      </c>
      <c r="J139" s="491" t="str">
        <f t="shared" si="1274"/>
        <v/>
      </c>
      <c r="K139" s="807" t="str">
        <f t="shared" si="1277"/>
        <v/>
      </c>
      <c r="L139" s="309"/>
      <c r="M139" s="492" t="str">
        <f t="shared" si="1217"/>
        <v/>
      </c>
      <c r="N139" s="581" t="str">
        <f t="shared" si="1218"/>
        <v/>
      </c>
      <c r="O139" s="582" t="str">
        <f t="shared" si="1219"/>
        <v/>
      </c>
      <c r="P139" s="583" t="str">
        <f t="shared" si="1220"/>
        <v/>
      </c>
      <c r="Q139" s="536" t="str">
        <f t="shared" si="1060"/>
        <v/>
      </c>
      <c r="R139" s="582" t="str">
        <f t="shared" si="1061"/>
        <v/>
      </c>
      <c r="S139" s="584" t="str">
        <f t="shared" si="1062"/>
        <v/>
      </c>
      <c r="T139" s="585" t="str">
        <f t="shared" si="1063"/>
        <v/>
      </c>
      <c r="U139" s="582" t="str">
        <f t="shared" si="1064"/>
        <v/>
      </c>
      <c r="V139" s="586" t="str">
        <f t="shared" si="1065"/>
        <v/>
      </c>
      <c r="W139" s="536" t="str">
        <f t="shared" si="1066"/>
        <v/>
      </c>
      <c r="X139" s="582" t="str">
        <f t="shared" si="1067"/>
        <v/>
      </c>
      <c r="Y139" s="587" t="str">
        <f t="shared" si="1068"/>
        <v/>
      </c>
      <c r="Z139" s="581" t="str">
        <f t="shared" si="1221"/>
        <v/>
      </c>
      <c r="AA139" s="582" t="str">
        <f t="shared" si="1222"/>
        <v/>
      </c>
      <c r="AB139" s="582" t="str">
        <f t="shared" si="1223"/>
        <v/>
      </c>
      <c r="AC139" s="586" t="str">
        <f t="shared" si="1069"/>
        <v/>
      </c>
      <c r="AD139" s="588" t="str">
        <f t="shared" si="1070"/>
        <v/>
      </c>
      <c r="AE139" s="582" t="str">
        <f t="shared" si="1071"/>
        <v/>
      </c>
      <c r="AF139" s="583" t="str">
        <f t="shared" si="1072"/>
        <v/>
      </c>
      <c r="AG139" s="547" t="str">
        <f t="shared" si="1073"/>
        <v/>
      </c>
      <c r="AH139" s="548" t="str">
        <f t="shared" si="1074"/>
        <v/>
      </c>
      <c r="AI139" s="536" t="str">
        <f t="shared" si="1075"/>
        <v/>
      </c>
      <c r="AJ139" s="537" t="str">
        <f t="shared" si="1076"/>
        <v/>
      </c>
      <c r="AK139" s="585" t="str">
        <f t="shared" si="1077"/>
        <v/>
      </c>
      <c r="AL139" s="582" t="str">
        <f t="shared" si="1078"/>
        <v/>
      </c>
      <c r="AM139" s="584" t="str">
        <f t="shared" si="1079"/>
        <v/>
      </c>
      <c r="AN139" s="534" t="str">
        <f t="shared" si="1080"/>
        <v/>
      </c>
      <c r="AO139" s="535" t="str">
        <f t="shared" si="1039"/>
        <v/>
      </c>
      <c r="AP139" s="536" t="str">
        <f t="shared" si="1081"/>
        <v/>
      </c>
      <c r="AQ139" s="537" t="str">
        <f t="shared" si="1224"/>
        <v/>
      </c>
      <c r="AS139" s="955" t="str">
        <f t="shared" ref="AS139:AS150" si="1278">IF(G139="","",IF(AND(W139&lt;(AS138+180),W139&gt;(AS138-180)),W139,IF(W139&gt;(AS138+180),W139-360,IF(W139&lt;(AS138-180),W139+360,"Error"))))</f>
        <v/>
      </c>
      <c r="AT139" s="951" t="str">
        <f t="shared" si="1225"/>
        <v/>
      </c>
      <c r="AU139" s="418"/>
      <c r="AV139" s="164" t="str">
        <f t="shared" si="122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2"/>
        <v/>
      </c>
      <c r="BA139" s="505" t="str">
        <f t="shared" si="1083"/>
        <v/>
      </c>
      <c r="BB139" s="506" t="str">
        <f t="shared" si="713"/>
        <v/>
      </c>
      <c r="BC139" s="496"/>
      <c r="BD139" s="494" t="str">
        <f t="shared" si="1084"/>
        <v/>
      </c>
      <c r="BE139" s="497" t="str">
        <f t="shared" si="1227"/>
        <v/>
      </c>
      <c r="BF139" s="498" t="str">
        <f t="shared" si="1228"/>
        <v/>
      </c>
      <c r="BG139" s="494" t="str">
        <f t="shared" si="1229"/>
        <v/>
      </c>
      <c r="BH139" s="495" t="str">
        <f t="shared" si="1230"/>
        <v/>
      </c>
      <c r="BI139" s="496" t="str">
        <f t="shared" si="1085"/>
        <v/>
      </c>
      <c r="BJ139" s="494" t="str">
        <f t="shared" si="1231"/>
        <v/>
      </c>
      <c r="BK139" s="499" t="str">
        <f t="shared" si="1232"/>
        <v/>
      </c>
      <c r="BL139" s="502" t="str">
        <f t="shared" si="1233"/>
        <v/>
      </c>
      <c r="BM139" s="494" t="str">
        <f t="shared" si="1234"/>
        <v/>
      </c>
      <c r="BN139" s="497" t="str">
        <f t="shared" si="1235"/>
        <v/>
      </c>
      <c r="BO139" s="498" t="str">
        <f t="shared" si="1086"/>
        <v/>
      </c>
      <c r="BP139" s="494" t="str">
        <f t="shared" si="1087"/>
        <v/>
      </c>
      <c r="BQ139" s="494" t="str">
        <f t="shared" si="1088"/>
        <v/>
      </c>
      <c r="BR139" s="497" t="str">
        <f t="shared" si="1089"/>
        <v/>
      </c>
      <c r="BS139" s="498" t="str">
        <f t="shared" si="1005"/>
        <v/>
      </c>
      <c r="BT139" s="494" t="str">
        <f t="shared" si="1005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0"/>
        <v/>
      </c>
      <c r="CC139" s="494" t="str">
        <f t="shared" si="1091"/>
        <v/>
      </c>
      <c r="CD139" s="494" t="str">
        <f t="shared" si="1092"/>
        <v/>
      </c>
      <c r="CE139" s="497" t="str">
        <f t="shared" si="1093"/>
        <v/>
      </c>
      <c r="CF139" s="498" t="str">
        <f t="shared" si="1094"/>
        <v/>
      </c>
      <c r="CG139" s="494" t="str">
        <f t="shared" si="1095"/>
        <v/>
      </c>
      <c r="CH139" s="494" t="str">
        <f t="shared" si="1096"/>
        <v/>
      </c>
      <c r="CI139" s="498" t="str">
        <f t="shared" si="723"/>
        <v/>
      </c>
      <c r="CJ139" s="494" t="str">
        <f t="shared" si="1097"/>
        <v/>
      </c>
      <c r="CK139" s="499" t="str">
        <f t="shared" si="1098"/>
        <v/>
      </c>
      <c r="CL139" s="502" t="str">
        <f t="shared" si="1099"/>
        <v/>
      </c>
      <c r="CM139" s="494" t="str">
        <f t="shared" si="1100"/>
        <v/>
      </c>
      <c r="CN139" s="497" t="str">
        <f t="shared" si="1101"/>
        <v/>
      </c>
      <c r="CO139" s="507" t="str">
        <f t="shared" si="1236"/>
        <v/>
      </c>
      <c r="CP139" s="498" t="str">
        <f t="shared" si="1102"/>
        <v/>
      </c>
      <c r="CQ139" s="494" t="str">
        <f t="shared" si="1103"/>
        <v/>
      </c>
      <c r="CR139" s="494" t="str">
        <f t="shared" si="1104"/>
        <v/>
      </c>
      <c r="CS139" s="499" t="str">
        <f t="shared" si="1105"/>
        <v/>
      </c>
      <c r="CT139" s="496" t="str">
        <f t="shared" si="1106"/>
        <v/>
      </c>
      <c r="CU139" s="497" t="str">
        <f t="shared" si="1107"/>
        <v/>
      </c>
      <c r="CV139" s="498" t="str">
        <f t="shared" si="1108"/>
        <v/>
      </c>
      <c r="CW139" s="494" t="str">
        <f t="shared" si="1109"/>
        <v/>
      </c>
      <c r="CX139" s="499" t="str">
        <f t="shared" si="1110"/>
        <v/>
      </c>
      <c r="CY139" s="496" t="str">
        <f t="shared" si="1111"/>
        <v/>
      </c>
      <c r="CZ139" s="494" t="str">
        <f t="shared" si="1112"/>
        <v/>
      </c>
      <c r="DA139" s="497" t="str">
        <f t="shared" si="1113"/>
        <v/>
      </c>
      <c r="DB139" s="498" t="str">
        <f t="shared" si="1011"/>
        <v/>
      </c>
      <c r="DC139" s="494" t="str">
        <f t="shared" si="1011"/>
        <v/>
      </c>
      <c r="DD139" s="495" t="str">
        <f t="shared" si="764"/>
        <v/>
      </c>
      <c r="DE139" s="496" t="str">
        <f t="shared" si="1012"/>
        <v/>
      </c>
      <c r="DF139" s="494" t="str">
        <f t="shared" si="1012"/>
        <v/>
      </c>
      <c r="DG139" s="495" t="str">
        <f t="shared" si="766"/>
        <v/>
      </c>
      <c r="DH139" s="501" t="str">
        <f t="shared" si="1114"/>
        <v/>
      </c>
      <c r="DI139" s="498" t="str">
        <f t="shared" si="1115"/>
        <v/>
      </c>
      <c r="DJ139" s="494" t="str">
        <f t="shared" si="1116"/>
        <v/>
      </c>
      <c r="DK139" s="495" t="str">
        <f t="shared" si="1117"/>
        <v/>
      </c>
      <c r="DL139" s="496" t="str">
        <f t="shared" si="1118"/>
        <v/>
      </c>
      <c r="DM139" s="502" t="str">
        <f t="shared" si="1119"/>
        <v/>
      </c>
      <c r="DN139" s="508" t="str">
        <f t="shared" si="1120"/>
        <v/>
      </c>
      <c r="DO139" s="496" t="str">
        <f t="shared" si="1121"/>
        <v/>
      </c>
      <c r="DP139" s="502" t="str">
        <f t="shared" si="1122"/>
        <v/>
      </c>
      <c r="DQ139" s="503" t="str">
        <f t="shared" si="1123"/>
        <v/>
      </c>
      <c r="DR139" s="502" t="str">
        <f t="shared" si="1124"/>
        <v/>
      </c>
      <c r="DS139" s="494" t="str">
        <f t="shared" si="1125"/>
        <v/>
      </c>
      <c r="DT139" s="494" t="str">
        <f t="shared" si="1126"/>
        <v/>
      </c>
      <c r="DU139" s="494" t="str">
        <f t="shared" si="1127"/>
        <v/>
      </c>
      <c r="DV139" s="494" t="str">
        <f t="shared" si="1128"/>
        <v/>
      </c>
      <c r="DW139" s="494" t="str">
        <f t="shared" si="1129"/>
        <v/>
      </c>
      <c r="DX139" s="507" t="str">
        <f t="shared" si="1130"/>
        <v/>
      </c>
      <c r="DY139" s="496" t="str">
        <f t="shared" si="1131"/>
        <v/>
      </c>
      <c r="DZ139" s="494" t="str">
        <f t="shared" si="1132"/>
        <v/>
      </c>
      <c r="EA139" s="495" t="str">
        <f t="shared" si="1133"/>
        <v/>
      </c>
      <c r="EB139" s="497" t="str">
        <f t="shared" si="1134"/>
        <v/>
      </c>
      <c r="EC139" s="502" t="str">
        <f t="shared" si="1135"/>
        <v/>
      </c>
      <c r="ED139" s="494" t="str">
        <f t="shared" si="1136"/>
        <v/>
      </c>
      <c r="EE139" s="498" t="str">
        <f t="shared" si="1137"/>
        <v/>
      </c>
      <c r="EF139" s="494" t="str">
        <f t="shared" si="1138"/>
        <v/>
      </c>
      <c r="EG139" s="495" t="str">
        <f t="shared" si="1139"/>
        <v/>
      </c>
      <c r="EH139" s="496" t="str">
        <f t="shared" si="1140"/>
        <v/>
      </c>
      <c r="EI139" s="494" t="str">
        <f t="shared" si="1141"/>
        <v/>
      </c>
      <c r="EJ139" s="497" t="str">
        <f t="shared" si="1142"/>
        <v/>
      </c>
      <c r="EK139" s="509" t="str">
        <f t="shared" si="796"/>
        <v/>
      </c>
      <c r="EL139" s="510" t="str">
        <f t="shared" si="797"/>
        <v/>
      </c>
      <c r="EM139" s="498" t="str">
        <f t="shared" si="1143"/>
        <v/>
      </c>
      <c r="EN139" s="494" t="str">
        <f t="shared" si="1144"/>
        <v/>
      </c>
      <c r="EO139" s="495" t="str">
        <f t="shared" si="1145"/>
        <v/>
      </c>
      <c r="EP139" s="496" t="str">
        <f t="shared" si="1146"/>
        <v/>
      </c>
      <c r="EQ139" s="494" t="str">
        <f t="shared" si="1147"/>
        <v/>
      </c>
      <c r="ER139" s="500" t="str">
        <f t="shared" si="1148"/>
        <v/>
      </c>
      <c r="ES139" s="493" t="str">
        <f t="shared" si="1237"/>
        <v/>
      </c>
      <c r="ET139" s="494" t="str">
        <f t="shared" si="1238"/>
        <v/>
      </c>
      <c r="EU139" s="495" t="str">
        <f t="shared" si="1239"/>
        <v/>
      </c>
      <c r="EV139" s="174" t="str">
        <f t="shared" si="1149"/>
        <v/>
      </c>
      <c r="EW139" s="496" t="str">
        <f t="shared" si="1150"/>
        <v/>
      </c>
      <c r="EX139" s="494" t="str">
        <f t="shared" si="1151"/>
        <v/>
      </c>
      <c r="EY139" s="497" t="str">
        <f t="shared" si="1152"/>
        <v/>
      </c>
      <c r="EZ139" s="504" t="str">
        <f t="shared" si="805"/>
        <v/>
      </c>
      <c r="FA139" s="502" t="str">
        <f t="shared" si="928"/>
        <v/>
      </c>
      <c r="FB139" s="494" t="str">
        <f t="shared" si="929"/>
        <v/>
      </c>
      <c r="FC139" s="497" t="str">
        <f t="shared" si="930"/>
        <v/>
      </c>
      <c r="FD139" s="498" t="str">
        <f t="shared" si="1153"/>
        <v/>
      </c>
      <c r="FE139" s="494" t="str">
        <f t="shared" si="1154"/>
        <v/>
      </c>
      <c r="FF139" s="500" t="str">
        <f t="shared" si="1155"/>
        <v/>
      </c>
      <c r="FG139" s="173" t="str">
        <f t="shared" si="1156"/>
        <v/>
      </c>
      <c r="FH139" s="5" t="str">
        <f t="shared" si="1157"/>
        <v/>
      </c>
      <c r="FI139" s="10" t="str">
        <f t="shared" si="1158"/>
        <v/>
      </c>
      <c r="FJ139" s="279" t="str">
        <f t="shared" si="1159"/>
        <v/>
      </c>
      <c r="FK139" s="4" t="str">
        <f t="shared" si="1160"/>
        <v/>
      </c>
      <c r="FL139" s="5" t="str">
        <f t="shared" si="1161"/>
        <v/>
      </c>
      <c r="FM139" s="8" t="str">
        <f t="shared" si="1162"/>
        <v/>
      </c>
      <c r="FN139" s="9" t="str">
        <f t="shared" si="1163"/>
        <v/>
      </c>
      <c r="FO139" s="10" t="str">
        <f t="shared" si="1164"/>
        <v/>
      </c>
      <c r="FP139" s="277" t="str">
        <f t="shared" si="1165"/>
        <v/>
      </c>
      <c r="FQ139" s="173" t="str">
        <f t="shared" si="1166"/>
        <v/>
      </c>
      <c r="FR139" s="10" t="str">
        <f t="shared" si="1167"/>
        <v/>
      </c>
      <c r="FS139" s="9" t="str">
        <f t="shared" si="1168"/>
        <v/>
      </c>
      <c r="FT139" s="6" t="str">
        <f t="shared" si="1169"/>
        <v/>
      </c>
      <c r="FU139" s="4" t="str">
        <f t="shared" si="1170"/>
        <v/>
      </c>
      <c r="FV139" s="5" t="str">
        <f t="shared" si="1171"/>
        <v/>
      </c>
      <c r="FW139" s="8" t="str">
        <f t="shared" si="1172"/>
        <v/>
      </c>
      <c r="FX139" s="9" t="str">
        <f t="shared" si="1173"/>
        <v/>
      </c>
      <c r="FY139" s="10" t="str">
        <f t="shared" si="1174"/>
        <v/>
      </c>
      <c r="FZ139" s="277" t="str">
        <f t="shared" si="1175"/>
        <v/>
      </c>
      <c r="GA139" s="177" t="str">
        <f t="shared" si="1176"/>
        <v/>
      </c>
      <c r="GB139" s="4" t="str">
        <f t="shared" si="1177"/>
        <v/>
      </c>
      <c r="GC139" s="5" t="str">
        <f t="shared" si="1178"/>
        <v/>
      </c>
      <c r="GD139" s="10" t="str">
        <f t="shared" si="1179"/>
        <v/>
      </c>
      <c r="GE139" s="311" t="str">
        <f t="shared" si="1180"/>
        <v/>
      </c>
      <c r="GF139" s="341" t="str">
        <f t="shared" si="1181"/>
        <v/>
      </c>
      <c r="GG139" s="306" t="str">
        <f t="shared" si="1182"/>
        <v/>
      </c>
      <c r="GH139" s="307" t="str">
        <f t="shared" si="1183"/>
        <v/>
      </c>
      <c r="GI139" s="308" t="str">
        <f t="shared" si="1184"/>
        <v/>
      </c>
      <c r="GJ139" s="167" t="str">
        <f t="shared" si="1185"/>
        <v/>
      </c>
      <c r="GK139" s="174" t="str">
        <f t="shared" si="942"/>
        <v/>
      </c>
      <c r="GL139" s="174" t="str">
        <f t="shared" si="1186"/>
        <v/>
      </c>
      <c r="GM139" s="177" t="str">
        <f t="shared" si="1187"/>
        <v/>
      </c>
      <c r="GN139" s="280" t="str">
        <f t="shared" si="1188"/>
        <v/>
      </c>
      <c r="GO139" s="4" t="str">
        <f t="shared" si="1189"/>
        <v/>
      </c>
      <c r="GP139" s="8" t="str">
        <f t="shared" si="1190"/>
        <v/>
      </c>
      <c r="GQ139" s="177" t="str">
        <f t="shared" si="1191"/>
        <v/>
      </c>
      <c r="GR139" s="371" t="str">
        <f t="shared" si="1192"/>
        <v/>
      </c>
      <c r="GS139" s="342" t="str">
        <f t="shared" si="1193"/>
        <v/>
      </c>
      <c r="GT139" s="343" t="str">
        <f t="shared" si="1194"/>
        <v/>
      </c>
      <c r="GU139" s="344" t="str">
        <f t="shared" si="945"/>
        <v/>
      </c>
      <c r="GV139" s="343" t="str">
        <f t="shared" si="1195"/>
        <v/>
      </c>
      <c r="GW139" s="345" t="str">
        <f t="shared" si="946"/>
        <v/>
      </c>
      <c r="GX139" s="346" t="str">
        <f t="shared" si="947"/>
        <v/>
      </c>
      <c r="GY139" s="344" t="str">
        <f t="shared" si="1196"/>
        <v/>
      </c>
      <c r="GZ139" s="345" t="str">
        <f t="shared" si="1197"/>
        <v/>
      </c>
      <c r="HA139" s="342" t="str">
        <f t="shared" si="950"/>
        <v/>
      </c>
      <c r="HB139" s="5" t="str">
        <f t="shared" si="832"/>
        <v/>
      </c>
      <c r="HC139" s="343" t="str">
        <f t="shared" si="1198"/>
        <v/>
      </c>
      <c r="HD139" s="363" t="str">
        <f t="shared" si="1199"/>
        <v/>
      </c>
      <c r="HE139" s="344" t="str">
        <f t="shared" si="951"/>
        <v/>
      </c>
      <c r="HF139" s="5" t="str">
        <f t="shared" si="952"/>
        <v/>
      </c>
      <c r="HG139" s="343" t="str">
        <f t="shared" si="1200"/>
        <v/>
      </c>
      <c r="HH139" s="349" t="str">
        <f t="shared" si="1201"/>
        <v/>
      </c>
      <c r="HI139" s="317" t="str">
        <f t="shared" si="1240"/>
        <v/>
      </c>
      <c r="HK139" s="310" t="str">
        <f t="shared" si="1275"/>
        <v/>
      </c>
      <c r="HL139" s="348" t="str">
        <f t="shared" si="1241"/>
        <v/>
      </c>
      <c r="HM139" s="923" t="str">
        <f t="shared" si="1242"/>
        <v/>
      </c>
      <c r="HN139" s="924" t="str">
        <f t="shared" si="1243"/>
        <v/>
      </c>
      <c r="HO139" s="925"/>
      <c r="HP139" s="926"/>
      <c r="HQ139" s="924" t="str">
        <f t="shared" si="1244"/>
        <v/>
      </c>
      <c r="HR139" s="927" t="str">
        <f t="shared" si="1245"/>
        <v/>
      </c>
      <c r="HS139" s="879" t="str">
        <f t="shared" si="1202"/>
        <v/>
      </c>
      <c r="HT139" s="889" t="str">
        <f t="shared" si="1246"/>
        <v/>
      </c>
      <c r="HU139" s="890" t="str">
        <f t="shared" si="1247"/>
        <v/>
      </c>
      <c r="HV139" s="886" t="str">
        <f t="shared" si="1248"/>
        <v/>
      </c>
      <c r="HW139" s="880" t="str">
        <f t="shared" si="1249"/>
        <v/>
      </c>
      <c r="HX139" s="881" t="str">
        <f t="shared" si="1250"/>
        <v/>
      </c>
      <c r="HY139" s="880" t="str">
        <f t="shared" si="1251"/>
        <v/>
      </c>
      <c r="HZ139" s="882" t="str">
        <f t="shared" si="1252"/>
        <v/>
      </c>
      <c r="IA139" s="883" t="str">
        <f t="shared" si="1253"/>
        <v/>
      </c>
      <c r="IB139" s="884" t="str">
        <f t="shared" si="1254"/>
        <v/>
      </c>
      <c r="IC139" s="855" t="str">
        <f t="shared" si="1255"/>
        <v/>
      </c>
      <c r="ID139" s="351" t="str">
        <f t="shared" si="1256"/>
        <v/>
      </c>
      <c r="IE139" s="857" t="str">
        <f t="shared" si="125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79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58"/>
        <v/>
      </c>
      <c r="IM139" s="482" t="str">
        <f t="shared" ref="IM139:IM150" si="1280">IF(ISNUMBER($IK139),INDEX($K$9:$K$150,MATCH($II139,$M$9:$M$150,0)),"")</f>
        <v/>
      </c>
      <c r="IN139" s="670" t="str">
        <f t="shared" si="1259"/>
        <v/>
      </c>
      <c r="IO139" s="702"/>
      <c r="IP139" s="5" t="str">
        <f t="shared" si="1260"/>
        <v/>
      </c>
      <c r="IQ139" s="714"/>
      <c r="IR139" s="9" t="str">
        <f t="shared" si="1261"/>
        <v/>
      </c>
      <c r="IS139" s="5" t="str">
        <f t="shared" si="1262"/>
        <v/>
      </c>
      <c r="IT139" s="5" t="str">
        <f t="shared" si="1263"/>
        <v/>
      </c>
      <c r="IU139" s="5" t="str">
        <f t="shared" si="1264"/>
        <v/>
      </c>
      <c r="IV139" s="670" t="str">
        <f t="shared" si="1265"/>
        <v/>
      </c>
      <c r="IW139" s="9" t="str">
        <f t="shared" si="1266"/>
        <v/>
      </c>
      <c r="IX139" s="5" t="str">
        <f t="shared" si="1267"/>
        <v/>
      </c>
      <c r="IY139" s="5" t="str">
        <f t="shared" si="1268"/>
        <v/>
      </c>
      <c r="IZ139" s="5" t="str">
        <f t="shared" si="1269"/>
        <v/>
      </c>
      <c r="JA139" s="705" t="str">
        <f t="shared" si="1270"/>
        <v/>
      </c>
    </row>
    <row r="140" spans="1:261" ht="15" customHeight="1" x14ac:dyDescent="0.25">
      <c r="A140" s="75" t="str">
        <f t="shared" si="1271"/>
        <v/>
      </c>
      <c r="B140" s="585" t="str">
        <f t="shared" ref="B140:D140" si="1281">IFERROR(O295-($A140*E140),"")</f>
        <v/>
      </c>
      <c r="C140" s="582" t="str">
        <f t="shared" si="1281"/>
        <v/>
      </c>
      <c r="D140" s="583" t="str">
        <f t="shared" si="1281"/>
        <v/>
      </c>
      <c r="E140" s="588" t="str">
        <f t="shared" ref="E140:K140" si="1282">R295</f>
        <v/>
      </c>
      <c r="F140" s="582" t="str">
        <f t="shared" si="1282"/>
        <v/>
      </c>
      <c r="G140" s="586" t="str">
        <f t="shared" si="1282"/>
        <v/>
      </c>
      <c r="H140" s="588" t="str">
        <f t="shared" si="1282"/>
        <v/>
      </c>
      <c r="I140" s="582" t="str">
        <f t="shared" si="1282"/>
        <v/>
      </c>
      <c r="J140" s="491" t="str">
        <f t="shared" si="1274"/>
        <v/>
      </c>
      <c r="K140" s="807" t="str">
        <f t="shared" si="1282"/>
        <v/>
      </c>
      <c r="L140" s="309"/>
      <c r="M140" s="492" t="str">
        <f t="shared" si="1217"/>
        <v/>
      </c>
      <c r="N140" s="581" t="str">
        <f t="shared" si="1218"/>
        <v/>
      </c>
      <c r="O140" s="582" t="str">
        <f t="shared" si="1219"/>
        <v/>
      </c>
      <c r="P140" s="583" t="str">
        <f t="shared" si="1220"/>
        <v/>
      </c>
      <c r="Q140" s="536" t="str">
        <f t="shared" si="1060"/>
        <v/>
      </c>
      <c r="R140" s="582" t="str">
        <f t="shared" si="1061"/>
        <v/>
      </c>
      <c r="S140" s="584" t="str">
        <f t="shared" si="1062"/>
        <v/>
      </c>
      <c r="T140" s="585" t="str">
        <f t="shared" si="1063"/>
        <v/>
      </c>
      <c r="U140" s="582" t="str">
        <f t="shared" si="1064"/>
        <v/>
      </c>
      <c r="V140" s="586" t="str">
        <f t="shared" si="1065"/>
        <v/>
      </c>
      <c r="W140" s="536" t="str">
        <f t="shared" si="1066"/>
        <v/>
      </c>
      <c r="X140" s="582" t="str">
        <f t="shared" si="1067"/>
        <v/>
      </c>
      <c r="Y140" s="587" t="str">
        <f t="shared" si="1068"/>
        <v/>
      </c>
      <c r="Z140" s="581" t="str">
        <f t="shared" si="1221"/>
        <v/>
      </c>
      <c r="AA140" s="582" t="str">
        <f t="shared" si="1222"/>
        <v/>
      </c>
      <c r="AB140" s="582" t="str">
        <f t="shared" si="1223"/>
        <v/>
      </c>
      <c r="AC140" s="586" t="str">
        <f t="shared" si="1069"/>
        <v/>
      </c>
      <c r="AD140" s="588" t="str">
        <f t="shared" si="1070"/>
        <v/>
      </c>
      <c r="AE140" s="582" t="str">
        <f t="shared" si="1071"/>
        <v/>
      </c>
      <c r="AF140" s="583" t="str">
        <f t="shared" si="1072"/>
        <v/>
      </c>
      <c r="AG140" s="547" t="str">
        <f t="shared" si="1073"/>
        <v/>
      </c>
      <c r="AH140" s="548" t="str">
        <f t="shared" si="1074"/>
        <v/>
      </c>
      <c r="AI140" s="536" t="str">
        <f t="shared" si="1075"/>
        <v/>
      </c>
      <c r="AJ140" s="537" t="str">
        <f t="shared" si="1076"/>
        <v/>
      </c>
      <c r="AK140" s="585" t="str">
        <f t="shared" si="1077"/>
        <v/>
      </c>
      <c r="AL140" s="582" t="str">
        <f t="shared" si="1078"/>
        <v/>
      </c>
      <c r="AM140" s="584" t="str">
        <f t="shared" si="1079"/>
        <v/>
      </c>
      <c r="AN140" s="534" t="str">
        <f t="shared" si="1080"/>
        <v/>
      </c>
      <c r="AO140" s="535" t="str">
        <f t="shared" si="1039"/>
        <v/>
      </c>
      <c r="AP140" s="536" t="str">
        <f t="shared" si="1081"/>
        <v/>
      </c>
      <c r="AQ140" s="537" t="str">
        <f t="shared" si="1224"/>
        <v/>
      </c>
      <c r="AS140" s="955" t="str">
        <f t="shared" si="1278"/>
        <v/>
      </c>
      <c r="AT140" s="951" t="str">
        <f t="shared" si="1225"/>
        <v/>
      </c>
      <c r="AU140" s="418"/>
      <c r="AV140" s="164" t="str">
        <f t="shared" si="122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2"/>
        <v/>
      </c>
      <c r="BA140" s="505" t="str">
        <f t="shared" si="1083"/>
        <v/>
      </c>
      <c r="BB140" s="506" t="str">
        <f t="shared" si="713"/>
        <v/>
      </c>
      <c r="BC140" s="496"/>
      <c r="BD140" s="494" t="str">
        <f t="shared" si="1084"/>
        <v/>
      </c>
      <c r="BE140" s="497" t="str">
        <f t="shared" si="1227"/>
        <v/>
      </c>
      <c r="BF140" s="498" t="str">
        <f t="shared" si="1228"/>
        <v/>
      </c>
      <c r="BG140" s="494" t="str">
        <f t="shared" si="1229"/>
        <v/>
      </c>
      <c r="BH140" s="495" t="str">
        <f t="shared" si="1230"/>
        <v/>
      </c>
      <c r="BI140" s="496" t="str">
        <f t="shared" si="1085"/>
        <v/>
      </c>
      <c r="BJ140" s="494" t="str">
        <f t="shared" si="1231"/>
        <v/>
      </c>
      <c r="BK140" s="499" t="str">
        <f t="shared" si="1232"/>
        <v/>
      </c>
      <c r="BL140" s="502" t="str">
        <f t="shared" si="1233"/>
        <v/>
      </c>
      <c r="BM140" s="494" t="str">
        <f t="shared" si="1234"/>
        <v/>
      </c>
      <c r="BN140" s="497" t="str">
        <f t="shared" si="1235"/>
        <v/>
      </c>
      <c r="BO140" s="498" t="str">
        <f t="shared" si="1086"/>
        <v/>
      </c>
      <c r="BP140" s="494" t="str">
        <f t="shared" si="1087"/>
        <v/>
      </c>
      <c r="BQ140" s="494" t="str">
        <f t="shared" si="1088"/>
        <v/>
      </c>
      <c r="BR140" s="497" t="str">
        <f t="shared" si="1089"/>
        <v/>
      </c>
      <c r="BS140" s="498" t="str">
        <f t="shared" si="1005"/>
        <v/>
      </c>
      <c r="BT140" s="494" t="str">
        <f t="shared" si="1005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0"/>
        <v/>
      </c>
      <c r="CC140" s="494" t="str">
        <f t="shared" si="1091"/>
        <v/>
      </c>
      <c r="CD140" s="494" t="str">
        <f t="shared" si="1092"/>
        <v/>
      </c>
      <c r="CE140" s="497" t="str">
        <f t="shared" si="1093"/>
        <v/>
      </c>
      <c r="CF140" s="498" t="str">
        <f t="shared" si="1094"/>
        <v/>
      </c>
      <c r="CG140" s="494" t="str">
        <f t="shared" si="1095"/>
        <v/>
      </c>
      <c r="CH140" s="494" t="str">
        <f t="shared" si="1096"/>
        <v/>
      </c>
      <c r="CI140" s="498" t="str">
        <f t="shared" si="723"/>
        <v/>
      </c>
      <c r="CJ140" s="494" t="str">
        <f t="shared" si="1097"/>
        <v/>
      </c>
      <c r="CK140" s="499" t="str">
        <f t="shared" si="1098"/>
        <v/>
      </c>
      <c r="CL140" s="502" t="str">
        <f t="shared" si="1099"/>
        <v/>
      </c>
      <c r="CM140" s="494" t="str">
        <f t="shared" si="1100"/>
        <v/>
      </c>
      <c r="CN140" s="497" t="str">
        <f t="shared" si="1101"/>
        <v/>
      </c>
      <c r="CO140" s="507" t="str">
        <f t="shared" si="1236"/>
        <v/>
      </c>
      <c r="CP140" s="498" t="str">
        <f t="shared" si="1102"/>
        <v/>
      </c>
      <c r="CQ140" s="494" t="str">
        <f t="shared" si="1103"/>
        <v/>
      </c>
      <c r="CR140" s="494" t="str">
        <f t="shared" si="1104"/>
        <v/>
      </c>
      <c r="CS140" s="499" t="str">
        <f t="shared" si="1105"/>
        <v/>
      </c>
      <c r="CT140" s="496" t="str">
        <f t="shared" si="1106"/>
        <v/>
      </c>
      <c r="CU140" s="497" t="str">
        <f t="shared" si="1107"/>
        <v/>
      </c>
      <c r="CV140" s="498" t="str">
        <f t="shared" si="1108"/>
        <v/>
      </c>
      <c r="CW140" s="494" t="str">
        <f t="shared" si="1109"/>
        <v/>
      </c>
      <c r="CX140" s="499" t="str">
        <f t="shared" si="1110"/>
        <v/>
      </c>
      <c r="CY140" s="496" t="str">
        <f t="shared" si="1111"/>
        <v/>
      </c>
      <c r="CZ140" s="494" t="str">
        <f t="shared" si="1112"/>
        <v/>
      </c>
      <c r="DA140" s="497" t="str">
        <f t="shared" si="1113"/>
        <v/>
      </c>
      <c r="DB140" s="498" t="str">
        <f t="shared" si="1011"/>
        <v/>
      </c>
      <c r="DC140" s="494" t="str">
        <f t="shared" si="1011"/>
        <v/>
      </c>
      <c r="DD140" s="495" t="str">
        <f t="shared" si="764"/>
        <v/>
      </c>
      <c r="DE140" s="496" t="str">
        <f t="shared" si="1012"/>
        <v/>
      </c>
      <c r="DF140" s="494" t="str">
        <f t="shared" si="1012"/>
        <v/>
      </c>
      <c r="DG140" s="495" t="str">
        <f t="shared" si="766"/>
        <v/>
      </c>
      <c r="DH140" s="501" t="str">
        <f t="shared" si="1114"/>
        <v/>
      </c>
      <c r="DI140" s="498" t="str">
        <f t="shared" si="1115"/>
        <v/>
      </c>
      <c r="DJ140" s="494" t="str">
        <f t="shared" si="1116"/>
        <v/>
      </c>
      <c r="DK140" s="495" t="str">
        <f t="shared" si="1117"/>
        <v/>
      </c>
      <c r="DL140" s="496" t="str">
        <f t="shared" si="1118"/>
        <v/>
      </c>
      <c r="DM140" s="502" t="str">
        <f t="shared" si="1119"/>
        <v/>
      </c>
      <c r="DN140" s="508" t="str">
        <f t="shared" si="1120"/>
        <v/>
      </c>
      <c r="DO140" s="496" t="str">
        <f t="shared" si="1121"/>
        <v/>
      </c>
      <c r="DP140" s="502" t="str">
        <f t="shared" si="1122"/>
        <v/>
      </c>
      <c r="DQ140" s="503" t="str">
        <f t="shared" si="1123"/>
        <v/>
      </c>
      <c r="DR140" s="502" t="str">
        <f t="shared" si="1124"/>
        <v/>
      </c>
      <c r="DS140" s="494" t="str">
        <f t="shared" si="1125"/>
        <v/>
      </c>
      <c r="DT140" s="494" t="str">
        <f t="shared" si="1126"/>
        <v/>
      </c>
      <c r="DU140" s="494" t="str">
        <f t="shared" si="1127"/>
        <v/>
      </c>
      <c r="DV140" s="494" t="str">
        <f t="shared" si="1128"/>
        <v/>
      </c>
      <c r="DW140" s="494" t="str">
        <f t="shared" si="1129"/>
        <v/>
      </c>
      <c r="DX140" s="507" t="str">
        <f t="shared" si="1130"/>
        <v/>
      </c>
      <c r="DY140" s="496" t="str">
        <f t="shared" si="1131"/>
        <v/>
      </c>
      <c r="DZ140" s="494" t="str">
        <f t="shared" si="1132"/>
        <v/>
      </c>
      <c r="EA140" s="495" t="str">
        <f t="shared" si="1133"/>
        <v/>
      </c>
      <c r="EB140" s="497" t="str">
        <f t="shared" si="1134"/>
        <v/>
      </c>
      <c r="EC140" s="502" t="str">
        <f t="shared" si="1135"/>
        <v/>
      </c>
      <c r="ED140" s="494" t="str">
        <f t="shared" si="1136"/>
        <v/>
      </c>
      <c r="EE140" s="498" t="str">
        <f t="shared" si="1137"/>
        <v/>
      </c>
      <c r="EF140" s="494" t="str">
        <f t="shared" si="1138"/>
        <v/>
      </c>
      <c r="EG140" s="495" t="str">
        <f t="shared" si="1139"/>
        <v/>
      </c>
      <c r="EH140" s="496" t="str">
        <f t="shared" si="1140"/>
        <v/>
      </c>
      <c r="EI140" s="494" t="str">
        <f t="shared" si="1141"/>
        <v/>
      </c>
      <c r="EJ140" s="497" t="str">
        <f t="shared" si="1142"/>
        <v/>
      </c>
      <c r="EK140" s="509" t="str">
        <f t="shared" si="796"/>
        <v/>
      </c>
      <c r="EL140" s="510" t="str">
        <f t="shared" si="797"/>
        <v/>
      </c>
      <c r="EM140" s="498" t="str">
        <f t="shared" si="1143"/>
        <v/>
      </c>
      <c r="EN140" s="494" t="str">
        <f t="shared" si="1144"/>
        <v/>
      </c>
      <c r="EO140" s="495" t="str">
        <f t="shared" si="1145"/>
        <v/>
      </c>
      <c r="EP140" s="496" t="str">
        <f t="shared" si="1146"/>
        <v/>
      </c>
      <c r="EQ140" s="494" t="str">
        <f t="shared" si="1147"/>
        <v/>
      </c>
      <c r="ER140" s="500" t="str">
        <f t="shared" si="1148"/>
        <v/>
      </c>
      <c r="ES140" s="493" t="str">
        <f t="shared" si="1237"/>
        <v/>
      </c>
      <c r="ET140" s="494" t="str">
        <f t="shared" si="1238"/>
        <v/>
      </c>
      <c r="EU140" s="495" t="str">
        <f t="shared" si="1239"/>
        <v/>
      </c>
      <c r="EV140" s="174" t="str">
        <f t="shared" si="1149"/>
        <v/>
      </c>
      <c r="EW140" s="496" t="str">
        <f t="shared" si="1150"/>
        <v/>
      </c>
      <c r="EX140" s="494" t="str">
        <f t="shared" si="1151"/>
        <v/>
      </c>
      <c r="EY140" s="497" t="str">
        <f t="shared" si="1152"/>
        <v/>
      </c>
      <c r="EZ140" s="504" t="str">
        <f t="shared" si="805"/>
        <v/>
      </c>
      <c r="FA140" s="502" t="str">
        <f t="shared" si="928"/>
        <v/>
      </c>
      <c r="FB140" s="494" t="str">
        <f t="shared" si="929"/>
        <v/>
      </c>
      <c r="FC140" s="497" t="str">
        <f t="shared" si="930"/>
        <v/>
      </c>
      <c r="FD140" s="498" t="str">
        <f t="shared" si="1153"/>
        <v/>
      </c>
      <c r="FE140" s="494" t="str">
        <f t="shared" si="1154"/>
        <v/>
      </c>
      <c r="FF140" s="500" t="str">
        <f t="shared" si="1155"/>
        <v/>
      </c>
      <c r="FG140" s="173" t="str">
        <f t="shared" si="1156"/>
        <v/>
      </c>
      <c r="FH140" s="5" t="str">
        <f t="shared" si="1157"/>
        <v/>
      </c>
      <c r="FI140" s="10" t="str">
        <f t="shared" si="1158"/>
        <v/>
      </c>
      <c r="FJ140" s="279" t="str">
        <f t="shared" si="1159"/>
        <v/>
      </c>
      <c r="FK140" s="4" t="str">
        <f t="shared" si="1160"/>
        <v/>
      </c>
      <c r="FL140" s="5" t="str">
        <f t="shared" si="1161"/>
        <v/>
      </c>
      <c r="FM140" s="8" t="str">
        <f t="shared" si="1162"/>
        <v/>
      </c>
      <c r="FN140" s="9" t="str">
        <f t="shared" si="1163"/>
        <v/>
      </c>
      <c r="FO140" s="10" t="str">
        <f t="shared" si="1164"/>
        <v/>
      </c>
      <c r="FP140" s="277" t="str">
        <f t="shared" si="1165"/>
        <v/>
      </c>
      <c r="FQ140" s="173" t="str">
        <f t="shared" si="1166"/>
        <v/>
      </c>
      <c r="FR140" s="10" t="str">
        <f t="shared" si="1167"/>
        <v/>
      </c>
      <c r="FS140" s="9" t="str">
        <f t="shared" si="1168"/>
        <v/>
      </c>
      <c r="FT140" s="6" t="str">
        <f t="shared" si="1169"/>
        <v/>
      </c>
      <c r="FU140" s="4" t="str">
        <f t="shared" si="1170"/>
        <v/>
      </c>
      <c r="FV140" s="5" t="str">
        <f t="shared" si="1171"/>
        <v/>
      </c>
      <c r="FW140" s="8" t="str">
        <f t="shared" si="1172"/>
        <v/>
      </c>
      <c r="FX140" s="9" t="str">
        <f t="shared" si="1173"/>
        <v/>
      </c>
      <c r="FY140" s="10" t="str">
        <f t="shared" si="1174"/>
        <v/>
      </c>
      <c r="FZ140" s="277" t="str">
        <f t="shared" si="1175"/>
        <v/>
      </c>
      <c r="GA140" s="177" t="str">
        <f t="shared" si="1176"/>
        <v/>
      </c>
      <c r="GB140" s="4" t="str">
        <f t="shared" si="1177"/>
        <v/>
      </c>
      <c r="GC140" s="5" t="str">
        <f t="shared" si="1178"/>
        <v/>
      </c>
      <c r="GD140" s="10" t="str">
        <f t="shared" si="1179"/>
        <v/>
      </c>
      <c r="GE140" s="311" t="str">
        <f t="shared" si="1180"/>
        <v/>
      </c>
      <c r="GF140" s="341" t="str">
        <f t="shared" si="1181"/>
        <v/>
      </c>
      <c r="GG140" s="306" t="str">
        <f t="shared" si="1182"/>
        <v/>
      </c>
      <c r="GH140" s="307" t="str">
        <f t="shared" si="1183"/>
        <v/>
      </c>
      <c r="GI140" s="308" t="str">
        <f t="shared" si="1184"/>
        <v/>
      </c>
      <c r="GJ140" s="167" t="str">
        <f t="shared" si="1185"/>
        <v/>
      </c>
      <c r="GK140" s="174" t="str">
        <f t="shared" si="942"/>
        <v/>
      </c>
      <c r="GL140" s="174" t="str">
        <f t="shared" si="1186"/>
        <v/>
      </c>
      <c r="GM140" s="177" t="str">
        <f t="shared" si="1187"/>
        <v/>
      </c>
      <c r="GN140" s="280" t="str">
        <f t="shared" si="1188"/>
        <v/>
      </c>
      <c r="GO140" s="4" t="str">
        <f t="shared" si="1189"/>
        <v/>
      </c>
      <c r="GP140" s="8" t="str">
        <f t="shared" si="1190"/>
        <v/>
      </c>
      <c r="GQ140" s="177" t="str">
        <f t="shared" si="1191"/>
        <v/>
      </c>
      <c r="GR140" s="371" t="str">
        <f t="shared" si="1192"/>
        <v/>
      </c>
      <c r="GS140" s="342" t="str">
        <f t="shared" si="1193"/>
        <v/>
      </c>
      <c r="GT140" s="343" t="str">
        <f t="shared" si="1194"/>
        <v/>
      </c>
      <c r="GU140" s="344" t="str">
        <f t="shared" si="945"/>
        <v/>
      </c>
      <c r="GV140" s="343" t="str">
        <f t="shared" si="1195"/>
        <v/>
      </c>
      <c r="GW140" s="345" t="str">
        <f t="shared" si="946"/>
        <v/>
      </c>
      <c r="GX140" s="346" t="str">
        <f t="shared" si="947"/>
        <v/>
      </c>
      <c r="GY140" s="344" t="str">
        <f t="shared" si="1196"/>
        <v/>
      </c>
      <c r="GZ140" s="345" t="str">
        <f t="shared" si="1197"/>
        <v/>
      </c>
      <c r="HA140" s="342" t="str">
        <f t="shared" si="950"/>
        <v/>
      </c>
      <c r="HB140" s="5" t="str">
        <f t="shared" si="832"/>
        <v/>
      </c>
      <c r="HC140" s="343" t="str">
        <f t="shared" si="1198"/>
        <v/>
      </c>
      <c r="HD140" s="363" t="str">
        <f t="shared" si="1199"/>
        <v/>
      </c>
      <c r="HE140" s="344" t="str">
        <f t="shared" si="951"/>
        <v/>
      </c>
      <c r="HF140" s="5" t="str">
        <f t="shared" si="952"/>
        <v/>
      </c>
      <c r="HG140" s="343" t="str">
        <f t="shared" si="1200"/>
        <v/>
      </c>
      <c r="HH140" s="349" t="str">
        <f t="shared" si="1201"/>
        <v/>
      </c>
      <c r="HI140" s="317" t="str">
        <f t="shared" si="1240"/>
        <v/>
      </c>
      <c r="HK140" s="310" t="str">
        <f t="shared" si="1275"/>
        <v/>
      </c>
      <c r="HL140" s="348" t="str">
        <f t="shared" si="1241"/>
        <v/>
      </c>
      <c r="HM140" s="923" t="str">
        <f t="shared" si="1242"/>
        <v/>
      </c>
      <c r="HN140" s="924" t="str">
        <f t="shared" si="1243"/>
        <v/>
      </c>
      <c r="HO140" s="925"/>
      <c r="HP140" s="926"/>
      <c r="HQ140" s="924" t="str">
        <f t="shared" si="1244"/>
        <v/>
      </c>
      <c r="HR140" s="927" t="str">
        <f t="shared" si="1245"/>
        <v/>
      </c>
      <c r="HS140" s="879" t="str">
        <f t="shared" si="1202"/>
        <v/>
      </c>
      <c r="HT140" s="889" t="str">
        <f t="shared" si="1246"/>
        <v/>
      </c>
      <c r="HU140" s="890" t="str">
        <f t="shared" si="1247"/>
        <v/>
      </c>
      <c r="HV140" s="886" t="str">
        <f t="shared" si="1248"/>
        <v/>
      </c>
      <c r="HW140" s="880" t="str">
        <f t="shared" si="1249"/>
        <v/>
      </c>
      <c r="HX140" s="881" t="str">
        <f t="shared" si="1250"/>
        <v/>
      </c>
      <c r="HY140" s="880" t="str">
        <f t="shared" si="1251"/>
        <v/>
      </c>
      <c r="HZ140" s="882" t="str">
        <f t="shared" si="1252"/>
        <v/>
      </c>
      <c r="IA140" s="883" t="str">
        <f t="shared" si="1253"/>
        <v/>
      </c>
      <c r="IB140" s="884" t="str">
        <f t="shared" si="1254"/>
        <v/>
      </c>
      <c r="IC140" s="855" t="str">
        <f t="shared" si="1255"/>
        <v/>
      </c>
      <c r="ID140" s="351" t="str">
        <f t="shared" si="1256"/>
        <v/>
      </c>
      <c r="IE140" s="857" t="str">
        <f t="shared" si="125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79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58"/>
        <v/>
      </c>
      <c r="IM140" s="482" t="str">
        <f t="shared" si="1280"/>
        <v/>
      </c>
      <c r="IN140" s="670" t="str">
        <f t="shared" si="1259"/>
        <v/>
      </c>
      <c r="IO140" s="702"/>
      <c r="IP140" s="5" t="str">
        <f t="shared" si="1260"/>
        <v/>
      </c>
      <c r="IQ140" s="714"/>
      <c r="IR140" s="9" t="str">
        <f t="shared" si="1261"/>
        <v/>
      </c>
      <c r="IS140" s="5" t="str">
        <f t="shared" si="1262"/>
        <v/>
      </c>
      <c r="IT140" s="5" t="str">
        <f t="shared" si="1263"/>
        <v/>
      </c>
      <c r="IU140" s="5" t="str">
        <f t="shared" si="1264"/>
        <v/>
      </c>
      <c r="IV140" s="670" t="str">
        <f t="shared" si="1265"/>
        <v/>
      </c>
      <c r="IW140" s="9" t="str">
        <f t="shared" si="1266"/>
        <v/>
      </c>
      <c r="IX140" s="5" t="str">
        <f t="shared" si="1267"/>
        <v/>
      </c>
      <c r="IY140" s="5" t="str">
        <f t="shared" si="1268"/>
        <v/>
      </c>
      <c r="IZ140" s="5" t="str">
        <f t="shared" si="1269"/>
        <v/>
      </c>
      <c r="JA140" s="705" t="str">
        <f t="shared" si="1270"/>
        <v/>
      </c>
    </row>
    <row r="141" spans="1:261" ht="15" customHeight="1" x14ac:dyDescent="0.25">
      <c r="A141" s="75" t="str">
        <f t="shared" si="1271"/>
        <v/>
      </c>
      <c r="B141" s="585" t="str">
        <f t="shared" ref="B141:D141" si="1283">IFERROR(O296-($A141*E141),"")</f>
        <v/>
      </c>
      <c r="C141" s="582" t="str">
        <f t="shared" si="1283"/>
        <v/>
      </c>
      <c r="D141" s="583" t="str">
        <f t="shared" si="1283"/>
        <v/>
      </c>
      <c r="E141" s="588" t="str">
        <f t="shared" ref="E141:K141" si="1284">R296</f>
        <v/>
      </c>
      <c r="F141" s="582" t="str">
        <f t="shared" si="1284"/>
        <v/>
      </c>
      <c r="G141" s="586" t="str">
        <f t="shared" si="1284"/>
        <v/>
      </c>
      <c r="H141" s="588" t="str">
        <f t="shared" si="1284"/>
        <v/>
      </c>
      <c r="I141" s="582" t="str">
        <f t="shared" si="1284"/>
        <v/>
      </c>
      <c r="J141" s="491" t="str">
        <f t="shared" si="1274"/>
        <v/>
      </c>
      <c r="K141" s="807" t="str">
        <f t="shared" si="1284"/>
        <v/>
      </c>
      <c r="L141" s="309"/>
      <c r="M141" s="492" t="str">
        <f t="shared" si="1217"/>
        <v/>
      </c>
      <c r="N141" s="581" t="str">
        <f t="shared" si="1218"/>
        <v/>
      </c>
      <c r="O141" s="582" t="str">
        <f t="shared" si="1219"/>
        <v/>
      </c>
      <c r="P141" s="583" t="str">
        <f t="shared" si="1220"/>
        <v/>
      </c>
      <c r="Q141" s="536" t="str">
        <f t="shared" si="1060"/>
        <v/>
      </c>
      <c r="R141" s="582" t="str">
        <f t="shared" si="1061"/>
        <v/>
      </c>
      <c r="S141" s="584" t="str">
        <f t="shared" si="1062"/>
        <v/>
      </c>
      <c r="T141" s="585" t="str">
        <f t="shared" si="1063"/>
        <v/>
      </c>
      <c r="U141" s="582" t="str">
        <f t="shared" si="1064"/>
        <v/>
      </c>
      <c r="V141" s="586" t="str">
        <f t="shared" si="1065"/>
        <v/>
      </c>
      <c r="W141" s="536" t="str">
        <f t="shared" si="1066"/>
        <v/>
      </c>
      <c r="X141" s="582" t="str">
        <f t="shared" si="1067"/>
        <v/>
      </c>
      <c r="Y141" s="587" t="str">
        <f t="shared" si="1068"/>
        <v/>
      </c>
      <c r="Z141" s="581" t="str">
        <f t="shared" si="1221"/>
        <v/>
      </c>
      <c r="AA141" s="582" t="str">
        <f t="shared" si="1222"/>
        <v/>
      </c>
      <c r="AB141" s="582" t="str">
        <f t="shared" si="1223"/>
        <v/>
      </c>
      <c r="AC141" s="586" t="str">
        <f t="shared" si="1069"/>
        <v/>
      </c>
      <c r="AD141" s="588" t="str">
        <f t="shared" si="1070"/>
        <v/>
      </c>
      <c r="AE141" s="582" t="str">
        <f t="shared" si="1071"/>
        <v/>
      </c>
      <c r="AF141" s="583" t="str">
        <f t="shared" si="1072"/>
        <v/>
      </c>
      <c r="AG141" s="547" t="str">
        <f t="shared" si="1073"/>
        <v/>
      </c>
      <c r="AH141" s="548" t="str">
        <f t="shared" si="1074"/>
        <v/>
      </c>
      <c r="AI141" s="536" t="str">
        <f t="shared" si="1075"/>
        <v/>
      </c>
      <c r="AJ141" s="537" t="str">
        <f t="shared" si="1076"/>
        <v/>
      </c>
      <c r="AK141" s="585" t="str">
        <f t="shared" si="1077"/>
        <v/>
      </c>
      <c r="AL141" s="582" t="str">
        <f t="shared" si="1078"/>
        <v/>
      </c>
      <c r="AM141" s="584" t="str">
        <f t="shared" si="1079"/>
        <v/>
      </c>
      <c r="AN141" s="534" t="str">
        <f t="shared" si="1080"/>
        <v/>
      </c>
      <c r="AO141" s="535" t="str">
        <f t="shared" si="1039"/>
        <v/>
      </c>
      <c r="AP141" s="536" t="str">
        <f t="shared" si="1081"/>
        <v/>
      </c>
      <c r="AQ141" s="537" t="str">
        <f t="shared" si="1224"/>
        <v/>
      </c>
      <c r="AS141" s="955" t="str">
        <f t="shared" si="1278"/>
        <v/>
      </c>
      <c r="AT141" s="951" t="str">
        <f t="shared" si="1225"/>
        <v/>
      </c>
      <c r="AU141" s="418"/>
      <c r="AV141" s="164" t="str">
        <f t="shared" si="122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2"/>
        <v/>
      </c>
      <c r="BA141" s="505" t="str">
        <f t="shared" si="1083"/>
        <v/>
      </c>
      <c r="BB141" s="506" t="str">
        <f t="shared" si="713"/>
        <v/>
      </c>
      <c r="BC141" s="496"/>
      <c r="BD141" s="494" t="str">
        <f t="shared" si="1084"/>
        <v/>
      </c>
      <c r="BE141" s="497" t="str">
        <f t="shared" si="1227"/>
        <v/>
      </c>
      <c r="BF141" s="498" t="str">
        <f t="shared" si="1228"/>
        <v/>
      </c>
      <c r="BG141" s="494" t="str">
        <f t="shared" si="1229"/>
        <v/>
      </c>
      <c r="BH141" s="495" t="str">
        <f t="shared" si="1230"/>
        <v/>
      </c>
      <c r="BI141" s="496" t="str">
        <f t="shared" si="1085"/>
        <v/>
      </c>
      <c r="BJ141" s="494" t="str">
        <f t="shared" si="1231"/>
        <v/>
      </c>
      <c r="BK141" s="499" t="str">
        <f t="shared" si="1232"/>
        <v/>
      </c>
      <c r="BL141" s="502" t="str">
        <f t="shared" si="1233"/>
        <v/>
      </c>
      <c r="BM141" s="494" t="str">
        <f t="shared" si="1234"/>
        <v/>
      </c>
      <c r="BN141" s="497" t="str">
        <f t="shared" si="1235"/>
        <v/>
      </c>
      <c r="BO141" s="498" t="str">
        <f t="shared" si="1086"/>
        <v/>
      </c>
      <c r="BP141" s="494" t="str">
        <f t="shared" si="1087"/>
        <v/>
      </c>
      <c r="BQ141" s="494" t="str">
        <f t="shared" si="1088"/>
        <v/>
      </c>
      <c r="BR141" s="497" t="str">
        <f t="shared" si="1089"/>
        <v/>
      </c>
      <c r="BS141" s="498" t="str">
        <f t="shared" si="1005"/>
        <v/>
      </c>
      <c r="BT141" s="494" t="str">
        <f t="shared" si="1005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0"/>
        <v/>
      </c>
      <c r="CC141" s="494" t="str">
        <f t="shared" si="1091"/>
        <v/>
      </c>
      <c r="CD141" s="494" t="str">
        <f t="shared" si="1092"/>
        <v/>
      </c>
      <c r="CE141" s="497" t="str">
        <f t="shared" si="1093"/>
        <v/>
      </c>
      <c r="CF141" s="498" t="str">
        <f t="shared" si="1094"/>
        <v/>
      </c>
      <c r="CG141" s="494" t="str">
        <f t="shared" si="1095"/>
        <v/>
      </c>
      <c r="CH141" s="494" t="str">
        <f t="shared" si="1096"/>
        <v/>
      </c>
      <c r="CI141" s="498" t="str">
        <f t="shared" si="723"/>
        <v/>
      </c>
      <c r="CJ141" s="494" t="str">
        <f t="shared" si="1097"/>
        <v/>
      </c>
      <c r="CK141" s="499" t="str">
        <f t="shared" si="1098"/>
        <v/>
      </c>
      <c r="CL141" s="502" t="str">
        <f t="shared" si="1099"/>
        <v/>
      </c>
      <c r="CM141" s="494" t="str">
        <f t="shared" si="1100"/>
        <v/>
      </c>
      <c r="CN141" s="497" t="str">
        <f t="shared" si="1101"/>
        <v/>
      </c>
      <c r="CO141" s="507" t="str">
        <f t="shared" si="1236"/>
        <v/>
      </c>
      <c r="CP141" s="498" t="str">
        <f t="shared" si="1102"/>
        <v/>
      </c>
      <c r="CQ141" s="494" t="str">
        <f t="shared" si="1103"/>
        <v/>
      </c>
      <c r="CR141" s="494" t="str">
        <f t="shared" si="1104"/>
        <v/>
      </c>
      <c r="CS141" s="499" t="str">
        <f t="shared" si="1105"/>
        <v/>
      </c>
      <c r="CT141" s="496" t="str">
        <f t="shared" si="1106"/>
        <v/>
      </c>
      <c r="CU141" s="497" t="str">
        <f t="shared" si="1107"/>
        <v/>
      </c>
      <c r="CV141" s="498" t="str">
        <f t="shared" si="1108"/>
        <v/>
      </c>
      <c r="CW141" s="494" t="str">
        <f t="shared" si="1109"/>
        <v/>
      </c>
      <c r="CX141" s="499" t="str">
        <f t="shared" si="1110"/>
        <v/>
      </c>
      <c r="CY141" s="496" t="str">
        <f t="shared" si="1111"/>
        <v/>
      </c>
      <c r="CZ141" s="494" t="str">
        <f t="shared" si="1112"/>
        <v/>
      </c>
      <c r="DA141" s="497" t="str">
        <f t="shared" si="1113"/>
        <v/>
      </c>
      <c r="DB141" s="498" t="str">
        <f t="shared" si="1011"/>
        <v/>
      </c>
      <c r="DC141" s="494" t="str">
        <f t="shared" si="1011"/>
        <v/>
      </c>
      <c r="DD141" s="495" t="str">
        <f t="shared" si="764"/>
        <v/>
      </c>
      <c r="DE141" s="496" t="str">
        <f t="shared" si="1012"/>
        <v/>
      </c>
      <c r="DF141" s="494" t="str">
        <f t="shared" si="1012"/>
        <v/>
      </c>
      <c r="DG141" s="495" t="str">
        <f t="shared" si="766"/>
        <v/>
      </c>
      <c r="DH141" s="501" t="str">
        <f t="shared" si="1114"/>
        <v/>
      </c>
      <c r="DI141" s="498" t="str">
        <f t="shared" si="1115"/>
        <v/>
      </c>
      <c r="DJ141" s="494" t="str">
        <f t="shared" si="1116"/>
        <v/>
      </c>
      <c r="DK141" s="495" t="str">
        <f t="shared" si="1117"/>
        <v/>
      </c>
      <c r="DL141" s="496" t="str">
        <f t="shared" si="1118"/>
        <v/>
      </c>
      <c r="DM141" s="502" t="str">
        <f t="shared" si="1119"/>
        <v/>
      </c>
      <c r="DN141" s="508" t="str">
        <f t="shared" si="1120"/>
        <v/>
      </c>
      <c r="DO141" s="496" t="str">
        <f t="shared" si="1121"/>
        <v/>
      </c>
      <c r="DP141" s="502" t="str">
        <f t="shared" si="1122"/>
        <v/>
      </c>
      <c r="DQ141" s="503" t="str">
        <f t="shared" si="1123"/>
        <v/>
      </c>
      <c r="DR141" s="502" t="str">
        <f t="shared" si="1124"/>
        <v/>
      </c>
      <c r="DS141" s="494" t="str">
        <f t="shared" si="1125"/>
        <v/>
      </c>
      <c r="DT141" s="494" t="str">
        <f t="shared" si="1126"/>
        <v/>
      </c>
      <c r="DU141" s="494" t="str">
        <f t="shared" si="1127"/>
        <v/>
      </c>
      <c r="DV141" s="494" t="str">
        <f t="shared" si="1128"/>
        <v/>
      </c>
      <c r="DW141" s="494" t="str">
        <f t="shared" si="1129"/>
        <v/>
      </c>
      <c r="DX141" s="507" t="str">
        <f t="shared" si="1130"/>
        <v/>
      </c>
      <c r="DY141" s="496" t="str">
        <f t="shared" si="1131"/>
        <v/>
      </c>
      <c r="DZ141" s="494" t="str">
        <f t="shared" si="1132"/>
        <v/>
      </c>
      <c r="EA141" s="495" t="str">
        <f t="shared" si="1133"/>
        <v/>
      </c>
      <c r="EB141" s="497" t="str">
        <f t="shared" si="1134"/>
        <v/>
      </c>
      <c r="EC141" s="502" t="str">
        <f t="shared" si="1135"/>
        <v/>
      </c>
      <c r="ED141" s="494" t="str">
        <f t="shared" si="1136"/>
        <v/>
      </c>
      <c r="EE141" s="498" t="str">
        <f t="shared" si="1137"/>
        <v/>
      </c>
      <c r="EF141" s="494" t="str">
        <f t="shared" si="1138"/>
        <v/>
      </c>
      <c r="EG141" s="495" t="str">
        <f t="shared" si="1139"/>
        <v/>
      </c>
      <c r="EH141" s="496" t="str">
        <f t="shared" si="1140"/>
        <v/>
      </c>
      <c r="EI141" s="494" t="str">
        <f t="shared" si="1141"/>
        <v/>
      </c>
      <c r="EJ141" s="497" t="str">
        <f t="shared" si="1142"/>
        <v/>
      </c>
      <c r="EK141" s="509" t="str">
        <f t="shared" si="796"/>
        <v/>
      </c>
      <c r="EL141" s="510" t="str">
        <f t="shared" si="797"/>
        <v/>
      </c>
      <c r="EM141" s="498" t="str">
        <f t="shared" si="1143"/>
        <v/>
      </c>
      <c r="EN141" s="494" t="str">
        <f t="shared" si="1144"/>
        <v/>
      </c>
      <c r="EO141" s="495" t="str">
        <f t="shared" si="1145"/>
        <v/>
      </c>
      <c r="EP141" s="496" t="str">
        <f t="shared" si="1146"/>
        <v/>
      </c>
      <c r="EQ141" s="494" t="str">
        <f t="shared" si="1147"/>
        <v/>
      </c>
      <c r="ER141" s="500" t="str">
        <f t="shared" si="1148"/>
        <v/>
      </c>
      <c r="ES141" s="493" t="str">
        <f t="shared" si="1237"/>
        <v/>
      </c>
      <c r="ET141" s="494" t="str">
        <f t="shared" si="1238"/>
        <v/>
      </c>
      <c r="EU141" s="495" t="str">
        <f t="shared" si="1239"/>
        <v/>
      </c>
      <c r="EV141" s="174" t="str">
        <f t="shared" si="1149"/>
        <v/>
      </c>
      <c r="EW141" s="496" t="str">
        <f t="shared" si="1150"/>
        <v/>
      </c>
      <c r="EX141" s="494" t="str">
        <f t="shared" si="1151"/>
        <v/>
      </c>
      <c r="EY141" s="497" t="str">
        <f t="shared" si="1152"/>
        <v/>
      </c>
      <c r="EZ141" s="504" t="str">
        <f t="shared" si="805"/>
        <v/>
      </c>
      <c r="FA141" s="502" t="str">
        <f t="shared" si="928"/>
        <v/>
      </c>
      <c r="FB141" s="494" t="str">
        <f t="shared" si="929"/>
        <v/>
      </c>
      <c r="FC141" s="497" t="str">
        <f t="shared" si="930"/>
        <v/>
      </c>
      <c r="FD141" s="498" t="str">
        <f t="shared" si="1153"/>
        <v/>
      </c>
      <c r="FE141" s="494" t="str">
        <f t="shared" si="1154"/>
        <v/>
      </c>
      <c r="FF141" s="500" t="str">
        <f t="shared" si="1155"/>
        <v/>
      </c>
      <c r="FG141" s="173" t="str">
        <f t="shared" si="1156"/>
        <v/>
      </c>
      <c r="FH141" s="5" t="str">
        <f t="shared" si="1157"/>
        <v/>
      </c>
      <c r="FI141" s="10" t="str">
        <f t="shared" si="1158"/>
        <v/>
      </c>
      <c r="FJ141" s="279" t="str">
        <f t="shared" si="1159"/>
        <v/>
      </c>
      <c r="FK141" s="4" t="str">
        <f t="shared" si="1160"/>
        <v/>
      </c>
      <c r="FL141" s="5" t="str">
        <f t="shared" si="1161"/>
        <v/>
      </c>
      <c r="FM141" s="8" t="str">
        <f t="shared" si="1162"/>
        <v/>
      </c>
      <c r="FN141" s="9" t="str">
        <f t="shared" si="1163"/>
        <v/>
      </c>
      <c r="FO141" s="10" t="str">
        <f t="shared" si="1164"/>
        <v/>
      </c>
      <c r="FP141" s="277" t="str">
        <f t="shared" si="1165"/>
        <v/>
      </c>
      <c r="FQ141" s="173" t="str">
        <f t="shared" si="1166"/>
        <v/>
      </c>
      <c r="FR141" s="10" t="str">
        <f t="shared" si="1167"/>
        <v/>
      </c>
      <c r="FS141" s="9" t="str">
        <f t="shared" si="1168"/>
        <v/>
      </c>
      <c r="FT141" s="6" t="str">
        <f t="shared" si="1169"/>
        <v/>
      </c>
      <c r="FU141" s="4" t="str">
        <f t="shared" si="1170"/>
        <v/>
      </c>
      <c r="FV141" s="5" t="str">
        <f t="shared" si="1171"/>
        <v/>
      </c>
      <c r="FW141" s="8" t="str">
        <f t="shared" si="1172"/>
        <v/>
      </c>
      <c r="FX141" s="9" t="str">
        <f t="shared" si="1173"/>
        <v/>
      </c>
      <c r="FY141" s="10" t="str">
        <f t="shared" si="1174"/>
        <v/>
      </c>
      <c r="FZ141" s="277" t="str">
        <f t="shared" si="1175"/>
        <v/>
      </c>
      <c r="GA141" s="177" t="str">
        <f t="shared" si="1176"/>
        <v/>
      </c>
      <c r="GB141" s="4" t="str">
        <f t="shared" si="1177"/>
        <v/>
      </c>
      <c r="GC141" s="5" t="str">
        <f t="shared" si="1178"/>
        <v/>
      </c>
      <c r="GD141" s="10" t="str">
        <f t="shared" si="1179"/>
        <v/>
      </c>
      <c r="GE141" s="311" t="str">
        <f t="shared" si="1180"/>
        <v/>
      </c>
      <c r="GF141" s="341" t="str">
        <f t="shared" si="1181"/>
        <v/>
      </c>
      <c r="GG141" s="306" t="str">
        <f t="shared" si="1182"/>
        <v/>
      </c>
      <c r="GH141" s="307" t="str">
        <f t="shared" si="1183"/>
        <v/>
      </c>
      <c r="GI141" s="308" t="str">
        <f t="shared" si="1184"/>
        <v/>
      </c>
      <c r="GJ141" s="167" t="str">
        <f t="shared" si="1185"/>
        <v/>
      </c>
      <c r="GK141" s="174" t="str">
        <f t="shared" si="942"/>
        <v/>
      </c>
      <c r="GL141" s="174" t="str">
        <f t="shared" si="1186"/>
        <v/>
      </c>
      <c r="GM141" s="177" t="str">
        <f t="shared" si="1187"/>
        <v/>
      </c>
      <c r="GN141" s="280" t="str">
        <f t="shared" si="1188"/>
        <v/>
      </c>
      <c r="GO141" s="4" t="str">
        <f t="shared" si="1189"/>
        <v/>
      </c>
      <c r="GP141" s="8" t="str">
        <f t="shared" si="1190"/>
        <v/>
      </c>
      <c r="GQ141" s="177" t="str">
        <f t="shared" si="1191"/>
        <v/>
      </c>
      <c r="GR141" s="371" t="str">
        <f t="shared" si="1192"/>
        <v/>
      </c>
      <c r="GS141" s="342" t="str">
        <f t="shared" si="1193"/>
        <v/>
      </c>
      <c r="GT141" s="343" t="str">
        <f t="shared" si="1194"/>
        <v/>
      </c>
      <c r="GU141" s="344" t="str">
        <f t="shared" si="945"/>
        <v/>
      </c>
      <c r="GV141" s="343" t="str">
        <f t="shared" si="1195"/>
        <v/>
      </c>
      <c r="GW141" s="345" t="str">
        <f t="shared" si="946"/>
        <v/>
      </c>
      <c r="GX141" s="346" t="str">
        <f t="shared" si="947"/>
        <v/>
      </c>
      <c r="GY141" s="344" t="str">
        <f t="shared" si="1196"/>
        <v/>
      </c>
      <c r="GZ141" s="345" t="str">
        <f t="shared" si="1197"/>
        <v/>
      </c>
      <c r="HA141" s="342" t="str">
        <f t="shared" si="950"/>
        <v/>
      </c>
      <c r="HB141" s="5" t="str">
        <f t="shared" si="832"/>
        <v/>
      </c>
      <c r="HC141" s="343" t="str">
        <f t="shared" si="1198"/>
        <v/>
      </c>
      <c r="HD141" s="363" t="str">
        <f t="shared" si="1199"/>
        <v/>
      </c>
      <c r="HE141" s="344" t="str">
        <f t="shared" si="951"/>
        <v/>
      </c>
      <c r="HF141" s="5" t="str">
        <f t="shared" si="952"/>
        <v/>
      </c>
      <c r="HG141" s="343" t="str">
        <f t="shared" si="1200"/>
        <v/>
      </c>
      <c r="HH141" s="349" t="str">
        <f t="shared" si="1201"/>
        <v/>
      </c>
      <c r="HI141" s="317" t="str">
        <f t="shared" si="1240"/>
        <v/>
      </c>
      <c r="HK141" s="310" t="str">
        <f t="shared" si="1275"/>
        <v/>
      </c>
      <c r="HL141" s="348" t="str">
        <f t="shared" si="1241"/>
        <v/>
      </c>
      <c r="HM141" s="923" t="str">
        <f t="shared" si="1242"/>
        <v/>
      </c>
      <c r="HN141" s="924" t="str">
        <f t="shared" si="1243"/>
        <v/>
      </c>
      <c r="HO141" s="925"/>
      <c r="HP141" s="926"/>
      <c r="HQ141" s="924" t="str">
        <f t="shared" si="1244"/>
        <v/>
      </c>
      <c r="HR141" s="927" t="str">
        <f t="shared" si="1245"/>
        <v/>
      </c>
      <c r="HS141" s="879" t="str">
        <f t="shared" si="1202"/>
        <v/>
      </c>
      <c r="HT141" s="889" t="str">
        <f t="shared" si="1246"/>
        <v/>
      </c>
      <c r="HU141" s="890" t="str">
        <f t="shared" si="1247"/>
        <v/>
      </c>
      <c r="HV141" s="886" t="str">
        <f t="shared" si="1248"/>
        <v/>
      </c>
      <c r="HW141" s="880" t="str">
        <f t="shared" si="1249"/>
        <v/>
      </c>
      <c r="HX141" s="881" t="str">
        <f t="shared" si="1250"/>
        <v/>
      </c>
      <c r="HY141" s="880" t="str">
        <f t="shared" si="1251"/>
        <v/>
      </c>
      <c r="HZ141" s="882" t="str">
        <f t="shared" si="1252"/>
        <v/>
      </c>
      <c r="IA141" s="883" t="str">
        <f t="shared" si="1253"/>
        <v/>
      </c>
      <c r="IB141" s="884" t="str">
        <f t="shared" si="1254"/>
        <v/>
      </c>
      <c r="IC141" s="855" t="str">
        <f t="shared" si="1255"/>
        <v/>
      </c>
      <c r="ID141" s="351" t="str">
        <f t="shared" si="1256"/>
        <v/>
      </c>
      <c r="IE141" s="857" t="str">
        <f t="shared" si="125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79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58"/>
        <v/>
      </c>
      <c r="IM141" s="482" t="str">
        <f t="shared" si="1280"/>
        <v/>
      </c>
      <c r="IN141" s="670" t="str">
        <f t="shared" si="1259"/>
        <v/>
      </c>
      <c r="IO141" s="702"/>
      <c r="IP141" s="5" t="str">
        <f t="shared" si="1260"/>
        <v/>
      </c>
      <c r="IQ141" s="714"/>
      <c r="IR141" s="9" t="str">
        <f t="shared" si="1261"/>
        <v/>
      </c>
      <c r="IS141" s="5" t="str">
        <f t="shared" si="1262"/>
        <v/>
      </c>
      <c r="IT141" s="5" t="str">
        <f t="shared" si="1263"/>
        <v/>
      </c>
      <c r="IU141" s="5" t="str">
        <f t="shared" si="1264"/>
        <v/>
      </c>
      <c r="IV141" s="670" t="str">
        <f t="shared" si="1265"/>
        <v/>
      </c>
      <c r="IW141" s="9" t="str">
        <f t="shared" si="1266"/>
        <v/>
      </c>
      <c r="IX141" s="5" t="str">
        <f t="shared" si="1267"/>
        <v/>
      </c>
      <c r="IY141" s="5" t="str">
        <f t="shared" si="1268"/>
        <v/>
      </c>
      <c r="IZ141" s="5" t="str">
        <f t="shared" si="1269"/>
        <v/>
      </c>
      <c r="JA141" s="705" t="str">
        <f t="shared" si="1270"/>
        <v/>
      </c>
    </row>
    <row r="142" spans="1:261" ht="15" customHeight="1" x14ac:dyDescent="0.25">
      <c r="A142" s="75" t="str">
        <f t="shared" si="1271"/>
        <v/>
      </c>
      <c r="B142" s="585" t="str">
        <f t="shared" ref="B142:D142" si="1285">IFERROR(O297-($A142*E142),"")</f>
        <v/>
      </c>
      <c r="C142" s="582" t="str">
        <f t="shared" si="1285"/>
        <v/>
      </c>
      <c r="D142" s="583" t="str">
        <f t="shared" si="1285"/>
        <v/>
      </c>
      <c r="E142" s="588" t="str">
        <f t="shared" ref="E142:K142" si="1286">R297</f>
        <v/>
      </c>
      <c r="F142" s="582" t="str">
        <f t="shared" si="1286"/>
        <v/>
      </c>
      <c r="G142" s="586" t="str">
        <f t="shared" si="1286"/>
        <v/>
      </c>
      <c r="H142" s="588" t="str">
        <f t="shared" si="1286"/>
        <v/>
      </c>
      <c r="I142" s="582" t="str">
        <f t="shared" si="1286"/>
        <v/>
      </c>
      <c r="J142" s="491" t="str">
        <f t="shared" si="1274"/>
        <v/>
      </c>
      <c r="K142" s="807" t="str">
        <f t="shared" si="1286"/>
        <v/>
      </c>
      <c r="L142" s="309"/>
      <c r="M142" s="492" t="str">
        <f t="shared" si="1217"/>
        <v/>
      </c>
      <c r="N142" s="581" t="str">
        <f t="shared" si="1218"/>
        <v/>
      </c>
      <c r="O142" s="582" t="str">
        <f t="shared" si="1219"/>
        <v/>
      </c>
      <c r="P142" s="583" t="str">
        <f t="shared" si="1220"/>
        <v/>
      </c>
      <c r="Q142" s="536" t="str">
        <f t="shared" si="1060"/>
        <v/>
      </c>
      <c r="R142" s="582" t="str">
        <f t="shared" si="1061"/>
        <v/>
      </c>
      <c r="S142" s="584" t="str">
        <f t="shared" si="1062"/>
        <v/>
      </c>
      <c r="T142" s="585" t="str">
        <f t="shared" si="1063"/>
        <v/>
      </c>
      <c r="U142" s="582" t="str">
        <f t="shared" si="1064"/>
        <v/>
      </c>
      <c r="V142" s="586" t="str">
        <f t="shared" si="1065"/>
        <v/>
      </c>
      <c r="W142" s="536" t="str">
        <f t="shared" si="1066"/>
        <v/>
      </c>
      <c r="X142" s="582" t="str">
        <f t="shared" si="1067"/>
        <v/>
      </c>
      <c r="Y142" s="587" t="str">
        <f t="shared" si="1068"/>
        <v/>
      </c>
      <c r="Z142" s="581" t="str">
        <f t="shared" si="1221"/>
        <v/>
      </c>
      <c r="AA142" s="582" t="str">
        <f t="shared" si="1222"/>
        <v/>
      </c>
      <c r="AB142" s="582" t="str">
        <f t="shared" si="1223"/>
        <v/>
      </c>
      <c r="AC142" s="586" t="str">
        <f t="shared" si="1069"/>
        <v/>
      </c>
      <c r="AD142" s="588" t="str">
        <f t="shared" si="1070"/>
        <v/>
      </c>
      <c r="AE142" s="582" t="str">
        <f t="shared" si="1071"/>
        <v/>
      </c>
      <c r="AF142" s="583" t="str">
        <f t="shared" si="1072"/>
        <v/>
      </c>
      <c r="AG142" s="547" t="str">
        <f t="shared" si="1073"/>
        <v/>
      </c>
      <c r="AH142" s="548" t="str">
        <f t="shared" si="1074"/>
        <v/>
      </c>
      <c r="AI142" s="536" t="str">
        <f t="shared" si="1075"/>
        <v/>
      </c>
      <c r="AJ142" s="537" t="str">
        <f t="shared" si="1076"/>
        <v/>
      </c>
      <c r="AK142" s="585" t="str">
        <f t="shared" si="1077"/>
        <v/>
      </c>
      <c r="AL142" s="582" t="str">
        <f t="shared" si="1078"/>
        <v/>
      </c>
      <c r="AM142" s="584" t="str">
        <f t="shared" si="1079"/>
        <v/>
      </c>
      <c r="AN142" s="534" t="str">
        <f t="shared" si="1080"/>
        <v/>
      </c>
      <c r="AO142" s="535" t="str">
        <f t="shared" si="1039"/>
        <v/>
      </c>
      <c r="AP142" s="536" t="str">
        <f t="shared" si="1081"/>
        <v/>
      </c>
      <c r="AQ142" s="537" t="str">
        <f t="shared" si="1224"/>
        <v/>
      </c>
      <c r="AS142" s="955" t="str">
        <f t="shared" si="1278"/>
        <v/>
      </c>
      <c r="AT142" s="951" t="str">
        <f t="shared" si="1225"/>
        <v/>
      </c>
      <c r="AU142" s="418"/>
      <c r="AV142" s="164" t="str">
        <f t="shared" si="122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2"/>
        <v/>
      </c>
      <c r="BA142" s="505" t="str">
        <f t="shared" si="1083"/>
        <v/>
      </c>
      <c r="BB142" s="506" t="str">
        <f t="shared" si="713"/>
        <v/>
      </c>
      <c r="BC142" s="496"/>
      <c r="BD142" s="494" t="str">
        <f t="shared" si="1084"/>
        <v/>
      </c>
      <c r="BE142" s="497" t="str">
        <f t="shared" si="1227"/>
        <v/>
      </c>
      <c r="BF142" s="498" t="str">
        <f t="shared" si="1228"/>
        <v/>
      </c>
      <c r="BG142" s="494" t="str">
        <f t="shared" si="1229"/>
        <v/>
      </c>
      <c r="BH142" s="495" t="str">
        <f t="shared" si="1230"/>
        <v/>
      </c>
      <c r="BI142" s="496" t="str">
        <f t="shared" si="1085"/>
        <v/>
      </c>
      <c r="BJ142" s="494" t="str">
        <f t="shared" si="1231"/>
        <v/>
      </c>
      <c r="BK142" s="499" t="str">
        <f t="shared" si="1232"/>
        <v/>
      </c>
      <c r="BL142" s="502" t="str">
        <f t="shared" si="1233"/>
        <v/>
      </c>
      <c r="BM142" s="494" t="str">
        <f t="shared" si="1234"/>
        <v/>
      </c>
      <c r="BN142" s="497" t="str">
        <f t="shared" si="1235"/>
        <v/>
      </c>
      <c r="BO142" s="498" t="str">
        <f t="shared" si="1086"/>
        <v/>
      </c>
      <c r="BP142" s="494" t="str">
        <f t="shared" si="1087"/>
        <v/>
      </c>
      <c r="BQ142" s="494" t="str">
        <f t="shared" si="1088"/>
        <v/>
      </c>
      <c r="BR142" s="497" t="str">
        <f t="shared" si="1089"/>
        <v/>
      </c>
      <c r="BS142" s="498" t="str">
        <f t="shared" si="1005"/>
        <v/>
      </c>
      <c r="BT142" s="494" t="str">
        <f t="shared" si="1005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0"/>
        <v/>
      </c>
      <c r="CC142" s="494" t="str">
        <f t="shared" si="1091"/>
        <v/>
      </c>
      <c r="CD142" s="494" t="str">
        <f t="shared" si="1092"/>
        <v/>
      </c>
      <c r="CE142" s="497" t="str">
        <f t="shared" si="1093"/>
        <v/>
      </c>
      <c r="CF142" s="498" t="str">
        <f t="shared" si="1094"/>
        <v/>
      </c>
      <c r="CG142" s="494" t="str">
        <f t="shared" si="1095"/>
        <v/>
      </c>
      <c r="CH142" s="494" t="str">
        <f t="shared" si="1096"/>
        <v/>
      </c>
      <c r="CI142" s="498" t="str">
        <f t="shared" si="723"/>
        <v/>
      </c>
      <c r="CJ142" s="494" t="str">
        <f t="shared" si="1097"/>
        <v/>
      </c>
      <c r="CK142" s="499" t="str">
        <f t="shared" si="1098"/>
        <v/>
      </c>
      <c r="CL142" s="502" t="str">
        <f t="shared" si="1099"/>
        <v/>
      </c>
      <c r="CM142" s="494" t="str">
        <f t="shared" si="1100"/>
        <v/>
      </c>
      <c r="CN142" s="497" t="str">
        <f t="shared" si="1101"/>
        <v/>
      </c>
      <c r="CO142" s="507" t="str">
        <f t="shared" si="1236"/>
        <v/>
      </c>
      <c r="CP142" s="498" t="str">
        <f t="shared" si="1102"/>
        <v/>
      </c>
      <c r="CQ142" s="494" t="str">
        <f t="shared" si="1103"/>
        <v/>
      </c>
      <c r="CR142" s="494" t="str">
        <f t="shared" si="1104"/>
        <v/>
      </c>
      <c r="CS142" s="499" t="str">
        <f t="shared" si="1105"/>
        <v/>
      </c>
      <c r="CT142" s="496" t="str">
        <f t="shared" si="1106"/>
        <v/>
      </c>
      <c r="CU142" s="497" t="str">
        <f t="shared" si="1107"/>
        <v/>
      </c>
      <c r="CV142" s="498" t="str">
        <f t="shared" si="1108"/>
        <v/>
      </c>
      <c r="CW142" s="494" t="str">
        <f t="shared" si="1109"/>
        <v/>
      </c>
      <c r="CX142" s="499" t="str">
        <f t="shared" si="1110"/>
        <v/>
      </c>
      <c r="CY142" s="496" t="str">
        <f t="shared" si="1111"/>
        <v/>
      </c>
      <c r="CZ142" s="494" t="str">
        <f t="shared" si="1112"/>
        <v/>
      </c>
      <c r="DA142" s="497" t="str">
        <f t="shared" si="1113"/>
        <v/>
      </c>
      <c r="DB142" s="498" t="str">
        <f t="shared" si="1011"/>
        <v/>
      </c>
      <c r="DC142" s="494" t="str">
        <f t="shared" si="1011"/>
        <v/>
      </c>
      <c r="DD142" s="495" t="str">
        <f t="shared" si="764"/>
        <v/>
      </c>
      <c r="DE142" s="496" t="str">
        <f t="shared" si="1012"/>
        <v/>
      </c>
      <c r="DF142" s="494" t="str">
        <f t="shared" si="1012"/>
        <v/>
      </c>
      <c r="DG142" s="495" t="str">
        <f t="shared" si="766"/>
        <v/>
      </c>
      <c r="DH142" s="501" t="str">
        <f t="shared" si="1114"/>
        <v/>
      </c>
      <c r="DI142" s="498" t="str">
        <f t="shared" si="1115"/>
        <v/>
      </c>
      <c r="DJ142" s="494" t="str">
        <f t="shared" si="1116"/>
        <v/>
      </c>
      <c r="DK142" s="495" t="str">
        <f t="shared" si="1117"/>
        <v/>
      </c>
      <c r="DL142" s="496" t="str">
        <f t="shared" si="1118"/>
        <v/>
      </c>
      <c r="DM142" s="502" t="str">
        <f t="shared" si="1119"/>
        <v/>
      </c>
      <c r="DN142" s="508" t="str">
        <f t="shared" si="1120"/>
        <v/>
      </c>
      <c r="DO142" s="496" t="str">
        <f t="shared" si="1121"/>
        <v/>
      </c>
      <c r="DP142" s="502" t="str">
        <f t="shared" si="1122"/>
        <v/>
      </c>
      <c r="DQ142" s="503" t="str">
        <f t="shared" si="1123"/>
        <v/>
      </c>
      <c r="DR142" s="502" t="str">
        <f t="shared" si="1124"/>
        <v/>
      </c>
      <c r="DS142" s="494" t="str">
        <f t="shared" si="1125"/>
        <v/>
      </c>
      <c r="DT142" s="494" t="str">
        <f t="shared" si="1126"/>
        <v/>
      </c>
      <c r="DU142" s="494" t="str">
        <f t="shared" si="1127"/>
        <v/>
      </c>
      <c r="DV142" s="494" t="str">
        <f t="shared" si="1128"/>
        <v/>
      </c>
      <c r="DW142" s="494" t="str">
        <f t="shared" si="1129"/>
        <v/>
      </c>
      <c r="DX142" s="507" t="str">
        <f t="shared" si="1130"/>
        <v/>
      </c>
      <c r="DY142" s="496" t="str">
        <f t="shared" si="1131"/>
        <v/>
      </c>
      <c r="DZ142" s="494" t="str">
        <f t="shared" si="1132"/>
        <v/>
      </c>
      <c r="EA142" s="495" t="str">
        <f t="shared" si="1133"/>
        <v/>
      </c>
      <c r="EB142" s="497" t="str">
        <f t="shared" si="1134"/>
        <v/>
      </c>
      <c r="EC142" s="502" t="str">
        <f t="shared" si="1135"/>
        <v/>
      </c>
      <c r="ED142" s="494" t="str">
        <f t="shared" si="1136"/>
        <v/>
      </c>
      <c r="EE142" s="498" t="str">
        <f t="shared" si="1137"/>
        <v/>
      </c>
      <c r="EF142" s="494" t="str">
        <f t="shared" si="1138"/>
        <v/>
      </c>
      <c r="EG142" s="495" t="str">
        <f t="shared" si="1139"/>
        <v/>
      </c>
      <c r="EH142" s="496" t="str">
        <f t="shared" si="1140"/>
        <v/>
      </c>
      <c r="EI142" s="494" t="str">
        <f t="shared" si="1141"/>
        <v/>
      </c>
      <c r="EJ142" s="497" t="str">
        <f t="shared" si="1142"/>
        <v/>
      </c>
      <c r="EK142" s="509" t="str">
        <f t="shared" si="796"/>
        <v/>
      </c>
      <c r="EL142" s="510" t="str">
        <f t="shared" si="797"/>
        <v/>
      </c>
      <c r="EM142" s="498" t="str">
        <f t="shared" si="1143"/>
        <v/>
      </c>
      <c r="EN142" s="494" t="str">
        <f t="shared" si="1144"/>
        <v/>
      </c>
      <c r="EO142" s="495" t="str">
        <f t="shared" si="1145"/>
        <v/>
      </c>
      <c r="EP142" s="496" t="str">
        <f t="shared" si="1146"/>
        <v/>
      </c>
      <c r="EQ142" s="494" t="str">
        <f t="shared" si="1147"/>
        <v/>
      </c>
      <c r="ER142" s="500" t="str">
        <f t="shared" si="1148"/>
        <v/>
      </c>
      <c r="ES142" s="493" t="str">
        <f t="shared" si="1237"/>
        <v/>
      </c>
      <c r="ET142" s="494" t="str">
        <f t="shared" si="1238"/>
        <v/>
      </c>
      <c r="EU142" s="495" t="str">
        <f t="shared" si="1239"/>
        <v/>
      </c>
      <c r="EV142" s="174" t="str">
        <f t="shared" si="1149"/>
        <v/>
      </c>
      <c r="EW142" s="496" t="str">
        <f t="shared" si="1150"/>
        <v/>
      </c>
      <c r="EX142" s="494" t="str">
        <f t="shared" si="1151"/>
        <v/>
      </c>
      <c r="EY142" s="497" t="str">
        <f t="shared" si="1152"/>
        <v/>
      </c>
      <c r="EZ142" s="504" t="str">
        <f t="shared" si="805"/>
        <v/>
      </c>
      <c r="FA142" s="502" t="str">
        <f t="shared" si="928"/>
        <v/>
      </c>
      <c r="FB142" s="494" t="str">
        <f t="shared" si="929"/>
        <v/>
      </c>
      <c r="FC142" s="497" t="str">
        <f t="shared" si="930"/>
        <v/>
      </c>
      <c r="FD142" s="498" t="str">
        <f t="shared" si="1153"/>
        <v/>
      </c>
      <c r="FE142" s="494" t="str">
        <f t="shared" si="1154"/>
        <v/>
      </c>
      <c r="FF142" s="500" t="str">
        <f t="shared" si="1155"/>
        <v/>
      </c>
      <c r="FG142" s="173" t="str">
        <f t="shared" si="1156"/>
        <v/>
      </c>
      <c r="FH142" s="5" t="str">
        <f t="shared" si="1157"/>
        <v/>
      </c>
      <c r="FI142" s="10" t="str">
        <f t="shared" si="1158"/>
        <v/>
      </c>
      <c r="FJ142" s="279" t="str">
        <f t="shared" si="1159"/>
        <v/>
      </c>
      <c r="FK142" s="4" t="str">
        <f t="shared" si="1160"/>
        <v/>
      </c>
      <c r="FL142" s="5" t="str">
        <f t="shared" si="1161"/>
        <v/>
      </c>
      <c r="FM142" s="8" t="str">
        <f t="shared" si="1162"/>
        <v/>
      </c>
      <c r="FN142" s="9" t="str">
        <f t="shared" si="1163"/>
        <v/>
      </c>
      <c r="FO142" s="10" t="str">
        <f t="shared" si="1164"/>
        <v/>
      </c>
      <c r="FP142" s="277" t="str">
        <f t="shared" si="1165"/>
        <v/>
      </c>
      <c r="FQ142" s="173" t="str">
        <f t="shared" si="1166"/>
        <v/>
      </c>
      <c r="FR142" s="10" t="str">
        <f t="shared" si="1167"/>
        <v/>
      </c>
      <c r="FS142" s="9" t="str">
        <f t="shared" si="1168"/>
        <v/>
      </c>
      <c r="FT142" s="6" t="str">
        <f t="shared" si="1169"/>
        <v/>
      </c>
      <c r="FU142" s="4" t="str">
        <f t="shared" si="1170"/>
        <v/>
      </c>
      <c r="FV142" s="5" t="str">
        <f t="shared" si="1171"/>
        <v/>
      </c>
      <c r="FW142" s="8" t="str">
        <f t="shared" si="1172"/>
        <v/>
      </c>
      <c r="FX142" s="9" t="str">
        <f t="shared" si="1173"/>
        <v/>
      </c>
      <c r="FY142" s="10" t="str">
        <f t="shared" si="1174"/>
        <v/>
      </c>
      <c r="FZ142" s="277" t="str">
        <f t="shared" si="1175"/>
        <v/>
      </c>
      <c r="GA142" s="177" t="str">
        <f t="shared" si="1176"/>
        <v/>
      </c>
      <c r="GB142" s="4" t="str">
        <f t="shared" si="1177"/>
        <v/>
      </c>
      <c r="GC142" s="5" t="str">
        <f t="shared" si="1178"/>
        <v/>
      </c>
      <c r="GD142" s="10" t="str">
        <f t="shared" si="1179"/>
        <v/>
      </c>
      <c r="GE142" s="311" t="str">
        <f t="shared" si="1180"/>
        <v/>
      </c>
      <c r="GF142" s="341" t="str">
        <f t="shared" si="1181"/>
        <v/>
      </c>
      <c r="GG142" s="306" t="str">
        <f t="shared" si="1182"/>
        <v/>
      </c>
      <c r="GH142" s="307" t="str">
        <f t="shared" si="1183"/>
        <v/>
      </c>
      <c r="GI142" s="308" t="str">
        <f t="shared" si="1184"/>
        <v/>
      </c>
      <c r="GJ142" s="167" t="str">
        <f t="shared" si="1185"/>
        <v/>
      </c>
      <c r="GK142" s="174" t="str">
        <f t="shared" si="942"/>
        <v/>
      </c>
      <c r="GL142" s="174" t="str">
        <f t="shared" si="1186"/>
        <v/>
      </c>
      <c r="GM142" s="177" t="str">
        <f t="shared" si="1187"/>
        <v/>
      </c>
      <c r="GN142" s="280" t="str">
        <f t="shared" si="1188"/>
        <v/>
      </c>
      <c r="GO142" s="4" t="str">
        <f t="shared" si="1189"/>
        <v/>
      </c>
      <c r="GP142" s="8" t="str">
        <f t="shared" si="1190"/>
        <v/>
      </c>
      <c r="GQ142" s="177" t="str">
        <f t="shared" si="1191"/>
        <v/>
      </c>
      <c r="GR142" s="371" t="str">
        <f t="shared" si="1192"/>
        <v/>
      </c>
      <c r="GS142" s="342" t="str">
        <f t="shared" si="1193"/>
        <v/>
      </c>
      <c r="GT142" s="343" t="str">
        <f t="shared" si="1194"/>
        <v/>
      </c>
      <c r="GU142" s="344" t="str">
        <f t="shared" si="945"/>
        <v/>
      </c>
      <c r="GV142" s="343" t="str">
        <f t="shared" si="1195"/>
        <v/>
      </c>
      <c r="GW142" s="345" t="str">
        <f t="shared" si="946"/>
        <v/>
      </c>
      <c r="GX142" s="346" t="str">
        <f t="shared" si="947"/>
        <v/>
      </c>
      <c r="GY142" s="344" t="str">
        <f t="shared" si="1196"/>
        <v/>
      </c>
      <c r="GZ142" s="345" t="str">
        <f t="shared" si="1197"/>
        <v/>
      </c>
      <c r="HA142" s="342" t="str">
        <f t="shared" si="950"/>
        <v/>
      </c>
      <c r="HB142" s="5" t="str">
        <f t="shared" si="832"/>
        <v/>
      </c>
      <c r="HC142" s="343" t="str">
        <f t="shared" si="1198"/>
        <v/>
      </c>
      <c r="HD142" s="363" t="str">
        <f t="shared" si="1199"/>
        <v/>
      </c>
      <c r="HE142" s="344" t="str">
        <f t="shared" si="951"/>
        <v/>
      </c>
      <c r="HF142" s="5" t="str">
        <f t="shared" si="952"/>
        <v/>
      </c>
      <c r="HG142" s="343" t="str">
        <f t="shared" si="1200"/>
        <v/>
      </c>
      <c r="HH142" s="349" t="str">
        <f t="shared" si="1201"/>
        <v/>
      </c>
      <c r="HI142" s="317" t="str">
        <f t="shared" si="1240"/>
        <v/>
      </c>
      <c r="HK142" s="310" t="str">
        <f t="shared" si="1275"/>
        <v/>
      </c>
      <c r="HL142" s="348" t="str">
        <f t="shared" si="1241"/>
        <v/>
      </c>
      <c r="HM142" s="923" t="str">
        <f t="shared" si="1242"/>
        <v/>
      </c>
      <c r="HN142" s="924" t="str">
        <f t="shared" si="1243"/>
        <v/>
      </c>
      <c r="HO142" s="925"/>
      <c r="HP142" s="926"/>
      <c r="HQ142" s="924" t="str">
        <f t="shared" si="1244"/>
        <v/>
      </c>
      <c r="HR142" s="927" t="str">
        <f t="shared" si="1245"/>
        <v/>
      </c>
      <c r="HS142" s="879" t="str">
        <f t="shared" si="1202"/>
        <v/>
      </c>
      <c r="HT142" s="889" t="str">
        <f t="shared" si="1246"/>
        <v/>
      </c>
      <c r="HU142" s="890" t="str">
        <f t="shared" si="1247"/>
        <v/>
      </c>
      <c r="HV142" s="886" t="str">
        <f t="shared" si="1248"/>
        <v/>
      </c>
      <c r="HW142" s="880" t="str">
        <f t="shared" si="1249"/>
        <v/>
      </c>
      <c r="HX142" s="881" t="str">
        <f t="shared" si="1250"/>
        <v/>
      </c>
      <c r="HY142" s="880" t="str">
        <f t="shared" si="1251"/>
        <v/>
      </c>
      <c r="HZ142" s="882" t="str">
        <f t="shared" si="1252"/>
        <v/>
      </c>
      <c r="IA142" s="883" t="str">
        <f t="shared" si="1253"/>
        <v/>
      </c>
      <c r="IB142" s="884" t="str">
        <f t="shared" si="1254"/>
        <v/>
      </c>
      <c r="IC142" s="855" t="str">
        <f t="shared" si="1255"/>
        <v/>
      </c>
      <c r="ID142" s="351" t="str">
        <f t="shared" si="1256"/>
        <v/>
      </c>
      <c r="IE142" s="857" t="str">
        <f t="shared" si="125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79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58"/>
        <v/>
      </c>
      <c r="IM142" s="482" t="str">
        <f t="shared" si="1280"/>
        <v/>
      </c>
      <c r="IN142" s="670" t="str">
        <f t="shared" si="1259"/>
        <v/>
      </c>
      <c r="IO142" s="702"/>
      <c r="IP142" s="5" t="str">
        <f t="shared" si="1260"/>
        <v/>
      </c>
      <c r="IQ142" s="714"/>
      <c r="IR142" s="9" t="str">
        <f t="shared" si="1261"/>
        <v/>
      </c>
      <c r="IS142" s="5" t="str">
        <f t="shared" si="1262"/>
        <v/>
      </c>
      <c r="IT142" s="5" t="str">
        <f t="shared" si="1263"/>
        <v/>
      </c>
      <c r="IU142" s="5" t="str">
        <f t="shared" si="1264"/>
        <v/>
      </c>
      <c r="IV142" s="670" t="str">
        <f t="shared" si="1265"/>
        <v/>
      </c>
      <c r="IW142" s="9" t="str">
        <f t="shared" si="1266"/>
        <v/>
      </c>
      <c r="IX142" s="5" t="str">
        <f t="shared" si="1267"/>
        <v/>
      </c>
      <c r="IY142" s="5" t="str">
        <f t="shared" si="1268"/>
        <v/>
      </c>
      <c r="IZ142" s="5" t="str">
        <f t="shared" si="1269"/>
        <v/>
      </c>
      <c r="JA142" s="705" t="str">
        <f t="shared" si="1270"/>
        <v/>
      </c>
    </row>
    <row r="143" spans="1:261" ht="15" customHeight="1" x14ac:dyDescent="0.25">
      <c r="A143" s="75" t="str">
        <f t="shared" si="1271"/>
        <v/>
      </c>
      <c r="B143" s="585" t="str">
        <f t="shared" ref="B143:D143" si="1287">IFERROR(O298-($A143*E143),"")</f>
        <v/>
      </c>
      <c r="C143" s="582" t="str">
        <f t="shared" si="1287"/>
        <v/>
      </c>
      <c r="D143" s="583" t="str">
        <f t="shared" si="1287"/>
        <v/>
      </c>
      <c r="E143" s="588" t="str">
        <f t="shared" ref="E143:K143" si="1288">R298</f>
        <v/>
      </c>
      <c r="F143" s="582" t="str">
        <f t="shared" si="1288"/>
        <v/>
      </c>
      <c r="G143" s="586" t="str">
        <f t="shared" si="1288"/>
        <v/>
      </c>
      <c r="H143" s="588" t="str">
        <f t="shared" si="1288"/>
        <v/>
      </c>
      <c r="I143" s="582" t="str">
        <f t="shared" si="1288"/>
        <v/>
      </c>
      <c r="J143" s="491" t="str">
        <f t="shared" si="1274"/>
        <v/>
      </c>
      <c r="K143" s="807" t="str">
        <f t="shared" si="1288"/>
        <v/>
      </c>
      <c r="L143" s="309"/>
      <c r="M143" s="492" t="str">
        <f t="shared" si="1217"/>
        <v/>
      </c>
      <c r="N143" s="581" t="str">
        <f t="shared" si="1218"/>
        <v/>
      </c>
      <c r="O143" s="582" t="str">
        <f t="shared" si="1219"/>
        <v/>
      </c>
      <c r="P143" s="583" t="str">
        <f t="shared" si="1220"/>
        <v/>
      </c>
      <c r="Q143" s="536" t="str">
        <f t="shared" si="1060"/>
        <v/>
      </c>
      <c r="R143" s="582" t="str">
        <f t="shared" si="1061"/>
        <v/>
      </c>
      <c r="S143" s="584" t="str">
        <f t="shared" si="1062"/>
        <v/>
      </c>
      <c r="T143" s="585" t="str">
        <f t="shared" si="1063"/>
        <v/>
      </c>
      <c r="U143" s="582" t="str">
        <f t="shared" si="1064"/>
        <v/>
      </c>
      <c r="V143" s="586" t="str">
        <f t="shared" si="1065"/>
        <v/>
      </c>
      <c r="W143" s="536" t="str">
        <f t="shared" si="1066"/>
        <v/>
      </c>
      <c r="X143" s="582" t="str">
        <f t="shared" si="1067"/>
        <v/>
      </c>
      <c r="Y143" s="587" t="str">
        <f t="shared" si="1068"/>
        <v/>
      </c>
      <c r="Z143" s="581" t="str">
        <f t="shared" si="1221"/>
        <v/>
      </c>
      <c r="AA143" s="582" t="str">
        <f t="shared" si="1222"/>
        <v/>
      </c>
      <c r="AB143" s="582" t="str">
        <f t="shared" si="1223"/>
        <v/>
      </c>
      <c r="AC143" s="586" t="str">
        <f t="shared" si="1069"/>
        <v/>
      </c>
      <c r="AD143" s="588" t="str">
        <f t="shared" si="1070"/>
        <v/>
      </c>
      <c r="AE143" s="582" t="str">
        <f t="shared" si="1071"/>
        <v/>
      </c>
      <c r="AF143" s="583" t="str">
        <f t="shared" si="1072"/>
        <v/>
      </c>
      <c r="AG143" s="547" t="str">
        <f t="shared" si="1073"/>
        <v/>
      </c>
      <c r="AH143" s="548" t="str">
        <f t="shared" si="1074"/>
        <v/>
      </c>
      <c r="AI143" s="536" t="str">
        <f t="shared" si="1075"/>
        <v/>
      </c>
      <c r="AJ143" s="537" t="str">
        <f t="shared" si="1076"/>
        <v/>
      </c>
      <c r="AK143" s="585" t="str">
        <f t="shared" si="1077"/>
        <v/>
      </c>
      <c r="AL143" s="582" t="str">
        <f t="shared" si="1078"/>
        <v/>
      </c>
      <c r="AM143" s="584" t="str">
        <f t="shared" si="1079"/>
        <v/>
      </c>
      <c r="AN143" s="534" t="str">
        <f t="shared" si="1080"/>
        <v/>
      </c>
      <c r="AO143" s="535" t="str">
        <f t="shared" si="1039"/>
        <v/>
      </c>
      <c r="AP143" s="536" t="str">
        <f t="shared" si="1081"/>
        <v/>
      </c>
      <c r="AQ143" s="537" t="str">
        <f t="shared" si="1224"/>
        <v/>
      </c>
      <c r="AS143" s="955" t="str">
        <f t="shared" si="1278"/>
        <v/>
      </c>
      <c r="AT143" s="951" t="str">
        <f t="shared" si="1225"/>
        <v/>
      </c>
      <c r="AU143" s="418"/>
      <c r="AV143" s="164" t="str">
        <f t="shared" si="122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2"/>
        <v/>
      </c>
      <c r="BA143" s="505" t="str">
        <f t="shared" si="1083"/>
        <v/>
      </c>
      <c r="BB143" s="506" t="str">
        <f t="shared" si="713"/>
        <v/>
      </c>
      <c r="BC143" s="496"/>
      <c r="BD143" s="494" t="str">
        <f t="shared" si="1084"/>
        <v/>
      </c>
      <c r="BE143" s="497" t="str">
        <f t="shared" si="1227"/>
        <v/>
      </c>
      <c r="BF143" s="498" t="str">
        <f t="shared" si="1228"/>
        <v/>
      </c>
      <c r="BG143" s="494" t="str">
        <f t="shared" si="1229"/>
        <v/>
      </c>
      <c r="BH143" s="495" t="str">
        <f t="shared" si="1230"/>
        <v/>
      </c>
      <c r="BI143" s="496" t="str">
        <f t="shared" si="1085"/>
        <v/>
      </c>
      <c r="BJ143" s="494" t="str">
        <f t="shared" si="1231"/>
        <v/>
      </c>
      <c r="BK143" s="499" t="str">
        <f t="shared" si="1232"/>
        <v/>
      </c>
      <c r="BL143" s="502" t="str">
        <f t="shared" si="1233"/>
        <v/>
      </c>
      <c r="BM143" s="494" t="str">
        <f t="shared" si="1234"/>
        <v/>
      </c>
      <c r="BN143" s="497" t="str">
        <f t="shared" si="1235"/>
        <v/>
      </c>
      <c r="BO143" s="498" t="str">
        <f t="shared" si="1086"/>
        <v/>
      </c>
      <c r="BP143" s="494" t="str">
        <f t="shared" si="1087"/>
        <v/>
      </c>
      <c r="BQ143" s="494" t="str">
        <f t="shared" si="1088"/>
        <v/>
      </c>
      <c r="BR143" s="497" t="str">
        <f t="shared" si="1089"/>
        <v/>
      </c>
      <c r="BS143" s="498" t="str">
        <f t="shared" si="1005"/>
        <v/>
      </c>
      <c r="BT143" s="494" t="str">
        <f t="shared" si="1005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0"/>
        <v/>
      </c>
      <c r="CC143" s="494" t="str">
        <f t="shared" si="1091"/>
        <v/>
      </c>
      <c r="CD143" s="494" t="str">
        <f t="shared" si="1092"/>
        <v/>
      </c>
      <c r="CE143" s="497" t="str">
        <f t="shared" si="1093"/>
        <v/>
      </c>
      <c r="CF143" s="498" t="str">
        <f t="shared" si="1094"/>
        <v/>
      </c>
      <c r="CG143" s="494" t="str">
        <f t="shared" si="1095"/>
        <v/>
      </c>
      <c r="CH143" s="494" t="str">
        <f t="shared" si="1096"/>
        <v/>
      </c>
      <c r="CI143" s="498" t="str">
        <f t="shared" si="723"/>
        <v/>
      </c>
      <c r="CJ143" s="494" t="str">
        <f t="shared" si="1097"/>
        <v/>
      </c>
      <c r="CK143" s="499" t="str">
        <f t="shared" si="1098"/>
        <v/>
      </c>
      <c r="CL143" s="502" t="str">
        <f t="shared" si="1099"/>
        <v/>
      </c>
      <c r="CM143" s="494" t="str">
        <f t="shared" si="1100"/>
        <v/>
      </c>
      <c r="CN143" s="497" t="str">
        <f t="shared" si="1101"/>
        <v/>
      </c>
      <c r="CO143" s="507" t="str">
        <f t="shared" si="1236"/>
        <v/>
      </c>
      <c r="CP143" s="498" t="str">
        <f t="shared" si="1102"/>
        <v/>
      </c>
      <c r="CQ143" s="494" t="str">
        <f t="shared" si="1103"/>
        <v/>
      </c>
      <c r="CR143" s="494" t="str">
        <f t="shared" si="1104"/>
        <v/>
      </c>
      <c r="CS143" s="499" t="str">
        <f t="shared" si="1105"/>
        <v/>
      </c>
      <c r="CT143" s="496" t="str">
        <f t="shared" si="1106"/>
        <v/>
      </c>
      <c r="CU143" s="497" t="str">
        <f t="shared" si="1107"/>
        <v/>
      </c>
      <c r="CV143" s="498" t="str">
        <f t="shared" si="1108"/>
        <v/>
      </c>
      <c r="CW143" s="494" t="str">
        <f t="shared" si="1109"/>
        <v/>
      </c>
      <c r="CX143" s="499" t="str">
        <f t="shared" si="1110"/>
        <v/>
      </c>
      <c r="CY143" s="496" t="str">
        <f t="shared" si="1111"/>
        <v/>
      </c>
      <c r="CZ143" s="494" t="str">
        <f t="shared" si="1112"/>
        <v/>
      </c>
      <c r="DA143" s="497" t="str">
        <f t="shared" si="1113"/>
        <v/>
      </c>
      <c r="DB143" s="498" t="str">
        <f t="shared" si="1011"/>
        <v/>
      </c>
      <c r="DC143" s="494" t="str">
        <f t="shared" si="1011"/>
        <v/>
      </c>
      <c r="DD143" s="495" t="str">
        <f t="shared" si="764"/>
        <v/>
      </c>
      <c r="DE143" s="496" t="str">
        <f t="shared" si="1012"/>
        <v/>
      </c>
      <c r="DF143" s="494" t="str">
        <f t="shared" si="1012"/>
        <v/>
      </c>
      <c r="DG143" s="495" t="str">
        <f t="shared" si="766"/>
        <v/>
      </c>
      <c r="DH143" s="501" t="str">
        <f t="shared" si="1114"/>
        <v/>
      </c>
      <c r="DI143" s="498" t="str">
        <f t="shared" si="1115"/>
        <v/>
      </c>
      <c r="DJ143" s="494" t="str">
        <f t="shared" si="1116"/>
        <v/>
      </c>
      <c r="DK143" s="495" t="str">
        <f t="shared" si="1117"/>
        <v/>
      </c>
      <c r="DL143" s="496" t="str">
        <f t="shared" si="1118"/>
        <v/>
      </c>
      <c r="DM143" s="502" t="str">
        <f t="shared" si="1119"/>
        <v/>
      </c>
      <c r="DN143" s="508" t="str">
        <f t="shared" si="1120"/>
        <v/>
      </c>
      <c r="DO143" s="496" t="str">
        <f t="shared" si="1121"/>
        <v/>
      </c>
      <c r="DP143" s="502" t="str">
        <f t="shared" si="1122"/>
        <v/>
      </c>
      <c r="DQ143" s="503" t="str">
        <f t="shared" si="1123"/>
        <v/>
      </c>
      <c r="DR143" s="502" t="str">
        <f t="shared" si="1124"/>
        <v/>
      </c>
      <c r="DS143" s="494" t="str">
        <f t="shared" si="1125"/>
        <v/>
      </c>
      <c r="DT143" s="494" t="str">
        <f t="shared" si="1126"/>
        <v/>
      </c>
      <c r="DU143" s="494" t="str">
        <f t="shared" si="1127"/>
        <v/>
      </c>
      <c r="DV143" s="494" t="str">
        <f t="shared" si="1128"/>
        <v/>
      </c>
      <c r="DW143" s="494" t="str">
        <f t="shared" si="1129"/>
        <v/>
      </c>
      <c r="DX143" s="507" t="str">
        <f t="shared" si="1130"/>
        <v/>
      </c>
      <c r="DY143" s="496" t="str">
        <f t="shared" si="1131"/>
        <v/>
      </c>
      <c r="DZ143" s="494" t="str">
        <f t="shared" si="1132"/>
        <v/>
      </c>
      <c r="EA143" s="495" t="str">
        <f t="shared" si="1133"/>
        <v/>
      </c>
      <c r="EB143" s="497" t="str">
        <f t="shared" si="1134"/>
        <v/>
      </c>
      <c r="EC143" s="502" t="str">
        <f t="shared" si="1135"/>
        <v/>
      </c>
      <c r="ED143" s="494" t="str">
        <f t="shared" si="1136"/>
        <v/>
      </c>
      <c r="EE143" s="498" t="str">
        <f t="shared" si="1137"/>
        <v/>
      </c>
      <c r="EF143" s="494" t="str">
        <f t="shared" si="1138"/>
        <v/>
      </c>
      <c r="EG143" s="495" t="str">
        <f t="shared" si="1139"/>
        <v/>
      </c>
      <c r="EH143" s="496" t="str">
        <f t="shared" si="1140"/>
        <v/>
      </c>
      <c r="EI143" s="494" t="str">
        <f t="shared" si="1141"/>
        <v/>
      </c>
      <c r="EJ143" s="497" t="str">
        <f t="shared" si="1142"/>
        <v/>
      </c>
      <c r="EK143" s="509" t="str">
        <f t="shared" si="796"/>
        <v/>
      </c>
      <c r="EL143" s="510" t="str">
        <f t="shared" si="797"/>
        <v/>
      </c>
      <c r="EM143" s="498" t="str">
        <f t="shared" si="1143"/>
        <v/>
      </c>
      <c r="EN143" s="494" t="str">
        <f t="shared" si="1144"/>
        <v/>
      </c>
      <c r="EO143" s="495" t="str">
        <f t="shared" si="1145"/>
        <v/>
      </c>
      <c r="EP143" s="496" t="str">
        <f t="shared" si="1146"/>
        <v/>
      </c>
      <c r="EQ143" s="494" t="str">
        <f t="shared" si="1147"/>
        <v/>
      </c>
      <c r="ER143" s="500" t="str">
        <f t="shared" si="1148"/>
        <v/>
      </c>
      <c r="ES143" s="493" t="str">
        <f t="shared" si="1237"/>
        <v/>
      </c>
      <c r="ET143" s="494" t="str">
        <f t="shared" si="1238"/>
        <v/>
      </c>
      <c r="EU143" s="495" t="str">
        <f t="shared" si="1239"/>
        <v/>
      </c>
      <c r="EV143" s="174" t="str">
        <f t="shared" si="1149"/>
        <v/>
      </c>
      <c r="EW143" s="496" t="str">
        <f t="shared" si="1150"/>
        <v/>
      </c>
      <c r="EX143" s="494" t="str">
        <f t="shared" si="1151"/>
        <v/>
      </c>
      <c r="EY143" s="497" t="str">
        <f t="shared" si="1152"/>
        <v/>
      </c>
      <c r="EZ143" s="504" t="str">
        <f t="shared" si="805"/>
        <v/>
      </c>
      <c r="FA143" s="502" t="str">
        <f t="shared" si="928"/>
        <v/>
      </c>
      <c r="FB143" s="494" t="str">
        <f t="shared" si="929"/>
        <v/>
      </c>
      <c r="FC143" s="497" t="str">
        <f t="shared" si="930"/>
        <v/>
      </c>
      <c r="FD143" s="498" t="str">
        <f t="shared" si="1153"/>
        <v/>
      </c>
      <c r="FE143" s="494" t="str">
        <f t="shared" si="1154"/>
        <v/>
      </c>
      <c r="FF143" s="500" t="str">
        <f t="shared" si="1155"/>
        <v/>
      </c>
      <c r="FG143" s="173" t="str">
        <f t="shared" si="1156"/>
        <v/>
      </c>
      <c r="FH143" s="5" t="str">
        <f t="shared" si="1157"/>
        <v/>
      </c>
      <c r="FI143" s="10" t="str">
        <f t="shared" si="1158"/>
        <v/>
      </c>
      <c r="FJ143" s="279" t="str">
        <f t="shared" si="1159"/>
        <v/>
      </c>
      <c r="FK143" s="4" t="str">
        <f t="shared" si="1160"/>
        <v/>
      </c>
      <c r="FL143" s="5" t="str">
        <f t="shared" si="1161"/>
        <v/>
      </c>
      <c r="FM143" s="8" t="str">
        <f t="shared" si="1162"/>
        <v/>
      </c>
      <c r="FN143" s="9" t="str">
        <f t="shared" si="1163"/>
        <v/>
      </c>
      <c r="FO143" s="10" t="str">
        <f t="shared" si="1164"/>
        <v/>
      </c>
      <c r="FP143" s="277" t="str">
        <f t="shared" si="1165"/>
        <v/>
      </c>
      <c r="FQ143" s="173" t="str">
        <f t="shared" si="1166"/>
        <v/>
      </c>
      <c r="FR143" s="10" t="str">
        <f t="shared" si="1167"/>
        <v/>
      </c>
      <c r="FS143" s="9" t="str">
        <f t="shared" si="1168"/>
        <v/>
      </c>
      <c r="FT143" s="6" t="str">
        <f t="shared" si="1169"/>
        <v/>
      </c>
      <c r="FU143" s="4" t="str">
        <f t="shared" si="1170"/>
        <v/>
      </c>
      <c r="FV143" s="5" t="str">
        <f t="shared" si="1171"/>
        <v/>
      </c>
      <c r="FW143" s="8" t="str">
        <f t="shared" si="1172"/>
        <v/>
      </c>
      <c r="FX143" s="9" t="str">
        <f t="shared" si="1173"/>
        <v/>
      </c>
      <c r="FY143" s="10" t="str">
        <f t="shared" si="1174"/>
        <v/>
      </c>
      <c r="FZ143" s="277" t="str">
        <f t="shared" si="1175"/>
        <v/>
      </c>
      <c r="GA143" s="177" t="str">
        <f t="shared" si="1176"/>
        <v/>
      </c>
      <c r="GB143" s="4" t="str">
        <f t="shared" si="1177"/>
        <v/>
      </c>
      <c r="GC143" s="5" t="str">
        <f t="shared" si="1178"/>
        <v/>
      </c>
      <c r="GD143" s="10" t="str">
        <f t="shared" si="1179"/>
        <v/>
      </c>
      <c r="GE143" s="311" t="str">
        <f t="shared" si="1180"/>
        <v/>
      </c>
      <c r="GF143" s="341" t="str">
        <f t="shared" si="1181"/>
        <v/>
      </c>
      <c r="GG143" s="306" t="str">
        <f t="shared" si="1182"/>
        <v/>
      </c>
      <c r="GH143" s="307" t="str">
        <f t="shared" si="1183"/>
        <v/>
      </c>
      <c r="GI143" s="308" t="str">
        <f t="shared" si="1184"/>
        <v/>
      </c>
      <c r="GJ143" s="167" t="str">
        <f t="shared" si="1185"/>
        <v/>
      </c>
      <c r="GK143" s="174" t="str">
        <f t="shared" si="942"/>
        <v/>
      </c>
      <c r="GL143" s="174" t="str">
        <f t="shared" si="1186"/>
        <v/>
      </c>
      <c r="GM143" s="177" t="str">
        <f t="shared" si="1187"/>
        <v/>
      </c>
      <c r="GN143" s="280" t="str">
        <f t="shared" si="1188"/>
        <v/>
      </c>
      <c r="GO143" s="4" t="str">
        <f t="shared" si="1189"/>
        <v/>
      </c>
      <c r="GP143" s="8" t="str">
        <f t="shared" si="1190"/>
        <v/>
      </c>
      <c r="GQ143" s="177" t="str">
        <f t="shared" si="1191"/>
        <v/>
      </c>
      <c r="GR143" s="371" t="str">
        <f t="shared" si="1192"/>
        <v/>
      </c>
      <c r="GS143" s="342" t="str">
        <f t="shared" si="1193"/>
        <v/>
      </c>
      <c r="GT143" s="343" t="str">
        <f t="shared" si="1194"/>
        <v/>
      </c>
      <c r="GU143" s="344" t="str">
        <f t="shared" si="945"/>
        <v/>
      </c>
      <c r="GV143" s="343" t="str">
        <f t="shared" si="1195"/>
        <v/>
      </c>
      <c r="GW143" s="345" t="str">
        <f t="shared" si="946"/>
        <v/>
      </c>
      <c r="GX143" s="346" t="str">
        <f t="shared" si="947"/>
        <v/>
      </c>
      <c r="GY143" s="344" t="str">
        <f t="shared" si="1196"/>
        <v/>
      </c>
      <c r="GZ143" s="345" t="str">
        <f t="shared" si="1197"/>
        <v/>
      </c>
      <c r="HA143" s="342" t="str">
        <f t="shared" si="950"/>
        <v/>
      </c>
      <c r="HB143" s="5" t="str">
        <f t="shared" si="832"/>
        <v/>
      </c>
      <c r="HC143" s="343" t="str">
        <f t="shared" si="1198"/>
        <v/>
      </c>
      <c r="HD143" s="363" t="str">
        <f t="shared" si="1199"/>
        <v/>
      </c>
      <c r="HE143" s="344" t="str">
        <f t="shared" si="951"/>
        <v/>
      </c>
      <c r="HF143" s="5" t="str">
        <f t="shared" si="952"/>
        <v/>
      </c>
      <c r="HG143" s="343" t="str">
        <f t="shared" si="1200"/>
        <v/>
      </c>
      <c r="HH143" s="349" t="str">
        <f t="shared" si="1201"/>
        <v/>
      </c>
      <c r="HI143" s="317" t="str">
        <f t="shared" si="1240"/>
        <v/>
      </c>
      <c r="HK143" s="310" t="str">
        <f t="shared" si="1275"/>
        <v/>
      </c>
      <c r="HL143" s="348" t="str">
        <f t="shared" si="1241"/>
        <v/>
      </c>
      <c r="HM143" s="923" t="str">
        <f t="shared" si="1242"/>
        <v/>
      </c>
      <c r="HN143" s="924" t="str">
        <f t="shared" si="1243"/>
        <v/>
      </c>
      <c r="HO143" s="925"/>
      <c r="HP143" s="926"/>
      <c r="HQ143" s="924" t="str">
        <f t="shared" si="1244"/>
        <v/>
      </c>
      <c r="HR143" s="927" t="str">
        <f t="shared" si="1245"/>
        <v/>
      </c>
      <c r="HS143" s="879" t="str">
        <f t="shared" si="1202"/>
        <v/>
      </c>
      <c r="HT143" s="889" t="str">
        <f t="shared" si="1246"/>
        <v/>
      </c>
      <c r="HU143" s="890" t="str">
        <f t="shared" si="1247"/>
        <v/>
      </c>
      <c r="HV143" s="886" t="str">
        <f t="shared" si="1248"/>
        <v/>
      </c>
      <c r="HW143" s="880" t="str">
        <f t="shared" si="1249"/>
        <v/>
      </c>
      <c r="HX143" s="881" t="str">
        <f t="shared" si="1250"/>
        <v/>
      </c>
      <c r="HY143" s="880" t="str">
        <f t="shared" si="1251"/>
        <v/>
      </c>
      <c r="HZ143" s="882" t="str">
        <f t="shared" si="1252"/>
        <v/>
      </c>
      <c r="IA143" s="883" t="str">
        <f t="shared" si="1253"/>
        <v/>
      </c>
      <c r="IB143" s="884" t="str">
        <f t="shared" si="1254"/>
        <v/>
      </c>
      <c r="IC143" s="855" t="str">
        <f t="shared" si="1255"/>
        <v/>
      </c>
      <c r="ID143" s="351" t="str">
        <f t="shared" si="1256"/>
        <v/>
      </c>
      <c r="IE143" s="857" t="str">
        <f t="shared" si="125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79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58"/>
        <v/>
      </c>
      <c r="IM143" s="482" t="str">
        <f t="shared" si="1280"/>
        <v/>
      </c>
      <c r="IN143" s="670" t="str">
        <f t="shared" si="1259"/>
        <v/>
      </c>
      <c r="IO143" s="702"/>
      <c r="IP143" s="5" t="str">
        <f t="shared" si="1260"/>
        <v/>
      </c>
      <c r="IQ143" s="714"/>
      <c r="IR143" s="9" t="str">
        <f t="shared" si="1261"/>
        <v/>
      </c>
      <c r="IS143" s="5" t="str">
        <f t="shared" si="1262"/>
        <v/>
      </c>
      <c r="IT143" s="5" t="str">
        <f t="shared" si="1263"/>
        <v/>
      </c>
      <c r="IU143" s="5" t="str">
        <f t="shared" si="1264"/>
        <v/>
      </c>
      <c r="IV143" s="670" t="str">
        <f t="shared" si="1265"/>
        <v/>
      </c>
      <c r="IW143" s="9" t="str">
        <f t="shared" si="1266"/>
        <v/>
      </c>
      <c r="IX143" s="5" t="str">
        <f t="shared" si="1267"/>
        <v/>
      </c>
      <c r="IY143" s="5" t="str">
        <f t="shared" si="1268"/>
        <v/>
      </c>
      <c r="IZ143" s="5" t="str">
        <f t="shared" si="1269"/>
        <v/>
      </c>
      <c r="JA143" s="705" t="str">
        <f t="shared" si="1270"/>
        <v/>
      </c>
    </row>
    <row r="144" spans="1:261" ht="15" customHeight="1" x14ac:dyDescent="0.25">
      <c r="A144" s="75" t="str">
        <f t="shared" si="1271"/>
        <v/>
      </c>
      <c r="B144" s="585" t="str">
        <f t="shared" ref="B144:D144" si="1289">IFERROR(O299-($A144*E144),"")</f>
        <v/>
      </c>
      <c r="C144" s="582" t="str">
        <f t="shared" si="1289"/>
        <v/>
      </c>
      <c r="D144" s="583" t="str">
        <f t="shared" si="1289"/>
        <v/>
      </c>
      <c r="E144" s="588" t="str">
        <f t="shared" ref="E144:K144" si="1290">R299</f>
        <v/>
      </c>
      <c r="F144" s="582" t="str">
        <f t="shared" si="1290"/>
        <v/>
      </c>
      <c r="G144" s="586" t="str">
        <f t="shared" si="1290"/>
        <v/>
      </c>
      <c r="H144" s="588" t="str">
        <f t="shared" si="1290"/>
        <v/>
      </c>
      <c r="I144" s="582" t="str">
        <f t="shared" si="1290"/>
        <v/>
      </c>
      <c r="J144" s="491" t="str">
        <f t="shared" si="1274"/>
        <v/>
      </c>
      <c r="K144" s="807" t="str">
        <f t="shared" si="1290"/>
        <v/>
      </c>
      <c r="L144" s="309"/>
      <c r="M144" s="492" t="str">
        <f t="shared" si="1217"/>
        <v/>
      </c>
      <c r="N144" s="581" t="str">
        <f t="shared" si="1218"/>
        <v/>
      </c>
      <c r="O144" s="582" t="str">
        <f t="shared" si="1219"/>
        <v/>
      </c>
      <c r="P144" s="583" t="str">
        <f t="shared" si="1220"/>
        <v/>
      </c>
      <c r="Q144" s="536" t="str">
        <f t="shared" si="1060"/>
        <v/>
      </c>
      <c r="R144" s="582" t="str">
        <f t="shared" si="1061"/>
        <v/>
      </c>
      <c r="S144" s="584" t="str">
        <f t="shared" si="1062"/>
        <v/>
      </c>
      <c r="T144" s="585" t="str">
        <f t="shared" si="1063"/>
        <v/>
      </c>
      <c r="U144" s="582" t="str">
        <f t="shared" si="1064"/>
        <v/>
      </c>
      <c r="V144" s="586" t="str">
        <f t="shared" si="1065"/>
        <v/>
      </c>
      <c r="W144" s="536" t="str">
        <f t="shared" si="1066"/>
        <v/>
      </c>
      <c r="X144" s="582" t="str">
        <f t="shared" si="1067"/>
        <v/>
      </c>
      <c r="Y144" s="587" t="str">
        <f t="shared" si="1068"/>
        <v/>
      </c>
      <c r="Z144" s="581" t="str">
        <f t="shared" si="1221"/>
        <v/>
      </c>
      <c r="AA144" s="582" t="str">
        <f t="shared" si="1222"/>
        <v/>
      </c>
      <c r="AB144" s="582" t="str">
        <f t="shared" si="1223"/>
        <v/>
      </c>
      <c r="AC144" s="586" t="str">
        <f t="shared" si="1069"/>
        <v/>
      </c>
      <c r="AD144" s="588" t="str">
        <f t="shared" si="1070"/>
        <v/>
      </c>
      <c r="AE144" s="582" t="str">
        <f t="shared" si="1071"/>
        <v/>
      </c>
      <c r="AF144" s="583" t="str">
        <f t="shared" si="1072"/>
        <v/>
      </c>
      <c r="AG144" s="547" t="str">
        <f t="shared" si="1073"/>
        <v/>
      </c>
      <c r="AH144" s="548" t="str">
        <f t="shared" si="1074"/>
        <v/>
      </c>
      <c r="AI144" s="536" t="str">
        <f t="shared" si="1075"/>
        <v/>
      </c>
      <c r="AJ144" s="537" t="str">
        <f t="shared" si="1076"/>
        <v/>
      </c>
      <c r="AK144" s="585" t="str">
        <f t="shared" si="1077"/>
        <v/>
      </c>
      <c r="AL144" s="582" t="str">
        <f t="shared" si="1078"/>
        <v/>
      </c>
      <c r="AM144" s="584" t="str">
        <f t="shared" si="1079"/>
        <v/>
      </c>
      <c r="AN144" s="534" t="str">
        <f t="shared" si="1080"/>
        <v/>
      </c>
      <c r="AO144" s="535" t="str">
        <f t="shared" si="1039"/>
        <v/>
      </c>
      <c r="AP144" s="536" t="str">
        <f t="shared" si="1081"/>
        <v/>
      </c>
      <c r="AQ144" s="537" t="str">
        <f t="shared" si="1224"/>
        <v/>
      </c>
      <c r="AS144" s="955" t="str">
        <f t="shared" si="1278"/>
        <v/>
      </c>
      <c r="AT144" s="951" t="str">
        <f t="shared" si="1225"/>
        <v/>
      </c>
      <c r="AU144" s="418"/>
      <c r="AV144" s="164" t="str">
        <f t="shared" si="122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2"/>
        <v/>
      </c>
      <c r="BA144" s="505" t="str">
        <f t="shared" si="1083"/>
        <v/>
      </c>
      <c r="BB144" s="506" t="str">
        <f t="shared" si="713"/>
        <v/>
      </c>
      <c r="BC144" s="496"/>
      <c r="BD144" s="494" t="str">
        <f t="shared" si="1084"/>
        <v/>
      </c>
      <c r="BE144" s="497" t="str">
        <f t="shared" si="1227"/>
        <v/>
      </c>
      <c r="BF144" s="498" t="str">
        <f t="shared" si="1228"/>
        <v/>
      </c>
      <c r="BG144" s="494" t="str">
        <f t="shared" si="1229"/>
        <v/>
      </c>
      <c r="BH144" s="495" t="str">
        <f t="shared" si="1230"/>
        <v/>
      </c>
      <c r="BI144" s="496" t="str">
        <f t="shared" si="1085"/>
        <v/>
      </c>
      <c r="BJ144" s="494" t="str">
        <f t="shared" si="1231"/>
        <v/>
      </c>
      <c r="BK144" s="499" t="str">
        <f t="shared" si="1232"/>
        <v/>
      </c>
      <c r="BL144" s="502" t="str">
        <f t="shared" si="1233"/>
        <v/>
      </c>
      <c r="BM144" s="494" t="str">
        <f t="shared" si="1234"/>
        <v/>
      </c>
      <c r="BN144" s="497" t="str">
        <f t="shared" si="1235"/>
        <v/>
      </c>
      <c r="BO144" s="498" t="str">
        <f t="shared" si="1086"/>
        <v/>
      </c>
      <c r="BP144" s="494" t="str">
        <f t="shared" si="1087"/>
        <v/>
      </c>
      <c r="BQ144" s="494" t="str">
        <f t="shared" si="1088"/>
        <v/>
      </c>
      <c r="BR144" s="497" t="str">
        <f t="shared" si="1089"/>
        <v/>
      </c>
      <c r="BS144" s="498" t="str">
        <f t="shared" si="1005"/>
        <v/>
      </c>
      <c r="BT144" s="494" t="str">
        <f t="shared" si="1005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0"/>
        <v/>
      </c>
      <c r="CC144" s="494" t="str">
        <f t="shared" si="1091"/>
        <v/>
      </c>
      <c r="CD144" s="494" t="str">
        <f t="shared" si="1092"/>
        <v/>
      </c>
      <c r="CE144" s="497" t="str">
        <f t="shared" si="1093"/>
        <v/>
      </c>
      <c r="CF144" s="498" t="str">
        <f t="shared" si="1094"/>
        <v/>
      </c>
      <c r="CG144" s="494" t="str">
        <f t="shared" si="1095"/>
        <v/>
      </c>
      <c r="CH144" s="494" t="str">
        <f t="shared" si="1096"/>
        <v/>
      </c>
      <c r="CI144" s="498" t="str">
        <f t="shared" si="723"/>
        <v/>
      </c>
      <c r="CJ144" s="494" t="str">
        <f t="shared" si="1097"/>
        <v/>
      </c>
      <c r="CK144" s="499" t="str">
        <f t="shared" si="1098"/>
        <v/>
      </c>
      <c r="CL144" s="502" t="str">
        <f t="shared" si="1099"/>
        <v/>
      </c>
      <c r="CM144" s="494" t="str">
        <f t="shared" si="1100"/>
        <v/>
      </c>
      <c r="CN144" s="497" t="str">
        <f t="shared" si="1101"/>
        <v/>
      </c>
      <c r="CO144" s="507" t="str">
        <f t="shared" si="1236"/>
        <v/>
      </c>
      <c r="CP144" s="498" t="str">
        <f t="shared" si="1102"/>
        <v/>
      </c>
      <c r="CQ144" s="494" t="str">
        <f t="shared" si="1103"/>
        <v/>
      </c>
      <c r="CR144" s="494" t="str">
        <f t="shared" si="1104"/>
        <v/>
      </c>
      <c r="CS144" s="499" t="str">
        <f t="shared" si="1105"/>
        <v/>
      </c>
      <c r="CT144" s="496" t="str">
        <f t="shared" si="1106"/>
        <v/>
      </c>
      <c r="CU144" s="497" t="str">
        <f t="shared" si="1107"/>
        <v/>
      </c>
      <c r="CV144" s="498" t="str">
        <f t="shared" si="1108"/>
        <v/>
      </c>
      <c r="CW144" s="494" t="str">
        <f t="shared" si="1109"/>
        <v/>
      </c>
      <c r="CX144" s="499" t="str">
        <f t="shared" si="1110"/>
        <v/>
      </c>
      <c r="CY144" s="496" t="str">
        <f t="shared" si="1111"/>
        <v/>
      </c>
      <c r="CZ144" s="494" t="str">
        <f t="shared" si="1112"/>
        <v/>
      </c>
      <c r="DA144" s="497" t="str">
        <f t="shared" si="1113"/>
        <v/>
      </c>
      <c r="DB144" s="498" t="str">
        <f t="shared" si="1011"/>
        <v/>
      </c>
      <c r="DC144" s="494" t="str">
        <f t="shared" si="1011"/>
        <v/>
      </c>
      <c r="DD144" s="495" t="str">
        <f t="shared" si="764"/>
        <v/>
      </c>
      <c r="DE144" s="496" t="str">
        <f t="shared" si="1012"/>
        <v/>
      </c>
      <c r="DF144" s="494" t="str">
        <f t="shared" si="1012"/>
        <v/>
      </c>
      <c r="DG144" s="495" t="str">
        <f t="shared" si="766"/>
        <v/>
      </c>
      <c r="DH144" s="501" t="str">
        <f t="shared" si="1114"/>
        <v/>
      </c>
      <c r="DI144" s="498" t="str">
        <f t="shared" si="1115"/>
        <v/>
      </c>
      <c r="DJ144" s="494" t="str">
        <f t="shared" si="1116"/>
        <v/>
      </c>
      <c r="DK144" s="495" t="str">
        <f t="shared" si="1117"/>
        <v/>
      </c>
      <c r="DL144" s="496" t="str">
        <f t="shared" si="1118"/>
        <v/>
      </c>
      <c r="DM144" s="502" t="str">
        <f t="shared" si="1119"/>
        <v/>
      </c>
      <c r="DN144" s="508" t="str">
        <f t="shared" si="1120"/>
        <v/>
      </c>
      <c r="DO144" s="496" t="str">
        <f t="shared" si="1121"/>
        <v/>
      </c>
      <c r="DP144" s="502" t="str">
        <f t="shared" si="1122"/>
        <v/>
      </c>
      <c r="DQ144" s="503" t="str">
        <f t="shared" si="1123"/>
        <v/>
      </c>
      <c r="DR144" s="502" t="str">
        <f t="shared" si="1124"/>
        <v/>
      </c>
      <c r="DS144" s="494" t="str">
        <f t="shared" si="1125"/>
        <v/>
      </c>
      <c r="DT144" s="494" t="str">
        <f t="shared" si="1126"/>
        <v/>
      </c>
      <c r="DU144" s="494" t="str">
        <f t="shared" si="1127"/>
        <v/>
      </c>
      <c r="DV144" s="494" t="str">
        <f t="shared" si="1128"/>
        <v/>
      </c>
      <c r="DW144" s="494" t="str">
        <f t="shared" si="1129"/>
        <v/>
      </c>
      <c r="DX144" s="507" t="str">
        <f t="shared" si="1130"/>
        <v/>
      </c>
      <c r="DY144" s="496" t="str">
        <f t="shared" si="1131"/>
        <v/>
      </c>
      <c r="DZ144" s="494" t="str">
        <f t="shared" si="1132"/>
        <v/>
      </c>
      <c r="EA144" s="495" t="str">
        <f t="shared" si="1133"/>
        <v/>
      </c>
      <c r="EB144" s="497" t="str">
        <f t="shared" si="1134"/>
        <v/>
      </c>
      <c r="EC144" s="502" t="str">
        <f t="shared" si="1135"/>
        <v/>
      </c>
      <c r="ED144" s="494" t="str">
        <f t="shared" si="1136"/>
        <v/>
      </c>
      <c r="EE144" s="498" t="str">
        <f t="shared" si="1137"/>
        <v/>
      </c>
      <c r="EF144" s="494" t="str">
        <f t="shared" si="1138"/>
        <v/>
      </c>
      <c r="EG144" s="495" t="str">
        <f t="shared" si="1139"/>
        <v/>
      </c>
      <c r="EH144" s="496" t="str">
        <f t="shared" si="1140"/>
        <v/>
      </c>
      <c r="EI144" s="494" t="str">
        <f t="shared" si="1141"/>
        <v/>
      </c>
      <c r="EJ144" s="497" t="str">
        <f t="shared" si="1142"/>
        <v/>
      </c>
      <c r="EK144" s="509" t="str">
        <f t="shared" si="796"/>
        <v/>
      </c>
      <c r="EL144" s="510" t="str">
        <f t="shared" si="797"/>
        <v/>
      </c>
      <c r="EM144" s="498" t="str">
        <f t="shared" si="1143"/>
        <v/>
      </c>
      <c r="EN144" s="494" t="str">
        <f t="shared" si="1144"/>
        <v/>
      </c>
      <c r="EO144" s="495" t="str">
        <f t="shared" si="1145"/>
        <v/>
      </c>
      <c r="EP144" s="496" t="str">
        <f t="shared" si="1146"/>
        <v/>
      </c>
      <c r="EQ144" s="494" t="str">
        <f t="shared" si="1147"/>
        <v/>
      </c>
      <c r="ER144" s="500" t="str">
        <f t="shared" si="1148"/>
        <v/>
      </c>
      <c r="ES144" s="493" t="str">
        <f t="shared" si="1237"/>
        <v/>
      </c>
      <c r="ET144" s="494" t="str">
        <f t="shared" si="1238"/>
        <v/>
      </c>
      <c r="EU144" s="495" t="str">
        <f t="shared" si="1239"/>
        <v/>
      </c>
      <c r="EV144" s="174" t="str">
        <f t="shared" si="1149"/>
        <v/>
      </c>
      <c r="EW144" s="496" t="str">
        <f t="shared" si="1150"/>
        <v/>
      </c>
      <c r="EX144" s="494" t="str">
        <f t="shared" si="1151"/>
        <v/>
      </c>
      <c r="EY144" s="497" t="str">
        <f t="shared" si="1152"/>
        <v/>
      </c>
      <c r="EZ144" s="504" t="str">
        <f t="shared" si="805"/>
        <v/>
      </c>
      <c r="FA144" s="502" t="str">
        <f t="shared" si="928"/>
        <v/>
      </c>
      <c r="FB144" s="494" t="str">
        <f t="shared" si="929"/>
        <v/>
      </c>
      <c r="FC144" s="497" t="str">
        <f t="shared" si="930"/>
        <v/>
      </c>
      <c r="FD144" s="498" t="str">
        <f t="shared" si="1153"/>
        <v/>
      </c>
      <c r="FE144" s="494" t="str">
        <f t="shared" si="1154"/>
        <v/>
      </c>
      <c r="FF144" s="500" t="str">
        <f t="shared" si="1155"/>
        <v/>
      </c>
      <c r="FG144" s="173" t="str">
        <f t="shared" si="1156"/>
        <v/>
      </c>
      <c r="FH144" s="5" t="str">
        <f t="shared" si="1157"/>
        <v/>
      </c>
      <c r="FI144" s="10" t="str">
        <f t="shared" si="1158"/>
        <v/>
      </c>
      <c r="FJ144" s="279" t="str">
        <f t="shared" si="1159"/>
        <v/>
      </c>
      <c r="FK144" s="4" t="str">
        <f t="shared" si="1160"/>
        <v/>
      </c>
      <c r="FL144" s="5" t="str">
        <f t="shared" si="1161"/>
        <v/>
      </c>
      <c r="FM144" s="8" t="str">
        <f t="shared" si="1162"/>
        <v/>
      </c>
      <c r="FN144" s="9" t="str">
        <f t="shared" si="1163"/>
        <v/>
      </c>
      <c r="FO144" s="10" t="str">
        <f t="shared" si="1164"/>
        <v/>
      </c>
      <c r="FP144" s="277" t="str">
        <f t="shared" si="1165"/>
        <v/>
      </c>
      <c r="FQ144" s="173" t="str">
        <f t="shared" si="1166"/>
        <v/>
      </c>
      <c r="FR144" s="10" t="str">
        <f t="shared" si="1167"/>
        <v/>
      </c>
      <c r="FS144" s="9" t="str">
        <f t="shared" si="1168"/>
        <v/>
      </c>
      <c r="FT144" s="6" t="str">
        <f t="shared" si="1169"/>
        <v/>
      </c>
      <c r="FU144" s="4" t="str">
        <f t="shared" si="1170"/>
        <v/>
      </c>
      <c r="FV144" s="5" t="str">
        <f t="shared" si="1171"/>
        <v/>
      </c>
      <c r="FW144" s="8" t="str">
        <f t="shared" si="1172"/>
        <v/>
      </c>
      <c r="FX144" s="9" t="str">
        <f t="shared" si="1173"/>
        <v/>
      </c>
      <c r="FY144" s="10" t="str">
        <f t="shared" si="1174"/>
        <v/>
      </c>
      <c r="FZ144" s="277" t="str">
        <f t="shared" si="1175"/>
        <v/>
      </c>
      <c r="GA144" s="177" t="str">
        <f t="shared" si="1176"/>
        <v/>
      </c>
      <c r="GB144" s="4" t="str">
        <f t="shared" si="1177"/>
        <v/>
      </c>
      <c r="GC144" s="5" t="str">
        <f t="shared" si="1178"/>
        <v/>
      </c>
      <c r="GD144" s="10" t="str">
        <f t="shared" si="1179"/>
        <v/>
      </c>
      <c r="GE144" s="311" t="str">
        <f t="shared" si="1180"/>
        <v/>
      </c>
      <c r="GF144" s="341" t="str">
        <f t="shared" si="1181"/>
        <v/>
      </c>
      <c r="GG144" s="306" t="str">
        <f t="shared" si="1182"/>
        <v/>
      </c>
      <c r="GH144" s="307" t="str">
        <f t="shared" si="1183"/>
        <v/>
      </c>
      <c r="GI144" s="308" t="str">
        <f t="shared" si="1184"/>
        <v/>
      </c>
      <c r="GJ144" s="167" t="str">
        <f t="shared" si="1185"/>
        <v/>
      </c>
      <c r="GK144" s="174" t="str">
        <f t="shared" si="942"/>
        <v/>
      </c>
      <c r="GL144" s="174" t="str">
        <f t="shared" si="1186"/>
        <v/>
      </c>
      <c r="GM144" s="177" t="str">
        <f t="shared" si="1187"/>
        <v/>
      </c>
      <c r="GN144" s="280" t="str">
        <f t="shared" si="1188"/>
        <v/>
      </c>
      <c r="GO144" s="4" t="str">
        <f t="shared" si="1189"/>
        <v/>
      </c>
      <c r="GP144" s="8" t="str">
        <f t="shared" si="1190"/>
        <v/>
      </c>
      <c r="GQ144" s="177" t="str">
        <f t="shared" si="1191"/>
        <v/>
      </c>
      <c r="GR144" s="371" t="str">
        <f t="shared" si="1192"/>
        <v/>
      </c>
      <c r="GS144" s="342" t="str">
        <f t="shared" si="1193"/>
        <v/>
      </c>
      <c r="GT144" s="343" t="str">
        <f t="shared" si="1194"/>
        <v/>
      </c>
      <c r="GU144" s="344" t="str">
        <f t="shared" si="945"/>
        <v/>
      </c>
      <c r="GV144" s="343" t="str">
        <f t="shared" si="1195"/>
        <v/>
      </c>
      <c r="GW144" s="345" t="str">
        <f t="shared" si="946"/>
        <v/>
      </c>
      <c r="GX144" s="346" t="str">
        <f t="shared" si="947"/>
        <v/>
      </c>
      <c r="GY144" s="344" t="str">
        <f t="shared" si="1196"/>
        <v/>
      </c>
      <c r="GZ144" s="345" t="str">
        <f t="shared" si="1197"/>
        <v/>
      </c>
      <c r="HA144" s="342" t="str">
        <f t="shared" si="950"/>
        <v/>
      </c>
      <c r="HB144" s="5" t="str">
        <f t="shared" si="832"/>
        <v/>
      </c>
      <c r="HC144" s="343" t="str">
        <f t="shared" si="1198"/>
        <v/>
      </c>
      <c r="HD144" s="363" t="str">
        <f t="shared" si="1199"/>
        <v/>
      </c>
      <c r="HE144" s="344" t="str">
        <f t="shared" si="951"/>
        <v/>
      </c>
      <c r="HF144" s="5" t="str">
        <f t="shared" si="952"/>
        <v/>
      </c>
      <c r="HG144" s="343" t="str">
        <f t="shared" si="1200"/>
        <v/>
      </c>
      <c r="HH144" s="349" t="str">
        <f t="shared" si="1201"/>
        <v/>
      </c>
      <c r="HI144" s="317" t="str">
        <f t="shared" si="1240"/>
        <v/>
      </c>
      <c r="HK144" s="310" t="str">
        <f t="shared" si="1275"/>
        <v/>
      </c>
      <c r="HL144" s="348" t="str">
        <f t="shared" si="1241"/>
        <v/>
      </c>
      <c r="HM144" s="923" t="str">
        <f t="shared" si="1242"/>
        <v/>
      </c>
      <c r="HN144" s="924" t="str">
        <f t="shared" si="1243"/>
        <v/>
      </c>
      <c r="HO144" s="925"/>
      <c r="HP144" s="926"/>
      <c r="HQ144" s="924" t="str">
        <f t="shared" si="1244"/>
        <v/>
      </c>
      <c r="HR144" s="927" t="str">
        <f t="shared" si="1245"/>
        <v/>
      </c>
      <c r="HS144" s="879" t="str">
        <f t="shared" si="1202"/>
        <v/>
      </c>
      <c r="HT144" s="889" t="str">
        <f t="shared" si="1246"/>
        <v/>
      </c>
      <c r="HU144" s="890" t="str">
        <f t="shared" si="1247"/>
        <v/>
      </c>
      <c r="HV144" s="886" t="str">
        <f t="shared" si="1248"/>
        <v/>
      </c>
      <c r="HW144" s="880" t="str">
        <f t="shared" si="1249"/>
        <v/>
      </c>
      <c r="HX144" s="881" t="str">
        <f t="shared" si="1250"/>
        <v/>
      </c>
      <c r="HY144" s="880" t="str">
        <f t="shared" si="1251"/>
        <v/>
      </c>
      <c r="HZ144" s="882" t="str">
        <f t="shared" si="1252"/>
        <v/>
      </c>
      <c r="IA144" s="883" t="str">
        <f t="shared" si="1253"/>
        <v/>
      </c>
      <c r="IB144" s="884" t="str">
        <f t="shared" si="1254"/>
        <v/>
      </c>
      <c r="IC144" s="855" t="str">
        <f t="shared" si="1255"/>
        <v/>
      </c>
      <c r="ID144" s="351" t="str">
        <f t="shared" si="1256"/>
        <v/>
      </c>
      <c r="IE144" s="857" t="str">
        <f t="shared" si="125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79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58"/>
        <v/>
      </c>
      <c r="IM144" s="482" t="str">
        <f t="shared" si="1280"/>
        <v/>
      </c>
      <c r="IN144" s="670" t="str">
        <f t="shared" si="1259"/>
        <v/>
      </c>
      <c r="IO144" s="702"/>
      <c r="IP144" s="5" t="str">
        <f t="shared" si="1260"/>
        <v/>
      </c>
      <c r="IQ144" s="714"/>
      <c r="IR144" s="9" t="str">
        <f t="shared" si="1261"/>
        <v/>
      </c>
      <c r="IS144" s="5" t="str">
        <f t="shared" si="1262"/>
        <v/>
      </c>
      <c r="IT144" s="5" t="str">
        <f t="shared" si="1263"/>
        <v/>
      </c>
      <c r="IU144" s="5" t="str">
        <f t="shared" si="1264"/>
        <v/>
      </c>
      <c r="IV144" s="670" t="str">
        <f t="shared" si="1265"/>
        <v/>
      </c>
      <c r="IW144" s="9" t="str">
        <f t="shared" si="1266"/>
        <v/>
      </c>
      <c r="IX144" s="5" t="str">
        <f t="shared" si="1267"/>
        <v/>
      </c>
      <c r="IY144" s="5" t="str">
        <f t="shared" si="1268"/>
        <v/>
      </c>
      <c r="IZ144" s="5" t="str">
        <f t="shared" si="1269"/>
        <v/>
      </c>
      <c r="JA144" s="705" t="str">
        <f t="shared" si="1270"/>
        <v/>
      </c>
    </row>
    <row r="145" spans="1:261" ht="15" customHeight="1" x14ac:dyDescent="0.25">
      <c r="A145" s="75" t="str">
        <f t="shared" si="1271"/>
        <v/>
      </c>
      <c r="B145" s="585" t="str">
        <f t="shared" ref="B145:D145" si="1291">IFERROR(O300-($A145*E145),"")</f>
        <v/>
      </c>
      <c r="C145" s="582" t="str">
        <f t="shared" si="1291"/>
        <v/>
      </c>
      <c r="D145" s="583" t="str">
        <f t="shared" si="1291"/>
        <v/>
      </c>
      <c r="E145" s="588" t="str">
        <f t="shared" ref="E145:K145" si="1292">R300</f>
        <v/>
      </c>
      <c r="F145" s="582" t="str">
        <f t="shared" si="1292"/>
        <v/>
      </c>
      <c r="G145" s="586" t="str">
        <f t="shared" si="1292"/>
        <v/>
      </c>
      <c r="H145" s="588" t="str">
        <f t="shared" si="1292"/>
        <v/>
      </c>
      <c r="I145" s="582" t="str">
        <f t="shared" si="1292"/>
        <v/>
      </c>
      <c r="J145" s="491" t="str">
        <f t="shared" si="1274"/>
        <v/>
      </c>
      <c r="K145" s="807" t="str">
        <f t="shared" si="1292"/>
        <v/>
      </c>
      <c r="L145" s="309"/>
      <c r="M145" s="492" t="str">
        <f t="shared" si="1217"/>
        <v/>
      </c>
      <c r="N145" s="581" t="str">
        <f t="shared" si="1218"/>
        <v/>
      </c>
      <c r="O145" s="582" t="str">
        <f t="shared" si="1219"/>
        <v/>
      </c>
      <c r="P145" s="583" t="str">
        <f t="shared" si="1220"/>
        <v/>
      </c>
      <c r="Q145" s="536" t="str">
        <f t="shared" si="1060"/>
        <v/>
      </c>
      <c r="R145" s="582" t="str">
        <f t="shared" si="1061"/>
        <v/>
      </c>
      <c r="S145" s="584" t="str">
        <f t="shared" si="1062"/>
        <v/>
      </c>
      <c r="T145" s="585" t="str">
        <f t="shared" si="1063"/>
        <v/>
      </c>
      <c r="U145" s="582" t="str">
        <f t="shared" si="1064"/>
        <v/>
      </c>
      <c r="V145" s="586" t="str">
        <f t="shared" si="1065"/>
        <v/>
      </c>
      <c r="W145" s="536" t="str">
        <f t="shared" si="1066"/>
        <v/>
      </c>
      <c r="X145" s="582" t="str">
        <f t="shared" si="1067"/>
        <v/>
      </c>
      <c r="Y145" s="587" t="str">
        <f t="shared" si="1068"/>
        <v/>
      </c>
      <c r="Z145" s="581" t="str">
        <f t="shared" si="1221"/>
        <v/>
      </c>
      <c r="AA145" s="582" t="str">
        <f t="shared" si="1222"/>
        <v/>
      </c>
      <c r="AB145" s="582" t="str">
        <f t="shared" si="1223"/>
        <v/>
      </c>
      <c r="AC145" s="586" t="str">
        <f t="shared" si="1069"/>
        <v/>
      </c>
      <c r="AD145" s="588" t="str">
        <f t="shared" si="1070"/>
        <v/>
      </c>
      <c r="AE145" s="582" t="str">
        <f t="shared" si="1071"/>
        <v/>
      </c>
      <c r="AF145" s="583" t="str">
        <f t="shared" si="1072"/>
        <v/>
      </c>
      <c r="AG145" s="547" t="str">
        <f t="shared" si="1073"/>
        <v/>
      </c>
      <c r="AH145" s="548" t="str">
        <f t="shared" si="1074"/>
        <v/>
      </c>
      <c r="AI145" s="536" t="str">
        <f t="shared" si="1075"/>
        <v/>
      </c>
      <c r="AJ145" s="537" t="str">
        <f t="shared" si="1076"/>
        <v/>
      </c>
      <c r="AK145" s="585" t="str">
        <f t="shared" si="1077"/>
        <v/>
      </c>
      <c r="AL145" s="582" t="str">
        <f t="shared" si="1078"/>
        <v/>
      </c>
      <c r="AM145" s="584" t="str">
        <f t="shared" si="1079"/>
        <v/>
      </c>
      <c r="AN145" s="534" t="str">
        <f t="shared" si="1080"/>
        <v/>
      </c>
      <c r="AO145" s="535" t="str">
        <f t="shared" si="1039"/>
        <v/>
      </c>
      <c r="AP145" s="536" t="str">
        <f t="shared" si="1081"/>
        <v/>
      </c>
      <c r="AQ145" s="537" t="str">
        <f t="shared" si="1224"/>
        <v/>
      </c>
      <c r="AS145" s="955" t="str">
        <f t="shared" si="1278"/>
        <v/>
      </c>
      <c r="AT145" s="951" t="str">
        <f t="shared" si="1225"/>
        <v/>
      </c>
      <c r="AU145" s="418"/>
      <c r="AV145" s="164" t="str">
        <f t="shared" si="122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2"/>
        <v/>
      </c>
      <c r="BA145" s="505" t="str">
        <f t="shared" si="1083"/>
        <v/>
      </c>
      <c r="BB145" s="506" t="str">
        <f t="shared" si="713"/>
        <v/>
      </c>
      <c r="BC145" s="496"/>
      <c r="BD145" s="494" t="str">
        <f t="shared" si="1084"/>
        <v/>
      </c>
      <c r="BE145" s="497" t="str">
        <f t="shared" si="1227"/>
        <v/>
      </c>
      <c r="BF145" s="498" t="str">
        <f t="shared" si="1228"/>
        <v/>
      </c>
      <c r="BG145" s="494" t="str">
        <f t="shared" si="1229"/>
        <v/>
      </c>
      <c r="BH145" s="495" t="str">
        <f t="shared" si="1230"/>
        <v/>
      </c>
      <c r="BI145" s="496" t="str">
        <f t="shared" si="1085"/>
        <v/>
      </c>
      <c r="BJ145" s="494" t="str">
        <f t="shared" si="1231"/>
        <v/>
      </c>
      <c r="BK145" s="499" t="str">
        <f t="shared" si="1232"/>
        <v/>
      </c>
      <c r="BL145" s="502" t="str">
        <f t="shared" si="1233"/>
        <v/>
      </c>
      <c r="BM145" s="494" t="str">
        <f t="shared" si="1234"/>
        <v/>
      </c>
      <c r="BN145" s="497" t="str">
        <f t="shared" si="1235"/>
        <v/>
      </c>
      <c r="BO145" s="498" t="str">
        <f t="shared" si="1086"/>
        <v/>
      </c>
      <c r="BP145" s="494" t="str">
        <f t="shared" si="1087"/>
        <v/>
      </c>
      <c r="BQ145" s="494" t="str">
        <f t="shared" si="1088"/>
        <v/>
      </c>
      <c r="BR145" s="497" t="str">
        <f t="shared" si="1089"/>
        <v/>
      </c>
      <c r="BS145" s="498" t="str">
        <f t="shared" si="1005"/>
        <v/>
      </c>
      <c r="BT145" s="494" t="str">
        <f t="shared" si="1005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0"/>
        <v/>
      </c>
      <c r="CC145" s="494" t="str">
        <f t="shared" si="1091"/>
        <v/>
      </c>
      <c r="CD145" s="494" t="str">
        <f t="shared" si="1092"/>
        <v/>
      </c>
      <c r="CE145" s="497" t="str">
        <f t="shared" si="1093"/>
        <v/>
      </c>
      <c r="CF145" s="498" t="str">
        <f t="shared" si="1094"/>
        <v/>
      </c>
      <c r="CG145" s="494" t="str">
        <f t="shared" si="1095"/>
        <v/>
      </c>
      <c r="CH145" s="494" t="str">
        <f t="shared" si="1096"/>
        <v/>
      </c>
      <c r="CI145" s="498" t="str">
        <f t="shared" si="723"/>
        <v/>
      </c>
      <c r="CJ145" s="494" t="str">
        <f t="shared" si="1097"/>
        <v/>
      </c>
      <c r="CK145" s="499" t="str">
        <f t="shared" si="1098"/>
        <v/>
      </c>
      <c r="CL145" s="502" t="str">
        <f t="shared" si="1099"/>
        <v/>
      </c>
      <c r="CM145" s="494" t="str">
        <f t="shared" si="1100"/>
        <v/>
      </c>
      <c r="CN145" s="497" t="str">
        <f t="shared" si="1101"/>
        <v/>
      </c>
      <c r="CO145" s="507" t="str">
        <f t="shared" si="1236"/>
        <v/>
      </c>
      <c r="CP145" s="498" t="str">
        <f t="shared" si="1102"/>
        <v/>
      </c>
      <c r="CQ145" s="494" t="str">
        <f t="shared" si="1103"/>
        <v/>
      </c>
      <c r="CR145" s="494" t="str">
        <f t="shared" si="1104"/>
        <v/>
      </c>
      <c r="CS145" s="499" t="str">
        <f t="shared" si="1105"/>
        <v/>
      </c>
      <c r="CT145" s="496" t="str">
        <f t="shared" si="1106"/>
        <v/>
      </c>
      <c r="CU145" s="497" t="str">
        <f t="shared" si="1107"/>
        <v/>
      </c>
      <c r="CV145" s="498" t="str">
        <f t="shared" si="1108"/>
        <v/>
      </c>
      <c r="CW145" s="494" t="str">
        <f t="shared" si="1109"/>
        <v/>
      </c>
      <c r="CX145" s="499" t="str">
        <f t="shared" si="1110"/>
        <v/>
      </c>
      <c r="CY145" s="496" t="str">
        <f t="shared" si="1111"/>
        <v/>
      </c>
      <c r="CZ145" s="494" t="str">
        <f t="shared" si="1112"/>
        <v/>
      </c>
      <c r="DA145" s="497" t="str">
        <f t="shared" si="1113"/>
        <v/>
      </c>
      <c r="DB145" s="498" t="str">
        <f t="shared" si="1011"/>
        <v/>
      </c>
      <c r="DC145" s="494" t="str">
        <f t="shared" si="1011"/>
        <v/>
      </c>
      <c r="DD145" s="495" t="str">
        <f t="shared" si="764"/>
        <v/>
      </c>
      <c r="DE145" s="496" t="str">
        <f t="shared" si="1012"/>
        <v/>
      </c>
      <c r="DF145" s="494" t="str">
        <f t="shared" si="1012"/>
        <v/>
      </c>
      <c r="DG145" s="495" t="str">
        <f t="shared" si="766"/>
        <v/>
      </c>
      <c r="DH145" s="501" t="str">
        <f t="shared" si="1114"/>
        <v/>
      </c>
      <c r="DI145" s="498" t="str">
        <f t="shared" si="1115"/>
        <v/>
      </c>
      <c r="DJ145" s="494" t="str">
        <f t="shared" si="1116"/>
        <v/>
      </c>
      <c r="DK145" s="495" t="str">
        <f t="shared" si="1117"/>
        <v/>
      </c>
      <c r="DL145" s="496" t="str">
        <f t="shared" si="1118"/>
        <v/>
      </c>
      <c r="DM145" s="502" t="str">
        <f t="shared" si="1119"/>
        <v/>
      </c>
      <c r="DN145" s="508" t="str">
        <f t="shared" si="1120"/>
        <v/>
      </c>
      <c r="DO145" s="496" t="str">
        <f t="shared" si="1121"/>
        <v/>
      </c>
      <c r="DP145" s="502" t="str">
        <f t="shared" si="1122"/>
        <v/>
      </c>
      <c r="DQ145" s="503" t="str">
        <f t="shared" si="1123"/>
        <v/>
      </c>
      <c r="DR145" s="502" t="str">
        <f t="shared" si="1124"/>
        <v/>
      </c>
      <c r="DS145" s="494" t="str">
        <f t="shared" si="1125"/>
        <v/>
      </c>
      <c r="DT145" s="494" t="str">
        <f t="shared" si="1126"/>
        <v/>
      </c>
      <c r="DU145" s="494" t="str">
        <f t="shared" si="1127"/>
        <v/>
      </c>
      <c r="DV145" s="494" t="str">
        <f t="shared" si="1128"/>
        <v/>
      </c>
      <c r="DW145" s="494" t="str">
        <f t="shared" si="1129"/>
        <v/>
      </c>
      <c r="DX145" s="507" t="str">
        <f t="shared" si="1130"/>
        <v/>
      </c>
      <c r="DY145" s="496" t="str">
        <f t="shared" si="1131"/>
        <v/>
      </c>
      <c r="DZ145" s="494" t="str">
        <f t="shared" si="1132"/>
        <v/>
      </c>
      <c r="EA145" s="495" t="str">
        <f t="shared" si="1133"/>
        <v/>
      </c>
      <c r="EB145" s="497" t="str">
        <f t="shared" si="1134"/>
        <v/>
      </c>
      <c r="EC145" s="502" t="str">
        <f t="shared" si="1135"/>
        <v/>
      </c>
      <c r="ED145" s="494" t="str">
        <f t="shared" si="1136"/>
        <v/>
      </c>
      <c r="EE145" s="498" t="str">
        <f t="shared" si="1137"/>
        <v/>
      </c>
      <c r="EF145" s="494" t="str">
        <f t="shared" si="1138"/>
        <v/>
      </c>
      <c r="EG145" s="495" t="str">
        <f t="shared" si="1139"/>
        <v/>
      </c>
      <c r="EH145" s="496" t="str">
        <f t="shared" si="1140"/>
        <v/>
      </c>
      <c r="EI145" s="494" t="str">
        <f t="shared" si="1141"/>
        <v/>
      </c>
      <c r="EJ145" s="497" t="str">
        <f t="shared" si="1142"/>
        <v/>
      </c>
      <c r="EK145" s="509" t="str">
        <f t="shared" si="796"/>
        <v/>
      </c>
      <c r="EL145" s="510" t="str">
        <f t="shared" si="797"/>
        <v/>
      </c>
      <c r="EM145" s="498" t="str">
        <f t="shared" si="1143"/>
        <v/>
      </c>
      <c r="EN145" s="494" t="str">
        <f t="shared" si="1144"/>
        <v/>
      </c>
      <c r="EO145" s="495" t="str">
        <f t="shared" si="1145"/>
        <v/>
      </c>
      <c r="EP145" s="496" t="str">
        <f t="shared" si="1146"/>
        <v/>
      </c>
      <c r="EQ145" s="494" t="str">
        <f t="shared" si="1147"/>
        <v/>
      </c>
      <c r="ER145" s="500" t="str">
        <f t="shared" si="1148"/>
        <v/>
      </c>
      <c r="ES145" s="493" t="str">
        <f t="shared" si="1237"/>
        <v/>
      </c>
      <c r="ET145" s="494" t="str">
        <f t="shared" si="1238"/>
        <v/>
      </c>
      <c r="EU145" s="495" t="str">
        <f t="shared" si="1239"/>
        <v/>
      </c>
      <c r="EV145" s="174" t="str">
        <f t="shared" si="1149"/>
        <v/>
      </c>
      <c r="EW145" s="496" t="str">
        <f t="shared" si="1150"/>
        <v/>
      </c>
      <c r="EX145" s="494" t="str">
        <f t="shared" si="1151"/>
        <v/>
      </c>
      <c r="EY145" s="497" t="str">
        <f t="shared" si="1152"/>
        <v/>
      </c>
      <c r="EZ145" s="504" t="str">
        <f t="shared" si="805"/>
        <v/>
      </c>
      <c r="FA145" s="502" t="str">
        <f t="shared" si="928"/>
        <v/>
      </c>
      <c r="FB145" s="494" t="str">
        <f t="shared" si="929"/>
        <v/>
      </c>
      <c r="FC145" s="497" t="str">
        <f t="shared" si="930"/>
        <v/>
      </c>
      <c r="FD145" s="498" t="str">
        <f t="shared" si="1153"/>
        <v/>
      </c>
      <c r="FE145" s="494" t="str">
        <f t="shared" si="1154"/>
        <v/>
      </c>
      <c r="FF145" s="500" t="str">
        <f t="shared" si="1155"/>
        <v/>
      </c>
      <c r="FG145" s="173" t="str">
        <f t="shared" si="1156"/>
        <v/>
      </c>
      <c r="FH145" s="5" t="str">
        <f t="shared" si="1157"/>
        <v/>
      </c>
      <c r="FI145" s="10" t="str">
        <f t="shared" si="1158"/>
        <v/>
      </c>
      <c r="FJ145" s="279" t="str">
        <f t="shared" si="1159"/>
        <v/>
      </c>
      <c r="FK145" s="4" t="str">
        <f t="shared" si="1160"/>
        <v/>
      </c>
      <c r="FL145" s="5" t="str">
        <f t="shared" si="1161"/>
        <v/>
      </c>
      <c r="FM145" s="8" t="str">
        <f t="shared" si="1162"/>
        <v/>
      </c>
      <c r="FN145" s="9" t="str">
        <f t="shared" si="1163"/>
        <v/>
      </c>
      <c r="FO145" s="10" t="str">
        <f t="shared" si="1164"/>
        <v/>
      </c>
      <c r="FP145" s="277" t="str">
        <f t="shared" si="1165"/>
        <v/>
      </c>
      <c r="FQ145" s="173" t="str">
        <f t="shared" si="1166"/>
        <v/>
      </c>
      <c r="FR145" s="10" t="str">
        <f t="shared" si="1167"/>
        <v/>
      </c>
      <c r="FS145" s="9" t="str">
        <f t="shared" si="1168"/>
        <v/>
      </c>
      <c r="FT145" s="6" t="str">
        <f t="shared" si="1169"/>
        <v/>
      </c>
      <c r="FU145" s="4" t="str">
        <f t="shared" si="1170"/>
        <v/>
      </c>
      <c r="FV145" s="5" t="str">
        <f t="shared" si="1171"/>
        <v/>
      </c>
      <c r="FW145" s="8" t="str">
        <f t="shared" si="1172"/>
        <v/>
      </c>
      <c r="FX145" s="9" t="str">
        <f t="shared" si="1173"/>
        <v/>
      </c>
      <c r="FY145" s="10" t="str">
        <f t="shared" si="1174"/>
        <v/>
      </c>
      <c r="FZ145" s="277" t="str">
        <f t="shared" si="1175"/>
        <v/>
      </c>
      <c r="GA145" s="177" t="str">
        <f t="shared" si="1176"/>
        <v/>
      </c>
      <c r="GB145" s="4" t="str">
        <f t="shared" si="1177"/>
        <v/>
      </c>
      <c r="GC145" s="5" t="str">
        <f t="shared" si="1178"/>
        <v/>
      </c>
      <c r="GD145" s="10" t="str">
        <f t="shared" si="1179"/>
        <v/>
      </c>
      <c r="GE145" s="311" t="str">
        <f t="shared" si="1180"/>
        <v/>
      </c>
      <c r="GF145" s="341" t="str">
        <f t="shared" si="1181"/>
        <v/>
      </c>
      <c r="GG145" s="306" t="str">
        <f t="shared" si="1182"/>
        <v/>
      </c>
      <c r="GH145" s="307" t="str">
        <f t="shared" si="1183"/>
        <v/>
      </c>
      <c r="GI145" s="308" t="str">
        <f t="shared" si="1184"/>
        <v/>
      </c>
      <c r="GJ145" s="167" t="str">
        <f t="shared" si="1185"/>
        <v/>
      </c>
      <c r="GK145" s="174" t="str">
        <f t="shared" si="942"/>
        <v/>
      </c>
      <c r="GL145" s="174" t="str">
        <f t="shared" si="1186"/>
        <v/>
      </c>
      <c r="GM145" s="177" t="str">
        <f t="shared" si="1187"/>
        <v/>
      </c>
      <c r="GN145" s="280" t="str">
        <f t="shared" si="1188"/>
        <v/>
      </c>
      <c r="GO145" s="4" t="str">
        <f t="shared" si="1189"/>
        <v/>
      </c>
      <c r="GP145" s="8" t="str">
        <f t="shared" si="1190"/>
        <v/>
      </c>
      <c r="GQ145" s="177" t="str">
        <f t="shared" si="1191"/>
        <v/>
      </c>
      <c r="GR145" s="371" t="str">
        <f t="shared" si="1192"/>
        <v/>
      </c>
      <c r="GS145" s="342" t="str">
        <f t="shared" si="1193"/>
        <v/>
      </c>
      <c r="GT145" s="343" t="str">
        <f t="shared" si="1194"/>
        <v/>
      </c>
      <c r="GU145" s="344" t="str">
        <f t="shared" si="945"/>
        <v/>
      </c>
      <c r="GV145" s="343" t="str">
        <f t="shared" si="1195"/>
        <v/>
      </c>
      <c r="GW145" s="345" t="str">
        <f t="shared" si="946"/>
        <v/>
      </c>
      <c r="GX145" s="346" t="str">
        <f t="shared" si="947"/>
        <v/>
      </c>
      <c r="GY145" s="344" t="str">
        <f t="shared" si="1196"/>
        <v/>
      </c>
      <c r="GZ145" s="345" t="str">
        <f t="shared" si="1197"/>
        <v/>
      </c>
      <c r="HA145" s="342" t="str">
        <f t="shared" si="950"/>
        <v/>
      </c>
      <c r="HB145" s="5" t="str">
        <f t="shared" si="832"/>
        <v/>
      </c>
      <c r="HC145" s="343" t="str">
        <f t="shared" si="1198"/>
        <v/>
      </c>
      <c r="HD145" s="363" t="str">
        <f t="shared" si="1199"/>
        <v/>
      </c>
      <c r="HE145" s="344" t="str">
        <f t="shared" si="951"/>
        <v/>
      </c>
      <c r="HF145" s="5" t="str">
        <f t="shared" si="952"/>
        <v/>
      </c>
      <c r="HG145" s="343" t="str">
        <f t="shared" si="1200"/>
        <v/>
      </c>
      <c r="HH145" s="349" t="str">
        <f t="shared" si="1201"/>
        <v/>
      </c>
      <c r="HI145" s="317" t="str">
        <f t="shared" si="1240"/>
        <v/>
      </c>
      <c r="HK145" s="310" t="str">
        <f t="shared" si="1275"/>
        <v/>
      </c>
      <c r="HL145" s="348" t="str">
        <f t="shared" si="1241"/>
        <v/>
      </c>
      <c r="HM145" s="923" t="str">
        <f t="shared" si="1242"/>
        <v/>
      </c>
      <c r="HN145" s="924" t="str">
        <f t="shared" si="1243"/>
        <v/>
      </c>
      <c r="HO145" s="925"/>
      <c r="HP145" s="926"/>
      <c r="HQ145" s="924" t="str">
        <f t="shared" si="1244"/>
        <v/>
      </c>
      <c r="HR145" s="927" t="str">
        <f t="shared" si="1245"/>
        <v/>
      </c>
      <c r="HS145" s="879" t="str">
        <f t="shared" si="1202"/>
        <v/>
      </c>
      <c r="HT145" s="889" t="str">
        <f t="shared" si="1246"/>
        <v/>
      </c>
      <c r="HU145" s="890" t="str">
        <f t="shared" si="1247"/>
        <v/>
      </c>
      <c r="HV145" s="886" t="str">
        <f t="shared" si="1248"/>
        <v/>
      </c>
      <c r="HW145" s="880" t="str">
        <f t="shared" si="1249"/>
        <v/>
      </c>
      <c r="HX145" s="881" t="str">
        <f t="shared" si="1250"/>
        <v/>
      </c>
      <c r="HY145" s="880" t="str">
        <f t="shared" si="1251"/>
        <v/>
      </c>
      <c r="HZ145" s="882" t="str">
        <f t="shared" si="1252"/>
        <v/>
      </c>
      <c r="IA145" s="883" t="str">
        <f t="shared" si="1253"/>
        <v/>
      </c>
      <c r="IB145" s="884" t="str">
        <f t="shared" si="1254"/>
        <v/>
      </c>
      <c r="IC145" s="855" t="str">
        <f t="shared" si="1255"/>
        <v/>
      </c>
      <c r="ID145" s="351" t="str">
        <f t="shared" si="1256"/>
        <v/>
      </c>
      <c r="IE145" s="857" t="str">
        <f t="shared" si="125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79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58"/>
        <v/>
      </c>
      <c r="IM145" s="482" t="str">
        <f t="shared" si="1280"/>
        <v/>
      </c>
      <c r="IN145" s="670" t="str">
        <f t="shared" si="1259"/>
        <v/>
      </c>
      <c r="IO145" s="702"/>
      <c r="IP145" s="5" t="str">
        <f t="shared" si="1260"/>
        <v/>
      </c>
      <c r="IQ145" s="714"/>
      <c r="IR145" s="9" t="str">
        <f t="shared" si="1261"/>
        <v/>
      </c>
      <c r="IS145" s="5" t="str">
        <f t="shared" si="1262"/>
        <v/>
      </c>
      <c r="IT145" s="5" t="str">
        <f t="shared" si="1263"/>
        <v/>
      </c>
      <c r="IU145" s="5" t="str">
        <f t="shared" si="1264"/>
        <v/>
      </c>
      <c r="IV145" s="670" t="str">
        <f t="shared" si="1265"/>
        <v/>
      </c>
      <c r="IW145" s="9" t="str">
        <f t="shared" si="1266"/>
        <v/>
      </c>
      <c r="IX145" s="5" t="str">
        <f t="shared" si="1267"/>
        <v/>
      </c>
      <c r="IY145" s="5" t="str">
        <f t="shared" si="1268"/>
        <v/>
      </c>
      <c r="IZ145" s="5" t="str">
        <f t="shared" si="1269"/>
        <v/>
      </c>
      <c r="JA145" s="705" t="str">
        <f t="shared" si="1270"/>
        <v/>
      </c>
    </row>
    <row r="146" spans="1:261" ht="15" customHeight="1" x14ac:dyDescent="0.25">
      <c r="A146" s="75" t="str">
        <f t="shared" si="1271"/>
        <v/>
      </c>
      <c r="B146" s="585" t="str">
        <f t="shared" ref="B146:D146" si="1293">IFERROR(O301-($A146*E146),"")</f>
        <v/>
      </c>
      <c r="C146" s="582" t="str">
        <f t="shared" si="1293"/>
        <v/>
      </c>
      <c r="D146" s="583" t="str">
        <f t="shared" si="1293"/>
        <v/>
      </c>
      <c r="E146" s="588" t="str">
        <f t="shared" ref="E146:K146" si="1294">R301</f>
        <v/>
      </c>
      <c r="F146" s="582" t="str">
        <f t="shared" si="1294"/>
        <v/>
      </c>
      <c r="G146" s="586" t="str">
        <f t="shared" si="1294"/>
        <v/>
      </c>
      <c r="H146" s="588" t="str">
        <f t="shared" si="1294"/>
        <v/>
      </c>
      <c r="I146" s="582" t="str">
        <f t="shared" si="1294"/>
        <v/>
      </c>
      <c r="J146" s="491" t="str">
        <f t="shared" si="1274"/>
        <v/>
      </c>
      <c r="K146" s="807" t="str">
        <f t="shared" si="1294"/>
        <v/>
      </c>
      <c r="L146" s="309"/>
      <c r="M146" s="492" t="str">
        <f t="shared" si="1217"/>
        <v/>
      </c>
      <c r="N146" s="581" t="str">
        <f t="shared" si="1218"/>
        <v/>
      </c>
      <c r="O146" s="582" t="str">
        <f t="shared" si="1219"/>
        <v/>
      </c>
      <c r="P146" s="583" t="str">
        <f t="shared" si="1220"/>
        <v/>
      </c>
      <c r="Q146" s="536" t="str">
        <f t="shared" si="1060"/>
        <v/>
      </c>
      <c r="R146" s="582" t="str">
        <f t="shared" si="1061"/>
        <v/>
      </c>
      <c r="S146" s="584" t="str">
        <f t="shared" si="1062"/>
        <v/>
      </c>
      <c r="T146" s="585" t="str">
        <f t="shared" si="1063"/>
        <v/>
      </c>
      <c r="U146" s="582" t="str">
        <f t="shared" si="1064"/>
        <v/>
      </c>
      <c r="V146" s="586" t="str">
        <f t="shared" si="1065"/>
        <v/>
      </c>
      <c r="W146" s="536" t="str">
        <f t="shared" si="1066"/>
        <v/>
      </c>
      <c r="X146" s="582" t="str">
        <f t="shared" si="1067"/>
        <v/>
      </c>
      <c r="Y146" s="587" t="str">
        <f t="shared" si="1068"/>
        <v/>
      </c>
      <c r="Z146" s="581" t="str">
        <f t="shared" si="1221"/>
        <v/>
      </c>
      <c r="AA146" s="582" t="str">
        <f t="shared" si="1222"/>
        <v/>
      </c>
      <c r="AB146" s="582" t="str">
        <f t="shared" si="1223"/>
        <v/>
      </c>
      <c r="AC146" s="586" t="str">
        <f t="shared" si="1069"/>
        <v/>
      </c>
      <c r="AD146" s="588" t="str">
        <f t="shared" si="1070"/>
        <v/>
      </c>
      <c r="AE146" s="582" t="str">
        <f t="shared" si="1071"/>
        <v/>
      </c>
      <c r="AF146" s="583" t="str">
        <f t="shared" si="1072"/>
        <v/>
      </c>
      <c r="AG146" s="547" t="str">
        <f t="shared" si="1073"/>
        <v/>
      </c>
      <c r="AH146" s="548" t="str">
        <f t="shared" si="1074"/>
        <v/>
      </c>
      <c r="AI146" s="536" t="str">
        <f t="shared" si="1075"/>
        <v/>
      </c>
      <c r="AJ146" s="537" t="str">
        <f t="shared" si="1076"/>
        <v/>
      </c>
      <c r="AK146" s="585" t="str">
        <f t="shared" si="1077"/>
        <v/>
      </c>
      <c r="AL146" s="582" t="str">
        <f t="shared" si="1078"/>
        <v/>
      </c>
      <c r="AM146" s="584" t="str">
        <f t="shared" si="1079"/>
        <v/>
      </c>
      <c r="AN146" s="534" t="str">
        <f t="shared" si="1080"/>
        <v/>
      </c>
      <c r="AO146" s="535" t="str">
        <f t="shared" si="1039"/>
        <v/>
      </c>
      <c r="AP146" s="536" t="str">
        <f t="shared" si="1081"/>
        <v/>
      </c>
      <c r="AQ146" s="537" t="str">
        <f t="shared" si="1224"/>
        <v/>
      </c>
      <c r="AS146" s="955" t="str">
        <f t="shared" si="1278"/>
        <v/>
      </c>
      <c r="AT146" s="951" t="str">
        <f t="shared" si="1225"/>
        <v/>
      </c>
      <c r="AU146" s="418"/>
      <c r="AV146" s="164" t="str">
        <f t="shared" si="122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2"/>
        <v/>
      </c>
      <c r="BA146" s="505" t="str">
        <f t="shared" si="1083"/>
        <v/>
      </c>
      <c r="BB146" s="506" t="str">
        <f t="shared" si="713"/>
        <v/>
      </c>
      <c r="BC146" s="496"/>
      <c r="BD146" s="494" t="str">
        <f t="shared" si="1084"/>
        <v/>
      </c>
      <c r="BE146" s="497" t="str">
        <f t="shared" si="1227"/>
        <v/>
      </c>
      <c r="BF146" s="498" t="str">
        <f t="shared" si="1228"/>
        <v/>
      </c>
      <c r="BG146" s="494" t="str">
        <f t="shared" si="1229"/>
        <v/>
      </c>
      <c r="BH146" s="495" t="str">
        <f t="shared" si="1230"/>
        <v/>
      </c>
      <c r="BI146" s="496" t="str">
        <f t="shared" si="1085"/>
        <v/>
      </c>
      <c r="BJ146" s="494" t="str">
        <f t="shared" si="1231"/>
        <v/>
      </c>
      <c r="BK146" s="499" t="str">
        <f t="shared" si="1232"/>
        <v/>
      </c>
      <c r="BL146" s="502" t="str">
        <f t="shared" si="1233"/>
        <v/>
      </c>
      <c r="BM146" s="494" t="str">
        <f t="shared" si="1234"/>
        <v/>
      </c>
      <c r="BN146" s="497" t="str">
        <f t="shared" si="1235"/>
        <v/>
      </c>
      <c r="BO146" s="498" t="str">
        <f t="shared" si="1086"/>
        <v/>
      </c>
      <c r="BP146" s="494" t="str">
        <f t="shared" si="1087"/>
        <v/>
      </c>
      <c r="BQ146" s="494" t="str">
        <f t="shared" si="1088"/>
        <v/>
      </c>
      <c r="BR146" s="497" t="str">
        <f t="shared" si="1089"/>
        <v/>
      </c>
      <c r="BS146" s="498" t="str">
        <f t="shared" si="1005"/>
        <v/>
      </c>
      <c r="BT146" s="494" t="str">
        <f t="shared" si="1005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0"/>
        <v/>
      </c>
      <c r="CC146" s="494" t="str">
        <f t="shared" si="1091"/>
        <v/>
      </c>
      <c r="CD146" s="494" t="str">
        <f t="shared" si="1092"/>
        <v/>
      </c>
      <c r="CE146" s="497" t="str">
        <f t="shared" si="1093"/>
        <v/>
      </c>
      <c r="CF146" s="498" t="str">
        <f t="shared" si="1094"/>
        <v/>
      </c>
      <c r="CG146" s="494" t="str">
        <f t="shared" si="1095"/>
        <v/>
      </c>
      <c r="CH146" s="494" t="str">
        <f t="shared" si="1096"/>
        <v/>
      </c>
      <c r="CI146" s="498" t="str">
        <f t="shared" si="723"/>
        <v/>
      </c>
      <c r="CJ146" s="494" t="str">
        <f t="shared" si="1097"/>
        <v/>
      </c>
      <c r="CK146" s="499" t="str">
        <f t="shared" si="1098"/>
        <v/>
      </c>
      <c r="CL146" s="502" t="str">
        <f t="shared" si="1099"/>
        <v/>
      </c>
      <c r="CM146" s="494" t="str">
        <f t="shared" si="1100"/>
        <v/>
      </c>
      <c r="CN146" s="497" t="str">
        <f t="shared" si="1101"/>
        <v/>
      </c>
      <c r="CO146" s="507" t="str">
        <f t="shared" si="1236"/>
        <v/>
      </c>
      <c r="CP146" s="498" t="str">
        <f t="shared" si="1102"/>
        <v/>
      </c>
      <c r="CQ146" s="494" t="str">
        <f t="shared" si="1103"/>
        <v/>
      </c>
      <c r="CR146" s="494" t="str">
        <f t="shared" si="1104"/>
        <v/>
      </c>
      <c r="CS146" s="499" t="str">
        <f t="shared" si="1105"/>
        <v/>
      </c>
      <c r="CT146" s="496" t="str">
        <f t="shared" si="1106"/>
        <v/>
      </c>
      <c r="CU146" s="497" t="str">
        <f t="shared" si="1107"/>
        <v/>
      </c>
      <c r="CV146" s="498" t="str">
        <f t="shared" si="1108"/>
        <v/>
      </c>
      <c r="CW146" s="494" t="str">
        <f t="shared" si="1109"/>
        <v/>
      </c>
      <c r="CX146" s="499" t="str">
        <f t="shared" si="1110"/>
        <v/>
      </c>
      <c r="CY146" s="496" t="str">
        <f t="shared" si="1111"/>
        <v/>
      </c>
      <c r="CZ146" s="494" t="str">
        <f t="shared" si="1112"/>
        <v/>
      </c>
      <c r="DA146" s="497" t="str">
        <f t="shared" si="1113"/>
        <v/>
      </c>
      <c r="DB146" s="498" t="str">
        <f t="shared" si="1011"/>
        <v/>
      </c>
      <c r="DC146" s="494" t="str">
        <f t="shared" si="1011"/>
        <v/>
      </c>
      <c r="DD146" s="495" t="str">
        <f t="shared" si="764"/>
        <v/>
      </c>
      <c r="DE146" s="496" t="str">
        <f t="shared" si="1012"/>
        <v/>
      </c>
      <c r="DF146" s="494" t="str">
        <f t="shared" si="1012"/>
        <v/>
      </c>
      <c r="DG146" s="495" t="str">
        <f t="shared" si="766"/>
        <v/>
      </c>
      <c r="DH146" s="501" t="str">
        <f t="shared" si="1114"/>
        <v/>
      </c>
      <c r="DI146" s="498" t="str">
        <f t="shared" si="1115"/>
        <v/>
      </c>
      <c r="DJ146" s="494" t="str">
        <f t="shared" si="1116"/>
        <v/>
      </c>
      <c r="DK146" s="495" t="str">
        <f t="shared" si="1117"/>
        <v/>
      </c>
      <c r="DL146" s="496" t="str">
        <f t="shared" si="1118"/>
        <v/>
      </c>
      <c r="DM146" s="502" t="str">
        <f t="shared" si="1119"/>
        <v/>
      </c>
      <c r="DN146" s="508" t="str">
        <f t="shared" si="1120"/>
        <v/>
      </c>
      <c r="DO146" s="496" t="str">
        <f t="shared" si="1121"/>
        <v/>
      </c>
      <c r="DP146" s="502" t="str">
        <f t="shared" si="1122"/>
        <v/>
      </c>
      <c r="DQ146" s="503" t="str">
        <f t="shared" si="1123"/>
        <v/>
      </c>
      <c r="DR146" s="502" t="str">
        <f t="shared" si="1124"/>
        <v/>
      </c>
      <c r="DS146" s="494" t="str">
        <f t="shared" si="1125"/>
        <v/>
      </c>
      <c r="DT146" s="494" t="str">
        <f t="shared" si="1126"/>
        <v/>
      </c>
      <c r="DU146" s="494" t="str">
        <f t="shared" si="1127"/>
        <v/>
      </c>
      <c r="DV146" s="494" t="str">
        <f t="shared" si="1128"/>
        <v/>
      </c>
      <c r="DW146" s="494" t="str">
        <f t="shared" si="1129"/>
        <v/>
      </c>
      <c r="DX146" s="507" t="str">
        <f t="shared" si="1130"/>
        <v/>
      </c>
      <c r="DY146" s="496" t="str">
        <f t="shared" si="1131"/>
        <v/>
      </c>
      <c r="DZ146" s="494" t="str">
        <f t="shared" si="1132"/>
        <v/>
      </c>
      <c r="EA146" s="495" t="str">
        <f t="shared" si="1133"/>
        <v/>
      </c>
      <c r="EB146" s="497" t="str">
        <f t="shared" si="1134"/>
        <v/>
      </c>
      <c r="EC146" s="502" t="str">
        <f t="shared" si="1135"/>
        <v/>
      </c>
      <c r="ED146" s="494" t="str">
        <f t="shared" si="1136"/>
        <v/>
      </c>
      <c r="EE146" s="498" t="str">
        <f t="shared" si="1137"/>
        <v/>
      </c>
      <c r="EF146" s="494" t="str">
        <f t="shared" si="1138"/>
        <v/>
      </c>
      <c r="EG146" s="495" t="str">
        <f t="shared" si="1139"/>
        <v/>
      </c>
      <c r="EH146" s="496" t="str">
        <f t="shared" si="1140"/>
        <v/>
      </c>
      <c r="EI146" s="494" t="str">
        <f t="shared" si="1141"/>
        <v/>
      </c>
      <c r="EJ146" s="497" t="str">
        <f t="shared" si="1142"/>
        <v/>
      </c>
      <c r="EK146" s="509" t="str">
        <f t="shared" si="796"/>
        <v/>
      </c>
      <c r="EL146" s="510" t="str">
        <f t="shared" si="797"/>
        <v/>
      </c>
      <c r="EM146" s="498" t="str">
        <f t="shared" si="1143"/>
        <v/>
      </c>
      <c r="EN146" s="494" t="str">
        <f t="shared" si="1144"/>
        <v/>
      </c>
      <c r="EO146" s="495" t="str">
        <f t="shared" si="1145"/>
        <v/>
      </c>
      <c r="EP146" s="496" t="str">
        <f t="shared" si="1146"/>
        <v/>
      </c>
      <c r="EQ146" s="494" t="str">
        <f t="shared" si="1147"/>
        <v/>
      </c>
      <c r="ER146" s="500" t="str">
        <f t="shared" si="1148"/>
        <v/>
      </c>
      <c r="ES146" s="493" t="str">
        <f t="shared" si="1237"/>
        <v/>
      </c>
      <c r="ET146" s="494" t="str">
        <f t="shared" si="1238"/>
        <v/>
      </c>
      <c r="EU146" s="495" t="str">
        <f t="shared" si="1239"/>
        <v/>
      </c>
      <c r="EV146" s="174" t="str">
        <f t="shared" si="1149"/>
        <v/>
      </c>
      <c r="EW146" s="496" t="str">
        <f t="shared" si="1150"/>
        <v/>
      </c>
      <c r="EX146" s="494" t="str">
        <f t="shared" si="1151"/>
        <v/>
      </c>
      <c r="EY146" s="497" t="str">
        <f t="shared" si="1152"/>
        <v/>
      </c>
      <c r="EZ146" s="504" t="str">
        <f t="shared" si="805"/>
        <v/>
      </c>
      <c r="FA146" s="502" t="str">
        <f t="shared" si="928"/>
        <v/>
      </c>
      <c r="FB146" s="494" t="str">
        <f t="shared" si="929"/>
        <v/>
      </c>
      <c r="FC146" s="497" t="str">
        <f t="shared" si="930"/>
        <v/>
      </c>
      <c r="FD146" s="498" t="str">
        <f t="shared" si="1153"/>
        <v/>
      </c>
      <c r="FE146" s="494" t="str">
        <f t="shared" si="1154"/>
        <v/>
      </c>
      <c r="FF146" s="500" t="str">
        <f t="shared" si="1155"/>
        <v/>
      </c>
      <c r="FG146" s="173" t="str">
        <f t="shared" si="1156"/>
        <v/>
      </c>
      <c r="FH146" s="5" t="str">
        <f t="shared" si="1157"/>
        <v/>
      </c>
      <c r="FI146" s="10" t="str">
        <f t="shared" si="1158"/>
        <v/>
      </c>
      <c r="FJ146" s="279" t="str">
        <f t="shared" si="1159"/>
        <v/>
      </c>
      <c r="FK146" s="4" t="str">
        <f t="shared" si="1160"/>
        <v/>
      </c>
      <c r="FL146" s="5" t="str">
        <f t="shared" si="1161"/>
        <v/>
      </c>
      <c r="FM146" s="8" t="str">
        <f t="shared" si="1162"/>
        <v/>
      </c>
      <c r="FN146" s="9" t="str">
        <f t="shared" si="1163"/>
        <v/>
      </c>
      <c r="FO146" s="10" t="str">
        <f t="shared" si="1164"/>
        <v/>
      </c>
      <c r="FP146" s="277" t="str">
        <f t="shared" si="1165"/>
        <v/>
      </c>
      <c r="FQ146" s="173" t="str">
        <f t="shared" si="1166"/>
        <v/>
      </c>
      <c r="FR146" s="10" t="str">
        <f t="shared" si="1167"/>
        <v/>
      </c>
      <c r="FS146" s="9" t="str">
        <f t="shared" si="1168"/>
        <v/>
      </c>
      <c r="FT146" s="6" t="str">
        <f t="shared" si="1169"/>
        <v/>
      </c>
      <c r="FU146" s="4" t="str">
        <f t="shared" si="1170"/>
        <v/>
      </c>
      <c r="FV146" s="5" t="str">
        <f t="shared" si="1171"/>
        <v/>
      </c>
      <c r="FW146" s="8" t="str">
        <f t="shared" si="1172"/>
        <v/>
      </c>
      <c r="FX146" s="9" t="str">
        <f t="shared" si="1173"/>
        <v/>
      </c>
      <c r="FY146" s="10" t="str">
        <f t="shared" si="1174"/>
        <v/>
      </c>
      <c r="FZ146" s="277" t="str">
        <f t="shared" si="1175"/>
        <v/>
      </c>
      <c r="GA146" s="177" t="str">
        <f t="shared" si="1176"/>
        <v/>
      </c>
      <c r="GB146" s="4" t="str">
        <f t="shared" si="1177"/>
        <v/>
      </c>
      <c r="GC146" s="5" t="str">
        <f t="shared" si="1178"/>
        <v/>
      </c>
      <c r="GD146" s="10" t="str">
        <f t="shared" si="1179"/>
        <v/>
      </c>
      <c r="GE146" s="311" t="str">
        <f t="shared" si="1180"/>
        <v/>
      </c>
      <c r="GF146" s="341" t="str">
        <f t="shared" si="1181"/>
        <v/>
      </c>
      <c r="GG146" s="306" t="str">
        <f t="shared" si="1182"/>
        <v/>
      </c>
      <c r="GH146" s="307" t="str">
        <f t="shared" si="1183"/>
        <v/>
      </c>
      <c r="GI146" s="308" t="str">
        <f t="shared" si="1184"/>
        <v/>
      </c>
      <c r="GJ146" s="167" t="str">
        <f t="shared" si="1185"/>
        <v/>
      </c>
      <c r="GK146" s="174" t="str">
        <f t="shared" si="942"/>
        <v/>
      </c>
      <c r="GL146" s="174" t="str">
        <f t="shared" si="1186"/>
        <v/>
      </c>
      <c r="GM146" s="177" t="str">
        <f t="shared" si="1187"/>
        <v/>
      </c>
      <c r="GN146" s="280" t="str">
        <f t="shared" si="1188"/>
        <v/>
      </c>
      <c r="GO146" s="4" t="str">
        <f t="shared" si="1189"/>
        <v/>
      </c>
      <c r="GP146" s="8" t="str">
        <f t="shared" si="1190"/>
        <v/>
      </c>
      <c r="GQ146" s="177" t="str">
        <f t="shared" si="1191"/>
        <v/>
      </c>
      <c r="GR146" s="371" t="str">
        <f t="shared" si="1192"/>
        <v/>
      </c>
      <c r="GS146" s="342" t="str">
        <f t="shared" si="1193"/>
        <v/>
      </c>
      <c r="GT146" s="343" t="str">
        <f t="shared" si="1194"/>
        <v/>
      </c>
      <c r="GU146" s="344" t="str">
        <f t="shared" si="945"/>
        <v/>
      </c>
      <c r="GV146" s="343" t="str">
        <f t="shared" si="1195"/>
        <v/>
      </c>
      <c r="GW146" s="345" t="str">
        <f t="shared" si="946"/>
        <v/>
      </c>
      <c r="GX146" s="346" t="str">
        <f t="shared" si="947"/>
        <v/>
      </c>
      <c r="GY146" s="344" t="str">
        <f t="shared" si="1196"/>
        <v/>
      </c>
      <c r="GZ146" s="345" t="str">
        <f t="shared" si="1197"/>
        <v/>
      </c>
      <c r="HA146" s="342" t="str">
        <f t="shared" si="950"/>
        <v/>
      </c>
      <c r="HB146" s="5" t="str">
        <f t="shared" si="832"/>
        <v/>
      </c>
      <c r="HC146" s="343" t="str">
        <f t="shared" si="1198"/>
        <v/>
      </c>
      <c r="HD146" s="363" t="str">
        <f t="shared" si="1199"/>
        <v/>
      </c>
      <c r="HE146" s="344" t="str">
        <f t="shared" si="951"/>
        <v/>
      </c>
      <c r="HF146" s="5" t="str">
        <f t="shared" si="952"/>
        <v/>
      </c>
      <c r="HG146" s="343" t="str">
        <f t="shared" si="1200"/>
        <v/>
      </c>
      <c r="HH146" s="349" t="str">
        <f t="shared" si="1201"/>
        <v/>
      </c>
      <c r="HI146" s="317" t="str">
        <f t="shared" si="1240"/>
        <v/>
      </c>
      <c r="HK146" s="310" t="str">
        <f t="shared" si="1275"/>
        <v/>
      </c>
      <c r="HL146" s="348" t="str">
        <f t="shared" si="1241"/>
        <v/>
      </c>
      <c r="HM146" s="923" t="str">
        <f t="shared" si="1242"/>
        <v/>
      </c>
      <c r="HN146" s="924" t="str">
        <f t="shared" si="1243"/>
        <v/>
      </c>
      <c r="HO146" s="925"/>
      <c r="HP146" s="926"/>
      <c r="HQ146" s="924" t="str">
        <f t="shared" si="1244"/>
        <v/>
      </c>
      <c r="HR146" s="927" t="str">
        <f t="shared" si="1245"/>
        <v/>
      </c>
      <c r="HS146" s="879" t="str">
        <f t="shared" si="1202"/>
        <v/>
      </c>
      <c r="HT146" s="889" t="str">
        <f t="shared" si="1246"/>
        <v/>
      </c>
      <c r="HU146" s="890" t="str">
        <f t="shared" si="1247"/>
        <v/>
      </c>
      <c r="HV146" s="886" t="str">
        <f t="shared" si="1248"/>
        <v/>
      </c>
      <c r="HW146" s="880" t="str">
        <f t="shared" si="1249"/>
        <v/>
      </c>
      <c r="HX146" s="881" t="str">
        <f t="shared" si="1250"/>
        <v/>
      </c>
      <c r="HY146" s="880" t="str">
        <f t="shared" si="1251"/>
        <v/>
      </c>
      <c r="HZ146" s="882" t="str">
        <f t="shared" si="1252"/>
        <v/>
      </c>
      <c r="IA146" s="883" t="str">
        <f t="shared" si="1253"/>
        <v/>
      </c>
      <c r="IB146" s="884" t="str">
        <f t="shared" si="1254"/>
        <v/>
      </c>
      <c r="IC146" s="855" t="str">
        <f t="shared" si="1255"/>
        <v/>
      </c>
      <c r="ID146" s="351" t="str">
        <f t="shared" si="1256"/>
        <v/>
      </c>
      <c r="IE146" s="857" t="str">
        <f t="shared" si="125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79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58"/>
        <v/>
      </c>
      <c r="IM146" s="482" t="str">
        <f t="shared" si="1280"/>
        <v/>
      </c>
      <c r="IN146" s="670" t="str">
        <f t="shared" si="1259"/>
        <v/>
      </c>
      <c r="IO146" s="702"/>
      <c r="IP146" s="5" t="str">
        <f t="shared" si="1260"/>
        <v/>
      </c>
      <c r="IQ146" s="714"/>
      <c r="IR146" s="9" t="str">
        <f t="shared" si="1261"/>
        <v/>
      </c>
      <c r="IS146" s="5" t="str">
        <f t="shared" si="1262"/>
        <v/>
      </c>
      <c r="IT146" s="5" t="str">
        <f t="shared" si="1263"/>
        <v/>
      </c>
      <c r="IU146" s="5" t="str">
        <f t="shared" si="1264"/>
        <v/>
      </c>
      <c r="IV146" s="670" t="str">
        <f t="shared" si="1265"/>
        <v/>
      </c>
      <c r="IW146" s="9" t="str">
        <f t="shared" si="1266"/>
        <v/>
      </c>
      <c r="IX146" s="5" t="str">
        <f t="shared" si="1267"/>
        <v/>
      </c>
      <c r="IY146" s="5" t="str">
        <f t="shared" si="1268"/>
        <v/>
      </c>
      <c r="IZ146" s="5" t="str">
        <f t="shared" si="1269"/>
        <v/>
      </c>
      <c r="JA146" s="705" t="str">
        <f t="shared" si="1270"/>
        <v/>
      </c>
    </row>
    <row r="147" spans="1:261" ht="15" customHeight="1" x14ac:dyDescent="0.25">
      <c r="A147" s="75" t="str">
        <f t="shared" si="1271"/>
        <v/>
      </c>
      <c r="B147" s="585" t="str">
        <f t="shared" ref="B147:D147" si="1295">IFERROR(O302-($A147*E147),"")</f>
        <v/>
      </c>
      <c r="C147" s="582" t="str">
        <f t="shared" si="1295"/>
        <v/>
      </c>
      <c r="D147" s="583" t="str">
        <f t="shared" si="1295"/>
        <v/>
      </c>
      <c r="E147" s="588" t="str">
        <f t="shared" ref="E147:K147" si="1296">R302</f>
        <v/>
      </c>
      <c r="F147" s="582" t="str">
        <f t="shared" si="1296"/>
        <v/>
      </c>
      <c r="G147" s="586" t="str">
        <f t="shared" si="1296"/>
        <v/>
      </c>
      <c r="H147" s="588" t="str">
        <f t="shared" si="1296"/>
        <v/>
      </c>
      <c r="I147" s="582" t="str">
        <f t="shared" si="1296"/>
        <v/>
      </c>
      <c r="J147" s="491" t="str">
        <f t="shared" si="1274"/>
        <v/>
      </c>
      <c r="K147" s="807" t="str">
        <f t="shared" si="1296"/>
        <v/>
      </c>
      <c r="L147" s="309"/>
      <c r="M147" s="492" t="str">
        <f t="shared" si="1217"/>
        <v/>
      </c>
      <c r="N147" s="581" t="str">
        <f t="shared" si="1218"/>
        <v/>
      </c>
      <c r="O147" s="582" t="str">
        <f t="shared" si="1219"/>
        <v/>
      </c>
      <c r="P147" s="583" t="str">
        <f t="shared" si="1220"/>
        <v/>
      </c>
      <c r="Q147" s="536" t="str">
        <f t="shared" si="1060"/>
        <v/>
      </c>
      <c r="R147" s="582" t="str">
        <f t="shared" si="1061"/>
        <v/>
      </c>
      <c r="S147" s="584" t="str">
        <f t="shared" si="1062"/>
        <v/>
      </c>
      <c r="T147" s="585" t="str">
        <f t="shared" si="1063"/>
        <v/>
      </c>
      <c r="U147" s="582" t="str">
        <f t="shared" si="1064"/>
        <v/>
      </c>
      <c r="V147" s="586" t="str">
        <f t="shared" si="1065"/>
        <v/>
      </c>
      <c r="W147" s="536" t="str">
        <f t="shared" si="1066"/>
        <v/>
      </c>
      <c r="X147" s="582" t="str">
        <f t="shared" si="1067"/>
        <v/>
      </c>
      <c r="Y147" s="587" t="str">
        <f t="shared" si="1068"/>
        <v/>
      </c>
      <c r="Z147" s="581" t="str">
        <f t="shared" si="1221"/>
        <v/>
      </c>
      <c r="AA147" s="582" t="str">
        <f t="shared" si="1222"/>
        <v/>
      </c>
      <c r="AB147" s="582" t="str">
        <f t="shared" si="1223"/>
        <v/>
      </c>
      <c r="AC147" s="586" t="str">
        <f t="shared" si="1069"/>
        <v/>
      </c>
      <c r="AD147" s="588" t="str">
        <f t="shared" si="1070"/>
        <v/>
      </c>
      <c r="AE147" s="582" t="str">
        <f t="shared" si="1071"/>
        <v/>
      </c>
      <c r="AF147" s="583" t="str">
        <f t="shared" si="1072"/>
        <v/>
      </c>
      <c r="AG147" s="547" t="str">
        <f t="shared" si="1073"/>
        <v/>
      </c>
      <c r="AH147" s="548" t="str">
        <f t="shared" si="1074"/>
        <v/>
      </c>
      <c r="AI147" s="536" t="str">
        <f t="shared" si="1075"/>
        <v/>
      </c>
      <c r="AJ147" s="537" t="str">
        <f t="shared" si="1076"/>
        <v/>
      </c>
      <c r="AK147" s="585" t="str">
        <f t="shared" si="1077"/>
        <v/>
      </c>
      <c r="AL147" s="582" t="str">
        <f t="shared" si="1078"/>
        <v/>
      </c>
      <c r="AM147" s="584" t="str">
        <f t="shared" si="1079"/>
        <v/>
      </c>
      <c r="AN147" s="534" t="str">
        <f t="shared" si="1080"/>
        <v/>
      </c>
      <c r="AO147" s="535" t="str">
        <f t="shared" si="1039"/>
        <v/>
      </c>
      <c r="AP147" s="536" t="str">
        <f t="shared" si="1081"/>
        <v/>
      </c>
      <c r="AQ147" s="537" t="str">
        <f t="shared" si="1224"/>
        <v/>
      </c>
      <c r="AS147" s="955" t="str">
        <f t="shared" si="1278"/>
        <v/>
      </c>
      <c r="AT147" s="951" t="str">
        <f t="shared" si="1225"/>
        <v/>
      </c>
      <c r="AU147" s="418"/>
      <c r="AV147" s="164" t="str">
        <f t="shared" si="122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2"/>
        <v/>
      </c>
      <c r="BA147" s="505" t="str">
        <f t="shared" si="1083"/>
        <v/>
      </c>
      <c r="BB147" s="506" t="str">
        <f t="shared" si="713"/>
        <v/>
      </c>
      <c r="BC147" s="496"/>
      <c r="BD147" s="494" t="str">
        <f t="shared" si="1084"/>
        <v/>
      </c>
      <c r="BE147" s="497" t="str">
        <f t="shared" si="1227"/>
        <v/>
      </c>
      <c r="BF147" s="498" t="str">
        <f t="shared" si="1228"/>
        <v/>
      </c>
      <c r="BG147" s="494" t="str">
        <f t="shared" si="1229"/>
        <v/>
      </c>
      <c r="BH147" s="495" t="str">
        <f t="shared" si="1230"/>
        <v/>
      </c>
      <c r="BI147" s="496" t="str">
        <f t="shared" si="1085"/>
        <v/>
      </c>
      <c r="BJ147" s="494" t="str">
        <f t="shared" si="1231"/>
        <v/>
      </c>
      <c r="BK147" s="499" t="str">
        <f t="shared" si="1232"/>
        <v/>
      </c>
      <c r="BL147" s="502" t="str">
        <f t="shared" si="1233"/>
        <v/>
      </c>
      <c r="BM147" s="494" t="str">
        <f t="shared" si="1234"/>
        <v/>
      </c>
      <c r="BN147" s="497" t="str">
        <f t="shared" si="1235"/>
        <v/>
      </c>
      <c r="BO147" s="498" t="str">
        <f t="shared" si="1086"/>
        <v/>
      </c>
      <c r="BP147" s="494" t="str">
        <f t="shared" si="1087"/>
        <v/>
      </c>
      <c r="BQ147" s="494" t="str">
        <f t="shared" si="1088"/>
        <v/>
      </c>
      <c r="BR147" s="497" t="str">
        <f t="shared" si="1089"/>
        <v/>
      </c>
      <c r="BS147" s="498" t="str">
        <f t="shared" si="1005"/>
        <v/>
      </c>
      <c r="BT147" s="494" t="str">
        <f t="shared" si="1005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0"/>
        <v/>
      </c>
      <c r="CC147" s="494" t="str">
        <f t="shared" si="1091"/>
        <v/>
      </c>
      <c r="CD147" s="494" t="str">
        <f t="shared" si="1092"/>
        <v/>
      </c>
      <c r="CE147" s="497" t="str">
        <f t="shared" si="1093"/>
        <v/>
      </c>
      <c r="CF147" s="498" t="str">
        <f t="shared" si="1094"/>
        <v/>
      </c>
      <c r="CG147" s="494" t="str">
        <f t="shared" si="1095"/>
        <v/>
      </c>
      <c r="CH147" s="494" t="str">
        <f t="shared" si="1096"/>
        <v/>
      </c>
      <c r="CI147" s="498" t="str">
        <f t="shared" si="723"/>
        <v/>
      </c>
      <c r="CJ147" s="494" t="str">
        <f t="shared" si="1097"/>
        <v/>
      </c>
      <c r="CK147" s="499" t="str">
        <f t="shared" si="1098"/>
        <v/>
      </c>
      <c r="CL147" s="502" t="str">
        <f t="shared" si="1099"/>
        <v/>
      </c>
      <c r="CM147" s="494" t="str">
        <f t="shared" si="1100"/>
        <v/>
      </c>
      <c r="CN147" s="497" t="str">
        <f t="shared" si="1101"/>
        <v/>
      </c>
      <c r="CO147" s="507" t="str">
        <f t="shared" si="1236"/>
        <v/>
      </c>
      <c r="CP147" s="498" t="str">
        <f t="shared" si="1102"/>
        <v/>
      </c>
      <c r="CQ147" s="494" t="str">
        <f t="shared" si="1103"/>
        <v/>
      </c>
      <c r="CR147" s="494" t="str">
        <f t="shared" si="1104"/>
        <v/>
      </c>
      <c r="CS147" s="499" t="str">
        <f t="shared" si="1105"/>
        <v/>
      </c>
      <c r="CT147" s="496" t="str">
        <f t="shared" si="1106"/>
        <v/>
      </c>
      <c r="CU147" s="497" t="str">
        <f t="shared" si="1107"/>
        <v/>
      </c>
      <c r="CV147" s="498" t="str">
        <f t="shared" si="1108"/>
        <v/>
      </c>
      <c r="CW147" s="494" t="str">
        <f t="shared" si="1109"/>
        <v/>
      </c>
      <c r="CX147" s="499" t="str">
        <f t="shared" si="1110"/>
        <v/>
      </c>
      <c r="CY147" s="496" t="str">
        <f t="shared" si="1111"/>
        <v/>
      </c>
      <c r="CZ147" s="494" t="str">
        <f t="shared" si="1112"/>
        <v/>
      </c>
      <c r="DA147" s="497" t="str">
        <f t="shared" si="1113"/>
        <v/>
      </c>
      <c r="DB147" s="498" t="str">
        <f t="shared" si="1011"/>
        <v/>
      </c>
      <c r="DC147" s="494" t="str">
        <f t="shared" si="1011"/>
        <v/>
      </c>
      <c r="DD147" s="495" t="str">
        <f t="shared" si="764"/>
        <v/>
      </c>
      <c r="DE147" s="496" t="str">
        <f t="shared" si="1012"/>
        <v/>
      </c>
      <c r="DF147" s="494" t="str">
        <f t="shared" si="1012"/>
        <v/>
      </c>
      <c r="DG147" s="495" t="str">
        <f t="shared" si="766"/>
        <v/>
      </c>
      <c r="DH147" s="501" t="str">
        <f t="shared" si="1114"/>
        <v/>
      </c>
      <c r="DI147" s="498" t="str">
        <f t="shared" si="1115"/>
        <v/>
      </c>
      <c r="DJ147" s="494" t="str">
        <f t="shared" si="1116"/>
        <v/>
      </c>
      <c r="DK147" s="495" t="str">
        <f t="shared" si="1117"/>
        <v/>
      </c>
      <c r="DL147" s="496" t="str">
        <f t="shared" si="1118"/>
        <v/>
      </c>
      <c r="DM147" s="502" t="str">
        <f t="shared" si="1119"/>
        <v/>
      </c>
      <c r="DN147" s="508" t="str">
        <f t="shared" si="1120"/>
        <v/>
      </c>
      <c r="DO147" s="496" t="str">
        <f t="shared" si="1121"/>
        <v/>
      </c>
      <c r="DP147" s="502" t="str">
        <f t="shared" si="1122"/>
        <v/>
      </c>
      <c r="DQ147" s="503" t="str">
        <f t="shared" si="1123"/>
        <v/>
      </c>
      <c r="DR147" s="502" t="str">
        <f t="shared" si="1124"/>
        <v/>
      </c>
      <c r="DS147" s="494" t="str">
        <f t="shared" si="1125"/>
        <v/>
      </c>
      <c r="DT147" s="494" t="str">
        <f t="shared" si="1126"/>
        <v/>
      </c>
      <c r="DU147" s="494" t="str">
        <f t="shared" si="1127"/>
        <v/>
      </c>
      <c r="DV147" s="494" t="str">
        <f t="shared" si="1128"/>
        <v/>
      </c>
      <c r="DW147" s="494" t="str">
        <f t="shared" si="1129"/>
        <v/>
      </c>
      <c r="DX147" s="507" t="str">
        <f t="shared" si="1130"/>
        <v/>
      </c>
      <c r="DY147" s="496" t="str">
        <f t="shared" si="1131"/>
        <v/>
      </c>
      <c r="DZ147" s="494" t="str">
        <f t="shared" si="1132"/>
        <v/>
      </c>
      <c r="EA147" s="495" t="str">
        <f t="shared" si="1133"/>
        <v/>
      </c>
      <c r="EB147" s="497" t="str">
        <f t="shared" si="1134"/>
        <v/>
      </c>
      <c r="EC147" s="502" t="str">
        <f t="shared" si="1135"/>
        <v/>
      </c>
      <c r="ED147" s="494" t="str">
        <f t="shared" si="1136"/>
        <v/>
      </c>
      <c r="EE147" s="498" t="str">
        <f t="shared" si="1137"/>
        <v/>
      </c>
      <c r="EF147" s="494" t="str">
        <f t="shared" si="1138"/>
        <v/>
      </c>
      <c r="EG147" s="495" t="str">
        <f t="shared" si="1139"/>
        <v/>
      </c>
      <c r="EH147" s="496" t="str">
        <f t="shared" si="1140"/>
        <v/>
      </c>
      <c r="EI147" s="494" t="str">
        <f t="shared" si="1141"/>
        <v/>
      </c>
      <c r="EJ147" s="497" t="str">
        <f t="shared" si="1142"/>
        <v/>
      </c>
      <c r="EK147" s="509" t="str">
        <f t="shared" si="796"/>
        <v/>
      </c>
      <c r="EL147" s="510" t="str">
        <f t="shared" si="797"/>
        <v/>
      </c>
      <c r="EM147" s="498" t="str">
        <f t="shared" si="1143"/>
        <v/>
      </c>
      <c r="EN147" s="494" t="str">
        <f t="shared" si="1144"/>
        <v/>
      </c>
      <c r="EO147" s="495" t="str">
        <f t="shared" si="1145"/>
        <v/>
      </c>
      <c r="EP147" s="496" t="str">
        <f t="shared" si="1146"/>
        <v/>
      </c>
      <c r="EQ147" s="494" t="str">
        <f t="shared" si="1147"/>
        <v/>
      </c>
      <c r="ER147" s="500" t="str">
        <f t="shared" si="1148"/>
        <v/>
      </c>
      <c r="ES147" s="493" t="str">
        <f t="shared" si="1237"/>
        <v/>
      </c>
      <c r="ET147" s="494" t="str">
        <f t="shared" si="1238"/>
        <v/>
      </c>
      <c r="EU147" s="495" t="str">
        <f t="shared" si="1239"/>
        <v/>
      </c>
      <c r="EV147" s="174" t="str">
        <f t="shared" si="1149"/>
        <v/>
      </c>
      <c r="EW147" s="496" t="str">
        <f t="shared" si="1150"/>
        <v/>
      </c>
      <c r="EX147" s="494" t="str">
        <f t="shared" si="1151"/>
        <v/>
      </c>
      <c r="EY147" s="497" t="str">
        <f t="shared" si="1152"/>
        <v/>
      </c>
      <c r="EZ147" s="504" t="str">
        <f t="shared" si="805"/>
        <v/>
      </c>
      <c r="FA147" s="502" t="str">
        <f t="shared" si="928"/>
        <v/>
      </c>
      <c r="FB147" s="494" t="str">
        <f t="shared" si="929"/>
        <v/>
      </c>
      <c r="FC147" s="497" t="str">
        <f t="shared" si="930"/>
        <v/>
      </c>
      <c r="FD147" s="498" t="str">
        <f t="shared" si="1153"/>
        <v/>
      </c>
      <c r="FE147" s="494" t="str">
        <f t="shared" si="1154"/>
        <v/>
      </c>
      <c r="FF147" s="500" t="str">
        <f t="shared" si="1155"/>
        <v/>
      </c>
      <c r="FG147" s="173" t="str">
        <f t="shared" si="1156"/>
        <v/>
      </c>
      <c r="FH147" s="5" t="str">
        <f t="shared" si="1157"/>
        <v/>
      </c>
      <c r="FI147" s="10" t="str">
        <f t="shared" si="1158"/>
        <v/>
      </c>
      <c r="FJ147" s="279" t="str">
        <f t="shared" si="1159"/>
        <v/>
      </c>
      <c r="FK147" s="4" t="str">
        <f t="shared" si="1160"/>
        <v/>
      </c>
      <c r="FL147" s="5" t="str">
        <f t="shared" si="1161"/>
        <v/>
      </c>
      <c r="FM147" s="8" t="str">
        <f t="shared" si="1162"/>
        <v/>
      </c>
      <c r="FN147" s="9" t="str">
        <f t="shared" si="1163"/>
        <v/>
      </c>
      <c r="FO147" s="10" t="str">
        <f t="shared" si="1164"/>
        <v/>
      </c>
      <c r="FP147" s="277" t="str">
        <f t="shared" si="1165"/>
        <v/>
      </c>
      <c r="FQ147" s="173" t="str">
        <f t="shared" si="1166"/>
        <v/>
      </c>
      <c r="FR147" s="10" t="str">
        <f t="shared" si="1167"/>
        <v/>
      </c>
      <c r="FS147" s="9" t="str">
        <f t="shared" si="1168"/>
        <v/>
      </c>
      <c r="FT147" s="6" t="str">
        <f t="shared" si="1169"/>
        <v/>
      </c>
      <c r="FU147" s="4" t="str">
        <f t="shared" si="1170"/>
        <v/>
      </c>
      <c r="FV147" s="5" t="str">
        <f t="shared" si="1171"/>
        <v/>
      </c>
      <c r="FW147" s="8" t="str">
        <f t="shared" si="1172"/>
        <v/>
      </c>
      <c r="FX147" s="9" t="str">
        <f t="shared" si="1173"/>
        <v/>
      </c>
      <c r="FY147" s="10" t="str">
        <f t="shared" si="1174"/>
        <v/>
      </c>
      <c r="FZ147" s="277" t="str">
        <f t="shared" si="1175"/>
        <v/>
      </c>
      <c r="GA147" s="177" t="str">
        <f t="shared" si="1176"/>
        <v/>
      </c>
      <c r="GB147" s="4" t="str">
        <f t="shared" si="1177"/>
        <v/>
      </c>
      <c r="GC147" s="5" t="str">
        <f t="shared" si="1178"/>
        <v/>
      </c>
      <c r="GD147" s="10" t="str">
        <f t="shared" si="1179"/>
        <v/>
      </c>
      <c r="GE147" s="311" t="str">
        <f t="shared" si="1180"/>
        <v/>
      </c>
      <c r="GF147" s="341" t="str">
        <f t="shared" si="1181"/>
        <v/>
      </c>
      <c r="GG147" s="306" t="str">
        <f t="shared" si="1182"/>
        <v/>
      </c>
      <c r="GH147" s="307" t="str">
        <f t="shared" si="1183"/>
        <v/>
      </c>
      <c r="GI147" s="308" t="str">
        <f t="shared" si="1184"/>
        <v/>
      </c>
      <c r="GJ147" s="167" t="str">
        <f t="shared" si="1185"/>
        <v/>
      </c>
      <c r="GK147" s="174" t="str">
        <f t="shared" si="942"/>
        <v/>
      </c>
      <c r="GL147" s="174" t="str">
        <f t="shared" si="1186"/>
        <v/>
      </c>
      <c r="GM147" s="177" t="str">
        <f t="shared" si="1187"/>
        <v/>
      </c>
      <c r="GN147" s="280" t="str">
        <f t="shared" si="1188"/>
        <v/>
      </c>
      <c r="GO147" s="4" t="str">
        <f t="shared" si="1189"/>
        <v/>
      </c>
      <c r="GP147" s="8" t="str">
        <f t="shared" si="1190"/>
        <v/>
      </c>
      <c r="GQ147" s="177" t="str">
        <f t="shared" si="1191"/>
        <v/>
      </c>
      <c r="GR147" s="371" t="str">
        <f t="shared" si="1192"/>
        <v/>
      </c>
      <c r="GS147" s="342" t="str">
        <f t="shared" si="1193"/>
        <v/>
      </c>
      <c r="GT147" s="343" t="str">
        <f t="shared" si="1194"/>
        <v/>
      </c>
      <c r="GU147" s="344" t="str">
        <f t="shared" si="945"/>
        <v/>
      </c>
      <c r="GV147" s="343" t="str">
        <f t="shared" si="1195"/>
        <v/>
      </c>
      <c r="GW147" s="345" t="str">
        <f t="shared" si="946"/>
        <v/>
      </c>
      <c r="GX147" s="346" t="str">
        <f t="shared" si="947"/>
        <v/>
      </c>
      <c r="GY147" s="344" t="str">
        <f t="shared" si="1196"/>
        <v/>
      </c>
      <c r="GZ147" s="345" t="str">
        <f t="shared" si="1197"/>
        <v/>
      </c>
      <c r="HA147" s="342" t="str">
        <f t="shared" si="950"/>
        <v/>
      </c>
      <c r="HB147" s="5" t="str">
        <f t="shared" si="832"/>
        <v/>
      </c>
      <c r="HC147" s="343" t="str">
        <f t="shared" si="1198"/>
        <v/>
      </c>
      <c r="HD147" s="363" t="str">
        <f t="shared" si="1199"/>
        <v/>
      </c>
      <c r="HE147" s="344" t="str">
        <f t="shared" si="951"/>
        <v/>
      </c>
      <c r="HF147" s="5" t="str">
        <f t="shared" si="952"/>
        <v/>
      </c>
      <c r="HG147" s="343" t="str">
        <f t="shared" si="1200"/>
        <v/>
      </c>
      <c r="HH147" s="349" t="str">
        <f t="shared" si="1201"/>
        <v/>
      </c>
      <c r="HI147" s="317" t="str">
        <f t="shared" si="1240"/>
        <v/>
      </c>
      <c r="HK147" s="310" t="str">
        <f t="shared" si="1275"/>
        <v/>
      </c>
      <c r="HL147" s="348" t="str">
        <f t="shared" si="1241"/>
        <v/>
      </c>
      <c r="HM147" s="923" t="str">
        <f t="shared" si="1242"/>
        <v/>
      </c>
      <c r="HN147" s="924" t="str">
        <f t="shared" si="1243"/>
        <v/>
      </c>
      <c r="HO147" s="925"/>
      <c r="HP147" s="926"/>
      <c r="HQ147" s="924" t="str">
        <f t="shared" si="1244"/>
        <v/>
      </c>
      <c r="HR147" s="927" t="str">
        <f t="shared" si="1245"/>
        <v/>
      </c>
      <c r="HS147" s="879" t="str">
        <f t="shared" si="1202"/>
        <v/>
      </c>
      <c r="HT147" s="889" t="str">
        <f t="shared" si="1246"/>
        <v/>
      </c>
      <c r="HU147" s="890" t="str">
        <f t="shared" si="1247"/>
        <v/>
      </c>
      <c r="HV147" s="886" t="str">
        <f t="shared" si="1248"/>
        <v/>
      </c>
      <c r="HW147" s="880" t="str">
        <f t="shared" si="1249"/>
        <v/>
      </c>
      <c r="HX147" s="881" t="str">
        <f t="shared" si="1250"/>
        <v/>
      </c>
      <c r="HY147" s="880" t="str">
        <f t="shared" si="1251"/>
        <v/>
      </c>
      <c r="HZ147" s="882" t="str">
        <f t="shared" si="1252"/>
        <v/>
      </c>
      <c r="IA147" s="883" t="str">
        <f t="shared" si="1253"/>
        <v/>
      </c>
      <c r="IB147" s="884" t="str">
        <f t="shared" si="1254"/>
        <v/>
      </c>
      <c r="IC147" s="855" t="str">
        <f t="shared" si="1255"/>
        <v/>
      </c>
      <c r="ID147" s="351" t="str">
        <f t="shared" si="1256"/>
        <v/>
      </c>
      <c r="IE147" s="857" t="str">
        <f t="shared" si="125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79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58"/>
        <v/>
      </c>
      <c r="IM147" s="482" t="str">
        <f t="shared" si="1280"/>
        <v/>
      </c>
      <c r="IN147" s="670" t="str">
        <f t="shared" si="1259"/>
        <v/>
      </c>
      <c r="IO147" s="702"/>
      <c r="IP147" s="5" t="str">
        <f t="shared" si="1260"/>
        <v/>
      </c>
      <c r="IQ147" s="714"/>
      <c r="IR147" s="9" t="str">
        <f t="shared" si="1261"/>
        <v/>
      </c>
      <c r="IS147" s="5" t="str">
        <f t="shared" si="1262"/>
        <v/>
      </c>
      <c r="IT147" s="5" t="str">
        <f t="shared" si="1263"/>
        <v/>
      </c>
      <c r="IU147" s="5" t="str">
        <f t="shared" si="1264"/>
        <v/>
      </c>
      <c r="IV147" s="670" t="str">
        <f t="shared" si="1265"/>
        <v/>
      </c>
      <c r="IW147" s="9" t="str">
        <f t="shared" si="1266"/>
        <v/>
      </c>
      <c r="IX147" s="5" t="str">
        <f t="shared" si="1267"/>
        <v/>
      </c>
      <c r="IY147" s="5" t="str">
        <f t="shared" si="1268"/>
        <v/>
      </c>
      <c r="IZ147" s="5" t="str">
        <f t="shared" si="1269"/>
        <v/>
      </c>
      <c r="JA147" s="705" t="str">
        <f t="shared" si="1270"/>
        <v/>
      </c>
    </row>
    <row r="148" spans="1:261" ht="15" customHeight="1" x14ac:dyDescent="0.25">
      <c r="A148" s="75" t="str">
        <f t="shared" si="1271"/>
        <v/>
      </c>
      <c r="B148" s="585" t="str">
        <f t="shared" ref="B148:D148" si="1297">IFERROR(O303-($A148*E148),"")</f>
        <v/>
      </c>
      <c r="C148" s="582" t="str">
        <f t="shared" si="1297"/>
        <v/>
      </c>
      <c r="D148" s="583" t="str">
        <f t="shared" si="1297"/>
        <v/>
      </c>
      <c r="E148" s="588" t="str">
        <f t="shared" ref="E148:K148" si="1298">R303</f>
        <v/>
      </c>
      <c r="F148" s="582" t="str">
        <f t="shared" si="1298"/>
        <v/>
      </c>
      <c r="G148" s="586" t="str">
        <f t="shared" si="1298"/>
        <v/>
      </c>
      <c r="H148" s="588" t="str">
        <f t="shared" si="1298"/>
        <v/>
      </c>
      <c r="I148" s="582" t="str">
        <f t="shared" si="1298"/>
        <v/>
      </c>
      <c r="J148" s="491" t="str">
        <f t="shared" si="1274"/>
        <v/>
      </c>
      <c r="K148" s="807" t="str">
        <f t="shared" si="1298"/>
        <v/>
      </c>
      <c r="L148" s="309"/>
      <c r="M148" s="492" t="str">
        <f t="shared" si="1217"/>
        <v/>
      </c>
      <c r="N148" s="581" t="str">
        <f t="shared" si="1218"/>
        <v/>
      </c>
      <c r="O148" s="582" t="str">
        <f t="shared" si="1219"/>
        <v/>
      </c>
      <c r="P148" s="583" t="str">
        <f t="shared" si="1220"/>
        <v/>
      </c>
      <c r="Q148" s="536" t="str">
        <f t="shared" si="1060"/>
        <v/>
      </c>
      <c r="R148" s="582" t="str">
        <f t="shared" si="1061"/>
        <v/>
      </c>
      <c r="S148" s="584" t="str">
        <f t="shared" si="1062"/>
        <v/>
      </c>
      <c r="T148" s="585" t="str">
        <f t="shared" si="1063"/>
        <v/>
      </c>
      <c r="U148" s="582" t="str">
        <f t="shared" si="1064"/>
        <v/>
      </c>
      <c r="V148" s="586" t="str">
        <f t="shared" si="1065"/>
        <v/>
      </c>
      <c r="W148" s="536" t="str">
        <f t="shared" si="1066"/>
        <v/>
      </c>
      <c r="X148" s="582" t="str">
        <f t="shared" si="1067"/>
        <v/>
      </c>
      <c r="Y148" s="587" t="str">
        <f t="shared" si="1068"/>
        <v/>
      </c>
      <c r="Z148" s="581" t="str">
        <f t="shared" si="1221"/>
        <v/>
      </c>
      <c r="AA148" s="582" t="str">
        <f t="shared" si="1222"/>
        <v/>
      </c>
      <c r="AB148" s="582" t="str">
        <f t="shared" si="1223"/>
        <v/>
      </c>
      <c r="AC148" s="586" t="str">
        <f t="shared" si="1069"/>
        <v/>
      </c>
      <c r="AD148" s="588" t="str">
        <f t="shared" si="1070"/>
        <v/>
      </c>
      <c r="AE148" s="582" t="str">
        <f t="shared" si="1071"/>
        <v/>
      </c>
      <c r="AF148" s="583" t="str">
        <f t="shared" si="1072"/>
        <v/>
      </c>
      <c r="AG148" s="547" t="str">
        <f t="shared" si="1073"/>
        <v/>
      </c>
      <c r="AH148" s="548" t="str">
        <f t="shared" si="1074"/>
        <v/>
      </c>
      <c r="AI148" s="536" t="str">
        <f t="shared" si="1075"/>
        <v/>
      </c>
      <c r="AJ148" s="537" t="str">
        <f t="shared" si="1076"/>
        <v/>
      </c>
      <c r="AK148" s="585" t="str">
        <f t="shared" si="1077"/>
        <v/>
      </c>
      <c r="AL148" s="582" t="str">
        <f t="shared" si="1078"/>
        <v/>
      </c>
      <c r="AM148" s="584" t="str">
        <f t="shared" si="1079"/>
        <v/>
      </c>
      <c r="AN148" s="534" t="str">
        <f t="shared" si="1080"/>
        <v/>
      </c>
      <c r="AO148" s="535" t="str">
        <f t="shared" si="1039"/>
        <v/>
      </c>
      <c r="AP148" s="536" t="str">
        <f t="shared" si="1081"/>
        <v/>
      </c>
      <c r="AQ148" s="537" t="str">
        <f t="shared" si="1224"/>
        <v/>
      </c>
      <c r="AS148" s="955" t="str">
        <f t="shared" si="1278"/>
        <v/>
      </c>
      <c r="AT148" s="951" t="str">
        <f t="shared" si="1225"/>
        <v/>
      </c>
      <c r="AU148" s="418"/>
      <c r="AV148" s="164" t="str">
        <f t="shared" si="122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2"/>
        <v/>
      </c>
      <c r="BA148" s="505" t="str">
        <f t="shared" si="1083"/>
        <v/>
      </c>
      <c r="BB148" s="506" t="str">
        <f t="shared" si="713"/>
        <v/>
      </c>
      <c r="BC148" s="496"/>
      <c r="BD148" s="494" t="str">
        <f t="shared" si="1084"/>
        <v/>
      </c>
      <c r="BE148" s="497" t="str">
        <f t="shared" si="1227"/>
        <v/>
      </c>
      <c r="BF148" s="498" t="str">
        <f t="shared" si="1228"/>
        <v/>
      </c>
      <c r="BG148" s="494" t="str">
        <f t="shared" si="1229"/>
        <v/>
      </c>
      <c r="BH148" s="495" t="str">
        <f t="shared" si="1230"/>
        <v/>
      </c>
      <c r="BI148" s="496" t="str">
        <f t="shared" si="1085"/>
        <v/>
      </c>
      <c r="BJ148" s="494" t="str">
        <f t="shared" si="1231"/>
        <v/>
      </c>
      <c r="BK148" s="499" t="str">
        <f t="shared" si="1232"/>
        <v/>
      </c>
      <c r="BL148" s="502" t="str">
        <f t="shared" si="1233"/>
        <v/>
      </c>
      <c r="BM148" s="494" t="str">
        <f t="shared" si="1234"/>
        <v/>
      </c>
      <c r="BN148" s="497" t="str">
        <f t="shared" si="1235"/>
        <v/>
      </c>
      <c r="BO148" s="498" t="str">
        <f t="shared" si="1086"/>
        <v/>
      </c>
      <c r="BP148" s="494" t="str">
        <f t="shared" si="1087"/>
        <v/>
      </c>
      <c r="BQ148" s="494" t="str">
        <f t="shared" si="1088"/>
        <v/>
      </c>
      <c r="BR148" s="497" t="str">
        <f t="shared" si="1089"/>
        <v/>
      </c>
      <c r="BS148" s="498" t="str">
        <f t="shared" si="1005"/>
        <v/>
      </c>
      <c r="BT148" s="494" t="str">
        <f t="shared" si="1005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0"/>
        <v/>
      </c>
      <c r="CC148" s="494" t="str">
        <f t="shared" si="1091"/>
        <v/>
      </c>
      <c r="CD148" s="494" t="str">
        <f t="shared" si="1092"/>
        <v/>
      </c>
      <c r="CE148" s="497" t="str">
        <f t="shared" si="1093"/>
        <v/>
      </c>
      <c r="CF148" s="498" t="str">
        <f t="shared" si="1094"/>
        <v/>
      </c>
      <c r="CG148" s="494" t="str">
        <f t="shared" si="1095"/>
        <v/>
      </c>
      <c r="CH148" s="494" t="str">
        <f t="shared" si="1096"/>
        <v/>
      </c>
      <c r="CI148" s="498" t="str">
        <f t="shared" si="723"/>
        <v/>
      </c>
      <c r="CJ148" s="494" t="str">
        <f t="shared" si="1097"/>
        <v/>
      </c>
      <c r="CK148" s="499" t="str">
        <f t="shared" si="1098"/>
        <v/>
      </c>
      <c r="CL148" s="502" t="str">
        <f t="shared" si="1099"/>
        <v/>
      </c>
      <c r="CM148" s="494" t="str">
        <f t="shared" si="1100"/>
        <v/>
      </c>
      <c r="CN148" s="497" t="str">
        <f t="shared" si="1101"/>
        <v/>
      </c>
      <c r="CO148" s="507" t="str">
        <f t="shared" si="1236"/>
        <v/>
      </c>
      <c r="CP148" s="498" t="str">
        <f t="shared" si="1102"/>
        <v/>
      </c>
      <c r="CQ148" s="494" t="str">
        <f t="shared" si="1103"/>
        <v/>
      </c>
      <c r="CR148" s="494" t="str">
        <f t="shared" si="1104"/>
        <v/>
      </c>
      <c r="CS148" s="499" t="str">
        <f t="shared" si="1105"/>
        <v/>
      </c>
      <c r="CT148" s="496" t="str">
        <f t="shared" si="1106"/>
        <v/>
      </c>
      <c r="CU148" s="497" t="str">
        <f t="shared" si="1107"/>
        <v/>
      </c>
      <c r="CV148" s="498" t="str">
        <f t="shared" si="1108"/>
        <v/>
      </c>
      <c r="CW148" s="494" t="str">
        <f t="shared" si="1109"/>
        <v/>
      </c>
      <c r="CX148" s="499" t="str">
        <f t="shared" si="1110"/>
        <v/>
      </c>
      <c r="CY148" s="496" t="str">
        <f t="shared" si="1111"/>
        <v/>
      </c>
      <c r="CZ148" s="494" t="str">
        <f t="shared" si="1112"/>
        <v/>
      </c>
      <c r="DA148" s="497" t="str">
        <f t="shared" si="1113"/>
        <v/>
      </c>
      <c r="DB148" s="498" t="str">
        <f t="shared" si="1011"/>
        <v/>
      </c>
      <c r="DC148" s="494" t="str">
        <f t="shared" si="1011"/>
        <v/>
      </c>
      <c r="DD148" s="495" t="str">
        <f t="shared" si="764"/>
        <v/>
      </c>
      <c r="DE148" s="496" t="str">
        <f t="shared" si="1012"/>
        <v/>
      </c>
      <c r="DF148" s="494" t="str">
        <f t="shared" si="1012"/>
        <v/>
      </c>
      <c r="DG148" s="495" t="str">
        <f t="shared" si="766"/>
        <v/>
      </c>
      <c r="DH148" s="501" t="str">
        <f t="shared" si="1114"/>
        <v/>
      </c>
      <c r="DI148" s="498" t="str">
        <f t="shared" si="1115"/>
        <v/>
      </c>
      <c r="DJ148" s="494" t="str">
        <f t="shared" si="1116"/>
        <v/>
      </c>
      <c r="DK148" s="495" t="str">
        <f t="shared" si="1117"/>
        <v/>
      </c>
      <c r="DL148" s="496" t="str">
        <f t="shared" si="1118"/>
        <v/>
      </c>
      <c r="DM148" s="502" t="str">
        <f t="shared" si="1119"/>
        <v/>
      </c>
      <c r="DN148" s="508" t="str">
        <f t="shared" si="1120"/>
        <v/>
      </c>
      <c r="DO148" s="496" t="str">
        <f t="shared" si="1121"/>
        <v/>
      </c>
      <c r="DP148" s="502" t="str">
        <f t="shared" si="1122"/>
        <v/>
      </c>
      <c r="DQ148" s="503" t="str">
        <f t="shared" si="1123"/>
        <v/>
      </c>
      <c r="DR148" s="502" t="str">
        <f t="shared" si="1124"/>
        <v/>
      </c>
      <c r="DS148" s="494" t="str">
        <f t="shared" si="1125"/>
        <v/>
      </c>
      <c r="DT148" s="494" t="str">
        <f t="shared" si="1126"/>
        <v/>
      </c>
      <c r="DU148" s="494" t="str">
        <f t="shared" si="1127"/>
        <v/>
      </c>
      <c r="DV148" s="494" t="str">
        <f t="shared" si="1128"/>
        <v/>
      </c>
      <c r="DW148" s="494" t="str">
        <f t="shared" si="1129"/>
        <v/>
      </c>
      <c r="DX148" s="507" t="str">
        <f t="shared" si="1130"/>
        <v/>
      </c>
      <c r="DY148" s="496" t="str">
        <f t="shared" si="1131"/>
        <v/>
      </c>
      <c r="DZ148" s="494" t="str">
        <f t="shared" si="1132"/>
        <v/>
      </c>
      <c r="EA148" s="495" t="str">
        <f t="shared" si="1133"/>
        <v/>
      </c>
      <c r="EB148" s="497" t="str">
        <f t="shared" si="1134"/>
        <v/>
      </c>
      <c r="EC148" s="502" t="str">
        <f t="shared" si="1135"/>
        <v/>
      </c>
      <c r="ED148" s="494" t="str">
        <f t="shared" si="1136"/>
        <v/>
      </c>
      <c r="EE148" s="498" t="str">
        <f t="shared" si="1137"/>
        <v/>
      </c>
      <c r="EF148" s="494" t="str">
        <f t="shared" si="1138"/>
        <v/>
      </c>
      <c r="EG148" s="495" t="str">
        <f t="shared" si="1139"/>
        <v/>
      </c>
      <c r="EH148" s="496" t="str">
        <f t="shared" si="1140"/>
        <v/>
      </c>
      <c r="EI148" s="494" t="str">
        <f t="shared" si="1141"/>
        <v/>
      </c>
      <c r="EJ148" s="497" t="str">
        <f t="shared" si="1142"/>
        <v/>
      </c>
      <c r="EK148" s="509" t="str">
        <f t="shared" si="796"/>
        <v/>
      </c>
      <c r="EL148" s="510" t="str">
        <f t="shared" si="797"/>
        <v/>
      </c>
      <c r="EM148" s="498" t="str">
        <f t="shared" si="1143"/>
        <v/>
      </c>
      <c r="EN148" s="494" t="str">
        <f t="shared" si="1144"/>
        <v/>
      </c>
      <c r="EO148" s="495" t="str">
        <f t="shared" si="1145"/>
        <v/>
      </c>
      <c r="EP148" s="496" t="str">
        <f t="shared" si="1146"/>
        <v/>
      </c>
      <c r="EQ148" s="494" t="str">
        <f t="shared" si="1147"/>
        <v/>
      </c>
      <c r="ER148" s="500" t="str">
        <f t="shared" si="1148"/>
        <v/>
      </c>
      <c r="ES148" s="493" t="str">
        <f t="shared" si="1237"/>
        <v/>
      </c>
      <c r="ET148" s="494" t="str">
        <f t="shared" si="1238"/>
        <v/>
      </c>
      <c r="EU148" s="495" t="str">
        <f t="shared" si="1239"/>
        <v/>
      </c>
      <c r="EV148" s="174" t="str">
        <f t="shared" si="1149"/>
        <v/>
      </c>
      <c r="EW148" s="496" t="str">
        <f t="shared" si="1150"/>
        <v/>
      </c>
      <c r="EX148" s="494" t="str">
        <f t="shared" si="1151"/>
        <v/>
      </c>
      <c r="EY148" s="497" t="str">
        <f t="shared" si="1152"/>
        <v/>
      </c>
      <c r="EZ148" s="504" t="str">
        <f t="shared" si="805"/>
        <v/>
      </c>
      <c r="FA148" s="502" t="str">
        <f t="shared" si="928"/>
        <v/>
      </c>
      <c r="FB148" s="494" t="str">
        <f t="shared" si="929"/>
        <v/>
      </c>
      <c r="FC148" s="497" t="str">
        <f t="shared" si="930"/>
        <v/>
      </c>
      <c r="FD148" s="498" t="str">
        <f t="shared" si="1153"/>
        <v/>
      </c>
      <c r="FE148" s="494" t="str">
        <f t="shared" si="1154"/>
        <v/>
      </c>
      <c r="FF148" s="500" t="str">
        <f t="shared" si="1155"/>
        <v/>
      </c>
      <c r="FG148" s="173" t="str">
        <f t="shared" si="1156"/>
        <v/>
      </c>
      <c r="FH148" s="5" t="str">
        <f t="shared" si="1157"/>
        <v/>
      </c>
      <c r="FI148" s="10" t="str">
        <f t="shared" si="1158"/>
        <v/>
      </c>
      <c r="FJ148" s="279" t="str">
        <f t="shared" si="1159"/>
        <v/>
      </c>
      <c r="FK148" s="4" t="str">
        <f t="shared" si="1160"/>
        <v/>
      </c>
      <c r="FL148" s="5" t="str">
        <f t="shared" si="1161"/>
        <v/>
      </c>
      <c r="FM148" s="8" t="str">
        <f t="shared" si="1162"/>
        <v/>
      </c>
      <c r="FN148" s="9" t="str">
        <f t="shared" si="1163"/>
        <v/>
      </c>
      <c r="FO148" s="10" t="str">
        <f t="shared" si="1164"/>
        <v/>
      </c>
      <c r="FP148" s="277" t="str">
        <f t="shared" si="1165"/>
        <v/>
      </c>
      <c r="FQ148" s="173" t="str">
        <f t="shared" si="1166"/>
        <v/>
      </c>
      <c r="FR148" s="10" t="str">
        <f t="shared" si="1167"/>
        <v/>
      </c>
      <c r="FS148" s="9" t="str">
        <f t="shared" si="1168"/>
        <v/>
      </c>
      <c r="FT148" s="6" t="str">
        <f t="shared" si="1169"/>
        <v/>
      </c>
      <c r="FU148" s="4" t="str">
        <f t="shared" si="1170"/>
        <v/>
      </c>
      <c r="FV148" s="5" t="str">
        <f t="shared" si="1171"/>
        <v/>
      </c>
      <c r="FW148" s="8" t="str">
        <f t="shared" si="1172"/>
        <v/>
      </c>
      <c r="FX148" s="9" t="str">
        <f t="shared" si="1173"/>
        <v/>
      </c>
      <c r="FY148" s="10" t="str">
        <f t="shared" si="1174"/>
        <v/>
      </c>
      <c r="FZ148" s="277" t="str">
        <f t="shared" si="1175"/>
        <v/>
      </c>
      <c r="GA148" s="177" t="str">
        <f t="shared" si="1176"/>
        <v/>
      </c>
      <c r="GB148" s="4" t="str">
        <f t="shared" si="1177"/>
        <v/>
      </c>
      <c r="GC148" s="5" t="str">
        <f t="shared" si="1178"/>
        <v/>
      </c>
      <c r="GD148" s="10" t="str">
        <f t="shared" si="1179"/>
        <v/>
      </c>
      <c r="GE148" s="311" t="str">
        <f t="shared" si="1180"/>
        <v/>
      </c>
      <c r="GF148" s="341" t="str">
        <f t="shared" si="1181"/>
        <v/>
      </c>
      <c r="GG148" s="306" t="str">
        <f t="shared" si="1182"/>
        <v/>
      </c>
      <c r="GH148" s="307" t="str">
        <f t="shared" si="1183"/>
        <v/>
      </c>
      <c r="GI148" s="308" t="str">
        <f t="shared" si="1184"/>
        <v/>
      </c>
      <c r="GJ148" s="167" t="str">
        <f t="shared" si="1185"/>
        <v/>
      </c>
      <c r="GK148" s="174" t="str">
        <f t="shared" si="942"/>
        <v/>
      </c>
      <c r="GL148" s="174" t="str">
        <f t="shared" si="1186"/>
        <v/>
      </c>
      <c r="GM148" s="177" t="str">
        <f t="shared" si="1187"/>
        <v/>
      </c>
      <c r="GN148" s="280" t="str">
        <f t="shared" si="1188"/>
        <v/>
      </c>
      <c r="GO148" s="4" t="str">
        <f t="shared" si="1189"/>
        <v/>
      </c>
      <c r="GP148" s="8" t="str">
        <f t="shared" si="1190"/>
        <v/>
      </c>
      <c r="GQ148" s="177" t="str">
        <f t="shared" si="1191"/>
        <v/>
      </c>
      <c r="GR148" s="371" t="str">
        <f t="shared" si="1192"/>
        <v/>
      </c>
      <c r="GS148" s="342" t="str">
        <f t="shared" si="1193"/>
        <v/>
      </c>
      <c r="GT148" s="343" t="str">
        <f t="shared" si="1194"/>
        <v/>
      </c>
      <c r="GU148" s="344" t="str">
        <f t="shared" si="945"/>
        <v/>
      </c>
      <c r="GV148" s="343" t="str">
        <f t="shared" si="1195"/>
        <v/>
      </c>
      <c r="GW148" s="345" t="str">
        <f t="shared" si="946"/>
        <v/>
      </c>
      <c r="GX148" s="346" t="str">
        <f t="shared" si="947"/>
        <v/>
      </c>
      <c r="GY148" s="344" t="str">
        <f t="shared" si="1196"/>
        <v/>
      </c>
      <c r="GZ148" s="345" t="str">
        <f t="shared" si="1197"/>
        <v/>
      </c>
      <c r="HA148" s="342" t="str">
        <f t="shared" si="950"/>
        <v/>
      </c>
      <c r="HB148" s="5" t="str">
        <f t="shared" si="832"/>
        <v/>
      </c>
      <c r="HC148" s="343" t="str">
        <f t="shared" si="1198"/>
        <v/>
      </c>
      <c r="HD148" s="363" t="str">
        <f t="shared" si="1199"/>
        <v/>
      </c>
      <c r="HE148" s="344" t="str">
        <f t="shared" si="951"/>
        <v/>
      </c>
      <c r="HF148" s="5" t="str">
        <f t="shared" si="952"/>
        <v/>
      </c>
      <c r="HG148" s="343" t="str">
        <f t="shared" si="1200"/>
        <v/>
      </c>
      <c r="HH148" s="349" t="str">
        <f t="shared" si="1201"/>
        <v/>
      </c>
      <c r="HI148" s="317" t="str">
        <f t="shared" si="1240"/>
        <v/>
      </c>
      <c r="HK148" s="310" t="str">
        <f t="shared" si="1275"/>
        <v/>
      </c>
      <c r="HL148" s="348" t="str">
        <f t="shared" si="1241"/>
        <v/>
      </c>
      <c r="HM148" s="923" t="str">
        <f t="shared" si="1242"/>
        <v/>
      </c>
      <c r="HN148" s="924" t="str">
        <f t="shared" si="1243"/>
        <v/>
      </c>
      <c r="HO148" s="925"/>
      <c r="HP148" s="926"/>
      <c r="HQ148" s="924" t="str">
        <f t="shared" si="1244"/>
        <v/>
      </c>
      <c r="HR148" s="927" t="str">
        <f t="shared" si="1245"/>
        <v/>
      </c>
      <c r="HS148" s="879" t="str">
        <f t="shared" si="1202"/>
        <v/>
      </c>
      <c r="HT148" s="889" t="str">
        <f t="shared" si="1246"/>
        <v/>
      </c>
      <c r="HU148" s="890" t="str">
        <f t="shared" si="1247"/>
        <v/>
      </c>
      <c r="HV148" s="886" t="str">
        <f t="shared" si="1248"/>
        <v/>
      </c>
      <c r="HW148" s="880" t="str">
        <f t="shared" si="1249"/>
        <v/>
      </c>
      <c r="HX148" s="881" t="str">
        <f t="shared" si="1250"/>
        <v/>
      </c>
      <c r="HY148" s="880" t="str">
        <f t="shared" si="1251"/>
        <v/>
      </c>
      <c r="HZ148" s="882" t="str">
        <f t="shared" si="1252"/>
        <v/>
      </c>
      <c r="IA148" s="883" t="str">
        <f t="shared" si="1253"/>
        <v/>
      </c>
      <c r="IB148" s="884" t="str">
        <f t="shared" si="1254"/>
        <v/>
      </c>
      <c r="IC148" s="855" t="str">
        <f t="shared" si="1255"/>
        <v/>
      </c>
      <c r="ID148" s="351" t="str">
        <f t="shared" si="1256"/>
        <v/>
      </c>
      <c r="IE148" s="857" t="str">
        <f t="shared" si="125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79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58"/>
        <v/>
      </c>
      <c r="IM148" s="482" t="str">
        <f t="shared" si="1280"/>
        <v/>
      </c>
      <c r="IN148" s="670" t="str">
        <f t="shared" si="1259"/>
        <v/>
      </c>
      <c r="IO148" s="702"/>
      <c r="IP148" s="5" t="str">
        <f t="shared" si="1260"/>
        <v/>
      </c>
      <c r="IQ148" s="714"/>
      <c r="IR148" s="9" t="str">
        <f t="shared" si="1261"/>
        <v/>
      </c>
      <c r="IS148" s="5" t="str">
        <f t="shared" si="1262"/>
        <v/>
      </c>
      <c r="IT148" s="5" t="str">
        <f t="shared" si="1263"/>
        <v/>
      </c>
      <c r="IU148" s="5" t="str">
        <f t="shared" si="1264"/>
        <v/>
      </c>
      <c r="IV148" s="670" t="str">
        <f t="shared" si="1265"/>
        <v/>
      </c>
      <c r="IW148" s="9" t="str">
        <f t="shared" si="1266"/>
        <v/>
      </c>
      <c r="IX148" s="5" t="str">
        <f t="shared" si="1267"/>
        <v/>
      </c>
      <c r="IY148" s="5" t="str">
        <f t="shared" si="1268"/>
        <v/>
      </c>
      <c r="IZ148" s="5" t="str">
        <f t="shared" si="1269"/>
        <v/>
      </c>
      <c r="JA148" s="705" t="str">
        <f t="shared" si="1270"/>
        <v/>
      </c>
    </row>
    <row r="149" spans="1:261" ht="15" customHeight="1" x14ac:dyDescent="0.25">
      <c r="A149" s="75" t="str">
        <f t="shared" si="1271"/>
        <v/>
      </c>
      <c r="B149" s="585" t="str">
        <f t="shared" ref="B149:D149" si="1299">IFERROR(O304-($A149*E149),"")</f>
        <v/>
      </c>
      <c r="C149" s="582" t="str">
        <f t="shared" si="1299"/>
        <v/>
      </c>
      <c r="D149" s="583" t="str">
        <f t="shared" si="1299"/>
        <v/>
      </c>
      <c r="E149" s="588" t="str">
        <f t="shared" ref="E149:K149" si="1300">R304</f>
        <v/>
      </c>
      <c r="F149" s="582" t="str">
        <f t="shared" si="1300"/>
        <v/>
      </c>
      <c r="G149" s="586" t="str">
        <f t="shared" si="1300"/>
        <v/>
      </c>
      <c r="H149" s="588" t="str">
        <f t="shared" si="1300"/>
        <v/>
      </c>
      <c r="I149" s="582" t="str">
        <f t="shared" si="1300"/>
        <v/>
      </c>
      <c r="J149" s="491" t="str">
        <f t="shared" si="1274"/>
        <v/>
      </c>
      <c r="K149" s="807" t="str">
        <f t="shared" si="1300"/>
        <v/>
      </c>
      <c r="L149" s="309"/>
      <c r="M149" s="492" t="str">
        <f t="shared" si="1217"/>
        <v/>
      </c>
      <c r="N149" s="581" t="str">
        <f t="shared" si="1218"/>
        <v/>
      </c>
      <c r="O149" s="582" t="str">
        <f t="shared" si="1219"/>
        <v/>
      </c>
      <c r="P149" s="583" t="str">
        <f t="shared" si="1220"/>
        <v/>
      </c>
      <c r="Q149" s="536" t="str">
        <f t="shared" si="1060"/>
        <v/>
      </c>
      <c r="R149" s="582" t="str">
        <f t="shared" si="1061"/>
        <v/>
      </c>
      <c r="S149" s="584" t="str">
        <f t="shared" si="1062"/>
        <v/>
      </c>
      <c r="T149" s="585" t="str">
        <f t="shared" si="1063"/>
        <v/>
      </c>
      <c r="U149" s="582" t="str">
        <f t="shared" si="1064"/>
        <v/>
      </c>
      <c r="V149" s="586" t="str">
        <f t="shared" si="1065"/>
        <v/>
      </c>
      <c r="W149" s="536" t="str">
        <f t="shared" si="1066"/>
        <v/>
      </c>
      <c r="X149" s="582" t="str">
        <f t="shared" si="1067"/>
        <v/>
      </c>
      <c r="Y149" s="587" t="str">
        <f t="shared" si="1068"/>
        <v/>
      </c>
      <c r="Z149" s="581" t="str">
        <f t="shared" si="1221"/>
        <v/>
      </c>
      <c r="AA149" s="582" t="str">
        <f t="shared" si="1222"/>
        <v/>
      </c>
      <c r="AB149" s="582" t="str">
        <f t="shared" si="1223"/>
        <v/>
      </c>
      <c r="AC149" s="586" t="str">
        <f t="shared" si="1069"/>
        <v/>
      </c>
      <c r="AD149" s="588" t="str">
        <f t="shared" si="1070"/>
        <v/>
      </c>
      <c r="AE149" s="582" t="str">
        <f t="shared" si="1071"/>
        <v/>
      </c>
      <c r="AF149" s="583" t="str">
        <f t="shared" si="1072"/>
        <v/>
      </c>
      <c r="AG149" s="547" t="str">
        <f t="shared" si="1073"/>
        <v/>
      </c>
      <c r="AH149" s="548" t="str">
        <f t="shared" si="1074"/>
        <v/>
      </c>
      <c r="AI149" s="536" t="str">
        <f t="shared" si="1075"/>
        <v/>
      </c>
      <c r="AJ149" s="537" t="str">
        <f t="shared" si="1076"/>
        <v/>
      </c>
      <c r="AK149" s="585" t="str">
        <f t="shared" si="1077"/>
        <v/>
      </c>
      <c r="AL149" s="582" t="str">
        <f t="shared" si="1078"/>
        <v/>
      </c>
      <c r="AM149" s="584" t="str">
        <f t="shared" si="1079"/>
        <v/>
      </c>
      <c r="AN149" s="534" t="str">
        <f t="shared" si="1080"/>
        <v/>
      </c>
      <c r="AO149" s="535" t="str">
        <f t="shared" si="1039"/>
        <v/>
      </c>
      <c r="AP149" s="536" t="str">
        <f t="shared" si="1081"/>
        <v/>
      </c>
      <c r="AQ149" s="537" t="str">
        <f t="shared" si="1224"/>
        <v/>
      </c>
      <c r="AS149" s="955" t="str">
        <f t="shared" si="1278"/>
        <v/>
      </c>
      <c r="AT149" s="951" t="str">
        <f t="shared" si="1225"/>
        <v/>
      </c>
      <c r="AU149" s="418"/>
      <c r="AV149" s="164" t="str">
        <f t="shared" si="122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2"/>
        <v/>
      </c>
      <c r="BA149" s="505" t="str">
        <f t="shared" si="1083"/>
        <v/>
      </c>
      <c r="BB149" s="506" t="str">
        <f t="shared" si="713"/>
        <v/>
      </c>
      <c r="BC149" s="496"/>
      <c r="BD149" s="494" t="str">
        <f t="shared" si="1084"/>
        <v/>
      </c>
      <c r="BE149" s="497" t="str">
        <f t="shared" si="1227"/>
        <v/>
      </c>
      <c r="BF149" s="498" t="str">
        <f t="shared" si="1228"/>
        <v/>
      </c>
      <c r="BG149" s="494" t="str">
        <f t="shared" si="1229"/>
        <v/>
      </c>
      <c r="BH149" s="495" t="str">
        <f t="shared" si="1230"/>
        <v/>
      </c>
      <c r="BI149" s="496" t="str">
        <f t="shared" si="1085"/>
        <v/>
      </c>
      <c r="BJ149" s="494" t="str">
        <f t="shared" si="1231"/>
        <v/>
      </c>
      <c r="BK149" s="499" t="str">
        <f t="shared" si="1232"/>
        <v/>
      </c>
      <c r="BL149" s="502" t="str">
        <f t="shared" si="1233"/>
        <v/>
      </c>
      <c r="BM149" s="494" t="str">
        <f t="shared" si="1234"/>
        <v/>
      </c>
      <c r="BN149" s="497" t="str">
        <f t="shared" si="1235"/>
        <v/>
      </c>
      <c r="BO149" s="498" t="str">
        <f t="shared" si="1086"/>
        <v/>
      </c>
      <c r="BP149" s="494" t="str">
        <f t="shared" si="1087"/>
        <v/>
      </c>
      <c r="BQ149" s="494" t="str">
        <f t="shared" si="1088"/>
        <v/>
      </c>
      <c r="BR149" s="497" t="str">
        <f t="shared" si="1089"/>
        <v/>
      </c>
      <c r="BS149" s="498" t="str">
        <f t="shared" si="1005"/>
        <v/>
      </c>
      <c r="BT149" s="494" t="str">
        <f t="shared" si="1005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0"/>
        <v/>
      </c>
      <c r="CC149" s="494" t="str">
        <f t="shared" si="1091"/>
        <v/>
      </c>
      <c r="CD149" s="494" t="str">
        <f t="shared" si="1092"/>
        <v/>
      </c>
      <c r="CE149" s="497" t="str">
        <f t="shared" si="1093"/>
        <v/>
      </c>
      <c r="CF149" s="498" t="str">
        <f t="shared" si="1094"/>
        <v/>
      </c>
      <c r="CG149" s="494" t="str">
        <f t="shared" si="1095"/>
        <v/>
      </c>
      <c r="CH149" s="494" t="str">
        <f t="shared" si="1096"/>
        <v/>
      </c>
      <c r="CI149" s="498" t="str">
        <f t="shared" si="723"/>
        <v/>
      </c>
      <c r="CJ149" s="494" t="str">
        <f t="shared" si="1097"/>
        <v/>
      </c>
      <c r="CK149" s="499" t="str">
        <f t="shared" si="1098"/>
        <v/>
      </c>
      <c r="CL149" s="502" t="str">
        <f t="shared" si="1099"/>
        <v/>
      </c>
      <c r="CM149" s="494" t="str">
        <f t="shared" si="1100"/>
        <v/>
      </c>
      <c r="CN149" s="497" t="str">
        <f t="shared" si="1101"/>
        <v/>
      </c>
      <c r="CO149" s="507" t="str">
        <f t="shared" si="1236"/>
        <v/>
      </c>
      <c r="CP149" s="498" t="str">
        <f t="shared" si="1102"/>
        <v/>
      </c>
      <c r="CQ149" s="494" t="str">
        <f t="shared" si="1103"/>
        <v/>
      </c>
      <c r="CR149" s="494" t="str">
        <f t="shared" si="1104"/>
        <v/>
      </c>
      <c r="CS149" s="499" t="str">
        <f t="shared" si="1105"/>
        <v/>
      </c>
      <c r="CT149" s="496" t="str">
        <f t="shared" si="1106"/>
        <v/>
      </c>
      <c r="CU149" s="497" t="str">
        <f t="shared" si="1107"/>
        <v/>
      </c>
      <c r="CV149" s="498" t="str">
        <f t="shared" si="1108"/>
        <v/>
      </c>
      <c r="CW149" s="494" t="str">
        <f t="shared" si="1109"/>
        <v/>
      </c>
      <c r="CX149" s="499" t="str">
        <f t="shared" si="1110"/>
        <v/>
      </c>
      <c r="CY149" s="496" t="str">
        <f t="shared" si="1111"/>
        <v/>
      </c>
      <c r="CZ149" s="494" t="str">
        <f t="shared" si="1112"/>
        <v/>
      </c>
      <c r="DA149" s="497" t="str">
        <f t="shared" si="1113"/>
        <v/>
      </c>
      <c r="DB149" s="498" t="str">
        <f t="shared" si="1011"/>
        <v/>
      </c>
      <c r="DC149" s="494" t="str">
        <f t="shared" si="1011"/>
        <v/>
      </c>
      <c r="DD149" s="495" t="str">
        <f t="shared" si="764"/>
        <v/>
      </c>
      <c r="DE149" s="496" t="str">
        <f t="shared" si="1012"/>
        <v/>
      </c>
      <c r="DF149" s="494" t="str">
        <f t="shared" si="1012"/>
        <v/>
      </c>
      <c r="DG149" s="495" t="str">
        <f t="shared" si="766"/>
        <v/>
      </c>
      <c r="DH149" s="501" t="str">
        <f t="shared" si="1114"/>
        <v/>
      </c>
      <c r="DI149" s="498" t="str">
        <f t="shared" si="1115"/>
        <v/>
      </c>
      <c r="DJ149" s="494" t="str">
        <f t="shared" si="1116"/>
        <v/>
      </c>
      <c r="DK149" s="495" t="str">
        <f t="shared" si="1117"/>
        <v/>
      </c>
      <c r="DL149" s="496" t="str">
        <f t="shared" si="1118"/>
        <v/>
      </c>
      <c r="DM149" s="502" t="str">
        <f t="shared" si="1119"/>
        <v/>
      </c>
      <c r="DN149" s="508" t="str">
        <f t="shared" si="1120"/>
        <v/>
      </c>
      <c r="DO149" s="496" t="str">
        <f t="shared" si="1121"/>
        <v/>
      </c>
      <c r="DP149" s="502" t="str">
        <f t="shared" si="1122"/>
        <v/>
      </c>
      <c r="DQ149" s="503" t="str">
        <f t="shared" si="1123"/>
        <v/>
      </c>
      <c r="DR149" s="502" t="str">
        <f t="shared" si="1124"/>
        <v/>
      </c>
      <c r="DS149" s="494" t="str">
        <f t="shared" si="1125"/>
        <v/>
      </c>
      <c r="DT149" s="494" t="str">
        <f t="shared" si="1126"/>
        <v/>
      </c>
      <c r="DU149" s="494" t="str">
        <f t="shared" si="1127"/>
        <v/>
      </c>
      <c r="DV149" s="494" t="str">
        <f t="shared" si="1128"/>
        <v/>
      </c>
      <c r="DW149" s="494" t="str">
        <f t="shared" si="1129"/>
        <v/>
      </c>
      <c r="DX149" s="507" t="str">
        <f t="shared" si="1130"/>
        <v/>
      </c>
      <c r="DY149" s="496" t="str">
        <f t="shared" si="1131"/>
        <v/>
      </c>
      <c r="DZ149" s="494" t="str">
        <f t="shared" si="1132"/>
        <v/>
      </c>
      <c r="EA149" s="495" t="str">
        <f t="shared" si="1133"/>
        <v/>
      </c>
      <c r="EB149" s="497" t="str">
        <f t="shared" si="1134"/>
        <v/>
      </c>
      <c r="EC149" s="502" t="str">
        <f t="shared" si="1135"/>
        <v/>
      </c>
      <c r="ED149" s="494" t="str">
        <f t="shared" si="1136"/>
        <v/>
      </c>
      <c r="EE149" s="498" t="str">
        <f t="shared" si="1137"/>
        <v/>
      </c>
      <c r="EF149" s="494" t="str">
        <f t="shared" si="1138"/>
        <v/>
      </c>
      <c r="EG149" s="495" t="str">
        <f t="shared" si="1139"/>
        <v/>
      </c>
      <c r="EH149" s="496" t="str">
        <f t="shared" si="1140"/>
        <v/>
      </c>
      <c r="EI149" s="494" t="str">
        <f t="shared" si="1141"/>
        <v/>
      </c>
      <c r="EJ149" s="497" t="str">
        <f t="shared" si="1142"/>
        <v/>
      </c>
      <c r="EK149" s="509" t="str">
        <f t="shared" si="796"/>
        <v/>
      </c>
      <c r="EL149" s="510" t="str">
        <f t="shared" si="797"/>
        <v/>
      </c>
      <c r="EM149" s="498" t="str">
        <f t="shared" si="1143"/>
        <v/>
      </c>
      <c r="EN149" s="494" t="str">
        <f t="shared" si="1144"/>
        <v/>
      </c>
      <c r="EO149" s="495" t="str">
        <f t="shared" si="1145"/>
        <v/>
      </c>
      <c r="EP149" s="496" t="str">
        <f t="shared" si="1146"/>
        <v/>
      </c>
      <c r="EQ149" s="494" t="str">
        <f t="shared" si="1147"/>
        <v/>
      </c>
      <c r="ER149" s="500" t="str">
        <f t="shared" si="1148"/>
        <v/>
      </c>
      <c r="ES149" s="493" t="str">
        <f t="shared" si="1237"/>
        <v/>
      </c>
      <c r="ET149" s="494" t="str">
        <f t="shared" si="1238"/>
        <v/>
      </c>
      <c r="EU149" s="495" t="str">
        <f t="shared" si="1239"/>
        <v/>
      </c>
      <c r="EV149" s="174" t="str">
        <f t="shared" si="1149"/>
        <v/>
      </c>
      <c r="EW149" s="496" t="str">
        <f t="shared" si="1150"/>
        <v/>
      </c>
      <c r="EX149" s="494" t="str">
        <f t="shared" si="1151"/>
        <v/>
      </c>
      <c r="EY149" s="497" t="str">
        <f t="shared" si="1152"/>
        <v/>
      </c>
      <c r="EZ149" s="504" t="str">
        <f t="shared" si="805"/>
        <v/>
      </c>
      <c r="FA149" s="502" t="str">
        <f t="shared" si="928"/>
        <v/>
      </c>
      <c r="FB149" s="494" t="str">
        <f t="shared" si="929"/>
        <v/>
      </c>
      <c r="FC149" s="497" t="str">
        <f t="shared" si="930"/>
        <v/>
      </c>
      <c r="FD149" s="498" t="str">
        <f t="shared" si="1153"/>
        <v/>
      </c>
      <c r="FE149" s="494" t="str">
        <f t="shared" si="1154"/>
        <v/>
      </c>
      <c r="FF149" s="500" t="str">
        <f t="shared" si="1155"/>
        <v/>
      </c>
      <c r="FG149" s="173" t="str">
        <f t="shared" si="1156"/>
        <v/>
      </c>
      <c r="FH149" s="5" t="str">
        <f t="shared" si="1157"/>
        <v/>
      </c>
      <c r="FI149" s="10" t="str">
        <f t="shared" si="1158"/>
        <v/>
      </c>
      <c r="FJ149" s="279" t="str">
        <f t="shared" si="1159"/>
        <v/>
      </c>
      <c r="FK149" s="4" t="str">
        <f t="shared" si="1160"/>
        <v/>
      </c>
      <c r="FL149" s="5" t="str">
        <f t="shared" si="1161"/>
        <v/>
      </c>
      <c r="FM149" s="8" t="str">
        <f t="shared" si="1162"/>
        <v/>
      </c>
      <c r="FN149" s="9" t="str">
        <f t="shared" si="1163"/>
        <v/>
      </c>
      <c r="FO149" s="10" t="str">
        <f t="shared" si="1164"/>
        <v/>
      </c>
      <c r="FP149" s="277" t="str">
        <f t="shared" si="1165"/>
        <v/>
      </c>
      <c r="FQ149" s="173" t="str">
        <f t="shared" si="1166"/>
        <v/>
      </c>
      <c r="FR149" s="10" t="str">
        <f t="shared" si="1167"/>
        <v/>
      </c>
      <c r="FS149" s="9" t="str">
        <f t="shared" si="1168"/>
        <v/>
      </c>
      <c r="FT149" s="6" t="str">
        <f t="shared" si="1169"/>
        <v/>
      </c>
      <c r="FU149" s="4" t="str">
        <f t="shared" si="1170"/>
        <v/>
      </c>
      <c r="FV149" s="5" t="str">
        <f t="shared" si="1171"/>
        <v/>
      </c>
      <c r="FW149" s="8" t="str">
        <f t="shared" si="1172"/>
        <v/>
      </c>
      <c r="FX149" s="9" t="str">
        <f t="shared" si="1173"/>
        <v/>
      </c>
      <c r="FY149" s="10" t="str">
        <f t="shared" si="1174"/>
        <v/>
      </c>
      <c r="FZ149" s="277" t="str">
        <f t="shared" si="1175"/>
        <v/>
      </c>
      <c r="GA149" s="177" t="str">
        <f t="shared" si="1176"/>
        <v/>
      </c>
      <c r="GB149" s="4" t="str">
        <f t="shared" si="1177"/>
        <v/>
      </c>
      <c r="GC149" s="5" t="str">
        <f t="shared" si="1178"/>
        <v/>
      </c>
      <c r="GD149" s="10" t="str">
        <f t="shared" si="1179"/>
        <v/>
      </c>
      <c r="GE149" s="311" t="str">
        <f t="shared" si="1180"/>
        <v/>
      </c>
      <c r="GF149" s="341" t="str">
        <f t="shared" si="1181"/>
        <v/>
      </c>
      <c r="GG149" s="306" t="str">
        <f t="shared" si="1182"/>
        <v/>
      </c>
      <c r="GH149" s="307" t="str">
        <f t="shared" si="1183"/>
        <v/>
      </c>
      <c r="GI149" s="308" t="str">
        <f t="shared" si="1184"/>
        <v/>
      </c>
      <c r="GJ149" s="167" t="str">
        <f t="shared" si="1185"/>
        <v/>
      </c>
      <c r="GK149" s="174" t="str">
        <f t="shared" si="942"/>
        <v/>
      </c>
      <c r="GL149" s="174" t="str">
        <f t="shared" si="1186"/>
        <v/>
      </c>
      <c r="GM149" s="177" t="str">
        <f t="shared" si="1187"/>
        <v/>
      </c>
      <c r="GN149" s="280" t="str">
        <f t="shared" si="1188"/>
        <v/>
      </c>
      <c r="GO149" s="4" t="str">
        <f t="shared" si="1189"/>
        <v/>
      </c>
      <c r="GP149" s="8" t="str">
        <f t="shared" si="1190"/>
        <v/>
      </c>
      <c r="GQ149" s="177" t="str">
        <f t="shared" si="1191"/>
        <v/>
      </c>
      <c r="GR149" s="371" t="str">
        <f t="shared" si="1192"/>
        <v/>
      </c>
      <c r="GS149" s="342" t="str">
        <f t="shared" si="1193"/>
        <v/>
      </c>
      <c r="GT149" s="343" t="str">
        <f t="shared" si="1194"/>
        <v/>
      </c>
      <c r="GU149" s="344" t="str">
        <f t="shared" si="945"/>
        <v/>
      </c>
      <c r="GV149" s="343" t="str">
        <f t="shared" si="1195"/>
        <v/>
      </c>
      <c r="GW149" s="345" t="str">
        <f t="shared" si="946"/>
        <v/>
      </c>
      <c r="GX149" s="346" t="str">
        <f t="shared" si="947"/>
        <v/>
      </c>
      <c r="GY149" s="344" t="str">
        <f t="shared" si="1196"/>
        <v/>
      </c>
      <c r="GZ149" s="345" t="str">
        <f t="shared" si="1197"/>
        <v/>
      </c>
      <c r="HA149" s="342" t="str">
        <f t="shared" si="950"/>
        <v/>
      </c>
      <c r="HB149" s="5" t="str">
        <f t="shared" si="832"/>
        <v/>
      </c>
      <c r="HC149" s="343" t="str">
        <f t="shared" si="1198"/>
        <v/>
      </c>
      <c r="HD149" s="363" t="str">
        <f t="shared" si="1199"/>
        <v/>
      </c>
      <c r="HE149" s="344" t="str">
        <f t="shared" si="951"/>
        <v/>
      </c>
      <c r="HF149" s="5" t="str">
        <f t="shared" si="952"/>
        <v/>
      </c>
      <c r="HG149" s="343" t="str">
        <f t="shared" si="1200"/>
        <v/>
      </c>
      <c r="HH149" s="349" t="str">
        <f t="shared" si="1201"/>
        <v/>
      </c>
      <c r="HI149" s="317" t="str">
        <f t="shared" si="1240"/>
        <v/>
      </c>
      <c r="HK149" s="310" t="str">
        <f t="shared" si="1275"/>
        <v/>
      </c>
      <c r="HL149" s="348" t="str">
        <f t="shared" si="1241"/>
        <v/>
      </c>
      <c r="HM149" s="923" t="str">
        <f t="shared" si="1242"/>
        <v/>
      </c>
      <c r="HN149" s="924" t="str">
        <f t="shared" si="1243"/>
        <v/>
      </c>
      <c r="HO149" s="925"/>
      <c r="HP149" s="926"/>
      <c r="HQ149" s="924" t="str">
        <f t="shared" si="1244"/>
        <v/>
      </c>
      <c r="HR149" s="927" t="str">
        <f t="shared" si="1245"/>
        <v/>
      </c>
      <c r="HS149" s="879" t="str">
        <f t="shared" si="1202"/>
        <v/>
      </c>
      <c r="HT149" s="889" t="str">
        <f t="shared" si="1246"/>
        <v/>
      </c>
      <c r="HU149" s="890" t="str">
        <f t="shared" si="1247"/>
        <v/>
      </c>
      <c r="HV149" s="886" t="str">
        <f t="shared" si="1248"/>
        <v/>
      </c>
      <c r="HW149" s="880" t="str">
        <f t="shared" si="1249"/>
        <v/>
      </c>
      <c r="HX149" s="881" t="str">
        <f t="shared" si="1250"/>
        <v/>
      </c>
      <c r="HY149" s="880" t="str">
        <f t="shared" si="1251"/>
        <v/>
      </c>
      <c r="HZ149" s="882" t="str">
        <f t="shared" si="1252"/>
        <v/>
      </c>
      <c r="IA149" s="883" t="str">
        <f t="shared" si="1253"/>
        <v/>
      </c>
      <c r="IB149" s="884" t="str">
        <f t="shared" si="1254"/>
        <v/>
      </c>
      <c r="IC149" s="855" t="str">
        <f t="shared" si="1255"/>
        <v/>
      </c>
      <c r="ID149" s="351" t="str">
        <f t="shared" si="1256"/>
        <v/>
      </c>
      <c r="IE149" s="857" t="str">
        <f t="shared" si="125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79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58"/>
        <v/>
      </c>
      <c r="IM149" s="482" t="str">
        <f t="shared" si="1280"/>
        <v/>
      </c>
      <c r="IN149" s="670" t="str">
        <f t="shared" si="1259"/>
        <v/>
      </c>
      <c r="IO149" s="702"/>
      <c r="IP149" s="5" t="str">
        <f t="shared" si="1260"/>
        <v/>
      </c>
      <c r="IQ149" s="714"/>
      <c r="IR149" s="9" t="str">
        <f t="shared" si="1261"/>
        <v/>
      </c>
      <c r="IS149" s="5" t="str">
        <f t="shared" si="1262"/>
        <v/>
      </c>
      <c r="IT149" s="5" t="str">
        <f t="shared" si="1263"/>
        <v/>
      </c>
      <c r="IU149" s="5" t="str">
        <f t="shared" si="1264"/>
        <v/>
      </c>
      <c r="IV149" s="670" t="str">
        <f t="shared" si="1265"/>
        <v/>
      </c>
      <c r="IW149" s="9" t="str">
        <f t="shared" si="1266"/>
        <v/>
      </c>
      <c r="IX149" s="5" t="str">
        <f t="shared" si="1267"/>
        <v/>
      </c>
      <c r="IY149" s="5" t="str">
        <f t="shared" si="1268"/>
        <v/>
      </c>
      <c r="IZ149" s="5" t="str">
        <f t="shared" si="1269"/>
        <v/>
      </c>
      <c r="JA149" s="705" t="str">
        <f t="shared" si="1270"/>
        <v/>
      </c>
    </row>
    <row r="150" spans="1:261" ht="15" customHeight="1" thickBot="1" x14ac:dyDescent="0.3">
      <c r="A150" s="75" t="str">
        <f t="shared" si="1271"/>
        <v/>
      </c>
      <c r="B150" s="593" t="str">
        <f t="shared" ref="B150:D150" si="1301">IFERROR(O305-($A150*E150),"")</f>
        <v/>
      </c>
      <c r="C150" s="590" t="str">
        <f t="shared" si="1301"/>
        <v/>
      </c>
      <c r="D150" s="591" t="str">
        <f t="shared" si="1301"/>
        <v/>
      </c>
      <c r="E150" s="596" t="str">
        <f t="shared" ref="E150:K150" si="1302">R305</f>
        <v/>
      </c>
      <c r="F150" s="590" t="str">
        <f t="shared" si="1302"/>
        <v/>
      </c>
      <c r="G150" s="594" t="str">
        <f t="shared" si="1302"/>
        <v/>
      </c>
      <c r="H150" s="596" t="str">
        <f t="shared" si="1302"/>
        <v/>
      </c>
      <c r="I150" s="590" t="str">
        <f t="shared" si="1302"/>
        <v/>
      </c>
      <c r="J150" s="485" t="str">
        <f t="shared" si="1274"/>
        <v/>
      </c>
      <c r="K150" s="808" t="str">
        <f t="shared" si="1302"/>
        <v/>
      </c>
      <c r="L150" s="309"/>
      <c r="M150" s="165" t="str">
        <f t="shared" si="1217"/>
        <v/>
      </c>
      <c r="N150" s="589" t="str">
        <f t="shared" si="1218"/>
        <v/>
      </c>
      <c r="O150" s="590" t="str">
        <f t="shared" si="1219"/>
        <v/>
      </c>
      <c r="P150" s="591" t="str">
        <f t="shared" si="1220"/>
        <v/>
      </c>
      <c r="Q150" s="540" t="str">
        <f t="shared" si="1060"/>
        <v/>
      </c>
      <c r="R150" s="590" t="str">
        <f t="shared" si="1061"/>
        <v/>
      </c>
      <c r="S150" s="592" t="str">
        <f t="shared" si="1062"/>
        <v/>
      </c>
      <c r="T150" s="593" t="str">
        <f t="shared" si="1063"/>
        <v/>
      </c>
      <c r="U150" s="590" t="str">
        <f t="shared" si="1064"/>
        <v/>
      </c>
      <c r="V150" s="594" t="str">
        <f t="shared" si="1065"/>
        <v/>
      </c>
      <c r="W150" s="540" t="str">
        <f t="shared" si="1066"/>
        <v/>
      </c>
      <c r="X150" s="590" t="str">
        <f t="shared" si="1067"/>
        <v/>
      </c>
      <c r="Y150" s="595" t="str">
        <f t="shared" si="1068"/>
        <v/>
      </c>
      <c r="Z150" s="589" t="str">
        <f t="shared" si="1221"/>
        <v/>
      </c>
      <c r="AA150" s="590" t="str">
        <f t="shared" si="1222"/>
        <v/>
      </c>
      <c r="AB150" s="590" t="str">
        <f t="shared" si="1223"/>
        <v/>
      </c>
      <c r="AC150" s="594" t="str">
        <f t="shared" si="1069"/>
        <v/>
      </c>
      <c r="AD150" s="596" t="str">
        <f t="shared" si="1070"/>
        <v/>
      </c>
      <c r="AE150" s="590" t="str">
        <f t="shared" si="1071"/>
        <v/>
      </c>
      <c r="AF150" s="591" t="str">
        <f t="shared" si="1072"/>
        <v/>
      </c>
      <c r="AG150" s="549" t="str">
        <f t="shared" si="1073"/>
        <v/>
      </c>
      <c r="AH150" s="550" t="str">
        <f t="shared" si="1074"/>
        <v/>
      </c>
      <c r="AI150" s="540" t="str">
        <f t="shared" si="1075"/>
        <v/>
      </c>
      <c r="AJ150" s="541" t="str">
        <f t="shared" si="1076"/>
        <v/>
      </c>
      <c r="AK150" s="593" t="str">
        <f t="shared" si="1077"/>
        <v/>
      </c>
      <c r="AL150" s="590" t="str">
        <f t="shared" si="1078"/>
        <v/>
      </c>
      <c r="AM150" s="592" t="str">
        <f t="shared" si="1079"/>
        <v/>
      </c>
      <c r="AN150" s="538" t="str">
        <f t="shared" si="1080"/>
        <v/>
      </c>
      <c r="AO150" s="539" t="str">
        <f t="shared" si="1039"/>
        <v/>
      </c>
      <c r="AP150" s="540" t="str">
        <f t="shared" si="1081"/>
        <v/>
      </c>
      <c r="AQ150" s="541" t="str">
        <f t="shared" si="1224"/>
        <v/>
      </c>
      <c r="AS150" s="956" t="str">
        <f t="shared" si="1278"/>
        <v/>
      </c>
      <c r="AT150" s="952" t="str">
        <f t="shared" si="1225"/>
        <v/>
      </c>
      <c r="AU150" s="418"/>
      <c r="AV150" s="164" t="str">
        <f t="shared" si="122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2"/>
        <v/>
      </c>
      <c r="BA150" s="298" t="str">
        <f t="shared" si="1083"/>
        <v/>
      </c>
      <c r="BB150" s="372" t="str">
        <f t="shared" si="713"/>
        <v/>
      </c>
      <c r="BC150" s="17"/>
      <c r="BD150" s="13" t="str">
        <f t="shared" si="1084"/>
        <v/>
      </c>
      <c r="BE150" s="14" t="str">
        <f t="shared" si="1227"/>
        <v/>
      </c>
      <c r="BF150" s="12" t="str">
        <f t="shared" si="1228"/>
        <v/>
      </c>
      <c r="BG150" s="13" t="str">
        <f t="shared" si="1229"/>
        <v/>
      </c>
      <c r="BH150" s="18" t="str">
        <f t="shared" si="1230"/>
        <v/>
      </c>
      <c r="BI150" s="17" t="str">
        <f t="shared" si="1085"/>
        <v/>
      </c>
      <c r="BJ150" s="13" t="str">
        <f t="shared" si="1231"/>
        <v/>
      </c>
      <c r="BK150" s="16" t="str">
        <f t="shared" si="1232"/>
        <v/>
      </c>
      <c r="BL150" s="214" t="str">
        <f t="shared" si="1233"/>
        <v/>
      </c>
      <c r="BM150" s="13" t="str">
        <f t="shared" si="1234"/>
        <v/>
      </c>
      <c r="BN150" s="14" t="str">
        <f t="shared" si="1235"/>
        <v/>
      </c>
      <c r="BO150" s="12" t="str">
        <f t="shared" si="1086"/>
        <v/>
      </c>
      <c r="BP150" s="13" t="str">
        <f t="shared" si="1087"/>
        <v/>
      </c>
      <c r="BQ150" s="13" t="str">
        <f t="shared" si="1088"/>
        <v/>
      </c>
      <c r="BR150" s="14" t="str">
        <f t="shared" si="1089"/>
        <v/>
      </c>
      <c r="BS150" s="12" t="str">
        <f t="shared" si="1005"/>
        <v/>
      </c>
      <c r="BT150" s="13" t="str">
        <f t="shared" si="1005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0"/>
        <v/>
      </c>
      <c r="CC150" s="13" t="str">
        <f t="shared" si="1091"/>
        <v/>
      </c>
      <c r="CD150" s="13" t="str">
        <f t="shared" si="1092"/>
        <v/>
      </c>
      <c r="CE150" s="14" t="str">
        <f t="shared" si="1093"/>
        <v/>
      </c>
      <c r="CF150" s="12" t="str">
        <f t="shared" si="1094"/>
        <v/>
      </c>
      <c r="CG150" s="13" t="str">
        <f t="shared" si="1095"/>
        <v/>
      </c>
      <c r="CH150" s="13" t="str">
        <f t="shared" si="1096"/>
        <v/>
      </c>
      <c r="CI150" s="12" t="str">
        <f t="shared" si="723"/>
        <v/>
      </c>
      <c r="CJ150" s="13" t="str">
        <f t="shared" si="1097"/>
        <v/>
      </c>
      <c r="CK150" s="16" t="str">
        <f t="shared" si="1098"/>
        <v/>
      </c>
      <c r="CL150" s="214" t="str">
        <f t="shared" si="1099"/>
        <v/>
      </c>
      <c r="CM150" s="13" t="str">
        <f t="shared" si="1100"/>
        <v/>
      </c>
      <c r="CN150" s="14" t="str">
        <f t="shared" si="1101"/>
        <v/>
      </c>
      <c r="CO150" s="227" t="str">
        <f t="shared" si="1236"/>
        <v/>
      </c>
      <c r="CP150" s="12" t="str">
        <f t="shared" si="1102"/>
        <v/>
      </c>
      <c r="CQ150" s="13" t="str">
        <f t="shared" si="1103"/>
        <v/>
      </c>
      <c r="CR150" s="13" t="str">
        <f t="shared" si="1104"/>
        <v/>
      </c>
      <c r="CS150" s="16" t="str">
        <f t="shared" si="1105"/>
        <v/>
      </c>
      <c r="CT150" s="17" t="str">
        <f t="shared" si="1106"/>
        <v/>
      </c>
      <c r="CU150" s="14" t="str">
        <f t="shared" si="1107"/>
        <v/>
      </c>
      <c r="CV150" s="12" t="str">
        <f t="shared" si="1108"/>
        <v/>
      </c>
      <c r="CW150" s="13" t="str">
        <f t="shared" si="1109"/>
        <v/>
      </c>
      <c r="CX150" s="16" t="str">
        <f t="shared" si="1110"/>
        <v/>
      </c>
      <c r="CY150" s="17" t="str">
        <f t="shared" si="1111"/>
        <v/>
      </c>
      <c r="CZ150" s="13" t="str">
        <f t="shared" si="1112"/>
        <v/>
      </c>
      <c r="DA150" s="14" t="str">
        <f t="shared" si="1113"/>
        <v/>
      </c>
      <c r="DB150" s="12" t="str">
        <f t="shared" si="1011"/>
        <v/>
      </c>
      <c r="DC150" s="13" t="str">
        <f t="shared" si="1011"/>
        <v/>
      </c>
      <c r="DD150" s="18" t="str">
        <f t="shared" si="764"/>
        <v/>
      </c>
      <c r="DE150" s="17" t="str">
        <f t="shared" si="1012"/>
        <v/>
      </c>
      <c r="DF150" s="13" t="str">
        <f t="shared" si="1012"/>
        <v/>
      </c>
      <c r="DG150" s="18" t="str">
        <f t="shared" si="766"/>
        <v/>
      </c>
      <c r="DH150" s="218" t="str">
        <f t="shared" si="1114"/>
        <v/>
      </c>
      <c r="DI150" s="12" t="str">
        <f t="shared" si="1115"/>
        <v/>
      </c>
      <c r="DJ150" s="13" t="str">
        <f t="shared" si="1116"/>
        <v/>
      </c>
      <c r="DK150" s="18" t="str">
        <f t="shared" si="1117"/>
        <v/>
      </c>
      <c r="DL150" s="17" t="str">
        <f t="shared" si="1118"/>
        <v/>
      </c>
      <c r="DM150" s="214" t="str">
        <f t="shared" si="1119"/>
        <v/>
      </c>
      <c r="DN150" s="245" t="str">
        <f t="shared" si="1120"/>
        <v/>
      </c>
      <c r="DO150" s="17" t="str">
        <f t="shared" si="1121"/>
        <v/>
      </c>
      <c r="DP150" s="214" t="str">
        <f t="shared" si="1122"/>
        <v/>
      </c>
      <c r="DQ150" s="19" t="str">
        <f t="shared" si="1123"/>
        <v/>
      </c>
      <c r="DR150" s="214" t="str">
        <f t="shared" si="1124"/>
        <v/>
      </c>
      <c r="DS150" s="13" t="str">
        <f t="shared" si="1125"/>
        <v/>
      </c>
      <c r="DT150" s="13" t="str">
        <f t="shared" si="1126"/>
        <v/>
      </c>
      <c r="DU150" s="13" t="str">
        <f t="shared" si="1127"/>
        <v/>
      </c>
      <c r="DV150" s="13" t="str">
        <f t="shared" si="1128"/>
        <v/>
      </c>
      <c r="DW150" s="13" t="str">
        <f t="shared" si="1129"/>
        <v/>
      </c>
      <c r="DX150" s="227" t="str">
        <f t="shared" si="1130"/>
        <v/>
      </c>
      <c r="DY150" s="17" t="str">
        <f t="shared" si="1131"/>
        <v/>
      </c>
      <c r="DZ150" s="13" t="str">
        <f t="shared" si="1132"/>
        <v/>
      </c>
      <c r="EA150" s="18" t="str">
        <f t="shared" si="1133"/>
        <v/>
      </c>
      <c r="EB150" s="14" t="str">
        <f t="shared" si="1134"/>
        <v/>
      </c>
      <c r="EC150" s="214" t="str">
        <f t="shared" si="1135"/>
        <v/>
      </c>
      <c r="ED150" s="13" t="str">
        <f t="shared" si="1136"/>
        <v/>
      </c>
      <c r="EE150" s="12" t="str">
        <f t="shared" si="1137"/>
        <v/>
      </c>
      <c r="EF150" s="13" t="str">
        <f t="shared" si="1138"/>
        <v/>
      </c>
      <c r="EG150" s="18" t="str">
        <f t="shared" si="1139"/>
        <v/>
      </c>
      <c r="EH150" s="17" t="str">
        <f t="shared" si="1140"/>
        <v/>
      </c>
      <c r="EI150" s="13" t="str">
        <f t="shared" si="1141"/>
        <v/>
      </c>
      <c r="EJ150" s="14" t="str">
        <f t="shared" si="1142"/>
        <v/>
      </c>
      <c r="EK150" s="246" t="str">
        <f t="shared" si="796"/>
        <v/>
      </c>
      <c r="EL150" s="247" t="str">
        <f t="shared" si="797"/>
        <v/>
      </c>
      <c r="EM150" s="12" t="str">
        <f t="shared" si="1143"/>
        <v/>
      </c>
      <c r="EN150" s="13" t="str">
        <f t="shared" si="1144"/>
        <v/>
      </c>
      <c r="EO150" s="18" t="str">
        <f t="shared" si="1145"/>
        <v/>
      </c>
      <c r="EP150" s="17" t="str">
        <f t="shared" si="1146"/>
        <v/>
      </c>
      <c r="EQ150" s="13" t="str">
        <f t="shared" si="1147"/>
        <v/>
      </c>
      <c r="ER150" s="15" t="str">
        <f t="shared" si="1148"/>
        <v/>
      </c>
      <c r="ES150" s="255" t="str">
        <f t="shared" si="1237"/>
        <v/>
      </c>
      <c r="ET150" s="256" t="str">
        <f t="shared" si="1238"/>
        <v/>
      </c>
      <c r="EU150" s="257" t="str">
        <f t="shared" si="1239"/>
        <v/>
      </c>
      <c r="EV150" s="174" t="str">
        <f t="shared" si="1149"/>
        <v/>
      </c>
      <c r="EW150" s="258" t="str">
        <f t="shared" si="1150"/>
        <v/>
      </c>
      <c r="EX150" s="256" t="str">
        <f t="shared" si="1151"/>
        <v/>
      </c>
      <c r="EY150" s="259" t="str">
        <f t="shared" si="1152"/>
        <v/>
      </c>
      <c r="EZ150" s="260" t="str">
        <f t="shared" si="805"/>
        <v/>
      </c>
      <c r="FA150" s="261" t="str">
        <f t="shared" si="928"/>
        <v/>
      </c>
      <c r="FB150" s="256" t="str">
        <f t="shared" si="929"/>
        <v/>
      </c>
      <c r="FC150" s="259" t="str">
        <f t="shared" si="930"/>
        <v/>
      </c>
      <c r="FD150" s="270" t="str">
        <f t="shared" si="1153"/>
        <v/>
      </c>
      <c r="FE150" s="256" t="str">
        <f t="shared" si="1154"/>
        <v/>
      </c>
      <c r="FF150" s="262" t="str">
        <f t="shared" si="1155"/>
        <v/>
      </c>
      <c r="FG150" s="173" t="str">
        <f t="shared" si="1156"/>
        <v/>
      </c>
      <c r="FH150" s="5" t="str">
        <f t="shared" si="1157"/>
        <v/>
      </c>
      <c r="FI150" s="10" t="str">
        <f t="shared" si="1158"/>
        <v/>
      </c>
      <c r="FJ150" s="279" t="str">
        <f t="shared" si="1159"/>
        <v/>
      </c>
      <c r="FK150" s="4" t="str">
        <f t="shared" si="1160"/>
        <v/>
      </c>
      <c r="FL150" s="5" t="str">
        <f t="shared" si="1161"/>
        <v/>
      </c>
      <c r="FM150" s="8" t="str">
        <f t="shared" si="1162"/>
        <v/>
      </c>
      <c r="FN150" s="9" t="str">
        <f t="shared" si="1163"/>
        <v/>
      </c>
      <c r="FO150" s="10" t="str">
        <f t="shared" si="1164"/>
        <v/>
      </c>
      <c r="FP150" s="277" t="str">
        <f t="shared" si="1165"/>
        <v/>
      </c>
      <c r="FQ150" s="173" t="str">
        <f t="shared" si="1166"/>
        <v/>
      </c>
      <c r="FR150" s="10" t="str">
        <f t="shared" si="1167"/>
        <v/>
      </c>
      <c r="FS150" s="9" t="str">
        <f t="shared" si="1168"/>
        <v/>
      </c>
      <c r="FT150" s="6" t="str">
        <f t="shared" si="1169"/>
        <v/>
      </c>
      <c r="FU150" s="4" t="str">
        <f t="shared" si="1170"/>
        <v/>
      </c>
      <c r="FV150" s="5" t="str">
        <f t="shared" si="1171"/>
        <v/>
      </c>
      <c r="FW150" s="8" t="str">
        <f t="shared" si="1172"/>
        <v/>
      </c>
      <c r="FX150" s="9" t="str">
        <f t="shared" si="1173"/>
        <v/>
      </c>
      <c r="FY150" s="10" t="str">
        <f t="shared" si="1174"/>
        <v/>
      </c>
      <c r="FZ150" s="277" t="str">
        <f t="shared" si="1175"/>
        <v/>
      </c>
      <c r="GA150" s="177" t="str">
        <f t="shared" si="1176"/>
        <v/>
      </c>
      <c r="GB150" s="4" t="str">
        <f t="shared" si="1177"/>
        <v/>
      </c>
      <c r="GC150" s="5" t="str">
        <f t="shared" si="1178"/>
        <v/>
      </c>
      <c r="GD150" s="10" t="str">
        <f t="shared" si="1179"/>
        <v/>
      </c>
      <c r="GE150" s="311" t="str">
        <f t="shared" si="1180"/>
        <v/>
      </c>
      <c r="GF150" s="341" t="str">
        <f t="shared" si="1181"/>
        <v/>
      </c>
      <c r="GG150" s="306" t="str">
        <f t="shared" si="1182"/>
        <v/>
      </c>
      <c r="GH150" s="307" t="str">
        <f t="shared" si="1183"/>
        <v/>
      </c>
      <c r="GI150" s="308" t="str">
        <f t="shared" si="1184"/>
        <v/>
      </c>
      <c r="GJ150" s="167" t="str">
        <f t="shared" si="1185"/>
        <v/>
      </c>
      <c r="GK150" s="174" t="str">
        <f t="shared" si="942"/>
        <v/>
      </c>
      <c r="GL150" s="174" t="str">
        <f t="shared" si="1186"/>
        <v/>
      </c>
      <c r="GM150" s="177" t="str">
        <f t="shared" si="1187"/>
        <v/>
      </c>
      <c r="GN150" s="280" t="str">
        <f t="shared" si="1188"/>
        <v/>
      </c>
      <c r="GO150" s="4" t="str">
        <f t="shared" si="1189"/>
        <v/>
      </c>
      <c r="GP150" s="8" t="str">
        <f t="shared" si="1190"/>
        <v/>
      </c>
      <c r="GQ150" s="177" t="str">
        <f t="shared" si="1191"/>
        <v/>
      </c>
      <c r="GR150" s="371" t="str">
        <f t="shared" si="1192"/>
        <v/>
      </c>
      <c r="GS150" s="342" t="str">
        <f t="shared" si="1193"/>
        <v/>
      </c>
      <c r="GT150" s="343" t="str">
        <f t="shared" si="1194"/>
        <v/>
      </c>
      <c r="GU150" s="344" t="str">
        <f t="shared" si="945"/>
        <v/>
      </c>
      <c r="GV150" s="343" t="str">
        <f t="shared" si="1195"/>
        <v/>
      </c>
      <c r="GW150" s="345" t="str">
        <f t="shared" si="946"/>
        <v/>
      </c>
      <c r="GX150" s="346" t="str">
        <f t="shared" si="947"/>
        <v/>
      </c>
      <c r="GY150" s="344" t="str">
        <f t="shared" si="1196"/>
        <v/>
      </c>
      <c r="GZ150" s="345" t="str">
        <f t="shared" si="1197"/>
        <v/>
      </c>
      <c r="HA150" s="342" t="str">
        <f t="shared" si="950"/>
        <v/>
      </c>
      <c r="HB150" s="5" t="str">
        <f t="shared" si="832"/>
        <v/>
      </c>
      <c r="HC150" s="343" t="str">
        <f t="shared" si="1198"/>
        <v/>
      </c>
      <c r="HD150" s="363" t="str">
        <f t="shared" si="1199"/>
        <v/>
      </c>
      <c r="HE150" s="344" t="str">
        <f t="shared" si="951"/>
        <v/>
      </c>
      <c r="HF150" s="5" t="str">
        <f t="shared" si="952"/>
        <v/>
      </c>
      <c r="HG150" s="343" t="str">
        <f t="shared" si="1200"/>
        <v/>
      </c>
      <c r="HH150" s="349" t="str">
        <f t="shared" si="1201"/>
        <v/>
      </c>
      <c r="HI150" s="317" t="str">
        <f t="shared" si="1240"/>
        <v/>
      </c>
      <c r="HK150" s="310" t="str">
        <f t="shared" si="1275"/>
        <v/>
      </c>
      <c r="HL150" s="348" t="str">
        <f t="shared" si="1241"/>
        <v/>
      </c>
      <c r="HM150" s="923" t="str">
        <f t="shared" si="1242"/>
        <v/>
      </c>
      <c r="HN150" s="924" t="str">
        <f t="shared" si="1243"/>
        <v/>
      </c>
      <c r="HO150" s="925"/>
      <c r="HP150" s="926"/>
      <c r="HQ150" s="924" t="str">
        <f t="shared" si="1244"/>
        <v/>
      </c>
      <c r="HR150" s="927" t="str">
        <f t="shared" si="1245"/>
        <v/>
      </c>
      <c r="HS150" s="879" t="str">
        <f t="shared" si="1202"/>
        <v/>
      </c>
      <c r="HT150" s="889" t="str">
        <f t="shared" si="1246"/>
        <v/>
      </c>
      <c r="HU150" s="890" t="str">
        <f t="shared" si="1247"/>
        <v/>
      </c>
      <c r="HV150" s="886" t="str">
        <f t="shared" si="1248"/>
        <v/>
      </c>
      <c r="HW150" s="880" t="str">
        <f t="shared" si="1249"/>
        <v/>
      </c>
      <c r="HX150" s="881" t="str">
        <f t="shared" si="1250"/>
        <v/>
      </c>
      <c r="HY150" s="880" t="str">
        <f t="shared" si="1251"/>
        <v/>
      </c>
      <c r="HZ150" s="882" t="str">
        <f t="shared" si="1252"/>
        <v/>
      </c>
      <c r="IA150" s="883" t="str">
        <f t="shared" si="1253"/>
        <v/>
      </c>
      <c r="IB150" s="884" t="str">
        <f t="shared" si="1254"/>
        <v/>
      </c>
      <c r="IC150" s="855" t="str">
        <f t="shared" si="1255"/>
        <v/>
      </c>
      <c r="ID150" s="351" t="str">
        <f t="shared" si="1256"/>
        <v/>
      </c>
      <c r="IE150" s="857" t="str">
        <f t="shared" si="125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79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58"/>
        <v/>
      </c>
      <c r="IM150" s="782" t="str">
        <f t="shared" si="1280"/>
        <v/>
      </c>
      <c r="IN150" s="671" t="str">
        <f t="shared" si="1259"/>
        <v/>
      </c>
      <c r="IO150" s="703"/>
      <c r="IP150" s="175" t="str">
        <f t="shared" si="1260"/>
        <v/>
      </c>
      <c r="IQ150" s="715"/>
      <c r="IR150" s="711" t="str">
        <f t="shared" si="1261"/>
        <v/>
      </c>
      <c r="IS150" s="175" t="str">
        <f t="shared" si="1262"/>
        <v/>
      </c>
      <c r="IT150" s="175" t="str">
        <f t="shared" si="1263"/>
        <v/>
      </c>
      <c r="IU150" s="175" t="str">
        <f t="shared" si="1264"/>
        <v/>
      </c>
      <c r="IV150" s="671" t="str">
        <f t="shared" si="1265"/>
        <v/>
      </c>
      <c r="IW150" s="711" t="str">
        <f t="shared" si="1266"/>
        <v/>
      </c>
      <c r="IX150" s="175" t="str">
        <f t="shared" si="1267"/>
        <v/>
      </c>
      <c r="IY150" s="175" t="str">
        <f t="shared" si="1268"/>
        <v/>
      </c>
      <c r="IZ150" s="175" t="str">
        <f t="shared" si="1269"/>
        <v/>
      </c>
      <c r="JA150" s="706" t="str">
        <f t="shared" si="127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65" t="s">
        <v>42</v>
      </c>
      <c r="C157" s="1066"/>
      <c r="D157" s="1066"/>
      <c r="E157" s="1066"/>
      <c r="F157" s="1066"/>
      <c r="G157" s="1066"/>
      <c r="H157" s="1066"/>
      <c r="I157" s="1066"/>
      <c r="J157" s="1066"/>
      <c r="K157" s="1066"/>
      <c r="L157" s="1066"/>
      <c r="M157" s="1067"/>
      <c r="Z157" t="s">
        <v>101</v>
      </c>
      <c r="AA157" s="219">
        <v>0</v>
      </c>
    </row>
    <row r="158" spans="1:261" x14ac:dyDescent="0.25">
      <c r="B158" s="1068"/>
      <c r="C158" s="1069"/>
      <c r="D158" s="1069"/>
      <c r="E158" s="1069"/>
      <c r="F158" s="1069"/>
      <c r="G158" s="1069"/>
      <c r="H158" s="1069"/>
      <c r="I158" s="1069"/>
      <c r="J158" s="1069"/>
      <c r="K158" s="1069"/>
      <c r="L158" s="1069"/>
      <c r="M158" s="1070"/>
      <c r="Z158" t="s">
        <v>102</v>
      </c>
      <c r="AA158" s="219">
        <v>0.01</v>
      </c>
    </row>
    <row r="159" spans="1:261" x14ac:dyDescent="0.25">
      <c r="B159" s="1071"/>
      <c r="C159" s="1072"/>
      <c r="D159" s="1072"/>
      <c r="E159" s="1072"/>
      <c r="F159" s="1072"/>
      <c r="G159" s="1072"/>
      <c r="H159" s="1072"/>
      <c r="I159" s="1072"/>
      <c r="J159" s="1072"/>
      <c r="K159" s="1072"/>
      <c r="L159" s="1072"/>
      <c r="M159" s="1073"/>
    </row>
    <row r="160" spans="1:261" ht="15" customHeight="1" x14ac:dyDescent="0.25">
      <c r="B160" s="1074" t="str">
        <f>CONCATENATE(B162," ; ",E162," ; ",H163)</f>
        <v>Absolute-Point ; Incremental-Vector Point ; Radius</v>
      </c>
      <c r="C160" s="1075"/>
      <c r="D160" s="1075"/>
      <c r="E160" s="1075"/>
      <c r="F160" s="1075"/>
      <c r="G160" s="1075"/>
      <c r="H160" s="1075"/>
      <c r="I160" s="1075"/>
      <c r="J160" s="1075"/>
      <c r="K160" s="1075"/>
      <c r="L160" s="1075"/>
      <c r="M160" s="1076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8"/>
      <c r="L161" s="1078"/>
      <c r="M161" s="1079"/>
      <c r="Z161" t="s">
        <v>151</v>
      </c>
      <c r="AA161" s="199">
        <v>0.433</v>
      </c>
      <c r="AB161" s="162">
        <f t="shared" ref="AB161:AB168" si="1303">AA161+$AA$157</f>
        <v>0.433</v>
      </c>
      <c r="AC161" s="162">
        <f t="shared" ref="AC161:AC168" si="1304">AA161+$AA$158</f>
        <v>0.443</v>
      </c>
    </row>
    <row r="162" spans="2:38" x14ac:dyDescent="0.25">
      <c r="B162" s="1060" t="s">
        <v>40</v>
      </c>
      <c r="C162" s="1061"/>
      <c r="D162" s="1062"/>
      <c r="E162" s="1063" t="s">
        <v>41</v>
      </c>
      <c r="F162" s="1061"/>
      <c r="G162" s="1064"/>
      <c r="H162" s="964" t="s">
        <v>305</v>
      </c>
      <c r="I162" s="962"/>
      <c r="J162" s="963"/>
      <c r="K162" s="155"/>
      <c r="L162" s="1080" t="s">
        <v>401</v>
      </c>
      <c r="M162" s="1081"/>
      <c r="Z162" t="s">
        <v>152</v>
      </c>
      <c r="AA162" s="199">
        <v>0.48099999999999998</v>
      </c>
      <c r="AB162" s="162">
        <f t="shared" si="1303"/>
        <v>0.48099999999999998</v>
      </c>
      <c r="AC162" s="162">
        <f t="shared" si="1304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388</v>
      </c>
      <c r="L163" s="935" t="s">
        <v>400</v>
      </c>
      <c r="M163" s="936" t="s">
        <v>399</v>
      </c>
      <c r="Z163" t="s">
        <v>153</v>
      </c>
      <c r="AA163" s="199">
        <v>0.52900000000000003</v>
      </c>
      <c r="AB163" s="162">
        <f t="shared" si="1303"/>
        <v>0.52900000000000003</v>
      </c>
      <c r="AC163" s="162">
        <f t="shared" si="1304"/>
        <v>0.53900000000000003</v>
      </c>
    </row>
    <row r="164" spans="2:38" ht="15.75" thickTop="1" x14ac:dyDescent="0.25">
      <c r="B164" s="645">
        <v>6.829619984160658E-17</v>
      </c>
      <c r="C164" s="646">
        <v>0.40630122540449581</v>
      </c>
      <c r="D164" s="647">
        <v>-1.599404823804949</v>
      </c>
      <c r="E164" s="648">
        <v>-0.93969263802333458</v>
      </c>
      <c r="F164" s="646">
        <v>-0.11135083594759346</v>
      </c>
      <c r="G164" s="649">
        <v>0.32338635929568604</v>
      </c>
      <c r="H164" s="648">
        <v>0.3765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1913</v>
      </c>
      <c r="L164" s="693"/>
      <c r="M164" s="938"/>
      <c r="O164" s="162">
        <f t="shared" ref="O164:O195" si="1305">IFERROR(INDEX(B$164:B$305,MATCH($W164,$J$164:$J$305,0)),"")</f>
        <v>6.829619984160658E-17</v>
      </c>
      <c r="P164" s="162">
        <f t="shared" ref="P164:P195" si="1306">IFERROR(INDEX(C$164:C$305,MATCH($W164,$J$164:$J$305,0)),"")</f>
        <v>0.40630122540449581</v>
      </c>
      <c r="Q164" s="162">
        <f t="shared" ref="Q164:Q195" si="1307">IFERROR(INDEX(D$164:D$305,MATCH($W164,$J$164:$J$305,0)),"")</f>
        <v>-1.599404823804949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08">IFERROR(IF($L164="Y",-1*INDEX(F$164:F$305,MATCH($W164,$J$164:$J$305,0)),INDEX(F$164:F$305,MATCH($W164,$J$164:$J$305,0))),"")</f>
        <v>-0.11135083594759346</v>
      </c>
      <c r="T164" s="162">
        <f t="shared" ref="T164:T227" si="1309">IFERROR(IF($L164="Y",-1*INDEX(G$164:G$305,MATCH($W164,$J$164:$J$305,0)),INDEX(G$164:G$305,MATCH($W164,$J$164:$J$305,0))),"")</f>
        <v>0.32338635929568604</v>
      </c>
      <c r="U164" s="162">
        <f>IFERROR(IF(ISNUMBER(MATCH($X164,Settings!$AK$28:$AK$36,0)),INDEX(Settings!$AO$14:$AO$36,MATCH($X164,Settings!$AK$14:$AK$36,0))/2,INDEX(Settings!$AM$14:$AM$36,MATCH($X164,Settings!$AK$14:$AK$36,0))/2),"")</f>
        <v>0.375</v>
      </c>
      <c r="V164" s="162">
        <f t="shared" ref="V164:V195" si="1310">IFERROR(INDEX(I$164:I$305,MATCH($W164,$J$164:$J$305,0)),"")</f>
        <v>0.52</v>
      </c>
      <c r="W164" s="75" cm="1">
        <f t="array" ref="W164:W218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1913</v>
      </c>
      <c r="Z164" t="s">
        <v>154</v>
      </c>
      <c r="AA164" s="199">
        <v>0.57699999999999996</v>
      </c>
      <c r="AB164" s="162">
        <f t="shared" si="1303"/>
        <v>0.57699999999999996</v>
      </c>
      <c r="AC164" s="162">
        <f t="shared" si="1304"/>
        <v>0.58699999999999997</v>
      </c>
      <c r="AK164" s="82" t="str">
        <f>IF(M164="","Y","")</f>
        <v>Y</v>
      </c>
      <c r="AL164" s="419" t="s">
        <v>402</v>
      </c>
    </row>
    <row r="165" spans="2:38" x14ac:dyDescent="0.25">
      <c r="B165" s="650">
        <v>1.7074049960401645E-17</v>
      </c>
      <c r="C165" s="651">
        <v>1.2578037935362412</v>
      </c>
      <c r="D165" s="652">
        <v>-1.2894038888421286</v>
      </c>
      <c r="E165" s="653">
        <v>-0.96592583607220739</v>
      </c>
      <c r="F165" s="651">
        <v>-7.5671344153417031E-2</v>
      </c>
      <c r="G165" s="654">
        <v>0.24750985209122953</v>
      </c>
      <c r="H165" s="653">
        <v>0.3765</v>
      </c>
      <c r="I165" s="942">
        <v>0.52</v>
      </c>
      <c r="J165" s="946">
        <v>1.103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1913</v>
      </c>
      <c r="L165" s="683"/>
      <c r="M165" s="934"/>
      <c r="O165" s="162">
        <f t="shared" si="1305"/>
        <v>1.7074049960401645E-17</v>
      </c>
      <c r="P165" s="162">
        <f t="shared" si="1306"/>
        <v>1.2578037935362412</v>
      </c>
      <c r="Q165" s="162">
        <f t="shared" si="1307"/>
        <v>-1.2894038888421286</v>
      </c>
      <c r="R165" s="162">
        <f t="shared" ref="R165:R228" si="1311">IFERROR(IF($L165="Y",-1*INDEX(E$164:E$305,MATCH($W165,$J$164:$J$305,0)),INDEX(E$164:E$305,MATCH($W165,$J$164:$J$305,0))),"")</f>
        <v>-0.96592583607220739</v>
      </c>
      <c r="S165" s="162">
        <f t="shared" si="1308"/>
        <v>-7.5671344153417031E-2</v>
      </c>
      <c r="T165" s="162">
        <f t="shared" si="1309"/>
        <v>0.24750985209122953</v>
      </c>
      <c r="U165" s="162">
        <f>IFERROR(IF(ISNUMBER(MATCH($X165,Settings!$AK$28:$AK$36,0)),INDEX(Settings!$AO$14:$AO$36,MATCH($X165,Settings!$AK$14:$AK$36,0))/2,INDEX(Settings!$AM$14:$AM$36,MATCH($X165,Settings!$AK$14:$AK$36,0))/2),"")</f>
        <v>0.375</v>
      </c>
      <c r="V165" s="162">
        <f t="shared" si="1310"/>
        <v>0.52</v>
      </c>
      <c r="W165" s="75">
        <v>1.103</v>
      </c>
      <c r="X165" s="937">
        <f t="shared" ref="X165:X228" si="1312">IFERROR(INDEX(K$164:K$305,MATCH($W165,$J$164:$J$305,0)),"")</f>
        <v>1913</v>
      </c>
      <c r="Z165" t="s">
        <v>155</v>
      </c>
      <c r="AA165" s="199">
        <v>0.625</v>
      </c>
      <c r="AB165" s="162">
        <f t="shared" si="1303"/>
        <v>0.625</v>
      </c>
      <c r="AC165" s="162">
        <f t="shared" si="1304"/>
        <v>0.63500000000000001</v>
      </c>
      <c r="AK165" s="82" t="str">
        <f t="shared" ref="AK165:AK228" si="1313">IF(M165="","Y","")</f>
        <v>Y</v>
      </c>
      <c r="AL165" s="419" t="s">
        <v>402</v>
      </c>
    </row>
    <row r="166" spans="2:38" x14ac:dyDescent="0.25">
      <c r="B166" s="650">
        <v>0</v>
      </c>
      <c r="C166" s="651">
        <v>2.2514067902428794</v>
      </c>
      <c r="D166" s="652">
        <v>-0.92780279825323964</v>
      </c>
      <c r="E166" s="653">
        <v>-0.9659258360722075</v>
      </c>
      <c r="F166" s="651">
        <v>-6.2613976315943523E-2</v>
      </c>
      <c r="G166" s="654">
        <v>0.25113098012414492</v>
      </c>
      <c r="H166" s="653">
        <v>0.3765</v>
      </c>
      <c r="I166" s="942">
        <v>0.52</v>
      </c>
      <c r="J166" s="946">
        <v>1.1060000000000001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1913</v>
      </c>
      <c r="L166" s="683"/>
      <c r="M166" s="934"/>
      <c r="O166" s="162">
        <f t="shared" si="1305"/>
        <v>0</v>
      </c>
      <c r="P166" s="162">
        <f t="shared" si="1306"/>
        <v>2.2514067902428794</v>
      </c>
      <c r="Q166" s="162">
        <f t="shared" si="1307"/>
        <v>-0.92780279825323964</v>
      </c>
      <c r="R166" s="162">
        <f t="shared" si="1311"/>
        <v>-0.9659258360722075</v>
      </c>
      <c r="S166" s="162">
        <f t="shared" si="1308"/>
        <v>-6.2613976315943523E-2</v>
      </c>
      <c r="T166" s="162">
        <f t="shared" si="1309"/>
        <v>0.25113098012414492</v>
      </c>
      <c r="U166" s="162">
        <f>IFERROR(IF(ISNUMBER(MATCH($X166,Settings!$AK$28:$AK$36,0)),INDEX(Settings!$AO$14:$AO$36,MATCH($X166,Settings!$AK$14:$AK$36,0))/2,INDEX(Settings!$AM$14:$AM$36,MATCH($X166,Settings!$AK$14:$AK$36,0))/2),"")</f>
        <v>0.375</v>
      </c>
      <c r="V166" s="162">
        <f t="shared" si="1310"/>
        <v>0.52</v>
      </c>
      <c r="W166" s="75">
        <v>1.1060000000000001</v>
      </c>
      <c r="X166" s="937">
        <f t="shared" si="1312"/>
        <v>1913</v>
      </c>
      <c r="Z166" t="s">
        <v>156</v>
      </c>
      <c r="AA166" s="199">
        <v>0.66500000000000004</v>
      </c>
      <c r="AB166" s="162">
        <f t="shared" si="1303"/>
        <v>0.66500000000000004</v>
      </c>
      <c r="AC166" s="162">
        <f t="shared" si="1304"/>
        <v>0.67500000000000004</v>
      </c>
      <c r="AK166" s="82" t="str">
        <f t="shared" si="1313"/>
        <v>Y</v>
      </c>
      <c r="AL166" s="419" t="s">
        <v>402</v>
      </c>
    </row>
    <row r="167" spans="2:38" x14ac:dyDescent="0.25">
      <c r="B167" s="650">
        <v>-3.414809992080329E-17</v>
      </c>
      <c r="C167" s="651">
        <v>3.2449097866479164</v>
      </c>
      <c r="D167" s="652">
        <v>-0.56620170766435052</v>
      </c>
      <c r="E167" s="653">
        <v>-0.96592583607220739</v>
      </c>
      <c r="F167" s="651">
        <v>-4.4943442764441774E-2</v>
      </c>
      <c r="G167" s="654">
        <v>0.25488696742024014</v>
      </c>
      <c r="H167" s="653">
        <v>0.3765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1913</v>
      </c>
      <c r="L167" s="683"/>
      <c r="M167" s="934"/>
      <c r="O167" s="162">
        <f t="shared" si="1305"/>
        <v>-3.414809992080329E-17</v>
      </c>
      <c r="P167" s="162">
        <f t="shared" si="1306"/>
        <v>3.2449097866479164</v>
      </c>
      <c r="Q167" s="162">
        <f t="shared" si="1307"/>
        <v>-0.56620170766435052</v>
      </c>
      <c r="R167" s="162">
        <f t="shared" si="1311"/>
        <v>-0.96592583607220739</v>
      </c>
      <c r="S167" s="162">
        <f t="shared" si="1308"/>
        <v>-4.4943442764441774E-2</v>
      </c>
      <c r="T167" s="162">
        <f t="shared" si="1309"/>
        <v>0.25488696742024014</v>
      </c>
      <c r="U167" s="162">
        <f>IFERROR(IF(ISNUMBER(MATCH($X167,Settings!$AK$28:$AK$36,0)),INDEX(Settings!$AO$14:$AO$36,MATCH($X167,Settings!$AK$14:$AK$36,0))/2,INDEX(Settings!$AM$14:$AM$36,MATCH($X167,Settings!$AK$14:$AK$36,0))/2),"")</f>
        <v>0.375</v>
      </c>
      <c r="V167" s="162">
        <f t="shared" si="1310"/>
        <v>0.52</v>
      </c>
      <c r="W167" s="75">
        <v>1.1100000000000001</v>
      </c>
      <c r="X167" s="937">
        <f t="shared" si="1312"/>
        <v>1913</v>
      </c>
      <c r="Z167" t="s">
        <v>157</v>
      </c>
      <c r="AA167" s="199">
        <v>0.70799999999999996</v>
      </c>
      <c r="AB167" s="162">
        <f t="shared" si="1303"/>
        <v>0.70799999999999996</v>
      </c>
      <c r="AC167" s="162">
        <f t="shared" si="1304"/>
        <v>0.71799999999999997</v>
      </c>
      <c r="AK167" s="82" t="str">
        <f t="shared" si="1313"/>
        <v>Y</v>
      </c>
      <c r="AL167" s="419" t="s">
        <v>402</v>
      </c>
    </row>
    <row r="168" spans="2:38" x14ac:dyDescent="0.25">
      <c r="B168" s="650">
        <v>3.9351522004984095E-3</v>
      </c>
      <c r="C168" s="651">
        <v>4.0994104750903491</v>
      </c>
      <c r="D168" s="652">
        <v>-0.26470079833760796</v>
      </c>
      <c r="E168" s="653">
        <v>-0.96594704473401338</v>
      </c>
      <c r="F168" s="651">
        <v>-2.1630327326277437E-2</v>
      </c>
      <c r="G168" s="654">
        <v>0.25783412440827963</v>
      </c>
      <c r="H168" s="653">
        <v>0.3765</v>
      </c>
      <c r="I168" s="942">
        <v>0.52</v>
      </c>
      <c r="J168" s="946">
        <v>1.115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1913</v>
      </c>
      <c r="L168" s="683"/>
      <c r="M168" s="934"/>
      <c r="O168" s="162">
        <f t="shared" si="1305"/>
        <v>3.9351522004984095E-3</v>
      </c>
      <c r="P168" s="162">
        <f t="shared" si="1306"/>
        <v>4.0994104750903491</v>
      </c>
      <c r="Q168" s="162">
        <f t="shared" si="1307"/>
        <v>-0.26470079833760796</v>
      </c>
      <c r="R168" s="162">
        <f t="shared" si="1311"/>
        <v>-0.96594704473401338</v>
      </c>
      <c r="S168" s="162">
        <f t="shared" si="1308"/>
        <v>-2.1630327326277437E-2</v>
      </c>
      <c r="T168" s="162">
        <f t="shared" si="1309"/>
        <v>0.25783412440827963</v>
      </c>
      <c r="U168" s="162">
        <f>IFERROR(IF(ISNUMBER(MATCH($X168,Settings!$AK$28:$AK$36,0)),INDEX(Settings!$AO$14:$AO$36,MATCH($X168,Settings!$AK$14:$AK$36,0))/2,INDEX(Settings!$AM$14:$AM$36,MATCH($X168,Settings!$AK$14:$AK$36,0))/2),"")</f>
        <v>0.375</v>
      </c>
      <c r="V168" s="162">
        <f t="shared" si="1310"/>
        <v>0.52</v>
      </c>
      <c r="W168" s="75">
        <v>1.115</v>
      </c>
      <c r="X168" s="937">
        <f t="shared" si="1312"/>
        <v>1913</v>
      </c>
      <c r="Z168" t="s">
        <v>158</v>
      </c>
      <c r="AA168" s="199">
        <v>0.75</v>
      </c>
      <c r="AB168" s="162">
        <f t="shared" si="1303"/>
        <v>0.75</v>
      </c>
      <c r="AC168" s="162">
        <f t="shared" si="1304"/>
        <v>0.76</v>
      </c>
      <c r="AK168" s="82" t="str">
        <f t="shared" si="1313"/>
        <v>Y</v>
      </c>
      <c r="AL168" s="419" t="s">
        <v>402</v>
      </c>
    </row>
    <row r="169" spans="2:38" x14ac:dyDescent="0.25">
      <c r="B169" s="650">
        <v>3.9477646505591595E-2</v>
      </c>
      <c r="C169" s="651">
        <v>4.9930589968685188</v>
      </c>
      <c r="D169" s="652">
        <v>-0.1307003941923891</v>
      </c>
      <c r="E169" s="653">
        <v>-0.96406528178925688</v>
      </c>
      <c r="F169" s="651">
        <v>7.6223870830805784E-3</v>
      </c>
      <c r="G169" s="654">
        <v>0.26555608007303605</v>
      </c>
      <c r="H169" s="653">
        <v>0.3765</v>
      </c>
      <c r="I169" s="942">
        <v>0.52</v>
      </c>
      <c r="J169" s="946">
        <v>1.1200000000000001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1913</v>
      </c>
      <c r="L169" s="683"/>
      <c r="M169" s="934"/>
      <c r="O169" s="162">
        <f t="shared" si="1305"/>
        <v>3.9477646505591595E-2</v>
      </c>
      <c r="P169" s="162">
        <f t="shared" si="1306"/>
        <v>4.9930589968685188</v>
      </c>
      <c r="Q169" s="162">
        <f t="shared" si="1307"/>
        <v>-0.1307003941923891</v>
      </c>
      <c r="R169" s="162">
        <f t="shared" si="1311"/>
        <v>-0.96406528178925688</v>
      </c>
      <c r="S169" s="162">
        <f t="shared" si="1308"/>
        <v>7.6223870830805784E-3</v>
      </c>
      <c r="T169" s="162">
        <f t="shared" si="1309"/>
        <v>0.26555608007303605</v>
      </c>
      <c r="U169" s="162">
        <f>IFERROR(IF(ISNUMBER(MATCH($X169,Settings!$AK$28:$AK$36,0)),INDEX(Settings!$AO$14:$AO$36,MATCH($X169,Settings!$AK$14:$AK$36,0))/2,INDEX(Settings!$AM$14:$AM$36,MATCH($X169,Settings!$AK$14:$AK$36,0))/2),"")</f>
        <v>0.375</v>
      </c>
      <c r="V169" s="162">
        <f t="shared" si="1310"/>
        <v>0.52</v>
      </c>
      <c r="W169" s="75">
        <v>1.1200000000000001</v>
      </c>
      <c r="X169" s="937">
        <f t="shared" si="1312"/>
        <v>1913</v>
      </c>
      <c r="AK169" s="82" t="str">
        <f t="shared" si="1313"/>
        <v>Y</v>
      </c>
      <c r="AL169" s="419" t="s">
        <v>402</v>
      </c>
    </row>
    <row r="170" spans="2:38" x14ac:dyDescent="0.25">
      <c r="B170" s="650">
        <v>0.11236332856732668</v>
      </c>
      <c r="C170" s="651">
        <v>5.8894459868155122</v>
      </c>
      <c r="D170" s="652">
        <v>-0.23650071328615141</v>
      </c>
      <c r="E170" s="653">
        <v>-0.9583173410829211</v>
      </c>
      <c r="F170" s="651">
        <v>8.7145633605027084E-2</v>
      </c>
      <c r="G170" s="654">
        <v>0.27209100007780246</v>
      </c>
      <c r="H170" s="653">
        <v>0.3765</v>
      </c>
      <c r="I170" s="942">
        <v>0.52</v>
      </c>
      <c r="J170" s="946">
        <v>1.125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1913</v>
      </c>
      <c r="L170" s="683"/>
      <c r="M170" s="934"/>
      <c r="O170" s="162">
        <f t="shared" si="1305"/>
        <v>0.11236332856732668</v>
      </c>
      <c r="P170" s="162">
        <f t="shared" si="1306"/>
        <v>5.8894459868155122</v>
      </c>
      <c r="Q170" s="162">
        <f t="shared" si="1307"/>
        <v>-0.23650071328615141</v>
      </c>
      <c r="R170" s="162">
        <f t="shared" si="1311"/>
        <v>-0.9583173410829211</v>
      </c>
      <c r="S170" s="162">
        <f t="shared" si="1308"/>
        <v>8.7145633605027084E-2</v>
      </c>
      <c r="T170" s="162">
        <f t="shared" si="1309"/>
        <v>0.27209100007780246</v>
      </c>
      <c r="U170" s="162">
        <f>IFERROR(IF(ISNUMBER(MATCH($X170,Settings!$AK$28:$AK$36,0)),INDEX(Settings!$AO$14:$AO$36,MATCH($X170,Settings!$AK$14:$AK$36,0))/2,INDEX(Settings!$AM$14:$AM$36,MATCH($X170,Settings!$AK$14:$AK$36,0))/2),"")</f>
        <v>0.375</v>
      </c>
      <c r="V170" s="162">
        <f t="shared" si="1310"/>
        <v>0.52</v>
      </c>
      <c r="W170" s="75">
        <v>1.125</v>
      </c>
      <c r="X170" s="937">
        <f t="shared" si="1312"/>
        <v>1913</v>
      </c>
      <c r="AK170" s="82" t="str">
        <f t="shared" si="1313"/>
        <v>Y</v>
      </c>
      <c r="AL170" s="419" t="s">
        <v>402</v>
      </c>
    </row>
    <row r="171" spans="2:38" x14ac:dyDescent="0.25">
      <c r="B171" s="650">
        <v>0.21394575162128793</v>
      </c>
      <c r="C171" s="651">
        <v>6.721916403222159</v>
      </c>
      <c r="D171" s="652">
        <v>-0.58210175561889477</v>
      </c>
      <c r="E171" s="653">
        <v>-0.94869911135455709</v>
      </c>
      <c r="F171" s="651">
        <v>0.17282850542420253</v>
      </c>
      <c r="G171" s="654">
        <v>0.2647646196679424</v>
      </c>
      <c r="H171" s="653">
        <v>0.3765</v>
      </c>
      <c r="I171" s="942">
        <v>0.52</v>
      </c>
      <c r="J171" s="946">
        <v>1.1299999999999999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1913</v>
      </c>
      <c r="L171" s="683"/>
      <c r="M171" s="934"/>
      <c r="O171" s="162">
        <f t="shared" si="1305"/>
        <v>0.21394575162128793</v>
      </c>
      <c r="P171" s="162">
        <f t="shared" si="1306"/>
        <v>6.721916403222159</v>
      </c>
      <c r="Q171" s="162">
        <f t="shared" si="1307"/>
        <v>-0.58210175561889477</v>
      </c>
      <c r="R171" s="162">
        <f t="shared" si="1311"/>
        <v>-0.94869911135455709</v>
      </c>
      <c r="S171" s="162">
        <f t="shared" si="1308"/>
        <v>0.17282850542420253</v>
      </c>
      <c r="T171" s="162">
        <f t="shared" si="1309"/>
        <v>0.2647646196679424</v>
      </c>
      <c r="U171" s="162">
        <f>IFERROR(IF(ISNUMBER(MATCH($X171,Settings!$AK$28:$AK$36,0)),INDEX(Settings!$AO$14:$AO$36,MATCH($X171,Settings!$AK$14:$AK$36,0))/2,INDEX(Settings!$AM$14:$AM$36,MATCH($X171,Settings!$AK$14:$AK$36,0))/2),"")</f>
        <v>0.375</v>
      </c>
      <c r="V171" s="162">
        <f t="shared" si="1310"/>
        <v>0.52</v>
      </c>
      <c r="W171" s="75">
        <v>1.1299999999999999</v>
      </c>
      <c r="X171" s="937">
        <f t="shared" si="1312"/>
        <v>1913</v>
      </c>
      <c r="AK171" s="82" t="str">
        <f t="shared" si="1313"/>
        <v>Y</v>
      </c>
      <c r="AL171" s="419" t="s">
        <v>402</v>
      </c>
    </row>
    <row r="172" spans="2:38" x14ac:dyDescent="0.25">
      <c r="B172" s="650">
        <v>0.32637856364318429</v>
      </c>
      <c r="C172" s="651">
        <v>7.4306580845968622</v>
      </c>
      <c r="D172" s="652">
        <v>-1.1379034319167505</v>
      </c>
      <c r="E172" s="653">
        <v>-0.93557137470955032</v>
      </c>
      <c r="F172" s="651">
        <v>0.26013969641669465</v>
      </c>
      <c r="G172" s="654">
        <v>0.23881696165120331</v>
      </c>
      <c r="H172" s="653">
        <v>0.3765</v>
      </c>
      <c r="I172" s="942">
        <v>0.52</v>
      </c>
      <c r="J172" s="946">
        <v>1.135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1913</v>
      </c>
      <c r="L172" s="683"/>
      <c r="M172" s="934"/>
      <c r="O172" s="162">
        <f t="shared" si="1305"/>
        <v>0.32637856364318429</v>
      </c>
      <c r="P172" s="162">
        <f t="shared" si="1306"/>
        <v>7.4306580845968622</v>
      </c>
      <c r="Q172" s="162">
        <f t="shared" si="1307"/>
        <v>-1.1379034319167505</v>
      </c>
      <c r="R172" s="162">
        <f t="shared" si="1311"/>
        <v>-0.93557137470955032</v>
      </c>
      <c r="S172" s="162">
        <f t="shared" si="1308"/>
        <v>0.26013969641669465</v>
      </c>
      <c r="T172" s="162">
        <f t="shared" si="1309"/>
        <v>0.23881696165120331</v>
      </c>
      <c r="U172" s="162">
        <f>IFERROR(IF(ISNUMBER(MATCH($X172,Settings!$AK$28:$AK$36,0)),INDEX(Settings!$AO$14:$AO$36,MATCH($X172,Settings!$AK$14:$AK$36,0))/2,INDEX(Settings!$AM$14:$AM$36,MATCH($X172,Settings!$AK$14:$AK$36,0))/2),"")</f>
        <v>0.375</v>
      </c>
      <c r="V172" s="162">
        <f t="shared" si="1310"/>
        <v>0.52</v>
      </c>
      <c r="W172" s="75">
        <v>1.135</v>
      </c>
      <c r="X172" s="937">
        <f t="shared" si="1312"/>
        <v>1913</v>
      </c>
      <c r="AK172" s="82" t="str">
        <f t="shared" si="1313"/>
        <v>Y</v>
      </c>
      <c r="AL172" s="419" t="s">
        <v>402</v>
      </c>
    </row>
    <row r="173" spans="2:38" x14ac:dyDescent="0.25">
      <c r="B173" s="650">
        <v>0.4282982135145415</v>
      </c>
      <c r="C173" s="651">
        <v>7.9701244329219927</v>
      </c>
      <c r="D173" s="652">
        <v>-1.8599056094753195</v>
      </c>
      <c r="E173" s="653">
        <v>-0.91546358151887508</v>
      </c>
      <c r="F173" s="651">
        <v>0.35051719033121509</v>
      </c>
      <c r="G173" s="654">
        <v>0.19764647782074102</v>
      </c>
      <c r="H173" s="653">
        <v>0.3765</v>
      </c>
      <c r="I173" s="942">
        <v>0.52</v>
      </c>
      <c r="J173" s="946">
        <v>1.1399999999999999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1913</v>
      </c>
      <c r="L173" s="683"/>
      <c r="M173" s="934"/>
      <c r="O173" s="162">
        <f t="shared" si="1305"/>
        <v>0.4282982135145415</v>
      </c>
      <c r="P173" s="162">
        <f t="shared" si="1306"/>
        <v>7.9701244329219927</v>
      </c>
      <c r="Q173" s="162">
        <f t="shared" si="1307"/>
        <v>-1.8599056094753195</v>
      </c>
      <c r="R173" s="162">
        <f t="shared" si="1311"/>
        <v>-0.91546358151887508</v>
      </c>
      <c r="S173" s="162">
        <f t="shared" si="1308"/>
        <v>0.35051719033121509</v>
      </c>
      <c r="T173" s="162">
        <f t="shared" si="1309"/>
        <v>0.19764647782074102</v>
      </c>
      <c r="U173" s="162">
        <f>IFERROR(IF(ISNUMBER(MATCH($X173,Settings!$AK$28:$AK$36,0)),INDEX(Settings!$AO$14:$AO$36,MATCH($X173,Settings!$AK$14:$AK$36,0))/2,INDEX(Settings!$AM$14:$AM$36,MATCH($X173,Settings!$AK$14:$AK$36,0))/2),"")</f>
        <v>0.375</v>
      </c>
      <c r="V173" s="162">
        <f t="shared" si="1310"/>
        <v>0.52</v>
      </c>
      <c r="W173" s="75">
        <v>1.1399999999999999</v>
      </c>
      <c r="X173" s="937">
        <f t="shared" si="1312"/>
        <v>1913</v>
      </c>
      <c r="AK173" s="82" t="str">
        <f t="shared" si="1313"/>
        <v>Y</v>
      </c>
      <c r="AL173" s="419" t="s">
        <v>402</v>
      </c>
    </row>
    <row r="174" spans="2:38" x14ac:dyDescent="0.25">
      <c r="B174" s="650">
        <v>0.49999973471586506</v>
      </c>
      <c r="C174" s="651">
        <v>8.3105976763989418</v>
      </c>
      <c r="D174" s="652">
        <v>-2.6988081396053487</v>
      </c>
      <c r="E174" s="653">
        <v>-0.87987583793531732</v>
      </c>
      <c r="F174" s="651">
        <v>0.45426516317026999</v>
      </c>
      <c r="G174" s="654">
        <v>0.13950509434250499</v>
      </c>
      <c r="H174" s="653">
        <v>0.3765</v>
      </c>
      <c r="I174" s="942">
        <v>0.52</v>
      </c>
      <c r="J174" s="946">
        <v>1.145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1913</v>
      </c>
      <c r="L174" s="683"/>
      <c r="M174" s="934"/>
      <c r="O174" s="162">
        <f t="shared" si="1305"/>
        <v>0.49999973471586506</v>
      </c>
      <c r="P174" s="162">
        <f t="shared" si="1306"/>
        <v>8.3105976763989418</v>
      </c>
      <c r="Q174" s="162">
        <f t="shared" si="1307"/>
        <v>-2.6988081396053487</v>
      </c>
      <c r="R174" s="162">
        <f t="shared" si="1311"/>
        <v>-0.87987583793531732</v>
      </c>
      <c r="S174" s="162">
        <f t="shared" si="1308"/>
        <v>0.45426516317026999</v>
      </c>
      <c r="T174" s="162">
        <f t="shared" si="1309"/>
        <v>0.13950509434250499</v>
      </c>
      <c r="U174" s="162">
        <f>IFERROR(IF(ISNUMBER(MATCH($X174,Settings!$AK$28:$AK$36,0)),INDEX(Settings!$AO$14:$AO$36,MATCH($X174,Settings!$AK$14:$AK$36,0))/2,INDEX(Settings!$AM$14:$AM$36,MATCH($X174,Settings!$AK$14:$AK$36,0))/2),"")</f>
        <v>0.375</v>
      </c>
      <c r="V174" s="162">
        <f t="shared" si="1310"/>
        <v>0.52</v>
      </c>
      <c r="W174" s="75">
        <v>1.145</v>
      </c>
      <c r="X174" s="937">
        <f t="shared" si="1312"/>
        <v>1913</v>
      </c>
      <c r="AK174" s="82" t="str">
        <f t="shared" si="1313"/>
        <v>Y</v>
      </c>
      <c r="AL174" s="419" t="s">
        <v>402</v>
      </c>
    </row>
    <row r="175" spans="2:38" x14ac:dyDescent="0.25">
      <c r="B175" s="650">
        <v>0.52716481236815504</v>
      </c>
      <c r="C175" s="651">
        <v>8.4330645770953439</v>
      </c>
      <c r="D175" s="652">
        <v>-3.5943108404414965</v>
      </c>
      <c r="E175" s="653">
        <v>-0.83326207271149855</v>
      </c>
      <c r="F175" s="651">
        <v>0.55115812477520687</v>
      </c>
      <c r="G175" s="654">
        <v>4.3577972357774913E-2</v>
      </c>
      <c r="H175" s="653">
        <v>0.3765</v>
      </c>
      <c r="I175" s="942">
        <v>0.52</v>
      </c>
      <c r="J175" s="946">
        <v>1.1499999999999999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1913</v>
      </c>
      <c r="L175" s="683"/>
      <c r="M175" s="934"/>
      <c r="O175" s="162">
        <f t="shared" si="1305"/>
        <v>0.52716481236815504</v>
      </c>
      <c r="P175" s="162">
        <f t="shared" si="1306"/>
        <v>8.4330645770953439</v>
      </c>
      <c r="Q175" s="162">
        <f t="shared" si="1307"/>
        <v>-3.5943108404414965</v>
      </c>
      <c r="R175" s="162">
        <f t="shared" si="1311"/>
        <v>-0.83326207271149855</v>
      </c>
      <c r="S175" s="162">
        <f t="shared" si="1308"/>
        <v>0.55115812477520687</v>
      </c>
      <c r="T175" s="162">
        <f t="shared" si="1309"/>
        <v>4.3577972357774913E-2</v>
      </c>
      <c r="U175" s="162">
        <f>IFERROR(IF(ISNUMBER(MATCH($X175,Settings!$AK$28:$AK$36,0)),INDEX(Settings!$AO$14:$AO$36,MATCH($X175,Settings!$AK$14:$AK$36,0))/2,INDEX(Settings!$AM$14:$AM$36,MATCH($X175,Settings!$AK$14:$AK$36,0))/2),"")</f>
        <v>0.375</v>
      </c>
      <c r="V175" s="162">
        <f t="shared" si="1310"/>
        <v>0.52</v>
      </c>
      <c r="W175" s="75">
        <v>1.1499999999999999</v>
      </c>
      <c r="X175" s="937">
        <f t="shared" si="1312"/>
        <v>1913</v>
      </c>
      <c r="AK175" s="82" t="str">
        <f t="shared" si="1313"/>
        <v>Y</v>
      </c>
      <c r="AL175" s="419" t="s">
        <v>9</v>
      </c>
    </row>
    <row r="176" spans="2:38" x14ac:dyDescent="0.25">
      <c r="B176" s="650">
        <v>0.52718352938616841</v>
      </c>
      <c r="C176" s="651">
        <v>8.4333639935546714</v>
      </c>
      <c r="D176" s="652">
        <v>-4.5006135738505391</v>
      </c>
      <c r="E176" s="653">
        <v>-0.83326207271149855</v>
      </c>
      <c r="F176" s="651">
        <v>0.55115812477520687</v>
      </c>
      <c r="G176" s="654">
        <v>4.3577972357774865E-2</v>
      </c>
      <c r="H176" s="653">
        <v>0.3765</v>
      </c>
      <c r="I176" s="942">
        <v>0.52</v>
      </c>
      <c r="J176" s="946">
        <v>1.155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1913</v>
      </c>
      <c r="L176" s="683"/>
      <c r="M176" s="934"/>
      <c r="O176" s="162">
        <f t="shared" si="1305"/>
        <v>0.52718352938616841</v>
      </c>
      <c r="P176" s="162">
        <f t="shared" si="1306"/>
        <v>8.4333639935546714</v>
      </c>
      <c r="Q176" s="162">
        <f t="shared" si="1307"/>
        <v>-4.5006135738505391</v>
      </c>
      <c r="R176" s="162">
        <f t="shared" si="1311"/>
        <v>-0.83326207271149855</v>
      </c>
      <c r="S176" s="162">
        <f t="shared" si="1308"/>
        <v>0.55115812477520687</v>
      </c>
      <c r="T176" s="162">
        <f t="shared" si="1309"/>
        <v>4.3577972357774865E-2</v>
      </c>
      <c r="U176" s="162">
        <f>IFERROR(IF(ISNUMBER(MATCH($X176,Settings!$AK$28:$AK$36,0)),INDEX(Settings!$AO$14:$AO$36,MATCH($X176,Settings!$AK$14:$AK$36,0))/2,INDEX(Settings!$AM$14:$AM$36,MATCH($X176,Settings!$AK$14:$AK$36,0))/2),"")</f>
        <v>0.375</v>
      </c>
      <c r="V176" s="162">
        <f t="shared" si="1310"/>
        <v>0.52</v>
      </c>
      <c r="W176" s="75">
        <v>1.155</v>
      </c>
      <c r="X176" s="937">
        <f t="shared" si="1312"/>
        <v>1913</v>
      </c>
      <c r="AK176" s="82" t="str">
        <f t="shared" si="1313"/>
        <v>Y</v>
      </c>
      <c r="AL176" s="419" t="s">
        <v>9</v>
      </c>
    </row>
    <row r="177" spans="2:38" x14ac:dyDescent="0.25">
      <c r="B177" s="650">
        <v>3.2988404660606196</v>
      </c>
      <c r="C177" s="651">
        <v>0.88391909956759618</v>
      </c>
      <c r="D177" s="652">
        <v>-0.50420152067178625</v>
      </c>
      <c r="E177" s="653">
        <v>-0.28910794512627491</v>
      </c>
      <c r="F177" s="651">
        <v>0.92253379980972239</v>
      </c>
      <c r="G177" s="654">
        <v>0.2556325180283171</v>
      </c>
      <c r="H177" s="653">
        <v>0.3765</v>
      </c>
      <c r="I177" s="942">
        <v>0.52</v>
      </c>
      <c r="J177" s="946">
        <v>2.1110000000000002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1913</v>
      </c>
      <c r="L177" s="683"/>
      <c r="M177" s="934"/>
      <c r="O177" s="162">
        <f t="shared" si="1305"/>
        <v>3.2988404660606196</v>
      </c>
      <c r="P177" s="162">
        <f t="shared" si="1306"/>
        <v>0.88391909956759618</v>
      </c>
      <c r="Q177" s="162">
        <f t="shared" si="1307"/>
        <v>-0.50420152067178625</v>
      </c>
      <c r="R177" s="162">
        <f t="shared" si="1311"/>
        <v>-0.28910794512627491</v>
      </c>
      <c r="S177" s="162">
        <f t="shared" si="1308"/>
        <v>0.92253379980972239</v>
      </c>
      <c r="T177" s="162">
        <f t="shared" si="1309"/>
        <v>0.2556325180283171</v>
      </c>
      <c r="U177" s="162">
        <f>IFERROR(IF(ISNUMBER(MATCH($X177,Settings!$AK$28:$AK$36,0)),INDEX(Settings!$AO$14:$AO$36,MATCH($X177,Settings!$AK$14:$AK$36,0))/2,INDEX(Settings!$AM$14:$AM$36,MATCH($X177,Settings!$AK$14:$AK$36,0))/2),"")</f>
        <v>0.375</v>
      </c>
      <c r="V177" s="162">
        <f t="shared" si="1310"/>
        <v>0.52</v>
      </c>
      <c r="W177" s="75">
        <v>2.1110000000000002</v>
      </c>
      <c r="X177" s="937">
        <f t="shared" si="1312"/>
        <v>1913</v>
      </c>
      <c r="AK177" s="82" t="str">
        <f t="shared" si="1313"/>
        <v>Y</v>
      </c>
      <c r="AL177" s="419" t="s">
        <v>9</v>
      </c>
    </row>
    <row r="178" spans="2:38" x14ac:dyDescent="0.25">
      <c r="B178" s="650">
        <v>4.1313086141540403</v>
      </c>
      <c r="C178" s="651">
        <v>1.0987126005139027</v>
      </c>
      <c r="D178" s="652">
        <v>-0.21950000000000022</v>
      </c>
      <c r="E178" s="653">
        <v>-0.26570430689447705</v>
      </c>
      <c r="F178" s="651">
        <v>0.92883792977772406</v>
      </c>
      <c r="G178" s="654">
        <v>0.25818853867659863</v>
      </c>
      <c r="H178" s="653">
        <v>0.3765</v>
      </c>
      <c r="I178" s="942">
        <v>0.52</v>
      </c>
      <c r="J178" s="946">
        <v>2.1160000000000001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1913</v>
      </c>
      <c r="L178" s="683"/>
      <c r="M178" s="934"/>
      <c r="O178" s="162">
        <f t="shared" si="1305"/>
        <v>4.1313086141540403</v>
      </c>
      <c r="P178" s="162">
        <f t="shared" si="1306"/>
        <v>1.0987126005139027</v>
      </c>
      <c r="Q178" s="162">
        <f t="shared" si="1307"/>
        <v>-0.21950000000000022</v>
      </c>
      <c r="R178" s="162">
        <f t="shared" si="1311"/>
        <v>-0.26570430689447705</v>
      </c>
      <c r="S178" s="162">
        <f t="shared" si="1308"/>
        <v>0.92883792977772406</v>
      </c>
      <c r="T178" s="162">
        <f t="shared" si="1309"/>
        <v>0.25818853867659863</v>
      </c>
      <c r="U178" s="162">
        <f>IFERROR(IF(ISNUMBER(MATCH($X178,Settings!$AK$28:$AK$36,0)),INDEX(Settings!$AO$14:$AO$36,MATCH($X178,Settings!$AK$14:$AK$36,0))/2,INDEX(Settings!$AM$14:$AM$36,MATCH($X178,Settings!$AK$14:$AK$36,0))/2),"")</f>
        <v>0.375</v>
      </c>
      <c r="V178" s="162">
        <f t="shared" si="1310"/>
        <v>0.52</v>
      </c>
      <c r="W178" s="75">
        <v>2.1160000000000001</v>
      </c>
      <c r="X178" s="937">
        <f t="shared" si="1312"/>
        <v>1913</v>
      </c>
      <c r="AK178" s="82" t="str">
        <f t="shared" si="1313"/>
        <v>Y</v>
      </c>
      <c r="AL178" s="419" t="s">
        <v>9</v>
      </c>
    </row>
    <row r="179" spans="2:38" x14ac:dyDescent="0.25">
      <c r="B179" s="650">
        <v>5.0112076042378098</v>
      </c>
      <c r="C179" s="651">
        <v>1.2897325720767712</v>
      </c>
      <c r="D179" s="652">
        <v>-0.13190039781159957</v>
      </c>
      <c r="E179" s="653">
        <v>-0.22734332432919749</v>
      </c>
      <c r="F179" s="651">
        <v>0.93603938771970441</v>
      </c>
      <c r="G179" s="654">
        <v>0.26859872955818331</v>
      </c>
      <c r="H179" s="653">
        <v>0.3765</v>
      </c>
      <c r="I179" s="942">
        <v>0.52</v>
      </c>
      <c r="J179" s="946">
        <v>2.121</v>
      </c>
      <c r="K179" s="931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1913</v>
      </c>
      <c r="L179" s="683"/>
      <c r="M179" s="934"/>
      <c r="O179" s="162">
        <f t="shared" si="1305"/>
        <v>5.0112076042378098</v>
      </c>
      <c r="P179" s="162">
        <f t="shared" si="1306"/>
        <v>1.2897325720767712</v>
      </c>
      <c r="Q179" s="162">
        <f t="shared" si="1307"/>
        <v>-0.13190039781159957</v>
      </c>
      <c r="R179" s="162">
        <f t="shared" si="1311"/>
        <v>-0.22734332432919749</v>
      </c>
      <c r="S179" s="162">
        <f t="shared" si="1308"/>
        <v>0.93603938771970441</v>
      </c>
      <c r="T179" s="162">
        <f t="shared" si="1309"/>
        <v>0.26859872955818331</v>
      </c>
      <c r="U179" s="162">
        <f>IFERROR(IF(ISNUMBER(MATCH($X179,Settings!$AK$28:$AK$36,0)),INDEX(Settings!$AO$14:$AO$36,MATCH($X179,Settings!$AK$14:$AK$36,0))/2,INDEX(Settings!$AM$14:$AM$36,MATCH($X179,Settings!$AK$14:$AK$36,0))/2),"")</f>
        <v>0.375</v>
      </c>
      <c r="V179" s="162">
        <f t="shared" si="1310"/>
        <v>0.52</v>
      </c>
      <c r="W179" s="75">
        <v>2.121</v>
      </c>
      <c r="X179" s="937">
        <f t="shared" si="1312"/>
        <v>1913</v>
      </c>
      <c r="AK179" s="82" t="str">
        <f t="shared" si="1313"/>
        <v>Y</v>
      </c>
      <c r="AL179" s="419" t="s">
        <v>9</v>
      </c>
    </row>
    <row r="180" spans="2:38" x14ac:dyDescent="0.25">
      <c r="B180" s="650">
        <v>5.8903955741306024</v>
      </c>
      <c r="C180" s="651">
        <v>1.442782754654643</v>
      </c>
      <c r="D180" s="652">
        <v>-0.28710086589621164</v>
      </c>
      <c r="E180" s="653">
        <v>-0.14745470695835447</v>
      </c>
      <c r="F180" s="651">
        <v>0.95104559826361235</v>
      </c>
      <c r="G180" s="654">
        <v>0.27160519033927455</v>
      </c>
      <c r="H180" s="653">
        <v>0.3765</v>
      </c>
      <c r="I180" s="942">
        <v>0.52</v>
      </c>
      <c r="J180" s="946">
        <v>2.1259999999999999</v>
      </c>
      <c r="K180" s="931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1913</v>
      </c>
      <c r="L180" s="683"/>
      <c r="M180" s="934"/>
      <c r="O180" s="162">
        <f t="shared" si="1305"/>
        <v>5.8903955741306024</v>
      </c>
      <c r="P180" s="162">
        <f t="shared" si="1306"/>
        <v>1.442782754654643</v>
      </c>
      <c r="Q180" s="162">
        <f t="shared" si="1307"/>
        <v>-0.28710086589621164</v>
      </c>
      <c r="R180" s="162">
        <f t="shared" si="1311"/>
        <v>-0.14745470695835447</v>
      </c>
      <c r="S180" s="162">
        <f t="shared" si="1308"/>
        <v>0.95104559826361235</v>
      </c>
      <c r="T180" s="162">
        <f t="shared" si="1309"/>
        <v>0.27160519033927455</v>
      </c>
      <c r="U180" s="162">
        <f>IFERROR(IF(ISNUMBER(MATCH($X180,Settings!$AK$28:$AK$36,0)),INDEX(Settings!$AO$14:$AO$36,MATCH($X180,Settings!$AK$14:$AK$36,0))/2,INDEX(Settings!$AM$14:$AM$36,MATCH($X180,Settings!$AK$14:$AK$36,0))/2),"")</f>
        <v>0.375</v>
      </c>
      <c r="V180" s="162">
        <f t="shared" si="1310"/>
        <v>0.52</v>
      </c>
      <c r="W180" s="75">
        <v>2.1259999999999999</v>
      </c>
      <c r="X180" s="937">
        <f t="shared" si="1312"/>
        <v>1913</v>
      </c>
      <c r="AK180" s="82" t="str">
        <f t="shared" si="1313"/>
        <v>Y</v>
      </c>
      <c r="AL180" s="419" t="s">
        <v>9</v>
      </c>
    </row>
    <row r="181" spans="2:38" x14ac:dyDescent="0.25">
      <c r="B181" s="650">
        <v>6.7021399710602614</v>
      </c>
      <c r="C181" s="651">
        <v>1.5512490975376372</v>
      </c>
      <c r="D181" s="652">
        <v>-0.67770204394936395</v>
      </c>
      <c r="E181" s="653">
        <v>-6.0420186302752518E-2</v>
      </c>
      <c r="F181" s="651">
        <v>0.96331572438555135</v>
      </c>
      <c r="G181" s="654">
        <v>0.26148081428410985</v>
      </c>
      <c r="H181" s="653">
        <v>0.3765</v>
      </c>
      <c r="I181" s="942">
        <v>0.52</v>
      </c>
      <c r="J181" s="946">
        <v>2.1309999999999998</v>
      </c>
      <c r="K181" s="931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1913</v>
      </c>
      <c r="L181" s="683"/>
      <c r="M181" s="934"/>
      <c r="O181" s="162">
        <f t="shared" si="1305"/>
        <v>6.7021399710602614</v>
      </c>
      <c r="P181" s="162">
        <f t="shared" si="1306"/>
        <v>1.5512490975376372</v>
      </c>
      <c r="Q181" s="162">
        <f t="shared" si="1307"/>
        <v>-0.67770204394936395</v>
      </c>
      <c r="R181" s="162">
        <f t="shared" si="1311"/>
        <v>-6.0420186302752518E-2</v>
      </c>
      <c r="S181" s="162">
        <f t="shared" si="1308"/>
        <v>0.96331572438555135</v>
      </c>
      <c r="T181" s="162">
        <f t="shared" si="1309"/>
        <v>0.26148081428410985</v>
      </c>
      <c r="U181" s="162">
        <f>IFERROR(IF(ISNUMBER(MATCH($X181,Settings!$AK$28:$AK$36,0)),INDEX(Settings!$AO$14:$AO$36,MATCH($X181,Settings!$AK$14:$AK$36,0))/2,INDEX(Settings!$AM$14:$AM$36,MATCH($X181,Settings!$AK$14:$AK$36,0))/2),"")</f>
        <v>0.375</v>
      </c>
      <c r="V181" s="162">
        <f t="shared" si="1310"/>
        <v>0.52</v>
      </c>
      <c r="W181" s="75">
        <v>2.1309999999999998</v>
      </c>
      <c r="X181" s="937">
        <f t="shared" si="1312"/>
        <v>1913</v>
      </c>
      <c r="AK181" s="82" t="str">
        <f t="shared" si="1313"/>
        <v>Y</v>
      </c>
      <c r="AL181" s="419" t="s">
        <v>9</v>
      </c>
    </row>
    <row r="182" spans="2:38" x14ac:dyDescent="0.25">
      <c r="B182" s="650">
        <v>7.3860672676676478</v>
      </c>
      <c r="C182" s="651">
        <v>1.6185218188640986</v>
      </c>
      <c r="D182" s="652">
        <v>-1.2706038321411588</v>
      </c>
      <c r="E182" s="653">
        <v>2.6193810941374199E-2</v>
      </c>
      <c r="F182" s="651">
        <v>0.97252430816818602</v>
      </c>
      <c r="G182" s="654">
        <v>0.23132305179198803</v>
      </c>
      <c r="H182" s="653">
        <v>0.3765</v>
      </c>
      <c r="I182" s="942">
        <v>0.52</v>
      </c>
      <c r="J182" s="946">
        <v>2.1360000000000001</v>
      </c>
      <c r="K182" s="931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1913</v>
      </c>
      <c r="L182" s="683"/>
      <c r="M182" s="934"/>
      <c r="O182" s="162">
        <f t="shared" si="1305"/>
        <v>7.3860672676676478</v>
      </c>
      <c r="P182" s="162">
        <f t="shared" si="1306"/>
        <v>1.6185218188640986</v>
      </c>
      <c r="Q182" s="162">
        <f t="shared" si="1307"/>
        <v>-1.2706038321411588</v>
      </c>
      <c r="R182" s="162">
        <f t="shared" si="1311"/>
        <v>2.6193810941374199E-2</v>
      </c>
      <c r="S182" s="162">
        <f t="shared" si="1308"/>
        <v>0.97252430816818602</v>
      </c>
      <c r="T182" s="162">
        <f t="shared" si="1309"/>
        <v>0.23132305179198803</v>
      </c>
      <c r="U182" s="162">
        <f>IFERROR(IF(ISNUMBER(MATCH($X182,Settings!$AK$28:$AK$36,0)),INDEX(Settings!$AO$14:$AO$36,MATCH($X182,Settings!$AK$14:$AK$36,0))/2,INDEX(Settings!$AM$14:$AM$36,MATCH($X182,Settings!$AK$14:$AK$36,0))/2),"")</f>
        <v>0.375</v>
      </c>
      <c r="V182" s="162">
        <f t="shared" si="1310"/>
        <v>0.52</v>
      </c>
      <c r="W182" s="75">
        <v>2.1360000000000001</v>
      </c>
      <c r="X182" s="937">
        <f t="shared" si="1312"/>
        <v>1913</v>
      </c>
      <c r="AK182" s="82" t="str">
        <f t="shared" si="1313"/>
        <v>Y</v>
      </c>
      <c r="AL182" s="419" t="s">
        <v>402</v>
      </c>
    </row>
    <row r="183" spans="2:38" x14ac:dyDescent="0.25">
      <c r="B183" s="650">
        <v>7.8956657640488892</v>
      </c>
      <c r="C183" s="651">
        <v>1.6543751404430449</v>
      </c>
      <c r="D183" s="652">
        <v>-2.0197060914335725</v>
      </c>
      <c r="E183" s="653">
        <v>0.12277006351253321</v>
      </c>
      <c r="F183" s="651">
        <v>0.97437236327545018</v>
      </c>
      <c r="G183" s="654">
        <v>0.18848344540076442</v>
      </c>
      <c r="H183" s="653">
        <v>0.3765</v>
      </c>
      <c r="I183" s="942">
        <v>0.52</v>
      </c>
      <c r="J183" s="946">
        <v>2.141</v>
      </c>
      <c r="K183" s="931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1913</v>
      </c>
      <c r="L183" s="683"/>
      <c r="M183" s="934"/>
      <c r="O183" s="162">
        <f t="shared" si="1305"/>
        <v>7.8956657640488892</v>
      </c>
      <c r="P183" s="162">
        <f t="shared" si="1306"/>
        <v>1.6543751404430449</v>
      </c>
      <c r="Q183" s="162">
        <f t="shared" si="1307"/>
        <v>-2.0197060914335725</v>
      </c>
      <c r="R183" s="162">
        <f t="shared" si="1311"/>
        <v>0.12277006351253321</v>
      </c>
      <c r="S183" s="162">
        <f t="shared" si="1308"/>
        <v>0.97437236327545018</v>
      </c>
      <c r="T183" s="162">
        <f t="shared" si="1309"/>
        <v>0.18848344540076442</v>
      </c>
      <c r="U183" s="162">
        <f>IFERROR(IF(ISNUMBER(MATCH($X183,Settings!$AK$28:$AK$36,0)),INDEX(Settings!$AO$14:$AO$36,MATCH($X183,Settings!$AK$14:$AK$36,0))/2,INDEX(Settings!$AM$14:$AM$36,MATCH($X183,Settings!$AK$14:$AK$36,0))/2),"")</f>
        <v>0.375</v>
      </c>
      <c r="V183" s="162">
        <f t="shared" si="1310"/>
        <v>0.52</v>
      </c>
      <c r="W183" s="75">
        <v>2.141</v>
      </c>
      <c r="X183" s="937">
        <f t="shared" si="1312"/>
        <v>1913</v>
      </c>
      <c r="AK183" s="82" t="str">
        <f t="shared" si="1313"/>
        <v>Y</v>
      </c>
      <c r="AL183" s="419" t="s">
        <v>402</v>
      </c>
    </row>
    <row r="184" spans="2:38" x14ac:dyDescent="0.25">
      <c r="B184" s="650">
        <v>8.1999113772971182</v>
      </c>
      <c r="C184" s="651">
        <v>1.6699242641114955</v>
      </c>
      <c r="D184" s="652">
        <v>-2.875008671026154</v>
      </c>
      <c r="E184" s="653">
        <v>0.23455661367129621</v>
      </c>
      <c r="F184" s="651">
        <v>0.96422859750807965</v>
      </c>
      <c r="G184" s="654">
        <v>0.12347634077286292</v>
      </c>
      <c r="H184" s="653">
        <v>0.3765</v>
      </c>
      <c r="I184" s="942">
        <v>0.52</v>
      </c>
      <c r="J184" s="946">
        <v>2.1459999999999999</v>
      </c>
      <c r="K184" s="931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1913</v>
      </c>
      <c r="L184" s="683"/>
      <c r="M184" s="934"/>
      <c r="O184" s="162">
        <f t="shared" si="1305"/>
        <v>8.1999113772971182</v>
      </c>
      <c r="P184" s="162">
        <f t="shared" si="1306"/>
        <v>1.6699242641114955</v>
      </c>
      <c r="Q184" s="162">
        <f t="shared" si="1307"/>
        <v>-2.875008671026154</v>
      </c>
      <c r="R184" s="162">
        <f t="shared" si="1311"/>
        <v>0.23455661367129621</v>
      </c>
      <c r="S184" s="162">
        <f t="shared" si="1308"/>
        <v>0.96422859750807965</v>
      </c>
      <c r="T184" s="162">
        <f t="shared" si="1309"/>
        <v>0.12347634077286292</v>
      </c>
      <c r="U184" s="162">
        <f>IFERROR(IF(ISNUMBER(MATCH($X184,Settings!$AK$28:$AK$36,0)),INDEX(Settings!$AO$14:$AO$36,MATCH($X184,Settings!$AK$14:$AK$36,0))/2,INDEX(Settings!$AM$14:$AM$36,MATCH($X184,Settings!$AK$14:$AK$36,0))/2),"")</f>
        <v>0.375</v>
      </c>
      <c r="V184" s="162">
        <f t="shared" si="1310"/>
        <v>0.52</v>
      </c>
      <c r="W184" s="75">
        <v>2.1459999999999999</v>
      </c>
      <c r="X184" s="937">
        <f t="shared" si="1312"/>
        <v>1913</v>
      </c>
      <c r="AK184" s="82" t="str">
        <f t="shared" si="1313"/>
        <v>Y</v>
      </c>
      <c r="AL184" s="419" t="s">
        <v>402</v>
      </c>
    </row>
    <row r="185" spans="2:38" x14ac:dyDescent="0.25">
      <c r="B185" s="650">
        <v>8.2824504234152307</v>
      </c>
      <c r="C185" s="651">
        <v>1.6734890812638683</v>
      </c>
      <c r="D185" s="652">
        <v>-3.7756113872439463</v>
      </c>
      <c r="E185" s="653">
        <v>0.31671445360325257</v>
      </c>
      <c r="F185" s="651">
        <v>0.94751934819505312</v>
      </c>
      <c r="G185" s="654">
        <v>4.35779723577749E-2</v>
      </c>
      <c r="H185" s="653">
        <v>0.3765</v>
      </c>
      <c r="I185" s="942">
        <v>0.52</v>
      </c>
      <c r="J185" s="946">
        <v>2.1509999999999998</v>
      </c>
      <c r="K185" s="931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1913</v>
      </c>
      <c r="L185" s="683"/>
      <c r="M185" s="934"/>
      <c r="O185" s="162">
        <f t="shared" si="1305"/>
        <v>8.2824504234152307</v>
      </c>
      <c r="P185" s="162">
        <f t="shared" si="1306"/>
        <v>1.6734890812638683</v>
      </c>
      <c r="Q185" s="162">
        <f t="shared" si="1307"/>
        <v>-3.7756113872439463</v>
      </c>
      <c r="R185" s="162">
        <f t="shared" si="1311"/>
        <v>0.31671445360325257</v>
      </c>
      <c r="S185" s="162">
        <f t="shared" si="1308"/>
        <v>0.94751934819505312</v>
      </c>
      <c r="T185" s="162">
        <f t="shared" si="1309"/>
        <v>4.35779723577749E-2</v>
      </c>
      <c r="U185" s="162">
        <f>IFERROR(IF(ISNUMBER(MATCH($X185,Settings!$AK$28:$AK$36,0)),INDEX(Settings!$AO$14:$AO$36,MATCH($X185,Settings!$AK$14:$AK$36,0))/2,INDEX(Settings!$AM$14:$AM$36,MATCH($X185,Settings!$AK$14:$AK$36,0))/2),"")</f>
        <v>0.375</v>
      </c>
      <c r="V185" s="162">
        <f t="shared" si="1310"/>
        <v>0.52</v>
      </c>
      <c r="W185" s="75">
        <v>2.1509999999999998</v>
      </c>
      <c r="X185" s="937">
        <f t="shared" si="1312"/>
        <v>1913</v>
      </c>
      <c r="AK185" s="82" t="str">
        <f t="shared" si="1313"/>
        <v>Y</v>
      </c>
      <c r="AL185" s="419" t="s">
        <v>402</v>
      </c>
    </row>
    <row r="186" spans="2:38" x14ac:dyDescent="0.25">
      <c r="B186" s="650">
        <v>0.53480055087925804</v>
      </c>
      <c r="C186" s="651">
        <v>-0.63735119541215235</v>
      </c>
      <c r="D186" s="652">
        <v>-1.4444043563235385</v>
      </c>
      <c r="E186" s="653">
        <v>0.6708600934776705</v>
      </c>
      <c r="F186" s="651">
        <v>0.68422035860334196</v>
      </c>
      <c r="G186" s="654">
        <v>0.28598817432167595</v>
      </c>
      <c r="H186" s="653">
        <v>0.3765</v>
      </c>
      <c r="I186" s="942">
        <v>0.52</v>
      </c>
      <c r="J186" s="946">
        <v>3.1019999999999999</v>
      </c>
      <c r="K186" s="931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1913</v>
      </c>
      <c r="L186" s="683"/>
      <c r="M186" s="934"/>
      <c r="O186" s="162">
        <f t="shared" si="1305"/>
        <v>0.53480055087925804</v>
      </c>
      <c r="P186" s="162">
        <f t="shared" si="1306"/>
        <v>-0.63735119541215235</v>
      </c>
      <c r="Q186" s="162">
        <f t="shared" si="1307"/>
        <v>-1.4444043563235385</v>
      </c>
      <c r="R186" s="162">
        <f t="shared" si="1311"/>
        <v>0.6708600934776705</v>
      </c>
      <c r="S186" s="162">
        <f t="shared" si="1308"/>
        <v>0.68422035860334196</v>
      </c>
      <c r="T186" s="162">
        <f t="shared" si="1309"/>
        <v>0.28598817432167595</v>
      </c>
      <c r="U186" s="162">
        <f>IFERROR(IF(ISNUMBER(MATCH($X186,Settings!$AK$28:$AK$36,0)),INDEX(Settings!$AO$14:$AO$36,MATCH($X186,Settings!$AK$14:$AK$36,0))/2,INDEX(Settings!$AM$14:$AM$36,MATCH($X186,Settings!$AK$14:$AK$36,0))/2),"")</f>
        <v>0.375</v>
      </c>
      <c r="V186" s="162">
        <f t="shared" si="1310"/>
        <v>0.52</v>
      </c>
      <c r="W186" s="75">
        <v>3.1019999999999999</v>
      </c>
      <c r="X186" s="937">
        <f t="shared" si="1312"/>
        <v>1913</v>
      </c>
      <c r="AK186" s="82" t="str">
        <f t="shared" si="1313"/>
        <v>Y</v>
      </c>
      <c r="AL186" s="419" t="s">
        <v>402</v>
      </c>
    </row>
    <row r="187" spans="2:38" x14ac:dyDescent="0.25">
      <c r="B187" s="650">
        <v>1.0821997685821139</v>
      </c>
      <c r="C187" s="651">
        <v>-1.2897169141777649</v>
      </c>
      <c r="D187" s="652">
        <v>-1.13450342166232</v>
      </c>
      <c r="E187" s="653">
        <v>0.69408591176276679</v>
      </c>
      <c r="F187" s="651">
        <v>0.67553452077410125</v>
      </c>
      <c r="G187" s="654">
        <v>0.24879280201596291</v>
      </c>
      <c r="H187" s="653">
        <v>0.3765</v>
      </c>
      <c r="I187" s="942">
        <v>0.52</v>
      </c>
      <c r="J187" s="946">
        <v>3.1040000000000001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1913</v>
      </c>
      <c r="L187" s="683"/>
      <c r="M187" s="934"/>
      <c r="O187" s="162">
        <f t="shared" si="1305"/>
        <v>1.0821997685821139</v>
      </c>
      <c r="P187" s="162">
        <f t="shared" si="1306"/>
        <v>-1.2897169141777649</v>
      </c>
      <c r="Q187" s="162">
        <f t="shared" si="1307"/>
        <v>-1.13450342166232</v>
      </c>
      <c r="R187" s="162">
        <f t="shared" si="1311"/>
        <v>0.69408591176276679</v>
      </c>
      <c r="S187" s="162">
        <f t="shared" si="1308"/>
        <v>0.67553452077410125</v>
      </c>
      <c r="T187" s="162">
        <f t="shared" si="1309"/>
        <v>0.24879280201596291</v>
      </c>
      <c r="U187" s="162">
        <f>IFERROR(IF(ISNUMBER(MATCH($X187,Settings!$AK$28:$AK$36,0)),INDEX(Settings!$AO$14:$AO$36,MATCH($X187,Settings!$AK$14:$AK$36,0))/2,INDEX(Settings!$AM$14:$AM$36,MATCH($X187,Settings!$AK$14:$AK$36,0))/2),"")</f>
        <v>0.375</v>
      </c>
      <c r="V187" s="162">
        <f t="shared" si="1310"/>
        <v>0.52</v>
      </c>
      <c r="W187" s="75">
        <v>3.1040000000000001</v>
      </c>
      <c r="X187" s="937">
        <f t="shared" si="1312"/>
        <v>1913</v>
      </c>
      <c r="AK187" s="82" t="str">
        <f t="shared" si="1313"/>
        <v>Y</v>
      </c>
      <c r="AL187" s="419" t="s">
        <v>402</v>
      </c>
    </row>
    <row r="188" spans="2:38" x14ac:dyDescent="0.25">
      <c r="B188" s="650">
        <v>1.6295989862849705</v>
      </c>
      <c r="C188" s="651">
        <v>-1.9420826329433771</v>
      </c>
      <c r="D188" s="652">
        <v>-0.82450248669950021</v>
      </c>
      <c r="E188" s="653">
        <v>0.70251836463961592</v>
      </c>
      <c r="F188" s="651">
        <v>0.66548510344930523</v>
      </c>
      <c r="G188" s="654">
        <v>0.25218549607609708</v>
      </c>
      <c r="H188" s="653">
        <v>0.3765</v>
      </c>
      <c r="I188" s="942">
        <v>0.52</v>
      </c>
      <c r="J188" s="946">
        <v>3.1070000000000002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1913</v>
      </c>
      <c r="L188" s="683"/>
      <c r="M188" s="934"/>
      <c r="O188" s="162">
        <f t="shared" si="1305"/>
        <v>1.6295989862849705</v>
      </c>
      <c r="P188" s="162">
        <f t="shared" si="1306"/>
        <v>-1.9420826329433771</v>
      </c>
      <c r="Q188" s="162">
        <f t="shared" si="1307"/>
        <v>-0.82450248669950021</v>
      </c>
      <c r="R188" s="162">
        <f t="shared" si="1311"/>
        <v>0.70251836463961592</v>
      </c>
      <c r="S188" s="162">
        <f t="shared" si="1308"/>
        <v>0.66548510344930523</v>
      </c>
      <c r="T188" s="162">
        <f t="shared" si="1309"/>
        <v>0.25218549607609708</v>
      </c>
      <c r="U188" s="162">
        <f>IFERROR(IF(ISNUMBER(MATCH($X188,Settings!$AK$28:$AK$36,0)),INDEX(Settings!$AO$14:$AO$36,MATCH($X188,Settings!$AK$14:$AK$36,0))/2,INDEX(Settings!$AM$14:$AM$36,MATCH($X188,Settings!$AK$14:$AK$36,0))/2),"")</f>
        <v>0.375</v>
      </c>
      <c r="V188" s="162">
        <f t="shared" si="1310"/>
        <v>0.52</v>
      </c>
      <c r="W188" s="75">
        <v>3.1070000000000002</v>
      </c>
      <c r="X188" s="937">
        <f t="shared" si="1312"/>
        <v>1913</v>
      </c>
      <c r="AK188" s="82" t="str">
        <f t="shared" si="1313"/>
        <v>Y</v>
      </c>
      <c r="AL188" s="419" t="s">
        <v>402</v>
      </c>
    </row>
    <row r="189" spans="2:38" x14ac:dyDescent="0.25">
      <c r="B189" s="650">
        <v>2.3047204028576682</v>
      </c>
      <c r="C189" s="651">
        <v>-2.7466619124402327</v>
      </c>
      <c r="D189" s="652">
        <v>-0.44220133367922237</v>
      </c>
      <c r="E189" s="653">
        <v>0.71678885835317385</v>
      </c>
      <c r="F189" s="651">
        <v>0.64847817215032988</v>
      </c>
      <c r="G189" s="654">
        <v>0.25630020051751973</v>
      </c>
      <c r="H189" s="653">
        <v>0.3765</v>
      </c>
      <c r="I189" s="942">
        <v>0.52</v>
      </c>
      <c r="J189" s="946">
        <v>3.1120000000000001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1913</v>
      </c>
      <c r="L189" s="683"/>
      <c r="M189" s="934"/>
      <c r="O189" s="162">
        <f t="shared" si="1305"/>
        <v>2.3047204028576682</v>
      </c>
      <c r="P189" s="162">
        <f t="shared" si="1306"/>
        <v>-2.7466619124402327</v>
      </c>
      <c r="Q189" s="162">
        <f t="shared" si="1307"/>
        <v>-0.44220133367922237</v>
      </c>
      <c r="R189" s="162">
        <f t="shared" si="1311"/>
        <v>0.71678885835317385</v>
      </c>
      <c r="S189" s="162">
        <f t="shared" si="1308"/>
        <v>0.64847817215032988</v>
      </c>
      <c r="T189" s="162">
        <f t="shared" si="1309"/>
        <v>0.25630020051751973</v>
      </c>
      <c r="U189" s="162">
        <f>IFERROR(IF(ISNUMBER(MATCH($X189,Settings!$AK$28:$AK$36,0)),INDEX(Settings!$AO$14:$AO$36,MATCH($X189,Settings!$AK$14:$AK$36,0))/2,INDEX(Settings!$AM$14:$AM$36,MATCH($X189,Settings!$AK$14:$AK$36,0))/2),"")</f>
        <v>0.375</v>
      </c>
      <c r="V189" s="162">
        <f t="shared" si="1310"/>
        <v>0.52</v>
      </c>
      <c r="W189" s="75">
        <v>3.1120000000000001</v>
      </c>
      <c r="X189" s="937">
        <f t="shared" si="1312"/>
        <v>1913</v>
      </c>
      <c r="AK189" s="82" t="str">
        <f t="shared" si="1313"/>
        <v>Y</v>
      </c>
      <c r="AL189" s="419" t="s">
        <v>402</v>
      </c>
    </row>
    <row r="190" spans="2:38" x14ac:dyDescent="0.25">
      <c r="B190" s="650">
        <v>2.8516471516089097</v>
      </c>
      <c r="C190" s="651">
        <v>-3.419500600408119</v>
      </c>
      <c r="D190" s="652">
        <v>-0.18340055313606837</v>
      </c>
      <c r="E190" s="653">
        <v>0.73274470396839364</v>
      </c>
      <c r="F190" s="651">
        <v>0.62881515410060573</v>
      </c>
      <c r="G190" s="654">
        <v>0.26014745968335484</v>
      </c>
      <c r="H190" s="653">
        <v>0.3765</v>
      </c>
      <c r="I190" s="942">
        <v>0.52</v>
      </c>
      <c r="J190" s="946">
        <v>3.117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1913</v>
      </c>
      <c r="L190" s="683"/>
      <c r="M190" s="934"/>
      <c r="O190" s="162">
        <f t="shared" si="1305"/>
        <v>2.8516471516089097</v>
      </c>
      <c r="P190" s="162">
        <f t="shared" si="1306"/>
        <v>-3.419500600408119</v>
      </c>
      <c r="Q190" s="162">
        <f t="shared" si="1307"/>
        <v>-0.18340055313606837</v>
      </c>
      <c r="R190" s="162">
        <f t="shared" si="1311"/>
        <v>0.73274470396839364</v>
      </c>
      <c r="S190" s="162">
        <f t="shared" si="1308"/>
        <v>0.62881515410060573</v>
      </c>
      <c r="T190" s="162">
        <f t="shared" si="1309"/>
        <v>0.26014745968335484</v>
      </c>
      <c r="U190" s="162">
        <f>IFERROR(IF(ISNUMBER(MATCH($X190,Settings!$AK$28:$AK$36,0)),INDEX(Settings!$AO$14:$AO$36,MATCH($X190,Settings!$AK$14:$AK$36,0))/2,INDEX(Settings!$AM$14:$AM$36,MATCH($X190,Settings!$AK$14:$AK$36,0))/2),"")</f>
        <v>0.375</v>
      </c>
      <c r="V190" s="162">
        <f t="shared" si="1310"/>
        <v>0.52</v>
      </c>
      <c r="W190" s="75">
        <v>3.117</v>
      </c>
      <c r="X190" s="937">
        <f t="shared" si="1312"/>
        <v>1913</v>
      </c>
      <c r="AK190" s="82" t="str">
        <f t="shared" si="1313"/>
        <v>Y</v>
      </c>
      <c r="AL190" s="419" t="s">
        <v>9</v>
      </c>
    </row>
    <row r="191" spans="2:38" x14ac:dyDescent="0.25">
      <c r="B191" s="650">
        <v>3.3928114393843676</v>
      </c>
      <c r="C191" s="651">
        <v>-4.143586936120693</v>
      </c>
      <c r="D191" s="652">
        <v>-0.14310043159090163</v>
      </c>
      <c r="E191" s="653">
        <v>0.76187955151887365</v>
      </c>
      <c r="F191" s="651">
        <v>0.58909870607856185</v>
      </c>
      <c r="G191" s="654">
        <v>0.26926244348955219</v>
      </c>
      <c r="H191" s="653">
        <v>0.3765</v>
      </c>
      <c r="I191" s="942">
        <v>0.52</v>
      </c>
      <c r="J191" s="946">
        <v>3.1219999999999999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1913</v>
      </c>
      <c r="L191" s="683"/>
      <c r="M191" s="934"/>
      <c r="O191" s="162">
        <f t="shared" si="1305"/>
        <v>3.3928114393843676</v>
      </c>
      <c r="P191" s="162">
        <f t="shared" si="1306"/>
        <v>-4.143586936120693</v>
      </c>
      <c r="Q191" s="162">
        <f t="shared" si="1307"/>
        <v>-0.14310043159090163</v>
      </c>
      <c r="R191" s="162">
        <f t="shared" si="1311"/>
        <v>0.76187955151887365</v>
      </c>
      <c r="S191" s="162">
        <f t="shared" si="1308"/>
        <v>0.58909870607856185</v>
      </c>
      <c r="T191" s="162">
        <f t="shared" si="1309"/>
        <v>0.26926244348955219</v>
      </c>
      <c r="U191" s="162">
        <f>IFERROR(IF(ISNUMBER(MATCH($X191,Settings!$AK$28:$AK$36,0)),INDEX(Settings!$AO$14:$AO$36,MATCH($X191,Settings!$AK$14:$AK$36,0))/2,INDEX(Settings!$AM$14:$AM$36,MATCH($X191,Settings!$AK$14:$AK$36,0))/2),"")</f>
        <v>0.375</v>
      </c>
      <c r="V191" s="162">
        <f t="shared" si="1310"/>
        <v>0.52</v>
      </c>
      <c r="W191" s="75">
        <v>3.1219999999999999</v>
      </c>
      <c r="X191" s="937">
        <f t="shared" si="1312"/>
        <v>1913</v>
      </c>
      <c r="AK191" s="82" t="str">
        <f t="shared" si="1313"/>
        <v>Y</v>
      </c>
      <c r="AL191" s="419" t="s">
        <v>9</v>
      </c>
    </row>
    <row r="192" spans="2:38" x14ac:dyDescent="0.25">
      <c r="B192" s="650">
        <v>3.8917410385839424</v>
      </c>
      <c r="C192" s="651">
        <v>-4.8719653603685273</v>
      </c>
      <c r="D192" s="652">
        <v>-0.34720104715835814</v>
      </c>
      <c r="E192" s="653">
        <v>0.80908300574314951</v>
      </c>
      <c r="F192" s="651">
        <v>0.52099032517222876</v>
      </c>
      <c r="G192" s="654">
        <v>0.27194442611417191</v>
      </c>
      <c r="H192" s="653">
        <v>0.3765</v>
      </c>
      <c r="I192" s="942">
        <v>0.52</v>
      </c>
      <c r="J192" s="946">
        <v>3.1269999999999998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1913</v>
      </c>
      <c r="L192" s="683"/>
      <c r="M192" s="934"/>
      <c r="O192" s="162">
        <f t="shared" si="1305"/>
        <v>3.8917410385839424</v>
      </c>
      <c r="P192" s="162">
        <f t="shared" si="1306"/>
        <v>-4.8719653603685273</v>
      </c>
      <c r="Q192" s="162">
        <f t="shared" si="1307"/>
        <v>-0.34720104715835814</v>
      </c>
      <c r="R192" s="162">
        <f t="shared" si="1311"/>
        <v>0.80908300574314951</v>
      </c>
      <c r="S192" s="162">
        <f t="shared" si="1308"/>
        <v>0.52099032517222876</v>
      </c>
      <c r="T192" s="162">
        <f t="shared" si="1309"/>
        <v>0.27194442611417191</v>
      </c>
      <c r="U192" s="162">
        <f>IFERROR(IF(ISNUMBER(MATCH($X192,Settings!$AK$28:$AK$36,0)),INDEX(Settings!$AO$14:$AO$36,MATCH($X192,Settings!$AK$14:$AK$36,0))/2,INDEX(Settings!$AM$14:$AM$36,MATCH($X192,Settings!$AK$14:$AK$36,0))/2),"")</f>
        <v>0.375</v>
      </c>
      <c r="V192" s="162">
        <f t="shared" si="1310"/>
        <v>0.52</v>
      </c>
      <c r="W192" s="75">
        <v>3.1269999999999998</v>
      </c>
      <c r="X192" s="937">
        <f t="shared" si="1312"/>
        <v>1913</v>
      </c>
      <c r="AK192" s="82" t="str">
        <f t="shared" si="1313"/>
        <v>Y</v>
      </c>
      <c r="AL192" s="419" t="s">
        <v>9</v>
      </c>
    </row>
    <row r="193" spans="2:38" x14ac:dyDescent="0.25">
      <c r="B193" s="650">
        <v>4.3161769737796423</v>
      </c>
      <c r="C193" s="651">
        <v>-5.5463765352847103</v>
      </c>
      <c r="D193" s="652">
        <v>-0.78140235670950764</v>
      </c>
      <c r="E193" s="653">
        <v>0.85669049405546427</v>
      </c>
      <c r="F193" s="651">
        <v>0.44771618626425047</v>
      </c>
      <c r="G193" s="654">
        <v>0.25618667793622585</v>
      </c>
      <c r="H193" s="653">
        <v>0.3765</v>
      </c>
      <c r="I193" s="942">
        <v>0.52</v>
      </c>
      <c r="J193" s="946">
        <v>3.1320000000000001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1913</v>
      </c>
      <c r="L193" s="683"/>
      <c r="M193" s="934"/>
      <c r="O193" s="162">
        <f t="shared" si="1305"/>
        <v>4.3161769737796423</v>
      </c>
      <c r="P193" s="162">
        <f t="shared" si="1306"/>
        <v>-5.5463765352847103</v>
      </c>
      <c r="Q193" s="162">
        <f t="shared" si="1307"/>
        <v>-0.78140235670950764</v>
      </c>
      <c r="R193" s="162">
        <f t="shared" si="1311"/>
        <v>0.85669049405546427</v>
      </c>
      <c r="S193" s="162">
        <f t="shared" si="1308"/>
        <v>0.44771618626425047</v>
      </c>
      <c r="T193" s="162">
        <f t="shared" si="1309"/>
        <v>0.25618667793622585</v>
      </c>
      <c r="U193" s="162">
        <f>IFERROR(IF(ISNUMBER(MATCH($X193,Settings!$AK$28:$AK$36,0)),INDEX(Settings!$AO$14:$AO$36,MATCH($X193,Settings!$AK$14:$AK$36,0))/2,INDEX(Settings!$AM$14:$AM$36,MATCH($X193,Settings!$AK$14:$AK$36,0))/2),"")</f>
        <v>0.375</v>
      </c>
      <c r="V193" s="162">
        <f t="shared" si="1310"/>
        <v>0.52</v>
      </c>
      <c r="W193" s="75">
        <v>3.1320000000000001</v>
      </c>
      <c r="X193" s="937">
        <f t="shared" si="1312"/>
        <v>1913</v>
      </c>
      <c r="AK193" s="82" t="str">
        <f t="shared" si="1313"/>
        <v>Y</v>
      </c>
      <c r="AL193" s="419" t="s">
        <v>9</v>
      </c>
    </row>
    <row r="194" spans="2:38" x14ac:dyDescent="0.25">
      <c r="B194" s="650">
        <v>4.646209596340193</v>
      </c>
      <c r="C194" s="651">
        <v>-6.1122965608071649</v>
      </c>
      <c r="D194" s="652">
        <v>-1.409504251064821</v>
      </c>
      <c r="E194" s="653">
        <v>0.90131109447363578</v>
      </c>
      <c r="F194" s="651">
        <v>0.37100688379521052</v>
      </c>
      <c r="G194" s="654">
        <v>0.22358936279551433</v>
      </c>
      <c r="H194" s="653">
        <v>0.3765</v>
      </c>
      <c r="I194" s="942">
        <v>0.52</v>
      </c>
      <c r="J194" s="946">
        <v>3.137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1913</v>
      </c>
      <c r="L194" s="683"/>
      <c r="M194" s="934"/>
      <c r="O194" s="162">
        <f t="shared" si="1305"/>
        <v>4.646209596340193</v>
      </c>
      <c r="P194" s="162">
        <f t="shared" si="1306"/>
        <v>-6.1122965608071649</v>
      </c>
      <c r="Q194" s="162">
        <f t="shared" si="1307"/>
        <v>-1.409504251064821</v>
      </c>
      <c r="R194" s="162">
        <f t="shared" si="1311"/>
        <v>0.90131109447363578</v>
      </c>
      <c r="S194" s="162">
        <f t="shared" si="1308"/>
        <v>0.37100688379521052</v>
      </c>
      <c r="T194" s="162">
        <f t="shared" si="1309"/>
        <v>0.22358936279551433</v>
      </c>
      <c r="U194" s="162">
        <f>IFERROR(IF(ISNUMBER(MATCH($X194,Settings!$AK$28:$AK$36,0)),INDEX(Settings!$AO$14:$AO$36,MATCH($X194,Settings!$AK$14:$AK$36,0))/2,INDEX(Settings!$AM$14:$AM$36,MATCH($X194,Settings!$AK$14:$AK$36,0))/2),"")</f>
        <v>0.375</v>
      </c>
      <c r="V194" s="162">
        <f t="shared" si="1310"/>
        <v>0.52</v>
      </c>
      <c r="W194" s="75">
        <v>3.137</v>
      </c>
      <c r="X194" s="937">
        <f t="shared" si="1312"/>
        <v>1913</v>
      </c>
      <c r="AK194" s="82" t="str">
        <f t="shared" si="1313"/>
        <v>Y</v>
      </c>
      <c r="AL194" s="419" t="s">
        <v>9</v>
      </c>
    </row>
    <row r="195" spans="2:38" x14ac:dyDescent="0.25">
      <c r="B195" s="650">
        <v>4.8731739629213804</v>
      </c>
      <c r="C195" s="651">
        <v>-6.5255036678556886</v>
      </c>
      <c r="D195" s="652">
        <v>-2.1837065860590639</v>
      </c>
      <c r="E195" s="653">
        <v>0.94297991988379937</v>
      </c>
      <c r="F195" s="651">
        <v>0.28132712506756324</v>
      </c>
      <c r="G195" s="654">
        <v>0.17788737840882057</v>
      </c>
      <c r="H195" s="653">
        <v>0.3765</v>
      </c>
      <c r="I195" s="942">
        <v>0.52</v>
      </c>
      <c r="J195" s="946">
        <v>3.1419999999999999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1913</v>
      </c>
      <c r="L195" s="683"/>
      <c r="M195" s="934"/>
      <c r="O195" s="162">
        <f t="shared" si="1305"/>
        <v>4.8731739629213804</v>
      </c>
      <c r="P195" s="162">
        <f t="shared" si="1306"/>
        <v>-6.5255036678556886</v>
      </c>
      <c r="Q195" s="162">
        <f t="shared" si="1307"/>
        <v>-2.1837065860590639</v>
      </c>
      <c r="R195" s="162">
        <f t="shared" si="1311"/>
        <v>0.94297991988379937</v>
      </c>
      <c r="S195" s="162">
        <f t="shared" si="1308"/>
        <v>0.28132712506756324</v>
      </c>
      <c r="T195" s="162">
        <f t="shared" si="1309"/>
        <v>0.17788737840882057</v>
      </c>
      <c r="U195" s="162">
        <f>IFERROR(IF(ISNUMBER(MATCH($X195,Settings!$AK$28:$AK$36,0)),INDEX(Settings!$AO$14:$AO$36,MATCH($X195,Settings!$AK$14:$AK$36,0))/2,INDEX(Settings!$AM$14:$AM$36,MATCH($X195,Settings!$AK$14:$AK$36,0))/2),"")</f>
        <v>0.375</v>
      </c>
      <c r="V195" s="162">
        <f t="shared" si="1310"/>
        <v>0.52</v>
      </c>
      <c r="W195" s="75">
        <v>3.1419999999999999</v>
      </c>
      <c r="X195" s="937">
        <f t="shared" si="1312"/>
        <v>1913</v>
      </c>
      <c r="AK195" s="82" t="str">
        <f t="shared" si="1313"/>
        <v>Y</v>
      </c>
      <c r="AL195" s="419" t="s">
        <v>402</v>
      </c>
    </row>
    <row r="196" spans="2:38" x14ac:dyDescent="0.25">
      <c r="B196" s="650">
        <v>4.9947649665384972</v>
      </c>
      <c r="C196" s="651">
        <v>-6.7562084597491099</v>
      </c>
      <c r="D196" s="652">
        <v>-3.0531092081773714</v>
      </c>
      <c r="E196" s="653">
        <v>0.97916093866781528</v>
      </c>
      <c r="F196" s="651">
        <v>0.17301622652426968</v>
      </c>
      <c r="G196" s="654">
        <v>0.10634491782151868</v>
      </c>
      <c r="H196" s="653">
        <v>0.3765</v>
      </c>
      <c r="I196" s="942">
        <v>0.52</v>
      </c>
      <c r="J196" s="946">
        <v>3.1469999999999998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1913</v>
      </c>
      <c r="L196" s="683"/>
      <c r="M196" s="934"/>
      <c r="O196" s="162">
        <f t="shared" ref="O196:O227" si="1314">IFERROR(INDEX(B$164:B$305,MATCH($W196,$J$164:$J$305,0)),"")</f>
        <v>4.9947649665384972</v>
      </c>
      <c r="P196" s="162">
        <f t="shared" ref="P196:P227" si="1315">IFERROR(INDEX(C$164:C$305,MATCH($W196,$J$164:$J$305,0)),"")</f>
        <v>-6.7562084597491099</v>
      </c>
      <c r="Q196" s="162">
        <f t="shared" ref="Q196:Q227" si="1316">IFERROR(INDEX(D$164:D$305,MATCH($W196,$J$164:$J$305,0)),"")</f>
        <v>-3.0531092081773714</v>
      </c>
      <c r="R196" s="162">
        <f t="shared" si="1311"/>
        <v>0.97916093866781528</v>
      </c>
      <c r="S196" s="162">
        <f t="shared" si="1308"/>
        <v>0.17301622652426968</v>
      </c>
      <c r="T196" s="162">
        <f t="shared" si="1309"/>
        <v>0.10634491782151868</v>
      </c>
      <c r="U196" s="162">
        <f>IFERROR(IF(ISNUMBER(MATCH($X196,Settings!$AK$28:$AK$36,0)),INDEX(Settings!$AO$14:$AO$36,MATCH($X196,Settings!$AK$14:$AK$36,0))/2,INDEX(Settings!$AM$14:$AM$36,MATCH($X196,Settings!$AK$14:$AK$36,0))/2),"")</f>
        <v>0.375</v>
      </c>
      <c r="V196" s="162">
        <f t="shared" ref="V196:V227" si="1317">IFERROR(INDEX(I$164:I$305,MATCH($W196,$J$164:$J$305,0)),"")</f>
        <v>0.52</v>
      </c>
      <c r="W196" s="75">
        <v>3.1469999999999998</v>
      </c>
      <c r="X196" s="937">
        <f t="shared" si="1312"/>
        <v>1913</v>
      </c>
      <c r="AK196" s="82" t="str">
        <f t="shared" si="1313"/>
        <v>Y</v>
      </c>
      <c r="AL196" s="419" t="s">
        <v>402</v>
      </c>
    </row>
    <row r="197" spans="2:38" x14ac:dyDescent="0.25">
      <c r="B197" s="650">
        <v>5.0170121004517174</v>
      </c>
      <c r="C197" s="651">
        <v>-6.7992014461524457</v>
      </c>
      <c r="D197" s="652">
        <v>-3.9568119337447905</v>
      </c>
      <c r="E197" s="653">
        <v>0.99259345691280843</v>
      </c>
      <c r="F197" s="651">
        <v>0.11339836691533922</v>
      </c>
      <c r="G197" s="654">
        <v>4.3577972357774497E-2</v>
      </c>
      <c r="H197" s="653">
        <v>0.3765</v>
      </c>
      <c r="I197" s="942">
        <v>0.52</v>
      </c>
      <c r="J197" s="946">
        <v>3.1520000000000001</v>
      </c>
      <c r="K197" s="931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1913</v>
      </c>
      <c r="L197" s="683"/>
      <c r="M197" s="934"/>
      <c r="O197" s="162">
        <f t="shared" si="1314"/>
        <v>5.0170121004517174</v>
      </c>
      <c r="P197" s="162">
        <f t="shared" si="1315"/>
        <v>-6.7992014461524457</v>
      </c>
      <c r="Q197" s="162">
        <f t="shared" si="1316"/>
        <v>-3.9568119337447905</v>
      </c>
      <c r="R197" s="162">
        <f t="shared" si="1311"/>
        <v>0.99259345691280843</v>
      </c>
      <c r="S197" s="162">
        <f t="shared" si="1308"/>
        <v>0.11339836691533922</v>
      </c>
      <c r="T197" s="162">
        <f t="shared" si="1309"/>
        <v>4.3577972357774497E-2</v>
      </c>
      <c r="U197" s="162">
        <f>IFERROR(IF(ISNUMBER(MATCH($X197,Settings!$AK$28:$AK$36,0)),INDEX(Settings!$AO$14:$AO$36,MATCH($X197,Settings!$AK$14:$AK$36,0))/2,INDEX(Settings!$AM$14:$AM$36,MATCH($X197,Settings!$AK$14:$AK$36,0))/2),"")</f>
        <v>0.375</v>
      </c>
      <c r="V197" s="162">
        <f t="shared" si="1317"/>
        <v>0.52</v>
      </c>
      <c r="W197" s="75">
        <v>3.1520000000000001</v>
      </c>
      <c r="X197" s="937">
        <f t="shared" si="1312"/>
        <v>1913</v>
      </c>
      <c r="AK197" s="82" t="str">
        <f t="shared" si="1313"/>
        <v>Y</v>
      </c>
      <c r="AL197" s="419" t="s">
        <v>402</v>
      </c>
    </row>
    <row r="198" spans="2:38" x14ac:dyDescent="0.25">
      <c r="B198" s="650">
        <v>-1.2646889680856441</v>
      </c>
      <c r="C198" s="651">
        <v>-1.5071965413705688</v>
      </c>
      <c r="D198" s="652">
        <v>-1.0311031098069796</v>
      </c>
      <c r="E198" s="653">
        <v>0.78300051133001836</v>
      </c>
      <c r="F198" s="651">
        <v>-0.56957020254261981</v>
      </c>
      <c r="G198" s="654">
        <v>0.24999996726497567</v>
      </c>
      <c r="H198" s="653">
        <v>0.3765</v>
      </c>
      <c r="I198" s="942">
        <v>0.52</v>
      </c>
      <c r="J198" s="946">
        <v>4.1050000000000004</v>
      </c>
      <c r="K198" s="931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1913</v>
      </c>
      <c r="L198" s="683"/>
      <c r="M198" s="934"/>
      <c r="O198" s="162">
        <f t="shared" si="1314"/>
        <v>-1.2646889680856441</v>
      </c>
      <c r="P198" s="162">
        <f t="shared" si="1315"/>
        <v>-1.5071965413705688</v>
      </c>
      <c r="Q198" s="162">
        <f t="shared" si="1316"/>
        <v>-1.0311031098069796</v>
      </c>
      <c r="R198" s="162">
        <f t="shared" si="1311"/>
        <v>0.78300051133001836</v>
      </c>
      <c r="S198" s="162">
        <f t="shared" si="1308"/>
        <v>-0.56957020254261981</v>
      </c>
      <c r="T198" s="162">
        <f t="shared" si="1309"/>
        <v>0.24999996726497567</v>
      </c>
      <c r="U198" s="162">
        <f>IFERROR(IF(ISNUMBER(MATCH($X198,Settings!$AK$28:$AK$36,0)),INDEX(Settings!$AO$14:$AO$36,MATCH($X198,Settings!$AK$14:$AK$36,0))/2,INDEX(Settings!$AM$14:$AM$36,MATCH($X198,Settings!$AK$14:$AK$36,0))/2),"")</f>
        <v>0.375</v>
      </c>
      <c r="V198" s="162">
        <f t="shared" si="1317"/>
        <v>0.52</v>
      </c>
      <c r="W198" s="75">
        <v>4.1050000000000004</v>
      </c>
      <c r="X198" s="937">
        <f t="shared" si="1312"/>
        <v>1913</v>
      </c>
      <c r="AK198" s="82" t="str">
        <f t="shared" si="1313"/>
        <v>Y</v>
      </c>
      <c r="AL198" s="419" t="s">
        <v>402</v>
      </c>
    </row>
    <row r="199" spans="2:38" x14ac:dyDescent="0.25">
      <c r="B199" s="650">
        <v>-1.8120887776011376</v>
      </c>
      <c r="C199" s="651">
        <v>-2.1595617635465163</v>
      </c>
      <c r="D199" s="652">
        <v>-0.72120217514576035</v>
      </c>
      <c r="E199" s="653">
        <v>0.77453127374180142</v>
      </c>
      <c r="F199" s="651">
        <v>-0.57966343963341882</v>
      </c>
      <c r="G199" s="654">
        <v>0.25316319390515024</v>
      </c>
      <c r="H199" s="653">
        <v>0.3765</v>
      </c>
      <c r="I199" s="942">
        <v>0.52</v>
      </c>
      <c r="J199" s="946">
        <v>4.1079999999999997</v>
      </c>
      <c r="K199" s="931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1913</v>
      </c>
      <c r="L199" s="683"/>
      <c r="M199" s="934"/>
      <c r="O199" s="162">
        <f t="shared" si="1314"/>
        <v>-1.8120887776011376</v>
      </c>
      <c r="P199" s="162">
        <f t="shared" si="1315"/>
        <v>-2.1595617635465163</v>
      </c>
      <c r="Q199" s="162">
        <f t="shared" si="1316"/>
        <v>-0.72120217514576035</v>
      </c>
      <c r="R199" s="162">
        <f t="shared" si="1311"/>
        <v>0.77453127374180142</v>
      </c>
      <c r="S199" s="162">
        <f t="shared" si="1308"/>
        <v>-0.57966343963341882</v>
      </c>
      <c r="T199" s="162">
        <f t="shared" si="1309"/>
        <v>0.25316319390515024</v>
      </c>
      <c r="U199" s="162">
        <f>IFERROR(IF(ISNUMBER(MATCH($X199,Settings!$AK$28:$AK$36,0)),INDEX(Settings!$AO$14:$AO$36,MATCH($X199,Settings!$AK$14:$AK$36,0))/2,INDEX(Settings!$AM$14:$AM$36,MATCH($X199,Settings!$AK$14:$AK$36,0))/2),"")</f>
        <v>0.375</v>
      </c>
      <c r="V199" s="162">
        <f t="shared" si="1317"/>
        <v>0.52</v>
      </c>
      <c r="W199" s="75">
        <v>4.1079999999999997</v>
      </c>
      <c r="X199" s="937">
        <f t="shared" si="1312"/>
        <v>1913</v>
      </c>
      <c r="AK199" s="82" t="str">
        <f t="shared" si="1313"/>
        <v>Y</v>
      </c>
      <c r="AL199" s="419" t="s">
        <v>402</v>
      </c>
    </row>
    <row r="200" spans="2:38" x14ac:dyDescent="0.25">
      <c r="B200" s="650">
        <v>-2.4143547111978227</v>
      </c>
      <c r="C200" s="651">
        <v>-2.8771098746881045</v>
      </c>
      <c r="D200" s="652">
        <v>-0.3802011466866585</v>
      </c>
      <c r="E200" s="653">
        <v>0.76019594850089134</v>
      </c>
      <c r="F200" s="651">
        <v>-0.5967493147273607</v>
      </c>
      <c r="G200" s="654">
        <v>0.25688981150535284</v>
      </c>
      <c r="H200" s="653">
        <v>0.3765</v>
      </c>
      <c r="I200" s="942">
        <v>0.52</v>
      </c>
      <c r="J200" s="946">
        <v>4.1130000000000004</v>
      </c>
      <c r="K200" s="931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1913</v>
      </c>
      <c r="L200" s="683"/>
      <c r="M200" s="934"/>
      <c r="O200" s="162">
        <f t="shared" si="1314"/>
        <v>-2.4143547111978227</v>
      </c>
      <c r="P200" s="162">
        <f t="shared" si="1315"/>
        <v>-2.8771098746881045</v>
      </c>
      <c r="Q200" s="162">
        <f t="shared" si="1316"/>
        <v>-0.3802011466866585</v>
      </c>
      <c r="R200" s="162">
        <f t="shared" si="1311"/>
        <v>0.76019594850089134</v>
      </c>
      <c r="S200" s="162">
        <f t="shared" si="1308"/>
        <v>-0.5967493147273607</v>
      </c>
      <c r="T200" s="162">
        <f t="shared" si="1309"/>
        <v>0.25688981150535284</v>
      </c>
      <c r="U200" s="162">
        <f>IFERROR(IF(ISNUMBER(MATCH($X200,Settings!$AK$28:$AK$36,0)),INDEX(Settings!$AO$14:$AO$36,MATCH($X200,Settings!$AK$14:$AK$36,0))/2,INDEX(Settings!$AM$14:$AM$36,MATCH($X200,Settings!$AK$14:$AK$36,0))/2),"")</f>
        <v>0.375</v>
      </c>
      <c r="V200" s="162">
        <f t="shared" si="1317"/>
        <v>0.52</v>
      </c>
      <c r="W200" s="75">
        <v>4.1130000000000004</v>
      </c>
      <c r="X200" s="937">
        <f t="shared" si="1312"/>
        <v>1913</v>
      </c>
      <c r="AK200" s="82" t="str">
        <f t="shared" si="1313"/>
        <v>Y</v>
      </c>
      <c r="AL200" s="419" t="s">
        <v>402</v>
      </c>
    </row>
    <row r="201" spans="2:38" x14ac:dyDescent="0.25">
      <c r="B201" s="650">
        <v>-2.9930358084920523</v>
      </c>
      <c r="C201" s="651">
        <v>-3.5348885834791863</v>
      </c>
      <c r="D201" s="652">
        <v>-0.15650047200542389</v>
      </c>
      <c r="E201" s="653">
        <v>0.74239011462063376</v>
      </c>
      <c r="F201" s="651">
        <v>-0.61660157241126035</v>
      </c>
      <c r="G201" s="654">
        <v>0.26202942318282418</v>
      </c>
      <c r="H201" s="653">
        <v>0.3765</v>
      </c>
      <c r="I201" s="942">
        <v>0.52</v>
      </c>
      <c r="J201" s="946">
        <v>4.1180000000000003</v>
      </c>
      <c r="K201" s="931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1913</v>
      </c>
      <c r="L201" s="683"/>
      <c r="M201" s="934"/>
      <c r="O201" s="162">
        <f t="shared" si="1314"/>
        <v>-2.9930358084920523</v>
      </c>
      <c r="P201" s="162">
        <f t="shared" si="1315"/>
        <v>-3.5348885834791863</v>
      </c>
      <c r="Q201" s="162">
        <f t="shared" si="1316"/>
        <v>-0.15650047200542389</v>
      </c>
      <c r="R201" s="162">
        <f t="shared" si="1311"/>
        <v>0.74239011462063376</v>
      </c>
      <c r="S201" s="162">
        <f t="shared" si="1308"/>
        <v>-0.61660157241126035</v>
      </c>
      <c r="T201" s="162">
        <f t="shared" si="1309"/>
        <v>0.26202942318282418</v>
      </c>
      <c r="U201" s="162">
        <f>IFERROR(IF(ISNUMBER(MATCH($X201,Settings!$AK$28:$AK$36,0)),INDEX(Settings!$AO$14:$AO$36,MATCH($X201,Settings!$AK$14:$AK$36,0))/2,INDEX(Settings!$AM$14:$AM$36,MATCH($X201,Settings!$AK$14:$AK$36,0))/2),"")</f>
        <v>0.375</v>
      </c>
      <c r="V201" s="162">
        <f t="shared" si="1317"/>
        <v>0.52</v>
      </c>
      <c r="W201" s="75">
        <v>4.1180000000000003</v>
      </c>
      <c r="X201" s="937">
        <f t="shared" si="1312"/>
        <v>1913</v>
      </c>
      <c r="AK201" s="82" t="str">
        <f t="shared" si="1313"/>
        <v>Y</v>
      </c>
      <c r="AL201" s="419" t="s">
        <v>402</v>
      </c>
    </row>
    <row r="202" spans="2:38" x14ac:dyDescent="0.25">
      <c r="B202" s="650">
        <v>-3.6182730270657042</v>
      </c>
      <c r="C202" s="651">
        <v>-4.1891452931194442</v>
      </c>
      <c r="D202" s="652">
        <v>-0.1644004958318957</v>
      </c>
      <c r="E202" s="653">
        <v>0.70136666045038709</v>
      </c>
      <c r="F202" s="651">
        <v>-0.65929577439667197</v>
      </c>
      <c r="G202" s="654">
        <v>0.2709499759574896</v>
      </c>
      <c r="H202" s="653">
        <v>0.3765</v>
      </c>
      <c r="I202" s="942">
        <v>0.52</v>
      </c>
      <c r="J202" s="946">
        <v>4.1230000000000002</v>
      </c>
      <c r="K202" s="931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1913</v>
      </c>
      <c r="L202" s="683"/>
      <c r="M202" s="934"/>
      <c r="O202" s="162">
        <f t="shared" si="1314"/>
        <v>-3.6182730270657042</v>
      </c>
      <c r="P202" s="162">
        <f t="shared" si="1315"/>
        <v>-4.1891452931194442</v>
      </c>
      <c r="Q202" s="162">
        <f t="shared" si="1316"/>
        <v>-0.1644004958318957</v>
      </c>
      <c r="R202" s="162">
        <f t="shared" si="1311"/>
        <v>0.70136666045038709</v>
      </c>
      <c r="S202" s="162">
        <f t="shared" si="1308"/>
        <v>-0.65929577439667197</v>
      </c>
      <c r="T202" s="162">
        <f t="shared" si="1309"/>
        <v>0.2709499759574896</v>
      </c>
      <c r="U202" s="162">
        <f>IFERROR(IF(ISNUMBER(MATCH($X202,Settings!$AK$28:$AK$36,0)),INDEX(Settings!$AO$14:$AO$36,MATCH($X202,Settings!$AK$14:$AK$36,0))/2,INDEX(Settings!$AM$14:$AM$36,MATCH($X202,Settings!$AK$14:$AK$36,0))/2),"")</f>
        <v>0.375</v>
      </c>
      <c r="V202" s="162">
        <f t="shared" si="1317"/>
        <v>0.52</v>
      </c>
      <c r="W202" s="75">
        <v>4.1230000000000002</v>
      </c>
      <c r="X202" s="937">
        <f t="shared" si="1312"/>
        <v>1913</v>
      </c>
      <c r="AK202" s="82" t="str">
        <f t="shared" si="1313"/>
        <v>Y</v>
      </c>
      <c r="AL202" s="419" t="s">
        <v>402</v>
      </c>
    </row>
    <row r="203" spans="2:38" x14ac:dyDescent="0.25">
      <c r="B203" s="650">
        <v>-4.2451973540794032</v>
      </c>
      <c r="C203" s="651">
        <v>-4.7934283898311341</v>
      </c>
      <c r="D203" s="652">
        <v>-0.41660125646938945</v>
      </c>
      <c r="E203" s="653">
        <v>0.64110401683693674</v>
      </c>
      <c r="F203" s="651">
        <v>-0.71849467781325005</v>
      </c>
      <c r="G203" s="654">
        <v>0.26972400254626755</v>
      </c>
      <c r="H203" s="653">
        <v>0.3765</v>
      </c>
      <c r="I203" s="942">
        <v>0.52</v>
      </c>
      <c r="J203" s="946">
        <v>4.1280000000000001</v>
      </c>
      <c r="K203" s="931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1913</v>
      </c>
      <c r="L203" s="683"/>
      <c r="M203" s="934"/>
      <c r="O203" s="162">
        <f t="shared" si="1314"/>
        <v>-4.2451973540794032</v>
      </c>
      <c r="P203" s="162">
        <f t="shared" si="1315"/>
        <v>-4.7934283898311341</v>
      </c>
      <c r="Q203" s="162">
        <f t="shared" si="1316"/>
        <v>-0.41660125646938945</v>
      </c>
      <c r="R203" s="162">
        <f t="shared" si="1311"/>
        <v>0.64110401683693674</v>
      </c>
      <c r="S203" s="162">
        <f t="shared" si="1308"/>
        <v>-0.71849467781325005</v>
      </c>
      <c r="T203" s="162">
        <f t="shared" si="1309"/>
        <v>0.26972400254626755</v>
      </c>
      <c r="U203" s="162">
        <f>IFERROR(IF(ISNUMBER(MATCH($X203,Settings!$AK$28:$AK$36,0)),INDEX(Settings!$AO$14:$AO$36,MATCH($X203,Settings!$AK$14:$AK$36,0))/2,INDEX(Settings!$AM$14:$AM$36,MATCH($X203,Settings!$AK$14:$AK$36,0))/2),"")</f>
        <v>0.375</v>
      </c>
      <c r="V203" s="162">
        <f t="shared" si="1317"/>
        <v>0.52</v>
      </c>
      <c r="W203" s="75">
        <v>4.1280000000000001</v>
      </c>
      <c r="X203" s="937">
        <f t="shared" si="1312"/>
        <v>1913</v>
      </c>
      <c r="AK203" s="82" t="str">
        <f t="shared" si="1313"/>
        <v>Y</v>
      </c>
      <c r="AL203" s="419" t="s">
        <v>402</v>
      </c>
    </row>
    <row r="204" spans="2:38" x14ac:dyDescent="0.25">
      <c r="B204" s="650">
        <v>-4.8214242866772352</v>
      </c>
      <c r="C204" s="651">
        <v>-5.3079704838035697</v>
      </c>
      <c r="D204" s="652">
        <v>-0.89300269329612314</v>
      </c>
      <c r="E204" s="653">
        <v>0.57631699628364441</v>
      </c>
      <c r="F204" s="651">
        <v>-0.77758915702374587</v>
      </c>
      <c r="G204" s="654">
        <v>0.25142359211835758</v>
      </c>
      <c r="H204" s="653">
        <v>0.3765</v>
      </c>
      <c r="I204" s="942">
        <v>0.52</v>
      </c>
      <c r="J204" s="946">
        <v>4.133</v>
      </c>
      <c r="K204" s="931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1913</v>
      </c>
      <c r="L204" s="683"/>
      <c r="M204" s="934"/>
      <c r="O204" s="162">
        <f t="shared" si="1314"/>
        <v>-4.8214242866772352</v>
      </c>
      <c r="P204" s="162">
        <f t="shared" si="1315"/>
        <v>-5.3079704838035697</v>
      </c>
      <c r="Q204" s="162">
        <f t="shared" si="1316"/>
        <v>-0.89300269329612314</v>
      </c>
      <c r="R204" s="162">
        <f t="shared" si="1311"/>
        <v>0.57631699628364441</v>
      </c>
      <c r="S204" s="162">
        <f t="shared" si="1308"/>
        <v>-0.77758915702374587</v>
      </c>
      <c r="T204" s="162">
        <f t="shared" si="1309"/>
        <v>0.25142359211835758</v>
      </c>
      <c r="U204" s="162">
        <f>IFERROR(IF(ISNUMBER(MATCH($X204,Settings!$AK$28:$AK$36,0)),INDEX(Settings!$AO$14:$AO$36,MATCH($X204,Settings!$AK$14:$AK$36,0))/2,INDEX(Settings!$AM$14:$AM$36,MATCH($X204,Settings!$AK$14:$AK$36,0))/2),"")</f>
        <v>0.375</v>
      </c>
      <c r="V204" s="162">
        <f t="shared" si="1317"/>
        <v>0.52</v>
      </c>
      <c r="W204" s="75">
        <v>4.133</v>
      </c>
      <c r="X204" s="937">
        <f t="shared" si="1312"/>
        <v>1913</v>
      </c>
      <c r="AK204" s="82" t="str">
        <f t="shared" si="1313"/>
        <v>Y</v>
      </c>
      <c r="AL204" s="419" t="s">
        <v>402</v>
      </c>
    </row>
    <row r="205" spans="2:38" x14ac:dyDescent="0.25">
      <c r="B205" s="650">
        <v>-5.297798962512692</v>
      </c>
      <c r="C205" s="651">
        <v>-5.7066968362513926</v>
      </c>
      <c r="D205" s="652">
        <v>-1.554404688084537</v>
      </c>
      <c r="E205" s="653">
        <v>0.50653187375824371</v>
      </c>
      <c r="F205" s="651">
        <v>-0.83465673057440548</v>
      </c>
      <c r="G205" s="654">
        <v>0.21627205777401531</v>
      </c>
      <c r="H205" s="653">
        <v>0.3765</v>
      </c>
      <c r="I205" s="942">
        <v>0.52</v>
      </c>
      <c r="J205" s="946">
        <v>4.1379999999999999</v>
      </c>
      <c r="K205" s="931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1913</v>
      </c>
      <c r="L205" s="683"/>
      <c r="M205" s="934"/>
      <c r="O205" s="162">
        <f t="shared" si="1314"/>
        <v>-5.297798962512692</v>
      </c>
      <c r="P205" s="162">
        <f t="shared" si="1315"/>
        <v>-5.7066968362513926</v>
      </c>
      <c r="Q205" s="162">
        <f t="shared" si="1316"/>
        <v>-1.554404688084537</v>
      </c>
      <c r="R205" s="162">
        <f t="shared" si="1311"/>
        <v>0.50653187375824371</v>
      </c>
      <c r="S205" s="162">
        <f t="shared" si="1308"/>
        <v>-0.83465673057440548</v>
      </c>
      <c r="T205" s="162">
        <f t="shared" si="1309"/>
        <v>0.21627205777401531</v>
      </c>
      <c r="U205" s="162">
        <f>IFERROR(IF(ISNUMBER(MATCH($X205,Settings!$AK$28:$AK$36,0)),INDEX(Settings!$AO$14:$AO$36,MATCH($X205,Settings!$AK$14:$AK$36,0))/2,INDEX(Settings!$AM$14:$AM$36,MATCH($X205,Settings!$AK$14:$AK$36,0))/2),"")</f>
        <v>0.375</v>
      </c>
      <c r="V205" s="162">
        <f t="shared" si="1317"/>
        <v>0.52</v>
      </c>
      <c r="W205" s="75">
        <v>4.1379999999999999</v>
      </c>
      <c r="X205" s="937">
        <f t="shared" si="1312"/>
        <v>1913</v>
      </c>
      <c r="AK205" s="82" t="str">
        <f t="shared" si="1313"/>
        <v>Y</v>
      </c>
      <c r="AL205" s="419" t="s">
        <v>402</v>
      </c>
    </row>
    <row r="206" spans="2:38" x14ac:dyDescent="0.25">
      <c r="B206" s="650">
        <v>-5.6350084593667402</v>
      </c>
      <c r="C206" s="651">
        <v>-5.975123275994906</v>
      </c>
      <c r="D206" s="652">
        <v>-2.3514070918437882</v>
      </c>
      <c r="E206" s="653">
        <v>0.43966338620171791</v>
      </c>
      <c r="F206" s="651">
        <v>-0.88037048305612575</v>
      </c>
      <c r="G206" s="654">
        <v>0.17788737840882085</v>
      </c>
      <c r="H206" s="653">
        <v>0.3765</v>
      </c>
      <c r="I206" s="942">
        <v>0.52</v>
      </c>
      <c r="J206" s="946">
        <v>4.1429999999999998</v>
      </c>
      <c r="K206" s="931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1913</v>
      </c>
      <c r="L206" s="683"/>
      <c r="M206" s="934"/>
      <c r="O206" s="162">
        <f t="shared" si="1314"/>
        <v>-5.6350084593667402</v>
      </c>
      <c r="P206" s="162">
        <f t="shared" si="1315"/>
        <v>-5.975123275994906</v>
      </c>
      <c r="Q206" s="162">
        <f t="shared" si="1316"/>
        <v>-2.3514070918437882</v>
      </c>
      <c r="R206" s="162">
        <f t="shared" si="1311"/>
        <v>0.43966338620171791</v>
      </c>
      <c r="S206" s="162">
        <f t="shared" si="1308"/>
        <v>-0.88037048305612575</v>
      </c>
      <c r="T206" s="162">
        <f t="shared" si="1309"/>
        <v>0.17788737840882085</v>
      </c>
      <c r="U206" s="162">
        <f>IFERROR(IF(ISNUMBER(MATCH($X206,Settings!$AK$28:$AK$36,0)),INDEX(Settings!$AO$14:$AO$36,MATCH($X206,Settings!$AK$14:$AK$36,0))/2,INDEX(Settings!$AM$14:$AM$36,MATCH($X206,Settings!$AK$14:$AK$36,0))/2),"")</f>
        <v>0.375</v>
      </c>
      <c r="V206" s="162">
        <f t="shared" si="1317"/>
        <v>0.52</v>
      </c>
      <c r="W206" s="75">
        <v>4.1429999999999998</v>
      </c>
      <c r="X206" s="937">
        <f t="shared" si="1312"/>
        <v>1913</v>
      </c>
      <c r="AK206" s="82" t="str">
        <f t="shared" si="1313"/>
        <v>Y</v>
      </c>
      <c r="AL206" s="419" t="s">
        <v>9</v>
      </c>
    </row>
    <row r="207" spans="2:38" x14ac:dyDescent="0.25">
      <c r="B207" s="650">
        <v>-5.8061911661124199</v>
      </c>
      <c r="C207" s="651">
        <v>-6.1073341747931229</v>
      </c>
      <c r="D207" s="652">
        <v>-3.232609749551004</v>
      </c>
      <c r="E207" s="653">
        <v>0.31879156926005203</v>
      </c>
      <c r="F207" s="651">
        <v>-0.94375534822883789</v>
      </c>
      <c r="G207" s="654">
        <v>8.7736982271892514E-2</v>
      </c>
      <c r="H207" s="653">
        <v>0.3765</v>
      </c>
      <c r="I207" s="942">
        <v>0.52</v>
      </c>
      <c r="J207" s="946">
        <v>4.1479999999999997</v>
      </c>
      <c r="K207" s="931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1913</v>
      </c>
      <c r="L207" s="683"/>
      <c r="M207" s="934"/>
      <c r="O207" s="162">
        <f t="shared" si="1314"/>
        <v>-5.8061911661124199</v>
      </c>
      <c r="P207" s="162">
        <f t="shared" si="1315"/>
        <v>-6.1073341747931229</v>
      </c>
      <c r="Q207" s="162">
        <f t="shared" si="1316"/>
        <v>-3.232609749551004</v>
      </c>
      <c r="R207" s="162">
        <f t="shared" si="1311"/>
        <v>0.31879156926005203</v>
      </c>
      <c r="S207" s="162">
        <f t="shared" si="1308"/>
        <v>-0.94375534822883789</v>
      </c>
      <c r="T207" s="162">
        <f t="shared" si="1309"/>
        <v>8.7736982271892514E-2</v>
      </c>
      <c r="U207" s="162">
        <f>IFERROR(IF(ISNUMBER(MATCH($X207,Settings!$AK$28:$AK$36,0)),INDEX(Settings!$AO$14:$AO$36,MATCH($X207,Settings!$AK$14:$AK$36,0))/2,INDEX(Settings!$AM$14:$AM$36,MATCH($X207,Settings!$AK$14:$AK$36,0))/2),"")</f>
        <v>0.375</v>
      </c>
      <c r="V207" s="162">
        <f t="shared" si="1317"/>
        <v>0.52</v>
      </c>
      <c r="W207" s="75">
        <v>4.1479999999999997</v>
      </c>
      <c r="X207" s="937">
        <f t="shared" si="1312"/>
        <v>1913</v>
      </c>
      <c r="AK207" s="82" t="str">
        <f t="shared" si="1313"/>
        <v>Y</v>
      </c>
      <c r="AL207" s="419" t="s">
        <v>9</v>
      </c>
    </row>
    <row r="208" spans="2:38" x14ac:dyDescent="0.25">
      <c r="B208" s="650">
        <v>-5.8247100558274099</v>
      </c>
      <c r="C208" s="651">
        <v>-6.121462528430893</v>
      </c>
      <c r="D208" s="652">
        <v>-4.1381124805472407</v>
      </c>
      <c r="E208" s="653">
        <v>0.28403782896680441</v>
      </c>
      <c r="F208" s="651">
        <v>-0.95782225493094975</v>
      </c>
      <c r="G208" s="654">
        <v>4.3577972357775427E-2</v>
      </c>
      <c r="H208" s="653">
        <v>0.3765</v>
      </c>
      <c r="I208" s="942">
        <v>0.52</v>
      </c>
      <c r="J208" s="946">
        <v>4.1529999999999996</v>
      </c>
      <c r="K208" s="931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1913</v>
      </c>
      <c r="L208" s="683"/>
      <c r="M208" s="934"/>
      <c r="O208" s="162">
        <f t="shared" si="1314"/>
        <v>-5.8247100558274099</v>
      </c>
      <c r="P208" s="162">
        <f t="shared" si="1315"/>
        <v>-6.121462528430893</v>
      </c>
      <c r="Q208" s="162">
        <f t="shared" si="1316"/>
        <v>-4.1381124805472407</v>
      </c>
      <c r="R208" s="162">
        <f t="shared" si="1311"/>
        <v>0.28403782896680441</v>
      </c>
      <c r="S208" s="162">
        <f t="shared" si="1308"/>
        <v>-0.95782225493094975</v>
      </c>
      <c r="T208" s="162">
        <f t="shared" si="1309"/>
        <v>4.3577972357775427E-2</v>
      </c>
      <c r="U208" s="162">
        <f>IFERROR(IF(ISNUMBER(MATCH($X208,Settings!$AK$28:$AK$36,0)),INDEX(Settings!$AO$14:$AO$36,MATCH($X208,Settings!$AK$14:$AK$36,0))/2,INDEX(Settings!$AM$14:$AM$36,MATCH($X208,Settings!$AK$14:$AK$36,0))/2),"")</f>
        <v>0.375</v>
      </c>
      <c r="V208" s="162">
        <f t="shared" si="1317"/>
        <v>0.52</v>
      </c>
      <c r="W208" s="75">
        <v>4.1529999999999996</v>
      </c>
      <c r="X208" s="937">
        <f t="shared" si="1312"/>
        <v>1913</v>
      </c>
      <c r="AK208" s="82" t="str">
        <f t="shared" si="1313"/>
        <v>Y</v>
      </c>
      <c r="AL208" s="419" t="s">
        <v>9</v>
      </c>
    </row>
    <row r="209" spans="2:38" x14ac:dyDescent="0.25">
      <c r="B209" s="650">
        <v>-2.7479332881767977</v>
      </c>
      <c r="C209" s="651">
        <v>1.2813828843485848</v>
      </c>
      <c r="D209" s="652">
        <v>-0.6437019414050551</v>
      </c>
      <c r="E209" s="653">
        <v>-0.36346004546043503</v>
      </c>
      <c r="F209" s="651">
        <v>-0.89629704517118924</v>
      </c>
      <c r="G209" s="654">
        <v>0.25406377579516087</v>
      </c>
      <c r="H209" s="653">
        <v>0.3765</v>
      </c>
      <c r="I209" s="942">
        <v>0.52</v>
      </c>
      <c r="J209" s="946">
        <v>5.109</v>
      </c>
      <c r="K209" s="931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1913</v>
      </c>
      <c r="L209" s="683"/>
      <c r="M209" s="934"/>
      <c r="O209" s="162">
        <f t="shared" si="1314"/>
        <v>-2.7479332881767977</v>
      </c>
      <c r="P209" s="162">
        <f t="shared" si="1315"/>
        <v>1.2813828843485848</v>
      </c>
      <c r="Q209" s="162">
        <f t="shared" si="1316"/>
        <v>-0.6437019414050551</v>
      </c>
      <c r="R209" s="162">
        <f t="shared" si="1311"/>
        <v>-0.36346004546043503</v>
      </c>
      <c r="S209" s="162">
        <f t="shared" si="1308"/>
        <v>-0.89629704517118924</v>
      </c>
      <c r="T209" s="162">
        <f t="shared" si="1309"/>
        <v>0.25406377579516087</v>
      </c>
      <c r="U209" s="162">
        <f>IFERROR(IF(ISNUMBER(MATCH($X209,Settings!$AK$28:$AK$36,0)),INDEX(Settings!$AO$14:$AO$36,MATCH($X209,Settings!$AK$14:$AK$36,0))/2,INDEX(Settings!$AM$14:$AM$36,MATCH($X209,Settings!$AK$14:$AK$36,0))/2),"")</f>
        <v>0.375</v>
      </c>
      <c r="V209" s="162">
        <f t="shared" si="1317"/>
        <v>0.52</v>
      </c>
      <c r="W209" s="75">
        <v>5.109</v>
      </c>
      <c r="X209" s="937">
        <f t="shared" si="1312"/>
        <v>1913</v>
      </c>
      <c r="AK209" s="82" t="str">
        <f t="shared" si="1313"/>
        <v>Y</v>
      </c>
      <c r="AL209" s="419" t="s">
        <v>9</v>
      </c>
    </row>
    <row r="210" spans="2:38" x14ac:dyDescent="0.25">
      <c r="B210" s="650">
        <v>-3.5579868909663008</v>
      </c>
      <c r="C210" s="651">
        <v>1.660553894688805</v>
      </c>
      <c r="D210" s="652">
        <v>-0.31890096180530103</v>
      </c>
      <c r="E210" s="653">
        <v>-0.38399291073268826</v>
      </c>
      <c r="F210" s="651">
        <v>-0.88673224903223147</v>
      </c>
      <c r="G210" s="654">
        <v>0.25740117139064927</v>
      </c>
      <c r="H210" s="653">
        <v>0.3765</v>
      </c>
      <c r="I210" s="942">
        <v>0.52</v>
      </c>
      <c r="J210" s="946">
        <v>5.1139999999999999</v>
      </c>
      <c r="K210" s="931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1913</v>
      </c>
      <c r="L210" s="683"/>
      <c r="M210" s="934"/>
      <c r="O210" s="162">
        <f t="shared" si="1314"/>
        <v>-3.5579868909663008</v>
      </c>
      <c r="P210" s="162">
        <f t="shared" si="1315"/>
        <v>1.660553894688805</v>
      </c>
      <c r="Q210" s="162">
        <f t="shared" si="1316"/>
        <v>-0.31890096180530103</v>
      </c>
      <c r="R210" s="162">
        <f t="shared" si="1311"/>
        <v>-0.38399291073268826</v>
      </c>
      <c r="S210" s="162">
        <f t="shared" si="1308"/>
        <v>-0.88673224903223147</v>
      </c>
      <c r="T210" s="162">
        <f t="shared" si="1309"/>
        <v>0.25740117139064927</v>
      </c>
      <c r="U210" s="162">
        <f>IFERROR(IF(ISNUMBER(MATCH($X210,Settings!$AK$28:$AK$36,0)),INDEX(Settings!$AO$14:$AO$36,MATCH($X210,Settings!$AK$14:$AK$36,0))/2,INDEX(Settings!$AM$14:$AM$36,MATCH($X210,Settings!$AK$14:$AK$36,0))/2),"")</f>
        <v>0.375</v>
      </c>
      <c r="V210" s="162">
        <f t="shared" si="1317"/>
        <v>0.52</v>
      </c>
      <c r="W210" s="75">
        <v>5.1139999999999999</v>
      </c>
      <c r="X210" s="937">
        <f t="shared" si="1312"/>
        <v>1913</v>
      </c>
      <c r="AK210" s="82" t="str">
        <f t="shared" si="1313"/>
        <v>Y</v>
      </c>
      <c r="AL210" s="419" t="s">
        <v>9</v>
      </c>
    </row>
    <row r="211" spans="2:38" x14ac:dyDescent="0.25">
      <c r="B211" s="650">
        <v>-4.3489144238348993</v>
      </c>
      <c r="C211" s="651">
        <v>2.060182482072487</v>
      </c>
      <c r="D211" s="652">
        <v>-0.1389004189236635</v>
      </c>
      <c r="E211" s="653">
        <v>-0.40877991018705684</v>
      </c>
      <c r="F211" s="651">
        <v>-0.873665397158501</v>
      </c>
      <c r="G211" s="654">
        <v>0.26383282365039507</v>
      </c>
      <c r="H211" s="653">
        <v>0.3765</v>
      </c>
      <c r="I211" s="942">
        <v>0.52</v>
      </c>
      <c r="J211" s="946">
        <v>5.1189999999999998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1913</v>
      </c>
      <c r="L211" s="683"/>
      <c r="M211" s="934"/>
      <c r="O211" s="162">
        <f t="shared" si="1314"/>
        <v>-4.3489144238348993</v>
      </c>
      <c r="P211" s="162">
        <f t="shared" si="1315"/>
        <v>2.060182482072487</v>
      </c>
      <c r="Q211" s="162">
        <f t="shared" si="1316"/>
        <v>-0.1389004189236635</v>
      </c>
      <c r="R211" s="162">
        <f t="shared" si="1311"/>
        <v>-0.40877991018705684</v>
      </c>
      <c r="S211" s="162">
        <f t="shared" si="1308"/>
        <v>-0.873665397158501</v>
      </c>
      <c r="T211" s="162">
        <f t="shared" si="1309"/>
        <v>0.26383282365039507</v>
      </c>
      <c r="U211" s="162">
        <f>IFERROR(IF(ISNUMBER(MATCH($X211,Settings!$AK$28:$AK$36,0)),INDEX(Settings!$AO$14:$AO$36,MATCH($X211,Settings!$AK$14:$AK$36,0))/2,INDEX(Settings!$AM$14:$AM$36,MATCH($X211,Settings!$AK$14:$AK$36,0))/2),"")</f>
        <v>0.375</v>
      </c>
      <c r="V211" s="162">
        <f t="shared" si="1317"/>
        <v>0.52</v>
      </c>
      <c r="W211" s="75">
        <v>5.1189999999999998</v>
      </c>
      <c r="X211" s="937">
        <f t="shared" si="1312"/>
        <v>1913</v>
      </c>
      <c r="AK211" s="82" t="str">
        <f t="shared" si="1313"/>
        <v>Y</v>
      </c>
      <c r="AL211" s="419" t="s">
        <v>9</v>
      </c>
    </row>
    <row r="212" spans="2:38" x14ac:dyDescent="0.25">
      <c r="B212" s="650">
        <v>-5.1376873713526354</v>
      </c>
      <c r="C212" s="651">
        <v>2.5006036514831305</v>
      </c>
      <c r="D212" s="652">
        <v>-0.1955005896297784</v>
      </c>
      <c r="E212" s="653">
        <v>-0.46932833360714188</v>
      </c>
      <c r="F212" s="651">
        <v>-0.84010726495488175</v>
      </c>
      <c r="G212" s="654">
        <v>0.27193877738118111</v>
      </c>
      <c r="H212" s="653">
        <v>0.3765</v>
      </c>
      <c r="I212" s="942">
        <v>0.52</v>
      </c>
      <c r="J212" s="946">
        <v>5.1239999999999997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1913</v>
      </c>
      <c r="L212" s="683"/>
      <c r="M212" s="934"/>
      <c r="O212" s="162">
        <f t="shared" si="1314"/>
        <v>-5.1376873713526354</v>
      </c>
      <c r="P212" s="162">
        <f t="shared" si="1315"/>
        <v>2.5006036514831305</v>
      </c>
      <c r="Q212" s="162">
        <f t="shared" si="1316"/>
        <v>-0.1955005896297784</v>
      </c>
      <c r="R212" s="162">
        <f t="shared" si="1311"/>
        <v>-0.46932833360714188</v>
      </c>
      <c r="S212" s="162">
        <f t="shared" si="1308"/>
        <v>-0.84010726495488175</v>
      </c>
      <c r="T212" s="162">
        <f t="shared" si="1309"/>
        <v>0.27193877738118111</v>
      </c>
      <c r="U212" s="162">
        <f>IFERROR(IF(ISNUMBER(MATCH($X212,Settings!$AK$28:$AK$36,0)),INDEX(Settings!$AO$14:$AO$36,MATCH($X212,Settings!$AK$14:$AK$36,0))/2,INDEX(Settings!$AM$14:$AM$36,MATCH($X212,Settings!$AK$14:$AK$36,0))/2),"")</f>
        <v>0.375</v>
      </c>
      <c r="V212" s="162">
        <f t="shared" si="1317"/>
        <v>0.52</v>
      </c>
      <c r="W212" s="75">
        <v>5.1239999999999997</v>
      </c>
      <c r="X212" s="937">
        <f t="shared" si="1312"/>
        <v>1913</v>
      </c>
      <c r="AK212" s="82" t="str">
        <f t="shared" si="1313"/>
        <v>Y</v>
      </c>
      <c r="AL212" s="419" t="s">
        <v>9</v>
      </c>
    </row>
    <row r="213" spans="2:38" x14ac:dyDescent="0.25">
      <c r="B213" s="650">
        <v>-5.867486459689423</v>
      </c>
      <c r="C213" s="651">
        <v>2.9479605987792934</v>
      </c>
      <c r="D213" s="652">
        <v>-0.49500149292450257</v>
      </c>
      <c r="E213" s="653">
        <v>-0.54303127888529024</v>
      </c>
      <c r="F213" s="651">
        <v>-0.79566020737977539</v>
      </c>
      <c r="G213" s="654">
        <v>0.26840615593644457</v>
      </c>
      <c r="H213" s="653">
        <v>0.3765</v>
      </c>
      <c r="I213" s="942">
        <v>0.52</v>
      </c>
      <c r="J213" s="946">
        <v>5.1289999999999996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1913</v>
      </c>
      <c r="L213" s="683"/>
      <c r="M213" s="934"/>
      <c r="O213" s="162">
        <f t="shared" si="1314"/>
        <v>-5.867486459689423</v>
      </c>
      <c r="P213" s="162">
        <f t="shared" si="1315"/>
        <v>2.9479605987792934</v>
      </c>
      <c r="Q213" s="162">
        <f t="shared" si="1316"/>
        <v>-0.49500149292450257</v>
      </c>
      <c r="R213" s="162">
        <f t="shared" si="1311"/>
        <v>-0.54303127888529024</v>
      </c>
      <c r="S213" s="162">
        <f t="shared" si="1308"/>
        <v>-0.79566020737977539</v>
      </c>
      <c r="T213" s="162">
        <f t="shared" si="1309"/>
        <v>0.26840615593644457</v>
      </c>
      <c r="U213" s="162">
        <f>IFERROR(IF(ISNUMBER(MATCH($X213,Settings!$AK$28:$AK$36,0)),INDEX(Settings!$AO$14:$AO$36,MATCH($X213,Settings!$AK$14:$AK$36,0))/2,INDEX(Settings!$AM$14:$AM$36,MATCH($X213,Settings!$AK$14:$AK$36,0))/2),"")</f>
        <v>0.375</v>
      </c>
      <c r="V213" s="162">
        <f t="shared" si="1317"/>
        <v>0.52</v>
      </c>
      <c r="W213" s="75">
        <v>5.1289999999999996</v>
      </c>
      <c r="X213" s="937">
        <f t="shared" si="1312"/>
        <v>1913</v>
      </c>
      <c r="AK213" s="82" t="str">
        <f t="shared" si="1313"/>
        <v>Y</v>
      </c>
      <c r="AL213" s="419" t="s">
        <v>402</v>
      </c>
    </row>
    <row r="214" spans="2:38" x14ac:dyDescent="0.25">
      <c r="B214" s="650">
        <v>-6.4886989454432662</v>
      </c>
      <c r="C214" s="651">
        <v>3.3612684914775617</v>
      </c>
      <c r="D214" s="652">
        <v>-1.0119030518996044</v>
      </c>
      <c r="E214" s="653">
        <v>-0.61685147518065375</v>
      </c>
      <c r="F214" s="651">
        <v>-0.74784329558252582</v>
      </c>
      <c r="G214" s="654">
        <v>0.24540713685571222</v>
      </c>
      <c r="H214" s="653">
        <v>0.3765</v>
      </c>
      <c r="I214" s="942">
        <v>0.52</v>
      </c>
      <c r="J214" s="946">
        <v>5.1340000000000003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1913</v>
      </c>
      <c r="L214" s="683"/>
      <c r="M214" s="934"/>
      <c r="O214" s="162">
        <f t="shared" si="1314"/>
        <v>-6.4886989454432662</v>
      </c>
      <c r="P214" s="162">
        <f t="shared" si="1315"/>
        <v>3.3612684914775617</v>
      </c>
      <c r="Q214" s="162">
        <f t="shared" si="1316"/>
        <v>-1.0119030518996044</v>
      </c>
      <c r="R214" s="162">
        <f t="shared" si="1311"/>
        <v>-0.61685147518065375</v>
      </c>
      <c r="S214" s="162">
        <f t="shared" si="1308"/>
        <v>-0.74784329558252582</v>
      </c>
      <c r="T214" s="162">
        <f t="shared" si="1309"/>
        <v>0.24540713685571222</v>
      </c>
      <c r="U214" s="162">
        <f>IFERROR(IF(ISNUMBER(MATCH($X214,Settings!$AK$28:$AK$36,0)),INDEX(Settings!$AO$14:$AO$36,MATCH($X214,Settings!$AK$14:$AK$36,0))/2,INDEX(Settings!$AM$14:$AM$36,MATCH($X214,Settings!$AK$14:$AK$36,0))/2),"")</f>
        <v>0.375</v>
      </c>
      <c r="V214" s="162">
        <f t="shared" si="1317"/>
        <v>0.52</v>
      </c>
      <c r="W214" s="75">
        <v>5.1340000000000003</v>
      </c>
      <c r="X214" s="937">
        <f t="shared" si="1312"/>
        <v>1913</v>
      </c>
      <c r="AK214" s="82" t="str">
        <f t="shared" si="1313"/>
        <v>Y</v>
      </c>
      <c r="AL214" s="419" t="s">
        <v>402</v>
      </c>
    </row>
    <row r="215" spans="2:38" x14ac:dyDescent="0.25">
      <c r="B215" s="650">
        <v>-6.9662207670810048</v>
      </c>
      <c r="C215" s="651">
        <v>3.7005763280636264</v>
      </c>
      <c r="D215" s="652">
        <v>-1.704605141089105</v>
      </c>
      <c r="E215" s="653">
        <v>-0.6898756347551197</v>
      </c>
      <c r="F215" s="651">
        <v>-0.69346297735500306</v>
      </c>
      <c r="G215" s="654">
        <v>0.20779968144623112</v>
      </c>
      <c r="H215" s="653">
        <v>0.3765</v>
      </c>
      <c r="I215" s="942">
        <v>0.52</v>
      </c>
      <c r="J215" s="946">
        <v>5.1390000000000002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1913</v>
      </c>
      <c r="L215" s="683"/>
      <c r="M215" s="934"/>
      <c r="O215" s="162">
        <f t="shared" si="1314"/>
        <v>-6.9662207670810048</v>
      </c>
      <c r="P215" s="162">
        <f t="shared" si="1315"/>
        <v>3.7005763280636264</v>
      </c>
      <c r="Q215" s="162">
        <f t="shared" si="1316"/>
        <v>-1.704605141089105</v>
      </c>
      <c r="R215" s="162">
        <f t="shared" si="1311"/>
        <v>-0.6898756347551197</v>
      </c>
      <c r="S215" s="162">
        <f t="shared" si="1308"/>
        <v>-0.69346297735500306</v>
      </c>
      <c r="T215" s="162">
        <f t="shared" si="1309"/>
        <v>0.20779968144623112</v>
      </c>
      <c r="U215" s="162">
        <f>IFERROR(IF(ISNUMBER(MATCH($X215,Settings!$AK$28:$AK$36,0)),INDEX(Settings!$AO$14:$AO$36,MATCH($X215,Settings!$AK$14:$AK$36,0))/2,INDEX(Settings!$AM$14:$AM$36,MATCH($X215,Settings!$AK$14:$AK$36,0))/2),"")</f>
        <v>0.375</v>
      </c>
      <c r="V215" s="162">
        <f t="shared" si="1317"/>
        <v>0.52</v>
      </c>
      <c r="W215" s="75">
        <v>5.1390000000000002</v>
      </c>
      <c r="X215" s="937">
        <f t="shared" si="1312"/>
        <v>1913</v>
      </c>
      <c r="AK215" s="82" t="str">
        <f t="shared" si="1313"/>
        <v>Y</v>
      </c>
      <c r="AL215" s="419" t="s">
        <v>402</v>
      </c>
    </row>
    <row r="216" spans="2:38" x14ac:dyDescent="0.25">
      <c r="B216" s="650">
        <v>-7.278579159574142</v>
      </c>
      <c r="C216" s="651">
        <v>3.9332163918297156</v>
      </c>
      <c r="D216" s="652">
        <v>-2.5223076072797435</v>
      </c>
      <c r="E216" s="653">
        <v>-0.76800611496452365</v>
      </c>
      <c r="F216" s="651">
        <v>-0.6217603716142891</v>
      </c>
      <c r="G216" s="654">
        <v>0.15355991556119172</v>
      </c>
      <c r="H216" s="653">
        <v>0.3765</v>
      </c>
      <c r="I216" s="942">
        <v>0.52</v>
      </c>
      <c r="J216" s="946">
        <v>5.1440000000000001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1913</v>
      </c>
      <c r="L216" s="683"/>
      <c r="M216" s="934"/>
      <c r="O216" s="162">
        <f t="shared" si="1314"/>
        <v>-7.278579159574142</v>
      </c>
      <c r="P216" s="162">
        <f t="shared" si="1315"/>
        <v>3.9332163918297156</v>
      </c>
      <c r="Q216" s="162">
        <f t="shared" si="1316"/>
        <v>-2.5223076072797435</v>
      </c>
      <c r="R216" s="162">
        <f t="shared" si="1311"/>
        <v>-0.76800611496452365</v>
      </c>
      <c r="S216" s="162">
        <f t="shared" si="1308"/>
        <v>-0.6217603716142891</v>
      </c>
      <c r="T216" s="162">
        <f t="shared" si="1309"/>
        <v>0.15355991556119172</v>
      </c>
      <c r="U216" s="162">
        <f>IFERROR(IF(ISNUMBER(MATCH($X216,Settings!$AK$28:$AK$36,0)),INDEX(Settings!$AO$14:$AO$36,MATCH($X216,Settings!$AK$14:$AK$36,0))/2,INDEX(Settings!$AM$14:$AM$36,MATCH($X216,Settings!$AK$14:$AK$36,0))/2),"")</f>
        <v>0.375</v>
      </c>
      <c r="V216" s="162">
        <f t="shared" si="1317"/>
        <v>0.52</v>
      </c>
      <c r="W216" s="75">
        <v>5.1440000000000001</v>
      </c>
      <c r="X216" s="937">
        <f t="shared" si="1312"/>
        <v>1913</v>
      </c>
      <c r="AK216" s="82" t="str">
        <f t="shared" si="1313"/>
        <v>Y</v>
      </c>
      <c r="AL216" s="419" t="s">
        <v>402</v>
      </c>
    </row>
    <row r="217" spans="2:38" x14ac:dyDescent="0.25">
      <c r="B217" s="650">
        <v>-7.4147541552935348</v>
      </c>
      <c r="C217" s="651">
        <v>4.0374539086577776</v>
      </c>
      <c r="D217" s="652">
        <v>-3.4132102942422495</v>
      </c>
      <c r="E217" s="653">
        <v>-0.84102084636040308</v>
      </c>
      <c r="F217" s="651">
        <v>-0.53696134906401738</v>
      </c>
      <c r="G217" s="654">
        <v>6.6003375660505764E-2</v>
      </c>
      <c r="H217" s="653">
        <v>0.3765</v>
      </c>
      <c r="I217" s="942">
        <v>0.52</v>
      </c>
      <c r="J217" s="946">
        <v>5.149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1913</v>
      </c>
      <c r="L217" s="683"/>
      <c r="M217" s="934"/>
      <c r="O217" s="162">
        <f t="shared" si="1314"/>
        <v>-7.4147541552935348</v>
      </c>
      <c r="P217" s="162">
        <f t="shared" si="1315"/>
        <v>4.0374539086577776</v>
      </c>
      <c r="Q217" s="162">
        <f t="shared" si="1316"/>
        <v>-3.4132102942422495</v>
      </c>
      <c r="R217" s="162">
        <f t="shared" si="1311"/>
        <v>-0.84102084636040308</v>
      </c>
      <c r="S217" s="162">
        <f t="shared" si="1308"/>
        <v>-0.53696134906401738</v>
      </c>
      <c r="T217" s="162">
        <f t="shared" si="1309"/>
        <v>6.6003375660505764E-2</v>
      </c>
      <c r="U217" s="162">
        <f>IFERROR(IF(ISNUMBER(MATCH($X217,Settings!$AK$28:$AK$36,0)),INDEX(Settings!$AO$14:$AO$36,MATCH($X217,Settings!$AK$14:$AK$36,0))/2,INDEX(Settings!$AM$14:$AM$36,MATCH($X217,Settings!$AK$14:$AK$36,0))/2),"")</f>
        <v>0.375</v>
      </c>
      <c r="V217" s="162">
        <f t="shared" si="1317"/>
        <v>0.52</v>
      </c>
      <c r="W217" s="162">
        <v>5.149</v>
      </c>
      <c r="X217" s="937">
        <f t="shared" si="1312"/>
        <v>1913</v>
      </c>
      <c r="AK217" s="82" t="str">
        <f t="shared" si="1313"/>
        <v>Y</v>
      </c>
      <c r="AL217" s="419" t="s">
        <v>402</v>
      </c>
    </row>
    <row r="218" spans="2:38" x14ac:dyDescent="0.25">
      <c r="B218" s="650">
        <v>-7.4204254094197637</v>
      </c>
      <c r="C218" s="651">
        <v>4.0418853849012155</v>
      </c>
      <c r="D218" s="652">
        <v>-4.3193130270480893</v>
      </c>
      <c r="E218" s="653">
        <v>-0.85167075466072073</v>
      </c>
      <c r="F218" s="651">
        <v>-0.52226227700344541</v>
      </c>
      <c r="G218" s="654">
        <v>4.3577972357774893E-2</v>
      </c>
      <c r="H218" s="653">
        <v>0.3765</v>
      </c>
      <c r="I218" s="942">
        <v>0.52</v>
      </c>
      <c r="J218" s="946">
        <v>5.1539999999999999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1913</v>
      </c>
      <c r="L218" s="683"/>
      <c r="M218" s="934"/>
      <c r="O218" s="162">
        <f t="shared" si="1314"/>
        <v>-7.4204254094197637</v>
      </c>
      <c r="P218" s="162">
        <f t="shared" si="1315"/>
        <v>4.0418853849012155</v>
      </c>
      <c r="Q218" s="162">
        <f t="shared" si="1316"/>
        <v>-4.3193130270480893</v>
      </c>
      <c r="R218" s="162">
        <f t="shared" si="1311"/>
        <v>-0.85167075466072073</v>
      </c>
      <c r="S218" s="162">
        <f t="shared" si="1308"/>
        <v>-0.52226227700344541</v>
      </c>
      <c r="T218" s="162">
        <f t="shared" si="1309"/>
        <v>4.3577972357774893E-2</v>
      </c>
      <c r="U218" s="162">
        <f>IFERROR(IF(ISNUMBER(MATCH($X218,Settings!$AK$28:$AK$36,0)),INDEX(Settings!$AO$14:$AO$36,MATCH($X218,Settings!$AK$14:$AK$36,0))/2,INDEX(Settings!$AM$14:$AM$36,MATCH($X218,Settings!$AK$14:$AK$36,0))/2),"")</f>
        <v>0.375</v>
      </c>
      <c r="V218" s="162">
        <f t="shared" si="1317"/>
        <v>0.52</v>
      </c>
      <c r="W218" s="162">
        <v>5.1539999999999999</v>
      </c>
      <c r="X218" s="937">
        <f t="shared" si="1312"/>
        <v>1913</v>
      </c>
      <c r="AK218" s="82" t="str">
        <f t="shared" si="1313"/>
        <v>Y</v>
      </c>
      <c r="AL218" s="419" t="s">
        <v>402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/>
      </c>
      <c r="L219" s="683"/>
      <c r="M219" s="934"/>
      <c r="O219" s="162" t="str">
        <f t="shared" si="1314"/>
        <v/>
      </c>
      <c r="P219" s="162" t="str">
        <f t="shared" si="1315"/>
        <v/>
      </c>
      <c r="Q219" s="162" t="str">
        <f t="shared" si="1316"/>
        <v/>
      </c>
      <c r="R219" s="162" t="str">
        <f t="shared" si="1311"/>
        <v/>
      </c>
      <c r="S219" s="162" t="str">
        <f t="shared" si="1308"/>
        <v/>
      </c>
      <c r="T219" s="162" t="str">
        <f t="shared" si="1309"/>
        <v/>
      </c>
      <c r="U219" s="162" t="str">
        <f>IFERROR(IF(ISNUMBER(MATCH($X219,Settings!$AK$28:$AK$36,0)),INDEX(Settings!$AO$14:$AO$36,MATCH($X219,Settings!$AK$14:$AK$36,0))/2,INDEX(Settings!$AM$14:$AM$36,MATCH($X219,Settings!$AK$14:$AK$36,0))/2),"")</f>
        <v/>
      </c>
      <c r="V219" s="162" t="str">
        <f t="shared" si="1317"/>
        <v/>
      </c>
      <c r="W219" s="162"/>
      <c r="X219" s="937" t="str">
        <f t="shared" si="1312"/>
        <v/>
      </c>
      <c r="AK219" s="82" t="str">
        <f t="shared" si="1313"/>
        <v>Y</v>
      </c>
      <c r="AL219" s="419" t="s">
        <v>402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/>
      </c>
      <c r="L220" s="683"/>
      <c r="M220" s="934"/>
      <c r="O220" s="162" t="str">
        <f t="shared" si="1314"/>
        <v/>
      </c>
      <c r="P220" s="162" t="str">
        <f t="shared" si="1315"/>
        <v/>
      </c>
      <c r="Q220" s="162" t="str">
        <f t="shared" si="1316"/>
        <v/>
      </c>
      <c r="R220" s="162" t="str">
        <f t="shared" si="1311"/>
        <v/>
      </c>
      <c r="S220" s="162" t="str">
        <f t="shared" si="1308"/>
        <v/>
      </c>
      <c r="T220" s="162" t="str">
        <f t="shared" si="1309"/>
        <v/>
      </c>
      <c r="U220" s="162" t="str">
        <f>IFERROR(IF(ISNUMBER(MATCH($X220,Settings!$AK$28:$AK$36,0)),INDEX(Settings!$AO$14:$AO$36,MATCH($X220,Settings!$AK$14:$AK$36,0))/2,INDEX(Settings!$AM$14:$AM$36,MATCH($X220,Settings!$AK$14:$AK$36,0))/2),"")</f>
        <v/>
      </c>
      <c r="V220" s="162" t="str">
        <f t="shared" si="1317"/>
        <v/>
      </c>
      <c r="W220" s="162"/>
      <c r="X220" s="937" t="str">
        <f t="shared" si="1312"/>
        <v/>
      </c>
      <c r="AK220" s="82" t="str">
        <f t="shared" si="1313"/>
        <v>Y</v>
      </c>
      <c r="AL220" s="419" t="s">
        <v>402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/>
      </c>
      <c r="L221" s="683"/>
      <c r="M221" s="934"/>
      <c r="O221" s="162" t="str">
        <f t="shared" si="1314"/>
        <v/>
      </c>
      <c r="P221" s="162" t="str">
        <f t="shared" si="1315"/>
        <v/>
      </c>
      <c r="Q221" s="162" t="str">
        <f t="shared" si="1316"/>
        <v/>
      </c>
      <c r="R221" s="162" t="str">
        <f t="shared" si="1311"/>
        <v/>
      </c>
      <c r="S221" s="162" t="str">
        <f t="shared" si="1308"/>
        <v/>
      </c>
      <c r="T221" s="162" t="str">
        <f t="shared" si="1309"/>
        <v/>
      </c>
      <c r="U221" s="162" t="str">
        <f>IFERROR(IF(ISNUMBER(MATCH($X221,Settings!$AK$28:$AK$36,0)),INDEX(Settings!$AO$14:$AO$36,MATCH($X221,Settings!$AK$14:$AK$36,0))/2,INDEX(Settings!$AM$14:$AM$36,MATCH($X221,Settings!$AK$14:$AK$36,0))/2),"")</f>
        <v/>
      </c>
      <c r="V221" s="162" t="str">
        <f t="shared" si="1317"/>
        <v/>
      </c>
      <c r="W221" s="162"/>
      <c r="X221" s="937" t="str">
        <f t="shared" si="1312"/>
        <v/>
      </c>
      <c r="AK221" s="82" t="str">
        <f t="shared" si="1313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683"/>
      <c r="M222" s="934"/>
      <c r="O222" s="162" t="str">
        <f t="shared" si="1314"/>
        <v/>
      </c>
      <c r="P222" s="162" t="str">
        <f t="shared" si="1315"/>
        <v/>
      </c>
      <c r="Q222" s="162" t="str">
        <f t="shared" si="1316"/>
        <v/>
      </c>
      <c r="R222" s="162" t="str">
        <f t="shared" si="1311"/>
        <v/>
      </c>
      <c r="S222" s="162" t="str">
        <f t="shared" si="1308"/>
        <v/>
      </c>
      <c r="T222" s="162" t="str">
        <f t="shared" si="1309"/>
        <v/>
      </c>
      <c r="U222" s="162" t="str">
        <f>IFERROR(IF(ISNUMBER(MATCH($X222,Settings!$AK$28:$AK$36,0)),INDEX(Settings!$AO$14:$AO$36,MATCH($X222,Settings!$AK$14:$AK$36,0))/2,INDEX(Settings!$AM$14:$AM$36,MATCH($X222,Settings!$AK$14:$AK$36,0))/2),"")</f>
        <v/>
      </c>
      <c r="V222" s="162" t="str">
        <f t="shared" si="1317"/>
        <v/>
      </c>
      <c r="W222" s="162"/>
      <c r="X222" s="937" t="str">
        <f t="shared" si="1312"/>
        <v/>
      </c>
      <c r="AK222" s="82" t="str">
        <f t="shared" si="1313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683"/>
      <c r="M223" s="934"/>
      <c r="O223" s="162" t="str">
        <f t="shared" si="1314"/>
        <v/>
      </c>
      <c r="P223" s="162" t="str">
        <f t="shared" si="1315"/>
        <v/>
      </c>
      <c r="Q223" s="162" t="str">
        <f t="shared" si="1316"/>
        <v/>
      </c>
      <c r="R223" s="162" t="str">
        <f t="shared" si="1311"/>
        <v/>
      </c>
      <c r="S223" s="162" t="str">
        <f t="shared" si="1308"/>
        <v/>
      </c>
      <c r="T223" s="162" t="str">
        <f t="shared" si="1309"/>
        <v/>
      </c>
      <c r="U223" s="162" t="str">
        <f>IFERROR(IF(ISNUMBER(MATCH($X223,Settings!$AK$28:$AK$36,0)),INDEX(Settings!$AO$14:$AO$36,MATCH($X223,Settings!$AK$14:$AK$36,0))/2,INDEX(Settings!$AM$14:$AM$36,MATCH($X223,Settings!$AK$14:$AK$36,0))/2),"")</f>
        <v/>
      </c>
      <c r="V223" s="162" t="str">
        <f t="shared" si="1317"/>
        <v/>
      </c>
      <c r="W223" s="162"/>
      <c r="X223" s="937" t="str">
        <f t="shared" si="1312"/>
        <v/>
      </c>
      <c r="AK223" s="82" t="str">
        <f t="shared" si="1313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683"/>
      <c r="M224" s="934"/>
      <c r="O224" s="162" t="str">
        <f t="shared" si="1314"/>
        <v/>
      </c>
      <c r="P224" s="162" t="str">
        <f t="shared" si="1315"/>
        <v/>
      </c>
      <c r="Q224" s="162" t="str">
        <f t="shared" si="1316"/>
        <v/>
      </c>
      <c r="R224" s="162" t="str">
        <f t="shared" si="1311"/>
        <v/>
      </c>
      <c r="S224" s="162" t="str">
        <f t="shared" si="1308"/>
        <v/>
      </c>
      <c r="T224" s="162" t="str">
        <f t="shared" si="1309"/>
        <v/>
      </c>
      <c r="U224" s="162" t="str">
        <f>IFERROR(IF(ISNUMBER(MATCH($X224,Settings!$AK$28:$AK$36,0)),INDEX(Settings!$AO$14:$AO$36,MATCH($X224,Settings!$AK$14:$AK$36,0))/2,INDEX(Settings!$AM$14:$AM$36,MATCH($X224,Settings!$AK$14:$AK$36,0))/2),"")</f>
        <v/>
      </c>
      <c r="V224" s="162" t="str">
        <f t="shared" si="1317"/>
        <v/>
      </c>
      <c r="W224" s="162"/>
      <c r="X224" s="937" t="str">
        <f t="shared" si="1312"/>
        <v/>
      </c>
      <c r="AK224" s="82" t="str">
        <f t="shared" si="1313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683"/>
      <c r="M225" s="934"/>
      <c r="O225" s="162" t="str">
        <f t="shared" si="1314"/>
        <v/>
      </c>
      <c r="P225" s="162" t="str">
        <f t="shared" si="1315"/>
        <v/>
      </c>
      <c r="Q225" s="162" t="str">
        <f t="shared" si="1316"/>
        <v/>
      </c>
      <c r="R225" s="162" t="str">
        <f t="shared" si="1311"/>
        <v/>
      </c>
      <c r="S225" s="162" t="str">
        <f t="shared" si="1308"/>
        <v/>
      </c>
      <c r="T225" s="162" t="str">
        <f t="shared" si="1309"/>
        <v/>
      </c>
      <c r="U225" s="162" t="str">
        <f>IFERROR(IF(ISNUMBER(MATCH($X225,Settings!$AK$28:$AK$36,0)),INDEX(Settings!$AO$14:$AO$36,MATCH($X225,Settings!$AK$14:$AK$36,0))/2,INDEX(Settings!$AM$14:$AM$36,MATCH($X225,Settings!$AK$14:$AK$36,0))/2),"")</f>
        <v/>
      </c>
      <c r="V225" s="162" t="str">
        <f t="shared" si="1317"/>
        <v/>
      </c>
      <c r="W225" s="162"/>
      <c r="X225" s="937" t="str">
        <f t="shared" si="1312"/>
        <v/>
      </c>
      <c r="AK225" s="82" t="str">
        <f t="shared" si="1313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683"/>
      <c r="M226" s="934"/>
      <c r="O226" s="162" t="str">
        <f t="shared" si="1314"/>
        <v/>
      </c>
      <c r="P226" s="162" t="str">
        <f t="shared" si="1315"/>
        <v/>
      </c>
      <c r="Q226" s="162" t="str">
        <f t="shared" si="1316"/>
        <v/>
      </c>
      <c r="R226" s="162" t="str">
        <f t="shared" si="1311"/>
        <v/>
      </c>
      <c r="S226" s="162" t="str">
        <f t="shared" si="1308"/>
        <v/>
      </c>
      <c r="T226" s="162" t="str">
        <f t="shared" si="1309"/>
        <v/>
      </c>
      <c r="U226" s="162" t="str">
        <f>IFERROR(IF(ISNUMBER(MATCH($X226,Settings!$AK$28:$AK$36,0)),INDEX(Settings!$AO$14:$AO$36,MATCH($X226,Settings!$AK$14:$AK$36,0))/2,INDEX(Settings!$AM$14:$AM$36,MATCH($X226,Settings!$AK$14:$AK$36,0))/2),"")</f>
        <v/>
      </c>
      <c r="V226" s="162" t="str">
        <f t="shared" si="1317"/>
        <v/>
      </c>
      <c r="W226" s="162"/>
      <c r="X226" s="937" t="str">
        <f t="shared" si="1312"/>
        <v/>
      </c>
      <c r="AK226" s="82" t="str">
        <f t="shared" si="1313"/>
        <v>Y</v>
      </c>
      <c r="AL226" s="419" t="s">
        <v>402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683"/>
      <c r="M227" s="934"/>
      <c r="O227" s="162" t="str">
        <f t="shared" si="1314"/>
        <v/>
      </c>
      <c r="P227" s="162" t="str">
        <f t="shared" si="1315"/>
        <v/>
      </c>
      <c r="Q227" s="162" t="str">
        <f t="shared" si="1316"/>
        <v/>
      </c>
      <c r="R227" s="162" t="str">
        <f t="shared" si="1311"/>
        <v/>
      </c>
      <c r="S227" s="162" t="str">
        <f t="shared" si="1308"/>
        <v/>
      </c>
      <c r="T227" s="162" t="str">
        <f t="shared" si="1309"/>
        <v/>
      </c>
      <c r="U227" s="162" t="str">
        <f>IFERROR(IF(ISNUMBER(MATCH($X227,Settings!$AK$28:$AK$36,0)),INDEX(Settings!$AO$14:$AO$36,MATCH($X227,Settings!$AK$14:$AK$36,0))/2,INDEX(Settings!$AM$14:$AM$36,MATCH($X227,Settings!$AK$14:$AK$36,0))/2),"")</f>
        <v/>
      </c>
      <c r="V227" s="162" t="str">
        <f t="shared" si="1317"/>
        <v/>
      </c>
      <c r="W227" s="162"/>
      <c r="X227" s="937" t="str">
        <f t="shared" si="1312"/>
        <v/>
      </c>
      <c r="AK227" s="82" t="str">
        <f t="shared" si="1313"/>
        <v>Y</v>
      </c>
      <c r="AL227" s="419" t="s">
        <v>402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683"/>
      <c r="M228" s="934"/>
      <c r="O228" s="162" t="str">
        <f t="shared" ref="O228:O259" si="1318">IFERROR(INDEX(B$164:B$305,MATCH($W228,$J$164:$J$305,0)),"")</f>
        <v/>
      </c>
      <c r="P228" s="162" t="str">
        <f t="shared" ref="P228:P259" si="1319">IFERROR(INDEX(C$164:C$305,MATCH($W228,$J$164:$J$305,0)),"")</f>
        <v/>
      </c>
      <c r="Q228" s="162" t="str">
        <f t="shared" ref="Q228:Q259" si="1320">IFERROR(INDEX(D$164:D$305,MATCH($W228,$J$164:$J$305,0)),"")</f>
        <v/>
      </c>
      <c r="R228" s="162" t="str">
        <f t="shared" si="1311"/>
        <v/>
      </c>
      <c r="S228" s="162" t="str">
        <f t="shared" ref="S228:S291" si="1321">IFERROR(IF($L228="Y",-1*INDEX(F$164:F$305,MATCH($W228,$J$164:$J$305,0)),INDEX(F$164:F$305,MATCH($W228,$J$164:$J$305,0))),"")</f>
        <v/>
      </c>
      <c r="T228" s="162" t="str">
        <f t="shared" ref="T228:T291" si="1322">IFERROR(IF($L228="Y",-1*INDEX(G$164:G$305,MATCH($W228,$J$164:$J$305,0)),INDEX(G$164:G$305,MATCH($W228,$J$164:$J$305,0))),"")</f>
        <v/>
      </c>
      <c r="U228" s="162" t="str">
        <f>IFERROR(IF(ISNUMBER(MATCH($X228,Settings!$AK$28:$AK$36,0)),INDEX(Settings!$AO$14:$AO$36,MATCH($X228,Settings!$AK$14:$AK$36,0))/2,INDEX(Settings!$AM$14:$AM$36,MATCH($X228,Settings!$AK$14:$AK$36,0))/2),"")</f>
        <v/>
      </c>
      <c r="V228" s="162" t="str">
        <f t="shared" ref="V228:V259" si="1323">IFERROR(INDEX(I$164:I$305,MATCH($W228,$J$164:$J$305,0)),"")</f>
        <v/>
      </c>
      <c r="W228" s="162"/>
      <c r="X228" s="937" t="str">
        <f t="shared" si="1312"/>
        <v/>
      </c>
      <c r="AK228" s="82" t="str">
        <f t="shared" si="1313"/>
        <v>Y</v>
      </c>
      <c r="AL228" s="419" t="s">
        <v>402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683"/>
      <c r="M229" s="934"/>
      <c r="O229" s="162" t="str">
        <f t="shared" si="1318"/>
        <v/>
      </c>
      <c r="P229" s="162" t="str">
        <f t="shared" si="1319"/>
        <v/>
      </c>
      <c r="Q229" s="162" t="str">
        <f t="shared" si="1320"/>
        <v/>
      </c>
      <c r="R229" s="162" t="str">
        <f t="shared" ref="R229:R292" si="1324">IFERROR(IF($L229="Y",-1*INDEX(E$164:E$305,MATCH($W229,$J$164:$J$305,0)),INDEX(E$164:E$305,MATCH($W229,$J$164:$J$305,0))),"")</f>
        <v/>
      </c>
      <c r="S229" s="162" t="str">
        <f t="shared" si="1321"/>
        <v/>
      </c>
      <c r="T229" s="162" t="str">
        <f t="shared" si="1322"/>
        <v/>
      </c>
      <c r="U229" s="162" t="str">
        <f>IFERROR(IF(ISNUMBER(MATCH($X229,Settings!$AK$28:$AK$36,0)),INDEX(Settings!$AO$14:$AO$36,MATCH($X229,Settings!$AK$14:$AK$36,0))/2,INDEX(Settings!$AM$14:$AM$36,MATCH($X229,Settings!$AK$14:$AK$36,0))/2),"")</f>
        <v/>
      </c>
      <c r="V229" s="162" t="str">
        <f t="shared" si="1323"/>
        <v/>
      </c>
      <c r="W229" s="162"/>
      <c r="X229" s="937" t="str">
        <f t="shared" ref="X229:X292" si="1325">IFERROR(INDEX(K$164:K$305,MATCH($W229,$J$164:$J$305,0)),"")</f>
        <v/>
      </c>
      <c r="AK229" s="82" t="str">
        <f t="shared" ref="AK229:AK256" si="1326">IF(M229="","Y","")</f>
        <v>Y</v>
      </c>
      <c r="AL229" s="419" t="s">
        <v>402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683"/>
      <c r="M230" s="934"/>
      <c r="O230" s="162" t="str">
        <f t="shared" si="1318"/>
        <v/>
      </c>
      <c r="P230" s="162" t="str">
        <f t="shared" si="1319"/>
        <v/>
      </c>
      <c r="Q230" s="162" t="str">
        <f t="shared" si="1320"/>
        <v/>
      </c>
      <c r="R230" s="162" t="str">
        <f t="shared" si="1324"/>
        <v/>
      </c>
      <c r="S230" s="162" t="str">
        <f t="shared" si="1321"/>
        <v/>
      </c>
      <c r="T230" s="162" t="str">
        <f t="shared" si="1322"/>
        <v/>
      </c>
      <c r="U230" s="162" t="str">
        <f>IFERROR(IF(ISNUMBER(MATCH($X230,Settings!$AK$28:$AK$36,0)),INDEX(Settings!$AO$14:$AO$36,MATCH($X230,Settings!$AK$14:$AK$36,0))/2,INDEX(Settings!$AM$14:$AM$36,MATCH($X230,Settings!$AK$14:$AK$36,0))/2),"")</f>
        <v/>
      </c>
      <c r="V230" s="162" t="str">
        <f t="shared" si="1323"/>
        <v/>
      </c>
      <c r="W230" s="162"/>
      <c r="X230" s="937" t="str">
        <f t="shared" si="1325"/>
        <v/>
      </c>
      <c r="AK230" s="82" t="str">
        <f t="shared" si="1326"/>
        <v>Y</v>
      </c>
      <c r="AL230" s="419" t="s">
        <v>402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683"/>
      <c r="M231" s="934"/>
      <c r="O231" s="162" t="str">
        <f t="shared" si="1318"/>
        <v/>
      </c>
      <c r="P231" s="162" t="str">
        <f t="shared" si="1319"/>
        <v/>
      </c>
      <c r="Q231" s="162" t="str">
        <f t="shared" si="1320"/>
        <v/>
      </c>
      <c r="R231" s="162" t="str">
        <f t="shared" si="1324"/>
        <v/>
      </c>
      <c r="S231" s="162" t="str">
        <f t="shared" si="1321"/>
        <v/>
      </c>
      <c r="T231" s="162" t="str">
        <f t="shared" si="1322"/>
        <v/>
      </c>
      <c r="U231" s="162" t="str">
        <f>IFERROR(IF(ISNUMBER(MATCH($X231,Settings!$AK$28:$AK$36,0)),INDEX(Settings!$AO$14:$AO$36,MATCH($X231,Settings!$AK$14:$AK$36,0))/2,INDEX(Settings!$AM$14:$AM$36,MATCH($X231,Settings!$AK$14:$AK$36,0))/2),"")</f>
        <v/>
      </c>
      <c r="V231" s="162" t="str">
        <f t="shared" si="1323"/>
        <v/>
      </c>
      <c r="W231" s="162"/>
      <c r="X231" s="937" t="str">
        <f t="shared" si="1325"/>
        <v/>
      </c>
      <c r="AK231" s="82" t="str">
        <f t="shared" si="1326"/>
        <v>Y</v>
      </c>
      <c r="AL231" s="419" t="s">
        <v>402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683"/>
      <c r="M232" s="934"/>
      <c r="O232" s="162" t="str">
        <f t="shared" si="1318"/>
        <v/>
      </c>
      <c r="P232" s="162" t="str">
        <f t="shared" si="1319"/>
        <v/>
      </c>
      <c r="Q232" s="162" t="str">
        <f t="shared" si="1320"/>
        <v/>
      </c>
      <c r="R232" s="162" t="str">
        <f t="shared" si="1324"/>
        <v/>
      </c>
      <c r="S232" s="162" t="str">
        <f t="shared" si="1321"/>
        <v/>
      </c>
      <c r="T232" s="162" t="str">
        <f t="shared" si="1322"/>
        <v/>
      </c>
      <c r="U232" s="162" t="str">
        <f>IFERROR(IF(ISNUMBER(MATCH($X232,Settings!$AK$28:$AK$36,0)),INDEX(Settings!$AO$14:$AO$36,MATCH($X232,Settings!$AK$14:$AK$36,0))/2,INDEX(Settings!$AM$14:$AM$36,MATCH($X232,Settings!$AK$14:$AK$36,0))/2),"")</f>
        <v/>
      </c>
      <c r="V232" s="162" t="str">
        <f t="shared" si="1323"/>
        <v/>
      </c>
      <c r="W232" s="162"/>
      <c r="X232" s="937" t="str">
        <f t="shared" si="1325"/>
        <v/>
      </c>
      <c r="AK232" s="82" t="str">
        <f t="shared" si="1326"/>
        <v>Y</v>
      </c>
      <c r="AL232" s="419" t="s">
        <v>402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683"/>
      <c r="M233" s="934"/>
      <c r="O233" s="162" t="str">
        <f t="shared" si="1318"/>
        <v/>
      </c>
      <c r="P233" s="162" t="str">
        <f t="shared" si="1319"/>
        <v/>
      </c>
      <c r="Q233" s="162" t="str">
        <f t="shared" si="1320"/>
        <v/>
      </c>
      <c r="R233" s="162" t="str">
        <f t="shared" si="1324"/>
        <v/>
      </c>
      <c r="S233" s="162" t="str">
        <f t="shared" si="1321"/>
        <v/>
      </c>
      <c r="T233" s="162" t="str">
        <f t="shared" si="1322"/>
        <v/>
      </c>
      <c r="U233" s="162" t="str">
        <f>IFERROR(IF(ISNUMBER(MATCH($X233,Settings!$AK$28:$AK$36,0)),INDEX(Settings!$AO$14:$AO$36,MATCH($X233,Settings!$AK$14:$AK$36,0))/2,INDEX(Settings!$AM$14:$AM$36,MATCH($X233,Settings!$AK$14:$AK$36,0))/2),"")</f>
        <v/>
      </c>
      <c r="V233" s="162" t="str">
        <f t="shared" si="1323"/>
        <v/>
      </c>
      <c r="W233" s="162"/>
      <c r="X233" s="937" t="str">
        <f t="shared" si="1325"/>
        <v/>
      </c>
      <c r="AK233" s="82" t="str">
        <f t="shared" si="1326"/>
        <v>Y</v>
      </c>
      <c r="AL233" s="419" t="s">
        <v>402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683"/>
      <c r="M234" s="934"/>
      <c r="O234" s="162" t="str">
        <f t="shared" si="1318"/>
        <v/>
      </c>
      <c r="P234" s="162" t="str">
        <f t="shared" si="1319"/>
        <v/>
      </c>
      <c r="Q234" s="162" t="str">
        <f t="shared" si="1320"/>
        <v/>
      </c>
      <c r="R234" s="162" t="str">
        <f t="shared" si="1324"/>
        <v/>
      </c>
      <c r="S234" s="162" t="str">
        <f t="shared" si="1321"/>
        <v/>
      </c>
      <c r="T234" s="162" t="str">
        <f t="shared" si="1322"/>
        <v/>
      </c>
      <c r="U234" s="162" t="str">
        <f>IFERROR(IF(ISNUMBER(MATCH($X234,Settings!$AK$28:$AK$36,0)),INDEX(Settings!$AO$14:$AO$36,MATCH($X234,Settings!$AK$14:$AK$36,0))/2,INDEX(Settings!$AM$14:$AM$36,MATCH($X234,Settings!$AK$14:$AK$36,0))/2),"")</f>
        <v/>
      </c>
      <c r="V234" s="162" t="str">
        <f t="shared" si="1323"/>
        <v/>
      </c>
      <c r="W234" s="162"/>
      <c r="X234" s="937" t="str">
        <f t="shared" si="1325"/>
        <v/>
      </c>
      <c r="AK234" s="82" t="str">
        <f t="shared" si="1326"/>
        <v>Y</v>
      </c>
      <c r="AL234" s="419" t="s">
        <v>402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683"/>
      <c r="M235" s="934"/>
      <c r="O235" s="162" t="str">
        <f t="shared" si="1318"/>
        <v/>
      </c>
      <c r="P235" s="162" t="str">
        <f t="shared" si="1319"/>
        <v/>
      </c>
      <c r="Q235" s="162" t="str">
        <f t="shared" si="1320"/>
        <v/>
      </c>
      <c r="R235" s="162" t="str">
        <f t="shared" si="1324"/>
        <v/>
      </c>
      <c r="S235" s="162" t="str">
        <f t="shared" si="1321"/>
        <v/>
      </c>
      <c r="T235" s="162" t="str">
        <f t="shared" si="1322"/>
        <v/>
      </c>
      <c r="U235" s="162" t="str">
        <f>IFERROR(IF(ISNUMBER(MATCH($X235,Settings!$AK$28:$AK$36,0)),INDEX(Settings!$AO$14:$AO$36,MATCH($X235,Settings!$AK$14:$AK$36,0))/2,INDEX(Settings!$AM$14:$AM$36,MATCH($X235,Settings!$AK$14:$AK$36,0))/2),"")</f>
        <v/>
      </c>
      <c r="V235" s="162" t="str">
        <f t="shared" si="1323"/>
        <v/>
      </c>
      <c r="W235" s="162"/>
      <c r="X235" s="937" t="str">
        <f t="shared" si="1325"/>
        <v/>
      </c>
      <c r="AK235" s="82" t="str">
        <f t="shared" si="1326"/>
        <v>Y</v>
      </c>
      <c r="AL235" s="419" t="s">
        <v>402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683"/>
      <c r="M236" s="934"/>
      <c r="O236" s="162" t="str">
        <f t="shared" si="1318"/>
        <v/>
      </c>
      <c r="P236" s="162" t="str">
        <f t="shared" si="1319"/>
        <v/>
      </c>
      <c r="Q236" s="162" t="str">
        <f t="shared" si="1320"/>
        <v/>
      </c>
      <c r="R236" s="162" t="str">
        <f t="shared" si="1324"/>
        <v/>
      </c>
      <c r="S236" s="162" t="str">
        <f t="shared" si="1321"/>
        <v/>
      </c>
      <c r="T236" s="162" t="str">
        <f t="shared" si="1322"/>
        <v/>
      </c>
      <c r="U236" s="162" t="str">
        <f>IFERROR(IF(ISNUMBER(MATCH($X236,Settings!$AK$28:$AK$36,0)),INDEX(Settings!$AO$14:$AO$36,MATCH($X236,Settings!$AK$14:$AK$36,0))/2,INDEX(Settings!$AM$14:$AM$36,MATCH($X236,Settings!$AK$14:$AK$36,0))/2),"")</f>
        <v/>
      </c>
      <c r="V236" s="162" t="str">
        <f t="shared" si="1323"/>
        <v/>
      </c>
      <c r="W236" s="162"/>
      <c r="X236" s="937" t="str">
        <f t="shared" si="1325"/>
        <v/>
      </c>
      <c r="AK236" s="82" t="str">
        <f t="shared" si="1326"/>
        <v>Y</v>
      </c>
      <c r="AL236" s="419" t="s">
        <v>402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683"/>
      <c r="M237" s="934"/>
      <c r="O237" s="162" t="str">
        <f t="shared" si="1318"/>
        <v/>
      </c>
      <c r="P237" s="162" t="str">
        <f t="shared" si="1319"/>
        <v/>
      </c>
      <c r="Q237" s="162" t="str">
        <f t="shared" si="1320"/>
        <v/>
      </c>
      <c r="R237" s="162" t="str">
        <f t="shared" si="1324"/>
        <v/>
      </c>
      <c r="S237" s="162" t="str">
        <f t="shared" si="1321"/>
        <v/>
      </c>
      <c r="T237" s="162" t="str">
        <f t="shared" si="1322"/>
        <v/>
      </c>
      <c r="U237" s="162" t="str">
        <f>IFERROR(IF(ISNUMBER(MATCH($X237,Settings!$AK$28:$AK$36,0)),INDEX(Settings!$AO$14:$AO$36,MATCH($X237,Settings!$AK$14:$AK$36,0))/2,INDEX(Settings!$AM$14:$AM$36,MATCH($X237,Settings!$AK$14:$AK$36,0))/2),"")</f>
        <v/>
      </c>
      <c r="V237" s="162" t="str">
        <f t="shared" si="1323"/>
        <v/>
      </c>
      <c r="W237" s="162"/>
      <c r="X237" s="937" t="str">
        <f t="shared" si="1325"/>
        <v/>
      </c>
      <c r="AK237" s="82" t="str">
        <f t="shared" si="1326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683"/>
      <c r="M238" s="934"/>
      <c r="O238" s="162" t="str">
        <f t="shared" si="1318"/>
        <v/>
      </c>
      <c r="P238" s="162" t="str">
        <f t="shared" si="1319"/>
        <v/>
      </c>
      <c r="Q238" s="162" t="str">
        <f t="shared" si="1320"/>
        <v/>
      </c>
      <c r="R238" s="162" t="str">
        <f t="shared" si="1324"/>
        <v/>
      </c>
      <c r="S238" s="162" t="str">
        <f t="shared" si="1321"/>
        <v/>
      </c>
      <c r="T238" s="162" t="str">
        <f t="shared" si="1322"/>
        <v/>
      </c>
      <c r="U238" s="162" t="str">
        <f>IFERROR(IF(ISNUMBER(MATCH($X238,Settings!$AK$28:$AK$36,0)),INDEX(Settings!$AO$14:$AO$36,MATCH($X238,Settings!$AK$14:$AK$36,0))/2,INDEX(Settings!$AM$14:$AM$36,MATCH($X238,Settings!$AK$14:$AK$36,0))/2),"")</f>
        <v/>
      </c>
      <c r="V238" s="162" t="str">
        <f t="shared" si="1323"/>
        <v/>
      </c>
      <c r="W238" s="162"/>
      <c r="X238" s="937" t="str">
        <f t="shared" si="1325"/>
        <v/>
      </c>
      <c r="AK238" s="82" t="str">
        <f t="shared" si="1326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683"/>
      <c r="M239" s="934"/>
      <c r="O239" s="162" t="str">
        <f t="shared" si="1318"/>
        <v/>
      </c>
      <c r="P239" s="162" t="str">
        <f t="shared" si="1319"/>
        <v/>
      </c>
      <c r="Q239" s="162" t="str">
        <f t="shared" si="1320"/>
        <v/>
      </c>
      <c r="R239" s="162" t="str">
        <f t="shared" si="1324"/>
        <v/>
      </c>
      <c r="S239" s="162" t="str">
        <f t="shared" si="1321"/>
        <v/>
      </c>
      <c r="T239" s="162" t="str">
        <f t="shared" si="1322"/>
        <v/>
      </c>
      <c r="U239" s="162" t="str">
        <f>IFERROR(IF(ISNUMBER(MATCH($X239,Settings!$AK$28:$AK$36,0)),INDEX(Settings!$AO$14:$AO$36,MATCH($X239,Settings!$AK$14:$AK$36,0))/2,INDEX(Settings!$AM$14:$AM$36,MATCH($X239,Settings!$AK$14:$AK$36,0))/2),"")</f>
        <v/>
      </c>
      <c r="V239" s="162" t="str">
        <f t="shared" si="1323"/>
        <v/>
      </c>
      <c r="W239" s="162"/>
      <c r="X239" s="937" t="str">
        <f t="shared" si="1325"/>
        <v/>
      </c>
      <c r="AK239" s="82" t="str">
        <f t="shared" si="1326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683"/>
      <c r="M240" s="934"/>
      <c r="O240" s="162" t="str">
        <f t="shared" si="1318"/>
        <v/>
      </c>
      <c r="P240" s="162" t="str">
        <f t="shared" si="1319"/>
        <v/>
      </c>
      <c r="Q240" s="162" t="str">
        <f t="shared" si="1320"/>
        <v/>
      </c>
      <c r="R240" s="162" t="str">
        <f t="shared" si="1324"/>
        <v/>
      </c>
      <c r="S240" s="162" t="str">
        <f t="shared" si="1321"/>
        <v/>
      </c>
      <c r="T240" s="162" t="str">
        <f t="shared" si="1322"/>
        <v/>
      </c>
      <c r="U240" s="162" t="str">
        <f>IFERROR(IF(ISNUMBER(MATCH($X240,Settings!$AK$28:$AK$36,0)),INDEX(Settings!$AO$14:$AO$36,MATCH($X240,Settings!$AK$14:$AK$36,0))/2,INDEX(Settings!$AM$14:$AM$36,MATCH($X240,Settings!$AK$14:$AK$36,0))/2),"")</f>
        <v/>
      </c>
      <c r="V240" s="162" t="str">
        <f t="shared" si="1323"/>
        <v/>
      </c>
      <c r="W240" s="162"/>
      <c r="X240" s="937" t="str">
        <f t="shared" si="1325"/>
        <v/>
      </c>
      <c r="AK240" s="82" t="str">
        <f t="shared" si="1326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683"/>
      <c r="M241" s="934"/>
      <c r="O241" s="162" t="str">
        <f t="shared" si="1318"/>
        <v/>
      </c>
      <c r="P241" s="162" t="str">
        <f t="shared" si="1319"/>
        <v/>
      </c>
      <c r="Q241" s="162" t="str">
        <f t="shared" si="1320"/>
        <v/>
      </c>
      <c r="R241" s="162" t="str">
        <f t="shared" si="1324"/>
        <v/>
      </c>
      <c r="S241" s="162" t="str">
        <f t="shared" si="1321"/>
        <v/>
      </c>
      <c r="T241" s="162" t="str">
        <f t="shared" si="1322"/>
        <v/>
      </c>
      <c r="U241" s="162" t="str">
        <f>IFERROR(IF(ISNUMBER(MATCH($X241,Settings!$AK$28:$AK$36,0)),INDEX(Settings!$AO$14:$AO$36,MATCH($X241,Settings!$AK$14:$AK$36,0))/2,INDEX(Settings!$AM$14:$AM$36,MATCH($X241,Settings!$AK$14:$AK$36,0))/2),"")</f>
        <v/>
      </c>
      <c r="V241" s="162" t="str">
        <f t="shared" si="1323"/>
        <v/>
      </c>
      <c r="W241" s="162"/>
      <c r="X241" s="937" t="str">
        <f t="shared" si="1325"/>
        <v/>
      </c>
      <c r="AK241" s="82" t="str">
        <f t="shared" si="1326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683"/>
      <c r="M242" s="934"/>
      <c r="O242" s="162" t="str">
        <f t="shared" si="1318"/>
        <v/>
      </c>
      <c r="P242" s="162" t="str">
        <f t="shared" si="1319"/>
        <v/>
      </c>
      <c r="Q242" s="162" t="str">
        <f t="shared" si="1320"/>
        <v/>
      </c>
      <c r="R242" s="162" t="str">
        <f t="shared" si="1324"/>
        <v/>
      </c>
      <c r="S242" s="162" t="str">
        <f t="shared" si="1321"/>
        <v/>
      </c>
      <c r="T242" s="162" t="str">
        <f t="shared" si="1322"/>
        <v/>
      </c>
      <c r="U242" s="162" t="str">
        <f>IFERROR(IF(ISNUMBER(MATCH($X242,Settings!$AK$28:$AK$36,0)),INDEX(Settings!$AO$14:$AO$36,MATCH($X242,Settings!$AK$14:$AK$36,0))/2,INDEX(Settings!$AM$14:$AM$36,MATCH($X242,Settings!$AK$14:$AK$36,0))/2),"")</f>
        <v/>
      </c>
      <c r="V242" s="162" t="str">
        <f t="shared" si="1323"/>
        <v/>
      </c>
      <c r="W242" s="162"/>
      <c r="X242" s="937" t="str">
        <f t="shared" si="1325"/>
        <v/>
      </c>
      <c r="AK242" s="82" t="str">
        <f t="shared" si="1326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683"/>
      <c r="M243" s="934"/>
      <c r="O243" s="162" t="str">
        <f t="shared" si="1318"/>
        <v/>
      </c>
      <c r="P243" s="162" t="str">
        <f t="shared" si="1319"/>
        <v/>
      </c>
      <c r="Q243" s="162" t="str">
        <f t="shared" si="1320"/>
        <v/>
      </c>
      <c r="R243" s="162" t="str">
        <f t="shared" si="1324"/>
        <v/>
      </c>
      <c r="S243" s="162" t="str">
        <f t="shared" si="1321"/>
        <v/>
      </c>
      <c r="T243" s="162" t="str">
        <f t="shared" si="1322"/>
        <v/>
      </c>
      <c r="U243" s="162" t="str">
        <f>IFERROR(IF(ISNUMBER(MATCH($X243,Settings!$AK$28:$AK$36,0)),INDEX(Settings!$AO$14:$AO$36,MATCH($X243,Settings!$AK$14:$AK$36,0))/2,INDEX(Settings!$AM$14:$AM$36,MATCH($X243,Settings!$AK$14:$AK$36,0))/2),"")</f>
        <v/>
      </c>
      <c r="V243" s="162" t="str">
        <f t="shared" si="1323"/>
        <v/>
      </c>
      <c r="W243" s="162"/>
      <c r="X243" s="937" t="str">
        <f t="shared" si="1325"/>
        <v/>
      </c>
      <c r="AK243" s="82" t="str">
        <f t="shared" si="1326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683"/>
      <c r="M244" s="934"/>
      <c r="O244" s="162" t="str">
        <f t="shared" si="1318"/>
        <v/>
      </c>
      <c r="P244" s="162" t="str">
        <f t="shared" si="1319"/>
        <v/>
      </c>
      <c r="Q244" s="162" t="str">
        <f t="shared" si="1320"/>
        <v/>
      </c>
      <c r="R244" s="162" t="str">
        <f t="shared" si="1324"/>
        <v/>
      </c>
      <c r="S244" s="162" t="str">
        <f t="shared" si="1321"/>
        <v/>
      </c>
      <c r="T244" s="162" t="str">
        <f t="shared" si="1322"/>
        <v/>
      </c>
      <c r="U244" s="162" t="str">
        <f>IFERROR(IF(ISNUMBER(MATCH($X244,Settings!$AK$28:$AK$36,0)),INDEX(Settings!$AO$14:$AO$36,MATCH($X244,Settings!$AK$14:$AK$36,0))/2,INDEX(Settings!$AM$14:$AM$36,MATCH($X244,Settings!$AK$14:$AK$36,0))/2),"")</f>
        <v/>
      </c>
      <c r="V244" s="162" t="str">
        <f t="shared" si="1323"/>
        <v/>
      </c>
      <c r="W244" s="162"/>
      <c r="X244" s="937" t="str">
        <f t="shared" si="1325"/>
        <v/>
      </c>
      <c r="AK244" s="82" t="str">
        <f t="shared" si="1326"/>
        <v>Y</v>
      </c>
      <c r="AL244" s="419" t="s">
        <v>402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683"/>
      <c r="M245" s="934"/>
      <c r="O245" s="162" t="str">
        <f t="shared" si="1318"/>
        <v/>
      </c>
      <c r="P245" s="162" t="str">
        <f t="shared" si="1319"/>
        <v/>
      </c>
      <c r="Q245" s="162" t="str">
        <f t="shared" si="1320"/>
        <v/>
      </c>
      <c r="R245" s="162" t="str">
        <f t="shared" si="1324"/>
        <v/>
      </c>
      <c r="S245" s="162" t="str">
        <f t="shared" si="1321"/>
        <v/>
      </c>
      <c r="T245" s="162" t="str">
        <f t="shared" si="1322"/>
        <v/>
      </c>
      <c r="U245" s="162" t="str">
        <f>IFERROR(IF(ISNUMBER(MATCH($X245,Settings!$AK$28:$AK$36,0)),INDEX(Settings!$AO$14:$AO$36,MATCH($X245,Settings!$AK$14:$AK$36,0))/2,INDEX(Settings!$AM$14:$AM$36,MATCH($X245,Settings!$AK$14:$AK$36,0))/2),"")</f>
        <v/>
      </c>
      <c r="V245" s="162" t="str">
        <f t="shared" si="1323"/>
        <v/>
      </c>
      <c r="W245" s="162"/>
      <c r="X245" s="937" t="str">
        <f t="shared" si="1325"/>
        <v/>
      </c>
      <c r="AK245" s="82" t="str">
        <f t="shared" si="1326"/>
        <v>Y</v>
      </c>
      <c r="AL245" s="419" t="s">
        <v>402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683"/>
      <c r="M246" s="934"/>
      <c r="O246" s="162" t="str">
        <f t="shared" si="1318"/>
        <v/>
      </c>
      <c r="P246" s="162" t="str">
        <f t="shared" si="1319"/>
        <v/>
      </c>
      <c r="Q246" s="162" t="str">
        <f t="shared" si="1320"/>
        <v/>
      </c>
      <c r="R246" s="162" t="str">
        <f t="shared" si="1324"/>
        <v/>
      </c>
      <c r="S246" s="162" t="str">
        <f t="shared" si="1321"/>
        <v/>
      </c>
      <c r="T246" s="162" t="str">
        <f t="shared" si="1322"/>
        <v/>
      </c>
      <c r="U246" s="162" t="str">
        <f>IFERROR(IF(ISNUMBER(MATCH($X246,Settings!$AK$28:$AK$36,0)),INDEX(Settings!$AO$14:$AO$36,MATCH($X246,Settings!$AK$14:$AK$36,0))/2,INDEX(Settings!$AM$14:$AM$36,MATCH($X246,Settings!$AK$14:$AK$36,0))/2),"")</f>
        <v/>
      </c>
      <c r="V246" s="162" t="str">
        <f t="shared" si="1323"/>
        <v/>
      </c>
      <c r="W246" s="162"/>
      <c r="X246" s="937" t="str">
        <f t="shared" si="1325"/>
        <v/>
      </c>
      <c r="AK246" s="82" t="str">
        <f t="shared" si="1326"/>
        <v>Y</v>
      </c>
      <c r="AL246" s="419" t="s">
        <v>402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683"/>
      <c r="M247" s="934"/>
      <c r="O247" s="162" t="str">
        <f t="shared" si="1318"/>
        <v/>
      </c>
      <c r="P247" s="162" t="str">
        <f t="shared" si="1319"/>
        <v/>
      </c>
      <c r="Q247" s="162" t="str">
        <f t="shared" si="1320"/>
        <v/>
      </c>
      <c r="R247" s="162" t="str">
        <f t="shared" si="1324"/>
        <v/>
      </c>
      <c r="S247" s="162" t="str">
        <f t="shared" si="1321"/>
        <v/>
      </c>
      <c r="T247" s="162" t="str">
        <f t="shared" si="1322"/>
        <v/>
      </c>
      <c r="U247" s="162" t="str">
        <f>IFERROR(IF(ISNUMBER(MATCH($X247,Settings!$AK$28:$AK$36,0)),INDEX(Settings!$AO$14:$AO$36,MATCH($X247,Settings!$AK$14:$AK$36,0))/2,INDEX(Settings!$AM$14:$AM$36,MATCH($X247,Settings!$AK$14:$AK$36,0))/2),"")</f>
        <v/>
      </c>
      <c r="V247" s="162" t="str">
        <f t="shared" si="1323"/>
        <v/>
      </c>
      <c r="W247" s="162"/>
      <c r="X247" s="937" t="str">
        <f t="shared" si="1325"/>
        <v/>
      </c>
      <c r="AK247" s="82" t="str">
        <f t="shared" si="1326"/>
        <v>Y</v>
      </c>
      <c r="AL247" s="419" t="s">
        <v>402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683"/>
      <c r="M248" s="934"/>
      <c r="O248" s="162" t="str">
        <f t="shared" si="1318"/>
        <v/>
      </c>
      <c r="P248" s="162" t="str">
        <f t="shared" si="1319"/>
        <v/>
      </c>
      <c r="Q248" s="162" t="str">
        <f t="shared" si="1320"/>
        <v/>
      </c>
      <c r="R248" s="162" t="str">
        <f t="shared" si="1324"/>
        <v/>
      </c>
      <c r="S248" s="162" t="str">
        <f t="shared" si="1321"/>
        <v/>
      </c>
      <c r="T248" s="162" t="str">
        <f t="shared" si="1322"/>
        <v/>
      </c>
      <c r="U248" s="162" t="str">
        <f>IFERROR(IF(ISNUMBER(MATCH($X248,Settings!$AK$28:$AK$36,0)),INDEX(Settings!$AO$14:$AO$36,MATCH($X248,Settings!$AK$14:$AK$36,0))/2,INDEX(Settings!$AM$14:$AM$36,MATCH($X248,Settings!$AK$14:$AK$36,0))/2),"")</f>
        <v/>
      </c>
      <c r="V248" s="162" t="str">
        <f t="shared" si="1323"/>
        <v/>
      </c>
      <c r="W248" s="162"/>
      <c r="X248" s="937" t="str">
        <f t="shared" si="1325"/>
        <v/>
      </c>
      <c r="AK248" s="82" t="str">
        <f t="shared" si="1326"/>
        <v>Y</v>
      </c>
      <c r="AL248" s="419" t="s">
        <v>402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683"/>
      <c r="M249" s="934"/>
      <c r="O249" s="162" t="str">
        <f t="shared" si="1318"/>
        <v/>
      </c>
      <c r="P249" s="162" t="str">
        <f t="shared" si="1319"/>
        <v/>
      </c>
      <c r="Q249" s="162" t="str">
        <f t="shared" si="1320"/>
        <v/>
      </c>
      <c r="R249" s="162" t="str">
        <f t="shared" si="1324"/>
        <v/>
      </c>
      <c r="S249" s="162" t="str">
        <f t="shared" si="1321"/>
        <v/>
      </c>
      <c r="T249" s="162" t="str">
        <f t="shared" si="1322"/>
        <v/>
      </c>
      <c r="U249" s="162" t="str">
        <f>IFERROR(IF(ISNUMBER(MATCH($X249,Settings!$AK$28:$AK$36,0)),INDEX(Settings!$AO$14:$AO$36,MATCH($X249,Settings!$AK$14:$AK$36,0))/2,INDEX(Settings!$AM$14:$AM$36,MATCH($X249,Settings!$AK$14:$AK$36,0))/2),"")</f>
        <v/>
      </c>
      <c r="V249" s="162" t="str">
        <f t="shared" si="1323"/>
        <v/>
      </c>
      <c r="W249" s="162"/>
      <c r="X249" s="937" t="str">
        <f t="shared" si="1325"/>
        <v/>
      </c>
      <c r="AK249" s="82" t="str">
        <f t="shared" si="1326"/>
        <v>Y</v>
      </c>
      <c r="AL249" s="419" t="s">
        <v>402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683"/>
      <c r="M250" s="934"/>
      <c r="O250" s="162" t="str">
        <f t="shared" si="1318"/>
        <v/>
      </c>
      <c r="P250" s="162" t="str">
        <f t="shared" si="1319"/>
        <v/>
      </c>
      <c r="Q250" s="162" t="str">
        <f t="shared" si="1320"/>
        <v/>
      </c>
      <c r="R250" s="162" t="str">
        <f t="shared" si="1324"/>
        <v/>
      </c>
      <c r="S250" s="162" t="str">
        <f t="shared" si="1321"/>
        <v/>
      </c>
      <c r="T250" s="162" t="str">
        <f t="shared" si="1322"/>
        <v/>
      </c>
      <c r="U250" s="162" t="str">
        <f>IFERROR(IF(ISNUMBER(MATCH($X250,Settings!$AK$28:$AK$36,0)),INDEX(Settings!$AO$14:$AO$36,MATCH($X250,Settings!$AK$14:$AK$36,0))/2,INDEX(Settings!$AM$14:$AM$36,MATCH($X250,Settings!$AK$14:$AK$36,0))/2),"")</f>
        <v/>
      </c>
      <c r="V250" s="162" t="str">
        <f t="shared" si="1323"/>
        <v/>
      </c>
      <c r="W250" s="162"/>
      <c r="X250" s="937" t="str">
        <f t="shared" si="1325"/>
        <v/>
      </c>
      <c r="AK250" s="82" t="str">
        <f t="shared" si="1326"/>
        <v>Y</v>
      </c>
      <c r="AL250" s="419" t="s">
        <v>402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683"/>
      <c r="M251" s="934"/>
      <c r="O251" s="162" t="str">
        <f t="shared" si="1318"/>
        <v/>
      </c>
      <c r="P251" s="162" t="str">
        <f t="shared" si="1319"/>
        <v/>
      </c>
      <c r="Q251" s="162" t="str">
        <f t="shared" si="1320"/>
        <v/>
      </c>
      <c r="R251" s="162" t="str">
        <f t="shared" si="1324"/>
        <v/>
      </c>
      <c r="S251" s="162" t="str">
        <f t="shared" si="1321"/>
        <v/>
      </c>
      <c r="T251" s="162" t="str">
        <f t="shared" si="1322"/>
        <v/>
      </c>
      <c r="U251" s="162" t="str">
        <f>IFERROR(IF(ISNUMBER(MATCH($X251,Settings!$AK$28:$AK$36,0)),INDEX(Settings!$AO$14:$AO$36,MATCH($X251,Settings!$AK$14:$AK$36,0))/2,INDEX(Settings!$AM$14:$AM$36,MATCH($X251,Settings!$AK$14:$AK$36,0))/2),"")</f>
        <v/>
      </c>
      <c r="V251" s="162" t="str">
        <f t="shared" si="1323"/>
        <v/>
      </c>
      <c r="W251" s="162"/>
      <c r="X251" s="937" t="str">
        <f t="shared" si="1325"/>
        <v/>
      </c>
      <c r="AK251" s="82" t="str">
        <f t="shared" si="1326"/>
        <v>Y</v>
      </c>
      <c r="AL251" s="419" t="s">
        <v>402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683"/>
      <c r="M252" s="934"/>
      <c r="O252" s="162" t="str">
        <f t="shared" si="1318"/>
        <v/>
      </c>
      <c r="P252" s="162" t="str">
        <f t="shared" si="1319"/>
        <v/>
      </c>
      <c r="Q252" s="162" t="str">
        <f t="shared" si="1320"/>
        <v/>
      </c>
      <c r="R252" s="162" t="str">
        <f t="shared" si="1324"/>
        <v/>
      </c>
      <c r="S252" s="162" t="str">
        <f t="shared" si="1321"/>
        <v/>
      </c>
      <c r="T252" s="162" t="str">
        <f t="shared" si="1322"/>
        <v/>
      </c>
      <c r="U252" s="162" t="str">
        <f>IFERROR(IF(ISNUMBER(MATCH($X252,Settings!$AK$28:$AK$36,0)),INDEX(Settings!$AO$14:$AO$36,MATCH($X252,Settings!$AK$14:$AK$36,0))/2,INDEX(Settings!$AM$14:$AM$36,MATCH($X252,Settings!$AK$14:$AK$36,0))/2),"")</f>
        <v/>
      </c>
      <c r="V252" s="162" t="str">
        <f t="shared" si="1323"/>
        <v/>
      </c>
      <c r="W252" s="162"/>
      <c r="X252" s="937" t="str">
        <f t="shared" si="1325"/>
        <v/>
      </c>
      <c r="AK252" s="82" t="str">
        <f t="shared" si="1326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683"/>
      <c r="M253" s="934"/>
      <c r="O253" s="162" t="str">
        <f t="shared" si="1318"/>
        <v/>
      </c>
      <c r="P253" s="162" t="str">
        <f t="shared" si="1319"/>
        <v/>
      </c>
      <c r="Q253" s="162" t="str">
        <f t="shared" si="1320"/>
        <v/>
      </c>
      <c r="R253" s="162" t="str">
        <f t="shared" si="1324"/>
        <v/>
      </c>
      <c r="S253" s="162" t="str">
        <f t="shared" si="1321"/>
        <v/>
      </c>
      <c r="T253" s="162" t="str">
        <f t="shared" si="1322"/>
        <v/>
      </c>
      <c r="U253" s="162" t="str">
        <f>IFERROR(IF(ISNUMBER(MATCH($X253,Settings!$AK$28:$AK$36,0)),INDEX(Settings!$AO$14:$AO$36,MATCH($X253,Settings!$AK$14:$AK$36,0))/2,INDEX(Settings!$AM$14:$AM$36,MATCH($X253,Settings!$AK$14:$AK$36,0))/2),"")</f>
        <v/>
      </c>
      <c r="V253" s="162" t="str">
        <f t="shared" si="1323"/>
        <v/>
      </c>
      <c r="W253" s="162"/>
      <c r="X253" s="937" t="str">
        <f t="shared" si="1325"/>
        <v/>
      </c>
      <c r="AK253" s="82" t="str">
        <f t="shared" si="1326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683"/>
      <c r="M254" s="934"/>
      <c r="O254" s="162" t="str">
        <f t="shared" si="1318"/>
        <v/>
      </c>
      <c r="P254" s="162" t="str">
        <f t="shared" si="1319"/>
        <v/>
      </c>
      <c r="Q254" s="162" t="str">
        <f t="shared" si="1320"/>
        <v/>
      </c>
      <c r="R254" s="162" t="str">
        <f t="shared" si="1324"/>
        <v/>
      </c>
      <c r="S254" s="162" t="str">
        <f t="shared" si="1321"/>
        <v/>
      </c>
      <c r="T254" s="162" t="str">
        <f t="shared" si="1322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3"/>
        <v/>
      </c>
      <c r="W254" s="162"/>
      <c r="X254" s="937" t="str">
        <f t="shared" si="1325"/>
        <v/>
      </c>
      <c r="AK254" s="82" t="str">
        <f t="shared" si="1326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934"/>
      <c r="O255" s="162" t="str">
        <f t="shared" si="1318"/>
        <v/>
      </c>
      <c r="P255" s="162" t="str">
        <f t="shared" si="1319"/>
        <v/>
      </c>
      <c r="Q255" s="162" t="str">
        <f t="shared" si="1320"/>
        <v/>
      </c>
      <c r="R255" s="162" t="str">
        <f t="shared" si="1324"/>
        <v/>
      </c>
      <c r="S255" s="162" t="str">
        <f t="shared" si="1321"/>
        <v/>
      </c>
      <c r="T255" s="162" t="str">
        <f t="shared" si="1322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3"/>
        <v/>
      </c>
      <c r="W255" s="162"/>
      <c r="X255" s="937" t="str">
        <f t="shared" si="1325"/>
        <v/>
      </c>
      <c r="AK255" s="82" t="str">
        <f t="shared" si="1326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934"/>
      <c r="O256" s="162" t="str">
        <f t="shared" si="1318"/>
        <v/>
      </c>
      <c r="P256" s="162" t="str">
        <f t="shared" si="1319"/>
        <v/>
      </c>
      <c r="Q256" s="162" t="str">
        <f t="shared" si="1320"/>
        <v/>
      </c>
      <c r="R256" s="162" t="str">
        <f t="shared" si="1324"/>
        <v/>
      </c>
      <c r="S256" s="162" t="str">
        <f t="shared" si="1321"/>
        <v/>
      </c>
      <c r="T256" s="162" t="str">
        <f t="shared" si="1322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3"/>
        <v/>
      </c>
      <c r="W256" s="162"/>
      <c r="X256" s="937" t="str">
        <f t="shared" si="1325"/>
        <v/>
      </c>
      <c r="AK256" s="82" t="str">
        <f t="shared" si="1326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934"/>
      <c r="O257" s="162" t="str">
        <f t="shared" si="1318"/>
        <v/>
      </c>
      <c r="P257" s="162" t="str">
        <f t="shared" si="1319"/>
        <v/>
      </c>
      <c r="Q257" s="162" t="str">
        <f t="shared" si="1320"/>
        <v/>
      </c>
      <c r="R257" s="162" t="str">
        <f t="shared" si="1324"/>
        <v/>
      </c>
      <c r="S257" s="162" t="str">
        <f t="shared" si="1321"/>
        <v/>
      </c>
      <c r="T257" s="162" t="str">
        <f t="shared" si="1322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3"/>
        <v/>
      </c>
      <c r="W257" s="162"/>
      <c r="X257" s="937" t="str">
        <f t="shared" si="1325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934"/>
      <c r="O258" s="162" t="str">
        <f t="shared" si="1318"/>
        <v/>
      </c>
      <c r="P258" s="162" t="str">
        <f t="shared" si="1319"/>
        <v/>
      </c>
      <c r="Q258" s="162" t="str">
        <f t="shared" si="1320"/>
        <v/>
      </c>
      <c r="R258" s="162" t="str">
        <f t="shared" si="1324"/>
        <v/>
      </c>
      <c r="S258" s="162" t="str">
        <f t="shared" si="1321"/>
        <v/>
      </c>
      <c r="T258" s="162" t="str">
        <f t="shared" si="1322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3"/>
        <v/>
      </c>
      <c r="W258" s="162"/>
      <c r="X258" s="937" t="str">
        <f t="shared" si="1325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934"/>
      <c r="O259" s="162" t="str">
        <f t="shared" si="1318"/>
        <v/>
      </c>
      <c r="P259" s="162" t="str">
        <f t="shared" si="1319"/>
        <v/>
      </c>
      <c r="Q259" s="162" t="str">
        <f t="shared" si="1320"/>
        <v/>
      </c>
      <c r="R259" s="162" t="str">
        <f t="shared" si="1324"/>
        <v/>
      </c>
      <c r="S259" s="162" t="str">
        <f t="shared" si="1321"/>
        <v/>
      </c>
      <c r="T259" s="162" t="str">
        <f t="shared" si="1322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3"/>
        <v/>
      </c>
      <c r="W259" s="162"/>
      <c r="X259" s="937" t="str">
        <f t="shared" si="1325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934"/>
      <c r="O260" s="162" t="str">
        <f t="shared" ref="O260:O291" si="1327">IFERROR(INDEX(B$164:B$305,MATCH($W260,$J$164:$J$305,0)),"")</f>
        <v/>
      </c>
      <c r="P260" s="162" t="str">
        <f t="shared" ref="P260:P291" si="1328">IFERROR(INDEX(C$164:C$305,MATCH($W260,$J$164:$J$305,0)),"")</f>
        <v/>
      </c>
      <c r="Q260" s="162" t="str">
        <f t="shared" ref="Q260:Q291" si="1329">IFERROR(INDEX(D$164:D$305,MATCH($W260,$J$164:$J$305,0)),"")</f>
        <v/>
      </c>
      <c r="R260" s="162" t="str">
        <f t="shared" si="1324"/>
        <v/>
      </c>
      <c r="S260" s="162" t="str">
        <f t="shared" si="1321"/>
        <v/>
      </c>
      <c r="T260" s="162" t="str">
        <f t="shared" si="1322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0">IFERROR(INDEX(I$164:I$305,MATCH($W260,$J$164:$J$305,0)),"")</f>
        <v/>
      </c>
      <c r="W260" s="162"/>
      <c r="X260" s="937" t="str">
        <f t="shared" si="1325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934"/>
      <c r="O261" s="162" t="str">
        <f t="shared" si="1327"/>
        <v/>
      </c>
      <c r="P261" s="162" t="str">
        <f t="shared" si="1328"/>
        <v/>
      </c>
      <c r="Q261" s="162" t="str">
        <f t="shared" si="1329"/>
        <v/>
      </c>
      <c r="R261" s="162" t="str">
        <f t="shared" si="1324"/>
        <v/>
      </c>
      <c r="S261" s="162" t="str">
        <f t="shared" si="1321"/>
        <v/>
      </c>
      <c r="T261" s="162" t="str">
        <f t="shared" si="1322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0"/>
        <v/>
      </c>
      <c r="W261" s="162"/>
      <c r="X261" s="937" t="str">
        <f t="shared" si="1325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934"/>
      <c r="O262" s="162" t="str">
        <f t="shared" si="1327"/>
        <v/>
      </c>
      <c r="P262" s="162" t="str">
        <f t="shared" si="1328"/>
        <v/>
      </c>
      <c r="Q262" s="162" t="str">
        <f t="shared" si="1329"/>
        <v/>
      </c>
      <c r="R262" s="162" t="str">
        <f t="shared" si="1324"/>
        <v/>
      </c>
      <c r="S262" s="162" t="str">
        <f t="shared" si="1321"/>
        <v/>
      </c>
      <c r="T262" s="162" t="str">
        <f t="shared" si="1322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0"/>
        <v/>
      </c>
      <c r="W262" s="162"/>
      <c r="X262" s="937" t="str">
        <f t="shared" si="1325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934"/>
      <c r="O263" s="162" t="str">
        <f t="shared" si="1327"/>
        <v/>
      </c>
      <c r="P263" s="162" t="str">
        <f t="shared" si="1328"/>
        <v/>
      </c>
      <c r="Q263" s="162" t="str">
        <f t="shared" si="1329"/>
        <v/>
      </c>
      <c r="R263" s="162" t="str">
        <f t="shared" si="1324"/>
        <v/>
      </c>
      <c r="S263" s="162" t="str">
        <f t="shared" si="1321"/>
        <v/>
      </c>
      <c r="T263" s="162" t="str">
        <f t="shared" si="1322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0"/>
        <v/>
      </c>
      <c r="W263" s="162"/>
      <c r="X263" s="937" t="str">
        <f t="shared" si="1325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934"/>
      <c r="O264" s="162" t="str">
        <f t="shared" si="1327"/>
        <v/>
      </c>
      <c r="P264" s="162" t="str">
        <f t="shared" si="1328"/>
        <v/>
      </c>
      <c r="Q264" s="162" t="str">
        <f t="shared" si="1329"/>
        <v/>
      </c>
      <c r="R264" s="162" t="str">
        <f t="shared" si="1324"/>
        <v/>
      </c>
      <c r="S264" s="162" t="str">
        <f t="shared" si="1321"/>
        <v/>
      </c>
      <c r="T264" s="162" t="str">
        <f t="shared" si="1322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0"/>
        <v/>
      </c>
      <c r="W264" s="162"/>
      <c r="X264" s="937" t="str">
        <f t="shared" si="1325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934"/>
      <c r="O265" s="162" t="str">
        <f t="shared" si="1327"/>
        <v/>
      </c>
      <c r="P265" s="162" t="str">
        <f t="shared" si="1328"/>
        <v/>
      </c>
      <c r="Q265" s="162" t="str">
        <f t="shared" si="1329"/>
        <v/>
      </c>
      <c r="R265" s="162" t="str">
        <f t="shared" si="1324"/>
        <v/>
      </c>
      <c r="S265" s="162" t="str">
        <f t="shared" si="1321"/>
        <v/>
      </c>
      <c r="T265" s="162" t="str">
        <f t="shared" si="1322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0"/>
        <v/>
      </c>
      <c r="W265" s="162"/>
      <c r="X265" s="937" t="str">
        <f t="shared" si="1325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934"/>
      <c r="O266" s="162" t="str">
        <f t="shared" si="1327"/>
        <v/>
      </c>
      <c r="P266" s="162" t="str">
        <f t="shared" si="1328"/>
        <v/>
      </c>
      <c r="Q266" s="162" t="str">
        <f t="shared" si="1329"/>
        <v/>
      </c>
      <c r="R266" s="162" t="str">
        <f t="shared" si="1324"/>
        <v/>
      </c>
      <c r="S266" s="162" t="str">
        <f t="shared" si="1321"/>
        <v/>
      </c>
      <c r="T266" s="162" t="str">
        <f t="shared" si="1322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0"/>
        <v/>
      </c>
      <c r="W266" s="162"/>
      <c r="X266" s="937" t="str">
        <f t="shared" si="1325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934"/>
      <c r="O267" s="162" t="str">
        <f t="shared" si="1327"/>
        <v/>
      </c>
      <c r="P267" s="162" t="str">
        <f t="shared" si="1328"/>
        <v/>
      </c>
      <c r="Q267" s="162" t="str">
        <f t="shared" si="1329"/>
        <v/>
      </c>
      <c r="R267" s="162" t="str">
        <f t="shared" si="1324"/>
        <v/>
      </c>
      <c r="S267" s="162" t="str">
        <f t="shared" si="1321"/>
        <v/>
      </c>
      <c r="T267" s="162" t="str">
        <f t="shared" si="1322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0"/>
        <v/>
      </c>
      <c r="W267" s="162"/>
      <c r="X267" s="937" t="str">
        <f t="shared" si="1325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934"/>
      <c r="O268" s="162" t="str">
        <f t="shared" si="1327"/>
        <v/>
      </c>
      <c r="P268" s="162" t="str">
        <f t="shared" si="1328"/>
        <v/>
      </c>
      <c r="Q268" s="162" t="str">
        <f t="shared" si="1329"/>
        <v/>
      </c>
      <c r="R268" s="162" t="str">
        <f t="shared" si="1324"/>
        <v/>
      </c>
      <c r="S268" s="162" t="str">
        <f t="shared" si="1321"/>
        <v/>
      </c>
      <c r="T268" s="162" t="str">
        <f t="shared" si="1322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0"/>
        <v/>
      </c>
      <c r="W268" s="162"/>
      <c r="X268" s="937" t="str">
        <f t="shared" si="1325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934"/>
      <c r="O269" s="162" t="str">
        <f t="shared" si="1327"/>
        <v/>
      </c>
      <c r="P269" s="162" t="str">
        <f t="shared" si="1328"/>
        <v/>
      </c>
      <c r="Q269" s="162" t="str">
        <f t="shared" si="1329"/>
        <v/>
      </c>
      <c r="R269" s="162" t="str">
        <f t="shared" si="1324"/>
        <v/>
      </c>
      <c r="S269" s="162" t="str">
        <f t="shared" si="1321"/>
        <v/>
      </c>
      <c r="T269" s="162" t="str">
        <f t="shared" si="1322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0"/>
        <v/>
      </c>
      <c r="W269" s="162"/>
      <c r="X269" s="937" t="str">
        <f t="shared" si="1325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934"/>
      <c r="O270" s="162" t="str">
        <f t="shared" si="1327"/>
        <v/>
      </c>
      <c r="P270" s="162" t="str">
        <f t="shared" si="1328"/>
        <v/>
      </c>
      <c r="Q270" s="162" t="str">
        <f t="shared" si="1329"/>
        <v/>
      </c>
      <c r="R270" s="162" t="str">
        <f t="shared" si="1324"/>
        <v/>
      </c>
      <c r="S270" s="162" t="str">
        <f t="shared" si="1321"/>
        <v/>
      </c>
      <c r="T270" s="162" t="str">
        <f t="shared" si="1322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0"/>
        <v/>
      </c>
      <c r="W270" s="162"/>
      <c r="X270" s="937" t="str">
        <f t="shared" si="1325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934"/>
      <c r="O271" s="162" t="str">
        <f t="shared" si="1327"/>
        <v/>
      </c>
      <c r="P271" s="162" t="str">
        <f t="shared" si="1328"/>
        <v/>
      </c>
      <c r="Q271" s="162" t="str">
        <f t="shared" si="1329"/>
        <v/>
      </c>
      <c r="R271" s="162" t="str">
        <f t="shared" si="1324"/>
        <v/>
      </c>
      <c r="S271" s="162" t="str">
        <f t="shared" si="1321"/>
        <v/>
      </c>
      <c r="T271" s="162" t="str">
        <f t="shared" si="1322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0"/>
        <v/>
      </c>
      <c r="W271" s="162"/>
      <c r="X271" s="937" t="str">
        <f t="shared" si="1325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934"/>
      <c r="O272" s="162" t="str">
        <f t="shared" si="1327"/>
        <v/>
      </c>
      <c r="P272" s="162" t="str">
        <f t="shared" si="1328"/>
        <v/>
      </c>
      <c r="Q272" s="162" t="str">
        <f t="shared" si="1329"/>
        <v/>
      </c>
      <c r="R272" s="162" t="str">
        <f t="shared" si="1324"/>
        <v/>
      </c>
      <c r="S272" s="162" t="str">
        <f t="shared" si="1321"/>
        <v/>
      </c>
      <c r="T272" s="162" t="str">
        <f t="shared" si="1322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0"/>
        <v/>
      </c>
      <c r="W272" s="162"/>
      <c r="X272" s="937" t="str">
        <f t="shared" si="1325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934"/>
      <c r="O273" s="162" t="str">
        <f t="shared" si="1327"/>
        <v/>
      </c>
      <c r="P273" s="162" t="str">
        <f t="shared" si="1328"/>
        <v/>
      </c>
      <c r="Q273" s="162" t="str">
        <f t="shared" si="1329"/>
        <v/>
      </c>
      <c r="R273" s="162" t="str">
        <f t="shared" si="1324"/>
        <v/>
      </c>
      <c r="S273" s="162" t="str">
        <f t="shared" si="1321"/>
        <v/>
      </c>
      <c r="T273" s="162" t="str">
        <f t="shared" si="1322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0"/>
        <v/>
      </c>
      <c r="W273" s="162"/>
      <c r="X273" s="937" t="str">
        <f t="shared" si="1325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934"/>
      <c r="O274" s="162" t="str">
        <f t="shared" si="1327"/>
        <v/>
      </c>
      <c r="P274" s="162" t="str">
        <f t="shared" si="1328"/>
        <v/>
      </c>
      <c r="Q274" s="162" t="str">
        <f t="shared" si="1329"/>
        <v/>
      </c>
      <c r="R274" s="162" t="str">
        <f t="shared" si="1324"/>
        <v/>
      </c>
      <c r="S274" s="162" t="str">
        <f t="shared" si="1321"/>
        <v/>
      </c>
      <c r="T274" s="162" t="str">
        <f t="shared" si="1322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0"/>
        <v/>
      </c>
      <c r="W274" s="162"/>
      <c r="X274" s="937" t="str">
        <f t="shared" si="1325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934"/>
      <c r="O275" s="162" t="str">
        <f t="shared" si="1327"/>
        <v/>
      </c>
      <c r="P275" s="162" t="str">
        <f t="shared" si="1328"/>
        <v/>
      </c>
      <c r="Q275" s="162" t="str">
        <f t="shared" si="1329"/>
        <v/>
      </c>
      <c r="R275" s="162" t="str">
        <f t="shared" si="1324"/>
        <v/>
      </c>
      <c r="S275" s="162" t="str">
        <f t="shared" si="1321"/>
        <v/>
      </c>
      <c r="T275" s="162" t="str">
        <f t="shared" si="1322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0"/>
        <v/>
      </c>
      <c r="W275" s="162"/>
      <c r="X275" s="937" t="str">
        <f t="shared" si="1325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934"/>
      <c r="O276" s="162" t="str">
        <f t="shared" si="1327"/>
        <v/>
      </c>
      <c r="P276" s="162" t="str">
        <f t="shared" si="1328"/>
        <v/>
      </c>
      <c r="Q276" s="162" t="str">
        <f t="shared" si="1329"/>
        <v/>
      </c>
      <c r="R276" s="162" t="str">
        <f t="shared" si="1324"/>
        <v/>
      </c>
      <c r="S276" s="162" t="str">
        <f t="shared" si="1321"/>
        <v/>
      </c>
      <c r="T276" s="162" t="str">
        <f t="shared" si="1322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0"/>
        <v/>
      </c>
      <c r="W276" s="162"/>
      <c r="X276" s="937" t="str">
        <f t="shared" si="1325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934"/>
      <c r="O277" s="162" t="str">
        <f t="shared" si="1327"/>
        <v/>
      </c>
      <c r="P277" s="162" t="str">
        <f t="shared" si="1328"/>
        <v/>
      </c>
      <c r="Q277" s="162" t="str">
        <f t="shared" si="1329"/>
        <v/>
      </c>
      <c r="R277" s="162" t="str">
        <f t="shared" si="1324"/>
        <v/>
      </c>
      <c r="S277" s="162" t="str">
        <f t="shared" si="1321"/>
        <v/>
      </c>
      <c r="T277" s="162" t="str">
        <f t="shared" si="1322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0"/>
        <v/>
      </c>
      <c r="W277" s="162"/>
      <c r="X277" s="937" t="str">
        <f t="shared" si="1325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934"/>
      <c r="O278" s="162" t="str">
        <f t="shared" si="1327"/>
        <v/>
      </c>
      <c r="P278" s="162" t="str">
        <f t="shared" si="1328"/>
        <v/>
      </c>
      <c r="Q278" s="162" t="str">
        <f t="shared" si="1329"/>
        <v/>
      </c>
      <c r="R278" s="162" t="str">
        <f t="shared" si="1324"/>
        <v/>
      </c>
      <c r="S278" s="162" t="str">
        <f t="shared" si="1321"/>
        <v/>
      </c>
      <c r="T278" s="162" t="str">
        <f t="shared" si="1322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0"/>
        <v/>
      </c>
      <c r="W278" s="162"/>
      <c r="X278" s="937" t="str">
        <f t="shared" si="1325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934"/>
      <c r="O279" s="162" t="str">
        <f t="shared" si="1327"/>
        <v/>
      </c>
      <c r="P279" s="162" t="str">
        <f t="shared" si="1328"/>
        <v/>
      </c>
      <c r="Q279" s="162" t="str">
        <f t="shared" si="1329"/>
        <v/>
      </c>
      <c r="R279" s="162" t="str">
        <f t="shared" si="1324"/>
        <v/>
      </c>
      <c r="S279" s="162" t="str">
        <f t="shared" si="1321"/>
        <v/>
      </c>
      <c r="T279" s="162" t="str">
        <f t="shared" si="1322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0"/>
        <v/>
      </c>
      <c r="W279" s="162"/>
      <c r="X279" s="937" t="str">
        <f t="shared" si="1325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934"/>
      <c r="O280" s="162" t="str">
        <f t="shared" si="1327"/>
        <v/>
      </c>
      <c r="P280" s="162" t="str">
        <f t="shared" si="1328"/>
        <v/>
      </c>
      <c r="Q280" s="162" t="str">
        <f t="shared" si="1329"/>
        <v/>
      </c>
      <c r="R280" s="162" t="str">
        <f t="shared" si="1324"/>
        <v/>
      </c>
      <c r="S280" s="162" t="str">
        <f t="shared" si="1321"/>
        <v/>
      </c>
      <c r="T280" s="162" t="str">
        <f t="shared" si="1322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0"/>
        <v/>
      </c>
      <c r="W280" s="162"/>
      <c r="X280" s="937" t="str">
        <f t="shared" si="1325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934"/>
      <c r="O281" s="162" t="str">
        <f t="shared" si="1327"/>
        <v/>
      </c>
      <c r="P281" s="162" t="str">
        <f t="shared" si="1328"/>
        <v/>
      </c>
      <c r="Q281" s="162" t="str">
        <f t="shared" si="1329"/>
        <v/>
      </c>
      <c r="R281" s="162" t="str">
        <f t="shared" si="1324"/>
        <v/>
      </c>
      <c r="S281" s="162" t="str">
        <f t="shared" si="1321"/>
        <v/>
      </c>
      <c r="T281" s="162" t="str">
        <f t="shared" si="1322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0"/>
        <v/>
      </c>
      <c r="W281" s="162"/>
      <c r="X281" s="937" t="str">
        <f t="shared" si="1325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934"/>
      <c r="O282" s="162" t="str">
        <f t="shared" si="1327"/>
        <v/>
      </c>
      <c r="P282" s="162" t="str">
        <f t="shared" si="1328"/>
        <v/>
      </c>
      <c r="Q282" s="162" t="str">
        <f t="shared" si="1329"/>
        <v/>
      </c>
      <c r="R282" s="162" t="str">
        <f t="shared" si="1324"/>
        <v/>
      </c>
      <c r="S282" s="162" t="str">
        <f t="shared" si="1321"/>
        <v/>
      </c>
      <c r="T282" s="162" t="str">
        <f t="shared" si="1322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0"/>
        <v/>
      </c>
      <c r="W282" s="162"/>
      <c r="X282" s="937" t="str">
        <f t="shared" si="1325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934"/>
      <c r="O283" s="162" t="str">
        <f t="shared" si="1327"/>
        <v/>
      </c>
      <c r="P283" s="162" t="str">
        <f t="shared" si="1328"/>
        <v/>
      </c>
      <c r="Q283" s="162" t="str">
        <f t="shared" si="1329"/>
        <v/>
      </c>
      <c r="R283" s="162" t="str">
        <f t="shared" si="1324"/>
        <v/>
      </c>
      <c r="S283" s="162" t="str">
        <f t="shared" si="1321"/>
        <v/>
      </c>
      <c r="T283" s="162" t="str">
        <f t="shared" si="1322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0"/>
        <v/>
      </c>
      <c r="W283" s="162"/>
      <c r="X283" s="937" t="str">
        <f t="shared" si="1325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934"/>
      <c r="O284" s="162" t="str">
        <f t="shared" si="1327"/>
        <v/>
      </c>
      <c r="P284" s="162" t="str">
        <f t="shared" si="1328"/>
        <v/>
      </c>
      <c r="Q284" s="162" t="str">
        <f t="shared" si="1329"/>
        <v/>
      </c>
      <c r="R284" s="162" t="str">
        <f t="shared" si="1324"/>
        <v/>
      </c>
      <c r="S284" s="162" t="str">
        <f t="shared" si="1321"/>
        <v/>
      </c>
      <c r="T284" s="162" t="str">
        <f t="shared" si="1322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0"/>
        <v/>
      </c>
      <c r="W284" s="162"/>
      <c r="X284" s="937" t="str">
        <f t="shared" si="1325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934"/>
      <c r="O285" s="162" t="str">
        <f t="shared" si="1327"/>
        <v/>
      </c>
      <c r="P285" s="162" t="str">
        <f t="shared" si="1328"/>
        <v/>
      </c>
      <c r="Q285" s="162" t="str">
        <f t="shared" si="1329"/>
        <v/>
      </c>
      <c r="R285" s="162" t="str">
        <f t="shared" si="1324"/>
        <v/>
      </c>
      <c r="S285" s="162" t="str">
        <f t="shared" si="1321"/>
        <v/>
      </c>
      <c r="T285" s="162" t="str">
        <f t="shared" si="1322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0"/>
        <v/>
      </c>
      <c r="W285" s="162"/>
      <c r="X285" s="937" t="str">
        <f t="shared" si="1325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934"/>
      <c r="O286" s="162" t="str">
        <f t="shared" si="1327"/>
        <v/>
      </c>
      <c r="P286" s="162" t="str">
        <f t="shared" si="1328"/>
        <v/>
      </c>
      <c r="Q286" s="162" t="str">
        <f t="shared" si="1329"/>
        <v/>
      </c>
      <c r="R286" s="162" t="str">
        <f t="shared" si="1324"/>
        <v/>
      </c>
      <c r="S286" s="162" t="str">
        <f t="shared" si="1321"/>
        <v/>
      </c>
      <c r="T286" s="162" t="str">
        <f t="shared" si="1322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0"/>
        <v/>
      </c>
      <c r="W286" s="162"/>
      <c r="X286" s="937" t="str">
        <f t="shared" si="1325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934"/>
      <c r="O287" s="162" t="str">
        <f t="shared" si="1327"/>
        <v/>
      </c>
      <c r="P287" s="162" t="str">
        <f t="shared" si="1328"/>
        <v/>
      </c>
      <c r="Q287" s="162" t="str">
        <f t="shared" si="1329"/>
        <v/>
      </c>
      <c r="R287" s="162" t="str">
        <f t="shared" si="1324"/>
        <v/>
      </c>
      <c r="S287" s="162" t="str">
        <f t="shared" si="1321"/>
        <v/>
      </c>
      <c r="T287" s="162" t="str">
        <f t="shared" si="1322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0"/>
        <v/>
      </c>
      <c r="W287" s="162"/>
      <c r="X287" s="937" t="str">
        <f t="shared" si="1325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934"/>
      <c r="O288" s="162" t="str">
        <f t="shared" si="1327"/>
        <v/>
      </c>
      <c r="P288" s="162" t="str">
        <f t="shared" si="1328"/>
        <v/>
      </c>
      <c r="Q288" s="162" t="str">
        <f t="shared" si="1329"/>
        <v/>
      </c>
      <c r="R288" s="162" t="str">
        <f t="shared" si="1324"/>
        <v/>
      </c>
      <c r="S288" s="162" t="str">
        <f t="shared" si="1321"/>
        <v/>
      </c>
      <c r="T288" s="162" t="str">
        <f t="shared" si="1322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0"/>
        <v/>
      </c>
      <c r="W288" s="162"/>
      <c r="X288" s="937" t="str">
        <f t="shared" si="1325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934"/>
      <c r="O289" s="162" t="str">
        <f t="shared" si="1327"/>
        <v/>
      </c>
      <c r="P289" s="162" t="str">
        <f t="shared" si="1328"/>
        <v/>
      </c>
      <c r="Q289" s="162" t="str">
        <f t="shared" si="1329"/>
        <v/>
      </c>
      <c r="R289" s="162" t="str">
        <f t="shared" si="1324"/>
        <v/>
      </c>
      <c r="S289" s="162" t="str">
        <f t="shared" si="1321"/>
        <v/>
      </c>
      <c r="T289" s="162" t="str">
        <f t="shared" si="1322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0"/>
        <v/>
      </c>
      <c r="W289" s="162"/>
      <c r="X289" s="937" t="str">
        <f t="shared" si="1325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934"/>
      <c r="O290" s="162" t="str">
        <f t="shared" si="1327"/>
        <v/>
      </c>
      <c r="P290" s="162" t="str">
        <f t="shared" si="1328"/>
        <v/>
      </c>
      <c r="Q290" s="162" t="str">
        <f t="shared" si="1329"/>
        <v/>
      </c>
      <c r="R290" s="162" t="str">
        <f t="shared" si="1324"/>
        <v/>
      </c>
      <c r="S290" s="162" t="str">
        <f t="shared" si="1321"/>
        <v/>
      </c>
      <c r="T290" s="162" t="str">
        <f t="shared" si="1322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0"/>
        <v/>
      </c>
      <c r="W290" s="162"/>
      <c r="X290" s="937" t="str">
        <f t="shared" si="1325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27"/>
        <v/>
      </c>
      <c r="P291" s="162" t="str">
        <f t="shared" si="1328"/>
        <v/>
      </c>
      <c r="Q291" s="162" t="str">
        <f t="shared" si="1329"/>
        <v/>
      </c>
      <c r="R291" s="162" t="str">
        <f t="shared" si="1324"/>
        <v/>
      </c>
      <c r="S291" s="162" t="str">
        <f t="shared" si="1321"/>
        <v/>
      </c>
      <c r="T291" s="162" t="str">
        <f t="shared" si="1322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0"/>
        <v/>
      </c>
      <c r="W291" s="162"/>
      <c r="X291" s="937" t="str">
        <f t="shared" si="1325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31">IFERROR(INDEX(B$164:B$305,MATCH($W292,$J$164:$J$305,0)),"")</f>
        <v/>
      </c>
      <c r="P292" s="162" t="str">
        <f t="shared" ref="P292:P305" si="1332">IFERROR(INDEX(C$164:C$305,MATCH($W292,$J$164:$J$305,0)),"")</f>
        <v/>
      </c>
      <c r="Q292" s="162" t="str">
        <f t="shared" ref="Q292:Q305" si="1333">IFERROR(INDEX(D$164:D$305,MATCH($W292,$J$164:$J$305,0)),"")</f>
        <v/>
      </c>
      <c r="R292" s="162" t="str">
        <f t="shared" si="1324"/>
        <v/>
      </c>
      <c r="S292" s="162" t="str">
        <f t="shared" ref="S292:S305" si="1334">IFERROR(IF($L292="Y",-1*INDEX(F$164:F$305,MATCH($W292,$J$164:$J$305,0)),INDEX(F$164:F$305,MATCH($W292,$J$164:$J$305,0))),"")</f>
        <v/>
      </c>
      <c r="T292" s="162" t="str">
        <f t="shared" ref="T292:T305" si="1335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6">IFERROR(INDEX(I$164:I$305,MATCH($W292,$J$164:$J$305,0)),"")</f>
        <v/>
      </c>
      <c r="W292" s="162"/>
      <c r="X292" s="937" t="str">
        <f t="shared" si="1325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31"/>
        <v/>
      </c>
      <c r="P293" s="162" t="str">
        <f t="shared" si="1332"/>
        <v/>
      </c>
      <c r="Q293" s="162" t="str">
        <f t="shared" si="1333"/>
        <v/>
      </c>
      <c r="R293" s="162" t="str">
        <f t="shared" ref="R293:R305" si="1337">IFERROR(IF($L293="Y",-1*INDEX(E$164:E$305,MATCH($W293,$J$164:$J$305,0)),INDEX(E$164:E$305,MATCH($W293,$J$164:$J$305,0))),"")</f>
        <v/>
      </c>
      <c r="S293" s="162" t="str">
        <f t="shared" si="1334"/>
        <v/>
      </c>
      <c r="T293" s="162" t="str">
        <f t="shared" si="1335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6"/>
        <v/>
      </c>
      <c r="W293" s="162"/>
      <c r="X293" s="937" t="str">
        <f t="shared" ref="X293:X305" si="1338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31"/>
        <v/>
      </c>
      <c r="P294" s="162" t="str">
        <f t="shared" si="1332"/>
        <v/>
      </c>
      <c r="Q294" s="162" t="str">
        <f t="shared" si="1333"/>
        <v/>
      </c>
      <c r="R294" s="162" t="str">
        <f t="shared" si="1337"/>
        <v/>
      </c>
      <c r="S294" s="162" t="str">
        <f t="shared" si="1334"/>
        <v/>
      </c>
      <c r="T294" s="162" t="str">
        <f t="shared" si="1335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6"/>
        <v/>
      </c>
      <c r="W294" s="162"/>
      <c r="X294" s="937" t="str">
        <f t="shared" si="1338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31"/>
        <v/>
      </c>
      <c r="P295" s="162" t="str">
        <f t="shared" si="1332"/>
        <v/>
      </c>
      <c r="Q295" s="162" t="str">
        <f t="shared" si="1333"/>
        <v/>
      </c>
      <c r="R295" s="162" t="str">
        <f t="shared" si="1337"/>
        <v/>
      </c>
      <c r="S295" s="162" t="str">
        <f t="shared" si="1334"/>
        <v/>
      </c>
      <c r="T295" s="162" t="str">
        <f t="shared" si="1335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6"/>
        <v/>
      </c>
      <c r="W295" s="162"/>
      <c r="X295" s="937" t="str">
        <f t="shared" si="1338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31"/>
        <v/>
      </c>
      <c r="P296" s="162" t="str">
        <f t="shared" si="1332"/>
        <v/>
      </c>
      <c r="Q296" s="162" t="str">
        <f t="shared" si="1333"/>
        <v/>
      </c>
      <c r="R296" s="162" t="str">
        <f t="shared" si="1337"/>
        <v/>
      </c>
      <c r="S296" s="162" t="str">
        <f t="shared" si="1334"/>
        <v/>
      </c>
      <c r="T296" s="162" t="str">
        <f t="shared" si="1335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6"/>
        <v/>
      </c>
      <c r="W296" s="162"/>
      <c r="X296" s="937" t="str">
        <f t="shared" si="1338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31"/>
        <v/>
      </c>
      <c r="P297" s="162" t="str">
        <f t="shared" si="1332"/>
        <v/>
      </c>
      <c r="Q297" s="162" t="str">
        <f t="shared" si="1333"/>
        <v/>
      </c>
      <c r="R297" s="162" t="str">
        <f t="shared" si="1337"/>
        <v/>
      </c>
      <c r="S297" s="162" t="str">
        <f t="shared" si="1334"/>
        <v/>
      </c>
      <c r="T297" s="162" t="str">
        <f t="shared" si="1335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6"/>
        <v/>
      </c>
      <c r="W297" s="162"/>
      <c r="X297" s="937" t="str">
        <f t="shared" si="1338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31"/>
        <v/>
      </c>
      <c r="P298" s="162" t="str">
        <f t="shared" si="1332"/>
        <v/>
      </c>
      <c r="Q298" s="162" t="str">
        <f t="shared" si="1333"/>
        <v/>
      </c>
      <c r="R298" s="162" t="str">
        <f t="shared" si="1337"/>
        <v/>
      </c>
      <c r="S298" s="162" t="str">
        <f t="shared" si="1334"/>
        <v/>
      </c>
      <c r="T298" s="162" t="str">
        <f t="shared" si="1335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6"/>
        <v/>
      </c>
      <c r="W298" s="162"/>
      <c r="X298" s="937" t="str">
        <f t="shared" si="1338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31"/>
        <v/>
      </c>
      <c r="P299" s="162" t="str">
        <f t="shared" si="1332"/>
        <v/>
      </c>
      <c r="Q299" s="162" t="str">
        <f t="shared" si="1333"/>
        <v/>
      </c>
      <c r="R299" s="162" t="str">
        <f t="shared" si="1337"/>
        <v/>
      </c>
      <c r="S299" s="162" t="str">
        <f t="shared" si="1334"/>
        <v/>
      </c>
      <c r="T299" s="162" t="str">
        <f t="shared" si="1335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6"/>
        <v/>
      </c>
      <c r="W299" s="162"/>
      <c r="X299" s="937" t="str">
        <f t="shared" si="1338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31"/>
        <v/>
      </c>
      <c r="P300" s="162" t="str">
        <f t="shared" si="1332"/>
        <v/>
      </c>
      <c r="Q300" s="162" t="str">
        <f t="shared" si="1333"/>
        <v/>
      </c>
      <c r="R300" s="162" t="str">
        <f t="shared" si="1337"/>
        <v/>
      </c>
      <c r="S300" s="162" t="str">
        <f t="shared" si="1334"/>
        <v/>
      </c>
      <c r="T300" s="162" t="str">
        <f t="shared" si="1335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6"/>
        <v/>
      </c>
      <c r="W300" s="162"/>
      <c r="X300" s="937" t="str">
        <f t="shared" si="1338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31"/>
        <v/>
      </c>
      <c r="P301" s="162" t="str">
        <f t="shared" si="1332"/>
        <v/>
      </c>
      <c r="Q301" s="162" t="str">
        <f t="shared" si="1333"/>
        <v/>
      </c>
      <c r="R301" s="162" t="str">
        <f t="shared" si="1337"/>
        <v/>
      </c>
      <c r="S301" s="162" t="str">
        <f t="shared" si="1334"/>
        <v/>
      </c>
      <c r="T301" s="162" t="str">
        <f t="shared" si="1335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6"/>
        <v/>
      </c>
      <c r="W301" s="162"/>
      <c r="X301" s="937" t="str">
        <f t="shared" si="1338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31"/>
        <v/>
      </c>
      <c r="P302" s="162" t="str">
        <f t="shared" si="1332"/>
        <v/>
      </c>
      <c r="Q302" s="162" t="str">
        <f t="shared" si="1333"/>
        <v/>
      </c>
      <c r="R302" s="162" t="str">
        <f t="shared" si="1337"/>
        <v/>
      </c>
      <c r="S302" s="162" t="str">
        <f t="shared" si="1334"/>
        <v/>
      </c>
      <c r="T302" s="162" t="str">
        <f t="shared" si="1335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6"/>
        <v/>
      </c>
      <c r="W302" s="162"/>
      <c r="X302" s="937" t="str">
        <f t="shared" si="1338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31"/>
        <v/>
      </c>
      <c r="P303" s="162" t="str">
        <f t="shared" si="1332"/>
        <v/>
      </c>
      <c r="Q303" s="162" t="str">
        <f t="shared" si="1333"/>
        <v/>
      </c>
      <c r="R303" s="162" t="str">
        <f t="shared" si="1337"/>
        <v/>
      </c>
      <c r="S303" s="162" t="str">
        <f t="shared" si="1334"/>
        <v/>
      </c>
      <c r="T303" s="162" t="str">
        <f t="shared" si="1335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6"/>
        <v/>
      </c>
      <c r="W303" s="162"/>
      <c r="X303" s="937" t="str">
        <f t="shared" si="1338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31"/>
        <v/>
      </c>
      <c r="P304" s="162" t="str">
        <f t="shared" si="1332"/>
        <v/>
      </c>
      <c r="Q304" s="162" t="str">
        <f t="shared" si="1333"/>
        <v/>
      </c>
      <c r="R304" s="162" t="str">
        <f t="shared" si="1337"/>
        <v/>
      </c>
      <c r="S304" s="162" t="str">
        <f t="shared" si="1334"/>
        <v/>
      </c>
      <c r="T304" s="162" t="str">
        <f t="shared" si="1335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6"/>
        <v/>
      </c>
      <c r="W304" s="162"/>
      <c r="X304" s="937" t="str">
        <f t="shared" si="1338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31"/>
        <v/>
      </c>
      <c r="P305" s="162" t="str">
        <f t="shared" si="1332"/>
        <v/>
      </c>
      <c r="Q305" s="162" t="str">
        <f t="shared" si="1333"/>
        <v/>
      </c>
      <c r="R305" s="162" t="str">
        <f t="shared" si="1337"/>
        <v/>
      </c>
      <c r="S305" s="162" t="str">
        <f t="shared" si="1334"/>
        <v/>
      </c>
      <c r="T305" s="162" t="str">
        <f t="shared" si="1335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6"/>
        <v/>
      </c>
      <c r="W305" s="162"/>
      <c r="X305" s="937" t="str">
        <f t="shared" si="1338"/>
        <v/>
      </c>
    </row>
    <row r="306" spans="2:24" x14ac:dyDescent="0.25">
      <c r="E306" s="166"/>
      <c r="F306" s="166"/>
      <c r="G306" s="166"/>
      <c r="H306" s="135"/>
      <c r="I306" s="82"/>
      <c r="J306" s="75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topLeftCell="IB1" zoomScale="80" zoomScaleNormal="80" workbookViewId="0">
      <selection activeCell="JF25" sqref="JF25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87" t="str">
        <f>CONCATENATE(Settings!$C$19," ",Settings!$B$28)</f>
        <v>17.5 6513r0</v>
      </c>
      <c r="D1" s="1287"/>
      <c r="E1" s="1287"/>
      <c r="F1" s="1287"/>
      <c r="G1" s="1287"/>
      <c r="H1" s="1287"/>
      <c r="I1" s="1287"/>
      <c r="J1" s="1287"/>
      <c r="K1" s="1287"/>
      <c r="M1" s="103" t="s">
        <v>310</v>
      </c>
      <c r="N1" s="1361" t="s">
        <v>312</v>
      </c>
      <c r="O1" s="1361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70" t="str">
        <f>Settings!B28</f>
        <v>6513r0</v>
      </c>
      <c r="C2" s="1371"/>
      <c r="D2" s="1371"/>
      <c r="E2" s="1371"/>
      <c r="F2" s="1371"/>
      <c r="G2" s="1371"/>
      <c r="H2" s="1371"/>
      <c r="I2" s="1371"/>
      <c r="J2" s="1371"/>
      <c r="K2" s="1372"/>
      <c r="L2" s="1136" t="str" cm="1">
        <f t="array" ref="L2">IF(OR($K$9:$K$150="Undefined"),"Undefined Element","")</f>
        <v/>
      </c>
      <c r="M2" s="1367" t="s">
        <v>0</v>
      </c>
      <c r="N2" s="1251" t="s">
        <v>1</v>
      </c>
      <c r="O2" s="1252"/>
      <c r="P2" s="1252"/>
      <c r="Q2" s="1252"/>
      <c r="R2" s="1252"/>
      <c r="S2" s="1252"/>
      <c r="T2" s="1252"/>
      <c r="U2" s="1252"/>
      <c r="V2" s="1252"/>
      <c r="W2" s="1252"/>
      <c r="X2" s="1252"/>
      <c r="Y2" s="1264"/>
      <c r="Z2" s="1251" t="s">
        <v>2</v>
      </c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1252"/>
      <c r="AL2" s="1252"/>
      <c r="AM2" s="1252"/>
      <c r="AN2" s="1252"/>
      <c r="AO2" s="1252"/>
      <c r="AP2" s="1252"/>
      <c r="AQ2" s="1253"/>
      <c r="AS2" s="1349" t="s">
        <v>44</v>
      </c>
      <c r="AT2" s="1350"/>
      <c r="AV2" s="1383" t="str">
        <f>M2</f>
        <v>CS-Name</v>
      </c>
      <c r="AW2" s="1066"/>
      <c r="AX2" s="1066"/>
      <c r="AY2" s="1066"/>
      <c r="AZ2" s="1066"/>
      <c r="BA2" s="1066"/>
      <c r="BB2" s="1066"/>
      <c r="BC2" s="1067"/>
      <c r="BF2" s="1390" t="s">
        <v>313</v>
      </c>
      <c r="BG2" s="1391"/>
      <c r="BH2" s="1391"/>
      <c r="BI2" s="1391"/>
      <c r="BJ2" s="1391"/>
      <c r="BK2" s="1392"/>
      <c r="BM2" s="1403" t="s">
        <v>270</v>
      </c>
      <c r="BN2" s="1331"/>
      <c r="BO2" s="1331"/>
      <c r="BP2" s="1332"/>
      <c r="BR2" s="1403" t="s">
        <v>270</v>
      </c>
      <c r="BS2" s="1331"/>
      <c r="BT2" s="1331"/>
      <c r="BU2" s="1332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89"/>
      <c r="C3" s="1290"/>
      <c r="D3" s="1290"/>
      <c r="E3" s="1290"/>
      <c r="F3" s="1290"/>
      <c r="G3" s="1290"/>
      <c r="H3" s="1290"/>
      <c r="I3" s="1290"/>
      <c r="J3" s="1290"/>
      <c r="K3" s="1291"/>
      <c r="L3" s="1136"/>
      <c r="M3" s="1368"/>
      <c r="N3" s="1254"/>
      <c r="O3" s="1255"/>
      <c r="P3" s="1255"/>
      <c r="Q3" s="1255"/>
      <c r="R3" s="1255"/>
      <c r="S3" s="1255"/>
      <c r="T3" s="1255"/>
      <c r="U3" s="1255"/>
      <c r="V3" s="1255"/>
      <c r="W3" s="1255"/>
      <c r="X3" s="1255"/>
      <c r="Y3" s="1346"/>
      <c r="Z3" s="1119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0"/>
      <c r="AM3" s="1120"/>
      <c r="AN3" s="1120"/>
      <c r="AO3" s="1120"/>
      <c r="AP3" s="1120"/>
      <c r="AQ3" s="1272"/>
      <c r="AS3" s="415">
        <v>100</v>
      </c>
      <c r="AT3" s="412" t="s">
        <v>45</v>
      </c>
      <c r="AV3" s="1384"/>
      <c r="AW3" s="1072"/>
      <c r="AX3" s="1072"/>
      <c r="AY3" s="1072"/>
      <c r="AZ3" s="1072"/>
      <c r="BA3" s="1072"/>
      <c r="BB3" s="1072"/>
      <c r="BC3" s="1073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>1.115</v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>3.1120000000000001</v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>4.1429999999999998</v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>5.1189999999999998</v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>
        <f t="shared" si="3"/>
        <v>29.372348757035397</v>
      </c>
      <c r="CY3" s="435" t="str">
        <f t="shared" si="3"/>
        <v/>
      </c>
      <c r="CZ3" s="435">
        <f t="shared" si="3"/>
        <v>0.88151383186485077</v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cm="1">
        <f t="array" ref="DL3">IF(LARGE(IF(IFERROR(VALUE(LEFT($AV$9:$AV$150,3)),0)=DL$2,$AV$9:$AV$150,0),1)=0,"",LARGE(IF(IFERROR(VALUE(LEFT($AV$9:$AV$150,3)),0)=DL$2,$AV$9:$AV$150,0),1))</f>
        <v>1.155</v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cm="1">
        <f t="array" ref="DN3">IF(LARGE(IF(IFERROR(VALUE(LEFT($AV$9:$AV$150,3)),0)=DN$2,$AV$9:$AV$150,0),1)=0,"",LARGE(IF(IFERROR(VALUE(LEFT($AV$9:$AV$150,3)),0)=DN$2,$AV$9:$AV$150,0),1))</f>
        <v>3.137</v>
      </c>
      <c r="DO3" s="489" cm="1">
        <f t="array" ref="DO3">IF(LARGE(IF(IFERROR(VALUE(LEFT($AV$9:$AV$150,3)),0)=DO$2,$AV$9:$AV$150,0),1)=0,"",LARGE(IF(IFERROR(VALUE(LEFT($AV$9:$AV$150,3)),0)=DO$2,$AV$9:$AV$150,0),1))</f>
        <v>4.1529999999999996</v>
      </c>
      <c r="DP3" s="489" cm="1">
        <f t="array" ref="DP3">IF(LARGE(IF(IFERROR(VALUE(LEFT($AV$9:$AV$150,3)),0)=DP$2,$AV$9:$AV$150,0),1)=0,"",LARGE(IF(IFERROR(VALUE(LEFT($AV$9:$AV$150,3)),0)=DP$2,$AV$9:$AV$150,0),1))</f>
        <v>5.1390000000000002</v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0" t="s">
        <v>307</v>
      </c>
      <c r="C4" s="997"/>
      <c r="D4" s="997"/>
      <c r="E4" s="997"/>
      <c r="F4" s="997"/>
      <c r="G4" s="997"/>
      <c r="H4" s="997"/>
      <c r="I4" s="997"/>
      <c r="J4" s="997"/>
      <c r="K4" s="1373"/>
      <c r="L4" s="1136"/>
      <c r="M4" s="1368"/>
      <c r="N4" s="1304" t="s">
        <v>3</v>
      </c>
      <c r="O4" s="1301"/>
      <c r="P4" s="1301"/>
      <c r="Q4" s="1300" t="s">
        <v>4</v>
      </c>
      <c r="R4" s="1301"/>
      <c r="S4" s="1319"/>
      <c r="T4" s="1313" t="str">
        <f>N4</f>
        <v>Cartesian Coordinates</v>
      </c>
      <c r="U4" s="1276"/>
      <c r="V4" s="1314"/>
      <c r="W4" s="1276" t="str">
        <f>Q4</f>
        <v>Polar XY; Cartesian Z</v>
      </c>
      <c r="X4" s="1276"/>
      <c r="Y4" s="1288"/>
      <c r="Z4" s="1363" t="s">
        <v>3</v>
      </c>
      <c r="AA4" s="1364"/>
      <c r="AB4" s="1364"/>
      <c r="AC4" s="1364"/>
      <c r="AD4" s="1364"/>
      <c r="AE4" s="1364"/>
      <c r="AF4" s="1364"/>
      <c r="AG4" s="1399" t="s">
        <v>31</v>
      </c>
      <c r="AH4" s="1364"/>
      <c r="AI4" s="1364"/>
      <c r="AJ4" s="1400"/>
      <c r="AK4" s="1406" t="s">
        <v>32</v>
      </c>
      <c r="AL4" s="1407"/>
      <c r="AM4" s="1407"/>
      <c r="AN4" s="1407"/>
      <c r="AO4" s="1407"/>
      <c r="AP4" s="1407"/>
      <c r="AQ4" s="1408"/>
      <c r="AS4" s="416">
        <v>0</v>
      </c>
      <c r="AT4" s="413" t="s">
        <v>46</v>
      </c>
      <c r="AV4" s="1384"/>
      <c r="AW4" s="1397"/>
      <c r="AX4" s="1397"/>
      <c r="AY4" s="1397"/>
      <c r="AZ4" s="1398"/>
      <c r="BA4" s="1397" t="str">
        <f>Z2</f>
        <v>PDC Orientation</v>
      </c>
      <c r="BB4" s="1397"/>
      <c r="BC4" s="1398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>
        <f>INDEX($W$9:$W$150,MATCH(BX$3,$M$9:$M$150,0))</f>
        <v>359.94461348056939</v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>
        <f t="shared" si="4"/>
        <v>294.02215965343294</v>
      </c>
      <c r="CC4" s="430" t="str">
        <f t="shared" si="4"/>
        <v/>
      </c>
      <c r="CD4" s="430">
        <f t="shared" si="4"/>
        <v>235.27746213936214</v>
      </c>
      <c r="CE4" s="430" t="str">
        <f t="shared" si="4"/>
        <v/>
      </c>
      <c r="CF4" s="430">
        <f t="shared" si="4"/>
        <v>233.51443447563244</v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>
        <f>IF(ISNUMBER(BX$3),MOD(((BX$4+360)+MIN($CR$3,$CT$3,$CV$3,$CX$3,$CZ$3,$DB$3,$DD$3,$DF$3,$DH$3)),360),"")</f>
        <v>0.82612731243420967</v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>
        <f>IF(ISNUMBER(CB$3),MOD(((CB$4+360)+MIN($CR$3,$CT$3,$CV$3,$CX$3,$CZ$3,$DB$3,$DD$3,$DF$3,$DH$3)),360),"")</f>
        <v>294.90367348529776</v>
      </c>
      <c r="CW4" s="421" t="str">
        <f>IF(ISNUMBER(CC$3),MOD(((CC$4+360)+MIN($CS$3,$CU$3,$CW$3,$CY$3,$DA$3,$DC$3,$DE$3,$DG$3,$DI$3)),360),"")</f>
        <v/>
      </c>
      <c r="CX4" s="421">
        <f>IF(ISNUMBER(CD$3),MOD(((CD$4+360)+MIN($CR$3,$CT$3,$CV$3,$CX$3,$CZ$3,$DB$3,$DD$3,$DF$3,$DH$3)),360),"")</f>
        <v>236.15897597122694</v>
      </c>
      <c r="CY4" s="421" t="str">
        <f>IF(ISNUMBER(CE$3),MOD(((CE$4+360)+MIN($CS$3,$CU$3,$CW$3,$CY$3,$DA$3,$DC$3,$DE$3,$DG$3,$DI$3)),360),"")</f>
        <v/>
      </c>
      <c r="CZ4" s="421">
        <f>IF(ISNUMBER(CF$3),MOD(((CF$4+360)+MIN($CR$3,$CT$3,$CV$3,$CX$3,$CZ$3,$DB$3,$DD$3,$DF$3,$DH$3)),360),"")</f>
        <v>234.39594830749729</v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>
        <f t="shared" ref="DL4:DT4" si="5">INDEX($AZ$9:$AZ$150,MATCH(DL$3,$AV$9:$AV$150,0))</f>
        <v>1.53051948349254</v>
      </c>
      <c r="DM4" s="489" t="str">
        <f t="shared" si="5"/>
        <v/>
      </c>
      <c r="DN4" s="489">
        <f t="shared" si="5"/>
        <v>9.2119138375062288</v>
      </c>
      <c r="DO4" s="489">
        <f t="shared" si="5"/>
        <v>10.57550729056209</v>
      </c>
      <c r="DP4" s="489">
        <f t="shared" si="5"/>
        <v>15.00935571867727</v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84" t="s">
        <v>372</v>
      </c>
      <c r="IF4" s="984"/>
      <c r="IG4" s="710" cm="1">
        <f t="array" ref="IG4">MAX(MOD(IF($IG$9:$IG$150="",0,($IG$9:$IG$150*1000)),100))</f>
        <v>55</v>
      </c>
      <c r="IL4" s="31"/>
      <c r="IM4" s="710"/>
    </row>
    <row r="5" spans="1:265" ht="15" customHeight="1" thickTop="1" x14ac:dyDescent="0.25">
      <c r="B5" s="1289" t="str">
        <f>CONCATENATE(B7," ; ",E7," ; ",H8)</f>
        <v>Absolute-Point ; Incremental-Vector Point ; Radius</v>
      </c>
      <c r="C5" s="1290"/>
      <c r="D5" s="1290"/>
      <c r="E5" s="1290"/>
      <c r="F5" s="1290"/>
      <c r="G5" s="1290"/>
      <c r="H5" s="1290"/>
      <c r="I5" s="1290"/>
      <c r="J5" s="1290"/>
      <c r="K5" s="1291"/>
      <c r="L5" s="813" t="str" cm="1">
        <f t="array" ref="L5">IF(OR(IF(LEFT($K$9:$K$150,4)="&lt;&gt;CS",TRUE,FALSE)),"Wrong CS","")</f>
        <v/>
      </c>
      <c r="M5" s="1368"/>
      <c r="N5" s="1324" t="s">
        <v>5</v>
      </c>
      <c r="O5" s="1261"/>
      <c r="P5" s="1261"/>
      <c r="Q5" s="1327" t="s">
        <v>6</v>
      </c>
      <c r="R5" s="1261"/>
      <c r="S5" s="1262"/>
      <c r="T5" s="1245" t="str">
        <f>CONCATENATE("Relative to ",M8,"'s θ &amp; Z; Z Axis")</f>
        <v>Relative to 1.115's θ &amp; Z; Z Axis</v>
      </c>
      <c r="U5" s="1246"/>
      <c r="V5" s="1247"/>
      <c r="W5" s="1246" t="str">
        <f>CONCATENATE("Relative to ",M8,"'s θ &amp; Z; Z Axis")</f>
        <v>Relative to 1.115's θ &amp; Z; Z Axis</v>
      </c>
      <c r="X5" s="1246"/>
      <c r="Y5" s="1315"/>
      <c r="Z5" s="1305" t="str">
        <f>N5</f>
        <v>Relative to World_CS</v>
      </c>
      <c r="AA5" s="1246"/>
      <c r="AB5" s="1246"/>
      <c r="AC5" s="1246"/>
      <c r="AD5" s="1246"/>
      <c r="AE5" s="1246"/>
      <c r="AF5" s="1246"/>
      <c r="AG5" s="1245" t="str">
        <f>N5</f>
        <v>Relative to World_CS</v>
      </c>
      <c r="AH5" s="1246"/>
      <c r="AI5" s="1246"/>
      <c r="AJ5" s="1283"/>
      <c r="AK5" s="1260" t="s">
        <v>7</v>
      </c>
      <c r="AL5" s="1261"/>
      <c r="AM5" s="1261"/>
      <c r="AN5" s="1261"/>
      <c r="AO5" s="1261"/>
      <c r="AP5" s="1261"/>
      <c r="AQ5" s="1262"/>
      <c r="AS5" s="167">
        <f>(((AS4*12)/60)/AS3)</f>
        <v>0</v>
      </c>
      <c r="AT5" s="413" t="s">
        <v>47</v>
      </c>
      <c r="AV5" s="1384"/>
      <c r="AW5" s="1313" t="str">
        <f>W4</f>
        <v>Polar XY; Cartesian Z</v>
      </c>
      <c r="AX5" s="1276"/>
      <c r="AY5" s="1276"/>
      <c r="AZ5" s="1137" t="s">
        <v>104</v>
      </c>
      <c r="BA5" s="1276" t="str">
        <f>AK4</f>
        <v>Polar Z Projection → XZ Plane</v>
      </c>
      <c r="BB5" s="1276"/>
      <c r="BC5" s="127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>
        <f>IF(ISNUMBER(BX$3),IF(CR$4&gt;CR$5,CR$4,(CR$4+360)),"")</f>
        <v>360.82612731243421</v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>
        <f t="shared" si="6"/>
        <v>294.90367348529776</v>
      </c>
      <c r="CC5" s="436" t="str">
        <f t="shared" si="6"/>
        <v/>
      </c>
      <c r="CD5" s="436">
        <f t="shared" si="6"/>
        <v>236.15897597122694</v>
      </c>
      <c r="CE5" s="436" t="str">
        <f t="shared" si="6"/>
        <v/>
      </c>
      <c r="CF5" s="436">
        <f t="shared" si="6"/>
        <v>234.39594830749729</v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>
        <f>IF(ISNUMBER(BX$3),MOD(((BX$4+360)-MIN($CS$3,$CU$3,$CW$3,$CY$3,$DA$3,$DC$3,$DE$3,$DG$3,$DI$3)),360),"")</f>
        <v>359.94461348056939</v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>
        <f>IF(ISNUMBER(CB$3),MOD(((CB$4+360)-MIN($CS$3,$CU$3,$CW$3,$CY$3,$DA$3,$DC$3,$DE$3,$DG$3,$DI$3)),360),"")</f>
        <v>294.02215965343294</v>
      </c>
      <c r="CW5" s="423" t="str">
        <f>IF(ISNUMBER(CC$3),MOD(((CC$4+360)-MIN($CR$3,$CT$3,$CV$3,$CX$3,$CZ$3,$DB$3,$DD$3,$DF$3,$DH$3)),360),"")</f>
        <v/>
      </c>
      <c r="CX5" s="423">
        <f>IF(ISNUMBER(CD$3),MOD(((CD$4+360)-MIN($CS$3,$CU$3,$CW$3,$CY$3,$DA$3,$DC$3,$DE$3,$DG$3,$DI$3)),360),"")</f>
        <v>235.27746213936211</v>
      </c>
      <c r="CY5" s="423" t="str">
        <f>IF(ISNUMBER(CE$3),MOD(((CE$4+360)-MIN($CR$3,$CT$3,$CV$3,$CX$3,$CZ$3,$DB$3,$DD$3,$DF$3,$DH$3)),360),"")</f>
        <v/>
      </c>
      <c r="CZ5" s="423">
        <f>IF(ISNUMBER(CF$3),MOD(((CF$4+360)-MIN($CS$3,$CU$3,$CW$3,$CY$3,$DA$3,$DC$3,$DE$3,$DG$3,$DI$3)),360),"")</f>
        <v>233.51443447563247</v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77"/>
      <c r="C6" s="1078"/>
      <c r="D6" s="1078"/>
      <c r="E6" s="1078"/>
      <c r="F6" s="1078"/>
      <c r="G6" s="1078"/>
      <c r="H6" s="1078"/>
      <c r="I6" s="1078"/>
      <c r="J6" s="1078"/>
      <c r="K6" s="1079"/>
      <c r="L6" s="1136" t="str" cm="1">
        <f t="array" ref="L6">IF(OR($K$9:$K$150="Inactive"),"Inactive Element","")</f>
        <v/>
      </c>
      <c r="M6" s="1368"/>
      <c r="N6" s="1320" t="s">
        <v>8</v>
      </c>
      <c r="O6" s="1322" t="s">
        <v>9</v>
      </c>
      <c r="P6" s="1325" t="s">
        <v>10</v>
      </c>
      <c r="Q6" s="1337" t="s">
        <v>11</v>
      </c>
      <c r="R6" s="1338"/>
      <c r="S6" s="1316" t="s">
        <v>10</v>
      </c>
      <c r="T6" s="1357" t="str">
        <f>N6</f>
        <v>X</v>
      </c>
      <c r="U6" s="1359" t="str">
        <f>O6</f>
        <v>Y</v>
      </c>
      <c r="V6" s="1311" t="str">
        <f>P6</f>
        <v>Z</v>
      </c>
      <c r="W6" s="1278" t="str">
        <f>Q6</f>
        <v>Projected XY</v>
      </c>
      <c r="X6" s="1279"/>
      <c r="Y6" s="1355" t="str">
        <f>S6</f>
        <v>Z</v>
      </c>
      <c r="Z6" s="1342" t="s">
        <v>12</v>
      </c>
      <c r="AA6" s="1295"/>
      <c r="AB6" s="1295"/>
      <c r="AC6" s="1343"/>
      <c r="AD6" s="1300" t="s">
        <v>13</v>
      </c>
      <c r="AE6" s="1301"/>
      <c r="AF6" s="1301"/>
      <c r="AG6" s="1341" t="s">
        <v>7</v>
      </c>
      <c r="AH6" s="1301"/>
      <c r="AI6" s="1300" t="s">
        <v>14</v>
      </c>
      <c r="AJ6" s="1319"/>
      <c r="AK6" s="1313" t="str">
        <f>AD6</f>
        <v>Unit Vector</v>
      </c>
      <c r="AL6" s="1276"/>
      <c r="AM6" s="1277"/>
      <c r="AN6" s="34" t="s">
        <v>15</v>
      </c>
      <c r="AO6" s="35" t="s">
        <v>16</v>
      </c>
      <c r="AP6" s="680" t="s">
        <v>17</v>
      </c>
      <c r="AQ6" s="1365" t="s">
        <v>108</v>
      </c>
      <c r="AS6" s="168">
        <f>(AS5/360)</f>
        <v>0</v>
      </c>
      <c r="AT6" s="414" t="s">
        <v>48</v>
      </c>
      <c r="AV6" s="1384"/>
      <c r="AW6" s="1245" t="str">
        <f>W5</f>
        <v>Relative to 1.115's θ &amp; Z; Z Axis</v>
      </c>
      <c r="AX6" s="1246"/>
      <c r="AY6" s="1246"/>
      <c r="AZ6" s="1380"/>
      <c r="BA6" s="1246" t="str">
        <f>AK5</f>
        <v>Vector Along X Axis</v>
      </c>
      <c r="BB6" s="1246"/>
      <c r="BC6" s="1283"/>
      <c r="BD6" s="417"/>
      <c r="BF6" s="410">
        <f>SUM(AZ9:AZ150)</f>
        <v>173.68695067174752</v>
      </c>
      <c r="BG6" s="1362" t="s">
        <v>309</v>
      </c>
      <c r="BH6" s="1362"/>
      <c r="BI6" s="1362"/>
      <c r="BJ6" s="1362"/>
      <c r="BK6" s="1362"/>
      <c r="BW6" s="449" t="s">
        <v>292</v>
      </c>
      <c r="BX6" s="443">
        <f t="shared" ref="BX6:CI6" si="7">CR$5</f>
        <v>359.94461348056939</v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>
        <f t="shared" si="7"/>
        <v>294.02215965343294</v>
      </c>
      <c r="CC6" s="423" t="str">
        <f t="shared" si="7"/>
        <v/>
      </c>
      <c r="CD6" s="423">
        <f t="shared" si="7"/>
        <v>235.27746213936211</v>
      </c>
      <c r="CE6" s="423" t="str">
        <f t="shared" si="7"/>
        <v/>
      </c>
      <c r="CF6" s="423">
        <f t="shared" si="7"/>
        <v>233.51443447563247</v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06" t="s">
        <v>40</v>
      </c>
      <c r="C7" s="1307"/>
      <c r="D7" s="1308"/>
      <c r="E7" s="1309" t="s">
        <v>41</v>
      </c>
      <c r="F7" s="1307"/>
      <c r="G7" s="1310"/>
      <c r="H7" s="964" t="s">
        <v>305</v>
      </c>
      <c r="I7" s="962"/>
      <c r="J7" s="963"/>
      <c r="K7" s="488"/>
      <c r="L7" s="1136"/>
      <c r="M7" s="1369"/>
      <c r="N7" s="1321"/>
      <c r="O7" s="1323"/>
      <c r="P7" s="1326"/>
      <c r="Q7" s="36" t="s">
        <v>18</v>
      </c>
      <c r="R7" s="2" t="s">
        <v>19</v>
      </c>
      <c r="S7" s="1317"/>
      <c r="T7" s="1358"/>
      <c r="U7" s="1360"/>
      <c r="V7" s="1312"/>
      <c r="W7" s="37" t="str">
        <f>Q7</f>
        <v>&lt; θ°</v>
      </c>
      <c r="X7" s="27" t="str">
        <f>R7</f>
        <v>r</v>
      </c>
      <c r="Y7" s="135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6"/>
      <c r="AS7" s="1401" t="s">
        <v>54</v>
      </c>
      <c r="AT7" s="1404" t="s">
        <v>53</v>
      </c>
      <c r="AV7" s="1384"/>
      <c r="AW7" s="1379" t="str">
        <f>$W$6</f>
        <v>Projected XY</v>
      </c>
      <c r="AX7" s="1279"/>
      <c r="AY7" s="1381" t="str">
        <f>$Y$6</f>
        <v>Z</v>
      </c>
      <c r="AZ7" s="1380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62"/>
      <c r="BH7" s="1362"/>
      <c r="BI7" s="1362"/>
      <c r="BJ7" s="1362"/>
      <c r="BK7" s="1362"/>
      <c r="BW7" s="450" t="s">
        <v>291</v>
      </c>
      <c r="BX7" s="444">
        <f>IF(CR$4&gt;CR$5,"",CR$4)</f>
        <v>0.82612731243420967</v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70" t="s">
        <v>33</v>
      </c>
      <c r="IH7" s="1178" t="s">
        <v>376</v>
      </c>
      <c r="II7" s="966" t="s">
        <v>324</v>
      </c>
      <c r="IJ7" s="967"/>
      <c r="IK7" s="967"/>
      <c r="IL7" s="962"/>
      <c r="IM7" s="962"/>
      <c r="IN7" s="962"/>
      <c r="IO7" s="963"/>
      <c r="IP7" s="964" t="s">
        <v>320</v>
      </c>
      <c r="IQ7" s="962"/>
      <c r="IR7" s="962"/>
      <c r="IS7" s="962"/>
      <c r="IT7" s="962"/>
      <c r="IU7" s="964" t="s">
        <v>319</v>
      </c>
      <c r="IV7" s="962"/>
      <c r="IW7" s="962"/>
      <c r="IX7" s="962"/>
      <c r="IY7" s="963"/>
      <c r="JA7" s="725"/>
      <c r="JB7" s="1409" t="s">
        <v>355</v>
      </c>
      <c r="JC7" s="1328"/>
      <c r="JD7" s="1328"/>
      <c r="JE7" s="132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6"/>
      <c r="M8" s="411" cm="1">
        <f t="array" ref="M8">IF(AND(ISNUMBER($P$1),COUNT($M$9:$M$150)&gt;=$P$1),INDEX($M$9:$M$150,$P$1),"")</f>
        <v>1.115</v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2"/>
      <c r="AT8" s="1405"/>
      <c r="AV8" s="1385"/>
      <c r="AW8" s="46" t="str">
        <f>$W$7</f>
        <v>&lt; θ°</v>
      </c>
      <c r="AX8" s="27" t="str">
        <f>$X$7</f>
        <v>r</v>
      </c>
      <c r="AY8" s="1382"/>
      <c r="AZ8" s="113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>
        <f>IF(ISNUMBER(BX$3),IF(CR$4&gt;CR$5,"",(CR$4-((CR$4+360)-CR$5))),"")</f>
        <v>-5.538651943061268E-2</v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80"/>
      <c r="IH8" s="117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>
        <f>INDEX(O$164:O$305,MATCH($M9,$M$164:$M$305,0))</f>
        <v>0.32028388811269887</v>
      </c>
      <c r="C9" s="641">
        <f t="shared" ref="C9:C40" si="10">INDEX(P$164:P$305,MATCH($M9,$M$164:$M$305,0))</f>
        <v>3.8803369847994054E-2</v>
      </c>
      <c r="D9" s="642">
        <f t="shared" ref="D9:D40" si="11">INDEX(Q$164:Q$305,MATCH($M9,$M$164:$M$305,0))</f>
        <v>-0.84054652743538272</v>
      </c>
      <c r="E9" s="643">
        <f t="shared" ref="E9:E40" si="12">INDEX(R$164:R$305,MATCH($M9,$M$164:$M$305,0))</f>
        <v>-0.10972431014347026</v>
      </c>
      <c r="F9" s="641">
        <f t="shared" ref="F9:F40" si="13">INDEX(S$164:S$305,MATCH($M9,$M$164:$M$305,0))</f>
        <v>0.93193326054478409</v>
      </c>
      <c r="G9" s="644">
        <f t="shared" ref="G9:G40" si="14">INDEX(T$164:T$305,MATCH($M9,$M$164:$M$305,0))</f>
        <v>0.34563079069276686</v>
      </c>
      <c r="H9" s="643">
        <f>IF(INDEX(H$164:H$305,MATCH($M9,$M$164:$M$305,0))=0,"",INDEX(H$164:H$305,MATCH($M9,$M$164:$M$305,0)))</f>
        <v>0.318581</v>
      </c>
      <c r="I9" s="481"/>
      <c r="J9" s="483" cm="1">
        <f t="array" ref="J9:J150">_xlfn._xlws.SORT(IF(ISNUMBER($J$164:$J$305),$M$164:$M$305,""))</f>
        <v>1.101</v>
      </c>
      <c r="K9" s="805">
        <f>IF(INDEX(N$164:N$305,MATCH($M9,$M$164:$M$305,0))=0,"",INDEX(N$164:N$305,MATCH($M9,$M$164:$M$305,0)))</f>
        <v>1913</v>
      </c>
      <c r="L9" s="31"/>
      <c r="M9" s="163">
        <f>IF(J9="","",J9)</f>
        <v>1.101</v>
      </c>
      <c r="N9" s="566">
        <f>IF(M9="","",B9)</f>
        <v>0.32028388811269887</v>
      </c>
      <c r="O9" s="567">
        <f>IF(M9="","",C9)</f>
        <v>3.8803369847994054E-2</v>
      </c>
      <c r="P9" s="568">
        <f>IF(M9="","",D9)</f>
        <v>-0.84054652743538272</v>
      </c>
      <c r="Q9" s="526">
        <f>IF(M9="","",IF(DEGREES(ATAN2(N9,O9))&lt;0,DEGREES(ATAN2(N9,O9))+360,IF(DEGREES(ATAN2(N9,O9))&gt;360,DEGREES(ATAN2(N9,O9))-360,DEGREES(ATAN2(N9,O9)))))</f>
        <v>6.907891560074412</v>
      </c>
      <c r="R9" s="567">
        <f>IF(M9="","",SQRT(N9^2+O9^2))</f>
        <v>0.32262589867545971</v>
      </c>
      <c r="S9" s="569">
        <f>IF(M9="","",P9)</f>
        <v>-0.84054652743538272</v>
      </c>
      <c r="T9" s="570">
        <f>IF(M9="","",X9*COS(RADIANS(W9)))</f>
        <v>0.32028388811269887</v>
      </c>
      <c r="U9" s="567">
        <f>IF(M9="","",X9*SIN(RADIANS(W9)))</f>
        <v>3.8803369847994047E-2</v>
      </c>
      <c r="V9" s="571">
        <f>IF(M9="","",Y9)</f>
        <v>-0.84054652743538272</v>
      </c>
      <c r="W9" s="526">
        <f>IF(M9="","",IF(Q9-$Q$8&lt;0,360+Q9-$Q$8,Q9-$Q$8))</f>
        <v>6.907891560074412</v>
      </c>
      <c r="X9" s="572">
        <f>IF(M9="","",R9)</f>
        <v>0.32262589867545971</v>
      </c>
      <c r="Y9" s="573">
        <f t="shared" ref="Y9:Y40" si="15">IF(M9="","",(S9-$S$8)+$X$1)</f>
        <v>-0.84054652743538272</v>
      </c>
      <c r="Z9" s="566">
        <f>IF(M9="","",-E9)</f>
        <v>0.10972431014347026</v>
      </c>
      <c r="AA9" s="567">
        <f>IF(M9="","",-F9)</f>
        <v>-0.93193326054478409</v>
      </c>
      <c r="AB9" s="567">
        <f>IF(M9="","",-G9)</f>
        <v>-0.34563079069276686</v>
      </c>
      <c r="AC9" s="571">
        <f>IF(M9="","",SQRT(Z9^2+AA9^2+AB9^2))</f>
        <v>0.99999983491048638</v>
      </c>
      <c r="AD9" s="574">
        <f>IF(M9="","",Z9*(1/SQRT(Z9^2+AA9^2+AB9^2)))</f>
        <v>0.10972432825780624</v>
      </c>
      <c r="AE9" s="567">
        <f>IF(M9="","",AA9*(1/SQRT(Z9^2+AA9^2+AB9^2)))</f>
        <v>-0.93193341439721822</v>
      </c>
      <c r="AF9" s="568">
        <f>IF(M9="","",AB9*(1/SQRT(Z9^2+AA9^2+AB9^2)))</f>
        <v>-0.34563084775279546</v>
      </c>
      <c r="AG9" s="542">
        <f>IF(M9="","",DEGREES(ATAN2(-AF9,AE9)))</f>
        <v>-69.651439608832121</v>
      </c>
      <c r="AH9" s="543">
        <f>IF(M9="","",DEGREES(ACOS(AD9)))</f>
        <v>83.700575449057567</v>
      </c>
      <c r="AI9" s="526">
        <f>IF(M9="","",DEGREES(-ACOS(-AF9)))</f>
        <v>-69.779690192078832</v>
      </c>
      <c r="AJ9" s="544">
        <f>IF(M9="","",DEGREES(ATAN2(-AE9,AD9)))</f>
        <v>6.7149975053903566</v>
      </c>
      <c r="AK9" s="570">
        <f>IF(M9="","",(COS(RADIANS((90-$Q$8)-W9))*AD9)+(-SIN(RADIANS((90-$Q$8)-W9))*AE9))</f>
        <v>0.93836524705207158</v>
      </c>
      <c r="AL9" s="567">
        <f>IF(M9="","",(SIN(RADIANS((90-$Q$8)-W9))*AD9)+(COS(RADIANS((90-$Q$8)-W9))*AE9))</f>
        <v>-3.1591464968540178E-3</v>
      </c>
      <c r="AM9" s="569">
        <f>IF(M9="","",AF9)</f>
        <v>-0.34563084775279546</v>
      </c>
      <c r="AN9" s="524">
        <f t="shared" ref="AN9:AN39" si="16">IF(M9="","",IF(K9="Knuckle",((DEGREES(ATAN2(AK9,AM9))+90)*-1),DEGREES(ATAN2(-AM9,AL9))))</f>
        <v>-0.52368219423338513</v>
      </c>
      <c r="AO9" s="525">
        <f t="shared" ref="AO9:AO72" si="17">IF(M9="","",IF(K9="Knuckle",0,DEGREES(ACOS(AK9))))</f>
        <v>20.221191338649195</v>
      </c>
      <c r="AP9" s="526">
        <f>IF(M9="","",DEGREES(ATAN2(AK9,AL9)))</f>
        <v>-0.19289405468406429</v>
      </c>
      <c r="AQ9" s="527">
        <f>IF(M9="","",DEGREES(ATAN(($AS$5*SIN(RADIANS(90)))/(($X9*2*PI())-($AS$5*COS(RADIANS(90)))))))</f>
        <v>0</v>
      </c>
      <c r="AS9" s="597">
        <f t="shared" ref="AS9:AS36" si="18">IF(M9="","",IF(W9&lt;=LARGE($W$9:$W$17,1),W9,W9-360))</f>
        <v>6.907891560074412</v>
      </c>
      <c r="AT9" s="601">
        <f>IF($M9="","",$Y9+((($AS9-$AS$9)*$AS$6)*-1)-IF($AS9&lt;30,$AS$5,0))</f>
        <v>-0.84054652743538272</v>
      </c>
      <c r="AU9" s="515">
        <f t="shared" ref="AU9:AU40" si="19">IFERROR(ROUNDDOWN(AV9,1),"")</f>
        <v>1.1000000000000001</v>
      </c>
      <c r="AV9" s="163">
        <f>M9</f>
        <v>1.101</v>
      </c>
      <c r="AW9" s="542">
        <f>IF($M9="","",W9-INDEX(Assy.Model!$W$9:$W$150,MATCH('SN#.Run#'!$M9,Assy.Model!$M$9:$M$150,0)))</f>
        <v>-350.78311691789378</v>
      </c>
      <c r="AX9" s="625">
        <f>IF($M9="","",X9-INDEX(Assy.Model!$X$9:$X$150,MATCH('SN#.Run#'!$M9,Assy.Model!$M$9:$M$150,0)))</f>
        <v>-8.6334409317940064E-2</v>
      </c>
      <c r="AY9" s="626">
        <f>IF($M9="","",Y9-INDEX(Assy.Model!$Y$9:$Y$150,MATCH('SN#.Run#'!$M9,Assy.Model!$M$9:$M$150,0)))</f>
        <v>0.76532602355547996</v>
      </c>
      <c r="AZ9" s="627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>0.77238883255871627</v>
      </c>
      <c r="BA9" s="608">
        <f>IF($M9="","",AN9-INDEX(Assy.Model!$AN$9:$AN$150,MATCH('SN#.Run#'!$M9,Assy.Model!$M$9:$M$150,0)))</f>
        <v>-26.04815330405475</v>
      </c>
      <c r="BB9" s="609">
        <f>IF($M9="","",AO9-INDEX(Assy.Model!$AO$9:$AO$150,MATCH('SN#.Run#'!$M9,Assy.Model!$M$9:$M$150,0)))</f>
        <v>-0.7784444663392307</v>
      </c>
      <c r="BC9" s="618">
        <f>IF($M9="","",AP9-INDEX(Assy.Model!$AP$9:$AP$150,MATCH('SN#.Run#'!$M9,Assy.Model!$M$9:$M$150,0)))</f>
        <v>-9.5847306597748876</v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>
        <f>$M9</f>
        <v>1.101</v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>
        <f>IF(ISNUMBER($II9),INDEX($K$9:$K$150,MATCH($II9,$M$9:$M$150,0)),$K9)</f>
        <v>1913</v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cm="1">
        <f t="array" ref="JA9">IFERROR(_xlfn._xlws.SORT(_xlfn.UNIQUE(_xlfn._xlws.FILTER(IF($II$9:$II$150="",$K$9:$K$150,""),IF($II$9:$II$150="",$K$9:$K$150,"")&lt;&gt;"")),,-1),"")</f>
        <v>1913</v>
      </c>
      <c r="JB9" s="727" cm="1">
        <f t="array" ref="JB9">IF($JA9="","",COUNT(IF(IF($II$9:$II$150="",$IJ$9:$IJ$150,"")=$JA9,$IG$9:$IG$150,"")))</f>
        <v>29</v>
      </c>
      <c r="JC9" s="191" cm="1">
        <f t="array" ref="JC9">IF($JA9="","",AVERAGE(IF(IF($II$9:$II$150="",$K$9:$K$150,"")=$JA9,$AZ$9:$AZ$150,"")))</f>
        <v>5.989205195577501</v>
      </c>
      <c r="JD9" s="191" cm="1">
        <f t="array" ref="JD9">IF($JA9="","",_xlfn.STDEV.P(IF(IF($II$9:$II$150="",$K$9:$K$150,"")=$JA9,$AZ$9:$AZ$150,"")))</f>
        <v>4.3626186834067111</v>
      </c>
      <c r="JE9" s="698" cm="1">
        <f t="array" ref="JE9">IF($JA9="","",MAX(IF(IF($II$9:$II$150="",$K$9:$K$150,"")=$JA9,$AZ$9:$AZ$150,"")))</f>
        <v>15.00935571867727</v>
      </c>
    </row>
    <row r="10" spans="1:265" ht="15" customHeight="1" x14ac:dyDescent="0.25">
      <c r="A10" s="75"/>
      <c r="B10" s="578">
        <f t="shared" ref="B10:B40" si="33">INDEX(O$164:O$305,MATCH($M10,$M$164:$M$305,0))</f>
        <v>1.0986167343722995</v>
      </c>
      <c r="C10" s="572">
        <f t="shared" si="10"/>
        <v>1.9635273154469498E-2</v>
      </c>
      <c r="D10" s="576">
        <f t="shared" si="11"/>
        <v>-0.6715473180686613</v>
      </c>
      <c r="E10" s="580">
        <f t="shared" si="12"/>
        <v>-4.4200012245696828E-2</v>
      </c>
      <c r="F10" s="572">
        <f t="shared" si="13"/>
        <v>0.95400957281753118</v>
      </c>
      <c r="G10" s="579">
        <f t="shared" si="14"/>
        <v>0.29649995045529476</v>
      </c>
      <c r="H10" s="580">
        <f t="shared" ref="H10:H73" si="34">IF(INDEX(H$164:H$305,MATCH($M10,$M$164:$M$305,0))=0,"",INDEX(H$164:H$305,MATCH($M10,$M$164:$M$305,0)))</f>
        <v>0.32597999999999999</v>
      </c>
      <c r="I10" s="482"/>
      <c r="J10" s="483">
        <v>1.103</v>
      </c>
      <c r="K10" s="806">
        <f>IF(INDEX(N$164:N$305,MATCH($M10,$M$164:$M$305,0))=0,"",INDEX(N$164:N$305,MATCH($M10,$M$164:$M$305,0)))</f>
        <v>1913</v>
      </c>
      <c r="L10" s="31"/>
      <c r="M10" s="164">
        <f t="shared" ref="M10:M48" si="35">IF(J10="","",J10)</f>
        <v>1.103</v>
      </c>
      <c r="N10" s="575">
        <f t="shared" ref="N10:N48" si="36">IF(M10="","",B10)</f>
        <v>1.0986167343722995</v>
      </c>
      <c r="O10" s="572">
        <f t="shared" ref="O10:O48" si="37">IF(M10="","",C10)</f>
        <v>1.9635273154469498E-2</v>
      </c>
      <c r="P10" s="576">
        <f t="shared" ref="P10:P48" si="38">IF(M10="","",D10)</f>
        <v>-0.6715473180686613</v>
      </c>
      <c r="Q10" s="528">
        <f>IF(M10="","",IF(DEGREES(ATAN2(N10,O10))&lt;0,DEGREES(ATAN2(N10,O10))+360,IF(DEGREES(ATAN2(N10,O10))&gt;360,DEGREES(ATAN2(N10,O10))-360,DEGREES(ATAN2(N10,O10)))))</f>
        <v>1.0239226104135257</v>
      </c>
      <c r="R10" s="572">
        <f t="shared" ref="R10:R48" si="39">IF(M10="","",SQRT(N10^2+O10^2))</f>
        <v>1.0987921882661462</v>
      </c>
      <c r="S10" s="577">
        <f t="shared" ref="S10:S48" si="40">IF(M10="","",P10)</f>
        <v>-0.6715473180686613</v>
      </c>
      <c r="T10" s="578">
        <f t="shared" ref="T10:T48" si="41">IF(M10="","",X10*COS(RADIANS(W10)))</f>
        <v>1.0986167343722995</v>
      </c>
      <c r="U10" s="572">
        <f t="shared" ref="U10:U48" si="42">IF(M10="","",X10*SIN(RADIANS(W10)))</f>
        <v>1.9635273154469501E-2</v>
      </c>
      <c r="V10" s="579">
        <f t="shared" ref="V10:V48" si="43">IF(M10="","",Y10)</f>
        <v>-0.6715473180686613</v>
      </c>
      <c r="W10" s="528">
        <f>IF(M10="","",IF(Q10-$Q$8&lt;0,360+Q10-$Q$8,Q10-$Q$8))</f>
        <v>1.0239226104135257</v>
      </c>
      <c r="X10" s="572">
        <f t="shared" ref="X10:X48" si="44">IF(M10="","",R10)</f>
        <v>1.0987921882661462</v>
      </c>
      <c r="Y10" s="573">
        <f t="shared" si="15"/>
        <v>-0.6715473180686613</v>
      </c>
      <c r="Z10" s="575">
        <f t="shared" ref="Z10:Z48" si="45">IF(M10="","",-E10)</f>
        <v>4.4200012245696828E-2</v>
      </c>
      <c r="AA10" s="572">
        <f t="shared" ref="AA10:AA48" si="46">IF(M10="","",-F10)</f>
        <v>-0.95400957281753118</v>
      </c>
      <c r="AB10" s="572">
        <f t="shared" ref="AB10:AB48" si="47">IF(M10="","",-G10)</f>
        <v>-0.29649995045529476</v>
      </c>
      <c r="AC10" s="579">
        <f t="shared" ref="AC10:AC48" si="48">IF(M10="","",SQRT(Z10^2+AA10^2+AB10^2))</f>
        <v>1.0000000633649981</v>
      </c>
      <c r="AD10" s="580">
        <f t="shared" ref="AD10:AD48" si="49">IF(M10="","",Z10*(1/SQRT(Z10^2+AA10^2+AB10^2)))</f>
        <v>4.4200009444963308E-2</v>
      </c>
      <c r="AE10" s="572">
        <f t="shared" ref="AE10:AE48" si="50">IF(M10="","",AA10*(1/SQRT(Z10^2+AA10^2+AB10^2)))</f>
        <v>-0.95400951236672016</v>
      </c>
      <c r="AF10" s="576">
        <f t="shared" ref="AF10:AF48" si="51">IF(M10="","",AB10*(1/SQRT(Z10^2+AA10^2+AB10^2)))</f>
        <v>-0.29649993166757715</v>
      </c>
      <c r="AG10" s="545">
        <f t="shared" ref="AG10:AG48" si="52">IF(M10="","",DEGREES(ATAN2(-AF10,AE10)))</f>
        <v>-72.735096270495816</v>
      </c>
      <c r="AH10" s="546">
        <f t="shared" ref="AH10:AH48" si="53">IF(M10="","",DEGREES(ACOS(AD10)))</f>
        <v>87.466700687823163</v>
      </c>
      <c r="AI10" s="528">
        <f t="shared" ref="AI10:AI48" si="54">IF(M10="","",DEGREES(-ACOS(-AF10)))</f>
        <v>-72.752498345354127</v>
      </c>
      <c r="AJ10" s="529">
        <f t="shared" ref="AJ10:AJ48" si="55">IF(M10="","",DEGREES(ATAN2(-AE10,AD10)))</f>
        <v>2.6526615015087467</v>
      </c>
      <c r="AK10" s="578">
        <f t="shared" ref="AK10:AK48" si="56">IF(M10="","",(COS(RADIANS((90-$Q$8)-W10))*AD10)+(-SIN(RADIANS((90-$Q$8)-W10))*AE10))</f>
        <v>0.95464702561322012</v>
      </c>
      <c r="AL10" s="572">
        <f t="shared" ref="AL10:AL48" si="57">IF(M10="","",(SIN(RADIANS((90-$Q$8)-W10))*AD10)+(COS(RADIANS((90-$Q$8)-W10))*AE10))</f>
        <v>2.7144926025942182E-2</v>
      </c>
      <c r="AM10" s="577">
        <f t="shared" ref="AM10:AM48" si="58">IF(M10="","",AF10)</f>
        <v>-0.29649993166757715</v>
      </c>
      <c r="AN10" s="524">
        <f t="shared" si="16"/>
        <v>5.2309156567543447</v>
      </c>
      <c r="AO10" s="525">
        <f t="shared" si="17"/>
        <v>17.321907584018806</v>
      </c>
      <c r="AP10" s="528">
        <f t="shared" ref="AP10:AP48" si="59">IF(M10="","",DEGREES(ATAN2(AK10,AL10)))</f>
        <v>1.6287388910952261</v>
      </c>
      <c r="AQ10" s="529">
        <f t="shared" ref="AQ10:AQ73" si="60">IF(M10="","",DEGREES(ATAN(($AS$5*SIN(RADIANS(90)))/(($X10*2*PI())-($AS$5*COS(RADIANS(90)))))))</f>
        <v>0</v>
      </c>
      <c r="AS10" s="598">
        <f t="shared" si="18"/>
        <v>1.0239226104135257</v>
      </c>
      <c r="AT10" s="602">
        <f t="shared" ref="AT10:AT73" si="61">IF($M10="","",$Y10+((($AS10-$AS$9)*$AS$6)*-1)-IF($AS10&lt;30,$AS$5,0))</f>
        <v>-0.6715473180686613</v>
      </c>
      <c r="AU10" s="515">
        <f t="shared" si="19"/>
        <v>1.1000000000000001</v>
      </c>
      <c r="AV10" s="164">
        <f>M10</f>
        <v>1.103</v>
      </c>
      <c r="AW10" s="545">
        <f>IF($M10="","",W10-INDEX(Assy.Model!$W$9:$W$150,MATCH('SN#.Run#'!$M10,Assy.Model!$M$9:$M$150,0)))</f>
        <v>-358.42217734622233</v>
      </c>
      <c r="AX10" s="628">
        <f>IF($M10="","",X10-INDEX(Assy.Model!$X$9:$X$150,MATCH('SN#.Run#'!$M10,Assy.Model!$M$9:$M$150,0)))</f>
        <v>-0.1606732009895222</v>
      </c>
      <c r="AY10" s="629">
        <f>IF($M10="","",Y10-INDEX(Assy.Model!$Y$9:$Y$150,MATCH('SN#.Run#'!$M10,Assy.Model!$M$9:$M$150,0)))</f>
        <v>0.62280676781529198</v>
      </c>
      <c r="AZ10" s="602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>0.64401363199497341</v>
      </c>
      <c r="BA10" s="610">
        <f>IF($M10="","",AN10-INDEX(Assy.Model!$AN$9:$AN$150,MATCH('SN#.Run#'!$M10,Assy.Model!$M$9:$M$150,0)))</f>
        <v>-14.849220182308326</v>
      </c>
      <c r="BB10" s="525">
        <f>IF($M10="","",AO10-INDEX(Assy.Model!$AO$9:$AO$150,MATCH('SN#.Run#'!$M10,Assy.Model!$M$9:$M$150,0)))</f>
        <v>2.0423498849041017</v>
      </c>
      <c r="BC10" s="619">
        <f>IF($M10="","",AP10-INDEX(Assy.Model!$AP$9:$AP$150,MATCH('SN#.Run#'!$M10,Assy.Model!$M$9:$M$150,0)))</f>
        <v>-3.729581119998798</v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>
        <f>$M10</f>
        <v>1.103</v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>
        <f t="shared" ref="IJ10:IJ73" si="62">IF(ISNUMBER($II10),INDEX($K$9:$K$150,MATCH($II10,$M$9:$M$150,0)),$K10)</f>
        <v>1913</v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>
        <f t="shared" si="33"/>
        <v>1.828574937848594</v>
      </c>
      <c r="C11" s="572">
        <f t="shared" si="10"/>
        <v>8.7420729399469519E-3</v>
      </c>
      <c r="D11" s="576">
        <f t="shared" si="11"/>
        <v>-0.45413743355844144</v>
      </c>
      <c r="E11" s="580">
        <f t="shared" si="12"/>
        <v>-7.7260038569436737E-2</v>
      </c>
      <c r="F11" s="572">
        <f t="shared" si="13"/>
        <v>0.94301818000888238</v>
      </c>
      <c r="G11" s="579">
        <f t="shared" si="14"/>
        <v>0.32364698663974056</v>
      </c>
      <c r="H11" s="580">
        <f t="shared" si="34"/>
        <v>0.31610500000000002</v>
      </c>
      <c r="I11" s="482"/>
      <c r="J11" s="483">
        <v>1.1060000000000001</v>
      </c>
      <c r="K11" s="806">
        <f>IF(INDEX(N$164:N$305,MATCH($M11,$M$164:$M$305,0))=0,"",INDEX(N$164:N$305,MATCH($M11,$M$164:$M$305,0)))</f>
        <v>1913</v>
      </c>
      <c r="L11" s="720" t="s">
        <v>323</v>
      </c>
      <c r="M11" s="164">
        <f t="shared" si="35"/>
        <v>1.1060000000000001</v>
      </c>
      <c r="N11" s="575">
        <f t="shared" si="36"/>
        <v>1.828574937848594</v>
      </c>
      <c r="O11" s="572">
        <f t="shared" si="37"/>
        <v>8.7420729399469519E-3</v>
      </c>
      <c r="P11" s="576">
        <f t="shared" si="38"/>
        <v>-0.45413743355844144</v>
      </c>
      <c r="Q11" s="528">
        <f t="shared" ref="Q11:Q48" si="63">IF(M11="","",IF(DEGREES(ATAN2(N11,O11))&lt;0,DEGREES(ATAN2(N11,O11))+360,IF(DEGREES(ATAN2(N11,O11))&gt;360,DEGREES(ATAN2(N11,O11))-360,DEGREES(ATAN2(N11,O11)))))</f>
        <v>0.27391826128906499</v>
      </c>
      <c r="R11" s="572">
        <f t="shared" si="39"/>
        <v>1.8285958348326392</v>
      </c>
      <c r="S11" s="577">
        <f t="shared" si="40"/>
        <v>-0.45413743355844144</v>
      </c>
      <c r="T11" s="578">
        <f t="shared" si="41"/>
        <v>1.828574937848594</v>
      </c>
      <c r="U11" s="572">
        <f t="shared" si="42"/>
        <v>8.7420729399469502E-3</v>
      </c>
      <c r="V11" s="579">
        <f t="shared" si="43"/>
        <v>-0.45413743355844144</v>
      </c>
      <c r="W11" s="528">
        <f>IF(M11="","",IF(Q11-$Q$8&lt;0,360+Q11-$Q$8,Q11-$Q$8))</f>
        <v>0.27391826128906499</v>
      </c>
      <c r="X11" s="572">
        <f t="shared" si="44"/>
        <v>1.8285958348326392</v>
      </c>
      <c r="Y11" s="573">
        <f t="shared" si="15"/>
        <v>-0.45413743355844144</v>
      </c>
      <c r="Z11" s="575">
        <f t="shared" si="45"/>
        <v>7.7260038569436737E-2</v>
      </c>
      <c r="AA11" s="572">
        <f t="shared" si="46"/>
        <v>-0.94301818000888238</v>
      </c>
      <c r="AB11" s="572">
        <f t="shared" si="47"/>
        <v>-0.32364698663974056</v>
      </c>
      <c r="AC11" s="579">
        <f t="shared" si="48"/>
        <v>0.99999988667399364</v>
      </c>
      <c r="AD11" s="580">
        <f t="shared" si="49"/>
        <v>7.7260047325009351E-2</v>
      </c>
      <c r="AE11" s="572">
        <f t="shared" si="50"/>
        <v>-0.94301828687737876</v>
      </c>
      <c r="AF11" s="576">
        <f t="shared" si="51"/>
        <v>-0.32364702331736522</v>
      </c>
      <c r="AG11" s="545">
        <f t="shared" si="52"/>
        <v>-71.057608402275548</v>
      </c>
      <c r="AH11" s="546">
        <f t="shared" si="53"/>
        <v>85.568909603538074</v>
      </c>
      <c r="AI11" s="528">
        <f t="shared" si="54"/>
        <v>-71.116374556081865</v>
      </c>
      <c r="AJ11" s="529">
        <f t="shared" si="55"/>
        <v>4.6836949447869269</v>
      </c>
      <c r="AK11" s="578">
        <f>IF(M11="","",(COS(RADIANS((90-$Q$8)-W11))*AD11)+(-SIN(RADIANS((90-$Q$8)-W11))*AE11))</f>
        <v>0.94337687170978046</v>
      </c>
      <c r="AL11" s="572">
        <f t="shared" si="57"/>
        <v>7.2750822819246899E-2</v>
      </c>
      <c r="AM11" s="577">
        <f t="shared" si="58"/>
        <v>-0.32364702331736522</v>
      </c>
      <c r="AN11" s="524">
        <f t="shared" si="16"/>
        <v>12.668628731460631</v>
      </c>
      <c r="AO11" s="525">
        <f t="shared" si="17"/>
        <v>19.373381502726541</v>
      </c>
      <c r="AP11" s="528">
        <f t="shared" si="59"/>
        <v>4.4097766834978502</v>
      </c>
      <c r="AQ11" s="529">
        <f t="shared" si="60"/>
        <v>0</v>
      </c>
      <c r="AS11" s="598">
        <f t="shared" si="18"/>
        <v>0.27391826128906499</v>
      </c>
      <c r="AT11" s="602">
        <f t="shared" si="61"/>
        <v>-0.45413743355844144</v>
      </c>
      <c r="AU11" s="515">
        <f t="shared" si="19"/>
        <v>1.1000000000000001</v>
      </c>
      <c r="AV11" s="164">
        <f t="shared" ref="AV11:AV48" si="64">M11</f>
        <v>1.1060000000000001</v>
      </c>
      <c r="AW11" s="545">
        <f>IF($M11="","",W11-INDEX(Assy.Model!$W$9:$W$150,MATCH('SN#.Run#'!$M11,Assy.Model!$M$9:$M$150,0)))</f>
        <v>-359.55970763619155</v>
      </c>
      <c r="AX11" s="628">
        <f>IF($M11="","",X11-INDEX(Assy.Model!$X$9:$X$150,MATCH('SN#.Run#'!$M11,Assy.Model!$M$9:$M$150,0)))</f>
        <v>-0.42414606998063697</v>
      </c>
      <c r="AY11" s="629">
        <f>IF($M11="","",Y11-INDEX(Assy.Model!$Y$9:$Y$150,MATCH('SN#.Run#'!$M11,Assy.Model!$M$9:$M$150,0)))</f>
        <v>0.47868798429728104</v>
      </c>
      <c r="AZ11" s="602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>0.63975411782566838</v>
      </c>
      <c r="BA11" s="610">
        <f>IF($M11="","",AN11-INDEX(Assy.Model!$AN$9:$AN$150,MATCH('SN#.Run#'!$M11,Assy.Model!$M$9:$M$150,0)))</f>
        <v>-3.0959029978108763</v>
      </c>
      <c r="BB11" s="525">
        <f>IF($M11="","",AO11-INDEX(Assy.Model!$AO$9:$AO$150,MATCH('SN#.Run#'!$M11,Assy.Model!$M$9:$M$150,0)))</f>
        <v>4.2471729614657949</v>
      </c>
      <c r="BC11" s="619">
        <f>IF($M11="","",AP11-INDEX(Assy.Model!$AP$9:$AP$150,MATCH('SN#.Run#'!$M11,Assy.Model!$M$9:$M$150,0)))</f>
        <v>0.20954609491978982</v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>
        <f t="shared" ref="IG11:IG74" si="65">$M11</f>
        <v>1.1060000000000001</v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>
        <f t="shared" si="62"/>
        <v>1913</v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>
        <f t="shared" si="33"/>
        <v>2.5707592981659881</v>
      </c>
      <c r="C12" s="572">
        <f t="shared" si="10"/>
        <v>9.3127105046480509E-3</v>
      </c>
      <c r="D12" s="576">
        <f t="shared" si="11"/>
        <v>-0.24542993454120404</v>
      </c>
      <c r="E12" s="580">
        <f t="shared" si="12"/>
        <v>-6.174439486473015E-2</v>
      </c>
      <c r="F12" s="572">
        <f t="shared" si="13"/>
        <v>0.94231696609733928</v>
      </c>
      <c r="G12" s="579">
        <f t="shared" si="14"/>
        <v>0.3289786149537603</v>
      </c>
      <c r="H12" s="580">
        <f t="shared" si="34"/>
        <v>0.31207499999999999</v>
      </c>
      <c r="I12" s="482"/>
      <c r="J12" s="483">
        <v>1.1100000000000001</v>
      </c>
      <c r="K12" s="806">
        <f t="shared" ref="K12:K75" si="66">IF(INDEX(N$164:N$305,MATCH($M12,$M$164:$M$305,0))=0,"",INDEX(N$164:N$305,MATCH($M12,$M$164:$M$305,0)))</f>
        <v>1913</v>
      </c>
      <c r="L12" s="716" t="s">
        <v>357</v>
      </c>
      <c r="M12" s="164">
        <f>IF(J12="","",J12)</f>
        <v>1.1100000000000001</v>
      </c>
      <c r="N12" s="575">
        <f t="shared" si="36"/>
        <v>2.5707592981659881</v>
      </c>
      <c r="O12" s="572">
        <f t="shared" si="37"/>
        <v>9.3127105046480509E-3</v>
      </c>
      <c r="P12" s="576">
        <f t="shared" si="38"/>
        <v>-0.24542993454120404</v>
      </c>
      <c r="Q12" s="528">
        <f>IF(M12="","",IF(DEGREES(ATAN2(N12,O12))&lt;0,DEGREES(ATAN2(N12,O12))+360,IF(DEGREES(ATAN2(N12,O12))&gt;360,DEGREES(ATAN2(N12,O12))-360,DEGREES(ATAN2(N12,O12)))))</f>
        <v>0.20755606100899993</v>
      </c>
      <c r="R12" s="572">
        <f t="shared" si="39"/>
        <v>2.5707761660019774</v>
      </c>
      <c r="S12" s="577">
        <f t="shared" si="40"/>
        <v>-0.24542993454120404</v>
      </c>
      <c r="T12" s="578">
        <f t="shared" si="41"/>
        <v>2.5707592981659881</v>
      </c>
      <c r="U12" s="572">
        <f t="shared" si="42"/>
        <v>9.3127105046480509E-3</v>
      </c>
      <c r="V12" s="579">
        <f t="shared" si="43"/>
        <v>-0.24542993454120404</v>
      </c>
      <c r="W12" s="528">
        <f>IF(M12="","",IF(Q12-$Q$8&lt;0,360+Q12-$Q$8,Q12-$Q$8))</f>
        <v>0.20755606100899993</v>
      </c>
      <c r="X12" s="572">
        <f t="shared" si="44"/>
        <v>2.5707761660019774</v>
      </c>
      <c r="Y12" s="573">
        <f t="shared" si="15"/>
        <v>-0.24542993454120404</v>
      </c>
      <c r="Z12" s="575">
        <f>IF(M12="","",-E12)</f>
        <v>6.174439486473015E-2</v>
      </c>
      <c r="AA12" s="572">
        <f t="shared" si="46"/>
        <v>-0.94231696609733928</v>
      </c>
      <c r="AB12" s="572">
        <f t="shared" si="47"/>
        <v>-0.3289786149537603</v>
      </c>
      <c r="AC12" s="579">
        <f t="shared" si="48"/>
        <v>1.0000002819944604</v>
      </c>
      <c r="AD12" s="580">
        <f t="shared" si="49"/>
        <v>6.1744377453157744E-2</v>
      </c>
      <c r="AE12" s="572">
        <f t="shared" si="50"/>
        <v>-0.94231670036924975</v>
      </c>
      <c r="AF12" s="576">
        <f t="shared" si="51"/>
        <v>-0.32897852218363943</v>
      </c>
      <c r="AG12" s="545">
        <f>IF(M12="","",DEGREES(ATAN2(-AF12,AE12)))</f>
        <v>-70.755051107391111</v>
      </c>
      <c r="AH12" s="546">
        <f t="shared" si="53"/>
        <v>86.460056067329901</v>
      </c>
      <c r="AI12" s="528">
        <f t="shared" si="54"/>
        <v>-70.793212321619109</v>
      </c>
      <c r="AJ12" s="529">
        <f t="shared" si="55"/>
        <v>3.7488907199506247</v>
      </c>
      <c r="AK12" s="578">
        <f>IF(M12="","",(COS(RADIANS((90-$Q$8)-W12))*AD12)+(-SIN(RADIANS((90-$Q$8)-W12))*AE12))</f>
        <v>0.94253418825339663</v>
      </c>
      <c r="AL12" s="572">
        <f t="shared" si="57"/>
        <v>5.833040301060044E-2</v>
      </c>
      <c r="AM12" s="577">
        <f t="shared" si="58"/>
        <v>-0.32897852218363943</v>
      </c>
      <c r="AN12" s="524">
        <f t="shared" si="16"/>
        <v>10.054483820435118</v>
      </c>
      <c r="AO12" s="525">
        <f t="shared" si="17"/>
        <v>19.518409483891677</v>
      </c>
      <c r="AP12" s="528">
        <f t="shared" si="59"/>
        <v>3.5413346589416239</v>
      </c>
      <c r="AQ12" s="529">
        <f t="shared" si="60"/>
        <v>0</v>
      </c>
      <c r="AS12" s="598">
        <f>IF(M12="","",IF(W12&lt;=LARGE($W$9:$W$17,1),W12,W12-360))</f>
        <v>0.20755606100899993</v>
      </c>
      <c r="AT12" s="602">
        <f t="shared" si="61"/>
        <v>-0.24542993454120404</v>
      </c>
      <c r="AU12" s="515">
        <f t="shared" si="19"/>
        <v>1.1000000000000001</v>
      </c>
      <c r="AV12" s="164">
        <f t="shared" si="64"/>
        <v>1.1100000000000001</v>
      </c>
      <c r="AW12" s="545">
        <f>IF($M12="","",W12-INDEX(Assy.Model!$W$9:$W$150,MATCH('SN#.Run#'!$M12,Assy.Model!$M$9:$M$150,0)))</f>
        <v>-359.77640810038491</v>
      </c>
      <c r="AX12" s="628">
        <f>IF($M12="","",X12-INDEX(Assy.Model!$X$9:$X$150,MATCH('SN#.Run#'!$M12,Assy.Model!$M$9:$M$150,0)))</f>
        <v>-0.67508997930159031</v>
      </c>
      <c r="AY12" s="629">
        <f>IF($M12="","",Y12-INDEX(Assy.Model!$Y$9:$Y$150,MATCH('SN#.Run#'!$M12,Assy.Model!$M$9:$M$150,0)))</f>
        <v>0.32586951247155133</v>
      </c>
      <c r="AZ12" s="602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>0.749709606864147</v>
      </c>
      <c r="BA12" s="610">
        <f>IF($M12="","",AN12-INDEX(Assy.Model!$AN$9:$AN$150,MATCH('SN#.Run#'!$M12,Assy.Model!$M$9:$M$150,0)))</f>
        <v>-1.1936578054252909</v>
      </c>
      <c r="BB12" s="525">
        <f>IF($M12="","",AO12-INDEX(Assy.Model!$AO$9:$AO$150,MATCH('SN#.Run#'!$M12,Assy.Model!$M$9:$M$150,0)))</f>
        <v>4.455537500293735</v>
      </c>
      <c r="BC12" s="619">
        <f>IF($M12="","",AP12-INDEX(Assy.Model!$AP$9:$AP$150,MATCH('SN#.Run#'!$M12,Assy.Model!$M$9:$M$150,0)))</f>
        <v>0.53633684028181561</v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>
        <f t="shared" si="65"/>
        <v>1.1100000000000001</v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>
        <f t="shared" si="62"/>
        <v>1913</v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>
        <f t="shared" si="33"/>
        <v>3.3191301986351713</v>
      </c>
      <c r="C13" s="572">
        <f t="shared" si="10"/>
        <v>-3.2085282382775973E-3</v>
      </c>
      <c r="D13" s="576">
        <f t="shared" si="11"/>
        <v>-8.0281461186808512E-2</v>
      </c>
      <c r="E13" s="580">
        <f t="shared" si="12"/>
        <v>-2.694482600731158E-2</v>
      </c>
      <c r="F13" s="572">
        <f t="shared" si="13"/>
        <v>0.94882839366892879</v>
      </c>
      <c r="G13" s="579">
        <f t="shared" si="14"/>
        <v>0.31463973133899703</v>
      </c>
      <c r="H13" s="580">
        <f t="shared" si="34"/>
        <v>0.30340699999999998</v>
      </c>
      <c r="I13" s="482"/>
      <c r="J13" s="483">
        <v>1.115</v>
      </c>
      <c r="K13" s="806">
        <f t="shared" si="66"/>
        <v>1913</v>
      </c>
      <c r="L13" s="717" t="str">
        <f>IF($L12=$JH$22,$JH$29,IF($L12=$JI$22,$JI$29,""))</f>
        <v/>
      </c>
      <c r="M13" s="164">
        <f t="shared" si="35"/>
        <v>1.115</v>
      </c>
      <c r="N13" s="575">
        <f t="shared" si="36"/>
        <v>3.3191301986351713</v>
      </c>
      <c r="O13" s="572">
        <f t="shared" si="37"/>
        <v>-3.2085282382775973E-3</v>
      </c>
      <c r="P13" s="576">
        <f t="shared" si="38"/>
        <v>-8.0281461186808512E-2</v>
      </c>
      <c r="Q13" s="528">
        <f t="shared" si="63"/>
        <v>359.94461348056939</v>
      </c>
      <c r="R13" s="572">
        <f t="shared" si="39"/>
        <v>3.3191317494407189</v>
      </c>
      <c r="S13" s="577">
        <f t="shared" si="40"/>
        <v>-8.0281461186808512E-2</v>
      </c>
      <c r="T13" s="578">
        <f t="shared" si="41"/>
        <v>3.3191301986351713</v>
      </c>
      <c r="U13" s="572">
        <f t="shared" si="42"/>
        <v>-3.2085282382791438E-3</v>
      </c>
      <c r="V13" s="579">
        <f t="shared" si="43"/>
        <v>-8.0281461186808512E-2</v>
      </c>
      <c r="W13" s="528">
        <f t="shared" ref="W13:W48" si="67">IF(M13="","",IF(Q13-$Q$8&lt;0,360+Q13-$Q$8,Q13-$Q$8))</f>
        <v>359.94461348056939</v>
      </c>
      <c r="X13" s="572">
        <f t="shared" si="44"/>
        <v>3.3191317494407189</v>
      </c>
      <c r="Y13" s="573">
        <f t="shared" si="15"/>
        <v>-8.0281461186808512E-2</v>
      </c>
      <c r="Z13" s="575">
        <f t="shared" si="45"/>
        <v>2.694482600731158E-2</v>
      </c>
      <c r="AA13" s="572">
        <f t="shared" si="46"/>
        <v>-0.94882839366892879</v>
      </c>
      <c r="AB13" s="572">
        <f t="shared" si="47"/>
        <v>-0.31463973133899703</v>
      </c>
      <c r="AC13" s="579">
        <f t="shared" si="48"/>
        <v>0.99999975240896943</v>
      </c>
      <c r="AD13" s="580">
        <f t="shared" si="49"/>
        <v>2.6944832678610472E-2</v>
      </c>
      <c r="AE13" s="572">
        <f t="shared" si="50"/>
        <v>-0.94882862859038675</v>
      </c>
      <c r="AF13" s="576">
        <f t="shared" si="51"/>
        <v>-0.31463980924099166</v>
      </c>
      <c r="AG13" s="545">
        <f t="shared" si="52"/>
        <v>-71.654030955643236</v>
      </c>
      <c r="AH13" s="546">
        <f t="shared" si="53"/>
        <v>88.455987937744879</v>
      </c>
      <c r="AI13" s="528">
        <f t="shared" si="54"/>
        <v>-71.660929217706496</v>
      </c>
      <c r="AJ13" s="529">
        <f t="shared" si="55"/>
        <v>1.6266482084832152</v>
      </c>
      <c r="AK13" s="578">
        <f t="shared" si="56"/>
        <v>0.9488021383176698</v>
      </c>
      <c r="AL13" s="572">
        <f t="shared" si="57"/>
        <v>2.7862030877337206E-2</v>
      </c>
      <c r="AM13" s="577">
        <f t="shared" si="58"/>
        <v>-0.31463980924099166</v>
      </c>
      <c r="AN13" s="524">
        <f t="shared" si="16"/>
        <v>5.0604646965613531</v>
      </c>
      <c r="AO13" s="525">
        <f t="shared" si="17"/>
        <v>18.413404577633841</v>
      </c>
      <c r="AP13" s="528">
        <f t="shared" si="59"/>
        <v>1.6820347279138304</v>
      </c>
      <c r="AQ13" s="529">
        <f t="shared" si="60"/>
        <v>0</v>
      </c>
      <c r="AS13" s="598">
        <f t="shared" si="18"/>
        <v>359.94461348056939</v>
      </c>
      <c r="AT13" s="602">
        <f t="shared" si="61"/>
        <v>-8.0281461186808512E-2</v>
      </c>
      <c r="AU13" s="515">
        <f t="shared" si="19"/>
        <v>1.1000000000000001</v>
      </c>
      <c r="AV13" s="164">
        <f t="shared" si="64"/>
        <v>1.115</v>
      </c>
      <c r="AW13" s="545">
        <f>IF($M13="","",W13-INDEX(Assy.Model!$W$9:$W$150,MATCH('SN#.Run#'!$M13,Assy.Model!$M$9:$M$150,0)))</f>
        <v>359.94461348056939</v>
      </c>
      <c r="AX13" s="628">
        <f>IF($M13="","",X13-INDEX(Assy.Model!$X$9:$X$150,MATCH('SN#.Run#'!$M13,Assy.Model!$M$9:$M$150,0)))</f>
        <v>-0.78077727965875976</v>
      </c>
      <c r="AY13" s="629">
        <f>IF($M13="","",Y13-INDEX(Assy.Model!$Y$9:$Y$150,MATCH('SN#.Run#'!$M13,Assy.Model!$M$9:$M$150,0)))</f>
        <v>0.18957601963896503</v>
      </c>
      <c r="AZ13" s="602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>0.80347056198520461</v>
      </c>
      <c r="BA13" s="610">
        <f>IF($M13="","",AN13-INDEX(Assy.Model!$AN$9:$AN$150,MATCH('SN#.Run#'!$M13,Assy.Model!$M$9:$M$150,0)))</f>
        <v>-0.94156470685711557</v>
      </c>
      <c r="BB13" s="525">
        <f>IF($M13="","",AO13-INDEX(Assy.Model!$AO$9:$AO$150,MATCH('SN#.Run#'!$M13,Assy.Model!$M$9:$M$150,0)))</f>
        <v>3.3875249771240146</v>
      </c>
      <c r="BC13" s="619">
        <f>IF($M13="","",AP13-INDEX(Assy.Model!$AP$9:$AP$150,MATCH('SN#.Run#'!$M13,Assy.Model!$M$9:$M$150,0)))</f>
        <v>7.4256984615846733E-2</v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>
        <f t="shared" si="65"/>
        <v>1.115</v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>
        <f t="shared" si="62"/>
        <v>1913</v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>
        <f t="shared" si="33"/>
        <v>4.7998735182323236</v>
      </c>
      <c r="C14" s="572">
        <f t="shared" si="10"/>
        <v>-3.5994505590147802E-2</v>
      </c>
      <c r="D14" s="576">
        <f t="shared" si="11"/>
        <v>-0.24317533173904454</v>
      </c>
      <c r="E14" s="580">
        <f t="shared" si="12"/>
        <v>0.15617007293333715</v>
      </c>
      <c r="F14" s="572">
        <f t="shared" si="13"/>
        <v>0.94194541927738362</v>
      </c>
      <c r="G14" s="579">
        <f t="shared" si="14"/>
        <v>0.29723625046644347</v>
      </c>
      <c r="H14" s="580">
        <f t="shared" si="34"/>
        <v>0.31226500000000001</v>
      </c>
      <c r="I14" s="482"/>
      <c r="J14" s="483">
        <v>1.125</v>
      </c>
      <c r="K14" s="806">
        <f t="shared" si="66"/>
        <v>1913</v>
      </c>
      <c r="L14" s="719" t="s">
        <v>358</v>
      </c>
      <c r="M14" s="164">
        <f t="shared" si="35"/>
        <v>1.125</v>
      </c>
      <c r="N14" s="575">
        <f t="shared" si="36"/>
        <v>4.7998735182323236</v>
      </c>
      <c r="O14" s="572">
        <f t="shared" si="37"/>
        <v>-3.5994505590147802E-2</v>
      </c>
      <c r="P14" s="576">
        <f>IF(M14="","",D14)</f>
        <v>-0.24317533173904454</v>
      </c>
      <c r="Q14" s="528">
        <f t="shared" si="63"/>
        <v>359.57034397042696</v>
      </c>
      <c r="R14" s="572">
        <f t="shared" si="39"/>
        <v>4.8000084786863271</v>
      </c>
      <c r="S14" s="577">
        <f>IF(M14="","",P14)</f>
        <v>-0.24317533173904454</v>
      </c>
      <c r="T14" s="578">
        <f t="shared" si="41"/>
        <v>4.7998735182323244</v>
      </c>
      <c r="U14" s="572">
        <f t="shared" si="42"/>
        <v>-3.5994505590147857E-2</v>
      </c>
      <c r="V14" s="579">
        <f t="shared" si="43"/>
        <v>-0.24317533173904454</v>
      </c>
      <c r="W14" s="528">
        <f t="shared" si="67"/>
        <v>359.57034397042696</v>
      </c>
      <c r="X14" s="572">
        <f t="shared" si="44"/>
        <v>4.8000084786863271</v>
      </c>
      <c r="Y14" s="573">
        <f t="shared" si="15"/>
        <v>-0.24317533173904454</v>
      </c>
      <c r="Z14" s="575">
        <f t="shared" si="45"/>
        <v>-0.15617007293333715</v>
      </c>
      <c r="AA14" s="572">
        <f t="shared" si="46"/>
        <v>-0.94194541927738362</v>
      </c>
      <c r="AB14" s="572">
        <f t="shared" si="47"/>
        <v>-0.29723625046644347</v>
      </c>
      <c r="AC14" s="579">
        <f>IF(M14="","",SQRT(Z14^2+AA14^2+AB14^2))</f>
        <v>0.99999982658448505</v>
      </c>
      <c r="AD14" s="580">
        <f>IF(M14="","",Z14*(1/SQRT(Z14^2+AA14^2+AB14^2)))</f>
        <v>-0.15617010001565546</v>
      </c>
      <c r="AE14" s="572">
        <f t="shared" si="50"/>
        <v>-0.94194558262536188</v>
      </c>
      <c r="AF14" s="576">
        <f t="shared" si="51"/>
        <v>-0.29723630201182988</v>
      </c>
      <c r="AG14" s="545">
        <f t="shared" si="52"/>
        <v>-72.486611858464329</v>
      </c>
      <c r="AH14" s="546">
        <f t="shared" si="53"/>
        <v>98.984664515449097</v>
      </c>
      <c r="AI14" s="528">
        <f t="shared" si="54"/>
        <v>-72.708315606507227</v>
      </c>
      <c r="AJ14" s="529">
        <f t="shared" si="55"/>
        <v>-9.413736077745698</v>
      </c>
      <c r="AK14" s="578">
        <f>IF(M14="","",(COS(RADIANS((90-$Q$8)-W14))*AD14)+(-SIN(RADIANS((90-$Q$8)-W14))*AE14))</f>
        <v>0.94309019313156128</v>
      </c>
      <c r="AL14" s="572">
        <f t="shared" si="57"/>
        <v>-0.14910220784886744</v>
      </c>
      <c r="AM14" s="577">
        <f t="shared" si="58"/>
        <v>-0.29723630201182988</v>
      </c>
      <c r="AN14" s="524">
        <f t="shared" si="16"/>
        <v>-26.639648643349389</v>
      </c>
      <c r="AO14" s="525">
        <f t="shared" si="17"/>
        <v>19.422836454300107</v>
      </c>
      <c r="AP14" s="528">
        <f t="shared" si="59"/>
        <v>-8.9840800481726486</v>
      </c>
      <c r="AQ14" s="529">
        <f t="shared" si="60"/>
        <v>0</v>
      </c>
      <c r="AS14" s="598">
        <f t="shared" si="18"/>
        <v>359.57034397042696</v>
      </c>
      <c r="AT14" s="602">
        <f t="shared" si="61"/>
        <v>-0.24317533173904454</v>
      </c>
      <c r="AU14" s="515">
        <f t="shared" si="19"/>
        <v>1.1000000000000001</v>
      </c>
      <c r="AV14" s="164">
        <f t="shared" si="64"/>
        <v>1.125</v>
      </c>
      <c r="AW14" s="545">
        <f>IF($M14="","",W14-INDEX(Assy.Model!$W$9:$W$150,MATCH('SN#.Run#'!$M14,Assy.Model!$M$9:$M$150,0)))</f>
        <v>0.52512799349216266</v>
      </c>
      <c r="AX14" s="628">
        <f>IF($M14="","",X14-INDEX(Assy.Model!$X$9:$X$150,MATCH('SN#.Run#'!$M14,Assy.Model!$M$9:$M$150,0)))</f>
        <v>-1.0891635806770017</v>
      </c>
      <c r="AY14" s="629">
        <f>IF($M14="","",Y14-INDEX(Assy.Model!$Y$9:$Y$150,MATCH('SN#.Run#'!$M14,Assy.Model!$M$9:$M$150,0)))</f>
        <v>-1.232798451337086E-3</v>
      </c>
      <c r="AZ14" s="602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>1.0902538047018799</v>
      </c>
      <c r="BA14" s="610">
        <f>IF($M14="","",AN14-INDEX(Assy.Model!$AN$9:$AN$150,MATCH('SN#.Run#'!$M14,Assy.Model!$M$9:$M$150,0)))</f>
        <v>-13.060548662827527</v>
      </c>
      <c r="BB14" s="525">
        <f>IF($M14="","",AO14-INDEX(Assy.Model!$AO$9:$AO$150,MATCH('SN#.Run#'!$M14,Assy.Model!$M$9:$M$150,0)))</f>
        <v>3.1676712616976523</v>
      </c>
      <c r="BC14" s="619">
        <f>IF($M14="","",AP14-INDEX(Assy.Model!$AP$9:$AP$150,MATCH('SN#.Run#'!$M14,Assy.Model!$M$9:$M$150,0)))</f>
        <v>-5.0678759623506711</v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>
        <f t="shared" si="65"/>
        <v>1.125</v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>
        <f t="shared" si="62"/>
        <v>1913</v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>
        <f t="shared" si="33"/>
        <v>5.4920078461355111</v>
      </c>
      <c r="C15" s="572">
        <f t="shared" si="10"/>
        <v>-9.2404971317290002E-2</v>
      </c>
      <c r="D15" s="576">
        <f t="shared" si="11"/>
        <v>-0.64791769162796187</v>
      </c>
      <c r="E15" s="580">
        <f t="shared" si="12"/>
        <v>0.25637690983702638</v>
      </c>
      <c r="F15" s="572">
        <f t="shared" si="13"/>
        <v>0.93550408673309093</v>
      </c>
      <c r="G15" s="579">
        <f t="shared" si="14"/>
        <v>0.2431104659657892</v>
      </c>
      <c r="H15" s="580">
        <f t="shared" si="34"/>
        <v>0.376803</v>
      </c>
      <c r="I15" s="482"/>
      <c r="J15" s="483">
        <v>1.1299999999999999</v>
      </c>
      <c r="K15" s="806">
        <f t="shared" si="66"/>
        <v>1913</v>
      </c>
      <c r="L15" s="814" t="str">
        <f>IF($L14=$JH$22,$JH$29,IF($L14=$JI$22,$JI$29,""))</f>
        <v/>
      </c>
      <c r="M15" s="164">
        <f t="shared" si="35"/>
        <v>1.1299999999999999</v>
      </c>
      <c r="N15" s="575">
        <f t="shared" si="36"/>
        <v>5.4920078461355111</v>
      </c>
      <c r="O15" s="572">
        <f t="shared" si="37"/>
        <v>-9.2404971317290002E-2</v>
      </c>
      <c r="P15" s="576">
        <f t="shared" si="38"/>
        <v>-0.64791769162796187</v>
      </c>
      <c r="Q15" s="528">
        <f t="shared" si="63"/>
        <v>359.03606923139836</v>
      </c>
      <c r="R15" s="572">
        <f t="shared" si="39"/>
        <v>5.4927851642621315</v>
      </c>
      <c r="S15" s="577">
        <f t="shared" si="40"/>
        <v>-0.64791769162796187</v>
      </c>
      <c r="T15" s="578">
        <f t="shared" si="41"/>
        <v>5.492007846135512</v>
      </c>
      <c r="U15" s="572">
        <f t="shared" si="42"/>
        <v>-9.2404971317291376E-2</v>
      </c>
      <c r="V15" s="579">
        <f t="shared" si="43"/>
        <v>-0.64791769162796187</v>
      </c>
      <c r="W15" s="528">
        <f t="shared" si="67"/>
        <v>359.03606923139836</v>
      </c>
      <c r="X15" s="572">
        <f t="shared" si="44"/>
        <v>5.4927851642621315</v>
      </c>
      <c r="Y15" s="573">
        <f t="shared" si="15"/>
        <v>-0.64791769162796187</v>
      </c>
      <c r="Z15" s="575">
        <f t="shared" si="45"/>
        <v>-0.25637690983702638</v>
      </c>
      <c r="AA15" s="572">
        <f t="shared" si="46"/>
        <v>-0.93550408673309093</v>
      </c>
      <c r="AB15" s="572">
        <f t="shared" si="47"/>
        <v>-0.2431104659657892</v>
      </c>
      <c r="AC15" s="579">
        <f t="shared" si="48"/>
        <v>0.99999985742699005</v>
      </c>
      <c r="AD15" s="580">
        <f t="shared" si="49"/>
        <v>-0.25637694638945929</v>
      </c>
      <c r="AE15" s="572">
        <f t="shared" si="50"/>
        <v>-0.93550422011074341</v>
      </c>
      <c r="AF15" s="576">
        <f t="shared" si="51"/>
        <v>-0.24311050062678502</v>
      </c>
      <c r="AG15" s="545">
        <f t="shared" si="52"/>
        <v>-75.432702382803953</v>
      </c>
      <c r="AH15" s="546">
        <f t="shared" si="53"/>
        <v>104.85519101773049</v>
      </c>
      <c r="AI15" s="528">
        <f t="shared" si="54"/>
        <v>-75.929802358217458</v>
      </c>
      <c r="AJ15" s="529">
        <f t="shared" si="55"/>
        <v>-15.325749691384866</v>
      </c>
      <c r="AK15" s="578">
        <f t="shared" si="56"/>
        <v>0.93968485330556017</v>
      </c>
      <c r="AL15" s="572">
        <f t="shared" si="57"/>
        <v>-0.24060270354487259</v>
      </c>
      <c r="AM15" s="577">
        <f t="shared" si="58"/>
        <v>-0.24311050062678502</v>
      </c>
      <c r="AN15" s="524">
        <f t="shared" si="16"/>
        <v>-44.702954353773038</v>
      </c>
      <c r="AO15" s="525">
        <f t="shared" si="17"/>
        <v>20.001301180548353</v>
      </c>
      <c r="AP15" s="528">
        <f t="shared" si="59"/>
        <v>-14.361818922783199</v>
      </c>
      <c r="AQ15" s="529">
        <f t="shared" si="60"/>
        <v>0</v>
      </c>
      <c r="AS15" s="598">
        <f t="shared" si="18"/>
        <v>359.03606923139836</v>
      </c>
      <c r="AT15" s="602">
        <f t="shared" si="61"/>
        <v>-0.64791769162796187</v>
      </c>
      <c r="AU15" s="515">
        <f t="shared" si="19"/>
        <v>1.1000000000000001</v>
      </c>
      <c r="AV15" s="164">
        <f t="shared" si="64"/>
        <v>1.1299999999999999</v>
      </c>
      <c r="AW15" s="545">
        <f>IF($M15="","",W15-INDEX(Assy.Model!$W$9:$W$150,MATCH('SN#.Run#'!$M15,Assy.Model!$M$9:$M$150,0)))</f>
        <v>0.69666447829536082</v>
      </c>
      <c r="AX15" s="628">
        <f>IF($M15="","",X15-INDEX(Assy.Model!$X$9:$X$150,MATCH('SN#.Run#'!$M15,Assy.Model!$M$9:$M$150,0)))</f>
        <v>-1.2297109593200775</v>
      </c>
      <c r="AY15" s="629">
        <f>IF($M15="","",Y15-INDEX(Assy.Model!$Y$9:$Y$150,MATCH('SN#.Run#'!$M15,Assy.Model!$M$9:$M$150,0)))</f>
        <v>-6.0520643615708303E-2</v>
      </c>
      <c r="AZ15" s="602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>1.2334143169379921</v>
      </c>
      <c r="BA15" s="610">
        <f>IF($M15="","",AN15-INDEX(Assy.Model!$AN$9:$AN$150,MATCH('SN#.Run#'!$M15,Assy.Model!$M$9:$M$150,0)))</f>
        <v>-16.858971911633063</v>
      </c>
      <c r="BB15" s="525">
        <f>IF($M15="","",AO15-INDEX(Assy.Model!$AO$9:$AO$150,MATCH('SN#.Run#'!$M15,Assy.Model!$M$9:$M$150,0)))</f>
        <v>2.577806944849371</v>
      </c>
      <c r="BC15" s="619">
        <f>IF($M15="","",AP15-INDEX(Assy.Model!$AP$9:$AP$150,MATCH('SN#.Run#'!$M15,Assy.Model!$M$9:$M$150,0)))</f>
        <v>-6.0227982717595907</v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>
        <f t="shared" si="65"/>
        <v>1.1299999999999999</v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>
        <f t="shared" si="62"/>
        <v>1913</v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cm="1">
        <f t="array" ref="JB15">IF(AND(ISNUMBER(_xlfn.ANCHORARRAY($JA$9))=FALSE),"",SUM(COUNTIFS($IJ$9:$IJ$150,_xlfn.ANCHORARRAY($JA$9),$II$9:$II$150,"",$IJ$9:$IJ$150,IF(ISNUMBER(_xlfn.ANCHORARRAY($JA$9)),_xlfn.ANCHORARRAY($JA$9),""))))</f>
        <v>29</v>
      </c>
      <c r="JC15" s="31"/>
      <c r="JD15" s="219"/>
      <c r="JE15" s="219"/>
    </row>
    <row r="16" spans="1:265" ht="15" customHeight="1" x14ac:dyDescent="0.25">
      <c r="A16" s="75"/>
      <c r="B16" s="578">
        <f t="shared" si="33"/>
        <v>6.5090388916393085</v>
      </c>
      <c r="C16" s="572">
        <f t="shared" si="10"/>
        <v>-0.25375435283129921</v>
      </c>
      <c r="D16" s="576">
        <f t="shared" si="11"/>
        <v>-1.6623368009602431</v>
      </c>
      <c r="E16" s="580">
        <f t="shared" si="12"/>
        <v>0.44187419224115126</v>
      </c>
      <c r="F16" s="572">
        <f t="shared" si="13"/>
        <v>0.8803495591910937</v>
      </c>
      <c r="G16" s="579">
        <f t="shared" si="14"/>
        <v>0.17242647342643524</v>
      </c>
      <c r="H16" s="580">
        <f t="shared" si="34"/>
        <v>0.299342</v>
      </c>
      <c r="I16" s="482"/>
      <c r="J16" s="483">
        <v>1.1399999999999999</v>
      </c>
      <c r="K16" s="806">
        <f t="shared" si="66"/>
        <v>1913</v>
      </c>
      <c r="L16" s="309"/>
      <c r="M16" s="164">
        <f t="shared" si="35"/>
        <v>1.1399999999999999</v>
      </c>
      <c r="N16" s="575">
        <f t="shared" si="36"/>
        <v>6.5090388916393085</v>
      </c>
      <c r="O16" s="572">
        <f t="shared" si="37"/>
        <v>-0.25375435283129921</v>
      </c>
      <c r="P16" s="576">
        <f t="shared" si="38"/>
        <v>-1.6623368009602431</v>
      </c>
      <c r="Q16" s="528">
        <f t="shared" si="63"/>
        <v>357.76745925146446</v>
      </c>
      <c r="R16" s="572">
        <f t="shared" si="39"/>
        <v>6.5139833101147797</v>
      </c>
      <c r="S16" s="577">
        <f t="shared" si="40"/>
        <v>-1.6623368009602431</v>
      </c>
      <c r="T16" s="578">
        <f t="shared" si="41"/>
        <v>6.5090388916393076</v>
      </c>
      <c r="U16" s="572">
        <f t="shared" si="42"/>
        <v>-0.25375435283130171</v>
      </c>
      <c r="V16" s="579">
        <f>IF(M16="","",Y16)</f>
        <v>-1.6623368009602431</v>
      </c>
      <c r="W16" s="528">
        <f t="shared" si="67"/>
        <v>357.76745925146446</v>
      </c>
      <c r="X16" s="572">
        <f t="shared" si="44"/>
        <v>6.5139833101147797</v>
      </c>
      <c r="Y16" s="573">
        <f t="shared" si="15"/>
        <v>-1.6623368009602431</v>
      </c>
      <c r="Z16" s="575">
        <f t="shared" si="45"/>
        <v>-0.44187419224115126</v>
      </c>
      <c r="AA16" s="572">
        <f t="shared" si="46"/>
        <v>-0.8803495591910937</v>
      </c>
      <c r="AB16" s="572">
        <f t="shared" si="47"/>
        <v>-0.17242647342643524</v>
      </c>
      <c r="AC16" s="579">
        <f t="shared" si="48"/>
        <v>0.99999951843738411</v>
      </c>
      <c r="AD16" s="580">
        <f t="shared" si="49"/>
        <v>-0.44187440503134567</v>
      </c>
      <c r="AE16" s="572">
        <f t="shared" si="50"/>
        <v>-0.88034998313473445</v>
      </c>
      <c r="AF16" s="576">
        <f t="shared" si="51"/>
        <v>-0.17242655646061883</v>
      </c>
      <c r="AG16" s="545">
        <f t="shared" si="52"/>
        <v>-78.91825356342575</v>
      </c>
      <c r="AH16" s="546">
        <f t="shared" si="53"/>
        <v>116.22353683575149</v>
      </c>
      <c r="AI16" s="528">
        <f t="shared" si="54"/>
        <v>-80.071065752580139</v>
      </c>
      <c r="AJ16" s="529">
        <f t="shared" si="55"/>
        <v>-26.653465119523798</v>
      </c>
      <c r="AK16" s="578">
        <f>IF(M16="","",(COS(RADIANS((90-$Q$8)-W16))*AD16)+(-SIN(RADIANS((90-$Q$8)-W16))*AE16))</f>
        <v>0.89689511839668745</v>
      </c>
      <c r="AL16" s="572">
        <f t="shared" si="57"/>
        <v>-0.407244679797447</v>
      </c>
      <c r="AM16" s="577">
        <f t="shared" si="58"/>
        <v>-0.17242655646061883</v>
      </c>
      <c r="AN16" s="524">
        <f t="shared" si="16"/>
        <v>-67.052301088292339</v>
      </c>
      <c r="AO16" s="525">
        <f t="shared" si="17"/>
        <v>26.24710106618398</v>
      </c>
      <c r="AP16" s="528">
        <f t="shared" si="59"/>
        <v>-24.420924370988246</v>
      </c>
      <c r="AQ16" s="529">
        <f t="shared" si="60"/>
        <v>0</v>
      </c>
      <c r="AS16" s="598">
        <f t="shared" si="18"/>
        <v>357.76745925146446</v>
      </c>
      <c r="AT16" s="602">
        <f t="shared" si="61"/>
        <v>-1.6623368009602431</v>
      </c>
      <c r="AU16" s="515">
        <f t="shared" si="19"/>
        <v>1.1000000000000001</v>
      </c>
      <c r="AV16" s="164">
        <f t="shared" si="64"/>
        <v>1.1399999999999999</v>
      </c>
      <c r="AW16" s="545">
        <f>IF($M16="","",W16-INDEX(Assy.Model!$W$9:$W$150,MATCH('SN#.Run#'!$M16,Assy.Model!$M$9:$M$150,0)))</f>
        <v>0.65252789966376668</v>
      </c>
      <c r="AX16" s="628">
        <f>IF($M16="","",X16-INDEX(Assy.Model!$X$9:$X$150,MATCH('SN#.Run#'!$M16,Assy.Model!$M$9:$M$150,0)))</f>
        <v>-1.4616448307939445</v>
      </c>
      <c r="AY16" s="629">
        <f>IF($M16="","",Y16-INDEX(Assy.Model!$Y$9:$Y$150,MATCH('SN#.Run#'!$M16,Assy.Model!$M$9:$M$150,0)))</f>
        <v>0.20152173807149132</v>
      </c>
      <c r="AZ16" s="602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>1.4777533854689935</v>
      </c>
      <c r="BA16" s="610">
        <f>IF($M16="","",AN16-INDEX(Assy.Model!$AN$9:$AN$150,MATCH('SN#.Run#'!$M16,Assy.Model!$M$9:$M$150,0)))</f>
        <v>-10.544074156728421</v>
      </c>
      <c r="BB16" s="525">
        <f>IF($M16="","",AO16-INDEX(Assy.Model!$AO$9:$AO$150,MATCH('SN#.Run#'!$M16,Assy.Model!$M$9:$M$150,0)))</f>
        <v>5.2590161225933656</v>
      </c>
      <c r="BC16" s="619">
        <f>IF($M16="","",AP16-INDEX(Assy.Model!$AP$9:$AP$150,MATCH('SN#.Run#'!$M16,Assy.Model!$M$9:$M$150,0)))</f>
        <v>-6.6798791918359406</v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>
        <f t="shared" si="65"/>
        <v>1.1399999999999999</v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>
        <f t="shared" si="62"/>
        <v>1913</v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>
        <f t="shared" si="33"/>
        <v>6.9712003955900519</v>
      </c>
      <c r="C17" s="572">
        <f t="shared" si="10"/>
        <v>-0.344195767180491</v>
      </c>
      <c r="D17" s="576">
        <f t="shared" si="11"/>
        <v>-3.0747210824097024</v>
      </c>
      <c r="E17" s="580">
        <f t="shared" si="12"/>
        <v>0.60176936249758872</v>
      </c>
      <c r="F17" s="572">
        <f t="shared" si="13"/>
        <v>0.79546195062377878</v>
      </c>
      <c r="G17" s="579">
        <f t="shared" si="14"/>
        <v>7.1511067633329484E-2</v>
      </c>
      <c r="H17" s="580">
        <f t="shared" si="34"/>
        <v>0.32120500000000002</v>
      </c>
      <c r="I17" s="482"/>
      <c r="J17" s="483">
        <v>1.1499999999999999</v>
      </c>
      <c r="K17" s="806">
        <f t="shared" si="66"/>
        <v>1913</v>
      </c>
      <c r="L17" s="31"/>
      <c r="M17" s="164">
        <f t="shared" si="35"/>
        <v>1.1499999999999999</v>
      </c>
      <c r="N17" s="575">
        <f t="shared" si="36"/>
        <v>6.9712003955900519</v>
      </c>
      <c r="O17" s="572">
        <f t="shared" si="37"/>
        <v>-0.344195767180491</v>
      </c>
      <c r="P17" s="576">
        <f t="shared" si="38"/>
        <v>-3.0747210824097024</v>
      </c>
      <c r="Q17" s="528">
        <f t="shared" si="63"/>
        <v>357.17337590515609</v>
      </c>
      <c r="R17" s="572">
        <f t="shared" si="39"/>
        <v>6.9796923772914132</v>
      </c>
      <c r="S17" s="577">
        <f t="shared" si="40"/>
        <v>-3.0747210824097024</v>
      </c>
      <c r="T17" s="578">
        <f t="shared" si="41"/>
        <v>6.9712003955900519</v>
      </c>
      <c r="U17" s="572">
        <f t="shared" si="42"/>
        <v>-0.34419576718049461</v>
      </c>
      <c r="V17" s="579">
        <f>IF(M17="","",Y17)</f>
        <v>-3.0747210824097024</v>
      </c>
      <c r="W17" s="528">
        <f t="shared" si="67"/>
        <v>357.17337590515609</v>
      </c>
      <c r="X17" s="572">
        <f t="shared" si="44"/>
        <v>6.9796923772914132</v>
      </c>
      <c r="Y17" s="573">
        <f t="shared" si="15"/>
        <v>-3.0747210824097024</v>
      </c>
      <c r="Z17" s="575">
        <f>IF(M17="","",-E17)</f>
        <v>-0.60176936249758872</v>
      </c>
      <c r="AA17" s="572">
        <f t="shared" si="46"/>
        <v>-0.79546195062377878</v>
      </c>
      <c r="AB17" s="572">
        <f>IF(M17="","",-G17)</f>
        <v>-7.1511067633329484E-2</v>
      </c>
      <c r="AC17" s="579">
        <f t="shared" si="48"/>
        <v>0.99999995666249908</v>
      </c>
      <c r="AD17" s="580">
        <f t="shared" si="49"/>
        <v>-0.60176938857677009</v>
      </c>
      <c r="AE17" s="572">
        <f t="shared" si="50"/>
        <v>-0.79546198509711319</v>
      </c>
      <c r="AF17" s="576">
        <f t="shared" si="51"/>
        <v>-7.1511070732440576E-2</v>
      </c>
      <c r="AG17" s="545">
        <f t="shared" si="52"/>
        <v>-84.862987750371232</v>
      </c>
      <c r="AH17" s="546">
        <f t="shared" si="53"/>
        <v>126.99672615073798</v>
      </c>
      <c r="AI17" s="528">
        <f t="shared" si="54"/>
        <v>-85.89921726122337</v>
      </c>
      <c r="AJ17" s="529">
        <f t="shared" si="55"/>
        <v>-37.107615188102777</v>
      </c>
      <c r="AK17" s="578">
        <f t="shared" si="56"/>
        <v>0.82416975857968922</v>
      </c>
      <c r="AL17" s="572">
        <f t="shared" si="57"/>
        <v>-0.56180991073974151</v>
      </c>
      <c r="AM17" s="577">
        <f t="shared" si="58"/>
        <v>-7.1511070732440576E-2</v>
      </c>
      <c r="AN17" s="524">
        <f t="shared" si="16"/>
        <v>-82.746003404399033</v>
      </c>
      <c r="AO17" s="525">
        <f t="shared" si="17"/>
        <v>34.495592360665825</v>
      </c>
      <c r="AP17" s="528">
        <f t="shared" si="59"/>
        <v>-34.280991093258869</v>
      </c>
      <c r="AQ17" s="529">
        <f t="shared" si="60"/>
        <v>0</v>
      </c>
      <c r="AS17" s="598">
        <f t="shared" si="18"/>
        <v>357.17337590515609</v>
      </c>
      <c r="AT17" s="602">
        <f t="shared" si="61"/>
        <v>-3.0747210824097024</v>
      </c>
      <c r="AU17" s="515">
        <f t="shared" si="19"/>
        <v>1.1000000000000001</v>
      </c>
      <c r="AV17" s="164">
        <f t="shared" si="64"/>
        <v>1.1499999999999999</v>
      </c>
      <c r="AW17" s="545">
        <f>IF($M17="","",W17-INDEX(Assy.Model!$W$9:$W$150,MATCH('SN#.Run#'!$M17,Assy.Model!$M$9:$M$150,0)))</f>
        <v>0.54298815573821457</v>
      </c>
      <c r="AX17" s="628">
        <f>IF($M17="","",X17-INDEX(Assy.Model!$X$9:$X$150,MATCH('SN#.Run#'!$M17,Assy.Model!$M$9:$M$150,0)))</f>
        <v>-1.4598889344014436</v>
      </c>
      <c r="AY17" s="629">
        <f>IF($M17="","",Y17-INDEX(Assy.Model!$Y$9:$Y$150,MATCH('SN#.Run#'!$M17,Assy.Model!$M$9:$M$150,0)))</f>
        <v>0.52046131747894941</v>
      </c>
      <c r="AZ17" s="602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>1.5515946939831928</v>
      </c>
      <c r="BA17" s="610">
        <f>IF($M17="","",AN17-INDEX(Assy.Model!$AN$9:$AN$150,MATCH('SN#.Run#'!$M17,Assy.Model!$M$9:$M$150,0)))</f>
        <v>2.2361597998617384</v>
      </c>
      <c r="BB17" s="525">
        <f>IF($M17="","",AO17-INDEX(Assy.Model!$AO$9:$AO$150,MATCH('SN#.Run#'!$M17,Assy.Model!$M$9:$M$150,0)))</f>
        <v>4.6127355514477237</v>
      </c>
      <c r="BC17" s="619">
        <f>IF($M17="","",AP17-INDEX(Assy.Model!$AP$9:$AP$150,MATCH('SN#.Run#'!$M17,Assy.Model!$M$9:$M$150,0)))</f>
        <v>-4.4930823870506877</v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>
        <f t="shared" si="65"/>
        <v>1.1499999999999999</v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>
        <f t="shared" si="62"/>
        <v>1913</v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>
        <f t="shared" si="33"/>
        <v>7.0580225433340562</v>
      </c>
      <c r="C18" s="572">
        <f t="shared" si="10"/>
        <v>-0.3917011765447993</v>
      </c>
      <c r="D18" s="576">
        <f t="shared" si="11"/>
        <v>-3.8216492490865575</v>
      </c>
      <c r="E18" s="580">
        <f t="shared" si="12"/>
        <v>0.62659859612620461</v>
      </c>
      <c r="F18" s="572">
        <f t="shared" si="13"/>
        <v>0.77684790244464608</v>
      </c>
      <c r="G18" s="579">
        <f t="shared" si="14"/>
        <v>6.2300309477752176E-2</v>
      </c>
      <c r="H18" s="580">
        <f t="shared" si="34"/>
        <v>0.32025399999999998</v>
      </c>
      <c r="I18" s="482"/>
      <c r="J18" s="483">
        <v>1.155</v>
      </c>
      <c r="K18" s="806">
        <f t="shared" si="66"/>
        <v>1913</v>
      </c>
      <c r="L18" s="720" t="s">
        <v>322</v>
      </c>
      <c r="M18" s="164">
        <f t="shared" si="35"/>
        <v>1.155</v>
      </c>
      <c r="N18" s="575">
        <f t="shared" si="36"/>
        <v>7.0580225433340562</v>
      </c>
      <c r="O18" s="572">
        <f t="shared" si="37"/>
        <v>-0.3917011765447993</v>
      </c>
      <c r="P18" s="576">
        <f t="shared" si="38"/>
        <v>-3.8216492490865575</v>
      </c>
      <c r="Q18" s="528">
        <f t="shared" si="63"/>
        <v>356.8234975634511</v>
      </c>
      <c r="R18" s="572">
        <f t="shared" si="39"/>
        <v>7.0688833654204766</v>
      </c>
      <c r="S18" s="577">
        <f>IF(M18="","",P18)</f>
        <v>-3.8216492490865575</v>
      </c>
      <c r="T18" s="578">
        <f t="shared" si="41"/>
        <v>7.0580225433340562</v>
      </c>
      <c r="U18" s="572">
        <f t="shared" si="42"/>
        <v>-0.39170117654480352</v>
      </c>
      <c r="V18" s="579">
        <f>IF(M18="","",Y18)</f>
        <v>-3.8216492490865575</v>
      </c>
      <c r="W18" s="528">
        <f t="shared" si="67"/>
        <v>356.8234975634511</v>
      </c>
      <c r="X18" s="572">
        <f t="shared" si="44"/>
        <v>7.0688833654204766</v>
      </c>
      <c r="Y18" s="573">
        <f t="shared" si="15"/>
        <v>-3.8216492490865575</v>
      </c>
      <c r="Z18" s="575">
        <f t="shared" si="45"/>
        <v>-0.62659859612620461</v>
      </c>
      <c r="AA18" s="572">
        <f t="shared" si="46"/>
        <v>-0.77684790244464608</v>
      </c>
      <c r="AB18" s="572">
        <f t="shared" si="47"/>
        <v>-6.2300309477752176E-2</v>
      </c>
      <c r="AC18" s="579">
        <f t="shared" si="48"/>
        <v>0.99999989638049491</v>
      </c>
      <c r="AD18" s="580">
        <f t="shared" si="49"/>
        <v>-0.62659866105404782</v>
      </c>
      <c r="AE18" s="572">
        <f t="shared" si="50"/>
        <v>-0.77684798294124957</v>
      </c>
      <c r="AF18" s="576">
        <f t="shared" si="51"/>
        <v>-6.230031593328008E-2</v>
      </c>
      <c r="AG18" s="545">
        <f t="shared" si="52"/>
        <v>-85.414904593424083</v>
      </c>
      <c r="AH18" s="546">
        <f t="shared" si="53"/>
        <v>128.79962135776884</v>
      </c>
      <c r="AI18" s="528">
        <f t="shared" si="54"/>
        <v>-86.428141695539637</v>
      </c>
      <c r="AJ18" s="529">
        <f t="shared" si="55"/>
        <v>-38.88933832518827</v>
      </c>
      <c r="AK18" s="578">
        <f t="shared" si="56"/>
        <v>0.81037551660869067</v>
      </c>
      <c r="AL18" s="572">
        <f t="shared" si="57"/>
        <v>-0.58258921438335198</v>
      </c>
      <c r="AM18" s="577">
        <f t="shared" si="58"/>
        <v>-6.230031593328008E-2</v>
      </c>
      <c r="AN18" s="524">
        <f t="shared" si="16"/>
        <v>-83.896160185303572</v>
      </c>
      <c r="AO18" s="525">
        <f t="shared" si="17"/>
        <v>35.867363356541304</v>
      </c>
      <c r="AP18" s="528">
        <f t="shared" si="59"/>
        <v>-35.712835888639354</v>
      </c>
      <c r="AQ18" s="529">
        <f t="shared" si="60"/>
        <v>0</v>
      </c>
      <c r="AS18" s="598">
        <f t="shared" si="18"/>
        <v>356.8234975634511</v>
      </c>
      <c r="AT18" s="602">
        <f t="shared" si="61"/>
        <v>-3.8216492490865575</v>
      </c>
      <c r="AU18" s="515">
        <f t="shared" si="19"/>
        <v>1.1000000000000001</v>
      </c>
      <c r="AV18" s="164">
        <f t="shared" si="64"/>
        <v>1.155</v>
      </c>
      <c r="AW18" s="545">
        <f>IF($M18="","",W18-INDEX(Assy.Model!$W$9:$W$150,MATCH('SN#.Run#'!$M18,Assy.Model!$M$9:$M$150,0)))</f>
        <v>0.19310563429962713</v>
      </c>
      <c r="AX18" s="628">
        <f>IF($M18="","",X18-INDEX(Assy.Model!$X$9:$X$150,MATCH('SN#.Run#'!$M18,Assy.Model!$M$9:$M$150,0)))</f>
        <v>-1.3709979465454092</v>
      </c>
      <c r="AY18" s="629">
        <f>IF($M18="","",Y18-INDEX(Assy.Model!$Y$9:$Y$150,MATCH('SN#.Run#'!$M18,Assy.Model!$M$9:$M$150,0)))</f>
        <v>0.67983588421113694</v>
      </c>
      <c r="AZ18" s="602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>1.53051948349254</v>
      </c>
      <c r="BA18" s="610">
        <f>IF($M18="","",AN18-INDEX(Assy.Model!$AN$9:$AN$150,MATCH('SN#.Run#'!$M18,Assy.Model!$M$9:$M$150,0)))</f>
        <v>1.086003655167616</v>
      </c>
      <c r="BB18" s="525">
        <f>IF($M18="","",AO18-INDEX(Assy.Model!$AO$9:$AO$150,MATCH('SN#.Run#'!$M18,Assy.Model!$M$9:$M$150,0)))</f>
        <v>5.9845023836083442</v>
      </c>
      <c r="BC18" s="619">
        <f>IF($M18="","",AP18-INDEX(Assy.Model!$AP$9:$AP$150,MATCH('SN#.Run#'!$M18,Assy.Model!$M$9:$M$150,0)))</f>
        <v>-5.924923002697561</v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>
        <f t="shared" si="65"/>
        <v>1.155</v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>
        <f t="shared" si="62"/>
        <v>1913</v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>
        <f t="shared" si="33"/>
        <v>1.353231436479708</v>
      </c>
      <c r="C19" s="572">
        <f t="shared" si="10"/>
        <v>-2.8931852572736987</v>
      </c>
      <c r="D19" s="576">
        <f t="shared" si="11"/>
        <v>-0.10180121923259028</v>
      </c>
      <c r="E19" s="580">
        <f t="shared" si="12"/>
        <v>0.83669272392590366</v>
      </c>
      <c r="F19" s="572">
        <f t="shared" si="13"/>
        <v>0.44873775685693307</v>
      </c>
      <c r="G19" s="579">
        <f t="shared" si="14"/>
        <v>0.3139747138010634</v>
      </c>
      <c r="H19" s="580">
        <f t="shared" si="34"/>
        <v>0.31293199999999999</v>
      </c>
      <c r="I19" s="482"/>
      <c r="J19" s="483">
        <v>3.1019999999999999</v>
      </c>
      <c r="K19" s="806">
        <f t="shared" si="66"/>
        <v>1913</v>
      </c>
      <c r="L19" s="718" t="s">
        <v>357</v>
      </c>
      <c r="M19" s="164">
        <f t="shared" si="35"/>
        <v>3.1019999999999999</v>
      </c>
      <c r="N19" s="575">
        <f t="shared" si="36"/>
        <v>1.353231436479708</v>
      </c>
      <c r="O19" s="572">
        <f t="shared" si="37"/>
        <v>-2.8931852572736987</v>
      </c>
      <c r="P19" s="576">
        <f t="shared" si="38"/>
        <v>-0.10180121923259028</v>
      </c>
      <c r="Q19" s="528">
        <f t="shared" si="63"/>
        <v>295.06693314989343</v>
      </c>
      <c r="R19" s="572">
        <f t="shared" si="39"/>
        <v>3.1940188248635621</v>
      </c>
      <c r="S19" s="577">
        <f t="shared" si="40"/>
        <v>-0.10180121923259028</v>
      </c>
      <c r="T19" s="578">
        <f t="shared" si="41"/>
        <v>1.3532314364797076</v>
      </c>
      <c r="U19" s="572">
        <f t="shared" si="42"/>
        <v>-2.8931852572736987</v>
      </c>
      <c r="V19" s="579">
        <f>IF(M19="","",Y19)</f>
        <v>-0.10180121923259028</v>
      </c>
      <c r="W19" s="528">
        <f t="shared" si="67"/>
        <v>295.06693314989343</v>
      </c>
      <c r="X19" s="572">
        <f t="shared" si="44"/>
        <v>3.1940188248635621</v>
      </c>
      <c r="Y19" s="573">
        <f t="shared" si="15"/>
        <v>-0.10180121923259028</v>
      </c>
      <c r="Z19" s="575">
        <f t="shared" si="45"/>
        <v>-0.83669272392590366</v>
      </c>
      <c r="AA19" s="572">
        <f t="shared" si="46"/>
        <v>-0.44873775685693307</v>
      </c>
      <c r="AB19" s="572">
        <f t="shared" si="47"/>
        <v>-0.3139747138010634</v>
      </c>
      <c r="AC19" s="579">
        <f t="shared" si="48"/>
        <v>1.000000204802979</v>
      </c>
      <c r="AD19" s="580">
        <f t="shared" si="49"/>
        <v>-0.83669255256877639</v>
      </c>
      <c r="AE19" s="572">
        <f t="shared" si="50"/>
        <v>-0.44873766495412248</v>
      </c>
      <c r="AF19" s="576">
        <f t="shared" si="51"/>
        <v>-0.31397464949811987</v>
      </c>
      <c r="AG19" s="545">
        <f t="shared" si="52"/>
        <v>-55.020125627762248</v>
      </c>
      <c r="AH19" s="546">
        <f t="shared" si="53"/>
        <v>146.79249185420301</v>
      </c>
      <c r="AI19" s="528">
        <f t="shared" si="54"/>
        <v>-71.701074578677421</v>
      </c>
      <c r="AJ19" s="529">
        <f t="shared" si="55"/>
        <v>-61.794306366053867</v>
      </c>
      <c r="AK19" s="578">
        <f t="shared" si="56"/>
        <v>0.94800708416001389</v>
      </c>
      <c r="AL19" s="572">
        <f t="shared" si="57"/>
        <v>5.1985458110524629E-2</v>
      </c>
      <c r="AM19" s="577">
        <f t="shared" si="58"/>
        <v>-0.31397464949811987</v>
      </c>
      <c r="AN19" s="524">
        <f t="shared" si="16"/>
        <v>9.4012951724949989</v>
      </c>
      <c r="AO19" s="525">
        <f t="shared" si="17"/>
        <v>18.557078349862465</v>
      </c>
      <c r="AP19" s="528">
        <f t="shared" si="59"/>
        <v>3.1387604840527072</v>
      </c>
      <c r="AQ19" s="529">
        <f t="shared" si="60"/>
        <v>0</v>
      </c>
      <c r="AS19" s="598">
        <f t="shared" si="18"/>
        <v>295.06693314989343</v>
      </c>
      <c r="AT19" s="602">
        <f t="shared" si="61"/>
        <v>-0.10180121923259028</v>
      </c>
      <c r="AU19" s="515">
        <f t="shared" si="19"/>
        <v>3.1</v>
      </c>
      <c r="AV19" s="164">
        <f t="shared" si="64"/>
        <v>3.1019999999999999</v>
      </c>
      <c r="AW19" s="545">
        <f>IF($M19="","",W19-INDEX(Assy.Model!$W$9:$W$150,MATCH('SN#.Run#'!$M19,Assy.Model!$M$9:$M$150,0)))</f>
        <v>76.052386363910728</v>
      </c>
      <c r="AX19" s="628">
        <f>IF($M19="","",X19-INDEX(Assy.Model!$X$9:$X$150,MATCH('SN#.Run#'!$M19,Assy.Model!$M$9:$M$150,0)))</f>
        <v>2.3599397204275543</v>
      </c>
      <c r="AY19" s="629">
        <f>IF($M19="","",Y19-INDEX(Assy.Model!$Y$9:$Y$150,MATCH('SN#.Run#'!$M19,Assy.Model!$M$9:$M$150,0)))</f>
        <v>1.3483229005773816</v>
      </c>
      <c r="AZ19" s="602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>3.3809991521110958</v>
      </c>
      <c r="BA19" s="610">
        <f>IF($M19="","",AN19-INDEX(Assy.Model!$AN$9:$AN$150,MATCH('SN#.Run#'!$M19,Assy.Model!$M$9:$M$150,0)))</f>
        <v>-12.454309338200916</v>
      </c>
      <c r="BB19" s="525">
        <f>IF($M19="","",AO19-INDEX(Assy.Model!$AO$9:$AO$150,MATCH('SN#.Run#'!$M19,Assy.Model!$M$9:$M$150,0)))</f>
        <v>0.6101807172423932</v>
      </c>
      <c r="BC19" s="619">
        <f>IF($M19="","",AP19-INDEX(Assy.Model!$AP$9:$AP$150,MATCH('SN#.Run#'!$M19,Assy.Model!$M$9:$M$150,0)))</f>
        <v>-3.7365509433779551</v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>
        <f t="shared" si="65"/>
        <v>3.1019999999999999</v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>
        <f t="shared" si="62"/>
        <v>1913</v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30" t="s">
        <v>356</v>
      </c>
      <c r="JC19" s="1331"/>
      <c r="JD19" s="1331"/>
      <c r="JE19" s="1331"/>
      <c r="JF19" s="1331"/>
      <c r="JG19" s="1331"/>
      <c r="JH19" s="1331"/>
      <c r="JI19" s="1332"/>
    </row>
    <row r="20" spans="1:269" ht="15" customHeight="1" x14ac:dyDescent="0.25">
      <c r="A20" s="75"/>
      <c r="B20" s="578">
        <f t="shared" si="33"/>
        <v>1.6638717176919136</v>
      </c>
      <c r="C20" s="572">
        <f t="shared" si="10"/>
        <v>-3.5683949545667981</v>
      </c>
      <c r="D20" s="576">
        <f t="shared" si="11"/>
        <v>-5.5487760025112583E-2</v>
      </c>
      <c r="E20" s="580">
        <f t="shared" si="12"/>
        <v>0.87065523274097367</v>
      </c>
      <c r="F20" s="572">
        <f t="shared" si="13"/>
        <v>0.36620853470039127</v>
      </c>
      <c r="G20" s="579">
        <f t="shared" si="14"/>
        <v>0.32840769631412936</v>
      </c>
      <c r="H20" s="580">
        <f t="shared" si="34"/>
        <v>0.30491400000000002</v>
      </c>
      <c r="I20" s="482"/>
      <c r="J20" s="483">
        <v>3.1040000000000001</v>
      </c>
      <c r="K20" s="806">
        <f t="shared" si="66"/>
        <v>1913</v>
      </c>
      <c r="L20" s="717" t="str">
        <f>IF($L19=$JH$22,$JH$30,IF($L19=$JI$22,$JI$30,""))</f>
        <v/>
      </c>
      <c r="M20" s="164">
        <f t="shared" si="35"/>
        <v>3.1040000000000001</v>
      </c>
      <c r="N20" s="575">
        <f t="shared" si="36"/>
        <v>1.6638717176919136</v>
      </c>
      <c r="O20" s="572">
        <f t="shared" si="37"/>
        <v>-3.5683949545667981</v>
      </c>
      <c r="P20" s="576">
        <f t="shared" si="38"/>
        <v>-5.5487760025112583E-2</v>
      </c>
      <c r="Q20" s="528">
        <f t="shared" si="63"/>
        <v>294.99870516262735</v>
      </c>
      <c r="R20" s="572">
        <f t="shared" si="39"/>
        <v>3.9372467086420708</v>
      </c>
      <c r="S20" s="577">
        <f t="shared" si="40"/>
        <v>-5.5487760025112583E-2</v>
      </c>
      <c r="T20" s="578">
        <f t="shared" si="41"/>
        <v>1.6638717176919142</v>
      </c>
      <c r="U20" s="572">
        <f t="shared" si="42"/>
        <v>-3.5683949545667977</v>
      </c>
      <c r="V20" s="579">
        <f t="shared" si="43"/>
        <v>-5.5487760025112583E-2</v>
      </c>
      <c r="W20" s="528">
        <f t="shared" si="67"/>
        <v>294.99870516262735</v>
      </c>
      <c r="X20" s="572">
        <f t="shared" si="44"/>
        <v>3.9372467086420708</v>
      </c>
      <c r="Y20" s="573">
        <f t="shared" si="15"/>
        <v>-5.5487760025112583E-2</v>
      </c>
      <c r="Z20" s="575">
        <f t="shared" si="45"/>
        <v>-0.87065523274097367</v>
      </c>
      <c r="AA20" s="572">
        <f t="shared" si="46"/>
        <v>-0.36620853470039127</v>
      </c>
      <c r="AB20" s="572">
        <f t="shared" si="47"/>
        <v>-0.32840769631412936</v>
      </c>
      <c r="AC20" s="579">
        <f t="shared" si="48"/>
        <v>1.000000420092412</v>
      </c>
      <c r="AD20" s="580">
        <f t="shared" si="49"/>
        <v>-0.87065486698547068</v>
      </c>
      <c r="AE20" s="572">
        <f t="shared" si="50"/>
        <v>-0.36620838085902929</v>
      </c>
      <c r="AF20" s="576">
        <f t="shared" si="51"/>
        <v>-0.3284075583526061</v>
      </c>
      <c r="AG20" s="545">
        <f t="shared" si="52"/>
        <v>-48.114949170617173</v>
      </c>
      <c r="AH20" s="546">
        <f t="shared" si="53"/>
        <v>150.53482865983972</v>
      </c>
      <c r="AI20" s="528">
        <f t="shared" si="54"/>
        <v>-70.827850762388337</v>
      </c>
      <c r="AJ20" s="529">
        <f t="shared" si="55"/>
        <v>-67.187765999551473</v>
      </c>
      <c r="AK20" s="578">
        <f t="shared" si="56"/>
        <v>0.94384844974440196</v>
      </c>
      <c r="AL20" s="572">
        <f t="shared" si="57"/>
        <v>-3.6035809023366117E-2</v>
      </c>
      <c r="AM20" s="577">
        <f t="shared" si="58"/>
        <v>-0.3284075583526061</v>
      </c>
      <c r="AN20" s="524">
        <f t="shared" si="16"/>
        <v>-6.2619523860401971</v>
      </c>
      <c r="AO20" s="525">
        <f t="shared" si="17"/>
        <v>19.291764344097889</v>
      </c>
      <c r="AP20" s="528">
        <f t="shared" si="59"/>
        <v>-2.1864711621788153</v>
      </c>
      <c r="AQ20" s="529">
        <f t="shared" si="60"/>
        <v>0</v>
      </c>
      <c r="AS20" s="598">
        <f t="shared" si="18"/>
        <v>294.99870516262735</v>
      </c>
      <c r="AT20" s="602">
        <f t="shared" si="61"/>
        <v>-5.5487760025112583E-2</v>
      </c>
      <c r="AU20" s="515">
        <f t="shared" si="19"/>
        <v>3.1</v>
      </c>
      <c r="AV20" s="164">
        <f t="shared" si="64"/>
        <v>3.1040000000000001</v>
      </c>
      <c r="AW20" s="545">
        <f>IF($M20="","",W20-INDEX(Assy.Model!$W$9:$W$150,MATCH('SN#.Run#'!$M20,Assy.Model!$M$9:$M$150,0)))</f>
        <v>75.33061640461159</v>
      </c>
      <c r="AX20" s="628">
        <f>IF($M20="","",X20-INDEX(Assy.Model!$X$9:$X$150,MATCH('SN#.Run#'!$M20,Assy.Model!$M$9:$M$150,0)))</f>
        <v>2.2521040897309099</v>
      </c>
      <c r="AY20" s="629">
        <f>IF($M20="","",Y20-INDEX(Assy.Model!$Y$9:$Y$150,MATCH('SN#.Run#'!$M20,Assy.Model!$M$9:$M$150,0)))</f>
        <v>1.0839915176775266</v>
      </c>
      <c r="AZ20" s="602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>4.019482094861214</v>
      </c>
      <c r="BA20" s="610">
        <f>IF($M20="","",AN20-INDEX(Assy.Model!$AN$9:$AN$150,MATCH('SN#.Run#'!$M20,Assy.Model!$M$9:$M$150,0)))</f>
        <v>-24.588630726280101</v>
      </c>
      <c r="BB20" s="525">
        <f>IF($M20="","",AO20-INDEX(Assy.Model!$AO$9:$AO$150,MATCH('SN#.Run#'!$M20,Assy.Model!$M$9:$M$150,0)))</f>
        <v>4.0978889556963232</v>
      </c>
      <c r="BC20" s="619">
        <f>IF($M20="","",AP20-INDEX(Assy.Model!$AP$9:$AP$150,MATCH('SN#.Run#'!$M20,Assy.Model!$M$9:$M$150,0)))</f>
        <v>-7.0673385982170744</v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>
        <f t="shared" si="65"/>
        <v>3.1040000000000001</v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>
        <f t="shared" si="62"/>
        <v>1913</v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33" t="s">
        <v>360</v>
      </c>
      <c r="JC20" s="1334"/>
      <c r="JD20" s="1334"/>
      <c r="JE20" s="1334"/>
      <c r="JF20" s="1131" t="s">
        <v>361</v>
      </c>
      <c r="JG20" s="1132"/>
      <c r="JH20" s="1132"/>
      <c r="JI20" s="1133"/>
    </row>
    <row r="21" spans="1:269" ht="15" customHeight="1" x14ac:dyDescent="0.25">
      <c r="A21" s="75"/>
      <c r="B21" s="578">
        <f t="shared" si="33"/>
        <v>1.9436636725396543</v>
      </c>
      <c r="C21" s="572">
        <f t="shared" si="10"/>
        <v>-4.260019938019262</v>
      </c>
      <c r="D21" s="576">
        <f t="shared" si="11"/>
        <v>-0.20534514988246824</v>
      </c>
      <c r="E21" s="580">
        <f t="shared" si="12"/>
        <v>0.91651503571634318</v>
      </c>
      <c r="F21" s="572">
        <f t="shared" si="13"/>
        <v>0.26579548111982837</v>
      </c>
      <c r="G21" s="579">
        <f t="shared" si="14"/>
        <v>0.29892019940972436</v>
      </c>
      <c r="H21" s="580">
        <f t="shared" si="34"/>
        <v>0.31179600000000002</v>
      </c>
      <c r="I21" s="482"/>
      <c r="J21" s="483">
        <v>3.1070000000000002</v>
      </c>
      <c r="K21" s="806">
        <f>IF(INDEX(N$164:N$305,MATCH($M21,$M$164:$M$305,0))=0,"",INDEX(N$164:N$305,MATCH($M21,$M$164:$M$305,0)))</f>
        <v>1913</v>
      </c>
      <c r="L21" s="719" t="s">
        <v>358</v>
      </c>
      <c r="M21" s="164">
        <f t="shared" si="35"/>
        <v>3.1070000000000002</v>
      </c>
      <c r="N21" s="575">
        <f t="shared" si="36"/>
        <v>1.9436636725396543</v>
      </c>
      <c r="O21" s="572">
        <f t="shared" si="37"/>
        <v>-4.260019938019262</v>
      </c>
      <c r="P21" s="576">
        <f t="shared" si="38"/>
        <v>-0.20534514988246824</v>
      </c>
      <c r="Q21" s="528">
        <f t="shared" si="63"/>
        <v>294.52517213215089</v>
      </c>
      <c r="R21" s="572">
        <f t="shared" si="39"/>
        <v>4.6824777996560725</v>
      </c>
      <c r="S21" s="577">
        <f t="shared" si="40"/>
        <v>-0.20534514988246824</v>
      </c>
      <c r="T21" s="578">
        <f t="shared" si="41"/>
        <v>1.943663672539651</v>
      </c>
      <c r="U21" s="572">
        <f t="shared" si="42"/>
        <v>-4.2600199380192638</v>
      </c>
      <c r="V21" s="579">
        <f t="shared" si="43"/>
        <v>-0.20534514988246824</v>
      </c>
      <c r="W21" s="528">
        <f t="shared" si="67"/>
        <v>294.52517213215089</v>
      </c>
      <c r="X21" s="572">
        <f t="shared" si="44"/>
        <v>4.6824777996560725</v>
      </c>
      <c r="Y21" s="573">
        <f t="shared" si="15"/>
        <v>-0.20534514988246824</v>
      </c>
      <c r="Z21" s="575">
        <f t="shared" si="45"/>
        <v>-0.91651503571634318</v>
      </c>
      <c r="AA21" s="572">
        <f t="shared" si="46"/>
        <v>-0.26579548111982837</v>
      </c>
      <c r="AB21" s="572">
        <f t="shared" si="47"/>
        <v>-0.29892019940972436</v>
      </c>
      <c r="AC21" s="579">
        <f t="shared" si="48"/>
        <v>1.0000001670464862</v>
      </c>
      <c r="AD21" s="580">
        <f t="shared" si="49"/>
        <v>-0.91651488261575242</v>
      </c>
      <c r="AE21" s="572">
        <f t="shared" si="50"/>
        <v>-0.26579543671963463</v>
      </c>
      <c r="AF21" s="576">
        <f t="shared" si="51"/>
        <v>-0.29892014947616374</v>
      </c>
      <c r="AG21" s="545">
        <f t="shared" si="52"/>
        <v>-41.643028686672366</v>
      </c>
      <c r="AH21" s="546">
        <f t="shared" si="53"/>
        <v>156.4217847987519</v>
      </c>
      <c r="AI21" s="528">
        <f t="shared" si="54"/>
        <v>-72.607243652360864</v>
      </c>
      <c r="AJ21" s="529">
        <f t="shared" si="55"/>
        <v>-73.827488029966361</v>
      </c>
      <c r="AK21" s="578">
        <f t="shared" si="56"/>
        <v>0.94415580751669059</v>
      </c>
      <c r="AL21" s="572">
        <f t="shared" si="57"/>
        <v>-0.13862379077796766</v>
      </c>
      <c r="AM21" s="577">
        <f t="shared" si="58"/>
        <v>-0.29892014947616374</v>
      </c>
      <c r="AN21" s="524">
        <f t="shared" si="16"/>
        <v>-24.879445013982558</v>
      </c>
      <c r="AO21" s="525">
        <f t="shared" si="17"/>
        <v>19.238389931786855</v>
      </c>
      <c r="AP21" s="528">
        <f t="shared" si="59"/>
        <v>-8.3526601621172443</v>
      </c>
      <c r="AQ21" s="529">
        <f t="shared" si="60"/>
        <v>0</v>
      </c>
      <c r="AS21" s="598">
        <f t="shared" si="18"/>
        <v>294.52517213215089</v>
      </c>
      <c r="AT21" s="602">
        <f t="shared" si="61"/>
        <v>-0.20534514988246824</v>
      </c>
      <c r="AU21" s="515">
        <f t="shared" si="19"/>
        <v>3.1</v>
      </c>
      <c r="AV21" s="164">
        <f t="shared" si="64"/>
        <v>3.1070000000000002</v>
      </c>
      <c r="AW21" s="545">
        <f>IF($M21="","",W21-INDEX(Assy.Model!$W$9:$W$150,MATCH('SN#.Run#'!$M21,Assy.Model!$M$9:$M$150,0)))</f>
        <v>74.636619010639436</v>
      </c>
      <c r="AX21" s="628">
        <f>IF($M21="","",X21-INDEX(Assy.Model!$X$9:$X$150,MATCH('SN#.Run#'!$M21,Assy.Model!$M$9:$M$150,0)))</f>
        <v>2.1460321518739964</v>
      </c>
      <c r="AY21" s="629">
        <f>IF($M21="","",Y21-INDEX(Assy.Model!$Y$9:$Y$150,MATCH('SN#.Run#'!$M21,Assy.Model!$M$9:$M$150,0)))</f>
        <v>0.62420104673855392</v>
      </c>
      <c r="AZ21" s="602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>4.7387212364531974</v>
      </c>
      <c r="BA21" s="610">
        <f>IF($M21="","",AN21-INDEX(Assy.Model!$AN$9:$AN$150,MATCH('SN#.Run#'!$M21,Assy.Model!$M$9:$M$150,0)))</f>
        <v>-39.455477450155151</v>
      </c>
      <c r="BB21" s="525">
        <f>IF($M21="","",AO21-INDEX(Assy.Model!$AO$9:$AO$150,MATCH('SN#.Run#'!$M21,Assy.Model!$M$9:$M$150,0)))</f>
        <v>4.1343767565021814</v>
      </c>
      <c r="BC21" s="619">
        <f>IF($M21="","",AP21-INDEX(Assy.Model!$AP$9:$AP$150,MATCH('SN#.Run#'!$M21,Assy.Model!$M$9:$M$150,0)))</f>
        <v>-12.238405218663477</v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>
        <f t="shared" si="65"/>
        <v>3.1070000000000002</v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>
        <f t="shared" si="62"/>
        <v>1913</v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97"/>
      <c r="JC21" s="1198"/>
      <c r="JD21" s="1198"/>
      <c r="JE21" s="1198"/>
      <c r="JF21" s="1134" t="s">
        <v>349</v>
      </c>
      <c r="JG21" s="1135"/>
      <c r="JH21" s="1335" t="s">
        <v>362</v>
      </c>
      <c r="JI21" s="1336"/>
    </row>
    <row r="22" spans="1:269" ht="15" customHeight="1" thickBot="1" x14ac:dyDescent="0.3">
      <c r="A22" s="75"/>
      <c r="B22" s="578">
        <f t="shared" si="33"/>
        <v>2.191303376361013</v>
      </c>
      <c r="C22" s="572">
        <f t="shared" si="10"/>
        <v>-4.9166295078480475</v>
      </c>
      <c r="D22" s="576">
        <f t="shared" si="11"/>
        <v>-0.51297695255983511</v>
      </c>
      <c r="E22" s="580">
        <f t="shared" si="12"/>
        <v>0.95294072551285802</v>
      </c>
      <c r="F22" s="572">
        <f t="shared" si="13"/>
        <v>0.16595639255897654</v>
      </c>
      <c r="G22" s="579">
        <f t="shared" si="14"/>
        <v>0.25369754636739983</v>
      </c>
      <c r="H22" s="580">
        <f t="shared" si="34"/>
        <v>0.30729299999999998</v>
      </c>
      <c r="I22" s="482"/>
      <c r="J22" s="483">
        <v>3.1120000000000001</v>
      </c>
      <c r="K22" s="806">
        <f t="shared" si="66"/>
        <v>1913</v>
      </c>
      <c r="L22" s="814" t="str">
        <f>IF($L21=$JH$22,$JH$30,IF($L21=$JI$22,$JI$30,""))</f>
        <v/>
      </c>
      <c r="M22" s="164">
        <f t="shared" si="35"/>
        <v>3.1120000000000001</v>
      </c>
      <c r="N22" s="575">
        <f t="shared" si="36"/>
        <v>2.191303376361013</v>
      </c>
      <c r="O22" s="572">
        <f t="shared" si="37"/>
        <v>-4.9166295078480475</v>
      </c>
      <c r="P22" s="576">
        <f t="shared" si="38"/>
        <v>-0.51297695255983511</v>
      </c>
      <c r="Q22" s="528">
        <f t="shared" si="63"/>
        <v>294.02215965343294</v>
      </c>
      <c r="R22" s="572">
        <f t="shared" si="39"/>
        <v>5.3828483356577408</v>
      </c>
      <c r="S22" s="577">
        <f t="shared" si="40"/>
        <v>-0.51297695255983511</v>
      </c>
      <c r="T22" s="578">
        <f t="shared" si="41"/>
        <v>2.1913033763610157</v>
      </c>
      <c r="U22" s="572">
        <f t="shared" si="42"/>
        <v>-4.9166295078480466</v>
      </c>
      <c r="V22" s="579">
        <f t="shared" si="43"/>
        <v>-0.51297695255983511</v>
      </c>
      <c r="W22" s="528">
        <f t="shared" si="67"/>
        <v>294.02215965343294</v>
      </c>
      <c r="X22" s="572">
        <f t="shared" si="44"/>
        <v>5.3828483356577408</v>
      </c>
      <c r="Y22" s="573">
        <f t="shared" si="15"/>
        <v>-0.51297695255983511</v>
      </c>
      <c r="Z22" s="575">
        <f t="shared" si="45"/>
        <v>-0.95294072551285802</v>
      </c>
      <c r="AA22" s="572">
        <f t="shared" si="46"/>
        <v>-0.16595639255897654</v>
      </c>
      <c r="AB22" s="572">
        <f t="shared" si="47"/>
        <v>-0.25369754636739983</v>
      </c>
      <c r="AC22" s="579">
        <f t="shared" si="48"/>
        <v>0.99999999780250015</v>
      </c>
      <c r="AD22" s="580">
        <f t="shared" si="49"/>
        <v>-0.95294072760694526</v>
      </c>
      <c r="AE22" s="572">
        <f t="shared" si="50"/>
        <v>-0.16595639292366571</v>
      </c>
      <c r="AF22" s="576">
        <f t="shared" si="51"/>
        <v>-0.25369754692490015</v>
      </c>
      <c r="AG22" s="545">
        <f t="shared" si="52"/>
        <v>-33.190727908495646</v>
      </c>
      <c r="AH22" s="546">
        <f t="shared" si="53"/>
        <v>162.35270061535675</v>
      </c>
      <c r="AI22" s="528">
        <f t="shared" si="54"/>
        <v>-75.303577605739434</v>
      </c>
      <c r="AJ22" s="529">
        <f t="shared" si="55"/>
        <v>-80.120912545380108</v>
      </c>
      <c r="AK22" s="578">
        <f t="shared" si="56"/>
        <v>0.93796387895217959</v>
      </c>
      <c r="AL22" s="572">
        <f t="shared" si="57"/>
        <v>-0.23634998723348682</v>
      </c>
      <c r="AM22" s="577">
        <f t="shared" si="58"/>
        <v>-0.25369754692490015</v>
      </c>
      <c r="AN22" s="524">
        <f t="shared" si="16"/>
        <v>-42.97259038304977</v>
      </c>
      <c r="AO22" s="525">
        <f t="shared" si="17"/>
        <v>20.287619465077942</v>
      </c>
      <c r="AP22" s="528">
        <f t="shared" si="59"/>
        <v>-14.143072198813039</v>
      </c>
      <c r="AQ22" s="529">
        <f t="shared" si="60"/>
        <v>0</v>
      </c>
      <c r="AS22" s="598">
        <f t="shared" si="18"/>
        <v>294.02215965343294</v>
      </c>
      <c r="AT22" s="602">
        <f t="shared" si="61"/>
        <v>-0.51297695255983511</v>
      </c>
      <c r="AU22" s="515">
        <f t="shared" si="19"/>
        <v>3.1</v>
      </c>
      <c r="AV22" s="164">
        <f t="shared" si="64"/>
        <v>3.1120000000000001</v>
      </c>
      <c r="AW22" s="545">
        <f>IF($M22="","",W22-INDEX(Assy.Model!$W$9:$W$150,MATCH('SN#.Run#'!$M22,Assy.Model!$M$9:$M$150,0)))</f>
        <v>74.005857488152174</v>
      </c>
      <c r="AX22" s="628">
        <f>IF($M22="","",X22-INDEX(Assy.Model!$X$9:$X$150,MATCH('SN#.Run#'!$M22,Assy.Model!$M$9:$M$150,0)))</f>
        <v>1.7965650763089487</v>
      </c>
      <c r="AY22" s="629">
        <f>IF($M22="","",Y22-INDEX(Assy.Model!$Y$9:$Y$150,MATCH('SN#.Run#'!$M22,Assy.Model!$M$9:$M$150,0)))</f>
        <v>-6.5649614870262329E-2</v>
      </c>
      <c r="AZ22" s="602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>5.5859242721152418</v>
      </c>
      <c r="BA22" s="610">
        <f>IF($M22="","",AN22-INDEX(Assy.Model!$AN$9:$AN$150,MATCH('SN#.Run#'!$M22,Assy.Model!$M$9:$M$150,0)))</f>
        <v>-52.109792919171916</v>
      </c>
      <c r="BB22" s="525">
        <f>IF($M22="","",AO22-INDEX(Assy.Model!$AO$9:$AO$150,MATCH('SN#.Run#'!$M22,Assy.Model!$M$9:$M$150,0)))</f>
        <v>5.2416337343529396</v>
      </c>
      <c r="BC22" s="619">
        <f>IF($M22="","",AP22-INDEX(Assy.Model!$AP$9:$AP$150,MATCH('SN#.Run#'!$M22,Assy.Model!$M$9:$M$150,0)))</f>
        <v>-16.587358429298281</v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>
        <f t="shared" si="65"/>
        <v>3.1120000000000001</v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>
        <f t="shared" si="62"/>
        <v>1913</v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>
        <f t="shared" si="33"/>
        <v>2.3694274502603512</v>
      </c>
      <c r="C23" s="572">
        <f t="shared" si="10"/>
        <v>-5.485549948968945</v>
      </c>
      <c r="D23" s="576">
        <f t="shared" si="11"/>
        <v>-0.97455984990039668</v>
      </c>
      <c r="E23" s="580">
        <f t="shared" si="12"/>
        <v>0.96910329802715467</v>
      </c>
      <c r="F23" s="572">
        <f t="shared" si="13"/>
        <v>6.5662395697680662E-2</v>
      </c>
      <c r="G23" s="579">
        <f t="shared" si="14"/>
        <v>0.23775548808415173</v>
      </c>
      <c r="H23" s="580">
        <f t="shared" si="34"/>
        <v>0.31057800000000002</v>
      </c>
      <c r="I23" s="482"/>
      <c r="J23" s="483">
        <v>3.117</v>
      </c>
      <c r="K23" s="806">
        <f t="shared" si="66"/>
        <v>1913</v>
      </c>
      <c r="L23" s="31"/>
      <c r="M23" s="164">
        <f t="shared" si="35"/>
        <v>3.117</v>
      </c>
      <c r="N23" s="575">
        <f t="shared" si="36"/>
        <v>2.3694274502603512</v>
      </c>
      <c r="O23" s="572">
        <f t="shared" si="37"/>
        <v>-5.485549948968945</v>
      </c>
      <c r="P23" s="576">
        <f t="shared" si="38"/>
        <v>-0.97455984990039668</v>
      </c>
      <c r="Q23" s="528">
        <f t="shared" si="63"/>
        <v>293.36143857512855</v>
      </c>
      <c r="R23" s="572">
        <f t="shared" si="39"/>
        <v>5.9754033072823178</v>
      </c>
      <c r="S23" s="577">
        <f t="shared" si="40"/>
        <v>-0.97455984990039668</v>
      </c>
      <c r="T23" s="578">
        <f t="shared" si="41"/>
        <v>2.3694274502603538</v>
      </c>
      <c r="U23" s="572">
        <f t="shared" si="42"/>
        <v>-5.4855499489689441</v>
      </c>
      <c r="V23" s="579">
        <f t="shared" si="43"/>
        <v>-0.97455984990039668</v>
      </c>
      <c r="W23" s="528">
        <f t="shared" si="67"/>
        <v>293.36143857512855</v>
      </c>
      <c r="X23" s="572">
        <f t="shared" si="44"/>
        <v>5.9754033072823178</v>
      </c>
      <c r="Y23" s="573">
        <f t="shared" si="15"/>
        <v>-0.97455984990039668</v>
      </c>
      <c r="Z23" s="575">
        <f t="shared" si="45"/>
        <v>-0.96910329802715467</v>
      </c>
      <c r="AA23" s="572">
        <f t="shared" si="46"/>
        <v>-6.5662395697680662E-2</v>
      </c>
      <c r="AB23" s="572">
        <f t="shared" si="47"/>
        <v>-0.23775548808415173</v>
      </c>
      <c r="AC23" s="579">
        <f t="shared" si="48"/>
        <v>1.0000002122849776</v>
      </c>
      <c r="AD23" s="580">
        <f t="shared" si="49"/>
        <v>-0.96910309230112646</v>
      </c>
      <c r="AE23" s="572">
        <f t="shared" si="50"/>
        <v>-6.5662381758543428E-2</v>
      </c>
      <c r="AF23" s="576">
        <f t="shared" si="51"/>
        <v>-0.23775543761224399</v>
      </c>
      <c r="AG23" s="545">
        <f t="shared" si="52"/>
        <v>-15.438882958404905</v>
      </c>
      <c r="AH23" s="546">
        <f t="shared" si="53"/>
        <v>165.72027898051547</v>
      </c>
      <c r="AI23" s="528">
        <f t="shared" si="54"/>
        <v>-76.245897751770784</v>
      </c>
      <c r="AJ23" s="529">
        <f t="shared" si="55"/>
        <v>-86.123801498652043</v>
      </c>
      <c r="AK23" s="578">
        <f t="shared" si="56"/>
        <v>0.91569478860746978</v>
      </c>
      <c r="AL23" s="572">
        <f t="shared" si="57"/>
        <v>-0.32399908333656058</v>
      </c>
      <c r="AM23" s="577">
        <f t="shared" si="58"/>
        <v>-0.23775543761224399</v>
      </c>
      <c r="AN23" s="524">
        <f t="shared" si="16"/>
        <v>-53.728214275978651</v>
      </c>
      <c r="AO23" s="525">
        <f t="shared" si="17"/>
        <v>23.695410296045999</v>
      </c>
      <c r="AP23" s="528">
        <f t="shared" si="59"/>
        <v>-19.485240073780577</v>
      </c>
      <c r="AQ23" s="529">
        <f t="shared" si="60"/>
        <v>0</v>
      </c>
      <c r="AS23" s="598">
        <f t="shared" si="18"/>
        <v>293.36143857512855</v>
      </c>
      <c r="AT23" s="602">
        <f t="shared" si="61"/>
        <v>-0.97455984990039668</v>
      </c>
      <c r="AU23" s="515">
        <f t="shared" si="19"/>
        <v>3.1</v>
      </c>
      <c r="AV23" s="164">
        <f t="shared" si="64"/>
        <v>3.117</v>
      </c>
      <c r="AW23" s="545">
        <f>IF($M23="","",W23-INDEX(Assy.Model!$W$9:$W$150,MATCH('SN#.Run#'!$M23,Assy.Model!$M$9:$M$150,0)))</f>
        <v>73.458956062260881</v>
      </c>
      <c r="AX23" s="628">
        <f>IF($M23="","",X23-INDEX(Assy.Model!$X$9:$X$150,MATCH('SN#.Run#'!$M23,Assy.Model!$M$9:$M$150,0)))</f>
        <v>1.5225753361214096</v>
      </c>
      <c r="AY23" s="629">
        <f>IF($M23="","",Y23-INDEX(Assy.Model!$Y$9:$Y$150,MATCH('SN#.Run#'!$M23,Assy.Model!$M$9:$M$150,0)))</f>
        <v>-0.78595634757066124</v>
      </c>
      <c r="AZ23" s="602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>6.4031599962697578</v>
      </c>
      <c r="BA23" s="610">
        <f>IF($M23="","",AN23-INDEX(Assy.Model!$AN$9:$AN$150,MATCH('SN#.Run#'!$M23,Assy.Model!$M$9:$M$150,0)))</f>
        <v>-57.646906466141303</v>
      </c>
      <c r="BB23" s="525">
        <f>IF($M23="","",AO23-INDEX(Assy.Model!$AO$9:$AO$150,MATCH('SN#.Run#'!$M23,Assy.Model!$M$9:$M$150,0)))</f>
        <v>8.580419766255968</v>
      </c>
      <c r="BC23" s="619">
        <f>IF($M23="","",AP23-INDEX(Assy.Model!$AP$9:$AP$150,MATCH('SN#.Run#'!$M23,Assy.Model!$M$9:$M$150,0)))</f>
        <v>-20.542739264039422</v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>
        <f t="shared" si="65"/>
        <v>3.117</v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>
        <f t="shared" si="62"/>
        <v>1913</v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>
        <f t="shared" si="33"/>
        <v>2.4989288765554751</v>
      </c>
      <c r="C24" s="572">
        <f t="shared" si="10"/>
        <v>-5.9506819114365497</v>
      </c>
      <c r="D24" s="576">
        <f t="shared" si="11"/>
        <v>-1.5586017712481399</v>
      </c>
      <c r="E24" s="580">
        <f t="shared" si="12"/>
        <v>0.9782405225451809</v>
      </c>
      <c r="F24" s="572">
        <f t="shared" si="13"/>
        <v>-4.0116193787773778E-2</v>
      </c>
      <c r="G24" s="579">
        <f t="shared" si="14"/>
        <v>0.20356045425502833</v>
      </c>
      <c r="H24" s="580">
        <f t="shared" si="34"/>
        <v>0.30514000000000002</v>
      </c>
      <c r="I24" s="482"/>
      <c r="J24" s="483">
        <v>3.1219999999999999</v>
      </c>
      <c r="K24" s="806">
        <f t="shared" si="66"/>
        <v>1913</v>
      </c>
      <c r="L24" s="82"/>
      <c r="M24" s="164">
        <f t="shared" si="35"/>
        <v>3.1219999999999999</v>
      </c>
      <c r="N24" s="575">
        <f t="shared" si="36"/>
        <v>2.4989288765554751</v>
      </c>
      <c r="O24" s="572">
        <f t="shared" si="37"/>
        <v>-5.9506819114365497</v>
      </c>
      <c r="P24" s="576">
        <f t="shared" si="38"/>
        <v>-1.5586017712481399</v>
      </c>
      <c r="Q24" s="528">
        <f t="shared" si="63"/>
        <v>292.77947943533394</v>
      </c>
      <c r="R24" s="572">
        <f t="shared" si="39"/>
        <v>6.4540886840189104</v>
      </c>
      <c r="S24" s="577">
        <f t="shared" si="40"/>
        <v>-1.5586017712481399</v>
      </c>
      <c r="T24" s="578">
        <f t="shared" si="41"/>
        <v>2.4989288765554734</v>
      </c>
      <c r="U24" s="572">
        <f t="shared" si="42"/>
        <v>-5.9506819114365497</v>
      </c>
      <c r="V24" s="579">
        <f t="shared" si="43"/>
        <v>-1.5586017712481399</v>
      </c>
      <c r="W24" s="528">
        <f t="shared" si="67"/>
        <v>292.77947943533394</v>
      </c>
      <c r="X24" s="572">
        <f t="shared" si="44"/>
        <v>6.4540886840189104</v>
      </c>
      <c r="Y24" s="573">
        <f t="shared" si="15"/>
        <v>-1.5586017712481399</v>
      </c>
      <c r="Z24" s="575">
        <f t="shared" si="45"/>
        <v>-0.9782405225451809</v>
      </c>
      <c r="AA24" s="572">
        <f t="shared" si="46"/>
        <v>4.0116193787773778E-2</v>
      </c>
      <c r="AB24" s="572">
        <f t="shared" si="47"/>
        <v>-0.20356045425502833</v>
      </c>
      <c r="AC24" s="579">
        <f t="shared" si="48"/>
        <v>1.000000343744941</v>
      </c>
      <c r="AD24" s="580">
        <f t="shared" si="49"/>
        <v>-0.97824018628006582</v>
      </c>
      <c r="AE24" s="572">
        <f t="shared" si="50"/>
        <v>4.0116179998039854E-2</v>
      </c>
      <c r="AF24" s="576">
        <f t="shared" si="51"/>
        <v>-0.20356038428217604</v>
      </c>
      <c r="AG24" s="545">
        <f t="shared" si="52"/>
        <v>11.148567030444596</v>
      </c>
      <c r="AH24" s="546">
        <f t="shared" si="53"/>
        <v>168.02554127515759</v>
      </c>
      <c r="AI24" s="528">
        <f t="shared" si="54"/>
        <v>-78.254761716792558</v>
      </c>
      <c r="AJ24" s="529">
        <f t="shared" si="55"/>
        <v>-92.34829920125226</v>
      </c>
      <c r="AK24" s="578">
        <f t="shared" si="56"/>
        <v>0.88640689352296254</v>
      </c>
      <c r="AL24" s="572">
        <f t="shared" si="57"/>
        <v>-0.41574750638562363</v>
      </c>
      <c r="AM24" s="577">
        <f t="shared" si="58"/>
        <v>-0.20356038428217604</v>
      </c>
      <c r="AN24" s="524">
        <f t="shared" si="16"/>
        <v>-63.91247323857791</v>
      </c>
      <c r="AO24" s="525">
        <f t="shared" si="17"/>
        <v>27.574845576672029</v>
      </c>
      <c r="AP24" s="528">
        <f t="shared" si="59"/>
        <v>-25.127778636586218</v>
      </c>
      <c r="AQ24" s="529">
        <f t="shared" si="60"/>
        <v>0</v>
      </c>
      <c r="AS24" s="598">
        <f>IF(M24="","",IF(W24&lt;=LARGE($W$9:$W$17,1),W24,W24-360))</f>
        <v>292.77947943533394</v>
      </c>
      <c r="AT24" s="602">
        <f t="shared" si="61"/>
        <v>-1.5586017712481399</v>
      </c>
      <c r="AU24" s="515">
        <f t="shared" si="19"/>
        <v>3.1</v>
      </c>
      <c r="AV24" s="164">
        <f t="shared" si="64"/>
        <v>3.1219999999999999</v>
      </c>
      <c r="AW24" s="545">
        <f>IF($M24="","",W24-INDEX(Assy.Model!$W$9:$W$150,MATCH('SN#.Run#'!$M24,Assy.Model!$M$9:$M$150,0)))</f>
        <v>73.349545989983653</v>
      </c>
      <c r="AX24" s="628">
        <f>IF($M24="","",X24-INDEX(Assy.Model!$X$9:$X$150,MATCH('SN#.Run#'!$M24,Assy.Model!$M$9:$M$150,0)))</f>
        <v>1.0991754371686158</v>
      </c>
      <c r="AY24" s="629">
        <f>IF($M24="","",Y24-INDEX(Assy.Model!$Y$9:$Y$150,MATCH('SN#.Run#'!$M24,Assy.Model!$M$9:$M$150,0)))</f>
        <v>-1.4101160907874473</v>
      </c>
      <c r="AZ24" s="602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>7.2465895714942397</v>
      </c>
      <c r="BA24" s="610">
        <f>IF($M24="","",AN24-INDEX(Assy.Model!$AN$9:$AN$150,MATCH('SN#.Run#'!$M24,Assy.Model!$M$9:$M$150,0)))</f>
        <v>-58.942677706888404</v>
      </c>
      <c r="BB24" s="525">
        <f>IF($M24="","",AO24-INDEX(Assy.Model!$AO$9:$AO$150,MATCH('SN#.Run#'!$M24,Assy.Model!$M$9:$M$150,0)))</f>
        <v>11.894002456169281</v>
      </c>
      <c r="BC24" s="619">
        <f>IF($M24="","",AP24-INDEX(Assy.Model!$AP$9:$AP$150,MATCH('SN#.Run#'!$M24,Assy.Model!$M$9:$M$150,0)))</f>
        <v>-23.734648290646177</v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>
        <f t="shared" si="65"/>
        <v>3.1219999999999999</v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>
        <f t="shared" si="62"/>
        <v>1913</v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>
        <f t="shared" si="33"/>
        <v>2.6287572128378605</v>
      </c>
      <c r="C25" s="572">
        <f t="shared" si="10"/>
        <v>-6.458065875714385</v>
      </c>
      <c r="D25" s="576">
        <f t="shared" si="11"/>
        <v>-2.9532076069973874</v>
      </c>
      <c r="E25" s="580">
        <f t="shared" si="12"/>
        <v>0.9753688835163542</v>
      </c>
      <c r="F25" s="572">
        <f t="shared" si="13"/>
        <v>-0.2014552078977303</v>
      </c>
      <c r="G25" s="579">
        <f t="shared" si="14"/>
        <v>8.9837377844321886E-2</v>
      </c>
      <c r="H25" s="580">
        <f t="shared" si="34"/>
        <v>0.30745499999999998</v>
      </c>
      <c r="I25" s="482"/>
      <c r="J25" s="483">
        <v>3.1320000000000001</v>
      </c>
      <c r="K25" s="806">
        <f t="shared" si="66"/>
        <v>1913</v>
      </c>
      <c r="L25" s="82"/>
      <c r="M25" s="164">
        <f t="shared" si="35"/>
        <v>3.1320000000000001</v>
      </c>
      <c r="N25" s="575">
        <f t="shared" si="36"/>
        <v>2.6287572128378605</v>
      </c>
      <c r="O25" s="572">
        <f t="shared" si="37"/>
        <v>-6.458065875714385</v>
      </c>
      <c r="P25" s="576">
        <f t="shared" si="38"/>
        <v>-2.9532076069973874</v>
      </c>
      <c r="Q25" s="528">
        <f t="shared" si="63"/>
        <v>292.14879218961414</v>
      </c>
      <c r="R25" s="572">
        <f t="shared" si="39"/>
        <v>6.9725877075239211</v>
      </c>
      <c r="S25" s="577">
        <f t="shared" si="40"/>
        <v>-2.9532076069973874</v>
      </c>
      <c r="T25" s="578">
        <f t="shared" si="41"/>
        <v>2.6287572128378622</v>
      </c>
      <c r="U25" s="572">
        <f t="shared" si="42"/>
        <v>-6.458065875714385</v>
      </c>
      <c r="V25" s="579">
        <f t="shared" si="43"/>
        <v>-2.9532076069973874</v>
      </c>
      <c r="W25" s="528">
        <f t="shared" si="67"/>
        <v>292.14879218961414</v>
      </c>
      <c r="X25" s="572">
        <f t="shared" si="44"/>
        <v>6.9725877075239211</v>
      </c>
      <c r="Y25" s="573">
        <f t="shared" si="15"/>
        <v>-2.9532076069973874</v>
      </c>
      <c r="Z25" s="575">
        <f t="shared" si="45"/>
        <v>-0.9753688835163542</v>
      </c>
      <c r="AA25" s="572">
        <f t="shared" si="46"/>
        <v>0.2014552078977303</v>
      </c>
      <c r="AB25" s="572">
        <f t="shared" si="47"/>
        <v>-8.9837377844321886E-2</v>
      </c>
      <c r="AC25" s="579">
        <f t="shared" si="48"/>
        <v>0.9999997070894574</v>
      </c>
      <c r="AD25" s="580">
        <f t="shared" si="49"/>
        <v>-0.9753691692122668</v>
      </c>
      <c r="AE25" s="572">
        <f t="shared" si="50"/>
        <v>0.20145526690610185</v>
      </c>
      <c r="AF25" s="576">
        <f t="shared" si="51"/>
        <v>-8.983740415864469E-2</v>
      </c>
      <c r="AG25" s="545">
        <f t="shared" si="52"/>
        <v>65.965891047431739</v>
      </c>
      <c r="AH25" s="546">
        <f t="shared" si="53"/>
        <v>167.25697212979227</v>
      </c>
      <c r="AI25" s="528">
        <f t="shared" si="54"/>
        <v>-84.84574685646453</v>
      </c>
      <c r="AJ25" s="529">
        <f t="shared" si="55"/>
        <v>-101.66991936974516</v>
      </c>
      <c r="AK25" s="578">
        <f t="shared" si="56"/>
        <v>0.827443354458549</v>
      </c>
      <c r="AL25" s="572">
        <f t="shared" si="57"/>
        <v>-0.55431645833081689</v>
      </c>
      <c r="AM25" s="577">
        <f t="shared" si="58"/>
        <v>-8.983740415864469E-2</v>
      </c>
      <c r="AN25" s="524">
        <f t="shared" si="16"/>
        <v>-80.79418563673913</v>
      </c>
      <c r="AO25" s="525">
        <f t="shared" si="17"/>
        <v>34.16300254501904</v>
      </c>
      <c r="AP25" s="528">
        <f t="shared" si="59"/>
        <v>-33.818711559359294</v>
      </c>
      <c r="AQ25" s="529">
        <f t="shared" si="60"/>
        <v>0</v>
      </c>
      <c r="AS25" s="598">
        <f t="shared" si="18"/>
        <v>292.14879218961414</v>
      </c>
      <c r="AT25" s="602">
        <f t="shared" si="61"/>
        <v>-2.9532076069973874</v>
      </c>
      <c r="AU25" s="515">
        <f t="shared" si="19"/>
        <v>3.1</v>
      </c>
      <c r="AV25" s="164">
        <f t="shared" si="64"/>
        <v>3.1320000000000001</v>
      </c>
      <c r="AW25" s="545">
        <f>IF($M25="","",W25-INDEX(Assy.Model!$W$9:$W$150,MATCH('SN#.Run#'!$M25,Assy.Model!$M$9:$M$150,0)))</f>
        <v>74.08899595023928</v>
      </c>
      <c r="AX25" s="628">
        <f>IF($M25="","",X25-INDEX(Assy.Model!$X$9:$X$150,MATCH('SN#.Run#'!$M25,Assy.Model!$M$9:$M$150,0)))</f>
        <v>-5.1903240447429333E-2</v>
      </c>
      <c r="AY25" s="629">
        <f>IF($M25="","",Y25-INDEX(Assy.Model!$Y$9:$Y$150,MATCH('SN#.Run#'!$M25,Assy.Model!$M$9:$M$150,0)))</f>
        <v>-2.1666815167291551</v>
      </c>
      <c r="AZ25" s="602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>8.7063446432357789</v>
      </c>
      <c r="BA25" s="610">
        <f>IF($M25="","",AN25-INDEX(Assy.Model!$AN$9:$AN$150,MATCH('SN#.Run#'!$M25,Assy.Model!$M$9:$M$150,0)))</f>
        <v>-47.191996569583466</v>
      </c>
      <c r="BB25" s="525">
        <f>IF($M25="","",AO25-INDEX(Assy.Model!$AO$9:$AO$150,MATCH('SN#.Run#'!$M25,Assy.Model!$M$9:$M$150,0)))</f>
        <v>16.249316002271353</v>
      </c>
      <c r="BC25" s="619">
        <f>IF($M25="","",AP25-INDEX(Assy.Model!$AP$9:$AP$150,MATCH('SN#.Run#'!$M25,Assy.Model!$M$9:$M$150,0)))</f>
        <v>-23.675970139506823</v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>
        <f t="shared" si="65"/>
        <v>3.1320000000000001</v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>
        <f t="shared" si="62"/>
        <v>1913</v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>
        <f t="shared" si="33"/>
        <v>2.619176083012547</v>
      </c>
      <c r="C26" s="572">
        <f t="shared" si="10"/>
        <v>-6.5941866563541112</v>
      </c>
      <c r="D26" s="576">
        <f t="shared" si="11"/>
        <v>-3.6988728957652777</v>
      </c>
      <c r="E26" s="580">
        <f t="shared" si="12"/>
        <v>0.95333300779104568</v>
      </c>
      <c r="F26" s="572">
        <f t="shared" si="13"/>
        <v>-0.29739584746107878</v>
      </c>
      <c r="G26" s="579">
        <f t="shared" si="14"/>
        <v>5.2072488619084853E-2</v>
      </c>
      <c r="H26" s="580">
        <f t="shared" si="34"/>
        <v>0.31114000000000003</v>
      </c>
      <c r="I26" s="482"/>
      <c r="J26" s="483">
        <v>3.137</v>
      </c>
      <c r="K26" s="806">
        <f t="shared" si="66"/>
        <v>1913</v>
      </c>
      <c r="L26" s="309"/>
      <c r="M26" s="164">
        <f t="shared" si="35"/>
        <v>3.137</v>
      </c>
      <c r="N26" s="575">
        <f t="shared" si="36"/>
        <v>2.619176083012547</v>
      </c>
      <c r="O26" s="572">
        <f t="shared" si="37"/>
        <v>-6.5941866563541112</v>
      </c>
      <c r="P26" s="576">
        <f t="shared" si="38"/>
        <v>-3.6988728957652777</v>
      </c>
      <c r="Q26" s="528">
        <f t="shared" si="63"/>
        <v>291.66271434309544</v>
      </c>
      <c r="R26" s="572">
        <f t="shared" si="39"/>
        <v>7.0953069709959387</v>
      </c>
      <c r="S26" s="577">
        <f t="shared" si="40"/>
        <v>-3.6988728957652777</v>
      </c>
      <c r="T26" s="578">
        <f t="shared" si="41"/>
        <v>2.6191760830125492</v>
      </c>
      <c r="U26" s="572">
        <f t="shared" si="42"/>
        <v>-6.5941866563541103</v>
      </c>
      <c r="V26" s="579">
        <f t="shared" si="43"/>
        <v>-3.6988728957652777</v>
      </c>
      <c r="W26" s="528">
        <f t="shared" si="67"/>
        <v>291.66271434309544</v>
      </c>
      <c r="X26" s="572">
        <f t="shared" si="44"/>
        <v>7.0953069709959387</v>
      </c>
      <c r="Y26" s="573">
        <f t="shared" si="15"/>
        <v>-3.6988728957652777</v>
      </c>
      <c r="Z26" s="575">
        <f t="shared" si="45"/>
        <v>-0.95333300779104568</v>
      </c>
      <c r="AA26" s="572">
        <f t="shared" si="46"/>
        <v>0.29739584746107878</v>
      </c>
      <c r="AB26" s="572">
        <f t="shared" si="47"/>
        <v>-5.2072488619084853E-2</v>
      </c>
      <c r="AC26" s="579">
        <f t="shared" si="48"/>
        <v>0.99999982895098527</v>
      </c>
      <c r="AD26" s="580">
        <f t="shared" si="49"/>
        <v>-0.95333317085774527</v>
      </c>
      <c r="AE26" s="572">
        <f t="shared" si="50"/>
        <v>0.29739589833035418</v>
      </c>
      <c r="AF26" s="576">
        <f t="shared" si="51"/>
        <v>-5.2072497526034253E-2</v>
      </c>
      <c r="AG26" s="545">
        <f t="shared" si="52"/>
        <v>80.068480191993601</v>
      </c>
      <c r="AH26" s="546">
        <f t="shared" si="53"/>
        <v>162.42702285823498</v>
      </c>
      <c r="AI26" s="528">
        <f t="shared" si="54"/>
        <v>-87.015115683896823</v>
      </c>
      <c r="AJ26" s="529">
        <f t="shared" si="55"/>
        <v>-107.3255091157764</v>
      </c>
      <c r="AK26" s="578">
        <f t="shared" si="56"/>
        <v>0.77622077138460055</v>
      </c>
      <c r="AL26" s="572">
        <f t="shared" si="57"/>
        <v>-0.62830706591005081</v>
      </c>
      <c r="AM26" s="577">
        <f t="shared" si="58"/>
        <v>-5.2072497526034253E-2</v>
      </c>
      <c r="AN26" s="524">
        <f t="shared" si="16"/>
        <v>-85.262298424400029</v>
      </c>
      <c r="AO26" s="525">
        <f t="shared" si="17"/>
        <v>39.084156615075941</v>
      </c>
      <c r="AP26" s="528">
        <f t="shared" si="59"/>
        <v>-38.988223458871857</v>
      </c>
      <c r="AQ26" s="529">
        <f t="shared" si="60"/>
        <v>0</v>
      </c>
      <c r="AS26" s="598">
        <f t="shared" si="18"/>
        <v>291.66271434309544</v>
      </c>
      <c r="AT26" s="602">
        <f t="shared" si="61"/>
        <v>-3.6988728957652777</v>
      </c>
      <c r="AU26" s="515">
        <f t="shared" si="19"/>
        <v>3.1</v>
      </c>
      <c r="AV26" s="164">
        <f t="shared" si="64"/>
        <v>3.137</v>
      </c>
      <c r="AW26" s="545">
        <f>IF($M26="","",W26-INDEX(Assy.Model!$W$9:$W$150,MATCH('SN#.Run#'!$M26,Assy.Model!$M$9:$M$150,0)))</f>
        <v>74.238465899986238</v>
      </c>
      <c r="AX26" s="628">
        <f>IF($M26="","",X26-INDEX(Assy.Model!$X$9:$X$150,MATCH('SN#.Run#'!$M26,Assy.Model!$M$9:$M$150,0)))</f>
        <v>-0.57743789751328123</v>
      </c>
      <c r="AY26" s="629">
        <f>IF($M26="","",Y26-INDEX(Assy.Model!$Y$9:$Y$150,MATCH('SN#.Run#'!$M26,Assy.Model!$M$9:$M$150,0)))</f>
        <v>-2.2848968574445463</v>
      </c>
      <c r="AZ26" s="602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>9.2119138375062288</v>
      </c>
      <c r="BA26" s="610">
        <f>IF($M26="","",AN26-INDEX(Assy.Model!$AN$9:$AN$150,MATCH('SN#.Run#'!$M26,Assy.Model!$M$9:$M$150,0)))</f>
        <v>-37.327110179176181</v>
      </c>
      <c r="BB26" s="525">
        <f>IF($M26="","",AO26-INDEX(Assy.Model!$AO$9:$AO$150,MATCH('SN#.Run#'!$M26,Assy.Model!$M$9:$M$150,0)))</f>
        <v>19.588827746097174</v>
      </c>
      <c r="BC26" s="619">
        <f>IF($M26="","",AP26-INDEX(Assy.Model!$AP$9:$AP$150,MATCH('SN#.Run#'!$M26,Assy.Model!$M$9:$M$150,0)))</f>
        <v>-24.2624964768805</v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>
        <f t="shared" si="65"/>
        <v>3.137</v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>
        <f t="shared" si="62"/>
        <v>1913</v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>
        <f t="shared" si="33"/>
        <v>-0.4681022512625938</v>
      </c>
      <c r="C27" s="572">
        <f t="shared" si="10"/>
        <v>-0.69121820878531093</v>
      </c>
      <c r="D27" s="576">
        <f t="shared" si="11"/>
        <v>-0.72523214327339169</v>
      </c>
      <c r="E27" s="580">
        <f t="shared" si="12"/>
        <v>0.82378437746492295</v>
      </c>
      <c r="F27" s="572">
        <f t="shared" si="13"/>
        <v>-0.47677699821763347</v>
      </c>
      <c r="G27" s="579">
        <f t="shared" si="14"/>
        <v>0.30669615220493418</v>
      </c>
      <c r="H27" s="580">
        <f t="shared" si="34"/>
        <v>0.31805899999999998</v>
      </c>
      <c r="I27" s="482"/>
      <c r="J27" s="483">
        <v>4.133</v>
      </c>
      <c r="K27" s="806">
        <f t="shared" si="66"/>
        <v>1913</v>
      </c>
      <c r="L27" s="784"/>
      <c r="M27" s="164">
        <f t="shared" si="35"/>
        <v>4.133</v>
      </c>
      <c r="N27" s="575">
        <f t="shared" si="36"/>
        <v>-0.4681022512625938</v>
      </c>
      <c r="O27" s="572">
        <f t="shared" si="37"/>
        <v>-0.69121820878531093</v>
      </c>
      <c r="P27" s="576">
        <f t="shared" si="38"/>
        <v>-0.72523214327339169</v>
      </c>
      <c r="Q27" s="528">
        <f t="shared" si="63"/>
        <v>235.8936153457343</v>
      </c>
      <c r="R27" s="572">
        <f t="shared" si="39"/>
        <v>0.83480676194762715</v>
      </c>
      <c r="S27" s="577">
        <f t="shared" si="40"/>
        <v>-0.72523214327339169</v>
      </c>
      <c r="T27" s="578">
        <f t="shared" si="41"/>
        <v>-0.46810225126259403</v>
      </c>
      <c r="U27" s="572">
        <f t="shared" si="42"/>
        <v>-0.69121820878531082</v>
      </c>
      <c r="V27" s="579">
        <f t="shared" si="43"/>
        <v>-0.72523214327339169</v>
      </c>
      <c r="W27" s="528">
        <f t="shared" si="67"/>
        <v>235.8936153457343</v>
      </c>
      <c r="X27" s="572">
        <f t="shared" si="44"/>
        <v>0.83480676194762715</v>
      </c>
      <c r="Y27" s="573">
        <f t="shared" si="15"/>
        <v>-0.72523214327339169</v>
      </c>
      <c r="Z27" s="575">
        <f>IF(M27="","",-E27)</f>
        <v>-0.82378437746492295</v>
      </c>
      <c r="AA27" s="572">
        <f t="shared" si="46"/>
        <v>0.47677699821763347</v>
      </c>
      <c r="AB27" s="572">
        <f t="shared" si="47"/>
        <v>-0.30669615220493418</v>
      </c>
      <c r="AC27" s="579">
        <f t="shared" si="48"/>
        <v>0.99999976818097314</v>
      </c>
      <c r="AD27" s="580">
        <f t="shared" si="49"/>
        <v>-0.82378456843385994</v>
      </c>
      <c r="AE27" s="572">
        <f t="shared" si="50"/>
        <v>0.47677710874363888</v>
      </c>
      <c r="AF27" s="576">
        <f t="shared" si="51"/>
        <v>-0.30669622330295421</v>
      </c>
      <c r="AG27" s="545">
        <f t="shared" si="52"/>
        <v>57.248054989437577</v>
      </c>
      <c r="AH27" s="546">
        <f t="shared" si="53"/>
        <v>145.46545798065983</v>
      </c>
      <c r="AI27" s="528">
        <f t="shared" si="54"/>
        <v>-72.139758095053324</v>
      </c>
      <c r="AJ27" s="529">
        <f t="shared" si="55"/>
        <v>-120.06072679550874</v>
      </c>
      <c r="AK27" s="578">
        <f t="shared" si="56"/>
        <v>0.94943568727456662</v>
      </c>
      <c r="AL27" s="572">
        <f t="shared" si="57"/>
        <v>6.7151339086989059E-2</v>
      </c>
      <c r="AM27" s="577">
        <f t="shared" si="58"/>
        <v>-0.30669622330295421</v>
      </c>
      <c r="AN27" s="524">
        <f t="shared" si="16"/>
        <v>12.350058510957693</v>
      </c>
      <c r="AO27" s="525">
        <f t="shared" si="17"/>
        <v>18.298136905488576</v>
      </c>
      <c r="AP27" s="528">
        <f t="shared" si="59"/>
        <v>4.0456578587569432</v>
      </c>
      <c r="AQ27" s="529">
        <f t="shared" si="60"/>
        <v>0</v>
      </c>
      <c r="AS27" s="598">
        <f t="shared" si="18"/>
        <v>235.8936153457343</v>
      </c>
      <c r="AT27" s="602">
        <f t="shared" si="61"/>
        <v>-0.72523214327339169</v>
      </c>
      <c r="AU27" s="515">
        <f t="shared" si="19"/>
        <v>4.0999999999999996</v>
      </c>
      <c r="AV27" s="164">
        <f t="shared" si="64"/>
        <v>4.133</v>
      </c>
      <c r="AW27" s="545">
        <f>IF($M27="","",W27-INDEX(Assy.Model!$W$9:$W$150,MATCH('SN#.Run#'!$M27,Assy.Model!$M$9:$M$150,0)))</f>
        <v>97.970459982847615</v>
      </c>
      <c r="AX27" s="628">
        <f>IF($M27="","",X27-INDEX(Assy.Model!$X$9:$X$150,MATCH('SN#.Run#'!$M27,Assy.Model!$M$9:$M$150,0)))</f>
        <v>-6.3322782425929143</v>
      </c>
      <c r="AY27" s="629">
        <f>IF($M27="","",Y27-INDEX(Assy.Model!$Y$9:$Y$150,MATCH('SN#.Run#'!$M27,Assy.Model!$M$9:$M$150,0)))</f>
        <v>0.17279902186509855</v>
      </c>
      <c r="AZ27" s="602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>7.3316533918151281</v>
      </c>
      <c r="BA27" s="610">
        <f>IF($M27="","",AN27-INDEX(Assy.Model!$AN$9:$AN$150,MATCH('SN#.Run#'!$M27,Assy.Model!$M$9:$M$150,0)))</f>
        <v>48.78065295523524</v>
      </c>
      <c r="BB27" s="525">
        <f>IF($M27="","",AO27-INDEX(Assy.Model!$AO$9:$AO$150,MATCH('SN#.Run#'!$M27,Assy.Model!$M$9:$M$150,0)))</f>
        <v>8.867945340329797E-2</v>
      </c>
      <c r="BC27" s="619">
        <f>IF($M27="","",AP27-INDEX(Assy.Model!$AP$9:$AP$150,MATCH('SN#.Run#'!$M27,Assy.Model!$M$9:$M$150,0)))</f>
        <v>15.09952161818412</v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>
        <f t="shared" si="65"/>
        <v>4.133</v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>
        <f t="shared" si="62"/>
        <v>1913</v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>
        <f t="shared" si="33"/>
        <v>-0.89689184788670662</v>
      </c>
      <c r="C28" s="572">
        <f t="shared" si="10"/>
        <v>-1.3005187563073359</v>
      </c>
      <c r="D28" s="576">
        <f t="shared" si="11"/>
        <v>-0.51653437371106148</v>
      </c>
      <c r="E28" s="580">
        <f t="shared" si="12"/>
        <v>0.8230047600907987</v>
      </c>
      <c r="F28" s="572">
        <f t="shared" si="13"/>
        <v>-0.46560964667556826</v>
      </c>
      <c r="G28" s="579">
        <f t="shared" si="14"/>
        <v>0.32537728502085028</v>
      </c>
      <c r="H28" s="580">
        <f t="shared" si="34"/>
        <v>0.31772600000000001</v>
      </c>
      <c r="I28" s="482"/>
      <c r="J28" s="483">
        <v>4.1379999999999999</v>
      </c>
      <c r="K28" s="806">
        <f t="shared" si="66"/>
        <v>1913</v>
      </c>
      <c r="L28" s="784"/>
      <c r="M28" s="164">
        <f t="shared" si="35"/>
        <v>4.1379999999999999</v>
      </c>
      <c r="N28" s="575">
        <f t="shared" si="36"/>
        <v>-0.89689184788670662</v>
      </c>
      <c r="O28" s="572">
        <f t="shared" si="37"/>
        <v>-1.3005187563073359</v>
      </c>
      <c r="P28" s="576">
        <f t="shared" si="38"/>
        <v>-0.51653437371106148</v>
      </c>
      <c r="Q28" s="528">
        <f t="shared" si="63"/>
        <v>235.40823795074238</v>
      </c>
      <c r="R28" s="572">
        <f t="shared" si="39"/>
        <v>1.5797987284185322</v>
      </c>
      <c r="S28" s="577">
        <f t="shared" si="40"/>
        <v>-0.51653437371106148</v>
      </c>
      <c r="T28" s="578">
        <f t="shared" si="41"/>
        <v>-0.89689184788670662</v>
      </c>
      <c r="U28" s="572">
        <f t="shared" si="42"/>
        <v>-1.3005187563073362</v>
      </c>
      <c r="V28" s="579">
        <f t="shared" si="43"/>
        <v>-0.51653437371106148</v>
      </c>
      <c r="W28" s="528">
        <f t="shared" si="67"/>
        <v>235.40823795074238</v>
      </c>
      <c r="X28" s="572">
        <f t="shared" si="44"/>
        <v>1.5797987284185322</v>
      </c>
      <c r="Y28" s="573">
        <f t="shared" si="15"/>
        <v>-0.51653437371106148</v>
      </c>
      <c r="Z28" s="575">
        <f t="shared" si="45"/>
        <v>-0.8230047600907987</v>
      </c>
      <c r="AA28" s="572">
        <f t="shared" si="46"/>
        <v>0.46560964667556826</v>
      </c>
      <c r="AB28" s="572">
        <f t="shared" si="47"/>
        <v>-0.32537728502085028</v>
      </c>
      <c r="AC28" s="579">
        <f t="shared" si="48"/>
        <v>0.9999997779084755</v>
      </c>
      <c r="AD28" s="580">
        <f t="shared" si="49"/>
        <v>-0.82300494287322112</v>
      </c>
      <c r="AE28" s="572">
        <f t="shared" si="50"/>
        <v>0.46560975008354744</v>
      </c>
      <c r="AF28" s="576">
        <f t="shared" si="51"/>
        <v>-0.32537735728440359</v>
      </c>
      <c r="AG28" s="545">
        <f t="shared" si="52"/>
        <v>55.053384132113152</v>
      </c>
      <c r="AH28" s="546">
        <f t="shared" si="53"/>
        <v>145.38674129445167</v>
      </c>
      <c r="AI28" s="528">
        <f t="shared" si="54"/>
        <v>-71.011561373133247</v>
      </c>
      <c r="AJ28" s="529">
        <f t="shared" si="55"/>
        <v>-119.49873203818586</v>
      </c>
      <c r="AK28" s="578">
        <f t="shared" si="56"/>
        <v>0.94185096311368666</v>
      </c>
      <c r="AL28" s="572">
        <f t="shared" si="57"/>
        <v>8.3942472255933653E-2</v>
      </c>
      <c r="AM28" s="577">
        <f t="shared" si="58"/>
        <v>-0.32537735728440359</v>
      </c>
      <c r="AN28" s="524">
        <f t="shared" si="16"/>
        <v>14.46602167871373</v>
      </c>
      <c r="AO28" s="525">
        <f t="shared" si="17"/>
        <v>19.635238407659976</v>
      </c>
      <c r="AP28" s="528">
        <f t="shared" si="59"/>
        <v>5.0930300110717424</v>
      </c>
      <c r="AQ28" s="529">
        <f t="shared" si="60"/>
        <v>0</v>
      </c>
      <c r="AS28" s="598">
        <f t="shared" si="18"/>
        <v>235.40823795074238</v>
      </c>
      <c r="AT28" s="602">
        <f t="shared" si="61"/>
        <v>-0.51653437371106148</v>
      </c>
      <c r="AU28" s="515">
        <f t="shared" si="19"/>
        <v>4.0999999999999996</v>
      </c>
      <c r="AV28" s="164">
        <f t="shared" si="64"/>
        <v>4.1379999999999999</v>
      </c>
      <c r="AW28" s="545">
        <f>IF($M28="","",W28-INDEX(Assy.Model!$W$9:$W$150,MATCH('SN#.Run#'!$M28,Assy.Model!$M$9:$M$150,0)))</f>
        <v>98.093576890411271</v>
      </c>
      <c r="AX28" s="628">
        <f>IF($M28="","",X28-INDEX(Assy.Model!$X$9:$X$150,MATCH('SN#.Run#'!$M28,Assy.Model!$M$9:$M$150,0)))</f>
        <v>-6.2016059496009239</v>
      </c>
      <c r="AY28" s="629">
        <f>IF($M28="","",Y28-INDEX(Assy.Model!$Y$9:$Y$150,MATCH('SN#.Run#'!$M28,Assy.Model!$M$9:$M$150,0)))</f>
        <v>1.0421957555289558</v>
      </c>
      <c r="AZ28" s="602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>8.2215374916829571</v>
      </c>
      <c r="BA28" s="610">
        <f>IF($M28="","",AN28-INDEX(Assy.Model!$AN$9:$AN$150,MATCH('SN#.Run#'!$M28,Assy.Model!$M$9:$M$150,0)))</f>
        <v>65.226883543436571</v>
      </c>
      <c r="BB28" s="525">
        <f>IF($M28="","",AO28-INDEX(Assy.Model!$AO$9:$AO$150,MATCH('SN#.Run#'!$M28,Assy.Model!$M$9:$M$150,0)))</f>
        <v>-0.35746545263801011</v>
      </c>
      <c r="BC28" s="619">
        <f>IF($M28="","",AP28-INDEX(Assy.Model!$AP$9:$AP$150,MATCH('SN#.Run#'!$M28,Assy.Model!$M$9:$M$150,0)))</f>
        <v>20.830220642973746</v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>
        <f t="shared" si="65"/>
        <v>4.1379999999999999</v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>
        <f t="shared" si="62"/>
        <v>1913</v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>
        <f t="shared" si="33"/>
        <v>-1.3187047989920435</v>
      </c>
      <c r="C29" s="572">
        <f t="shared" si="10"/>
        <v>-1.9028518829516101</v>
      </c>
      <c r="D29" s="576">
        <f t="shared" si="11"/>
        <v>-0.31097090209526335</v>
      </c>
      <c r="E29" s="580">
        <f t="shared" si="12"/>
        <v>0.81562043428076891</v>
      </c>
      <c r="F29" s="572">
        <f t="shared" si="13"/>
        <v>-0.46130963399927283</v>
      </c>
      <c r="G29" s="579">
        <f t="shared" si="14"/>
        <v>0.34922254025779476</v>
      </c>
      <c r="H29" s="580">
        <f t="shared" si="34"/>
        <v>0.31711499999999998</v>
      </c>
      <c r="I29" s="482"/>
      <c r="J29" s="483">
        <v>4.1429999999999998</v>
      </c>
      <c r="K29" s="806">
        <f t="shared" si="66"/>
        <v>1913</v>
      </c>
      <c r="L29" s="784"/>
      <c r="M29" s="164">
        <f t="shared" si="35"/>
        <v>4.1429999999999998</v>
      </c>
      <c r="N29" s="575">
        <f t="shared" si="36"/>
        <v>-1.3187047989920435</v>
      </c>
      <c r="O29" s="572">
        <f t="shared" si="37"/>
        <v>-1.9028518829516101</v>
      </c>
      <c r="P29" s="576">
        <f t="shared" si="38"/>
        <v>-0.31097090209526335</v>
      </c>
      <c r="Q29" s="528">
        <f t="shared" si="63"/>
        <v>235.27746213936214</v>
      </c>
      <c r="R29" s="572">
        <f t="shared" si="39"/>
        <v>2.3151301551612891</v>
      </c>
      <c r="S29" s="577">
        <f t="shared" si="40"/>
        <v>-0.31097090209526335</v>
      </c>
      <c r="T29" s="578">
        <f t="shared" si="41"/>
        <v>-1.3187047989920442</v>
      </c>
      <c r="U29" s="572">
        <f t="shared" si="42"/>
        <v>-1.9028518829516097</v>
      </c>
      <c r="V29" s="579">
        <f t="shared" si="43"/>
        <v>-0.31097090209526335</v>
      </c>
      <c r="W29" s="528">
        <f t="shared" si="67"/>
        <v>235.27746213936214</v>
      </c>
      <c r="X29" s="572">
        <f t="shared" si="44"/>
        <v>2.3151301551612891</v>
      </c>
      <c r="Y29" s="573">
        <f t="shared" si="15"/>
        <v>-0.31097090209526335</v>
      </c>
      <c r="Z29" s="575">
        <f t="shared" si="45"/>
        <v>-0.81562043428076891</v>
      </c>
      <c r="AA29" s="572">
        <f t="shared" si="46"/>
        <v>0.46130963399927283</v>
      </c>
      <c r="AB29" s="572">
        <f t="shared" si="47"/>
        <v>-0.34922254025779476</v>
      </c>
      <c r="AC29" s="579">
        <f t="shared" si="48"/>
        <v>0.99999982693048517</v>
      </c>
      <c r="AD29" s="580">
        <f t="shared" si="49"/>
        <v>-0.81562057543982613</v>
      </c>
      <c r="AE29" s="572">
        <f t="shared" si="50"/>
        <v>0.46130971383792113</v>
      </c>
      <c r="AF29" s="576">
        <f t="shared" si="51"/>
        <v>-0.34922260069758082</v>
      </c>
      <c r="AG29" s="545">
        <f t="shared" si="52"/>
        <v>52.873398392622683</v>
      </c>
      <c r="AH29" s="546">
        <f t="shared" si="53"/>
        <v>144.6487692697257</v>
      </c>
      <c r="AI29" s="528">
        <f t="shared" si="54"/>
        <v>-69.560226721350773</v>
      </c>
      <c r="AJ29" s="529">
        <f t="shared" si="55"/>
        <v>-119.49221920765233</v>
      </c>
      <c r="AK29" s="578">
        <f t="shared" si="56"/>
        <v>0.9331382412316066</v>
      </c>
      <c r="AL29" s="572">
        <f t="shared" si="57"/>
        <v>8.542012592592968E-2</v>
      </c>
      <c r="AM29" s="577">
        <f t="shared" si="58"/>
        <v>-0.34922260069758082</v>
      </c>
      <c r="AN29" s="524">
        <f t="shared" si="16"/>
        <v>13.744721152559055</v>
      </c>
      <c r="AO29" s="525">
        <f t="shared" si="17"/>
        <v>21.070583230153449</v>
      </c>
      <c r="AP29" s="528">
        <f t="shared" si="59"/>
        <v>5.2303186529855292</v>
      </c>
      <c r="AQ29" s="529">
        <f t="shared" si="60"/>
        <v>0</v>
      </c>
      <c r="AS29" s="598">
        <f t="shared" si="18"/>
        <v>235.27746213936214</v>
      </c>
      <c r="AT29" s="602">
        <f t="shared" si="61"/>
        <v>-0.31097090209526335</v>
      </c>
      <c r="AU29" s="515">
        <f t="shared" si="19"/>
        <v>4.0999999999999996</v>
      </c>
      <c r="AV29" s="164">
        <f t="shared" si="64"/>
        <v>4.1429999999999998</v>
      </c>
      <c r="AW29" s="545">
        <f>IF($M29="","",W29-INDEX(Assy.Model!$W$9:$W$150,MATCH('SN#.Run#'!$M29,Assy.Model!$M$9:$M$150,0)))</f>
        <v>98.403514924687073</v>
      </c>
      <c r="AX29" s="628">
        <f>IF($M29="","",X29-INDEX(Assy.Model!$X$9:$X$150,MATCH('SN#.Run#'!$M29,Assy.Model!$M$9:$M$150,0)))</f>
        <v>-5.8912389099205145</v>
      </c>
      <c r="AY29" s="629">
        <f>IF($M29="","",Y29-INDEX(Assy.Model!$Y$9:$Y$150,MATCH('SN#.Run#'!$M29,Assy.Model!$M$9:$M$150,0)))</f>
        <v>2.0439939373167011</v>
      </c>
      <c r="AZ29" s="602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>9.0793912924480065</v>
      </c>
      <c r="BA29" s="610">
        <f>IF($M29="","",AN29-INDEX(Assy.Model!$AN$9:$AN$150,MATCH('SN#.Run#'!$M29,Assy.Model!$M$9:$M$150,0)))</f>
        <v>75.899175399432167</v>
      </c>
      <c r="BB29" s="525">
        <f>IF($M29="","",AO29-INDEX(Assy.Model!$AO$9:$AO$150,MATCH('SN#.Run#'!$M29,Assy.Model!$M$9:$M$150,0)))</f>
        <v>-1.3152666474990831</v>
      </c>
      <c r="BC29" s="619">
        <f>IF($M29="","",AP29-INDEX(Assy.Model!$AP$9:$AP$150,MATCH('SN#.Run#'!$M29,Assy.Model!$M$9:$M$150,0)))</f>
        <v>25.24141646381959</v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>
        <f t="shared" si="65"/>
        <v>4.1429999999999998</v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>
        <f t="shared" si="62"/>
        <v>1913</v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>
        <f t="shared" si="33"/>
        <v>-1.7461636493676633</v>
      </c>
      <c r="C30" s="572">
        <f t="shared" si="10"/>
        <v>-2.510645580628398</v>
      </c>
      <c r="D30" s="576">
        <f t="shared" si="11"/>
        <v>-0.12264098943949139</v>
      </c>
      <c r="E30" s="580">
        <f t="shared" si="12"/>
        <v>0.8166729057282397</v>
      </c>
      <c r="F30" s="572">
        <f t="shared" si="13"/>
        <v>-0.46797480553942117</v>
      </c>
      <c r="G30" s="579">
        <f t="shared" si="14"/>
        <v>0.33770540827137308</v>
      </c>
      <c r="H30" s="580">
        <f t="shared" si="34"/>
        <v>0.31692100000000001</v>
      </c>
      <c r="I30" s="482"/>
      <c r="J30" s="483">
        <v>4.1479999999999997</v>
      </c>
      <c r="K30" s="806">
        <f t="shared" si="66"/>
        <v>1913</v>
      </c>
      <c r="L30" s="784"/>
      <c r="M30" s="164">
        <f t="shared" si="35"/>
        <v>4.1479999999999997</v>
      </c>
      <c r="N30" s="575">
        <f t="shared" si="36"/>
        <v>-1.7461636493676633</v>
      </c>
      <c r="O30" s="572">
        <f t="shared" si="37"/>
        <v>-2.510645580628398</v>
      </c>
      <c r="P30" s="576">
        <f t="shared" si="38"/>
        <v>-0.12264098943949139</v>
      </c>
      <c r="Q30" s="528">
        <f t="shared" si="63"/>
        <v>235.18123842020037</v>
      </c>
      <c r="R30" s="572">
        <f t="shared" si="39"/>
        <v>3.0581740829949333</v>
      </c>
      <c r="S30" s="577">
        <f t="shared" si="40"/>
        <v>-0.12264098943949139</v>
      </c>
      <c r="T30" s="578">
        <f t="shared" si="41"/>
        <v>-1.7461636493676631</v>
      </c>
      <c r="U30" s="572">
        <f t="shared" si="42"/>
        <v>-2.510645580628398</v>
      </c>
      <c r="V30" s="579">
        <f t="shared" si="43"/>
        <v>-0.12264098943949139</v>
      </c>
      <c r="W30" s="528">
        <f t="shared" si="67"/>
        <v>235.18123842020037</v>
      </c>
      <c r="X30" s="572">
        <f t="shared" si="44"/>
        <v>3.0581740829949333</v>
      </c>
      <c r="Y30" s="573">
        <f t="shared" si="15"/>
        <v>-0.12264098943949139</v>
      </c>
      <c r="Z30" s="575">
        <f t="shared" si="45"/>
        <v>-0.8166729057282397</v>
      </c>
      <c r="AA30" s="572">
        <f t="shared" si="46"/>
        <v>0.46797480553942117</v>
      </c>
      <c r="AB30" s="572">
        <f t="shared" si="47"/>
        <v>-0.33770540827137308</v>
      </c>
      <c r="AC30" s="579">
        <f t="shared" si="48"/>
        <v>0.999999998173</v>
      </c>
      <c r="AD30" s="580">
        <f t="shared" si="49"/>
        <v>-0.81667290722030117</v>
      </c>
      <c r="AE30" s="572">
        <f t="shared" si="50"/>
        <v>0.46797480639441119</v>
      </c>
      <c r="AF30" s="576">
        <f t="shared" si="51"/>
        <v>-0.33770540888836087</v>
      </c>
      <c r="AG30" s="545">
        <f t="shared" si="52"/>
        <v>54.184593014455281</v>
      </c>
      <c r="AH30" s="546">
        <f t="shared" si="53"/>
        <v>144.75311257845161</v>
      </c>
      <c r="AI30" s="528">
        <f t="shared" si="54"/>
        <v>-70.262863303389111</v>
      </c>
      <c r="AJ30" s="529">
        <f t="shared" si="55"/>
        <v>-119.81383012222257</v>
      </c>
      <c r="AK30" s="578">
        <f t="shared" si="56"/>
        <v>0.93766304443635451</v>
      </c>
      <c r="AL30" s="572">
        <f t="shared" si="57"/>
        <v>8.2116209763313575E-2</v>
      </c>
      <c r="AM30" s="577">
        <f t="shared" si="58"/>
        <v>-0.33770540888836087</v>
      </c>
      <c r="AN30" s="524">
        <f>IF(M30="","",IF(K30="Knuckle",((DEGREES(ATAN2(AK30,AM30))+90)*-1),DEGREES(ATAN2(-AM30,AL30))))</f>
        <v>13.666765953839718</v>
      </c>
      <c r="AO30" s="525">
        <f t="shared" si="17"/>
        <v>20.337272572304094</v>
      </c>
      <c r="AP30" s="528">
        <f t="shared" si="59"/>
        <v>5.0049314575770483</v>
      </c>
      <c r="AQ30" s="529">
        <f t="shared" si="60"/>
        <v>0</v>
      </c>
      <c r="AS30" s="598">
        <f t="shared" si="18"/>
        <v>235.18123842020037</v>
      </c>
      <c r="AT30" s="602">
        <f t="shared" si="61"/>
        <v>-0.12264098943949139</v>
      </c>
      <c r="AU30" s="515">
        <f t="shared" si="19"/>
        <v>4.0999999999999996</v>
      </c>
      <c r="AV30" s="164">
        <f t="shared" si="64"/>
        <v>4.1479999999999997</v>
      </c>
      <c r="AW30" s="545">
        <f>IF($M30="","",W30-INDEX(Assy.Model!$W$9:$W$150,MATCH('SN#.Run#'!$M30,Assy.Model!$M$9:$M$150,0)))</f>
        <v>98.528258416858421</v>
      </c>
      <c r="AX30" s="628">
        <f>IF($M30="","",X30-INDEX(Assy.Model!$X$9:$X$150,MATCH('SN#.Run#'!$M30,Assy.Model!$M$9:$M$150,0)))</f>
        <v>-5.3593830995267364</v>
      </c>
      <c r="AY30" s="629">
        <f>IF($M30="","",Y30-INDEX(Assy.Model!$Y$9:$Y$150,MATCH('SN#.Run#'!$M30,Assy.Model!$M$9:$M$150,0)))</f>
        <v>3.1117234997569505</v>
      </c>
      <c r="AZ30" s="602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>9.8755029267918832</v>
      </c>
      <c r="BA30" s="610">
        <f>IF($M30="","",AN30-INDEX(Assy.Model!$AN$9:$AN$150,MATCH('SN#.Run#'!$M30,Assy.Model!$M$9:$M$150,0)))</f>
        <v>92.925027858126498</v>
      </c>
      <c r="BB30" s="525">
        <f>IF($M30="","",AO30-INDEX(Assy.Model!$AO$9:$AO$150,MATCH('SN#.Run#'!$M30,Assy.Model!$M$9:$M$150,0)))</f>
        <v>-7.7448420659281041</v>
      </c>
      <c r="BC30" s="619">
        <f>IF($M30="","",AP30-INDEX(Assy.Model!$AP$9:$AP$150,MATCH('SN#.Run#'!$M30,Assy.Model!$M$9:$M$150,0)))</f>
        <v>32.668457666647882</v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>
        <f t="shared" si="65"/>
        <v>4.1479999999999997</v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>
        <f t="shared" si="62"/>
        <v>1913</v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>
        <f t="shared" si="33"/>
        <v>-2.1787649115966894</v>
      </c>
      <c r="C31" s="572">
        <f t="shared" si="10"/>
        <v>-3.1230665249586442</v>
      </c>
      <c r="D31" s="576">
        <f t="shared" si="11"/>
        <v>-5.9373022469599461E-2</v>
      </c>
      <c r="E31" s="580">
        <f t="shared" si="12"/>
        <v>0.76296584770864728</v>
      </c>
      <c r="F31" s="572">
        <f t="shared" si="13"/>
        <v>-0.55946665698950682</v>
      </c>
      <c r="G31" s="579">
        <f t="shared" si="14"/>
        <v>0.32385093548762672</v>
      </c>
      <c r="H31" s="580">
        <f t="shared" si="34"/>
        <v>0.31398300000000001</v>
      </c>
      <c r="I31" s="482"/>
      <c r="J31" s="483">
        <v>4.1529999999999996</v>
      </c>
      <c r="K31" s="806">
        <f t="shared" si="66"/>
        <v>1913</v>
      </c>
      <c r="M31" s="164">
        <f t="shared" si="35"/>
        <v>4.1529999999999996</v>
      </c>
      <c r="N31" s="575">
        <f t="shared" si="36"/>
        <v>-2.1787649115966894</v>
      </c>
      <c r="O31" s="572">
        <f t="shared" si="37"/>
        <v>-3.1230665249586442</v>
      </c>
      <c r="P31" s="576">
        <f t="shared" si="38"/>
        <v>-5.9373022469599461E-2</v>
      </c>
      <c r="Q31" s="528">
        <f t="shared" si="63"/>
        <v>235.09896925827553</v>
      </c>
      <c r="R31" s="572">
        <f t="shared" si="39"/>
        <v>3.8079602229175391</v>
      </c>
      <c r="S31" s="577">
        <f t="shared" si="40"/>
        <v>-5.9373022469599461E-2</v>
      </c>
      <c r="T31" s="578">
        <f t="shared" si="41"/>
        <v>-2.1787649115966885</v>
      </c>
      <c r="U31" s="572">
        <f t="shared" si="42"/>
        <v>-3.1230665249586451</v>
      </c>
      <c r="V31" s="579">
        <f t="shared" si="43"/>
        <v>-5.9373022469599461E-2</v>
      </c>
      <c r="W31" s="528">
        <f t="shared" si="67"/>
        <v>235.09896925827553</v>
      </c>
      <c r="X31" s="572">
        <f t="shared" si="44"/>
        <v>3.8079602229175391</v>
      </c>
      <c r="Y31" s="573">
        <f t="shared" si="15"/>
        <v>-5.9373022469599461E-2</v>
      </c>
      <c r="Z31" s="575">
        <f t="shared" si="45"/>
        <v>-0.76296584770864728</v>
      </c>
      <c r="AA31" s="572">
        <f t="shared" si="46"/>
        <v>0.55946665698950682</v>
      </c>
      <c r="AB31" s="572">
        <f t="shared" si="47"/>
        <v>-0.32385093548762672</v>
      </c>
      <c r="AC31" s="579">
        <f t="shared" si="48"/>
        <v>0.99999962673443044</v>
      </c>
      <c r="AD31" s="580">
        <f t="shared" si="49"/>
        <v>-0.76296613249763523</v>
      </c>
      <c r="AE31" s="572">
        <f t="shared" si="50"/>
        <v>0.55946686581922511</v>
      </c>
      <c r="AF31" s="576">
        <f t="shared" si="51"/>
        <v>-0.32385105637007572</v>
      </c>
      <c r="AG31" s="545">
        <f t="shared" si="52"/>
        <v>59.935314830086448</v>
      </c>
      <c r="AH31" s="546">
        <f t="shared" si="53"/>
        <v>139.72638798454173</v>
      </c>
      <c r="AI31" s="528">
        <f t="shared" si="54"/>
        <v>-71.104018883689079</v>
      </c>
      <c r="AJ31" s="529">
        <f t="shared" si="55"/>
        <v>-126.25180465241989</v>
      </c>
      <c r="AK31" s="578">
        <f t="shared" si="56"/>
        <v>0.94584516478191749</v>
      </c>
      <c r="AL31" s="572">
        <f t="shared" si="57"/>
        <v>-2.2302859607080061E-2</v>
      </c>
      <c r="AM31" s="577">
        <f t="shared" si="58"/>
        <v>-0.32385105637007572</v>
      </c>
      <c r="AN31" s="524">
        <f>IF(M31="","",IF(K31="Knuckle",((DEGREES(ATAN2(AK31,AM31))+90)*-1),DEGREES(ATAN2(-AM31,AL31))))</f>
        <v>-3.9396050746110105</v>
      </c>
      <c r="AO31" s="525">
        <f t="shared" si="17"/>
        <v>18.942440556067911</v>
      </c>
      <c r="AP31" s="528">
        <f t="shared" si="59"/>
        <v>-1.3507739106954457</v>
      </c>
      <c r="AQ31" s="529">
        <f t="shared" si="60"/>
        <v>0</v>
      </c>
      <c r="AS31" s="598">
        <f t="shared" si="18"/>
        <v>235.09896925827553</v>
      </c>
      <c r="AT31" s="602">
        <f t="shared" si="61"/>
        <v>-5.9373022469599461E-2</v>
      </c>
      <c r="AU31" s="515">
        <f t="shared" si="19"/>
        <v>4.0999999999999996</v>
      </c>
      <c r="AV31" s="164">
        <f t="shared" si="64"/>
        <v>4.1529999999999996</v>
      </c>
      <c r="AW31" s="545">
        <f>IF($M31="","",W31-INDEX(Assy.Model!$W$9:$W$150,MATCH('SN#.Run#'!$M31,Assy.Model!$M$9:$M$150,0)))</f>
        <v>98.468597542620216</v>
      </c>
      <c r="AX31" s="628">
        <f>IF($M31="","",X31-INDEX(Assy.Model!$X$9:$X$150,MATCH('SN#.Run#'!$M31,Assy.Model!$M$9:$M$150,0)))</f>
        <v>-4.6319210890483502</v>
      </c>
      <c r="AY31" s="629">
        <f>IF($M31="","",Y31-INDEX(Assy.Model!$Y$9:$Y$150,MATCH('SN#.Run#'!$M31,Assy.Model!$M$9:$M$150,0)))</f>
        <v>4.0796110175247966</v>
      </c>
      <c r="AZ31" s="602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>10.57550729056209</v>
      </c>
      <c r="BA31" s="610">
        <f>IF($M31="","",AN31-INDEX(Assy.Model!$AN$9:$AN$150,MATCH('SN#.Run#'!$M31,Assy.Model!$M$9:$M$150,0)))</f>
        <v>81.042558765860122</v>
      </c>
      <c r="BB31" s="525">
        <f>IF($M31="","",AO31-INDEX(Assy.Model!$AO$9:$AO$150,MATCH('SN#.Run#'!$M31,Assy.Model!$M$9:$M$150,0)))</f>
        <v>-10.940420416865059</v>
      </c>
      <c r="BC31" s="619">
        <f>IF($M31="","",AP31-INDEX(Assy.Model!$AP$9:$AP$150,MATCH('SN#.Run#'!$M31,Assy.Model!$M$9:$M$150,0)))</f>
        <v>28.437138975246338</v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>
        <f t="shared" si="65"/>
        <v>4.1529999999999996</v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>
        <f t="shared" si="62"/>
        <v>1913</v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>
        <f t="shared" si="33"/>
        <v>-2.6368437347702662</v>
      </c>
      <c r="C32" s="572">
        <f t="shared" si="10"/>
        <v>-3.7270494585050944</v>
      </c>
      <c r="D32" s="576">
        <f t="shared" si="11"/>
        <v>-0.16243904281838281</v>
      </c>
      <c r="E32" s="580">
        <f t="shared" si="12"/>
        <v>0.68659890053243344</v>
      </c>
      <c r="F32" s="572">
        <f t="shared" si="13"/>
        <v>-0.65368851467504319</v>
      </c>
      <c r="G32" s="579">
        <f t="shared" si="14"/>
        <v>0.31823450830730088</v>
      </c>
      <c r="H32" s="580">
        <f t="shared" si="34"/>
        <v>0.31181700000000001</v>
      </c>
      <c r="I32" s="482"/>
      <c r="J32" s="483">
        <v>5.109</v>
      </c>
      <c r="K32" s="806">
        <f t="shared" si="66"/>
        <v>1913</v>
      </c>
      <c r="M32" s="164">
        <f t="shared" si="35"/>
        <v>5.109</v>
      </c>
      <c r="N32" s="575">
        <f t="shared" si="36"/>
        <v>-2.6368437347702662</v>
      </c>
      <c r="O32" s="572">
        <f t="shared" si="37"/>
        <v>-3.7270494585050944</v>
      </c>
      <c r="P32" s="576">
        <f t="shared" si="38"/>
        <v>-0.16243904281838281</v>
      </c>
      <c r="Q32" s="528">
        <f t="shared" si="63"/>
        <v>234.72104153615231</v>
      </c>
      <c r="R32" s="572">
        <f t="shared" si="39"/>
        <v>4.5655057274895983</v>
      </c>
      <c r="S32" s="577">
        <f t="shared" si="40"/>
        <v>-0.16243904281838281</v>
      </c>
      <c r="T32" s="578">
        <f t="shared" si="41"/>
        <v>-2.6368437347702649</v>
      </c>
      <c r="U32" s="572">
        <f t="shared" si="42"/>
        <v>-3.7270494585050953</v>
      </c>
      <c r="V32" s="579">
        <f t="shared" si="43"/>
        <v>-0.16243904281838281</v>
      </c>
      <c r="W32" s="528">
        <f t="shared" si="67"/>
        <v>234.72104153615231</v>
      </c>
      <c r="X32" s="572">
        <f t="shared" si="44"/>
        <v>4.5655057274895983</v>
      </c>
      <c r="Y32" s="573">
        <f t="shared" si="15"/>
        <v>-0.16243904281838281</v>
      </c>
      <c r="Z32" s="575">
        <f t="shared" si="45"/>
        <v>-0.68659890053243344</v>
      </c>
      <c r="AA32" s="572">
        <f t="shared" si="46"/>
        <v>0.65368851467504319</v>
      </c>
      <c r="AB32" s="572">
        <f t="shared" si="47"/>
        <v>-0.31823450830730088</v>
      </c>
      <c r="AC32" s="579">
        <f t="shared" si="48"/>
        <v>0.99999996335399943</v>
      </c>
      <c r="AD32" s="580">
        <f t="shared" si="49"/>
        <v>-0.68659892569353809</v>
      </c>
      <c r="AE32" s="572">
        <f t="shared" si="50"/>
        <v>0.65368853863011378</v>
      </c>
      <c r="AF32" s="576">
        <f t="shared" si="51"/>
        <v>-0.31823451996932334</v>
      </c>
      <c r="AG32" s="545">
        <f t="shared" si="52"/>
        <v>64.04183899537604</v>
      </c>
      <c r="AH32" s="546">
        <f t="shared" si="53"/>
        <v>133.36148369471547</v>
      </c>
      <c r="AI32" s="528">
        <f t="shared" si="54"/>
        <v>-71.443810313567866</v>
      </c>
      <c r="AJ32" s="529">
        <f t="shared" si="55"/>
        <v>-133.59340067079603</v>
      </c>
      <c r="AK32" s="578">
        <f t="shared" si="56"/>
        <v>0.93804781713615426</v>
      </c>
      <c r="AL32" s="572">
        <f t="shared" si="57"/>
        <v>-0.13708786622451491</v>
      </c>
      <c r="AM32" s="577">
        <f t="shared" si="58"/>
        <v>-0.31823451996932334</v>
      </c>
      <c r="AN32" s="524">
        <f t="shared" si="16"/>
        <v>-23.305228714199409</v>
      </c>
      <c r="AO32" s="525">
        <f t="shared" si="17"/>
        <v>20.273744582310869</v>
      </c>
      <c r="AP32" s="528">
        <f t="shared" si="59"/>
        <v>-8.3144422069483355</v>
      </c>
      <c r="AQ32" s="529">
        <f t="shared" si="60"/>
        <v>0</v>
      </c>
      <c r="AS32" s="598">
        <f t="shared" si="18"/>
        <v>234.72104153615231</v>
      </c>
      <c r="AT32" s="602">
        <f t="shared" si="61"/>
        <v>-0.16243904281838281</v>
      </c>
      <c r="AU32" s="515">
        <f t="shared" si="19"/>
        <v>5.0999999999999996</v>
      </c>
      <c r="AV32" s="164">
        <f t="shared" si="64"/>
        <v>5.109</v>
      </c>
      <c r="AW32" s="545">
        <f>IF($M32="","",W32-INDEX(Assy.Model!$W$9:$W$150,MATCH('SN#.Run#'!$M32,Assy.Model!$M$9:$M$150,0)))</f>
        <v>169.76101334790673</v>
      </c>
      <c r="AX32" s="628">
        <f>IF($M32="","",X32-INDEX(Assy.Model!$X$9:$X$150,MATCH('SN#.Run#'!$M32,Assy.Model!$M$9:$M$150,0)))</f>
        <v>1.5324473596674357</v>
      </c>
      <c r="AY32" s="629">
        <f>IF($M32="","",Y32-INDEX(Assy.Model!$Y$9:$Y$150,MATCH('SN#.Run#'!$M32,Assy.Model!$M$9:$M$150,0)))</f>
        <v>0.48634417410257547</v>
      </c>
      <c r="AZ32" s="602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>7.585094765985481</v>
      </c>
      <c r="BA32" s="610">
        <f>IF($M32="","",AN32-INDEX(Assy.Model!$AN$9:$AN$150,MATCH('SN#.Run#'!$M32,Assy.Model!$M$9:$M$150,0)))</f>
        <v>-35.6356693350711</v>
      </c>
      <c r="BB32" s="525">
        <f>IF($M32="","",AO32-INDEX(Assy.Model!$AO$9:$AO$150,MATCH('SN#.Run#'!$M32,Assy.Model!$M$9:$M$150,0)))</f>
        <v>5.1999537722427096</v>
      </c>
      <c r="BC32" s="619">
        <f>IF($M32="","",AP32-INDEX(Assy.Model!$AP$9:$AP$150,MATCH('SN#.Run#'!$M32,Assy.Model!$M$9:$M$150,0)))</f>
        <v>-11.60619845668883</v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>
        <f t="shared" si="65"/>
        <v>5.109</v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>
        <f t="shared" si="62"/>
        <v>1913</v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>
        <f t="shared" si="33"/>
        <v>-3.0814137258001533</v>
      </c>
      <c r="C33" s="572">
        <f t="shared" si="10"/>
        <v>-4.2670339765287792</v>
      </c>
      <c r="D33" s="576">
        <f t="shared" si="11"/>
        <v>-0.45360033820534756</v>
      </c>
      <c r="E33" s="580">
        <f t="shared" si="12"/>
        <v>0.62929673952254828</v>
      </c>
      <c r="F33" s="572">
        <f t="shared" si="13"/>
        <v>-0.7306190622156632</v>
      </c>
      <c r="G33" s="579">
        <f t="shared" si="14"/>
        <v>0.26491867594300583</v>
      </c>
      <c r="H33" s="580">
        <f t="shared" si="34"/>
        <v>0.31630599999999998</v>
      </c>
      <c r="I33" s="482"/>
      <c r="J33" s="483">
        <v>5.1139999999999999</v>
      </c>
      <c r="K33" s="806">
        <f t="shared" si="66"/>
        <v>1913</v>
      </c>
      <c r="M33" s="164">
        <f t="shared" si="35"/>
        <v>5.1139999999999999</v>
      </c>
      <c r="N33" s="575">
        <f t="shared" si="36"/>
        <v>-3.0814137258001533</v>
      </c>
      <c r="O33" s="572">
        <f t="shared" si="37"/>
        <v>-4.2670339765287792</v>
      </c>
      <c r="P33" s="576">
        <f t="shared" si="38"/>
        <v>-0.45360033820534756</v>
      </c>
      <c r="Q33" s="528">
        <f t="shared" si="63"/>
        <v>234.16528605273663</v>
      </c>
      <c r="R33" s="572">
        <f t="shared" si="39"/>
        <v>5.263334447515243</v>
      </c>
      <c r="S33" s="577">
        <f t="shared" si="40"/>
        <v>-0.45360033820534756</v>
      </c>
      <c r="T33" s="578">
        <f t="shared" si="41"/>
        <v>-3.0814137258001559</v>
      </c>
      <c r="U33" s="572">
        <f t="shared" si="42"/>
        <v>-4.2670339765287775</v>
      </c>
      <c r="V33" s="579">
        <f t="shared" si="43"/>
        <v>-0.45360033820534756</v>
      </c>
      <c r="W33" s="528">
        <f t="shared" si="67"/>
        <v>234.16528605273663</v>
      </c>
      <c r="X33" s="572">
        <f t="shared" si="44"/>
        <v>5.263334447515243</v>
      </c>
      <c r="Y33" s="573">
        <f t="shared" si="15"/>
        <v>-0.45360033820534756</v>
      </c>
      <c r="Z33" s="575">
        <f t="shared" si="45"/>
        <v>-0.62929673952254828</v>
      </c>
      <c r="AA33" s="572">
        <f t="shared" si="46"/>
        <v>0.7306190622156632</v>
      </c>
      <c r="AB33" s="572">
        <f t="shared" si="47"/>
        <v>-0.26491867594300583</v>
      </c>
      <c r="AC33" s="579">
        <f t="shared" si="48"/>
        <v>1.0000002526549683</v>
      </c>
      <c r="AD33" s="580">
        <f t="shared" si="49"/>
        <v>-0.6292965805276407</v>
      </c>
      <c r="AE33" s="572">
        <f t="shared" si="50"/>
        <v>0.73061887762117383</v>
      </c>
      <c r="AF33" s="576">
        <f t="shared" si="51"/>
        <v>-0.26491860901000308</v>
      </c>
      <c r="AG33" s="545">
        <f t="shared" si="52"/>
        <v>70.069618479122283</v>
      </c>
      <c r="AH33" s="546">
        <f t="shared" si="53"/>
        <v>128.99824456977916</v>
      </c>
      <c r="AI33" s="528">
        <f t="shared" si="54"/>
        <v>-74.637883410482061</v>
      </c>
      <c r="AJ33" s="529">
        <f t="shared" si="55"/>
        <v>-139.2610247658676</v>
      </c>
      <c r="AK33" s="578">
        <f t="shared" si="56"/>
        <v>0.93791663392887847</v>
      </c>
      <c r="AL33" s="572">
        <f t="shared" si="57"/>
        <v>-0.22389845555458254</v>
      </c>
      <c r="AM33" s="577">
        <f t="shared" si="58"/>
        <v>-0.26491860901000308</v>
      </c>
      <c r="AN33" s="524">
        <f t="shared" si="16"/>
        <v>-40.203138221906023</v>
      </c>
      <c r="AO33" s="525">
        <f t="shared" si="17"/>
        <v>20.29542501538527</v>
      </c>
      <c r="AP33" s="528">
        <f t="shared" si="59"/>
        <v>-13.42631081860422</v>
      </c>
      <c r="AQ33" s="529">
        <f t="shared" si="60"/>
        <v>0</v>
      </c>
      <c r="AS33" s="598">
        <f t="shared" si="18"/>
        <v>234.16528605273663</v>
      </c>
      <c r="AT33" s="602">
        <f t="shared" si="61"/>
        <v>-0.45360033820534756</v>
      </c>
      <c r="AU33" s="515">
        <f t="shared" si="19"/>
        <v>5.0999999999999996</v>
      </c>
      <c r="AV33" s="164">
        <f t="shared" si="64"/>
        <v>5.1139999999999999</v>
      </c>
      <c r="AW33" s="545">
        <f>IF($M33="","",W33-INDEX(Assy.Model!$W$9:$W$150,MATCH('SN#.Run#'!$M33,Assy.Model!$M$9:$M$150,0)))</f>
        <v>169.1411827324502</v>
      </c>
      <c r="AX33" s="628">
        <f>IF($M33="","",X33-INDEX(Assy.Model!$X$9:$X$150,MATCH('SN#.Run#'!$M33,Assy.Model!$M$9:$M$150,0)))</f>
        <v>1.3363340083515776</v>
      </c>
      <c r="AY33" s="629">
        <f>IF($M33="","",Y33-INDEX(Assy.Model!$Y$9:$Y$150,MATCH('SN#.Run#'!$M33,Assy.Model!$M$9:$M$150,0)))</f>
        <v>-0.12955135297223352</v>
      </c>
      <c r="AZ33" s="602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>9.1508935092366688</v>
      </c>
      <c r="BA33" s="610">
        <f>IF($M33="","",AN33-INDEX(Assy.Model!$AN$9:$AN$150,MATCH('SN#.Run#'!$M33,Assy.Model!$M$9:$M$150,0)))</f>
        <v>-47.247104533907532</v>
      </c>
      <c r="BB33" s="525">
        <f>IF($M33="","",AO33-INDEX(Assy.Model!$AO$9:$AO$150,MATCH('SN#.Run#'!$M33,Assy.Model!$M$9:$M$150,0)))</f>
        <v>5.263410609389533</v>
      </c>
      <c r="BC33" s="619">
        <f>IF($M33="","",AP33-INDEX(Assy.Model!$AP$9:$AP$150,MATCH('SN#.Run#'!$M33,Assy.Model!$M$9:$M$150,0)))</f>
        <v>-15.312511733895406</v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>
        <f t="shared" si="65"/>
        <v>5.1139999999999999</v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>
        <f t="shared" si="62"/>
        <v>1913</v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>
        <f t="shared" si="33"/>
        <v>-3.4982777038761448</v>
      </c>
      <c r="C34" s="572">
        <f t="shared" si="10"/>
        <v>-4.7301427383202448</v>
      </c>
      <c r="D34" s="576">
        <f t="shared" si="11"/>
        <v>-0.8847793930406157</v>
      </c>
      <c r="E34" s="580">
        <f t="shared" si="12"/>
        <v>0.547732986715601</v>
      </c>
      <c r="F34" s="572">
        <f t="shared" si="13"/>
        <v>-0.80000530366097566</v>
      </c>
      <c r="G34" s="579">
        <f t="shared" si="14"/>
        <v>0.24490854325628905</v>
      </c>
      <c r="H34" s="580">
        <f t="shared" si="34"/>
        <v>0.310363</v>
      </c>
      <c r="I34" s="482"/>
      <c r="J34" s="483">
        <v>5.1189999999999998</v>
      </c>
      <c r="K34" s="806">
        <f t="shared" si="66"/>
        <v>1913</v>
      </c>
      <c r="M34" s="164">
        <f t="shared" si="35"/>
        <v>5.1189999999999998</v>
      </c>
      <c r="N34" s="575">
        <f t="shared" si="36"/>
        <v>-3.4982777038761448</v>
      </c>
      <c r="O34" s="572">
        <f t="shared" si="37"/>
        <v>-4.7301427383202448</v>
      </c>
      <c r="P34" s="576">
        <f t="shared" si="38"/>
        <v>-0.8847793930406157</v>
      </c>
      <c r="Q34" s="528">
        <f t="shared" si="63"/>
        <v>233.51443447563244</v>
      </c>
      <c r="R34" s="572">
        <f t="shared" si="39"/>
        <v>5.8832131712458535</v>
      </c>
      <c r="S34" s="577">
        <f t="shared" si="40"/>
        <v>-0.8847793930406157</v>
      </c>
      <c r="T34" s="578">
        <f t="shared" si="41"/>
        <v>-3.498277703876143</v>
      </c>
      <c r="U34" s="572">
        <f t="shared" si="42"/>
        <v>-4.7301427383202457</v>
      </c>
      <c r="V34" s="579">
        <f t="shared" si="43"/>
        <v>-0.8847793930406157</v>
      </c>
      <c r="W34" s="528">
        <f t="shared" si="67"/>
        <v>233.51443447563244</v>
      </c>
      <c r="X34" s="572">
        <f t="shared" si="44"/>
        <v>5.8832131712458535</v>
      </c>
      <c r="Y34" s="573">
        <f t="shared" si="15"/>
        <v>-0.8847793930406157</v>
      </c>
      <c r="Z34" s="575">
        <f t="shared" si="45"/>
        <v>-0.547732986715601</v>
      </c>
      <c r="AA34" s="572">
        <f t="shared" si="46"/>
        <v>0.80000530366097566</v>
      </c>
      <c r="AB34" s="572">
        <f t="shared" si="47"/>
        <v>-0.24490854325628905</v>
      </c>
      <c r="AC34" s="579">
        <f t="shared" si="48"/>
        <v>1.0000000525909987</v>
      </c>
      <c r="AD34" s="580">
        <f t="shared" si="49"/>
        <v>-0.54773295790977772</v>
      </c>
      <c r="AE34" s="572">
        <f t="shared" si="50"/>
        <v>0.80000526158789997</v>
      </c>
      <c r="AF34" s="576">
        <f t="shared" si="51"/>
        <v>-0.24490853037630486</v>
      </c>
      <c r="AG34" s="545">
        <f t="shared" si="52"/>
        <v>72.978887631548034</v>
      </c>
      <c r="AH34" s="546">
        <f t="shared" si="53"/>
        <v>123.21162299967625</v>
      </c>
      <c r="AI34" s="528">
        <f t="shared" si="54"/>
        <v>-75.823571775485505</v>
      </c>
      <c r="AJ34" s="529">
        <f t="shared" si="55"/>
        <v>-145.60205169634165</v>
      </c>
      <c r="AK34" s="578">
        <f t="shared" si="56"/>
        <v>0.9160802925403525</v>
      </c>
      <c r="AL34" s="572">
        <f t="shared" si="57"/>
        <v>-0.31751647101859259</v>
      </c>
      <c r="AM34" s="577">
        <f t="shared" si="58"/>
        <v>-0.24490853037630486</v>
      </c>
      <c r="AN34" s="524">
        <f t="shared" si="16"/>
        <v>-52.356084158632612</v>
      </c>
      <c r="AO34" s="525">
        <f t="shared" si="17"/>
        <v>23.64038827352951</v>
      </c>
      <c r="AP34" s="528">
        <f t="shared" si="59"/>
        <v>-19.116486171974095</v>
      </c>
      <c r="AQ34" s="529">
        <f t="shared" si="60"/>
        <v>0</v>
      </c>
      <c r="AS34" s="598">
        <f t="shared" si="18"/>
        <v>233.51443447563244</v>
      </c>
      <c r="AT34" s="602">
        <f t="shared" si="61"/>
        <v>-0.8847793930406157</v>
      </c>
      <c r="AU34" s="515">
        <f t="shared" si="19"/>
        <v>5.0999999999999996</v>
      </c>
      <c r="AV34" s="164">
        <f t="shared" si="64"/>
        <v>5.1189999999999998</v>
      </c>
      <c r="AW34" s="545">
        <f>IF($M34="","",W34-INDEX(Assy.Model!$W$9:$W$150,MATCH('SN#.Run#'!$M34,Assy.Model!$M$9:$M$150,0)))</f>
        <v>168.7671496806787</v>
      </c>
      <c r="AX34" s="628">
        <f>IF($M34="","",X34-INDEX(Assy.Model!$X$9:$X$150,MATCH('SN#.Run#'!$M34,Assy.Model!$M$9:$M$150,0)))</f>
        <v>1.0708678870702313</v>
      </c>
      <c r="AY34" s="629">
        <f>IF($M34="","",Y34-INDEX(Assy.Model!$Y$9:$Y$150,MATCH('SN#.Run#'!$M34,Assy.Model!$M$9:$M$150,0)))</f>
        <v>-0.74060231764394424</v>
      </c>
      <c r="AZ34" s="602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>10.670461572396649</v>
      </c>
      <c r="BA34" s="610">
        <f>IF($M34="","",AN34-INDEX(Assy.Model!$AN$9:$AN$150,MATCH('SN#.Run#'!$M34,Assy.Model!$M$9:$M$150,0)))</f>
        <v>-54.195243759551538</v>
      </c>
      <c r="BB34" s="525">
        <f>IF($M34="","",AO34-INDEX(Assy.Model!$AO$9:$AO$150,MATCH('SN#.Run#'!$M34,Assy.Model!$M$9:$M$150,0)))</f>
        <v>8.3347002495774269</v>
      </c>
      <c r="BC34" s="619">
        <f>IF($M34="","",AP34-INDEX(Assy.Model!$AP$9:$AP$150,MATCH('SN#.Run#'!$M34,Assy.Model!$M$9:$M$150,0)))</f>
        <v>-19.619720183058554</v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>
        <f t="shared" si="65"/>
        <v>5.1189999999999998</v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>
        <f t="shared" si="62"/>
        <v>1913</v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>
        <f t="shared" si="33"/>
        <v>-3.8470621657180488</v>
      </c>
      <c r="C35" s="572">
        <f t="shared" si="10"/>
        <v>-5.0918184891888787</v>
      </c>
      <c r="D35" s="576">
        <f t="shared" si="11"/>
        <v>-1.4571939773947036</v>
      </c>
      <c r="E35" s="580">
        <f t="shared" si="12"/>
        <v>0.46530481900317455</v>
      </c>
      <c r="F35" s="572">
        <f t="shared" si="13"/>
        <v>-0.86190941241316654</v>
      </c>
      <c r="G35" s="579">
        <f t="shared" si="14"/>
        <v>0.20150529922811741</v>
      </c>
      <c r="H35" s="580">
        <f t="shared" si="34"/>
        <v>0.31351099999999998</v>
      </c>
      <c r="I35" s="482"/>
      <c r="J35" s="483">
        <v>5.1239999999999997</v>
      </c>
      <c r="K35" s="806">
        <f t="shared" si="66"/>
        <v>1913</v>
      </c>
      <c r="M35" s="164">
        <f t="shared" si="35"/>
        <v>5.1239999999999997</v>
      </c>
      <c r="N35" s="575">
        <f t="shared" si="36"/>
        <v>-3.8470621657180488</v>
      </c>
      <c r="O35" s="572">
        <f t="shared" si="37"/>
        <v>-5.0918184891888787</v>
      </c>
      <c r="P35" s="576">
        <f t="shared" si="38"/>
        <v>-1.4571939773947036</v>
      </c>
      <c r="Q35" s="528">
        <f t="shared" si="63"/>
        <v>232.92756838544216</v>
      </c>
      <c r="R35" s="572">
        <f t="shared" si="39"/>
        <v>6.3817319619163699</v>
      </c>
      <c r="S35" s="577">
        <f t="shared" si="40"/>
        <v>-1.4571939773947036</v>
      </c>
      <c r="T35" s="578">
        <f t="shared" si="41"/>
        <v>-3.847062165718047</v>
      </c>
      <c r="U35" s="572">
        <f t="shared" si="42"/>
        <v>-5.0918184891888796</v>
      </c>
      <c r="V35" s="579">
        <f t="shared" si="43"/>
        <v>-1.4571939773947036</v>
      </c>
      <c r="W35" s="528">
        <f t="shared" si="67"/>
        <v>232.92756838544216</v>
      </c>
      <c r="X35" s="572">
        <f t="shared" si="44"/>
        <v>6.3817319619163699</v>
      </c>
      <c r="Y35" s="573">
        <f t="shared" si="15"/>
        <v>-1.4571939773947036</v>
      </c>
      <c r="Z35" s="575">
        <f t="shared" si="45"/>
        <v>-0.46530481900317455</v>
      </c>
      <c r="AA35" s="572">
        <f t="shared" si="46"/>
        <v>0.86190941241316654</v>
      </c>
      <c r="AB35" s="572">
        <f t="shared" si="47"/>
        <v>-0.20150529922811741</v>
      </c>
      <c r="AC35" s="579">
        <f t="shared" si="48"/>
        <v>1.000000397705421</v>
      </c>
      <c r="AD35" s="580">
        <f t="shared" si="49"/>
        <v>-0.46530463394899924</v>
      </c>
      <c r="AE35" s="572">
        <f t="shared" si="50"/>
        <v>0.86190906962725711</v>
      </c>
      <c r="AF35" s="576">
        <f t="shared" si="51"/>
        <v>-0.20150521908839941</v>
      </c>
      <c r="AG35" s="545">
        <f t="shared" si="52"/>
        <v>76.841197778938351</v>
      </c>
      <c r="AH35" s="546">
        <f t="shared" si="53"/>
        <v>117.72993921508576</v>
      </c>
      <c r="AI35" s="528">
        <f t="shared" si="54"/>
        <v>-78.375006038930849</v>
      </c>
      <c r="AJ35" s="529">
        <f t="shared" si="55"/>
        <v>-151.63745258019998</v>
      </c>
      <c r="AK35" s="578">
        <f t="shared" si="56"/>
        <v>0.89083410964691701</v>
      </c>
      <c r="AL35" s="572">
        <f t="shared" si="57"/>
        <v>-0.40719803016434264</v>
      </c>
      <c r="AM35" s="577">
        <f t="shared" si="58"/>
        <v>-0.20150521908839941</v>
      </c>
      <c r="AN35" s="524">
        <f t="shared" si="16"/>
        <v>-63.671123334335398</v>
      </c>
      <c r="AO35" s="525">
        <f t="shared" si="17"/>
        <v>27.021751439756684</v>
      </c>
      <c r="AP35" s="528">
        <f t="shared" si="59"/>
        <v>-24.565020965642113</v>
      </c>
      <c r="AQ35" s="529">
        <f t="shared" si="60"/>
        <v>0</v>
      </c>
      <c r="AS35" s="598">
        <f t="shared" si="18"/>
        <v>232.92756838544216</v>
      </c>
      <c r="AT35" s="602">
        <f t="shared" si="61"/>
        <v>-1.4571939773947036</v>
      </c>
      <c r="AU35" s="515">
        <f t="shared" si="19"/>
        <v>5.0999999999999996</v>
      </c>
      <c r="AV35" s="164">
        <f t="shared" si="64"/>
        <v>5.1239999999999997</v>
      </c>
      <c r="AW35" s="545">
        <f>IF($M35="","",W35-INDEX(Assy.Model!$W$9:$W$150,MATCH('SN#.Run#'!$M35,Assy.Model!$M$9:$M$150,0)))</f>
        <v>168.74832090910149</v>
      </c>
      <c r="AX35" s="628">
        <f>IF($M35="","",X35-INDEX(Assy.Model!$X$9:$X$150,MATCH('SN#.Run#'!$M35,Assy.Model!$M$9:$M$150,0)))</f>
        <v>0.66886918665567308</v>
      </c>
      <c r="AY35" s="629">
        <f>IF($M35="","",Y35-INDEX(Assy.Model!$Y$9:$Y$150,MATCH('SN#.Run#'!$M35,Assy.Model!$M$9:$M$150,0)))</f>
        <v>-1.2562546122173015</v>
      </c>
      <c r="AZ35" s="602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>12.101897441338471</v>
      </c>
      <c r="BA35" s="610">
        <f>IF($M35="","",AN35-INDEX(Assy.Model!$AN$9:$AN$150,MATCH('SN#.Run#'!$M35,Assy.Model!$M$9:$M$150,0)))</f>
        <v>-53.027401441570191</v>
      </c>
      <c r="BB35" s="525">
        <f>IF($M35="","",AO35-INDEX(Assy.Model!$AO$9:$AO$150,MATCH('SN#.Run#'!$M35,Assy.Model!$M$9:$M$150,0)))</f>
        <v>10.958433891833401</v>
      </c>
      <c r="BC35" s="619">
        <f>IF($M35="","",AP35-INDEX(Assy.Model!$AP$9:$AP$150,MATCH('SN#.Run#'!$M35,Assy.Model!$M$9:$M$150,0)))</f>
        <v>-21.520714367336332</v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>
        <f t="shared" si="65"/>
        <v>5.1239999999999997</v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>
        <f t="shared" si="62"/>
        <v>1913</v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>
        <f t="shared" si="33"/>
        <v>-4.2498615035073763</v>
      </c>
      <c r="C36" s="572">
        <f t="shared" si="10"/>
        <v>-5.4872233957222223</v>
      </c>
      <c r="D36" s="576">
        <f t="shared" si="11"/>
        <v>-2.8331343504759054</v>
      </c>
      <c r="E36" s="580">
        <f t="shared" si="12"/>
        <v>0.3148615173021333</v>
      </c>
      <c r="F36" s="572">
        <f t="shared" si="13"/>
        <v>-0.94568760552029152</v>
      </c>
      <c r="G36" s="579">
        <f t="shared" si="14"/>
        <v>8.08488872186649E-2</v>
      </c>
      <c r="H36" s="580">
        <f t="shared" si="34"/>
        <v>0.31162800000000002</v>
      </c>
      <c r="I36" s="482"/>
      <c r="J36" s="483">
        <v>5.1340000000000003</v>
      </c>
      <c r="K36" s="806">
        <f t="shared" si="66"/>
        <v>1913</v>
      </c>
      <c r="M36" s="164">
        <f t="shared" si="35"/>
        <v>5.1340000000000003</v>
      </c>
      <c r="N36" s="575">
        <f t="shared" si="36"/>
        <v>-4.2498615035073763</v>
      </c>
      <c r="O36" s="572">
        <f t="shared" si="37"/>
        <v>-5.4872233957222223</v>
      </c>
      <c r="P36" s="576">
        <f t="shared" si="38"/>
        <v>-2.8331343504759054</v>
      </c>
      <c r="Q36" s="528">
        <f t="shared" si="63"/>
        <v>232.24217238819074</v>
      </c>
      <c r="R36" s="572">
        <f t="shared" si="39"/>
        <v>6.9405290427715443</v>
      </c>
      <c r="S36" s="577">
        <f t="shared" si="40"/>
        <v>-2.8331343504759054</v>
      </c>
      <c r="T36" s="578">
        <f t="shared" si="41"/>
        <v>-4.2498615035073737</v>
      </c>
      <c r="U36" s="572">
        <f t="shared" si="42"/>
        <v>-5.4872233957222232</v>
      </c>
      <c r="V36" s="579">
        <f t="shared" si="43"/>
        <v>-2.8331343504759054</v>
      </c>
      <c r="W36" s="528">
        <f t="shared" si="67"/>
        <v>232.24217238819074</v>
      </c>
      <c r="X36" s="572">
        <f t="shared" si="44"/>
        <v>6.9405290427715443</v>
      </c>
      <c r="Y36" s="573">
        <f t="shared" si="15"/>
        <v>-2.8331343504759054</v>
      </c>
      <c r="Z36" s="575">
        <f t="shared" si="45"/>
        <v>-0.3148615173021333</v>
      </c>
      <c r="AA36" s="572">
        <f t="shared" si="46"/>
        <v>0.94568760552029152</v>
      </c>
      <c r="AB36" s="572">
        <f t="shared" si="47"/>
        <v>-8.08488872186649E-2</v>
      </c>
      <c r="AC36" s="579">
        <f t="shared" si="48"/>
        <v>0.99999968243844983</v>
      </c>
      <c r="AD36" s="580">
        <f t="shared" si="49"/>
        <v>-0.31486161729007656</v>
      </c>
      <c r="AE36" s="572">
        <f t="shared" si="50"/>
        <v>0.94568790583440887</v>
      </c>
      <c r="AF36" s="576">
        <f t="shared" si="51"/>
        <v>-8.0848912893171004E-2</v>
      </c>
      <c r="AG36" s="545">
        <f t="shared" si="52"/>
        <v>85.113541159315758</v>
      </c>
      <c r="AH36" s="546">
        <f t="shared" si="53"/>
        <v>108.35245996081295</v>
      </c>
      <c r="AI36" s="528">
        <f t="shared" si="54"/>
        <v>-85.362637068342266</v>
      </c>
      <c r="AJ36" s="529">
        <f t="shared" si="55"/>
        <v>-161.5851025194892</v>
      </c>
      <c r="AK36" s="578">
        <f t="shared" si="56"/>
        <v>0.82800008799507419</v>
      </c>
      <c r="AL36" s="572">
        <f t="shared" si="57"/>
        <v>-0.55486873002913195</v>
      </c>
      <c r="AM36" s="577">
        <f t="shared" si="58"/>
        <v>-8.0848912893171004E-2</v>
      </c>
      <c r="AN36" s="524">
        <f t="shared" si="16"/>
        <v>-81.70987657582279</v>
      </c>
      <c r="AO36" s="525">
        <f t="shared" si="17"/>
        <v>34.106156552836843</v>
      </c>
      <c r="AP36" s="528">
        <f t="shared" si="59"/>
        <v>-33.827274907679943</v>
      </c>
      <c r="AQ36" s="529">
        <f t="shared" si="60"/>
        <v>0</v>
      </c>
      <c r="AS36" s="598">
        <f t="shared" si="18"/>
        <v>232.24217238819074</v>
      </c>
      <c r="AT36" s="602">
        <f t="shared" si="61"/>
        <v>-2.8331343504759054</v>
      </c>
      <c r="AU36" s="515">
        <f t="shared" si="19"/>
        <v>5.0999999999999996</v>
      </c>
      <c r="AV36" s="164">
        <f t="shared" si="64"/>
        <v>5.1340000000000003</v>
      </c>
      <c r="AW36" s="545">
        <f>IF($M36="","",W36-INDEX(Assy.Model!$W$9:$W$150,MATCH('SN#.Run#'!$M36,Assy.Model!$M$9:$M$150,0)))</f>
        <v>169.45090939145143</v>
      </c>
      <c r="AX36" s="628">
        <f>IF($M36="","",X36-INDEX(Assy.Model!$X$9:$X$150,MATCH('SN#.Run#'!$M36,Assy.Model!$M$9:$M$150,0)))</f>
        <v>-0.36304277724306111</v>
      </c>
      <c r="AY36" s="629">
        <f>IF($M36="","",Y36-INDEX(Assy.Model!$Y$9:$Y$150,MATCH('SN#.Run#'!$M36,Assy.Model!$M$9:$M$150,0)))</f>
        <v>-1.8163231558391868</v>
      </c>
      <c r="AZ36" s="602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>14.299648030952826</v>
      </c>
      <c r="BA36" s="610">
        <f>IF($M36="","",AN36-INDEX(Assy.Model!$AN$9:$AN$150,MATCH('SN#.Run#'!$M36,Assy.Model!$M$9:$M$150,0)))</f>
        <v>-42.351625449821007</v>
      </c>
      <c r="BB36" s="525">
        <f>IF($M36="","",AO36-INDEX(Assy.Model!$AO$9:$AO$150,MATCH('SN#.Run#'!$M36,Assy.Model!$M$9:$M$150,0)))</f>
        <v>15.600804809626954</v>
      </c>
      <c r="BC36" s="619">
        <f>IF($M36="","",AP36-INDEX(Assy.Model!$AP$9:$AP$150,MATCH('SN#.Run#'!$M36,Assy.Model!$M$9:$M$150,0)))</f>
        <v>-21.843792174932361</v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>
        <f t="shared" si="65"/>
        <v>5.1340000000000003</v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>
        <f t="shared" si="62"/>
        <v>1913</v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>
        <f t="shared" si="33"/>
        <v>-4.3761765589453141</v>
      </c>
      <c r="C37" s="572">
        <f t="shared" si="10"/>
        <v>-5.5570378021230988</v>
      </c>
      <c r="D37" s="576">
        <f t="shared" si="11"/>
        <v>-3.5658356983937347</v>
      </c>
      <c r="E37" s="580">
        <f t="shared" si="12"/>
        <v>0.26962028836453122</v>
      </c>
      <c r="F37" s="572">
        <f t="shared" si="13"/>
        <v>-0.96194512718568903</v>
      </c>
      <c r="G37" s="579">
        <f t="shared" si="14"/>
        <v>4.4349063349026656E-2</v>
      </c>
      <c r="H37" s="580">
        <f t="shared" si="34"/>
        <v>0.31101000000000001</v>
      </c>
      <c r="I37" s="482"/>
      <c r="J37" s="483">
        <v>5.1390000000000002</v>
      </c>
      <c r="K37" s="806">
        <f t="shared" si="66"/>
        <v>1913</v>
      </c>
      <c r="M37" s="164">
        <f t="shared" si="35"/>
        <v>5.1390000000000002</v>
      </c>
      <c r="N37" s="575">
        <f t="shared" si="36"/>
        <v>-4.3761765589453141</v>
      </c>
      <c r="O37" s="572">
        <f t="shared" si="37"/>
        <v>-5.5570378021230988</v>
      </c>
      <c r="P37" s="576">
        <f t="shared" si="38"/>
        <v>-3.5658356983937347</v>
      </c>
      <c r="Q37" s="528">
        <f t="shared" si="63"/>
        <v>231.7795088261407</v>
      </c>
      <c r="R37" s="572">
        <f t="shared" si="39"/>
        <v>7.0733012384096563</v>
      </c>
      <c r="S37" s="577">
        <f t="shared" si="40"/>
        <v>-3.5658356983937347</v>
      </c>
      <c r="T37" s="578">
        <f t="shared" si="41"/>
        <v>-4.376176558945315</v>
      </c>
      <c r="U37" s="572">
        <f t="shared" si="42"/>
        <v>-5.5570378021230988</v>
      </c>
      <c r="V37" s="579">
        <f t="shared" si="43"/>
        <v>-3.5658356983937347</v>
      </c>
      <c r="W37" s="528">
        <f t="shared" si="67"/>
        <v>231.7795088261407</v>
      </c>
      <c r="X37" s="572">
        <f t="shared" si="44"/>
        <v>7.0733012384096563</v>
      </c>
      <c r="Y37" s="573">
        <f t="shared" si="15"/>
        <v>-3.5658356983937347</v>
      </c>
      <c r="Z37" s="575">
        <f t="shared" si="45"/>
        <v>-0.26962028836453122</v>
      </c>
      <c r="AA37" s="572">
        <f t="shared" si="46"/>
        <v>0.96194512718568903</v>
      </c>
      <c r="AB37" s="572">
        <f t="shared" si="47"/>
        <v>-4.4349063349026656E-2</v>
      </c>
      <c r="AC37" s="579">
        <f t="shared" si="48"/>
        <v>1.0000001835169834</v>
      </c>
      <c r="AD37" s="580">
        <f t="shared" si="49"/>
        <v>-0.26962023888463832</v>
      </c>
      <c r="AE37" s="572">
        <f t="shared" si="50"/>
        <v>0.96194495065245345</v>
      </c>
      <c r="AF37" s="576">
        <f t="shared" si="51"/>
        <v>-4.4349055210221824E-2</v>
      </c>
      <c r="AG37" s="545">
        <f t="shared" si="52"/>
        <v>87.360331647134572</v>
      </c>
      <c r="AH37" s="546">
        <f t="shared" si="53"/>
        <v>105.641670109049</v>
      </c>
      <c r="AI37" s="528">
        <f t="shared" si="54"/>
        <v>-87.458152612286725</v>
      </c>
      <c r="AJ37" s="529">
        <f t="shared" si="55"/>
        <v>-164.34252976396283</v>
      </c>
      <c r="AK37" s="578">
        <f t="shared" si="56"/>
        <v>0.80696843119660866</v>
      </c>
      <c r="AL37" s="572">
        <f t="shared" si="57"/>
        <v>-0.5889270857704243</v>
      </c>
      <c r="AM37" s="577">
        <f t="shared" si="58"/>
        <v>-4.4349055210221824E-2</v>
      </c>
      <c r="AN37" s="524">
        <f t="shared" si="16"/>
        <v>-85.693479178143917</v>
      </c>
      <c r="AO37" s="525">
        <f t="shared" si="17"/>
        <v>36.199212347842469</v>
      </c>
      <c r="AP37" s="528">
        <f t="shared" si="59"/>
        <v>-36.122038590103529</v>
      </c>
      <c r="AQ37" s="529">
        <f t="shared" si="60"/>
        <v>0</v>
      </c>
      <c r="AS37" s="598">
        <f t="shared" ref="AS37:AS48" si="78">IF(M37="","",IF(W37&lt;=LARGE($W$9:$W$17,1),W37,W37-360))</f>
        <v>231.7795088261407</v>
      </c>
      <c r="AT37" s="602">
        <f t="shared" si="61"/>
        <v>-3.5658356983937347</v>
      </c>
      <c r="AU37" s="515">
        <f t="shared" si="19"/>
        <v>5.0999999999999996</v>
      </c>
      <c r="AV37" s="164">
        <f t="shared" si="64"/>
        <v>5.1390000000000002</v>
      </c>
      <c r="AW37" s="545">
        <f>IF($M37="","",W37-INDEX(Assy.Model!$W$9:$W$150,MATCH('SN#.Run#'!$M37,Assy.Model!$M$9:$M$150,0)))</f>
        <v>169.56862264238839</v>
      </c>
      <c r="AX37" s="628">
        <f>IF($M37="","",X37-INDEX(Assy.Model!$X$9:$X$150,MATCH('SN#.Run#'!$M37,Assy.Model!$M$9:$M$150,0)))</f>
        <v>-0.80916634042926017</v>
      </c>
      <c r="AY37" s="629">
        <f>IF($M37="","",Y37-INDEX(Assy.Model!$Y$9:$Y$150,MATCH('SN#.Run#'!$M37,Assy.Model!$M$9:$M$150,0)))</f>
        <v>-1.8570745636757051</v>
      </c>
      <c r="AZ37" s="602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>15.00935571867727</v>
      </c>
      <c r="BA37" s="610">
        <f>IF($M37="","",AN37-INDEX(Assy.Model!$AN$9:$AN$150,MATCH('SN#.Run#'!$M37,Assy.Model!$M$9:$M$150,0)))</f>
        <v>-32.108479377141201</v>
      </c>
      <c r="BB37" s="525">
        <f>IF($M37="","",AO37-INDEX(Assy.Model!$AO$9:$AO$150,MATCH('SN#.Run#'!$M37,Assy.Model!$M$9:$M$150,0)))</f>
        <v>15.708875707656947</v>
      </c>
      <c r="BC37" s="619">
        <f>IF($M37="","",AP37-INDEX(Assy.Model!$AP$9:$AP$150,MATCH('SN#.Run#'!$M37,Assy.Model!$M$9:$M$150,0)))</f>
        <v>-19.384709488710953</v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>
        <f t="shared" si="65"/>
        <v>5.1390000000000002</v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>
        <f t="shared" si="62"/>
        <v>1913</v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77" t="str">
        <f>$W$6</f>
        <v>Projected XY</v>
      </c>
      <c r="AX152" s="1378"/>
      <c r="AY152" s="1395" t="str">
        <f>$Y$6</f>
        <v>Z</v>
      </c>
      <c r="AZ152" s="139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96"/>
      <c r="AZ153" s="139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-359.77640810038491</v>
      </c>
      <c r="AX154" s="634">
        <f t="shared" si="238"/>
        <v>-6.3322782425929143</v>
      </c>
      <c r="AY154" s="635">
        <f t="shared" si="238"/>
        <v>-2.2848968574445463</v>
      </c>
      <c r="AZ154" s="601">
        <f t="shared" si="238"/>
        <v>0.63975411782566838</v>
      </c>
      <c r="BA154" s="613">
        <f t="shared" si="238"/>
        <v>-58.942677706888404</v>
      </c>
      <c r="BB154" s="614">
        <f t="shared" si="238"/>
        <v>-10.940420416865059</v>
      </c>
      <c r="BC154" s="622">
        <f t="shared" si="238"/>
        <v>-24.2624964768805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359.94461348056939</v>
      </c>
      <c r="AX155" s="628">
        <f t="shared" si="239"/>
        <v>2.3599397204275543</v>
      </c>
      <c r="AY155" s="629">
        <f t="shared" si="239"/>
        <v>4.0796110175247966</v>
      </c>
      <c r="AZ155" s="602">
        <f t="shared" si="239"/>
        <v>15.00935571867727</v>
      </c>
      <c r="BA155" s="610">
        <f t="shared" si="239"/>
        <v>92.925027858126498</v>
      </c>
      <c r="BB155" s="615">
        <f t="shared" si="239"/>
        <v>19.588827746097174</v>
      </c>
      <c r="BC155" s="623">
        <f t="shared" si="239"/>
        <v>32.668457666647882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719.72102158095436</v>
      </c>
      <c r="AX156" s="628">
        <f t="shared" si="240"/>
        <v>8.6922179630204681</v>
      </c>
      <c r="AY156" s="629">
        <f t="shared" si="240"/>
        <v>6.3645078749693429</v>
      </c>
      <c r="AZ156" s="602">
        <f>AZ155-AZ154</f>
        <v>14.369601600851601</v>
      </c>
      <c r="BA156" s="610">
        <f t="shared" si="240"/>
        <v>151.86770556501489</v>
      </c>
      <c r="BB156" s="615">
        <f t="shared" si="240"/>
        <v>30.529248162962233</v>
      </c>
      <c r="BC156" s="623">
        <f t="shared" si="240"/>
        <v>56.930954143528382</v>
      </c>
      <c r="BD156" s="417"/>
    </row>
    <row r="157" spans="1:259" ht="15" customHeight="1" x14ac:dyDescent="0.25">
      <c r="B157" s="1065" t="s">
        <v>42</v>
      </c>
      <c r="C157" s="1292"/>
      <c r="D157" s="1292"/>
      <c r="E157" s="1292"/>
      <c r="F157" s="1292"/>
      <c r="G157" s="1292"/>
      <c r="H157" s="1292"/>
      <c r="I157" s="1292"/>
      <c r="J157" s="1292"/>
      <c r="K157" s="1293"/>
      <c r="AQ157" s="162"/>
      <c r="AV157" s="384" t="s">
        <v>99</v>
      </c>
      <c r="AW157" s="607">
        <f>IFERROR(AVERAGE(AW9:AW150),"")</f>
        <v>35.726781630087977</v>
      </c>
      <c r="AX157" s="636">
        <f t="shared" ref="AX157:BC157" si="241">IFERROR(AVERAGE(AX9:AX150),"")</f>
        <v>-0.79901705117008437</v>
      </c>
      <c r="AY157" s="637">
        <f t="shared" si="241"/>
        <v>0.17939338782107583</v>
      </c>
      <c r="AZ157" s="638">
        <f t="shared" si="241"/>
        <v>5.989205195577501</v>
      </c>
      <c r="BA157" s="616">
        <f t="shared" si="241"/>
        <v>-10.816484724247776</v>
      </c>
      <c r="BB157" s="617">
        <f t="shared" si="241"/>
        <v>5.0396339023114649</v>
      </c>
      <c r="BC157" s="624">
        <f t="shared" si="241"/>
        <v>-5.5013492784148657</v>
      </c>
      <c r="BD157" s="417"/>
    </row>
    <row r="158" spans="1:259" ht="15" customHeight="1" x14ac:dyDescent="0.25">
      <c r="B158" s="1294"/>
      <c r="C158" s="1295"/>
      <c r="D158" s="1295"/>
      <c r="E158" s="1295"/>
      <c r="F158" s="1295"/>
      <c r="G158" s="1295"/>
      <c r="H158" s="1295"/>
      <c r="I158" s="1295"/>
      <c r="J158" s="1295"/>
      <c r="K158" s="1296"/>
      <c r="AQ158" s="162"/>
      <c r="AV158" s="74" t="s">
        <v>284</v>
      </c>
      <c r="AZ158" s="639">
        <f>SUM(AZ9:AZ150)</f>
        <v>173.68695067174752</v>
      </c>
      <c r="BD158" s="417"/>
    </row>
    <row r="159" spans="1:259" ht="15" customHeight="1" x14ac:dyDescent="0.25">
      <c r="B159" s="1297"/>
      <c r="C159" s="1298"/>
      <c r="D159" s="1298"/>
      <c r="E159" s="1298"/>
      <c r="F159" s="1298"/>
      <c r="G159" s="1298"/>
      <c r="H159" s="1298"/>
      <c r="I159" s="1298"/>
      <c r="J159" s="1298"/>
      <c r="K159" s="1299"/>
      <c r="AQ159" s="162"/>
      <c r="BD159" s="417"/>
    </row>
    <row r="160" spans="1:259" ht="15" customHeight="1" x14ac:dyDescent="0.25">
      <c r="B160" s="1289" t="str">
        <f>CONCATENATE(B162," ; ",E162," ; ",H163)</f>
        <v>Absolute-Point ; Incremental-Vector Point ; Radius</v>
      </c>
      <c r="C160" s="1290"/>
      <c r="D160" s="1290"/>
      <c r="E160" s="1290"/>
      <c r="F160" s="1290"/>
      <c r="G160" s="1290"/>
      <c r="H160" s="1290"/>
      <c r="I160" s="1290"/>
      <c r="J160" s="1290"/>
      <c r="K160" s="1291"/>
      <c r="AQ160" s="162"/>
      <c r="BD160" s="417"/>
    </row>
    <row r="161" spans="2:56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9"/>
      <c r="AQ161" s="162"/>
      <c r="BD161" s="417"/>
    </row>
    <row r="162" spans="2:56" ht="15" customHeight="1" x14ac:dyDescent="0.25">
      <c r="B162" s="1306" t="s">
        <v>40</v>
      </c>
      <c r="C162" s="1307"/>
      <c r="D162" s="1308"/>
      <c r="E162" s="1309" t="s">
        <v>41</v>
      </c>
      <c r="F162" s="1307"/>
      <c r="G162" s="1310"/>
      <c r="H162" s="964" t="s">
        <v>305</v>
      </c>
      <c r="I162" s="962"/>
      <c r="J162" s="963"/>
      <c r="K162" s="488"/>
      <c r="M162" s="1101" t="s">
        <v>304</v>
      </c>
      <c r="N162" s="1374"/>
      <c r="O162" s="1386" t="s">
        <v>283</v>
      </c>
      <c r="P162" s="1387"/>
      <c r="Q162" s="1388"/>
      <c r="R162" s="1389" t="s">
        <v>41</v>
      </c>
      <c r="S162" s="1387"/>
      <c r="T162" s="138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75"/>
      <c r="N163" s="13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>
        <v>0.318799</v>
      </c>
      <c r="C164" s="646">
        <v>3.7367999999999998E-2</v>
      </c>
      <c r="D164" s="647">
        <v>-0.75376399999999999</v>
      </c>
      <c r="E164" s="648">
        <v>-0.110666</v>
      </c>
      <c r="F164" s="646">
        <v>0.93177100000000002</v>
      </c>
      <c r="G164" s="649">
        <v>0.34576800000000002</v>
      </c>
      <c r="H164" s="648">
        <v>0.318581</v>
      </c>
      <c r="I164" s="516" t="s">
        <v>384</v>
      </c>
      <c r="J164" s="816">
        <v>1.01</v>
      </c>
      <c r="K164" s="517" t="s">
        <v>385</v>
      </c>
      <c r="L164" s="162">
        <f t="shared" ref="L164:L186" si="242">IF(ISNUMBER($J164),INDEX($AZ$9:$AZ$150,MATCH($M164,$AV$9:$AV$150,0)),"")</f>
        <v>0.77238883255871627</v>
      </c>
      <c r="M164" s="511">
        <f>Assy.Model!$M9</f>
        <v>1.101</v>
      </c>
      <c r="N164" s="809">
        <f>Assy.Model!K9</f>
        <v>1913</v>
      </c>
      <c r="O164" s="566">
        <f t="shared" ref="O164:O195" si="243">IF(ISBLANK($J164),"",(($BM$3*$B164)+($BN$3*$C164)+($BO$3*$D164))+$BP$3)</f>
        <v>0.32028388811269887</v>
      </c>
      <c r="P164" s="567">
        <f t="shared" ref="P164:P195" si="244">IF(ISBLANK($J164),"",(($BM$4*$B164)+($BN$4*$C164)+($BO$4*$D164))+$BP$4)</f>
        <v>3.8803369847994054E-2</v>
      </c>
      <c r="Q164" s="571">
        <f t="shared" ref="Q164:Q195" si="245">IF(ISBLANK($J164),"",(($BM$5*$B164)+($BN$5*$C164)+($BO$5*$D164))+$BP$5)</f>
        <v>-0.84054652743538272</v>
      </c>
      <c r="R164" s="574">
        <f t="shared" ref="R164:R195" si="246">IF(ISBLANK($J164),"",(($BM$3*$E164)+($BN$3*$F164)+($BO$3*$G164)))</f>
        <v>-0.10972431014347026</v>
      </c>
      <c r="S164" s="567">
        <f t="shared" ref="S164:S195" si="247">IF(ISBLANK($J164),"",(($BM$4*$E164)+($BN$4*$F164)+($BO$4*$G164)))</f>
        <v>0.93193326054478409</v>
      </c>
      <c r="T164" s="571">
        <f t="shared" ref="T164:T195" si="248">IF(ISBLANK($J164),"",(($BM$5*$E164)+($BN$5*$F164)+($BO$5*$G164)))</f>
        <v>0.34563079069276686</v>
      </c>
      <c r="AQ164" s="162"/>
      <c r="BD164" s="417"/>
    </row>
    <row r="165" spans="2:56" ht="15" customHeight="1" x14ac:dyDescent="0.25">
      <c r="B165" s="650">
        <v>1.0970770000000001</v>
      </c>
      <c r="C165" s="651">
        <v>1.8832000000000002E-2</v>
      </c>
      <c r="D165" s="652">
        <v>-0.58444200000000002</v>
      </c>
      <c r="E165" s="653">
        <v>-4.514E-2</v>
      </c>
      <c r="F165" s="651">
        <v>0.95391300000000001</v>
      </c>
      <c r="G165" s="654">
        <v>0.29666900000000002</v>
      </c>
      <c r="H165" s="653">
        <v>0.32597999999999999</v>
      </c>
      <c r="I165" s="518" t="s">
        <v>384</v>
      </c>
      <c r="J165" s="817">
        <v>1.02</v>
      </c>
      <c r="K165" s="519" t="s">
        <v>385</v>
      </c>
      <c r="L165" s="162">
        <f t="shared" si="242"/>
        <v>0.64401363199497341</v>
      </c>
      <c r="M165" s="512">
        <f>Assy.Model!$M10</f>
        <v>1.103</v>
      </c>
      <c r="N165" s="810">
        <f>Assy.Model!K10</f>
        <v>1913</v>
      </c>
      <c r="O165" s="575">
        <f t="shared" si="243"/>
        <v>1.0986167343722995</v>
      </c>
      <c r="P165" s="572">
        <f t="shared" si="244"/>
        <v>1.9635273154469498E-2</v>
      </c>
      <c r="Q165" s="579">
        <f t="shared" si="245"/>
        <v>-0.6715473180686613</v>
      </c>
      <c r="R165" s="580">
        <f t="shared" si="246"/>
        <v>-4.4200012245696828E-2</v>
      </c>
      <c r="S165" s="572">
        <f t="shared" si="247"/>
        <v>0.95400957281753118</v>
      </c>
      <c r="T165" s="579">
        <f t="shared" si="248"/>
        <v>0.29649995045529476</v>
      </c>
      <c r="AQ165" s="162"/>
      <c r="BD165" s="417"/>
    </row>
    <row r="166" spans="2:56" ht="15" customHeight="1" x14ac:dyDescent="0.25">
      <c r="B166" s="650">
        <v>1.826953</v>
      </c>
      <c r="C166" s="651">
        <v>8.5199999999999998E-3</v>
      </c>
      <c r="D166" s="652">
        <v>-0.366728</v>
      </c>
      <c r="E166" s="653">
        <v>-7.8201999999999994E-2</v>
      </c>
      <c r="F166" s="651">
        <v>0.94288799999999995</v>
      </c>
      <c r="G166" s="654">
        <v>0.32379999999999998</v>
      </c>
      <c r="H166" s="653">
        <v>0.31610500000000002</v>
      </c>
      <c r="I166" s="518" t="s">
        <v>384</v>
      </c>
      <c r="J166" s="817">
        <v>1.03</v>
      </c>
      <c r="K166" s="519" t="s">
        <v>385</v>
      </c>
      <c r="L166" s="162">
        <f t="shared" si="242"/>
        <v>0.63975411782566838</v>
      </c>
      <c r="M166" s="512">
        <f>Assy.Model!$M11</f>
        <v>1.1060000000000001</v>
      </c>
      <c r="N166" s="810">
        <f>Assy.Model!K11</f>
        <v>1913</v>
      </c>
      <c r="O166" s="575">
        <f t="shared" si="243"/>
        <v>1.828574937848594</v>
      </c>
      <c r="P166" s="572">
        <f t="shared" si="244"/>
        <v>8.7420729399469519E-3</v>
      </c>
      <c r="Q166" s="579">
        <f t="shared" si="245"/>
        <v>-0.45413743355844144</v>
      </c>
      <c r="R166" s="580">
        <f t="shared" si="246"/>
        <v>-7.7260038569436737E-2</v>
      </c>
      <c r="S166" s="572">
        <f t="shared" si="247"/>
        <v>0.94301818000888238</v>
      </c>
      <c r="T166" s="579">
        <f t="shared" si="248"/>
        <v>0.32364698663974056</v>
      </c>
      <c r="AQ166" s="162"/>
      <c r="BD166" s="417"/>
    </row>
    <row r="167" spans="2:56" ht="15" customHeight="1" x14ac:dyDescent="0.25">
      <c r="B167" s="650">
        <v>2.5690490000000001</v>
      </c>
      <c r="C167" s="651">
        <v>9.6839999999999999E-3</v>
      </c>
      <c r="D167" s="652">
        <v>-0.15770899999999999</v>
      </c>
      <c r="E167" s="653">
        <v>-6.2687999999999994E-2</v>
      </c>
      <c r="F167" s="651">
        <v>0.94219900000000001</v>
      </c>
      <c r="G167" s="654">
        <v>0.32913799999999999</v>
      </c>
      <c r="H167" s="653">
        <v>0.31207499999999999</v>
      </c>
      <c r="I167" s="518" t="s">
        <v>384</v>
      </c>
      <c r="J167" s="817">
        <v>1.04</v>
      </c>
      <c r="K167" s="519" t="s">
        <v>385</v>
      </c>
      <c r="L167" s="162">
        <f t="shared" si="242"/>
        <v>0.749709606864147</v>
      </c>
      <c r="M167" s="512">
        <f>Assy.Model!$M12</f>
        <v>1.1100000000000001</v>
      </c>
      <c r="N167" s="810">
        <f>Assy.Model!K12</f>
        <v>1913</v>
      </c>
      <c r="O167" s="575">
        <f t="shared" si="243"/>
        <v>2.5707592981659881</v>
      </c>
      <c r="P167" s="572">
        <f t="shared" si="244"/>
        <v>9.3127105046480509E-3</v>
      </c>
      <c r="Q167" s="579">
        <f t="shared" si="245"/>
        <v>-0.24542993454120404</v>
      </c>
      <c r="R167" s="580">
        <f t="shared" si="246"/>
        <v>-6.174439486473015E-2</v>
      </c>
      <c r="S167" s="572">
        <f t="shared" si="247"/>
        <v>0.94231696609733928</v>
      </c>
      <c r="T167" s="579">
        <f t="shared" si="248"/>
        <v>0.3289786149537603</v>
      </c>
      <c r="AQ167" s="162"/>
      <c r="BD167" s="417"/>
    </row>
    <row r="168" spans="2:56" ht="15" customHeight="1" x14ac:dyDescent="0.25">
      <c r="B168" s="650">
        <v>3.317361</v>
      </c>
      <c r="C168" s="651">
        <v>-2.2300000000000002E-3</v>
      </c>
      <c r="D168" s="652">
        <v>7.7510000000000001E-3</v>
      </c>
      <c r="E168" s="653">
        <v>-2.7888E-2</v>
      </c>
      <c r="F168" s="651">
        <v>0.948743</v>
      </c>
      <c r="G168" s="654">
        <v>0.31481500000000001</v>
      </c>
      <c r="H168" s="653">
        <v>0.30340699999999998</v>
      </c>
      <c r="I168" s="518" t="s">
        <v>384</v>
      </c>
      <c r="J168" s="817">
        <v>1.05</v>
      </c>
      <c r="K168" s="519" t="s">
        <v>385</v>
      </c>
      <c r="L168" s="162">
        <f t="shared" si="242"/>
        <v>0.80347056198520461</v>
      </c>
      <c r="M168" s="512">
        <f>Assy.Model!$M13</f>
        <v>1.115</v>
      </c>
      <c r="N168" s="810">
        <f>Assy.Model!K13</f>
        <v>1913</v>
      </c>
      <c r="O168" s="575">
        <f t="shared" si="243"/>
        <v>3.3191301986351713</v>
      </c>
      <c r="P168" s="572">
        <f t="shared" si="244"/>
        <v>-3.2085282382775973E-3</v>
      </c>
      <c r="Q168" s="579">
        <f t="shared" si="245"/>
        <v>-8.0281461186808512E-2</v>
      </c>
      <c r="R168" s="580">
        <f t="shared" si="246"/>
        <v>-2.694482600731158E-2</v>
      </c>
      <c r="S168" s="572">
        <f t="shared" si="247"/>
        <v>0.94882839366892879</v>
      </c>
      <c r="T168" s="579">
        <f t="shared" si="248"/>
        <v>0.31463973133899703</v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1.1200000000000001</v>
      </c>
      <c r="N169" s="810">
        <f>Assy.Model!K14</f>
        <v>1913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>
        <v>4.7981999999999996</v>
      </c>
      <c r="C170" s="651">
        <v>-3.3717999999999998E-2</v>
      </c>
      <c r="D170" s="652">
        <v>-0.154528</v>
      </c>
      <c r="E170" s="653">
        <v>0.15523999999999999</v>
      </c>
      <c r="F170" s="651">
        <v>0.94201999999999997</v>
      </c>
      <c r="G170" s="654">
        <v>0.297487</v>
      </c>
      <c r="H170" s="653">
        <v>0.31226500000000001</v>
      </c>
      <c r="I170" s="518" t="s">
        <v>384</v>
      </c>
      <c r="J170" s="817">
        <v>1.07</v>
      </c>
      <c r="K170" s="519" t="s">
        <v>385</v>
      </c>
      <c r="L170" s="162">
        <f t="shared" si="242"/>
        <v>1.0902538047018799</v>
      </c>
      <c r="M170" s="512">
        <f>Assy.Model!$M15</f>
        <v>1.125</v>
      </c>
      <c r="N170" s="810">
        <f>Assy.Model!K15</f>
        <v>1913</v>
      </c>
      <c r="O170" s="575">
        <f t="shared" si="243"/>
        <v>4.7998735182323236</v>
      </c>
      <c r="P170" s="572">
        <f t="shared" si="244"/>
        <v>-3.5994505590147802E-2</v>
      </c>
      <c r="Q170" s="579">
        <f t="shared" si="245"/>
        <v>-0.24317533173904454</v>
      </c>
      <c r="R170" s="580">
        <f t="shared" si="246"/>
        <v>0.15617007293333715</v>
      </c>
      <c r="S170" s="572">
        <f t="shared" si="247"/>
        <v>0.94194541927738362</v>
      </c>
      <c r="T170" s="579">
        <f t="shared" si="248"/>
        <v>0.29723625046644347</v>
      </c>
      <c r="AQ170" s="162"/>
      <c r="BD170" s="417"/>
    </row>
    <row r="171" spans="2:56" ht="15" customHeight="1" x14ac:dyDescent="0.25">
      <c r="B171" s="650">
        <v>5.4905520000000001</v>
      </c>
      <c r="C171" s="651">
        <v>-8.9456999999999995E-2</v>
      </c>
      <c r="D171" s="652">
        <v>-0.55899100000000002</v>
      </c>
      <c r="E171" s="653">
        <v>0.25547500000000001</v>
      </c>
      <c r="F171" s="651">
        <v>0.93567500000000003</v>
      </c>
      <c r="G171" s="654">
        <v>0.24340200000000001</v>
      </c>
      <c r="H171" s="653">
        <v>0.376803</v>
      </c>
      <c r="I171" s="518" t="s">
        <v>384</v>
      </c>
      <c r="J171" s="817">
        <v>1.08</v>
      </c>
      <c r="K171" s="519" t="s">
        <v>385</v>
      </c>
      <c r="L171" s="162">
        <f t="shared" si="242"/>
        <v>1.2334143169379921</v>
      </c>
      <c r="M171" s="512">
        <f>Assy.Model!$M16</f>
        <v>1.1299999999999999</v>
      </c>
      <c r="N171" s="810">
        <f>Assy.Model!K16</f>
        <v>1913</v>
      </c>
      <c r="O171" s="575">
        <f t="shared" si="243"/>
        <v>5.4920078461355111</v>
      </c>
      <c r="P171" s="572">
        <f t="shared" si="244"/>
        <v>-9.2404971317290002E-2</v>
      </c>
      <c r="Q171" s="579">
        <f t="shared" si="245"/>
        <v>-0.64791769162796187</v>
      </c>
      <c r="R171" s="580">
        <f t="shared" si="246"/>
        <v>0.25637690983702638</v>
      </c>
      <c r="S171" s="572">
        <f t="shared" si="247"/>
        <v>0.93550408673309093</v>
      </c>
      <c r="T171" s="579">
        <f t="shared" si="248"/>
        <v>0.2431104659657892</v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1.135</v>
      </c>
      <c r="N172" s="810">
        <f>Assy.Model!K17</f>
        <v>1913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>
        <v>6.508146</v>
      </c>
      <c r="C173" s="651">
        <v>-0.24973699999999999</v>
      </c>
      <c r="D173" s="652">
        <v>-1.5730150000000001</v>
      </c>
      <c r="E173" s="653">
        <v>0.44104900000000002</v>
      </c>
      <c r="F173" s="651">
        <v>0.88069299999999995</v>
      </c>
      <c r="G173" s="654">
        <v>0.17278499999999999</v>
      </c>
      <c r="H173" s="653">
        <v>0.299342</v>
      </c>
      <c r="I173" s="518" t="s">
        <v>384</v>
      </c>
      <c r="J173" s="817">
        <v>1.1000000000000001</v>
      </c>
      <c r="K173" s="519" t="s">
        <v>385</v>
      </c>
      <c r="L173" s="162">
        <f t="shared" si="242"/>
        <v>1.4777533854689935</v>
      </c>
      <c r="M173" s="512">
        <f>Assy.Model!$M18</f>
        <v>1.1399999999999999</v>
      </c>
      <c r="N173" s="810">
        <f>Assy.Model!K18</f>
        <v>1913</v>
      </c>
      <c r="O173" s="575">
        <f t="shared" si="243"/>
        <v>6.5090388916393085</v>
      </c>
      <c r="P173" s="572">
        <f t="shared" si="244"/>
        <v>-0.25375435283129921</v>
      </c>
      <c r="Q173" s="579">
        <f t="shared" si="245"/>
        <v>-1.6623368009602431</v>
      </c>
      <c r="R173" s="580">
        <f t="shared" si="246"/>
        <v>0.44187419224115126</v>
      </c>
      <c r="S173" s="572">
        <f t="shared" si="247"/>
        <v>0.8803495591910937</v>
      </c>
      <c r="T173" s="579">
        <f t="shared" si="248"/>
        <v>0.17242647342643524</v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1.145</v>
      </c>
      <c r="N174" s="810">
        <f>Assy.Model!K19</f>
        <v>1913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>
        <v>6.9709770000000004</v>
      </c>
      <c r="C175" s="651">
        <v>-0.339505</v>
      </c>
      <c r="D175" s="652">
        <v>-2.985223</v>
      </c>
      <c r="E175" s="653">
        <v>0.60105900000000001</v>
      </c>
      <c r="F175" s="651">
        <v>0.79596199999999995</v>
      </c>
      <c r="G175" s="654">
        <v>7.1919999999999998E-2</v>
      </c>
      <c r="H175" s="653">
        <v>0.32120500000000002</v>
      </c>
      <c r="I175" s="518" t="s">
        <v>384</v>
      </c>
      <c r="J175" s="817">
        <v>1.1200000000000001</v>
      </c>
      <c r="K175" s="519" t="s">
        <v>385</v>
      </c>
      <c r="L175" s="162">
        <f t="shared" si="242"/>
        <v>1.5515946939831928</v>
      </c>
      <c r="M175" s="512">
        <f>Assy.Model!$M20</f>
        <v>1.1499999999999999</v>
      </c>
      <c r="N175" s="810">
        <f>Assy.Model!K20</f>
        <v>1913</v>
      </c>
      <c r="O175" s="575">
        <f t="shared" si="243"/>
        <v>6.9712003955900519</v>
      </c>
      <c r="P175" s="572">
        <f t="shared" si="244"/>
        <v>-0.344195767180491</v>
      </c>
      <c r="Q175" s="579">
        <f t="shared" si="245"/>
        <v>-3.0747210824097024</v>
      </c>
      <c r="R175" s="580">
        <f t="shared" si="246"/>
        <v>0.60176936249758872</v>
      </c>
      <c r="S175" s="572">
        <f t="shared" si="247"/>
        <v>0.79546195062377878</v>
      </c>
      <c r="T175" s="579">
        <f t="shared" si="248"/>
        <v>7.1511067633329484E-2</v>
      </c>
      <c r="AQ175" s="162"/>
    </row>
    <row r="176" spans="2:56" ht="15" customHeight="1" x14ac:dyDescent="0.25">
      <c r="B176" s="650">
        <v>7.0581529999999999</v>
      </c>
      <c r="C176" s="651">
        <v>-0.38678899999999999</v>
      </c>
      <c r="D176" s="652">
        <v>-3.7321240000000002</v>
      </c>
      <c r="E176" s="653">
        <v>0.62590800000000002</v>
      </c>
      <c r="F176" s="651">
        <v>0.77737100000000003</v>
      </c>
      <c r="G176" s="654">
        <v>6.2715999999999994E-2</v>
      </c>
      <c r="H176" s="653">
        <v>0.32025399999999998</v>
      </c>
      <c r="I176" s="518" t="s">
        <v>384</v>
      </c>
      <c r="J176" s="817">
        <v>1.1299999999999999</v>
      </c>
      <c r="K176" s="519" t="s">
        <v>385</v>
      </c>
      <c r="L176" s="162">
        <f t="shared" si="242"/>
        <v>1.53051948349254</v>
      </c>
      <c r="M176" s="512">
        <f>Assy.Model!$M21</f>
        <v>1.155</v>
      </c>
      <c r="N176" s="810">
        <f>Assy.Model!K21</f>
        <v>1913</v>
      </c>
      <c r="O176" s="575">
        <f t="shared" si="243"/>
        <v>7.0580225433340562</v>
      </c>
      <c r="P176" s="572">
        <f t="shared" si="244"/>
        <v>-0.3917011765447993</v>
      </c>
      <c r="Q176" s="579">
        <f t="shared" si="245"/>
        <v>-3.8216492490865575</v>
      </c>
      <c r="R176" s="580">
        <f t="shared" si="246"/>
        <v>0.62659859612620461</v>
      </c>
      <c r="S176" s="572">
        <f t="shared" si="247"/>
        <v>0.77684790244464608</v>
      </c>
      <c r="T176" s="579">
        <f t="shared" si="248"/>
        <v>6.2300309477752176E-2</v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2.1110000000000002</v>
      </c>
      <c r="N177" s="810">
        <f>Assy.Model!K22</f>
        <v>1913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2.1160000000000001</v>
      </c>
      <c r="N178" s="810">
        <f>Assy.Model!K23</f>
        <v>1913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2.121</v>
      </c>
      <c r="N179" s="810">
        <f>Assy.Model!K24</f>
        <v>1913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2.1259999999999999</v>
      </c>
      <c r="N180" s="810">
        <f>Assy.Model!K25</f>
        <v>1913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2.1309999999999998</v>
      </c>
      <c r="N181" s="810">
        <f>Assy.Model!K26</f>
        <v>1913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2.1360000000000001</v>
      </c>
      <c r="N182" s="810">
        <f>Assy.Model!K27</f>
        <v>1913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2.141</v>
      </c>
      <c r="N183" s="810">
        <f>Assy.Model!K28</f>
        <v>1913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2.1459999999999999</v>
      </c>
      <c r="N184" s="810">
        <f>Assy.Model!K29</f>
        <v>1913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2.1509999999999998</v>
      </c>
      <c r="N185" s="810">
        <f>Assy.Model!K30</f>
        <v>1913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>
        <v>1.3539429999999999</v>
      </c>
      <c r="C186" s="651">
        <v>-2.8938820000000001</v>
      </c>
      <c r="D186" s="652">
        <v>-1.5162E-2</v>
      </c>
      <c r="E186" s="653">
        <v>0.83617699999999995</v>
      </c>
      <c r="F186" s="651">
        <v>0.44939099999999998</v>
      </c>
      <c r="G186" s="654">
        <v>0.31441400000000003</v>
      </c>
      <c r="H186" s="653">
        <v>0.31293199999999999</v>
      </c>
      <c r="I186" s="518" t="s">
        <v>384</v>
      </c>
      <c r="J186" s="817">
        <v>2.0099999999999998</v>
      </c>
      <c r="K186" s="519" t="s">
        <v>385</v>
      </c>
      <c r="L186" s="162">
        <f t="shared" si="242"/>
        <v>3.3809991521110958</v>
      </c>
      <c r="M186" s="512">
        <f>Assy.Model!$M31</f>
        <v>3.1019999999999999</v>
      </c>
      <c r="N186" s="810">
        <f>Assy.Model!K31</f>
        <v>1913</v>
      </c>
      <c r="O186" s="575">
        <f t="shared" si="243"/>
        <v>1.353231436479708</v>
      </c>
      <c r="P186" s="572">
        <f t="shared" si="244"/>
        <v>-2.8931852572736987</v>
      </c>
      <c r="Q186" s="579">
        <f t="shared" si="245"/>
        <v>-0.10180121923259028</v>
      </c>
      <c r="R186" s="580">
        <f t="shared" si="246"/>
        <v>0.83669272392590366</v>
      </c>
      <c r="S186" s="572">
        <f t="shared" si="247"/>
        <v>0.44873775685693307</v>
      </c>
      <c r="T186" s="579">
        <f t="shared" si="248"/>
        <v>0.3139747138010634</v>
      </c>
      <c r="AQ186" s="162"/>
    </row>
    <row r="187" spans="2:43" ht="15" customHeight="1" x14ac:dyDescent="0.25">
      <c r="B187" s="650">
        <v>1.665141</v>
      </c>
      <c r="C187" s="651">
        <v>-3.568835</v>
      </c>
      <c r="D187" s="652">
        <v>3.1149E-2</v>
      </c>
      <c r="E187" s="653">
        <v>0.87020399999999998</v>
      </c>
      <c r="F187" s="651">
        <v>0.36688799999999999</v>
      </c>
      <c r="G187" s="654">
        <v>0.328845</v>
      </c>
      <c r="H187" s="653">
        <v>0.30491400000000002</v>
      </c>
      <c r="I187" s="518" t="s">
        <v>384</v>
      </c>
      <c r="J187" s="817">
        <v>2.02</v>
      </c>
      <c r="K187" s="519" t="s">
        <v>385</v>
      </c>
      <c r="L187" s="162">
        <f>IF(ISNUMBER($J187),INDEX($AZ$9:$AZ$150,MATCH($M187,$AV$9:$AV$150,0)),"")</f>
        <v>4.019482094861214</v>
      </c>
      <c r="M187" s="512">
        <f>Assy.Model!$M32</f>
        <v>3.1040000000000001</v>
      </c>
      <c r="N187" s="810">
        <f>Assy.Model!K32</f>
        <v>1913</v>
      </c>
      <c r="O187" s="575">
        <f t="shared" si="243"/>
        <v>1.6638717176919136</v>
      </c>
      <c r="P187" s="572">
        <f t="shared" si="244"/>
        <v>-3.5683949545667981</v>
      </c>
      <c r="Q187" s="579">
        <f t="shared" si="245"/>
        <v>-5.5487760025112583E-2</v>
      </c>
      <c r="R187" s="580">
        <f t="shared" si="246"/>
        <v>0.87065523274097367</v>
      </c>
      <c r="S187" s="572">
        <f t="shared" si="247"/>
        <v>0.36620853470039127</v>
      </c>
      <c r="T187" s="579">
        <f t="shared" si="248"/>
        <v>0.32840769631412936</v>
      </c>
      <c r="AQ187" s="162"/>
    </row>
    <row r="188" spans="2:43" ht="15" customHeight="1" x14ac:dyDescent="0.25">
      <c r="B188" s="650">
        <v>1.945587</v>
      </c>
      <c r="C188" s="651">
        <v>-4.2601909999999998</v>
      </c>
      <c r="D188" s="652">
        <v>-0.118727</v>
      </c>
      <c r="E188" s="653">
        <v>0.91616200000000003</v>
      </c>
      <c r="F188" s="651">
        <v>0.26651999999999998</v>
      </c>
      <c r="G188" s="654">
        <v>0.29935699999999998</v>
      </c>
      <c r="H188" s="653">
        <v>0.31179600000000002</v>
      </c>
      <c r="I188" s="518" t="s">
        <v>384</v>
      </c>
      <c r="J188" s="817">
        <v>2.0299999999999998</v>
      </c>
      <c r="K188" s="519" t="s">
        <v>385</v>
      </c>
      <c r="L188" s="162">
        <f t="shared" ref="L188:L251" si="249">IF(ISNUMBER($J188),INDEX($AZ$9:$AZ$150,MATCH($M188,$AV$9:$AV$150,0)),"")</f>
        <v>4.7387212364531974</v>
      </c>
      <c r="M188" s="512">
        <f>Assy.Model!$M33</f>
        <v>3.1070000000000002</v>
      </c>
      <c r="N188" s="810">
        <f>Assy.Model!K33</f>
        <v>1913</v>
      </c>
      <c r="O188" s="575">
        <f t="shared" si="243"/>
        <v>1.9436636725396543</v>
      </c>
      <c r="P188" s="572">
        <f t="shared" si="244"/>
        <v>-4.260019938019262</v>
      </c>
      <c r="Q188" s="579">
        <f t="shared" si="245"/>
        <v>-0.20534514988246824</v>
      </c>
      <c r="R188" s="580">
        <f t="shared" si="246"/>
        <v>0.91651503571634318</v>
      </c>
      <c r="S188" s="572">
        <f t="shared" si="247"/>
        <v>0.26579548111982837</v>
      </c>
      <c r="T188" s="579">
        <f t="shared" si="248"/>
        <v>0.29892019940972436</v>
      </c>
      <c r="AQ188" s="162"/>
    </row>
    <row r="189" spans="2:43" ht="15" customHeight="1" x14ac:dyDescent="0.25">
      <c r="B189" s="650">
        <v>2.1939169999999999</v>
      </c>
      <c r="C189" s="651">
        <v>-4.9165279999999996</v>
      </c>
      <c r="D189" s="652">
        <v>-0.42638399999999999</v>
      </c>
      <c r="E189" s="653">
        <v>0.95269199999999998</v>
      </c>
      <c r="F189" s="651">
        <v>0.16672100000000001</v>
      </c>
      <c r="G189" s="654">
        <v>0.25413000000000002</v>
      </c>
      <c r="H189" s="653">
        <v>0.30729299999999998</v>
      </c>
      <c r="I189" s="518" t="s">
        <v>384</v>
      </c>
      <c r="J189" s="817">
        <v>2.04</v>
      </c>
      <c r="K189" s="519" t="s">
        <v>385</v>
      </c>
      <c r="L189" s="162">
        <f t="shared" si="249"/>
        <v>5.5859242721152418</v>
      </c>
      <c r="M189" s="512">
        <f>Assy.Model!$M34</f>
        <v>3.1120000000000001</v>
      </c>
      <c r="N189" s="810">
        <f>Assy.Model!K34</f>
        <v>1913</v>
      </c>
      <c r="O189" s="575">
        <f t="shared" si="243"/>
        <v>2.191303376361013</v>
      </c>
      <c r="P189" s="572">
        <f t="shared" si="244"/>
        <v>-4.9166295078480475</v>
      </c>
      <c r="Q189" s="579">
        <f t="shared" si="245"/>
        <v>-0.51297695255983511</v>
      </c>
      <c r="R189" s="580">
        <f t="shared" si="246"/>
        <v>0.95294072551285802</v>
      </c>
      <c r="S189" s="572">
        <f t="shared" si="247"/>
        <v>0.16595639255897654</v>
      </c>
      <c r="T189" s="579">
        <f t="shared" si="248"/>
        <v>0.25369754636739983</v>
      </c>
      <c r="AQ189" s="162"/>
    </row>
    <row r="190" spans="2:43" ht="15" customHeight="1" x14ac:dyDescent="0.25">
      <c r="B190" s="650">
        <v>2.3727209999999999</v>
      </c>
      <c r="C190" s="651">
        <v>-5.4852049999999997</v>
      </c>
      <c r="D190" s="652">
        <v>-0.88800400000000002</v>
      </c>
      <c r="E190" s="653">
        <v>0.968947</v>
      </c>
      <c r="F190" s="651">
        <v>6.6444000000000003E-2</v>
      </c>
      <c r="G190" s="654">
        <v>0.238175</v>
      </c>
      <c r="H190" s="653">
        <v>0.31057800000000002</v>
      </c>
      <c r="I190" s="518" t="s">
        <v>384</v>
      </c>
      <c r="J190" s="817">
        <v>2.0499999999999998</v>
      </c>
      <c r="K190" s="519" t="s">
        <v>385</v>
      </c>
      <c r="L190" s="162">
        <f t="shared" si="249"/>
        <v>6.4031599962697578</v>
      </c>
      <c r="M190" s="512">
        <f>Assy.Model!$M35</f>
        <v>3.117</v>
      </c>
      <c r="N190" s="810">
        <f>Assy.Model!K35</f>
        <v>1913</v>
      </c>
      <c r="O190" s="575">
        <f t="shared" si="243"/>
        <v>2.3694274502603512</v>
      </c>
      <c r="P190" s="572">
        <f t="shared" si="244"/>
        <v>-5.485549948968945</v>
      </c>
      <c r="Q190" s="579">
        <f t="shared" si="245"/>
        <v>-0.97455984990039668</v>
      </c>
      <c r="R190" s="580">
        <f t="shared" si="246"/>
        <v>0.96910329802715467</v>
      </c>
      <c r="S190" s="572">
        <f t="shared" si="247"/>
        <v>6.5662395697680662E-2</v>
      </c>
      <c r="T190" s="579">
        <f t="shared" si="248"/>
        <v>0.23775548808415173</v>
      </c>
      <c r="AQ190" s="162"/>
    </row>
    <row r="191" spans="2:43" ht="15" customHeight="1" x14ac:dyDescent="0.25">
      <c r="B191" s="650">
        <v>2.5028649999999999</v>
      </c>
      <c r="C191" s="651">
        <v>-5.9501109999999997</v>
      </c>
      <c r="D191" s="652">
        <v>-1.472083</v>
      </c>
      <c r="E191" s="653">
        <v>0.97818899999999998</v>
      </c>
      <c r="F191" s="651">
        <v>-3.9320000000000001E-2</v>
      </c>
      <c r="G191" s="654">
        <v>0.20396300000000001</v>
      </c>
      <c r="H191" s="653">
        <v>0.30514000000000002</v>
      </c>
      <c r="I191" s="518" t="s">
        <v>384</v>
      </c>
      <c r="J191" s="817">
        <v>2.06</v>
      </c>
      <c r="K191" s="519" t="s">
        <v>385</v>
      </c>
      <c r="L191" s="162">
        <f t="shared" si="249"/>
        <v>7.2465895714942397</v>
      </c>
      <c r="M191" s="512">
        <f>Assy.Model!$M36</f>
        <v>3.1219999999999999</v>
      </c>
      <c r="N191" s="810">
        <f>Assy.Model!K36</f>
        <v>1913</v>
      </c>
      <c r="O191" s="575">
        <f t="shared" si="243"/>
        <v>2.4989288765554751</v>
      </c>
      <c r="P191" s="572">
        <f t="shared" si="244"/>
        <v>-5.9506819114365497</v>
      </c>
      <c r="Q191" s="579">
        <f t="shared" si="245"/>
        <v>-1.5586017712481399</v>
      </c>
      <c r="R191" s="580">
        <f t="shared" si="246"/>
        <v>0.9782405225451809</v>
      </c>
      <c r="S191" s="572">
        <f t="shared" si="247"/>
        <v>-4.0116193787773778E-2</v>
      </c>
      <c r="T191" s="579">
        <f t="shared" si="248"/>
        <v>0.20356045425502833</v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3.1269999999999998</v>
      </c>
      <c r="N192" s="810">
        <f>Assy.Model!K37</f>
        <v>1913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>
        <v>2.6337120000000001</v>
      </c>
      <c r="C193" s="651">
        <v>-6.457109</v>
      </c>
      <c r="D193" s="652">
        <v>-2.8667340000000001</v>
      </c>
      <c r="E193" s="653">
        <v>0.97550300000000001</v>
      </c>
      <c r="F193" s="651">
        <v>-0.20063900000000001</v>
      </c>
      <c r="G193" s="654">
        <v>9.0206999999999996E-2</v>
      </c>
      <c r="H193" s="653">
        <v>0.30745499999999998</v>
      </c>
      <c r="I193" s="518" t="s">
        <v>384</v>
      </c>
      <c r="J193" s="817">
        <v>2.08</v>
      </c>
      <c r="K193" s="519" t="s">
        <v>385</v>
      </c>
      <c r="L193" s="162">
        <f t="shared" si="249"/>
        <v>8.7063446432357789</v>
      </c>
      <c r="M193" s="512">
        <f>Assy.Model!$M38</f>
        <v>3.1320000000000001</v>
      </c>
      <c r="N193" s="810">
        <f>Assy.Model!K38</f>
        <v>1913</v>
      </c>
      <c r="O193" s="575">
        <f t="shared" si="243"/>
        <v>2.6287572128378605</v>
      </c>
      <c r="P193" s="572">
        <f t="shared" si="244"/>
        <v>-6.458065875714385</v>
      </c>
      <c r="Q193" s="579">
        <f t="shared" si="245"/>
        <v>-2.9532076069973874</v>
      </c>
      <c r="R193" s="580">
        <f t="shared" si="246"/>
        <v>0.9753688835163542</v>
      </c>
      <c r="S193" s="572">
        <f t="shared" si="247"/>
        <v>-0.2014552078977303</v>
      </c>
      <c r="T193" s="579">
        <f t="shared" si="248"/>
        <v>8.9837377844321886E-2</v>
      </c>
      <c r="AQ193" s="162"/>
    </row>
    <row r="194" spans="2:43" ht="15" customHeight="1" x14ac:dyDescent="0.25">
      <c r="B194" s="650">
        <v>2.6245599999999998</v>
      </c>
      <c r="C194" s="651">
        <v>-6.5930910000000003</v>
      </c>
      <c r="D194" s="652">
        <v>-3.6124299999999998</v>
      </c>
      <c r="E194" s="653">
        <v>0.953565</v>
      </c>
      <c r="F194" s="651">
        <v>-0.29659099999999999</v>
      </c>
      <c r="G194" s="654">
        <v>5.2414000000000002E-2</v>
      </c>
      <c r="H194" s="653">
        <v>0.31114000000000003</v>
      </c>
      <c r="I194" s="518" t="s">
        <v>384</v>
      </c>
      <c r="J194" s="817">
        <v>2.09</v>
      </c>
      <c r="K194" s="519" t="s">
        <v>385</v>
      </c>
      <c r="L194" s="162">
        <f t="shared" si="249"/>
        <v>9.2119138375062288</v>
      </c>
      <c r="M194" s="512">
        <f>Assy.Model!$M39</f>
        <v>3.137</v>
      </c>
      <c r="N194" s="810">
        <f>Assy.Model!K39</f>
        <v>1913</v>
      </c>
      <c r="O194" s="575">
        <f t="shared" si="243"/>
        <v>2.619176083012547</v>
      </c>
      <c r="P194" s="572">
        <f t="shared" si="244"/>
        <v>-6.5941866563541112</v>
      </c>
      <c r="Q194" s="579">
        <f t="shared" si="245"/>
        <v>-3.6988728957652777</v>
      </c>
      <c r="R194" s="580">
        <f t="shared" si="246"/>
        <v>0.95333300779104568</v>
      </c>
      <c r="S194" s="572">
        <f t="shared" si="247"/>
        <v>-0.29739584746107878</v>
      </c>
      <c r="T194" s="579">
        <f t="shared" si="248"/>
        <v>5.2072488619084853E-2</v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3.1419999999999999</v>
      </c>
      <c r="N195" s="810">
        <f>Assy.Model!K40</f>
        <v>1913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3.1469999999999998</v>
      </c>
      <c r="N196" s="810">
        <f>Assy.Model!K41</f>
        <v>1913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3.1520000000000001</v>
      </c>
      <c r="N197" s="810">
        <f>Assy.Model!K42</f>
        <v>1913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4.1050000000000004</v>
      </c>
      <c r="N198" s="810">
        <f>Assy.Model!K43</f>
        <v>1913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4.1079999999999997</v>
      </c>
      <c r="N199" s="810">
        <f>Assy.Model!K44</f>
        <v>1913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4.1130000000000004</v>
      </c>
      <c r="N200" s="810">
        <f>Assy.Model!K45</f>
        <v>1913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4.1180000000000003</v>
      </c>
      <c r="N201" s="810">
        <f>Assy.Model!K46</f>
        <v>1913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4.1230000000000002</v>
      </c>
      <c r="N202" s="810">
        <f>Assy.Model!K47</f>
        <v>1913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4.1280000000000001</v>
      </c>
      <c r="N203" s="810">
        <f>Assy.Model!K48</f>
        <v>1913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>
        <v>-0.46901100000000001</v>
      </c>
      <c r="C204" s="651">
        <v>-0.69335000000000002</v>
      </c>
      <c r="D204" s="652">
        <v>-0.63892400000000005</v>
      </c>
      <c r="E204" s="653">
        <v>0.82406299999999999</v>
      </c>
      <c r="F204" s="651">
        <v>-0.47613299999999997</v>
      </c>
      <c r="G204" s="654">
        <v>0.306948</v>
      </c>
      <c r="H204" s="653">
        <v>0.31805899999999998</v>
      </c>
      <c r="I204" s="518" t="s">
        <v>384</v>
      </c>
      <c r="J204" s="817">
        <v>3.01</v>
      </c>
      <c r="K204" s="519" t="s">
        <v>385</v>
      </c>
      <c r="L204" s="162">
        <f t="shared" si="249"/>
        <v>7.3316533918151281</v>
      </c>
      <c r="M204" s="512">
        <f>Assy.Model!$M49</f>
        <v>4.133</v>
      </c>
      <c r="N204" s="810">
        <f>Assy.Model!K49</f>
        <v>1913</v>
      </c>
      <c r="O204" s="575">
        <f t="shared" si="250"/>
        <v>-0.4681022512625938</v>
      </c>
      <c r="P204" s="572">
        <f t="shared" si="251"/>
        <v>-0.69121820878531093</v>
      </c>
      <c r="Q204" s="579">
        <f t="shared" si="252"/>
        <v>-0.72523214327339169</v>
      </c>
      <c r="R204" s="580">
        <f t="shared" si="253"/>
        <v>0.82378437746492295</v>
      </c>
      <c r="S204" s="572">
        <f t="shared" si="254"/>
        <v>-0.47677699821763347</v>
      </c>
      <c r="T204" s="579">
        <f t="shared" si="255"/>
        <v>0.30669615220493418</v>
      </c>
    </row>
    <row r="205" spans="2:43" ht="15" customHeight="1" x14ac:dyDescent="0.25">
      <c r="B205" s="650">
        <v>-0.89736700000000003</v>
      </c>
      <c r="C205" s="651">
        <v>-1.303058</v>
      </c>
      <c r="D205" s="652">
        <v>-0.43052600000000002</v>
      </c>
      <c r="E205" s="653">
        <v>0.82326600000000005</v>
      </c>
      <c r="F205" s="651">
        <v>-0.46496999999999999</v>
      </c>
      <c r="G205" s="654">
        <v>0.325631</v>
      </c>
      <c r="H205" s="653">
        <v>0.31772600000000001</v>
      </c>
      <c r="I205" s="518" t="s">
        <v>384</v>
      </c>
      <c r="J205" s="817">
        <v>3.02</v>
      </c>
      <c r="K205" s="519" t="s">
        <v>385</v>
      </c>
      <c r="L205" s="162">
        <f t="shared" si="249"/>
        <v>8.2215374916829571</v>
      </c>
      <c r="M205" s="512">
        <f>Assy.Model!$M50</f>
        <v>4.1379999999999999</v>
      </c>
      <c r="N205" s="810">
        <f>Assy.Model!K50</f>
        <v>1913</v>
      </c>
      <c r="O205" s="575">
        <f t="shared" si="250"/>
        <v>-0.89689184788670662</v>
      </c>
      <c r="P205" s="572">
        <f t="shared" si="251"/>
        <v>-1.3005187563073359</v>
      </c>
      <c r="Q205" s="579">
        <f t="shared" si="252"/>
        <v>-0.51653437371106148</v>
      </c>
      <c r="R205" s="580">
        <f t="shared" si="253"/>
        <v>0.8230047600907987</v>
      </c>
      <c r="S205" s="572">
        <f t="shared" si="254"/>
        <v>-0.46560964667556826</v>
      </c>
      <c r="T205" s="579">
        <f t="shared" si="255"/>
        <v>0.32537728502085028</v>
      </c>
    </row>
    <row r="206" spans="2:43" ht="15" customHeight="1" x14ac:dyDescent="0.25">
      <c r="B206" s="650">
        <v>-1.318751</v>
      </c>
      <c r="C206" s="651">
        <v>-1.9057919999999999</v>
      </c>
      <c r="D206" s="652">
        <v>-0.22525800000000001</v>
      </c>
      <c r="E206" s="653">
        <v>0.81586800000000004</v>
      </c>
      <c r="F206" s="651">
        <v>-0.46068100000000001</v>
      </c>
      <c r="G206" s="654">
        <v>0.34947400000000001</v>
      </c>
      <c r="H206" s="653">
        <v>0.31711499999999998</v>
      </c>
      <c r="I206" s="518" t="s">
        <v>384</v>
      </c>
      <c r="J206" s="817">
        <v>3.03</v>
      </c>
      <c r="K206" s="519" t="s">
        <v>385</v>
      </c>
      <c r="L206" s="162">
        <f t="shared" si="249"/>
        <v>9.0793912924480065</v>
      </c>
      <c r="M206" s="512">
        <f>Assy.Model!$M51</f>
        <v>4.1429999999999998</v>
      </c>
      <c r="N206" s="810">
        <f>Assy.Model!K51</f>
        <v>1913</v>
      </c>
      <c r="O206" s="575">
        <f t="shared" si="250"/>
        <v>-1.3187047989920435</v>
      </c>
      <c r="P206" s="572">
        <f t="shared" si="251"/>
        <v>-1.9028518829516101</v>
      </c>
      <c r="Q206" s="579">
        <f t="shared" si="252"/>
        <v>-0.31097090209526335</v>
      </c>
      <c r="R206" s="580">
        <f t="shared" si="253"/>
        <v>0.81562043428076891</v>
      </c>
      <c r="S206" s="572">
        <f t="shared" si="254"/>
        <v>-0.46130963399927283</v>
      </c>
      <c r="T206" s="579">
        <f t="shared" si="255"/>
        <v>0.34922254025779476</v>
      </c>
    </row>
    <row r="207" spans="2:43" ht="15" customHeight="1" x14ac:dyDescent="0.25">
      <c r="B207" s="650">
        <v>-1.7457689999999999</v>
      </c>
      <c r="C207" s="651">
        <v>-2.5139879999999999</v>
      </c>
      <c r="D207" s="652">
        <v>-3.7227000000000003E-2</v>
      </c>
      <c r="E207" s="653">
        <v>0.81693099999999996</v>
      </c>
      <c r="F207" s="651">
        <v>-0.46734300000000001</v>
      </c>
      <c r="G207" s="654">
        <v>0.33795599999999998</v>
      </c>
      <c r="H207" s="653">
        <v>0.31692100000000001</v>
      </c>
      <c r="I207" s="518" t="s">
        <v>384</v>
      </c>
      <c r="J207" s="817">
        <v>3.04</v>
      </c>
      <c r="K207" s="519" t="s">
        <v>385</v>
      </c>
      <c r="L207" s="162">
        <f t="shared" si="249"/>
        <v>9.8755029267918832</v>
      </c>
      <c r="M207" s="512">
        <f>Assy.Model!$M52</f>
        <v>4.1479999999999997</v>
      </c>
      <c r="N207" s="810">
        <f>Assy.Model!K52</f>
        <v>1913</v>
      </c>
      <c r="O207" s="575">
        <f t="shared" si="250"/>
        <v>-1.7461636493676633</v>
      </c>
      <c r="P207" s="572">
        <f t="shared" si="251"/>
        <v>-2.510645580628398</v>
      </c>
      <c r="Q207" s="579">
        <f t="shared" si="252"/>
        <v>-0.12264098943949139</v>
      </c>
      <c r="R207" s="580">
        <f t="shared" si="253"/>
        <v>0.8166729057282397</v>
      </c>
      <c r="S207" s="572">
        <f t="shared" si="254"/>
        <v>-0.46797480553942117</v>
      </c>
      <c r="T207" s="579">
        <f t="shared" si="255"/>
        <v>0.33770540827137308</v>
      </c>
    </row>
    <row r="208" spans="2:43" ht="15" customHeight="1" x14ac:dyDescent="0.25">
      <c r="B208" s="650">
        <v>-2.1778729999999999</v>
      </c>
      <c r="C208" s="651">
        <v>-3.1267909999999999</v>
      </c>
      <c r="D208" s="652">
        <v>2.5739000000000001E-2</v>
      </c>
      <c r="E208" s="653">
        <v>0.76330799999999999</v>
      </c>
      <c r="F208" s="651">
        <v>-0.55887799999999999</v>
      </c>
      <c r="G208" s="654">
        <v>0.32406099999999999</v>
      </c>
      <c r="H208" s="653">
        <v>0.31398300000000001</v>
      </c>
      <c r="I208" s="518" t="s">
        <v>384</v>
      </c>
      <c r="J208" s="817">
        <v>3.05</v>
      </c>
      <c r="K208" s="519" t="s">
        <v>385</v>
      </c>
      <c r="L208" s="162">
        <f t="shared" si="249"/>
        <v>10.57550729056209</v>
      </c>
      <c r="M208" s="512">
        <f>Assy.Model!$M53</f>
        <v>4.1529999999999996</v>
      </c>
      <c r="N208" s="810">
        <f>Assy.Model!K53</f>
        <v>1913</v>
      </c>
      <c r="O208" s="575">
        <f t="shared" si="250"/>
        <v>-2.1787649115966894</v>
      </c>
      <c r="P208" s="572">
        <f t="shared" si="251"/>
        <v>-3.1230665249586442</v>
      </c>
      <c r="Q208" s="579">
        <f t="shared" si="252"/>
        <v>-5.9373022469599461E-2</v>
      </c>
      <c r="R208" s="580">
        <f t="shared" si="253"/>
        <v>0.76296584770864728</v>
      </c>
      <c r="S208" s="572">
        <f t="shared" si="254"/>
        <v>-0.55946665698950682</v>
      </c>
      <c r="T208" s="579">
        <f t="shared" si="255"/>
        <v>0.32385093548762672</v>
      </c>
    </row>
    <row r="209" spans="2:20" ht="15" customHeight="1" x14ac:dyDescent="0.25">
      <c r="B209" s="650">
        <v>-2.635392</v>
      </c>
      <c r="C209" s="651">
        <v>-3.7311450000000002</v>
      </c>
      <c r="D209" s="652">
        <v>-7.7637999999999999E-2</v>
      </c>
      <c r="E209" s="653">
        <v>0.68702399999999997</v>
      </c>
      <c r="F209" s="651">
        <v>-0.65316399999999997</v>
      </c>
      <c r="G209" s="654">
        <v>0.31839400000000001</v>
      </c>
      <c r="H209" s="653">
        <v>0.31181700000000001</v>
      </c>
      <c r="I209" s="518" t="s">
        <v>384</v>
      </c>
      <c r="J209" s="817">
        <v>3.06</v>
      </c>
      <c r="K209" s="519" t="s">
        <v>385</v>
      </c>
      <c r="L209" s="162">
        <f t="shared" si="249"/>
        <v>7.585094765985481</v>
      </c>
      <c r="M209" s="512">
        <f>Assy.Model!$M54</f>
        <v>5.109</v>
      </c>
      <c r="N209" s="810">
        <f>Assy.Model!K54</f>
        <v>1913</v>
      </c>
      <c r="O209" s="575">
        <f t="shared" si="250"/>
        <v>-2.6368437347702662</v>
      </c>
      <c r="P209" s="572">
        <f t="shared" si="251"/>
        <v>-3.7270494585050944</v>
      </c>
      <c r="Q209" s="579">
        <f t="shared" si="252"/>
        <v>-0.16243904281838281</v>
      </c>
      <c r="R209" s="580">
        <f t="shared" si="253"/>
        <v>0.68659890053243344</v>
      </c>
      <c r="S209" s="572">
        <f t="shared" si="254"/>
        <v>-0.65368851467504319</v>
      </c>
      <c r="T209" s="579">
        <f t="shared" si="255"/>
        <v>0.31823450830730088</v>
      </c>
    </row>
    <row r="210" spans="2:20" ht="15" customHeight="1" x14ac:dyDescent="0.25">
      <c r="B210" s="650">
        <v>-3.0793780000000002</v>
      </c>
      <c r="C210" s="651">
        <v>-4.271452</v>
      </c>
      <c r="D210" s="652">
        <v>-0.36909199999999998</v>
      </c>
      <c r="E210" s="653">
        <v>0.62980999999999998</v>
      </c>
      <c r="F210" s="651">
        <v>-0.73013300000000003</v>
      </c>
      <c r="G210" s="654">
        <v>0.26503900000000002</v>
      </c>
      <c r="H210" s="653">
        <v>0.31630599999999998</v>
      </c>
      <c r="I210" s="518" t="s">
        <v>384</v>
      </c>
      <c r="J210" s="817">
        <v>3.07</v>
      </c>
      <c r="K210" s="519" t="s">
        <v>385</v>
      </c>
      <c r="L210" s="162">
        <f t="shared" si="249"/>
        <v>9.1508935092366688</v>
      </c>
      <c r="M210" s="512">
        <f>Assy.Model!$M55</f>
        <v>5.1139999999999999</v>
      </c>
      <c r="N210" s="810">
        <f>Assy.Model!K55</f>
        <v>1913</v>
      </c>
      <c r="O210" s="575">
        <f t="shared" si="250"/>
        <v>-3.0814137258001533</v>
      </c>
      <c r="P210" s="572">
        <f t="shared" si="251"/>
        <v>-4.2670339765287792</v>
      </c>
      <c r="Q210" s="579">
        <f t="shared" si="252"/>
        <v>-0.45360033820534756</v>
      </c>
      <c r="R210" s="580">
        <f t="shared" si="253"/>
        <v>0.62929673952254828</v>
      </c>
      <c r="S210" s="572">
        <f t="shared" si="254"/>
        <v>-0.7306190622156632</v>
      </c>
      <c r="T210" s="579">
        <f t="shared" si="255"/>
        <v>0.26491867594300583</v>
      </c>
    </row>
    <row r="211" spans="2:20" ht="15" customHeight="1" x14ac:dyDescent="0.25">
      <c r="B211" s="650">
        <v>-3.4956649999999998</v>
      </c>
      <c r="C211" s="651">
        <v>-4.7348319999999999</v>
      </c>
      <c r="D211" s="652">
        <v>-0.80053700000000005</v>
      </c>
      <c r="E211" s="653">
        <v>0.54831399999999997</v>
      </c>
      <c r="F211" s="651">
        <v>-0.79958499999999999</v>
      </c>
      <c r="G211" s="654">
        <v>0.244981</v>
      </c>
      <c r="H211" s="653">
        <v>0.310363</v>
      </c>
      <c r="I211" s="518" t="s">
        <v>384</v>
      </c>
      <c r="J211" s="817">
        <v>3.08</v>
      </c>
      <c r="K211" s="519" t="s">
        <v>385</v>
      </c>
      <c r="L211" s="162">
        <f t="shared" si="249"/>
        <v>10.670461572396649</v>
      </c>
      <c r="M211" s="512">
        <f>Assy.Model!$M56</f>
        <v>5.1189999999999998</v>
      </c>
      <c r="N211" s="810">
        <f>Assy.Model!K56</f>
        <v>1913</v>
      </c>
      <c r="O211" s="575">
        <f t="shared" si="250"/>
        <v>-3.4982777038761448</v>
      </c>
      <c r="P211" s="572">
        <f t="shared" si="251"/>
        <v>-4.7301427383202448</v>
      </c>
      <c r="Q211" s="579">
        <f t="shared" si="252"/>
        <v>-0.8847793930406157</v>
      </c>
      <c r="R211" s="580">
        <f t="shared" si="253"/>
        <v>0.547732986715601</v>
      </c>
      <c r="S211" s="572">
        <f t="shared" si="254"/>
        <v>-0.80000530366097566</v>
      </c>
      <c r="T211" s="579">
        <f t="shared" si="255"/>
        <v>0.24490854325628905</v>
      </c>
    </row>
    <row r="212" spans="2:20" ht="15" customHeight="1" x14ac:dyDescent="0.25">
      <c r="B212" s="650">
        <v>-3.8439000000000001</v>
      </c>
      <c r="C212" s="651">
        <v>-5.0966930000000001</v>
      </c>
      <c r="D212" s="652">
        <v>-1.3731690000000001</v>
      </c>
      <c r="E212" s="653">
        <v>0.46595700000000001</v>
      </c>
      <c r="F212" s="651">
        <v>-0.86155099999999996</v>
      </c>
      <c r="G212" s="654">
        <v>0.20153099999999999</v>
      </c>
      <c r="H212" s="653">
        <v>0.31351099999999998</v>
      </c>
      <c r="I212" s="518" t="s">
        <v>384</v>
      </c>
      <c r="J212" s="817">
        <v>3.09</v>
      </c>
      <c r="K212" s="519" t="s">
        <v>385</v>
      </c>
      <c r="L212" s="162">
        <f t="shared" si="249"/>
        <v>12.101897441338471</v>
      </c>
      <c r="M212" s="512">
        <f>Assy.Model!$M57</f>
        <v>5.1239999999999997</v>
      </c>
      <c r="N212" s="810">
        <f>Assy.Model!K57</f>
        <v>1913</v>
      </c>
      <c r="O212" s="575">
        <f t="shared" si="250"/>
        <v>-3.8470621657180488</v>
      </c>
      <c r="P212" s="572">
        <f t="shared" si="251"/>
        <v>-5.0918184891888787</v>
      </c>
      <c r="Q212" s="579">
        <f t="shared" si="252"/>
        <v>-1.4571939773947036</v>
      </c>
      <c r="R212" s="580">
        <f t="shared" si="253"/>
        <v>0.46530481900317455</v>
      </c>
      <c r="S212" s="572">
        <f t="shared" si="254"/>
        <v>-0.86190941241316654</v>
      </c>
      <c r="T212" s="579">
        <f t="shared" si="255"/>
        <v>0.20150529922811741</v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5.1289999999999996</v>
      </c>
      <c r="N213" s="810">
        <f>Assy.Model!K58</f>
        <v>1913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>
        <v>-4.2457839999999996</v>
      </c>
      <c r="C214" s="651">
        <v>-5.4921709999999999</v>
      </c>
      <c r="D214" s="652">
        <v>-2.7493560000000001</v>
      </c>
      <c r="E214" s="653">
        <v>0.31563600000000003</v>
      </c>
      <c r="F214" s="651">
        <v>-0.945434</v>
      </c>
      <c r="G214" s="654">
        <v>8.0795000000000006E-2</v>
      </c>
      <c r="H214" s="653">
        <v>0.31162800000000002</v>
      </c>
      <c r="I214" s="518" t="s">
        <v>384</v>
      </c>
      <c r="J214" s="817">
        <v>3.11</v>
      </c>
      <c r="K214" s="519" t="s">
        <v>385</v>
      </c>
      <c r="L214" s="162">
        <f t="shared" si="249"/>
        <v>14.299648030952826</v>
      </c>
      <c r="M214" s="512">
        <f>Assy.Model!$M59</f>
        <v>5.1340000000000003</v>
      </c>
      <c r="N214" s="810">
        <f>Assy.Model!K59</f>
        <v>1913</v>
      </c>
      <c r="O214" s="575">
        <f t="shared" si="250"/>
        <v>-4.2498615035073763</v>
      </c>
      <c r="P214" s="572">
        <f t="shared" si="251"/>
        <v>-5.4872233957222223</v>
      </c>
      <c r="Q214" s="579">
        <f t="shared" si="252"/>
        <v>-2.8331343504759054</v>
      </c>
      <c r="R214" s="580">
        <f t="shared" si="253"/>
        <v>0.3148615173021333</v>
      </c>
      <c r="S214" s="572">
        <f t="shared" si="254"/>
        <v>-0.94568760552029152</v>
      </c>
      <c r="T214" s="579">
        <f t="shared" si="255"/>
        <v>8.08488872186649E-2</v>
      </c>
    </row>
    <row r="215" spans="2:20" ht="15" customHeight="1" x14ac:dyDescent="0.25">
      <c r="B215" s="650">
        <v>-4.3717319999999997</v>
      </c>
      <c r="C215" s="651">
        <v>-5.5619490000000003</v>
      </c>
      <c r="D215" s="652">
        <v>-3.4821240000000002</v>
      </c>
      <c r="E215" s="653">
        <v>0.270424</v>
      </c>
      <c r="F215" s="651">
        <v>-0.96172299999999999</v>
      </c>
      <c r="G215" s="654">
        <v>4.4273E-2</v>
      </c>
      <c r="H215" s="653">
        <v>0.31101000000000001</v>
      </c>
      <c r="I215" s="518" t="s">
        <v>384</v>
      </c>
      <c r="J215" s="817">
        <v>3.12</v>
      </c>
      <c r="K215" s="519" t="s">
        <v>385</v>
      </c>
      <c r="L215" s="162">
        <f t="shared" si="249"/>
        <v>15.00935571867727</v>
      </c>
      <c r="M215" s="512">
        <f>Assy.Model!$M60</f>
        <v>5.1390000000000002</v>
      </c>
      <c r="N215" s="810">
        <f>Assy.Model!K60</f>
        <v>1913</v>
      </c>
      <c r="O215" s="575">
        <f t="shared" si="250"/>
        <v>-4.3761765589453141</v>
      </c>
      <c r="P215" s="572">
        <f t="shared" si="251"/>
        <v>-5.5570378021230988</v>
      </c>
      <c r="Q215" s="579">
        <f t="shared" si="252"/>
        <v>-3.5658356983937347</v>
      </c>
      <c r="R215" s="580">
        <f t="shared" si="253"/>
        <v>0.26962028836453122</v>
      </c>
      <c r="S215" s="572">
        <f t="shared" si="254"/>
        <v>-0.96194512718568903</v>
      </c>
      <c r="T215" s="579">
        <f t="shared" si="255"/>
        <v>4.4349063349026656E-2</v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5.1440000000000001</v>
      </c>
      <c r="N216" s="810">
        <f>Assy.Model!K61</f>
        <v>1913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5.149</v>
      </c>
      <c r="N217" s="810">
        <f>Assy.Model!K62</f>
        <v>1913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5.1539999999999999</v>
      </c>
      <c r="N218" s="810">
        <f>Assy.Model!K63</f>
        <v>1913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>
        <v>-2.9037929999999998</v>
      </c>
      <c r="C225" s="651">
        <v>0.50139299999999998</v>
      </c>
      <c r="D225" s="652">
        <v>-6.5962999999999994E-2</v>
      </c>
      <c r="E225" s="653">
        <v>-0.104643</v>
      </c>
      <c r="F225" s="651">
        <v>-0.94192500000000001</v>
      </c>
      <c r="G225" s="654">
        <v>0.319104</v>
      </c>
      <c r="H225" s="653">
        <v>0.31001299999999998</v>
      </c>
      <c r="I225" s="518" t="s">
        <v>384</v>
      </c>
      <c r="J225" s="817">
        <v>4.01</v>
      </c>
      <c r="K225" s="519" t="s">
        <v>385</v>
      </c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>
        <f t="shared" si="250"/>
        <v>-2.9016213686498227</v>
      </c>
      <c r="P225" s="572">
        <f t="shared" si="251"/>
        <v>0.50571868379139318</v>
      </c>
      <c r="Q225" s="579">
        <f t="shared" si="252"/>
        <v>-0.15148541204635757</v>
      </c>
      <c r="R225" s="580">
        <f t="shared" si="253"/>
        <v>-0.10531430088352944</v>
      </c>
      <c r="S225" s="572">
        <f t="shared" si="254"/>
        <v>-0.94177241196031547</v>
      </c>
      <c r="T225" s="579">
        <f t="shared" si="255"/>
        <v>0.31933344326873053</v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>
        <v>-4.3711739999999999</v>
      </c>
      <c r="C227" s="651">
        <v>0.77805800000000003</v>
      </c>
      <c r="D227" s="652">
        <v>-6.1844999999999997E-2</v>
      </c>
      <c r="E227" s="653">
        <v>-0.28615699999999999</v>
      </c>
      <c r="F227" s="651">
        <v>-0.90880099999999997</v>
      </c>
      <c r="G227" s="654">
        <v>0.30363699999999999</v>
      </c>
      <c r="H227" s="653">
        <v>0.31625700000000001</v>
      </c>
      <c r="I227" s="518" t="s">
        <v>384</v>
      </c>
      <c r="J227" s="817">
        <v>4.03</v>
      </c>
      <c r="K227" s="519" t="s">
        <v>385</v>
      </c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>
        <f t="shared" si="250"/>
        <v>-4.368763457840017</v>
      </c>
      <c r="P227" s="572">
        <f t="shared" si="251"/>
        <v>0.78363895473004408</v>
      </c>
      <c r="Q227" s="579">
        <f t="shared" si="252"/>
        <v>-0.14680647648171022</v>
      </c>
      <c r="R227" s="580">
        <f t="shared" si="253"/>
        <v>-0.28680639102612865</v>
      </c>
      <c r="S227" s="572">
        <f t="shared" si="254"/>
        <v>-0.90849627751524864</v>
      </c>
      <c r="T227" s="579">
        <f t="shared" si="255"/>
        <v>0.30393604890914783</v>
      </c>
    </row>
    <row r="228" spans="2:20" ht="15" customHeight="1" x14ac:dyDescent="0.25">
      <c r="B228" s="650">
        <v>-5.0632380000000001</v>
      </c>
      <c r="C228" s="651">
        <v>0.95053900000000002</v>
      </c>
      <c r="D228" s="652">
        <v>-0.31500899999999998</v>
      </c>
      <c r="E228" s="653">
        <v>-0.37204999999999999</v>
      </c>
      <c r="F228" s="651">
        <v>-0.88737999999999995</v>
      </c>
      <c r="G228" s="654">
        <v>0.27228000000000002</v>
      </c>
      <c r="H228" s="653">
        <v>0.31784899999999999</v>
      </c>
      <c r="I228" s="518" t="s">
        <v>384</v>
      </c>
      <c r="J228" s="817">
        <v>4.04</v>
      </c>
      <c r="K228" s="519" t="s">
        <v>385</v>
      </c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>
        <f t="shared" ref="O228:O259" si="256">IF(ISBLANK($J228),"",(($BM$3*$B228)+($BN$3*$C228)+($BO$3*$D228))+$BP$3)</f>
        <v>-5.0607859165092277</v>
      </c>
      <c r="P228" s="572">
        <f t="shared" ref="P228:P259" si="257">IF(ISBLANK($J228),"",(($BM$4*$B228)+($BN$4*$C228)+($BO$4*$D228))+$BP$4)</f>
        <v>0.95666179236297</v>
      </c>
      <c r="Q228" s="579">
        <f t="shared" ref="Q228:Q259" si="258">IF(ISBLANK($J228),"",(($BM$5*$B228)+($BN$5*$C228)+($BO$5*$D228))+$BP$5)</f>
        <v>-0.39971416855111336</v>
      </c>
      <c r="R228" s="580">
        <f t="shared" ref="R228:R259" si="259">IF(ISBLANK($J228),"",(($BM$3*$E228)+($BN$3*$F228)+($BO$3*$G228)))</f>
        <v>-0.37269419652398572</v>
      </c>
      <c r="S228" s="572">
        <f t="shared" ref="S228:S259" si="260">IF(ISBLANK($J228),"",(($BM$4*$E228)+($BN$4*$F228)+($BO$4*$G228)))</f>
        <v>-0.887008016824545</v>
      </c>
      <c r="T228" s="579">
        <f t="shared" ref="T228:T259" si="261">IF(ISBLANK($J228),"",(($BM$5*$E228)+($BN$5*$F228)+($BO$5*$G228)))</f>
        <v>0.27261085683869718</v>
      </c>
    </row>
    <row r="229" spans="2:20" ht="15" customHeight="1" x14ac:dyDescent="0.25">
      <c r="B229" s="650">
        <v>-5.6711159999999996</v>
      </c>
      <c r="C229" s="651">
        <v>1.144109</v>
      </c>
      <c r="D229" s="652">
        <v>-0.72431800000000002</v>
      </c>
      <c r="E229" s="653">
        <v>-0.47131499999999998</v>
      </c>
      <c r="F229" s="651">
        <v>-0.84468200000000004</v>
      </c>
      <c r="G229" s="654">
        <v>0.25372</v>
      </c>
      <c r="H229" s="653">
        <v>0.31339</v>
      </c>
      <c r="I229" s="518" t="s">
        <v>384</v>
      </c>
      <c r="J229" s="817">
        <v>4.05</v>
      </c>
      <c r="K229" s="519" t="s">
        <v>385</v>
      </c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>
        <f t="shared" si="256"/>
        <v>-5.6686699010854644</v>
      </c>
      <c r="P229" s="572">
        <f t="shared" si="257"/>
        <v>1.1506709359533618</v>
      </c>
      <c r="Q229" s="579">
        <f t="shared" si="258"/>
        <v>-0.80880630825076516</v>
      </c>
      <c r="R229" s="580">
        <f t="shared" si="259"/>
        <v>-0.47193043704828003</v>
      </c>
      <c r="S229" s="572">
        <f t="shared" si="260"/>
        <v>-0.84422881484197354</v>
      </c>
      <c r="T229" s="579">
        <f t="shared" si="261"/>
        <v>0.25408407964084756</v>
      </c>
    </row>
    <row r="230" spans="2:20" ht="15" customHeight="1" x14ac:dyDescent="0.25">
      <c r="B230" s="650">
        <v>-6.1739389999999998</v>
      </c>
      <c r="C230" s="651">
        <v>1.30016</v>
      </c>
      <c r="D230" s="652">
        <v>-1.269212</v>
      </c>
      <c r="E230" s="653">
        <v>-0.56967400000000001</v>
      </c>
      <c r="F230" s="651">
        <v>-0.791991</v>
      </c>
      <c r="G230" s="654">
        <v>0.21959500000000001</v>
      </c>
      <c r="H230" s="653">
        <v>0.31158000000000002</v>
      </c>
      <c r="I230" s="518" t="s">
        <v>384</v>
      </c>
      <c r="J230" s="817">
        <v>4.0599999999999996</v>
      </c>
      <c r="K230" s="519" t="s">
        <v>385</v>
      </c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>
        <f t="shared" si="256"/>
        <v>-6.1715878975888732</v>
      </c>
      <c r="P230" s="572">
        <f t="shared" si="257"/>
        <v>1.3070446092552626</v>
      </c>
      <c r="Q230" s="579">
        <f t="shared" si="258"/>
        <v>-1.3535201030614603</v>
      </c>
      <c r="R230" s="580">
        <f t="shared" si="259"/>
        <v>-0.57025866596507802</v>
      </c>
      <c r="S230" s="572">
        <f t="shared" si="260"/>
        <v>-0.79146045251079811</v>
      </c>
      <c r="T230" s="579">
        <f t="shared" si="261"/>
        <v>0.21998995519144179</v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>
        <v>-6.7411640000000004</v>
      </c>
      <c r="C232" s="651">
        <v>1.526219</v>
      </c>
      <c r="D232" s="652">
        <v>-2.6299070000000002</v>
      </c>
      <c r="E232" s="653">
        <v>-0.71851200000000004</v>
      </c>
      <c r="F232" s="651">
        <v>-0.68621799999999999</v>
      </c>
      <c r="G232" s="654">
        <v>0.113332</v>
      </c>
      <c r="H232" s="653">
        <v>0.31289899999999998</v>
      </c>
      <c r="I232" s="518" t="s">
        <v>384</v>
      </c>
      <c r="J232" s="817">
        <v>4.08</v>
      </c>
      <c r="K232" s="519" t="s">
        <v>385</v>
      </c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>
        <f t="shared" si="256"/>
        <v>-6.7391903156666046</v>
      </c>
      <c r="P232" s="572">
        <f t="shared" si="257"/>
        <v>1.5333208720652827</v>
      </c>
      <c r="Q232" s="579">
        <f t="shared" si="258"/>
        <v>-2.7140215925909805</v>
      </c>
      <c r="R232" s="580">
        <f t="shared" si="259"/>
        <v>-0.71905076102196741</v>
      </c>
      <c r="S232" s="572">
        <f t="shared" si="260"/>
        <v>-0.68558114008754101</v>
      </c>
      <c r="T232" s="579">
        <f t="shared" si="261"/>
        <v>0.11376855155093288</v>
      </c>
    </row>
    <row r="233" spans="2:20" ht="15" customHeight="1" x14ac:dyDescent="0.25">
      <c r="B233" s="650">
        <v>-6.8862569999999996</v>
      </c>
      <c r="C233" s="651">
        <v>1.6271420000000001</v>
      </c>
      <c r="D233" s="652">
        <v>-3.3500969999999999</v>
      </c>
      <c r="E233" s="653">
        <v>-0.77515000000000001</v>
      </c>
      <c r="F233" s="651">
        <v>-0.62950700000000004</v>
      </c>
      <c r="G233" s="654">
        <v>5.3513999999999999E-2</v>
      </c>
      <c r="H233" s="653">
        <v>0.29449199999999998</v>
      </c>
      <c r="I233" s="518" t="s">
        <v>384</v>
      </c>
      <c r="J233" s="817">
        <v>4.09</v>
      </c>
      <c r="K233" s="519" t="s">
        <v>385</v>
      </c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>
        <f t="shared" si="256"/>
        <v>-6.8844991546258569</v>
      </c>
      <c r="P233" s="572">
        <f t="shared" si="257"/>
        <v>1.6342262421274933</v>
      </c>
      <c r="Q233" s="579">
        <f t="shared" si="258"/>
        <v>-3.4341705454409599</v>
      </c>
      <c r="R233" s="580">
        <f t="shared" si="259"/>
        <v>-0.77566535266488545</v>
      </c>
      <c r="S233" s="572">
        <f t="shared" si="260"/>
        <v>-0.62883350262722015</v>
      </c>
      <c r="T233" s="579">
        <f t="shared" si="261"/>
        <v>5.3963139214108197E-2</v>
      </c>
    </row>
    <row r="234" spans="2:20" ht="15" customHeight="1" x14ac:dyDescent="0.25">
      <c r="B234" s="650">
        <v>-6.9629219999999998</v>
      </c>
      <c r="C234" s="651">
        <v>1.658371</v>
      </c>
      <c r="D234" s="652">
        <v>-4.126118</v>
      </c>
      <c r="E234" s="653">
        <v>-0.79137900000000005</v>
      </c>
      <c r="F234" s="651">
        <v>-0.61130600000000002</v>
      </c>
      <c r="G234" s="654">
        <v>-4.9789999999999999E-3</v>
      </c>
      <c r="H234" s="653">
        <v>0.32057099999999999</v>
      </c>
      <c r="I234" s="518" t="s">
        <v>384</v>
      </c>
      <c r="J234" s="817">
        <v>4.0999999999999996</v>
      </c>
      <c r="K234" s="519" t="s">
        <v>385</v>
      </c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>
        <f t="shared" si="256"/>
        <v>-6.9614630311549748</v>
      </c>
      <c r="P234" s="572">
        <f t="shared" si="257"/>
        <v>1.6653681546818475</v>
      </c>
      <c r="Q234" s="579">
        <f t="shared" si="258"/>
        <v>-4.2101654604365857</v>
      </c>
      <c r="R234" s="580">
        <f t="shared" si="259"/>
        <v>-0.79190332841272681</v>
      </c>
      <c r="S234" s="572">
        <f t="shared" si="260"/>
        <v>-0.61063013826069168</v>
      </c>
      <c r="T234" s="579">
        <f t="shared" si="261"/>
        <v>-4.5266339120710458E-3</v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>
        <v>-0.26514500000000002</v>
      </c>
      <c r="C242" s="651">
        <v>0.52879900000000002</v>
      </c>
      <c r="D242" s="652">
        <v>-0.68401299999999998</v>
      </c>
      <c r="E242" s="653">
        <v>-0.83347800000000005</v>
      </c>
      <c r="F242" s="651">
        <v>-0.45685900000000002</v>
      </c>
      <c r="G242" s="654">
        <v>0.31079699999999999</v>
      </c>
      <c r="H242" s="653">
        <v>0.30177700000000002</v>
      </c>
      <c r="I242" s="518" t="s">
        <v>384</v>
      </c>
      <c r="J242" s="817">
        <v>5.01</v>
      </c>
      <c r="K242" s="519" t="s">
        <v>385</v>
      </c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>
        <f t="shared" si="256"/>
        <v>-0.26321046202491821</v>
      </c>
      <c r="P242" s="572">
        <f t="shared" si="257"/>
        <v>0.53074715372429115</v>
      </c>
      <c r="Q242" s="579">
        <f t="shared" si="258"/>
        <v>-0.77064744474504265</v>
      </c>
      <c r="R242" s="580">
        <f t="shared" si="259"/>
        <v>-0.83373777883173883</v>
      </c>
      <c r="S242" s="572">
        <f t="shared" si="260"/>
        <v>-0.45608509993677249</v>
      </c>
      <c r="T242" s="579">
        <f t="shared" si="261"/>
        <v>0.31123655848627924</v>
      </c>
    </row>
    <row r="243" spans="2:20" x14ac:dyDescent="0.25">
      <c r="B243" s="650">
        <v>-0.57634799999999997</v>
      </c>
      <c r="C243" s="651">
        <v>1.196904</v>
      </c>
      <c r="D243" s="652">
        <v>-0.48774000000000001</v>
      </c>
      <c r="E243" s="653">
        <v>-0.82217600000000002</v>
      </c>
      <c r="F243" s="651">
        <v>-0.46746300000000002</v>
      </c>
      <c r="G243" s="654">
        <v>0.32481399999999999</v>
      </c>
      <c r="H243" s="653">
        <v>0.30851699999999999</v>
      </c>
      <c r="I243" s="518" t="s">
        <v>384</v>
      </c>
      <c r="J243" s="817">
        <v>5.0199999999999996</v>
      </c>
      <c r="K243" s="519" t="s">
        <v>385</v>
      </c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>
        <f t="shared" si="256"/>
        <v>-0.5737598123319444</v>
      </c>
      <c r="P243" s="572">
        <f t="shared" si="257"/>
        <v>1.1991565674521976</v>
      </c>
      <c r="Q243" s="579">
        <f t="shared" si="258"/>
        <v>-0.5743755786337712</v>
      </c>
      <c r="R243" s="580">
        <f t="shared" si="259"/>
        <v>-0.82243896783261583</v>
      </c>
      <c r="S243" s="572">
        <f t="shared" si="260"/>
        <v>-0.46669600197901168</v>
      </c>
      <c r="T243" s="579">
        <f t="shared" si="261"/>
        <v>0.32525090602214773</v>
      </c>
    </row>
    <row r="244" spans="2:20" x14ac:dyDescent="0.25">
      <c r="B244" s="650">
        <v>-0.89072200000000001</v>
      </c>
      <c r="C244" s="651">
        <v>1.8773629999999999</v>
      </c>
      <c r="D244" s="652">
        <v>-0.28728500000000001</v>
      </c>
      <c r="E244" s="653">
        <v>-0.82179999999999997</v>
      </c>
      <c r="F244" s="651">
        <v>-0.46466800000000003</v>
      </c>
      <c r="G244" s="654">
        <v>0.329739</v>
      </c>
      <c r="H244" s="653">
        <v>0.30957400000000002</v>
      </c>
      <c r="I244" s="518" t="s">
        <v>384</v>
      </c>
      <c r="J244" s="817">
        <v>5.03</v>
      </c>
      <c r="K244" s="519" t="s">
        <v>385</v>
      </c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>
        <f t="shared" si="256"/>
        <v>-0.88746784520110733</v>
      </c>
      <c r="P244" s="572">
        <f t="shared" si="257"/>
        <v>1.8799235100205622</v>
      </c>
      <c r="Q244" s="579">
        <f t="shared" si="258"/>
        <v>-0.37392281711255632</v>
      </c>
      <c r="R244" s="580">
        <f t="shared" si="259"/>
        <v>-0.82205851212363501</v>
      </c>
      <c r="S244" s="572">
        <f t="shared" si="260"/>
        <v>-0.46390035591302575</v>
      </c>
      <c r="T244" s="579">
        <f t="shared" si="261"/>
        <v>0.33017519709064092</v>
      </c>
    </row>
    <row r="245" spans="2:20" x14ac:dyDescent="0.25">
      <c r="B245" s="650">
        <v>-1.2127300000000001</v>
      </c>
      <c r="C245" s="651">
        <v>2.5480550000000002</v>
      </c>
      <c r="D245" s="652">
        <v>-8.9012999999999995E-2</v>
      </c>
      <c r="E245" s="653">
        <v>-0.84149700000000005</v>
      </c>
      <c r="F245" s="651">
        <v>-0.41964600000000002</v>
      </c>
      <c r="G245" s="654">
        <v>0.34026499999999998</v>
      </c>
      <c r="H245" s="653">
        <v>0.30934</v>
      </c>
      <c r="I245" s="518" t="s">
        <v>384</v>
      </c>
      <c r="J245" s="817">
        <v>5.04</v>
      </c>
      <c r="K245" s="519" t="s">
        <v>385</v>
      </c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>
        <f t="shared" si="256"/>
        <v>-1.2088191402584541</v>
      </c>
      <c r="P245" s="572">
        <f t="shared" si="257"/>
        <v>2.5509295538571859</v>
      </c>
      <c r="Q245" s="579">
        <f t="shared" si="258"/>
        <v>-0.17564792911185842</v>
      </c>
      <c r="R245" s="580">
        <f t="shared" si="259"/>
        <v>-0.84171259785052432</v>
      </c>
      <c r="S245" s="572">
        <f t="shared" si="260"/>
        <v>-0.41885946271280866</v>
      </c>
      <c r="T245" s="579">
        <f t="shared" si="261"/>
        <v>0.3407005865355372</v>
      </c>
    </row>
    <row r="246" spans="2:20" x14ac:dyDescent="0.25">
      <c r="B246" s="650">
        <v>-1.52518</v>
      </c>
      <c r="C246" s="651">
        <v>3.2276370000000001</v>
      </c>
      <c r="D246" s="652">
        <v>4.0968999999999998E-2</v>
      </c>
      <c r="E246" s="653">
        <v>-0.86076299999999994</v>
      </c>
      <c r="F246" s="651">
        <v>-0.37351200000000001</v>
      </c>
      <c r="G246" s="654">
        <v>0.34579700000000002</v>
      </c>
      <c r="H246" s="653">
        <v>0.31204599999999999</v>
      </c>
      <c r="I246" s="518" t="s">
        <v>384</v>
      </c>
      <c r="J246" s="817">
        <v>5.05</v>
      </c>
      <c r="K246" s="519" t="s">
        <v>385</v>
      </c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>
        <f t="shared" si="256"/>
        <v>-1.5206334933154753</v>
      </c>
      <c r="P246" s="572">
        <f t="shared" si="257"/>
        <v>3.230803991721046</v>
      </c>
      <c r="Q246" s="579">
        <f t="shared" si="258"/>
        <v>-4.5668794190397426E-2</v>
      </c>
      <c r="R246" s="580">
        <f t="shared" si="259"/>
        <v>-0.86093682855662956</v>
      </c>
      <c r="S246" s="572">
        <f t="shared" si="260"/>
        <v>-0.37270792061369606</v>
      </c>
      <c r="T246" s="579">
        <f t="shared" si="261"/>
        <v>0.34623157664873316</v>
      </c>
    </row>
    <row r="247" spans="2:20" x14ac:dyDescent="0.25">
      <c r="B247" s="650">
        <v>-1.816295</v>
      </c>
      <c r="C247" s="651">
        <v>3.9049399999999999</v>
      </c>
      <c r="D247" s="652">
        <v>-2.546E-2</v>
      </c>
      <c r="E247" s="653">
        <v>-0.89914400000000005</v>
      </c>
      <c r="F247" s="651">
        <v>-0.31381300000000001</v>
      </c>
      <c r="G247" s="654">
        <v>0.30506100000000003</v>
      </c>
      <c r="H247" s="653">
        <v>0.30829200000000001</v>
      </c>
      <c r="I247" s="518" t="s">
        <v>384</v>
      </c>
      <c r="J247" s="817">
        <v>5.0599999999999996</v>
      </c>
      <c r="K247" s="519" t="s">
        <v>385</v>
      </c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>
        <f t="shared" si="256"/>
        <v>-1.8111972159056375</v>
      </c>
      <c r="P247" s="572">
        <f t="shared" si="257"/>
        <v>3.908342561085691</v>
      </c>
      <c r="Q247" s="579">
        <f t="shared" si="258"/>
        <v>-0.11210913745303963</v>
      </c>
      <c r="R247" s="580">
        <f t="shared" si="259"/>
        <v>-0.89928386750722689</v>
      </c>
      <c r="S247" s="572">
        <f t="shared" si="260"/>
        <v>-0.31298414060161878</v>
      </c>
      <c r="T247" s="579">
        <f t="shared" si="261"/>
        <v>0.30549991620147926</v>
      </c>
    </row>
    <row r="248" spans="2:20" x14ac:dyDescent="0.25">
      <c r="B248" s="650">
        <v>-2.0859399999999999</v>
      </c>
      <c r="C248" s="651">
        <v>4.5763699999999998</v>
      </c>
      <c r="D248" s="652">
        <v>-0.25759199999999999</v>
      </c>
      <c r="E248" s="653">
        <v>-0.93022000000000005</v>
      </c>
      <c r="F248" s="651">
        <v>-0.23039100000000001</v>
      </c>
      <c r="G248" s="654">
        <v>0.28567599999999999</v>
      </c>
      <c r="H248" s="653">
        <v>0.31792399999999998</v>
      </c>
      <c r="I248" s="518" t="s">
        <v>384</v>
      </c>
      <c r="J248" s="817">
        <v>5.07</v>
      </c>
      <c r="K248" s="519" t="s">
        <v>385</v>
      </c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>
        <f t="shared" si="256"/>
        <v>-2.0803654958693722</v>
      </c>
      <c r="P248" s="572">
        <f t="shared" si="257"/>
        <v>4.57995718732254</v>
      </c>
      <c r="Q248" s="579">
        <f t="shared" si="258"/>
        <v>-0.34426031068957913</v>
      </c>
      <c r="R248" s="580">
        <f t="shared" si="259"/>
        <v>-0.9302966706540714</v>
      </c>
      <c r="S248" s="572">
        <f t="shared" si="260"/>
        <v>-0.22953941613075726</v>
      </c>
      <c r="T248" s="579">
        <f t="shared" si="261"/>
        <v>0.28611151544336927</v>
      </c>
    </row>
    <row r="249" spans="2:20" x14ac:dyDescent="0.25">
      <c r="B249" s="650">
        <v>-2.296214</v>
      </c>
      <c r="C249" s="651">
        <v>5.2003370000000002</v>
      </c>
      <c r="D249" s="652">
        <v>-0.64753300000000003</v>
      </c>
      <c r="E249" s="653">
        <v>-0.96146100000000001</v>
      </c>
      <c r="F249" s="651">
        <v>-0.11315699999999999</v>
      </c>
      <c r="G249" s="654">
        <v>0.25057400000000002</v>
      </c>
      <c r="H249" s="653">
        <v>0.31893500000000002</v>
      </c>
      <c r="I249" s="518" t="s">
        <v>384</v>
      </c>
      <c r="J249" s="817">
        <v>5.08</v>
      </c>
      <c r="K249" s="519" t="s">
        <v>385</v>
      </c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>
        <f t="shared" si="256"/>
        <v>-2.2902695929600076</v>
      </c>
      <c r="P249" s="572">
        <f t="shared" si="257"/>
        <v>5.204027034728723</v>
      </c>
      <c r="Q249" s="579">
        <f t="shared" si="258"/>
        <v>-0.73423601663674265</v>
      </c>
      <c r="R249" s="580">
        <f t="shared" si="259"/>
        <v>-0.96145216290897983</v>
      </c>
      <c r="S249" s="572">
        <f t="shared" si="260"/>
        <v>-0.11228565469822906</v>
      </c>
      <c r="T249" s="579">
        <f t="shared" si="261"/>
        <v>0.25099952357053329</v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>
        <v>-2.56006</v>
      </c>
      <c r="C251" s="651">
        <v>6.1315929999999996</v>
      </c>
      <c r="D251" s="652">
        <v>-1.772783</v>
      </c>
      <c r="E251" s="653">
        <v>-0.98504899999999995</v>
      </c>
      <c r="F251" s="651">
        <v>6.1066000000000002E-2</v>
      </c>
      <c r="G251" s="654">
        <v>0.16108700000000001</v>
      </c>
      <c r="H251" s="653">
        <v>0.27083499999999999</v>
      </c>
      <c r="I251" s="518" t="s">
        <v>384</v>
      </c>
      <c r="J251" s="817">
        <v>5.0999999999999996</v>
      </c>
      <c r="K251" s="519" t="s">
        <v>385</v>
      </c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>
        <f t="shared" si="256"/>
        <v>-2.553791494443856</v>
      </c>
      <c r="P251" s="572">
        <f t="shared" si="257"/>
        <v>6.1352869515372621</v>
      </c>
      <c r="Q251" s="579">
        <f t="shared" si="258"/>
        <v>-1.8595587199250434</v>
      </c>
      <c r="R251" s="580">
        <f t="shared" si="259"/>
        <v>-0.98492875868227203</v>
      </c>
      <c r="S251" s="572">
        <f t="shared" si="260"/>
        <v>6.1939845697278305E-2</v>
      </c>
      <c r="T251" s="579">
        <f t="shared" si="261"/>
        <v>0.1614880991330207</v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>
        <v>-2.6130089999999999</v>
      </c>
      <c r="C253" s="651">
        <v>6.5470689999999996</v>
      </c>
      <c r="D253" s="652">
        <v>-3.2264919999999999</v>
      </c>
      <c r="E253" s="653">
        <v>-0.96496199999999999</v>
      </c>
      <c r="F253" s="651">
        <v>0.25664799999999999</v>
      </c>
      <c r="G253" s="654">
        <v>5.459E-2</v>
      </c>
      <c r="H253" s="653">
        <v>0.30204599999999998</v>
      </c>
      <c r="I253" s="518" t="s">
        <v>384</v>
      </c>
      <c r="J253" s="817">
        <v>5.12</v>
      </c>
      <c r="K253" s="519" t="s">
        <v>385</v>
      </c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>
        <f t="shared" si="256"/>
        <v>-2.6069952429028973</v>
      </c>
      <c r="P253" s="572">
        <f t="shared" si="257"/>
        <v>6.5505221573639423</v>
      </c>
      <c r="Q253" s="579">
        <f t="shared" si="258"/>
        <v>-3.3133272176061501</v>
      </c>
      <c r="R253" s="580">
        <f t="shared" si="259"/>
        <v>-0.96471925188866614</v>
      </c>
      <c r="S253" s="572">
        <f t="shared" si="260"/>
        <v>0.25748365164155307</v>
      </c>
      <c r="T253" s="579">
        <f t="shared" si="261"/>
        <v>5.4944150013481276E-2</v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>
        <v>1.9732810000000001</v>
      </c>
      <c r="C262" s="651">
        <v>2.8333490000000001</v>
      </c>
      <c r="D262" s="652">
        <v>1.8769000000000001E-2</v>
      </c>
      <c r="E262" s="653">
        <v>-0.77812400000000004</v>
      </c>
      <c r="F262" s="651">
        <v>0.54872699999999996</v>
      </c>
      <c r="G262" s="654">
        <v>0.30564999999999998</v>
      </c>
      <c r="H262" s="653">
        <v>0.30418899999999999</v>
      </c>
      <c r="I262" s="518" t="s">
        <v>384</v>
      </c>
      <c r="J262" s="817">
        <v>6.01</v>
      </c>
      <c r="K262" s="519" t="s">
        <v>385</v>
      </c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>
        <f t="shared" si="263"/>
        <v>1.977479533430913</v>
      </c>
      <c r="P262" s="572">
        <f t="shared" si="264"/>
        <v>2.8335206962770512</v>
      </c>
      <c r="Q262" s="579">
        <f t="shared" si="265"/>
        <v>-6.9258426094789383E-2</v>
      </c>
      <c r="R262" s="580">
        <f t="shared" si="266"/>
        <v>-0.77752630019375191</v>
      </c>
      <c r="S262" s="572">
        <f t="shared" si="267"/>
        <v>0.54945217477580721</v>
      </c>
      <c r="T262" s="579">
        <f t="shared" si="268"/>
        <v>0.30586821107488693</v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>
        <v>2.86924</v>
      </c>
      <c r="C264" s="651">
        <v>4.0160299999999998</v>
      </c>
      <c r="D264" s="652">
        <v>-0.191083</v>
      </c>
      <c r="E264" s="653">
        <v>-0.67348200000000003</v>
      </c>
      <c r="F264" s="651">
        <v>0.683145</v>
      </c>
      <c r="G264" s="654">
        <v>0.28237299999999999</v>
      </c>
      <c r="H264" s="653">
        <v>0.294456</v>
      </c>
      <c r="I264" s="518" t="s">
        <v>384</v>
      </c>
      <c r="J264" s="817">
        <v>6.03</v>
      </c>
      <c r="K264" s="519" t="s">
        <v>385</v>
      </c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>
        <f t="shared" si="263"/>
        <v>2.8743611356567511</v>
      </c>
      <c r="P264" s="572">
        <f t="shared" si="264"/>
        <v>4.0153939505574341</v>
      </c>
      <c r="Q264" s="579">
        <f t="shared" si="265"/>
        <v>-0.2797192104502344</v>
      </c>
      <c r="R264" s="580">
        <f t="shared" si="266"/>
        <v>-0.67277920204909269</v>
      </c>
      <c r="S264" s="572">
        <f t="shared" si="267"/>
        <v>0.68377607928352802</v>
      </c>
      <c r="T264" s="579">
        <f t="shared" si="268"/>
        <v>0.28252084023631363</v>
      </c>
    </row>
    <row r="265" spans="2:20" x14ac:dyDescent="0.25">
      <c r="B265" s="650">
        <v>3.2957839999999998</v>
      </c>
      <c r="C265" s="651">
        <v>4.5128329999999997</v>
      </c>
      <c r="D265" s="652">
        <v>-0.56398800000000004</v>
      </c>
      <c r="E265" s="653">
        <v>-0.59652899999999998</v>
      </c>
      <c r="F265" s="651">
        <v>0.76397199999999998</v>
      </c>
      <c r="G265" s="654">
        <v>0.24596699999999999</v>
      </c>
      <c r="H265" s="653">
        <v>0.30808099999999999</v>
      </c>
      <c r="I265" s="518" t="s">
        <v>384</v>
      </c>
      <c r="J265" s="817">
        <v>6.04</v>
      </c>
      <c r="K265" s="519" t="s">
        <v>385</v>
      </c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>
        <f t="shared" si="263"/>
        <v>3.301173186923775</v>
      </c>
      <c r="P265" s="572">
        <f t="shared" si="264"/>
        <v>4.5117587367843068</v>
      </c>
      <c r="Q265" s="579">
        <f t="shared" si="265"/>
        <v>-0.65290095659704894</v>
      </c>
      <c r="R265" s="580">
        <f t="shared" si="266"/>
        <v>-0.59577241441135886</v>
      </c>
      <c r="S265" s="572">
        <f t="shared" si="267"/>
        <v>0.76453009558444807</v>
      </c>
      <c r="T265" s="579">
        <f t="shared" si="268"/>
        <v>0.24606664318045049</v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>
        <v>4.1936499999999999</v>
      </c>
      <c r="C268" s="651">
        <v>5.4245210000000004</v>
      </c>
      <c r="D268" s="652">
        <v>-2.3819119999999998</v>
      </c>
      <c r="E268" s="653">
        <v>-0.33127299999999998</v>
      </c>
      <c r="F268" s="651">
        <v>0.93345400000000001</v>
      </c>
      <c r="G268" s="654">
        <v>0.13755999999999999</v>
      </c>
      <c r="H268" s="653">
        <v>0.30095899999999998</v>
      </c>
      <c r="I268" s="518" t="s">
        <v>384</v>
      </c>
      <c r="J268" s="817">
        <v>6.07</v>
      </c>
      <c r="K268" s="519" t="s">
        <v>385</v>
      </c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>
        <f t="shared" si="263"/>
        <v>4.1990553929796599</v>
      </c>
      <c r="P268" s="572">
        <f t="shared" si="264"/>
        <v>5.4223212018919726</v>
      </c>
      <c r="Q268" s="579">
        <f t="shared" si="265"/>
        <v>-2.4713809741560189</v>
      </c>
      <c r="R268" s="580">
        <f t="shared" si="266"/>
        <v>-0.33041713277537377</v>
      </c>
      <c r="S268" s="572">
        <f t="shared" si="267"/>
        <v>0.93376392365904903</v>
      </c>
      <c r="T268" s="579">
        <f t="shared" si="268"/>
        <v>0.13751500822222651</v>
      </c>
    </row>
    <row r="269" spans="2:20" x14ac:dyDescent="0.25">
      <c r="B269" s="650">
        <v>4.3294459999999999</v>
      </c>
      <c r="C269" s="651">
        <v>5.5166430000000002</v>
      </c>
      <c r="D269" s="652">
        <v>-3.1248629999999999</v>
      </c>
      <c r="E269" s="653">
        <v>-0.27107500000000001</v>
      </c>
      <c r="F269" s="651">
        <v>0.96069700000000002</v>
      </c>
      <c r="G269" s="654">
        <v>5.9831000000000002E-2</v>
      </c>
      <c r="H269" s="653">
        <v>0.33062000000000002</v>
      </c>
      <c r="I269" s="518" t="s">
        <v>384</v>
      </c>
      <c r="J269" s="817">
        <v>6.08</v>
      </c>
      <c r="K269" s="519" t="s">
        <v>385</v>
      </c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>
        <f t="shared" si="263"/>
        <v>4.3346183525567739</v>
      </c>
      <c r="P269" s="572">
        <f t="shared" si="264"/>
        <v>5.5141809470683878</v>
      </c>
      <c r="Q269" s="579">
        <f t="shared" si="265"/>
        <v>-3.2144070006906329</v>
      </c>
      <c r="R269" s="580">
        <f t="shared" si="266"/>
        <v>-0.27022848446380116</v>
      </c>
      <c r="S269" s="572">
        <f t="shared" si="267"/>
        <v>0.9609401585271965</v>
      </c>
      <c r="T269" s="579">
        <f t="shared" si="268"/>
        <v>5.9755400669094502E-2</v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03" t="s">
        <v>33</v>
      </c>
      <c r="C7" s="1410" t="s">
        <v>105</v>
      </c>
      <c r="D7" s="1388"/>
      <c r="E7" s="1412" t="s">
        <v>110</v>
      </c>
    </row>
    <row r="8" spans="2:5" ht="15.75" thickBot="1" x14ac:dyDescent="0.3">
      <c r="B8" s="1411"/>
      <c r="C8" s="839" t="s">
        <v>8</v>
      </c>
      <c r="D8" s="838" t="s">
        <v>9</v>
      </c>
      <c r="E8" s="1413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2023-07-12T12:25:16Z</dcterms:modified>
</cp:coreProperties>
</file>