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67\"/>
    </mc:Choice>
  </mc:AlternateContent>
  <xr:revisionPtr revIDLastSave="0" documentId="13_ncr:1_{4C389BA3-D438-4553-8A1B-A83DABEED51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R109" i="1"/>
  <c r="IP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P84" i="1"/>
  <c r="IW84" i="1"/>
  <c r="IQ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Q73" i="1"/>
  <c r="IP73" i="1"/>
  <c r="IN73" i="1"/>
  <c r="IQ108" i="1"/>
  <c r="IN108" i="1"/>
  <c r="IK108" i="1"/>
  <c r="IW108" i="1"/>
  <c r="IR108" i="1"/>
  <c r="IP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P91" i="1"/>
  <c r="IW91" i="1"/>
  <c r="IR91" i="1"/>
  <c r="IN91" i="1"/>
  <c r="IU11" i="1"/>
  <c r="IE11" i="1" s="1"/>
  <c r="IS11" i="1"/>
  <c r="IR11" i="1"/>
  <c r="IN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Q110" i="1"/>
  <c r="IW110" i="1"/>
  <c r="IP110" i="1"/>
  <c r="IK110" i="1"/>
  <c r="IR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Q72" i="1"/>
  <c r="IW72" i="1"/>
  <c r="IK72" i="1"/>
  <c r="IR72" i="1"/>
  <c r="IP72" i="1"/>
  <c r="IN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P11" i="1" l="1"/>
  <c r="IQ11" i="1"/>
  <c r="IK11" i="1"/>
  <c r="JA23" i="1" s="1" a="1"/>
  <c r="JA23" i="1" s="1"/>
  <c r="IL11" i="1"/>
  <c r="IT11" i="1"/>
  <c r="IX11" i="1"/>
  <c r="IW11" i="1"/>
  <c r="IY11" i="1"/>
  <c r="JA9" i="1" a="1"/>
  <c r="JB12" i="1" s="1" a="1"/>
  <c r="JB12" i="1" s="1"/>
  <c r="IF129" i="1"/>
  <c r="IF49" i="1"/>
  <c r="IF138" i="1"/>
  <c r="IF10" i="1"/>
  <c r="IF150" i="1"/>
  <c r="IF48" i="1"/>
  <c r="IF148" i="1"/>
  <c r="IF127" i="1"/>
  <c r="IF15" i="1"/>
  <c r="IF128" i="1"/>
  <c r="IF9" i="1"/>
  <c r="IF47" i="1"/>
  <c r="IF122" i="1"/>
  <c r="IF147" i="1"/>
  <c r="IF142" i="1"/>
  <c r="IF143" i="1"/>
  <c r="IF137" i="1"/>
  <c r="IF105" i="1"/>
  <c r="IF135" i="1"/>
  <c r="IF145" i="1"/>
  <c r="IF106" i="1"/>
  <c r="IF88" i="1"/>
  <c r="IF103" i="1"/>
  <c r="IF13" i="1"/>
  <c r="IF131" i="1"/>
  <c r="IF123" i="1"/>
  <c r="IF141" i="1"/>
  <c r="IF89" i="1"/>
  <c r="IF124" i="1"/>
  <c r="IF107" i="1"/>
  <c r="IF146" i="1"/>
  <c r="IF134" i="1"/>
  <c r="IF12" i="1"/>
  <c r="IF50" i="1"/>
  <c r="IF71" i="1"/>
  <c r="IF133" i="1"/>
  <c r="IF149" i="1"/>
  <c r="IF104" i="1"/>
  <c r="IF130" i="1"/>
  <c r="IF132" i="1"/>
  <c r="IF119" i="1"/>
  <c r="IF32" i="1"/>
  <c r="IF125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5" i="1" l="1"/>
  <c r="IV69" i="1"/>
  <c r="IF11" i="1"/>
  <c r="IQ99" i="1"/>
  <c r="IV90" i="1"/>
  <c r="JA9" i="1"/>
  <c r="JB15" i="1" s="1" a="1"/>
  <c r="JB15" i="1" s="1"/>
  <c r="JB11" i="1" a="1"/>
  <c r="JB11" i="1" s="1"/>
  <c r="JB10" i="1" a="1"/>
  <c r="JB10" i="1" s="1"/>
  <c r="JB24" i="1" a="1"/>
  <c r="JB24" i="1" s="1"/>
  <c r="JB25" i="1" a="1"/>
  <c r="JB25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Q91" i="1" l="1"/>
  <c r="R90" i="1"/>
  <c r="X90" i="1" s="1"/>
  <c r="IU90" i="1" s="1"/>
  <c r="IE90" i="1" s="1"/>
  <c r="IQ96" i="1"/>
  <c r="IV87" i="1"/>
  <c r="IQ95" i="1"/>
  <c r="IV86" i="1"/>
  <c r="IQ94" i="1"/>
  <c r="IV85" i="1"/>
  <c r="IQ93" i="1"/>
  <c r="IV84" i="1"/>
  <c r="AE69" i="1"/>
  <c r="IQ59" i="1"/>
  <c r="IV56" i="1"/>
  <c r="IQ115" i="1"/>
  <c r="IV108" i="1"/>
  <c r="Q98" i="1"/>
  <c r="AQ91" i="1"/>
  <c r="IU91" i="1"/>
  <c r="IE91" i="1" s="1"/>
  <c r="AD86" i="1"/>
  <c r="AH86" i="1" s="1"/>
  <c r="IQ78" i="1"/>
  <c r="IV72" i="1"/>
  <c r="IQ64" i="1"/>
  <c r="IV55" i="1"/>
  <c r="JB16" i="1" a="1"/>
  <c r="JB16" i="1" s="1"/>
  <c r="JB9" i="1" a="1"/>
  <c r="JB9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IU86" i="1" s="1"/>
  <c r="IE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AQ110" i="1"/>
  <c r="IU110" i="1"/>
  <c r="IE110" i="1" s="1"/>
  <c r="AQ109" i="1"/>
  <c r="IU109" i="1"/>
  <c r="IE109" i="1" s="1"/>
  <c r="AQ92" i="1"/>
  <c r="IU92" i="1"/>
  <c r="IE92" i="1" s="1"/>
  <c r="AQ73" i="1"/>
  <c r="IU73" i="1"/>
  <c r="IE73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9" i="1" s="1"/>
  <c r="W122" i="1"/>
  <c r="W131" i="1"/>
  <c r="W110" i="1"/>
  <c r="W127" i="1"/>
  <c r="W97" i="1"/>
  <c r="W112" i="1"/>
  <c r="W103" i="1"/>
  <c r="IL110" i="1" s="1"/>
  <c r="W101" i="1"/>
  <c r="IL108" i="1" s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7" i="1" l="1"/>
  <c r="IL86" i="1"/>
  <c r="IL85" i="1"/>
  <c r="IL83" i="1"/>
  <c r="IL84" i="1"/>
  <c r="IL69" i="1"/>
  <c r="IL56" i="1"/>
  <c r="IL99" i="1"/>
  <c r="IL91" i="1"/>
  <c r="IL92" i="1"/>
  <c r="IL90" i="1"/>
  <c r="IL72" i="1"/>
  <c r="IL73" i="1"/>
  <c r="IL57" i="1"/>
  <c r="IL55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8" i="1" s="1"/>
  <c r="AL102" i="1"/>
  <c r="AN102" i="1" s="1"/>
  <c r="IT109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T110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T87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IT55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6" i="1" l="1"/>
  <c r="IY87" i="1"/>
  <c r="IT95" i="1"/>
  <c r="IY86" i="1"/>
  <c r="IY77" i="1"/>
  <c r="IT86" i="1"/>
  <c r="IY76" i="1"/>
  <c r="IT85" i="1"/>
  <c r="IT94" i="1"/>
  <c r="IY85" i="1"/>
  <c r="IS94" i="1"/>
  <c r="IX85" i="1"/>
  <c r="IY75" i="1"/>
  <c r="IT84" i="1"/>
  <c r="IT93" i="1"/>
  <c r="IY84" i="1"/>
  <c r="IY74" i="1"/>
  <c r="IT83" i="1"/>
  <c r="IY63" i="1"/>
  <c r="IT69" i="1"/>
  <c r="IT113" i="1"/>
  <c r="IT114" i="1"/>
  <c r="IT115" i="1"/>
  <c r="IY108" i="1"/>
  <c r="IT98" i="1"/>
  <c r="IT97" i="1"/>
  <c r="IY83" i="1"/>
  <c r="IT92" i="1"/>
  <c r="IY82" i="1"/>
  <c r="IT91" i="1"/>
  <c r="IT99" i="1"/>
  <c r="IY90" i="1"/>
  <c r="IY81" i="1"/>
  <c r="IT90" i="1"/>
  <c r="IT77" i="1"/>
  <c r="IT78" i="1"/>
  <c r="IY72" i="1"/>
  <c r="IF55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IS109" i="1" s="1"/>
  <c r="AP102" i="1"/>
  <c r="AO101" i="1"/>
  <c r="IS108" i="1" s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S110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IS87" i="1" s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X45" i="1" s="1"/>
  <c r="IF45" i="1" s="1"/>
  <c r="AP46" i="1"/>
  <c r="AO46" i="1"/>
  <c r="IS55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6" i="1" l="1"/>
  <c r="IX87" i="1"/>
  <c r="IF87" i="1" s="1"/>
  <c r="IS95" i="1"/>
  <c r="IX86" i="1"/>
  <c r="IF86" i="1" s="1"/>
  <c r="IX77" i="1"/>
  <c r="IF77" i="1" s="1"/>
  <c r="IS86" i="1"/>
  <c r="IX76" i="1"/>
  <c r="IF76" i="1" s="1"/>
  <c r="IS85" i="1"/>
  <c r="IF85" i="1"/>
  <c r="IS93" i="1"/>
  <c r="IX84" i="1"/>
  <c r="IF84" i="1" s="1"/>
  <c r="IX75" i="1"/>
  <c r="IF75" i="1" s="1"/>
  <c r="IS84" i="1"/>
  <c r="IX74" i="1"/>
  <c r="IF74" i="1" s="1"/>
  <c r="IS83" i="1"/>
  <c r="IX63" i="1"/>
  <c r="IF63" i="1" s="1"/>
  <c r="IS69" i="1"/>
  <c r="IS75" i="1"/>
  <c r="IX69" i="1"/>
  <c r="IF69" i="1" s="1"/>
  <c r="IT29" i="1"/>
  <c r="IT56" i="1"/>
  <c r="IS54" i="1"/>
  <c r="IS114" i="1"/>
  <c r="IS113" i="1"/>
  <c r="IS115" i="1"/>
  <c r="IX108" i="1"/>
  <c r="IF108" i="1" s="1"/>
  <c r="IS97" i="1"/>
  <c r="IS98" i="1"/>
  <c r="IX83" i="1"/>
  <c r="IF83" i="1" s="1"/>
  <c r="IS92" i="1"/>
  <c r="IX82" i="1"/>
  <c r="IF82" i="1" s="1"/>
  <c r="IS91" i="1"/>
  <c r="IX81" i="1"/>
  <c r="IF81" i="1" s="1"/>
  <c r="IS90" i="1"/>
  <c r="IS99" i="1"/>
  <c r="IX90" i="1"/>
  <c r="IF90" i="1" s="1"/>
  <c r="IS77" i="1"/>
  <c r="IS78" i="1"/>
  <c r="IX72" i="1"/>
  <c r="IF72" i="1" s="1"/>
  <c r="IT60" i="1"/>
  <c r="IY57" i="1"/>
  <c r="IF57" i="1" s="1"/>
  <c r="IS52" i="1"/>
  <c r="IS57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<sst xmlns="http://schemas.openxmlformats.org/spreadsheetml/2006/main" count="734" uniqueCount="391">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</sst>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D31" sqref="D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57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89.995000000721916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-0.21520064904515751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0.29430088761147705</v>
      </c>
      <c r="D9" s="704">
        <v>-0.73570221887789222</v>
      </c>
      <c r="E9" s="705">
        <v>-0.93969263802333458</v>
      </c>
      <c r="F9" s="703">
        <v>-8.8521302156295598E-2</v>
      </c>
      <c r="G9" s="706">
        <v>0.33036604714967338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0.29430088761147705</v>
      </c>
      <c r="P9" s="625">
        <f t="shared" ref="P9:P40" si="4">IF(M9="","",D9)</f>
        <v>-0.73570221887789222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0.29430088761147705</v>
      </c>
      <c r="S9" s="626">
        <f>IF(M9="","",P9)</f>
        <v>-0.73570221887789222</v>
      </c>
      <c r="T9" s="627">
        <f>IF(M9="","",X9*COS(RADIANS(W9)))</f>
        <v>0.29430088649086267</v>
      </c>
      <c r="U9" s="624">
        <f>IF(M9="","",X9*SIN(RADIANS(W9)))</f>
        <v>2.5682593661077548E-5</v>
      </c>
      <c r="V9" s="628">
        <f>IF(M9="","",Y9)</f>
        <v>-0.73570221887789222</v>
      </c>
      <c r="W9" s="583">
        <f t="shared" ref="W9:W14" si="5">IF(M9="","",IF(Q9-$Q$8&lt;0,360+Q9-$Q$8,Q9-$Q$8))</f>
        <v>4.999999278084033E-3</v>
      </c>
      <c r="X9" s="629">
        <f>IF(M9="","",R9)</f>
        <v>0.29430088761147705</v>
      </c>
      <c r="Y9" s="630">
        <f>IF(M9="","",S9)</f>
        <v>-0.73570221887789222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7.6995592326896514</v>
      </c>
      <c r="AS9" s="51">
        <f>IF(M9="","",W9)</f>
        <v>4.999999278084033E-3</v>
      </c>
      <c r="AT9" s="71">
        <f t="shared" ref="AT9:AT40" si="10">IF(M9="","",Y9+(((AS9-$AS$9)*$AS$6)*-1))</f>
        <v>-0.73570221887789222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t="str" cm="1">
        <f t="array" ref="JA9:JA11">IFERROR(_xlfn._xlws.SORT(_xlfn.UNIQUE(_xlfn._xlws.FILTER(IF($II$9:$II$150="",$K$9:$K$150,""),IF($II$9:$II$150="",$K$9:$K$150,"")&lt;&gt;"")),,-1),"")</f>
        <v>Inactive</v>
      </c>
      <c r="JB9" s="786" cm="1">
        <f t="array" ref="JB9">IF($JA9="","",COUNT(IF(IF($II$9:$II$150="",$IJ$9:$IJ$150,"")=$JA9,$IG$9:$IG$150,"")))</f>
        <v>1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0.98710297710257899</v>
      </c>
      <c r="D10" s="709">
        <v>-0.60490182438390239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0.98710297710257899</v>
      </c>
      <c r="P10" s="633">
        <f t="shared" si="4"/>
        <v>-0.60490182438390239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0.98710297710257899</v>
      </c>
      <c r="S10" s="634">
        <f t="shared" ref="S10:S105" si="80">IF(M10="","",P10)</f>
        <v>-0.60490182438390239</v>
      </c>
      <c r="T10" s="635">
        <f t="shared" ref="T10:T105" si="81">IF(M10="","",X10*COS(RADIANS(W10)))</f>
        <v>0.98710297334397046</v>
      </c>
      <c r="U10" s="629">
        <f t="shared" ref="U10:U105" si="82">IF(M10="","",X10*SIN(RADIANS(W10)))</f>
        <v>8.6140972486747013E-5</v>
      </c>
      <c r="V10" s="636">
        <f>IF(M10="","",Y10)</f>
        <v>-0.60490182438390239</v>
      </c>
      <c r="W10" s="585">
        <f t="shared" si="5"/>
        <v>4.999999278084033E-3</v>
      </c>
      <c r="X10" s="629">
        <f t="shared" ref="X10:X105" si="83">IF(M10="","",R10)</f>
        <v>0.98710297710257899</v>
      </c>
      <c r="Y10" s="630">
        <f>IF(M10="","",S10)</f>
        <v>-0.60490182438390239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2.3082628662568418</v>
      </c>
      <c r="AS10" s="52">
        <f>IF($M10="","",IF(AND($W10&lt;($AS$9+180),$W10&gt;($AS$9-180)),$W10,IF($W10&gt;($AS$9+180),$W10-360,IF($W10&lt;($AS$9-180),$W10+360,"Error"))))</f>
        <v>4.999999278084033E-3</v>
      </c>
      <c r="AT10" s="72">
        <f t="shared" si="10"/>
        <v>-0.60490182438390239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1613</v>
      </c>
      <c r="JB10" s="787" cm="1">
        <f t="array" ref="JB10">IF($JA10="","",COUNT(IF(IF($II$9:$II$150="",$IJ$9:$IJ$150,"")=$JA10,$IG$9:$IG$150,"")))</f>
        <v>50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1.7144051706459946</v>
      </c>
      <c r="D11" s="709">
        <v>-0.41000123656372944</v>
      </c>
      <c r="E11" s="710">
        <v>-0.96592583607220739</v>
      </c>
      <c r="F11" s="708">
        <v>-6.6987279208207198E-2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1.7144051706459946</v>
      </c>
      <c r="P11" s="633">
        <f t="shared" si="4"/>
        <v>-0.41000123656372944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1.7144051706459946</v>
      </c>
      <c r="S11" s="634">
        <f t="shared" si="80"/>
        <v>-0.41000123656372944</v>
      </c>
      <c r="T11" s="635">
        <f t="shared" si="81"/>
        <v>1.7144051641180253</v>
      </c>
      <c r="U11" s="629">
        <f t="shared" si="82"/>
        <v>1.4961005291386797E-4</v>
      </c>
      <c r="V11" s="636">
        <f t="shared" ref="V11:V105" si="114">IF(M11="","",Y11)</f>
        <v>-0.41000123656372944</v>
      </c>
      <c r="W11" s="585">
        <f t="shared" si="5"/>
        <v>4.999999278084033E-3</v>
      </c>
      <c r="X11" s="629">
        <f>IF(M11="","",R11)</f>
        <v>1.7144051706459946</v>
      </c>
      <c r="Y11" s="630">
        <f>IF(M11="","",S11)</f>
        <v>-0.41000123656372944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-0.24999996726497561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-0.24999996726497561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1.3295092028688997</v>
      </c>
      <c r="AS11" s="52">
        <f t="shared" ref="AS11:AS42" si="116">IF(G11="","",IF(AND(W11&lt;(AS10+180),W11&gt;(AS10-180)),W11,IF(W11&gt;(AS10+180),W11-360,IF(W11&lt;(AS10-180),W11+360,"Error"))))</f>
        <v>4.999999278084033E-3</v>
      </c>
      <c r="AT11" s="72">
        <f t="shared" si="10"/>
        <v>-0.41000123656372944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>
        <v>1313</v>
      </c>
      <c r="JB11" s="787" cm="1">
        <f t="array" ref="JB11">IF($JA11="","",COUNT(IF(IF($II$9:$II$150="",$IJ$9:$IJ$150,"")=$JA11,$IG$9:$IG$150,"")))</f>
        <v>7</v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2.1308786001252727E-4</v>
      </c>
      <c r="C12" s="708">
        <v>2.4418073551933008</v>
      </c>
      <c r="D12" s="709">
        <v>-0.21520064904515751</v>
      </c>
      <c r="E12" s="710">
        <v>-0.96591604655908048</v>
      </c>
      <c r="F12" s="708">
        <v>-6.1490359010817314E-2</v>
      </c>
      <c r="G12" s="711">
        <v>0.25144607125265883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2.1308786001252727E-4</v>
      </c>
      <c r="O12" s="629">
        <f t="shared" si="3"/>
        <v>2.4418073551933008</v>
      </c>
      <c r="P12" s="633">
        <f t="shared" si="4"/>
        <v>-0.21520064904515751</v>
      </c>
      <c r="Q12" s="585">
        <f>IF(M12="","",IF(DEGREES(ATAN2(N12,O12))&lt;0,DEGREES(ATAN2(N12,O12))+360,IF(DEGREES(ATAN2(N12,O12))&gt;360,DEGREES(ATAN2(N12,O12))-360,DEGREES(ATAN2(N12,O12)))))</f>
        <v>89.995000000721916</v>
      </c>
      <c r="R12" s="629">
        <f t="shared" si="79"/>
        <v>2.4418073644910114</v>
      </c>
      <c r="S12" s="634">
        <f t="shared" si="80"/>
        <v>-0.21520064904515751</v>
      </c>
      <c r="T12" s="635">
        <f>IF(M12="","",X12*COS(RADIANS(W12)))</f>
        <v>2.4418073644910114</v>
      </c>
      <c r="U12" s="629">
        <f t="shared" si="82"/>
        <v>0</v>
      </c>
      <c r="V12" s="636">
        <f t="shared" si="114"/>
        <v>-0.21520064904515751</v>
      </c>
      <c r="W12" s="585">
        <f>IF(M12="","",IF(Q12-$Q$8&lt;0,360+Q12-$Q$8,Q12-$Q$8))</f>
        <v>0</v>
      </c>
      <c r="X12" s="629">
        <f t="shared" si="83"/>
        <v>2.4418073644910114</v>
      </c>
      <c r="Y12" s="630">
        <f>IF(M12="","",S12)</f>
        <v>-0.21520064904515751</v>
      </c>
      <c r="Z12" s="632">
        <f t="shared" si="6"/>
        <v>0.96591604655908048</v>
      </c>
      <c r="AA12" s="629">
        <f t="shared" si="7"/>
        <v>6.1490359010817314E-2</v>
      </c>
      <c r="AB12" s="629">
        <f t="shared" si="8"/>
        <v>-0.25144607125265883</v>
      </c>
      <c r="AC12" s="636">
        <f t="shared" si="84"/>
        <v>1</v>
      </c>
      <c r="AD12" s="637">
        <f t="shared" si="115"/>
        <v>0.96591604655908048</v>
      </c>
      <c r="AE12" s="629">
        <f t="shared" si="85"/>
        <v>6.1490359010817314E-2</v>
      </c>
      <c r="AF12" s="633">
        <f t="shared" si="86"/>
        <v>-0.25144607125265883</v>
      </c>
      <c r="AG12" s="602">
        <f t="shared" si="87"/>
        <v>13.74180783674584</v>
      </c>
      <c r="AH12" s="603">
        <f t="shared" si="88"/>
        <v>15.002164824267121</v>
      </c>
      <c r="AI12" s="585">
        <f t="shared" si="89"/>
        <v>-75.436900261290262</v>
      </c>
      <c r="AJ12" s="586">
        <f t="shared" si="90"/>
        <v>93.642542534606605</v>
      </c>
      <c r="AK12" s="635">
        <f t="shared" ref="AK12:AK105" si="211">IF(M12="","",(COS(RADIANS((90-$Q$8)-W12))*AD12)+(-SIN(RADIANS((90-$Q$8)-W12))*AE12))</f>
        <v>0.96591067683581255</v>
      </c>
      <c r="AL12" s="629">
        <f>IF(M12="","",(SIN(RADIANS((90-$Q$8)-W12))*AD12)+(COS(RADIANS((90-$Q$8)-W12))*AE12))</f>
        <v>6.1574650840953614E-2</v>
      </c>
      <c r="AM12" s="634">
        <f t="shared" si="92"/>
        <v>-0.25144607125265883</v>
      </c>
      <c r="AN12" s="581">
        <f>IF(M12="","",DEGREES(ATAN2(-AM12,AL12)))</f>
        <v>13.759929766052176</v>
      </c>
      <c r="AO12" s="582">
        <f t="shared" si="94"/>
        <v>15.003353327217065</v>
      </c>
      <c r="AP12" s="585">
        <f t="shared" si="95"/>
        <v>3.6475425338846921</v>
      </c>
      <c r="AQ12" s="586">
        <f t="shared" si="9"/>
        <v>0.93354001880830306</v>
      </c>
      <c r="AS12" s="52">
        <f t="shared" si="116"/>
        <v>0</v>
      </c>
      <c r="AT12" s="72">
        <f>IF(M12="","",Y12+(((AS12-$AS$9)*$AS$6)*-1))</f>
        <v>-0.21519717682343661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2.4219022835932528E-2</v>
      </c>
      <c r="C13" s="708">
        <v>3.1826174496523421</v>
      </c>
      <c r="D13" s="709">
        <v>-8.1100244598337728E-2</v>
      </c>
      <c r="E13" s="710">
        <v>-0.96423026396684608</v>
      </c>
      <c r="F13" s="708">
        <v>5.8733809099453096E-2</v>
      </c>
      <c r="G13" s="711">
        <v>0.25847695781074093</v>
      </c>
      <c r="H13" s="710">
        <v>0.314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170</v>
      </c>
      <c r="M13" s="168">
        <f t="shared" si="1"/>
        <v>1.115</v>
      </c>
      <c r="N13" s="632">
        <f t="shared" si="2"/>
        <v>2.4219022835932528E-2</v>
      </c>
      <c r="O13" s="629">
        <f t="shared" si="3"/>
        <v>3.1826174496523421</v>
      </c>
      <c r="P13" s="633">
        <f t="shared" si="4"/>
        <v>-8.1100244598337728E-2</v>
      </c>
      <c r="Q13" s="585">
        <f t="shared" si="113"/>
        <v>89.564000062950612</v>
      </c>
      <c r="R13" s="629">
        <f t="shared" si="79"/>
        <v>3.1827095990521515</v>
      </c>
      <c r="S13" s="634">
        <f t="shared" si="80"/>
        <v>-8.1100244598337728E-2</v>
      </c>
      <c r="T13" s="635">
        <f>IF(M13="","",X13*COS(RADIANS(W13)))</f>
        <v>3.1826195510419795</v>
      </c>
      <c r="U13" s="629">
        <f t="shared" si="82"/>
        <v>-2.3941287017524786E-2</v>
      </c>
      <c r="V13" s="636">
        <f t="shared" si="114"/>
        <v>-8.1100244598337728E-2</v>
      </c>
      <c r="W13" s="585">
        <f t="shared" si="5"/>
        <v>359.56900006222872</v>
      </c>
      <c r="X13" s="629">
        <f t="shared" si="83"/>
        <v>3.1827095990521515</v>
      </c>
      <c r="Y13" s="630">
        <f>IF(M13="","",S13)</f>
        <v>-8.1100244598337728E-2</v>
      </c>
      <c r="Z13" s="632">
        <f t="shared" si="6"/>
        <v>0.96423026396684608</v>
      </c>
      <c r="AA13" s="629">
        <f t="shared" si="7"/>
        <v>-5.8733809099453096E-2</v>
      </c>
      <c r="AB13" s="629">
        <f t="shared" si="8"/>
        <v>-0.25847695781074093</v>
      </c>
      <c r="AC13" s="636">
        <f t="shared" si="84"/>
        <v>1</v>
      </c>
      <c r="AD13" s="637">
        <f>IF(M13="","",Z13*(1/SQRT(Z13^2+AA13^2+AB13^2)))</f>
        <v>0.96423026396684608</v>
      </c>
      <c r="AE13" s="629">
        <f t="shared" si="85"/>
        <v>-5.8733809099453096E-2</v>
      </c>
      <c r="AF13" s="633">
        <f t="shared" si="86"/>
        <v>-0.25847695781074093</v>
      </c>
      <c r="AG13" s="602">
        <f>IF(M13="","",DEGREES(ATAN2(-AF13,AE13)))</f>
        <v>-12.801957157160523</v>
      </c>
      <c r="AH13" s="603">
        <f t="shared" si="88"/>
        <v>15.370876099149074</v>
      </c>
      <c r="AI13" s="585">
        <f t="shared" si="89"/>
        <v>-75.02029061448107</v>
      </c>
      <c r="AJ13" s="586">
        <f t="shared" si="90"/>
        <v>86.514269753959127</v>
      </c>
      <c r="AK13" s="635">
        <f t="shared" si="211"/>
        <v>0.96464928498721048</v>
      </c>
      <c r="AL13" s="629">
        <f t="shared" si="91"/>
        <v>-5.1394739561244754E-2</v>
      </c>
      <c r="AM13" s="634">
        <f t="shared" si="92"/>
        <v>-0.25847695781074093</v>
      </c>
      <c r="AN13" s="581">
        <f t="shared" si="93"/>
        <v>-11.245836827371059</v>
      </c>
      <c r="AO13" s="582">
        <f t="shared" si="94"/>
        <v>15.280039954733898</v>
      </c>
      <c r="AP13" s="585">
        <f t="shared" si="95"/>
        <v>-3.0497303089914869</v>
      </c>
      <c r="AQ13" s="586">
        <f t="shared" si="9"/>
        <v>0.71624752662299218</v>
      </c>
      <c r="AS13" s="52">
        <f t="shared" si="116"/>
        <v>-0.43099993777127565</v>
      </c>
      <c r="AT13" s="72">
        <f t="shared" si="10"/>
        <v>-8.0797466864275677E-2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8.8717562855194637E-2</v>
      </c>
      <c r="C14" s="708">
        <v>3.9306107660226965</v>
      </c>
      <c r="D14" s="709">
        <v>-0.16630050156231271</v>
      </c>
      <c r="E14" s="710">
        <v>-0.95863831988853232</v>
      </c>
      <c r="F14" s="708">
        <v>0.15881549225671435</v>
      </c>
      <c r="G14" s="711">
        <v>0.23619951536899811</v>
      </c>
      <c r="H14" s="710">
        <v>0.314</v>
      </c>
      <c r="I14" s="708">
        <v>0.52</v>
      </c>
      <c r="J14" s="570">
        <v>1.121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1.121</v>
      </c>
      <c r="N14" s="632">
        <f t="shared" si="2"/>
        <v>8.8717562855194637E-2</v>
      </c>
      <c r="O14" s="629">
        <f t="shared" si="3"/>
        <v>3.9306107660226965</v>
      </c>
      <c r="P14" s="633">
        <f t="shared" si="4"/>
        <v>-0.16630050156231271</v>
      </c>
      <c r="Q14" s="585">
        <f t="shared" si="113"/>
        <v>88.707000186686074</v>
      </c>
      <c r="R14" s="629">
        <f t="shared" si="79"/>
        <v>3.9316118577413635</v>
      </c>
      <c r="S14" s="634">
        <f t="shared" si="80"/>
        <v>-0.16630050156231271</v>
      </c>
      <c r="T14" s="635">
        <f t="shared" si="81"/>
        <v>3.9306184931227977</v>
      </c>
      <c r="U14" s="629">
        <f t="shared" si="82"/>
        <v>-8.837455206993941E-2</v>
      </c>
      <c r="V14" s="636">
        <f t="shared" si="114"/>
        <v>-0.16630050156231271</v>
      </c>
      <c r="W14" s="585">
        <f t="shared" si="5"/>
        <v>358.71200018596414</v>
      </c>
      <c r="X14" s="629">
        <f t="shared" si="83"/>
        <v>3.9316118577413635</v>
      </c>
      <c r="Y14" s="630">
        <f t="shared" ref="Y14:Y75" si="223">IF(M14="","",S14)</f>
        <v>-0.16630050156231271</v>
      </c>
      <c r="Z14" s="632">
        <f t="shared" si="6"/>
        <v>0.95863831988853232</v>
      </c>
      <c r="AA14" s="629">
        <f t="shared" si="7"/>
        <v>-0.15881549225671435</v>
      </c>
      <c r="AB14" s="629">
        <f t="shared" si="8"/>
        <v>-0.23619951536899811</v>
      </c>
      <c r="AC14" s="636">
        <f t="shared" si="84"/>
        <v>1</v>
      </c>
      <c r="AD14" s="637">
        <f>IF(M14="","",Z14*(1/SQRT(Z14^2+AA14^2+AB14^2)))</f>
        <v>0.95863831988853232</v>
      </c>
      <c r="AE14" s="629">
        <f t="shared" si="85"/>
        <v>-0.15881549225671435</v>
      </c>
      <c r="AF14" s="633">
        <f t="shared" si="86"/>
        <v>-0.23619951536899811</v>
      </c>
      <c r="AG14" s="602">
        <f t="shared" si="87"/>
        <v>-33.916040727999949</v>
      </c>
      <c r="AH14" s="603">
        <f t="shared" si="88"/>
        <v>16.536558343057177</v>
      </c>
      <c r="AI14" s="585">
        <f t="shared" si="89"/>
        <v>-76.3376593568658</v>
      </c>
      <c r="AJ14" s="586">
        <f t="shared" si="90"/>
        <v>80.593371395110879</v>
      </c>
      <c r="AK14" s="635">
        <f>IF(M14="","",(COS(RADIANS((90-$Q$8)-W14))*AD14)+(-SIN(RADIANS((90-$Q$8)-W14))*AE14))</f>
        <v>0.9619779269017662</v>
      </c>
      <c r="AL14" s="629">
        <f t="shared" si="91"/>
        <v>-0.13714319922340495</v>
      </c>
      <c r="AM14" s="634">
        <f t="shared" si="92"/>
        <v>-0.23619951536899811</v>
      </c>
      <c r="AN14" s="581">
        <f t="shared" si="93"/>
        <v>-30.140495455001176</v>
      </c>
      <c r="AO14" s="582">
        <f t="shared" si="94"/>
        <v>15.85043863522362</v>
      </c>
      <c r="AP14" s="585">
        <f>IF(M14="","",DEGREES(ATAN2(AK14,AL14)))</f>
        <v>-8.113628791575179</v>
      </c>
      <c r="AQ14" s="586">
        <f t="shared" si="9"/>
        <v>0.57982549915549486</v>
      </c>
      <c r="AS14" s="52">
        <f t="shared" si="116"/>
        <v>-1.2879998140358566</v>
      </c>
      <c r="AT14" s="72">
        <f t="shared" si="10"/>
        <v>-0.16540258502528915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0.18400295390954244</v>
      </c>
      <c r="C15" s="708">
        <v>4.6174491804753677</v>
      </c>
      <c r="D15" s="709">
        <v>-0.47080141993708247</v>
      </c>
      <c r="E15" s="710">
        <v>-0.94467636974648916</v>
      </c>
      <c r="F15" s="708">
        <v>0.25287326368180579</v>
      </c>
      <c r="G15" s="711">
        <v>0.2089058854065784</v>
      </c>
      <c r="H15" s="710">
        <v>0.314</v>
      </c>
      <c r="I15" s="708">
        <v>0.52</v>
      </c>
      <c r="J15" s="570">
        <v>1.127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140</v>
      </c>
      <c r="M15" s="168">
        <f t="shared" si="1"/>
        <v>1.127</v>
      </c>
      <c r="N15" s="632">
        <f t="shared" si="2"/>
        <v>0.18400295390954244</v>
      </c>
      <c r="O15" s="629">
        <f t="shared" si="3"/>
        <v>4.6174491804753677</v>
      </c>
      <c r="P15" s="633">
        <f t="shared" si="4"/>
        <v>-0.47080141993708247</v>
      </c>
      <c r="Q15" s="585">
        <f t="shared" si="113"/>
        <v>87.718000329479992</v>
      </c>
      <c r="R15" s="629">
        <f t="shared" si="79"/>
        <v>4.6211139372796337</v>
      </c>
      <c r="S15" s="634">
        <f t="shared" si="80"/>
        <v>-0.47080141993708247</v>
      </c>
      <c r="T15" s="635">
        <f t="shared" si="81"/>
        <v>4.6174652201779862</v>
      </c>
      <c r="U15" s="629">
        <f t="shared" si="82"/>
        <v>-0.1836000048113863</v>
      </c>
      <c r="V15" s="636">
        <f t="shared" si="114"/>
        <v>-0.47080141993708247</v>
      </c>
      <c r="W15" s="585">
        <f t="shared" ref="W15:W78" si="224">IF(M15="","",IF(Q15-$Q$8&lt;0,360+Q15-$Q$8,Q15-$Q$8))</f>
        <v>357.72300032875808</v>
      </c>
      <c r="X15" s="629">
        <f>IF(M15="","",R15)</f>
        <v>4.6211139372796337</v>
      </c>
      <c r="Y15" s="630">
        <f>IF(M15="","",S15)</f>
        <v>-0.47080141993708247</v>
      </c>
      <c r="Z15" s="632">
        <f t="shared" si="6"/>
        <v>0.94467636974648916</v>
      </c>
      <c r="AA15" s="629">
        <f t="shared" si="7"/>
        <v>-0.25287326368180579</v>
      </c>
      <c r="AB15" s="629">
        <f t="shared" si="8"/>
        <v>-0.2089058854065784</v>
      </c>
      <c r="AC15" s="636">
        <f t="shared" si="84"/>
        <v>1</v>
      </c>
      <c r="AD15" s="637">
        <f t="shared" si="115"/>
        <v>0.94467636974648916</v>
      </c>
      <c r="AE15" s="629">
        <f t="shared" si="85"/>
        <v>-0.25287326368180579</v>
      </c>
      <c r="AF15" s="633">
        <f t="shared" si="86"/>
        <v>-0.2089058854065784</v>
      </c>
      <c r="AG15" s="602">
        <f t="shared" si="87"/>
        <v>-50.438907119729826</v>
      </c>
      <c r="AH15" s="603">
        <f t="shared" si="88"/>
        <v>19.147664864283858</v>
      </c>
      <c r="AI15" s="585">
        <f t="shared" si="89"/>
        <v>-77.941757953178254</v>
      </c>
      <c r="AJ15" s="586">
        <f t="shared" si="90"/>
        <v>75.01426159767027</v>
      </c>
      <c r="AK15" s="635">
        <f t="shared" si="211"/>
        <v>0.95399607467323988</v>
      </c>
      <c r="AL15" s="629">
        <f t="shared" si="91"/>
        <v>-0.21505771446414998</v>
      </c>
      <c r="AM15" s="634">
        <f t="shared" si="92"/>
        <v>-0.2089058854065784</v>
      </c>
      <c r="AN15" s="581">
        <f>IF(M15="","",DEGREES(ATAN2(-AM15,AL15)))</f>
        <v>-45.831319261720076</v>
      </c>
      <c r="AO15" s="582">
        <f t="shared" si="94"/>
        <v>17.446737855936508</v>
      </c>
      <c r="AP15" s="585">
        <f t="shared" si="95"/>
        <v>-12.703738731809695</v>
      </c>
      <c r="AQ15" s="586">
        <f t="shared" si="9"/>
        <v>0.49331618503311581</v>
      </c>
      <c r="AS15" s="52">
        <f t="shared" si="116"/>
        <v>-2.2769996712419243</v>
      </c>
      <c r="AT15" s="72">
        <f t="shared" si="10"/>
        <v>-0.46921669794366577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1.127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57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0.28854571843550214</v>
      </c>
      <c r="C16" s="708">
        <v>5.1804860779426578</v>
      </c>
      <c r="D16" s="709">
        <v>-0.96700291648079617</v>
      </c>
      <c r="E16" s="710">
        <v>-0.92875093757488225</v>
      </c>
      <c r="F16" s="708">
        <v>0.33224767080816958</v>
      </c>
      <c r="G16" s="711">
        <v>0.16441770341518422</v>
      </c>
      <c r="H16" s="710">
        <v>0.314</v>
      </c>
      <c r="I16" s="708">
        <v>0.52</v>
      </c>
      <c r="J16" s="570">
        <v>1.133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1.133</v>
      </c>
      <c r="N16" s="632">
        <f t="shared" si="2"/>
        <v>0.28854571843550214</v>
      </c>
      <c r="O16" s="629">
        <f t="shared" si="3"/>
        <v>5.1804860779426578</v>
      </c>
      <c r="P16" s="633">
        <f t="shared" si="4"/>
        <v>-0.96700291648079617</v>
      </c>
      <c r="Q16" s="585">
        <f>IF(M16="","",IF(DEGREES(ATAN2(N16,O16))&lt;0,DEGREES(ATAN2(N16,O16))+360,IF(DEGREES(ATAN2(N16,O16))&gt;360,DEGREES(ATAN2(N16,O16))-360,DEGREES(ATAN2(N16,O16)))))</f>
        <v>86.812000460290179</v>
      </c>
      <c r="R16" s="629">
        <f t="shared" si="79"/>
        <v>5.1885156485631958</v>
      </c>
      <c r="S16" s="634">
        <f t="shared" si="80"/>
        <v>-0.96700291648079617</v>
      </c>
      <c r="T16" s="635">
        <f t="shared" si="81"/>
        <v>5.1805112385773135</v>
      </c>
      <c r="U16" s="629">
        <f t="shared" si="82"/>
        <v>-0.28809363470808169</v>
      </c>
      <c r="V16" s="636">
        <f t="shared" si="114"/>
        <v>-0.96700291648079617</v>
      </c>
      <c r="W16" s="585">
        <f>IF(M16="","",IF(Q16-$Q$8&lt;0,360+Q16-$Q$8,Q16-$Q$8))</f>
        <v>356.81700045956825</v>
      </c>
      <c r="X16" s="629">
        <f t="shared" si="83"/>
        <v>5.1885156485631958</v>
      </c>
      <c r="Y16" s="630">
        <f t="shared" si="223"/>
        <v>-0.96700291648079617</v>
      </c>
      <c r="Z16" s="632">
        <f t="shared" si="6"/>
        <v>0.92875093757488225</v>
      </c>
      <c r="AA16" s="629">
        <f t="shared" si="7"/>
        <v>-0.33224767080816958</v>
      </c>
      <c r="AB16" s="629">
        <f t="shared" si="8"/>
        <v>-0.16441770341518422</v>
      </c>
      <c r="AC16" s="636">
        <f t="shared" si="84"/>
        <v>1</v>
      </c>
      <c r="AD16" s="637">
        <f t="shared" si="115"/>
        <v>0.92875093757488225</v>
      </c>
      <c r="AE16" s="629">
        <f t="shared" si="85"/>
        <v>-0.33224767080816958</v>
      </c>
      <c r="AF16" s="633">
        <f t="shared" si="86"/>
        <v>-0.16441770341518422</v>
      </c>
      <c r="AG16" s="602">
        <f t="shared" si="87"/>
        <v>-63.670808568807331</v>
      </c>
      <c r="AH16" s="603">
        <f t="shared" si="88"/>
        <v>21.75906133110341</v>
      </c>
      <c r="AI16" s="585">
        <f t="shared" si="89"/>
        <v>-80.536590644363528</v>
      </c>
      <c r="AJ16" s="586">
        <f t="shared" si="90"/>
        <v>70.316040044213054</v>
      </c>
      <c r="AK16" s="635">
        <f t="shared" si="211"/>
        <v>0.94579071881832899</v>
      </c>
      <c r="AL16" s="629">
        <f t="shared" si="91"/>
        <v>-0.28008344292511328</v>
      </c>
      <c r="AM16" s="634">
        <f t="shared" si="92"/>
        <v>-0.16441770341518422</v>
      </c>
      <c r="AN16" s="581">
        <f t="shared" si="93"/>
        <v>-59.585738932340547</v>
      </c>
      <c r="AO16" s="582">
        <f t="shared" si="94"/>
        <v>18.952048035939274</v>
      </c>
      <c r="AP16" s="585">
        <f t="shared" si="95"/>
        <v>-16.495960416077139</v>
      </c>
      <c r="AQ16" s="586">
        <f t="shared" si="9"/>
        <v>0.43937073711734986</v>
      </c>
      <c r="AS16" s="52">
        <f t="shared" si="116"/>
        <v>-3.1829995404317515</v>
      </c>
      <c r="AT16" s="72">
        <f t="shared" si="10"/>
        <v>-0.96478902791155319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1.133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cm="1">
        <f t="array" ref="JB16">IF($JA$9="","",IF(AND(ISTEXT(_xlfn.ANCHORARRAY($JA$9))=FALSE),"",SUM(COUNTIFS($IJ$9:$IJ$150,_xlfn.ANCHORARRAY($JA$9),$II$9:$II$150,"",$IJ$9:$IJ$150,IF(ISTEXT(_xlfn.ANCHORARRAY($JA$9)),_xlfn.ANCHORARRAY($JA$9),"")))))</f>
        <v>1</v>
      </c>
      <c r="JE16" s="31"/>
      <c r="JF16" s="31"/>
      <c r="JG16" s="31"/>
    </row>
    <row r="17" spans="1:269" ht="15" customHeight="1" x14ac:dyDescent="0.25">
      <c r="A17" s="79"/>
      <c r="B17" s="707">
        <v>0.37481578031039242</v>
      </c>
      <c r="C17" s="708">
        <v>5.5696191911631017</v>
      </c>
      <c r="D17" s="709">
        <v>-1.6097048548698423</v>
      </c>
      <c r="E17" s="710">
        <v>-0.90765063001120572</v>
      </c>
      <c r="F17" s="708">
        <v>0.40204781889021007</v>
      </c>
      <c r="G17" s="711">
        <v>0.12053167702262538</v>
      </c>
      <c r="H17" s="710">
        <v>0.314</v>
      </c>
      <c r="I17" s="708">
        <v>0.52</v>
      </c>
      <c r="J17" s="570">
        <v>1.139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1.139</v>
      </c>
      <c r="N17" s="632">
        <f t="shared" si="2"/>
        <v>0.37481578031039242</v>
      </c>
      <c r="O17" s="629">
        <f t="shared" si="3"/>
        <v>5.5696191911631017</v>
      </c>
      <c r="P17" s="633">
        <f t="shared" si="4"/>
        <v>-1.6097048548698423</v>
      </c>
      <c r="Q17" s="585">
        <f>IF(M17="","",IF(DEGREES(ATAN2(N17,O17))&lt;0,DEGREES(ATAN2(N17,O17))+360,IF(DEGREES(ATAN2(N17,O17))&gt;360,DEGREES(ATAN2(N17,O17))-360,DEGREES(ATAN2(N17,O17)))))</f>
        <v>86.150000555871145</v>
      </c>
      <c r="R17" s="629">
        <f>IF(M17="","",SQRT(N17^2+O17^2))</f>
        <v>5.5822168359659781</v>
      </c>
      <c r="S17" s="634">
        <f>IF(M17="","",P17)</f>
        <v>-1.6097048548698423</v>
      </c>
      <c r="T17" s="635">
        <f>IF(M17="","",X17*COS(RADIANS(W17)))</f>
        <v>5.5696518787980809</v>
      </c>
      <c r="U17" s="629">
        <f>IF(M17="","",X17*SIN(RADIANS(W17)))</f>
        <v>-0.37432973798915314</v>
      </c>
      <c r="V17" s="636">
        <f>IF(M17="","",Y17)</f>
        <v>-1.6097048548698423</v>
      </c>
      <c r="W17" s="585">
        <f t="shared" si="224"/>
        <v>356.15500055514923</v>
      </c>
      <c r="X17" s="629">
        <f>IF(M17="","",R17)</f>
        <v>5.5822168359659781</v>
      </c>
      <c r="Y17" s="630">
        <f t="shared" si="223"/>
        <v>-1.6097048548698423</v>
      </c>
      <c r="Z17" s="632">
        <f t="shared" si="6"/>
        <v>0.90765063001120572</v>
      </c>
      <c r="AA17" s="629">
        <f t="shared" si="7"/>
        <v>-0.40204781889021007</v>
      </c>
      <c r="AB17" s="629">
        <f t="shared" si="8"/>
        <v>-0.12053167702262538</v>
      </c>
      <c r="AC17" s="636">
        <f>IF(M17="","",SQRT(Z17^2+AA17^2+AB17^2))</f>
        <v>1</v>
      </c>
      <c r="AD17" s="637">
        <f>IF(M17="","",Z17*(1/SQRT(Z17^2+AA17^2+AB17^2)))</f>
        <v>0.90765063001120572</v>
      </c>
      <c r="AE17" s="629">
        <f>IF(M17="","",AA17*(1/SQRT(Z17^2+AA17^2+AB17^2)))</f>
        <v>-0.40204781889021007</v>
      </c>
      <c r="AF17" s="633">
        <f>IF(M17="","",AB17*(1/SQRT(Z17^2+AA17^2+AB17^2)))</f>
        <v>-0.12053167702262538</v>
      </c>
      <c r="AG17" s="602">
        <f>IF(M17="","",DEGREES(ATAN2(-AF17,AE17)))</f>
        <v>-73.311564723617067</v>
      </c>
      <c r="AH17" s="603">
        <f>IF(M17="","",DEGREES(ACOS(AD17)))</f>
        <v>24.817321426065082</v>
      </c>
      <c r="AI17" s="585">
        <f>IF(M17="","",DEGREES(-ACOS(-AF17)))</f>
        <v>-83.077211846407536</v>
      </c>
      <c r="AJ17" s="586">
        <f>IF(M17="","",DEGREES(ATAN2(-AE17,AD17)))</f>
        <v>66.108842631789656</v>
      </c>
      <c r="AK17" s="635">
        <f>IF(M17="","",(COS(RADIANS((90-$Q$8)-W17))*AD17)+(-SIN(RADIANS((90-$Q$8)-W17))*AE17))</f>
        <v>0.93259763776987836</v>
      </c>
      <c r="AL17" s="629">
        <f>IF(M17="","",(SIN(RADIANS((90-$Q$8)-W17))*AD17)+(COS(RADIANS((90-$Q$8)-W17))*AE17))</f>
        <v>-0.34019665027768325</v>
      </c>
      <c r="AM17" s="634">
        <f>IF(M17="","",AF17)</f>
        <v>-0.12053167702262538</v>
      </c>
      <c r="AN17" s="581">
        <f>IF(M17="","",DEGREES(ATAN2(-AM17,AL17)))</f>
        <v>-70.490763213102113</v>
      </c>
      <c r="AO17" s="582">
        <f t="shared" si="94"/>
        <v>21.156570910963868</v>
      </c>
      <c r="AP17" s="585">
        <f>IF(M17="","",DEGREES(ATAN2(AK17,AL17)))</f>
        <v>-20.04115792408151</v>
      </c>
      <c r="AQ17" s="586">
        <f t="shared" si="9"/>
        <v>0.40838399741722747</v>
      </c>
      <c r="AS17" s="52">
        <f t="shared" si="116"/>
        <v>-3.8449994448507709</v>
      </c>
      <c r="AT17" s="72">
        <f t="shared" si="10"/>
        <v>-1.6070312441447527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1.139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0.42247656618057267</v>
      </c>
      <c r="C18" s="708">
        <v>5.764055454846452</v>
      </c>
      <c r="D18" s="709">
        <v>-2.338107051730868</v>
      </c>
      <c r="E18" s="710">
        <v>-0.86620285509917971</v>
      </c>
      <c r="F18" s="708">
        <v>0.49073763514495139</v>
      </c>
      <c r="G18" s="711">
        <v>9.4176362588338114E-2</v>
      </c>
      <c r="H18" s="710">
        <v>0.314</v>
      </c>
      <c r="I18" s="708">
        <v>0.52</v>
      </c>
      <c r="J18" s="570">
        <v>1.145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1.145</v>
      </c>
      <c r="N18" s="632">
        <f t="shared" si="2"/>
        <v>0.42247656618057267</v>
      </c>
      <c r="O18" s="629">
        <f t="shared" si="3"/>
        <v>5.764055454846452</v>
      </c>
      <c r="P18" s="633">
        <f t="shared" si="4"/>
        <v>-2.338107051730868</v>
      </c>
      <c r="Q18" s="585">
        <f t="shared" si="113"/>
        <v>85.808000605249831</v>
      </c>
      <c r="R18" s="629">
        <f>IF(M18="","",SQRT(N18^2+O18^2))</f>
        <v>5.7795174310245718</v>
      </c>
      <c r="S18" s="634">
        <f>IF(M18="","",P18)</f>
        <v>-2.338107051730868</v>
      </c>
      <c r="T18" s="635">
        <f>IF(M18="","",X18*COS(RADIANS(W18)))</f>
        <v>5.7640923009286542</v>
      </c>
      <c r="U18" s="629">
        <f>IF(M18="","",X18*SIN(RADIANS(W18)))</f>
        <v>-0.42197355591539176</v>
      </c>
      <c r="V18" s="636">
        <f>IF(M18="","",Y18)</f>
        <v>-2.338107051730868</v>
      </c>
      <c r="W18" s="585">
        <f t="shared" si="224"/>
        <v>355.81300060452793</v>
      </c>
      <c r="X18" s="629">
        <f>IF(M18="","",R18)</f>
        <v>5.7795174310245718</v>
      </c>
      <c r="Y18" s="630">
        <f t="shared" si="223"/>
        <v>-2.338107051730868</v>
      </c>
      <c r="Z18" s="632">
        <f t="shared" si="6"/>
        <v>0.86620285509917971</v>
      </c>
      <c r="AA18" s="629">
        <f t="shared" si="7"/>
        <v>-0.49073763514495139</v>
      </c>
      <c r="AB18" s="629">
        <f t="shared" si="8"/>
        <v>-9.4176362588338114E-2</v>
      </c>
      <c r="AC18" s="636">
        <f>IF(M18="","",SQRT(Z18^2+AA18^2+AB18^2))</f>
        <v>1</v>
      </c>
      <c r="AD18" s="637">
        <f>IF(M18="","",Z18*(1/SQRT(Z18^2+AA18^2+AB18^2)))</f>
        <v>0.86620285509917971</v>
      </c>
      <c r="AE18" s="629">
        <f>IF(M18="","",AA18*(1/SQRT(Z18^2+AA18^2+AB18^2)))</f>
        <v>-0.49073763514495139</v>
      </c>
      <c r="AF18" s="633">
        <f>IF(M18="","",AB18*(1/SQRT(Z18^2+AA18^2+AB18^2)))</f>
        <v>-9.4176362588338114E-2</v>
      </c>
      <c r="AG18" s="602">
        <f>IF(M18="","",DEGREES(ATAN2(-AF18,AE18)))</f>
        <v>-79.136571554653855</v>
      </c>
      <c r="AH18" s="603">
        <f>IF(M18="","",DEGREES(ACOS(AD18)))</f>
        <v>29.979659323040014</v>
      </c>
      <c r="AI18" s="585">
        <f>IF(M18="","",DEGREES(-ACOS(-AF18)))</f>
        <v>-84.596083670632723</v>
      </c>
      <c r="AJ18" s="586">
        <f>IF(M18="","",DEGREES(ATAN2(-AE18,AD18)))</f>
        <v>60.466758082503944</v>
      </c>
      <c r="AK18" s="635">
        <f>IF(M18="","",(COS(RADIANS((90-$Q$8)-W18))*AD18)+(-SIN(RADIANS((90-$Q$8)-W18))*AE18))</f>
        <v>0.89975789587812416</v>
      </c>
      <c r="AL18" s="629">
        <f>IF(M18="","",(SIN(RADIANS((90-$Q$8)-W18))*AD18)+(COS(RADIANS((90-$Q$8)-W18))*AE18))</f>
        <v>-0.42610625615519976</v>
      </c>
      <c r="AM18" s="634">
        <f>IF(M18="","",AF18)</f>
        <v>-9.4176362588338114E-2</v>
      </c>
      <c r="AN18" s="581">
        <f>IF(M18="","",DEGREES(ATAN2(-AM18,AL18)))</f>
        <v>-77.537060244072507</v>
      </c>
      <c r="AO18" s="582">
        <f t="shared" si="94"/>
        <v>25.873738043307529</v>
      </c>
      <c r="AP18" s="585">
        <f>IF(M18="","",DEGREES(ATAN2(AK18,AL18)))</f>
        <v>-25.341242522745922</v>
      </c>
      <c r="AQ18" s="586">
        <f t="shared" si="9"/>
        <v>0.39444307313217108</v>
      </c>
      <c r="AS18" s="52">
        <f t="shared" si="116"/>
        <v>-4.1869993954720712</v>
      </c>
      <c r="AT18" s="72">
        <f t="shared" si="10"/>
        <v>-2.3351959410400691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1.145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0.44320687852661961</v>
      </c>
      <c r="C19" s="708">
        <v>5.8453392851671007</v>
      </c>
      <c r="D19" s="709">
        <v>-3.0889093161504979</v>
      </c>
      <c r="E19" s="710">
        <v>-0.81062077874397176</v>
      </c>
      <c r="F19" s="708">
        <v>0.58360122988936414</v>
      </c>
      <c r="G19" s="711">
        <v>4.7995390821810716E-2</v>
      </c>
      <c r="H19" s="710">
        <v>0.314</v>
      </c>
      <c r="I19" s="708">
        <v>0.52</v>
      </c>
      <c r="J19" s="570">
        <v>1.151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1.151</v>
      </c>
      <c r="N19" s="632">
        <f t="shared" si="2"/>
        <v>0.44320687852661961</v>
      </c>
      <c r="O19" s="629">
        <f t="shared" si="3"/>
        <v>5.8453392851671007</v>
      </c>
      <c r="P19" s="633">
        <f t="shared" si="4"/>
        <v>-3.0889093161504979</v>
      </c>
      <c r="Q19" s="585">
        <f t="shared" si="113"/>
        <v>85.66400062604086</v>
      </c>
      <c r="R19" s="629">
        <f>IF(M19="","",SQRT(N19^2+O19^2))</f>
        <v>5.8621176801469232</v>
      </c>
      <c r="S19" s="634">
        <f>IF(M19="","",P19)</f>
        <v>-3.0889093161504979</v>
      </c>
      <c r="T19" s="635">
        <f>IF(M19="","",X19*COS(RADIANS(W19)))</f>
        <v>5.845377940000561</v>
      </c>
      <c r="U19" s="629">
        <f>IF(M19="","",X19*SIN(RADIANS(W19)))</f>
        <v>-0.44269677483119807</v>
      </c>
      <c r="V19" s="636">
        <f>IF(M19="","",Y19)</f>
        <v>-3.0889093161504979</v>
      </c>
      <c r="W19" s="585">
        <f t="shared" si="224"/>
        <v>355.66900062531897</v>
      </c>
      <c r="X19" s="629">
        <f>IF(M19="","",R19)</f>
        <v>5.8621176801469232</v>
      </c>
      <c r="Y19" s="630">
        <f t="shared" si="223"/>
        <v>-3.0889093161504979</v>
      </c>
      <c r="Z19" s="632">
        <f t="shared" si="6"/>
        <v>0.81062077874397176</v>
      </c>
      <c r="AA19" s="629">
        <f t="shared" si="7"/>
        <v>-0.58360122988936414</v>
      </c>
      <c r="AB19" s="629">
        <f t="shared" si="8"/>
        <v>-4.7995390821810716E-2</v>
      </c>
      <c r="AC19" s="636">
        <f>IF(M19="","",SQRT(Z19^2+AA19^2+AB19^2))</f>
        <v>1</v>
      </c>
      <c r="AD19" s="637">
        <f>IF(M19="","",Z19*(1/SQRT(Z19^2+AA19^2+AB19^2)))</f>
        <v>0.81062077874397176</v>
      </c>
      <c r="AE19" s="629">
        <f>IF(M19="","",AA19*(1/SQRT(Z19^2+AA19^2+AB19^2)))</f>
        <v>-0.58360122988936414</v>
      </c>
      <c r="AF19" s="633">
        <f>IF(M19="","",AB19*(1/SQRT(Z19^2+AA19^2+AB19^2)))</f>
        <v>-4.7995390821810716E-2</v>
      </c>
      <c r="AG19" s="602">
        <f>IF(M19="","",DEGREES(ATAN2(-AF19,AE19)))</f>
        <v>-85.298572772825779</v>
      </c>
      <c r="AH19" s="603">
        <f>IF(M19="","",DEGREES(ACOS(AD19)))</f>
        <v>35.843372409799045</v>
      </c>
      <c r="AI19" s="585">
        <f>IF(M19="","",DEGREES(-ACOS(-AF19)))</f>
        <v>-87.24900980230295</v>
      </c>
      <c r="AJ19" s="586">
        <f>IF(M19="","",DEGREES(ATAN2(-AE19,AD19)))</f>
        <v>54.24824156674012</v>
      </c>
      <c r="AK19" s="635">
        <f>IF(M19="","",(COS(RADIANS((90-$Q$8)-W19))*AD19)+(-SIN(RADIANS((90-$Q$8)-W19))*AE19))</f>
        <v>0.8524239592957481</v>
      </c>
      <c r="AL19" s="629">
        <f>IF(M19="","",(SIN(RADIANS((90-$Q$8)-W19))*AD19)+(COS(RADIANS((90-$Q$8)-W19))*AE19))</f>
        <v>-0.52064367477039653</v>
      </c>
      <c r="AM19" s="634">
        <f>IF(M19="","",AF19)</f>
        <v>-4.7995390821810716E-2</v>
      </c>
      <c r="AN19" s="581">
        <f>IF(M19="","",DEGREES(ATAN2(-AM19,AL19)))</f>
        <v>-84.733090448270147</v>
      </c>
      <c r="AO19" s="582">
        <f t="shared" si="94"/>
        <v>31.523700463537715</v>
      </c>
      <c r="AP19" s="585">
        <f>IF(M19="","",DEGREES(ATAN2(AK19,AL19)))</f>
        <v>-31.415759059300772</v>
      </c>
      <c r="AQ19" s="586">
        <f t="shared" si="9"/>
        <v>0.38888533954254317</v>
      </c>
      <c r="AS19" s="52">
        <f t="shared" si="116"/>
        <v>-4.3309993746810278</v>
      </c>
      <c r="AT19" s="72">
        <f t="shared" si="10"/>
        <v>-3.0858982054741375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0.46324217932939299</v>
      </c>
      <c r="C20" s="708">
        <v>5.9217263986608124</v>
      </c>
      <c r="D20" s="709">
        <v>-3.8141115033602944</v>
      </c>
      <c r="E20" s="710">
        <v>-0.7719243057347317</v>
      </c>
      <c r="F20" s="708">
        <v>0.63571445336403642</v>
      </c>
      <c r="G20" s="711">
        <v>1.3008419221110988E-7</v>
      </c>
      <c r="H20" s="710">
        <v>0.26600000000000001</v>
      </c>
      <c r="I20" s="708">
        <v>0.52</v>
      </c>
      <c r="J20" s="570">
        <v>1.157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360</v>
      </c>
      <c r="M20" s="168">
        <f t="shared" si="1"/>
        <v>1.157</v>
      </c>
      <c r="N20" s="632">
        <f t="shared" si="2"/>
        <v>0.46324217932939299</v>
      </c>
      <c r="O20" s="629">
        <f t="shared" si="3"/>
        <v>5.9217263986608124</v>
      </c>
      <c r="P20" s="633">
        <f t="shared" si="4"/>
        <v>-3.8141115033602944</v>
      </c>
      <c r="Q20" s="585">
        <f t="shared" si="113"/>
        <v>85.527000645821204</v>
      </c>
      <c r="R20" s="629">
        <f>IF(M20="","",SQRT(N20^2+O20^2))</f>
        <v>5.9398179144908303</v>
      </c>
      <c r="S20" s="634">
        <f>IF(M20="","",P20)</f>
        <v>-3.8141115033602944</v>
      </c>
      <c r="T20" s="635">
        <f>IF(M20="","",X20*COS(RADIANS(W20)))</f>
        <v>5.9217668016129847</v>
      </c>
      <c r="U20" s="629">
        <f>IF(M20="","",X20*SIN(RADIANS(W20)))</f>
        <v>-0.46272540952547431</v>
      </c>
      <c r="V20" s="636">
        <f>IF(M20="","",Y20)</f>
        <v>-3.8141115033602944</v>
      </c>
      <c r="W20" s="585">
        <f t="shared" si="224"/>
        <v>355.53200064509929</v>
      </c>
      <c r="X20" s="629">
        <f>IF(M20="","",R20)</f>
        <v>5.9398179144908303</v>
      </c>
      <c r="Y20" s="630">
        <f t="shared" si="223"/>
        <v>-3.8141115033602944</v>
      </c>
      <c r="Z20" s="632">
        <f t="shared" si="6"/>
        <v>0.7719243057347317</v>
      </c>
      <c r="AA20" s="629">
        <f t="shared" si="7"/>
        <v>-0.63571445336403642</v>
      </c>
      <c r="AB20" s="629">
        <f t="shared" si="8"/>
        <v>-1.3008419221110988E-7</v>
      </c>
      <c r="AC20" s="636">
        <f>IF(M20="","",SQRT(Z20^2+AA20^2+AB20^2))</f>
        <v>1</v>
      </c>
      <c r="AD20" s="637">
        <f>IF(M20="","",Z20*(1/SQRT(Z20^2+AA20^2+AB20^2)))</f>
        <v>0.7719243057347317</v>
      </c>
      <c r="AE20" s="629">
        <f>IF(M20="","",AA20*(1/SQRT(Z20^2+AA20^2+AB20^2)))</f>
        <v>-0.63571445336403642</v>
      </c>
      <c r="AF20" s="633">
        <f>IF(M20="","",AB20*(1/SQRT(Z20^2+AA20^2+AB20^2)))</f>
        <v>-1.3008419221110988E-7</v>
      </c>
      <c r="AG20" s="602">
        <f>IF(M20="","",DEGREES(ATAN2(-AF20,AE20)))</f>
        <v>-89.999988275749985</v>
      </c>
      <c r="AH20" s="603">
        <f>IF(M20="","",DEGREES(ACOS(AD20)))</f>
        <v>39.472994300804658</v>
      </c>
      <c r="AI20" s="585">
        <f>IF(M20="","",DEGREES(-ACOS(-AF20)))</f>
        <v>-89.999992546724798</v>
      </c>
      <c r="AJ20" s="586">
        <f>IF(M20="","",DEGREES(ATAN2(-AE20,AD20)))</f>
        <v>50.527005699195925</v>
      </c>
      <c r="AK20" s="635">
        <f>IF(M20="","",(COS(RADIANS((90-$Q$8)-W20))*AD20)+(-SIN(RADIANS((90-$Q$8)-W20))*AE20))</f>
        <v>0.81915209487729179</v>
      </c>
      <c r="AL20" s="629">
        <f>IF(M20="","",(SIN(RADIANS((90-$Q$8)-W20))*AD20)+(COS(RADIANS((90-$Q$8)-W20))*AE20))</f>
        <v>-0.5735763641034447</v>
      </c>
      <c r="AM20" s="634">
        <f>IF(M20="","",AF20)</f>
        <v>-1.3008419221110988E-7</v>
      </c>
      <c r="AN20" s="581">
        <f>IF(M20="","",DEGREES(ATAN2(-AM20,AL20)))</f>
        <v>-89.999987005609611</v>
      </c>
      <c r="AO20" s="582">
        <f t="shared" si="94"/>
        <v>34.999994946625968</v>
      </c>
      <c r="AP20" s="585">
        <f>IF(M20="","",DEGREES(ATAN2(AK20,AL20)))</f>
        <v>-34.999994946625279</v>
      </c>
      <c r="AQ20" s="586">
        <f t="shared" si="9"/>
        <v>0.38379838694863389</v>
      </c>
      <c r="AS20" s="52">
        <f t="shared" si="116"/>
        <v>-4.4679993549007122</v>
      </c>
      <c r="AT20" s="72">
        <f t="shared" si="10"/>
        <v>-3.8110052538087813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1.157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0.98705207358367741</v>
      </c>
      <c r="C21" s="708">
        <v>2.222277069792379</v>
      </c>
      <c r="D21" s="709">
        <v>-0.22879419454729713</v>
      </c>
      <c r="E21" s="710">
        <v>-0.10506086394882855</v>
      </c>
      <c r="F21" s="708">
        <v>-0.23653645400779333</v>
      </c>
      <c r="G21" s="711">
        <v>0.96592583607218263</v>
      </c>
      <c r="H21" s="710">
        <v>0.26250000000000001</v>
      </c>
      <c r="I21" s="708">
        <v>0.40699999999999997</v>
      </c>
      <c r="J21" s="570">
        <v>1.21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Inactive</v>
      </c>
      <c r="L21" s="776" t="s">
        <v>367</v>
      </c>
      <c r="M21" s="168">
        <f t="shared" si="1"/>
        <v>1.21</v>
      </c>
      <c r="N21" s="632">
        <f t="shared" si="2"/>
        <v>0.98705207358367741</v>
      </c>
      <c r="O21" s="629">
        <f t="shared" si="3"/>
        <v>2.222277069792379</v>
      </c>
      <c r="P21" s="633">
        <f t="shared" si="4"/>
        <v>-0.22879419454729713</v>
      </c>
      <c r="Q21" s="585">
        <f t="shared" si="113"/>
        <v>66.051003457807283</v>
      </c>
      <c r="R21" s="629">
        <f>IF(M21="","",SQRT(N21^2+O21^2))</f>
        <v>2.4316223331123688</v>
      </c>
      <c r="S21" s="634">
        <f>IF(M21="","",P21)</f>
        <v>-0.22879419454729713</v>
      </c>
      <c r="T21" s="635">
        <f>IF(M21="","",X21*COS(RADIANS(W21)))</f>
        <v>2.2223631978608949</v>
      </c>
      <c r="U21" s="629">
        <f>IF(M21="","",X21*SIN(RADIANS(W21)))</f>
        <v>-0.98685813959471258</v>
      </c>
      <c r="V21" s="636">
        <f>IF(M21="","",Y21)</f>
        <v>-0.22879419454729713</v>
      </c>
      <c r="W21" s="585">
        <f t="shared" si="224"/>
        <v>336.05600345708535</v>
      </c>
      <c r="X21" s="629">
        <f>IF(M21="","",R21)</f>
        <v>2.4316223331123688</v>
      </c>
      <c r="Y21" s="630">
        <f t="shared" si="223"/>
        <v>-0.22879419454729713</v>
      </c>
      <c r="Z21" s="632">
        <f t="shared" si="6"/>
        <v>0.10506086394882855</v>
      </c>
      <c r="AA21" s="629">
        <f t="shared" si="7"/>
        <v>0.23653645400779333</v>
      </c>
      <c r="AB21" s="629">
        <f t="shared" si="8"/>
        <v>-0.96592583607218263</v>
      </c>
      <c r="AC21" s="636">
        <f>IF(M21="","",SQRT(Z21^2+AA21^2+AB21^2))</f>
        <v>1</v>
      </c>
      <c r="AD21" s="637">
        <f>IF(M21="","",Z21*(1/SQRT(Z21^2+AA21^2+AB21^2)))</f>
        <v>0.10506086394882855</v>
      </c>
      <c r="AE21" s="629">
        <f>IF(M21="","",AA21*(1/SQRT(Z21^2+AA21^2+AB21^2)))</f>
        <v>0.23653645400779333</v>
      </c>
      <c r="AF21" s="633">
        <f>IF(M21="","",AB21*(1/SQRT(Z21^2+AA21^2+AB21^2)))</f>
        <v>-0.96592583607218263</v>
      </c>
      <c r="AG21" s="602">
        <f>IF(M21="","",DEGREES(ATAN2(-AF21,AE21)))</f>
        <v>13.759844298266625</v>
      </c>
      <c r="AH21" s="603">
        <f>IF(M21="","",DEGREES(ACOS(AD21)))</f>
        <v>83.969326797264628</v>
      </c>
      <c r="AI21" s="585">
        <f>IF(M21="","",DEGREES(-ACOS(-AF21)))</f>
        <v>-14.999997834273739</v>
      </c>
      <c r="AJ21" s="586">
        <f>IF(M21="","",DEGREES(ATAN2(-AE21,AD21)))</f>
        <v>156.05095325133107</v>
      </c>
      <c r="AK21" s="635">
        <f>IF(M21="","",(COS(RADIANS((90-$Q$8)-W21))*AD21)+(-SIN(RADIANS((90-$Q$8)-W21))*AE21))</f>
        <v>2.2679489676546982E-7</v>
      </c>
      <c r="AL21" s="629">
        <f>IF(M21="","",(SIN(RADIANS((90-$Q$8)-W21))*AD21)+(COS(RADIANS((90-$Q$8)-W21))*AE21))</f>
        <v>0.25881900859133927</v>
      </c>
      <c r="AM21" s="634">
        <f>IF(M21="","",AF21)</f>
        <v>-0.96592583607218263</v>
      </c>
      <c r="AN21" s="581">
        <f>IF(M21="","",DEGREES(ATAN2(-AM21,AL21)))</f>
        <v>14.999997834268264</v>
      </c>
      <c r="AO21" s="582">
        <f>IF(ROUND(IF(M21="",0,DEGREES(ACOS(AK21))),4)=90,0,IF(M21="","",DEGREES(ACOS(AK21))))</f>
        <v>0</v>
      </c>
      <c r="AP21" s="585">
        <f>IF(M21="","",DEGREES(ATAN2(AK21,AL21)))</f>
        <v>89.999949793523797</v>
      </c>
      <c r="AQ21" s="586">
        <f t="shared" si="9"/>
        <v>0.93744952440483043</v>
      </c>
      <c r="AS21" s="52">
        <f t="shared" si="116"/>
        <v>-23.943996542914647</v>
      </c>
      <c r="AT21" s="72">
        <f t="shared" si="10"/>
        <v>-0.21216294694855217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1.1100000000000001</v>
      </c>
      <c r="II21" s="734" cm="1">
        <f t="array" ref="II21">IFERROR(ROUND(VALUE(IF($IH21&lt;1,$IH21+LARGE((IF($M$9:$M$150="",0,$M$9:$M$150)-MOD(IF($M$9:$M$150="",0,$M$9:$M$150),1)),1),$IH21)),4),"")</f>
        <v>1.1100000000000001</v>
      </c>
      <c r="IJ21" s="533">
        <f t="shared" si="112"/>
        <v>1613</v>
      </c>
      <c r="IK21" s="533" t="str">
        <f t="shared" si="66"/>
        <v>Inactive</v>
      </c>
      <c r="IL21" s="727">
        <f t="shared" si="225"/>
        <v>23.943996542914647</v>
      </c>
      <c r="IM21" s="759">
        <v>4.3060819047684197E-2</v>
      </c>
      <c r="IN21" s="5">
        <f t="shared" si="226"/>
        <v>0.78</v>
      </c>
      <c r="IO21" s="771">
        <v>390</v>
      </c>
      <c r="IP21" s="9">
        <f t="shared" si="227"/>
        <v>-2.4418073644910114</v>
      </c>
      <c r="IQ21" s="5">
        <f t="shared" si="228"/>
        <v>-0.21520064904515751</v>
      </c>
      <c r="IR21" s="5">
        <f t="shared" si="71"/>
        <v>0.314</v>
      </c>
      <c r="IS21" s="5">
        <f t="shared" si="229"/>
        <v>0.30329595252644515</v>
      </c>
      <c r="IT21" s="727">
        <f t="shared" si="230"/>
        <v>-13.759929766052176</v>
      </c>
      <c r="IU21" s="9">
        <f t="shared" si="231"/>
        <v>-2.4316223331123688</v>
      </c>
      <c r="IV21" s="5">
        <f t="shared" si="232"/>
        <v>-0.22879419454729713</v>
      </c>
      <c r="IW21" s="5">
        <f t="shared" si="76"/>
        <v>0.26250000000000001</v>
      </c>
      <c r="IX21" s="5">
        <f t="shared" si="233"/>
        <v>0.26250000000000001</v>
      </c>
      <c r="IY21" s="762">
        <f t="shared" si="234"/>
        <v>-14.999997834268264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1.1099240791940159</v>
      </c>
      <c r="C22" s="708">
        <v>2.9829027691703294</v>
      </c>
      <c r="D22" s="709">
        <v>-8.8941780866410608E-2</v>
      </c>
      <c r="E22" s="710">
        <v>-2.1255697522925109E-7</v>
      </c>
      <c r="F22" s="708">
        <v>7.9091449944917098E-8</v>
      </c>
      <c r="G22" s="711">
        <v>0.99999999999997435</v>
      </c>
      <c r="H22" s="710">
        <v>0.26250000000000001</v>
      </c>
      <c r="I22" s="708">
        <v>0.40699999999999997</v>
      </c>
      <c r="J22" s="570">
        <v>1.2150000000000001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Inactive</v>
      </c>
      <c r="L22" s="1313" t="str">
        <f>IF($L21=$JH$22,$JH$30,IF($L21=$JI$22,$JI$30,""))</f>
        <v/>
      </c>
      <c r="M22" s="168">
        <f t="shared" si="1"/>
        <v>1.2150000000000001</v>
      </c>
      <c r="N22" s="632">
        <f t="shared" si="2"/>
        <v>1.1099240791940159</v>
      </c>
      <c r="O22" s="629">
        <f t="shared" si="3"/>
        <v>2.9829027691703294</v>
      </c>
      <c r="P22" s="633">
        <f t="shared" si="4"/>
        <v>-8.8941780866410608E-2</v>
      </c>
      <c r="Q22" s="585">
        <f t="shared" si="113"/>
        <v>69.590002946838979</v>
      </c>
      <c r="R22" s="629">
        <f t="shared" si="79"/>
        <v>3.1827095990521506</v>
      </c>
      <c r="S22" s="634">
        <f t="shared" si="80"/>
        <v>-8.8941780866410608E-2</v>
      </c>
      <c r="T22" s="635">
        <f t="shared" si="81"/>
        <v>2.9829996169463184</v>
      </c>
      <c r="U22" s="629">
        <f t="shared" si="82"/>
        <v>-1.1096637676327088</v>
      </c>
      <c r="V22" s="636">
        <f t="shared" si="114"/>
        <v>-8.8941780866410608E-2</v>
      </c>
      <c r="W22" s="585">
        <f t="shared" si="224"/>
        <v>339.59500294611706</v>
      </c>
      <c r="X22" s="629">
        <f t="shared" si="83"/>
        <v>3.1827095990521506</v>
      </c>
      <c r="Y22" s="630">
        <f t="shared" si="223"/>
        <v>-8.8941780866410608E-2</v>
      </c>
      <c r="Z22" s="632">
        <f t="shared" si="6"/>
        <v>2.1255697522925109E-7</v>
      </c>
      <c r="AA22" s="629">
        <f t="shared" si="7"/>
        <v>-7.9091449944917098E-8</v>
      </c>
      <c r="AB22" s="629">
        <f t="shared" si="8"/>
        <v>-0.99999999999997435</v>
      </c>
      <c r="AC22" s="636">
        <f t="shared" si="84"/>
        <v>1</v>
      </c>
      <c r="AD22" s="637">
        <f t="shared" si="115"/>
        <v>2.1255697522925109E-7</v>
      </c>
      <c r="AE22" s="629">
        <f t="shared" si="85"/>
        <v>-7.9091449944917098E-8</v>
      </c>
      <c r="AF22" s="633">
        <f t="shared" si="86"/>
        <v>-0.99999999999997435</v>
      </c>
      <c r="AG22" s="602">
        <f t="shared" si="87"/>
        <v>-4.5316062774140642E-6</v>
      </c>
      <c r="AH22" s="603">
        <f t="shared" si="88"/>
        <v>89.999987821382419</v>
      </c>
      <c r="AI22" s="585">
        <f t="shared" si="89"/>
        <v>-1.2976235990044085E-5</v>
      </c>
      <c r="AJ22" s="586">
        <f t="shared" si="90"/>
        <v>69.590002942806819</v>
      </c>
      <c r="AK22" s="635">
        <f t="shared" si="211"/>
        <v>2.2679489670845283E-7</v>
      </c>
      <c r="AL22" s="629">
        <f t="shared" si="91"/>
        <v>-1.5960535945994375E-17</v>
      </c>
      <c r="AM22" s="634">
        <f t="shared" si="92"/>
        <v>-0.99999999999997435</v>
      </c>
      <c r="AN22" s="581">
        <f t="shared" si="93"/>
        <v>-9.1447134847234187E-16</v>
      </c>
      <c r="AO22" s="582">
        <f t="shared" si="94"/>
        <v>0</v>
      </c>
      <c r="AP22" s="585">
        <f t="shared" si="95"/>
        <v>-4.0321513479550677E-9</v>
      </c>
      <c r="AQ22" s="586">
        <f t="shared" si="9"/>
        <v>0.71624752662299229</v>
      </c>
      <c r="AS22" s="52">
        <f t="shared" si="116"/>
        <v>-20.404997053882937</v>
      </c>
      <c r="AT22" s="72">
        <f t="shared" si="10"/>
        <v>-7.4768171801715452E-2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1.2150000000000001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1.115</v>
      </c>
      <c r="II22" s="734" cm="1">
        <f t="array" ref="II22">IFERROR(ROUND(VALUE(IF($IH22&lt;1,$IH22+LARGE((IF($M$9:$M$150="",0,$M$9:$M$150)-MOD(IF($M$9:$M$150="",0,$M$9:$M$150),1)),1),$IH22)),4),"")</f>
        <v>1.115</v>
      </c>
      <c r="IJ22" s="533">
        <f t="shared" si="112"/>
        <v>1613</v>
      </c>
      <c r="IK22" s="533" t="str">
        <f t="shared" si="66"/>
        <v>Inactive</v>
      </c>
      <c r="IL22" s="727">
        <f t="shared" si="225"/>
        <v>19.973997116111661</v>
      </c>
      <c r="IM22" s="759">
        <v>4.8012587111313301E-2</v>
      </c>
      <c r="IN22" s="5">
        <f t="shared" si="226"/>
        <v>0.86</v>
      </c>
      <c r="IO22" s="771">
        <v>430</v>
      </c>
      <c r="IP22" s="9">
        <f t="shared" si="227"/>
        <v>-3.1827095990521515</v>
      </c>
      <c r="IQ22" s="5">
        <f t="shared" si="228"/>
        <v>-8.1100244598337728E-2</v>
      </c>
      <c r="IR22" s="5">
        <f t="shared" si="71"/>
        <v>0.314</v>
      </c>
      <c r="IS22" s="5">
        <f t="shared" si="229"/>
        <v>0.30289987548598407</v>
      </c>
      <c r="IT22" s="727">
        <f t="shared" si="230"/>
        <v>11.245836827371059</v>
      </c>
      <c r="IU22" s="9">
        <f t="shared" si="231"/>
        <v>-3.1827095990521506</v>
      </c>
      <c r="IV22" s="5">
        <f t="shared" si="232"/>
        <v>-8.8941780866410608E-2</v>
      </c>
      <c r="IW22" s="5">
        <f t="shared" si="76"/>
        <v>0.26250000000000001</v>
      </c>
      <c r="IX22" s="5">
        <f t="shared" si="233"/>
        <v>0.26250000000000001</v>
      </c>
      <c r="IY22" s="762">
        <f t="shared" si="234"/>
        <v>9.1447134847234187E-16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1.2755221892769848</v>
      </c>
      <c r="C23" s="708">
        <v>3.7267694776246345</v>
      </c>
      <c r="D23" s="709">
        <v>-0.17220626046815665</v>
      </c>
      <c r="E23" s="710">
        <v>6.0843814353658481E-2</v>
      </c>
      <c r="F23" s="708">
        <v>0.17777171223532001</v>
      </c>
      <c r="G23" s="711">
        <v>0.98218900858430513</v>
      </c>
      <c r="H23" s="710">
        <v>0.26250000000000001</v>
      </c>
      <c r="I23" s="708">
        <v>0.40699999999999997</v>
      </c>
      <c r="J23" s="570">
        <v>1.2210000000000001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Inactive</v>
      </c>
      <c r="M23" s="168">
        <f t="shared" si="1"/>
        <v>1.2210000000000001</v>
      </c>
      <c r="N23" s="632">
        <f t="shared" si="2"/>
        <v>1.2755221892769848</v>
      </c>
      <c r="O23" s="629">
        <f t="shared" si="3"/>
        <v>3.7267694776246345</v>
      </c>
      <c r="P23" s="633">
        <f t="shared" si="4"/>
        <v>-0.17220626046815665</v>
      </c>
      <c r="Q23" s="585">
        <f t="shared" si="113"/>
        <v>71.106002727955698</v>
      </c>
      <c r="R23" s="629">
        <f t="shared" si="79"/>
        <v>3.9390059145287588</v>
      </c>
      <c r="S23" s="634">
        <f t="shared" si="80"/>
        <v>-0.17220626046815665</v>
      </c>
      <c r="T23" s="635">
        <f t="shared" si="81"/>
        <v>3.7268807737273648</v>
      </c>
      <c r="U23" s="629">
        <f t="shared" si="82"/>
        <v>-1.2751969624782911</v>
      </c>
      <c r="V23" s="636">
        <f t="shared" si="114"/>
        <v>-0.17220626046815665</v>
      </c>
      <c r="W23" s="585">
        <f t="shared" si="224"/>
        <v>341.11100272723377</v>
      </c>
      <c r="X23" s="629">
        <f t="shared" si="83"/>
        <v>3.9390059145287588</v>
      </c>
      <c r="Y23" s="630">
        <f t="shared" si="223"/>
        <v>-0.17220626046815665</v>
      </c>
      <c r="Z23" s="632">
        <f t="shared" si="6"/>
        <v>-6.0843814353658481E-2</v>
      </c>
      <c r="AA23" s="629">
        <f t="shared" si="7"/>
        <v>-0.17777171223532001</v>
      </c>
      <c r="AB23" s="629">
        <f t="shared" si="8"/>
        <v>-0.98218900858430513</v>
      </c>
      <c r="AC23" s="636">
        <f t="shared" si="84"/>
        <v>1</v>
      </c>
      <c r="AD23" s="637">
        <f t="shared" si="115"/>
        <v>-6.0843814353658481E-2</v>
      </c>
      <c r="AE23" s="629">
        <f t="shared" si="85"/>
        <v>-0.17777171223532001</v>
      </c>
      <c r="AF23" s="633">
        <f t="shared" si="86"/>
        <v>-0.98218900858430513</v>
      </c>
      <c r="AG23" s="602">
        <f t="shared" si="87"/>
        <v>-10.25920760091185</v>
      </c>
      <c r="AH23" s="603">
        <f t="shared" si="88"/>
        <v>93.488248265295297</v>
      </c>
      <c r="AI23" s="585">
        <f t="shared" si="89"/>
        <v>-10.829998436349372</v>
      </c>
      <c r="AJ23" s="586">
        <f t="shared" si="90"/>
        <v>-18.893928114536997</v>
      </c>
      <c r="AK23" s="635">
        <f t="shared" si="211"/>
        <v>2.267948966822031E-7</v>
      </c>
      <c r="AL23" s="629">
        <f t="shared" si="91"/>
        <v>-0.18789558647325502</v>
      </c>
      <c r="AM23" s="634">
        <f t="shared" si="92"/>
        <v>-0.98218900858430513</v>
      </c>
      <c r="AN23" s="581">
        <f t="shared" si="93"/>
        <v>-10.829998436341691</v>
      </c>
      <c r="AO23" s="582">
        <f t="shared" si="94"/>
        <v>0</v>
      </c>
      <c r="AP23" s="585">
        <f t="shared" si="95"/>
        <v>-89.999930842492688</v>
      </c>
      <c r="AQ23" s="586">
        <f t="shared" si="9"/>
        <v>0.57873716090982696</v>
      </c>
      <c r="AS23" s="52">
        <f t="shared" si="116"/>
        <v>-18.888997272766233</v>
      </c>
      <c r="AT23" s="72">
        <f t="shared" si="10"/>
        <v>-0.159085429029237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1.2210000000000001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1.121</v>
      </c>
      <c r="II23" s="734" cm="1">
        <f t="array" ref="II23">IFERROR(ROUND(VALUE(IF($IH23&lt;1,$IH23+LARGE((IF($M$9:$M$150="",0,$M$9:$M$150)-MOD(IF($M$9:$M$150="",0,$M$9:$M$150),1)),1),$IH23)),4),"")</f>
        <v>1.121</v>
      </c>
      <c r="IJ23" s="533">
        <f t="shared" si="112"/>
        <v>1613</v>
      </c>
      <c r="IK23" s="533" t="str">
        <f t="shared" si="66"/>
        <v>Inactive</v>
      </c>
      <c r="IL23" s="727">
        <f t="shared" si="225"/>
        <v>17.600997458730376</v>
      </c>
      <c r="IM23" s="759">
        <v>3.9035524796700999E-2</v>
      </c>
      <c r="IN23" s="5">
        <f t="shared" si="226"/>
        <v>0.9</v>
      </c>
      <c r="IO23" s="771">
        <v>450</v>
      </c>
      <c r="IP23" s="9">
        <f t="shared" si="227"/>
        <v>-3.9316118577413635</v>
      </c>
      <c r="IQ23" s="5">
        <f t="shared" si="228"/>
        <v>-0.16630050156231271</v>
      </c>
      <c r="IR23" s="5">
        <f t="shared" si="71"/>
        <v>0.314</v>
      </c>
      <c r="IS23" s="5">
        <f t="shared" si="229"/>
        <v>0.30206106904715457</v>
      </c>
      <c r="IT23" s="727">
        <f t="shared" si="230"/>
        <v>30.140495455001176</v>
      </c>
      <c r="IU23" s="9">
        <f t="shared" si="231"/>
        <v>-3.9390059145287588</v>
      </c>
      <c r="IV23" s="5">
        <f t="shared" si="232"/>
        <v>-0.17220626046815665</v>
      </c>
      <c r="IW23" s="5">
        <f t="shared" si="76"/>
        <v>0.26250000000000001</v>
      </c>
      <c r="IX23" s="5">
        <f t="shared" si="233"/>
        <v>0.26250000000000001</v>
      </c>
      <c r="IY23" s="762">
        <f t="shared" si="234"/>
        <v>10.829998436341691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23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4</v>
      </c>
      <c r="JG23" s="801">
        <v>19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170</v>
      </c>
      <c r="JI23" s="801">
        <v>140</v>
      </c>
    </row>
    <row r="24" spans="1:269" ht="15" customHeight="1" x14ac:dyDescent="0.25">
      <c r="A24" s="79"/>
      <c r="B24" s="707">
        <v>1.1202427527333183</v>
      </c>
      <c r="C24" s="708">
        <v>4.5071213211716525</v>
      </c>
      <c r="D24" s="709">
        <v>-0.42554002219107512</v>
      </c>
      <c r="E24" s="710">
        <v>-0.79940309542768195</v>
      </c>
      <c r="F24" s="708">
        <v>0.48174359888995555</v>
      </c>
      <c r="G24" s="711">
        <v>0.35899553750596119</v>
      </c>
      <c r="H24" s="710">
        <v>0.26600000000000001</v>
      </c>
      <c r="I24" s="708">
        <v>0.52</v>
      </c>
      <c r="J24" s="570">
        <v>1.2270000000000001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1.2270000000000001</v>
      </c>
      <c r="N24" s="632">
        <f t="shared" si="2"/>
        <v>1.1202427527333183</v>
      </c>
      <c r="O24" s="629">
        <f t="shared" si="3"/>
        <v>4.5071213211716525</v>
      </c>
      <c r="P24" s="633">
        <f t="shared" si="4"/>
        <v>-0.42554002219107512</v>
      </c>
      <c r="Q24" s="585">
        <f t="shared" si="113"/>
        <v>76.042002015285576</v>
      </c>
      <c r="R24" s="629">
        <f t="shared" si="79"/>
        <v>4.6442530539163807</v>
      </c>
      <c r="S24" s="634">
        <f t="shared" si="80"/>
        <v>-0.42554002219107512</v>
      </c>
      <c r="T24" s="635">
        <f t="shared" si="81"/>
        <v>4.5072190636178568</v>
      </c>
      <c r="U24" s="629">
        <f t="shared" si="82"/>
        <v>-1.1198494279908353</v>
      </c>
      <c r="V24" s="636">
        <f t="shared" si="114"/>
        <v>-0.42554002219107512</v>
      </c>
      <c r="W24" s="585">
        <f t="shared" si="224"/>
        <v>346.04700201456365</v>
      </c>
      <c r="X24" s="629">
        <f t="shared" si="83"/>
        <v>4.6442530539163807</v>
      </c>
      <c r="Y24" s="630">
        <f t="shared" si="223"/>
        <v>-0.42554002219107512</v>
      </c>
      <c r="Z24" s="632">
        <f t="shared" si="6"/>
        <v>0.79940309542768195</v>
      </c>
      <c r="AA24" s="629">
        <f t="shared" si="7"/>
        <v>-0.48174359888995555</v>
      </c>
      <c r="AB24" s="629">
        <f t="shared" si="8"/>
        <v>-0.35899553750596119</v>
      </c>
      <c r="AC24" s="636">
        <f t="shared" si="84"/>
        <v>1</v>
      </c>
      <c r="AD24" s="637">
        <f t="shared" si="115"/>
        <v>0.79940309542768195</v>
      </c>
      <c r="AE24" s="629">
        <f t="shared" si="85"/>
        <v>-0.48174359888995555</v>
      </c>
      <c r="AF24" s="633">
        <f t="shared" si="86"/>
        <v>-0.35899553750596119</v>
      </c>
      <c r="AG24" s="602">
        <f t="shared" si="87"/>
        <v>-53.306505024914756</v>
      </c>
      <c r="AH24" s="603">
        <f t="shared" si="88"/>
        <v>36.926860089142956</v>
      </c>
      <c r="AI24" s="585">
        <f t="shared" si="89"/>
        <v>-68.961478643117573</v>
      </c>
      <c r="AJ24" s="586">
        <f t="shared" si="90"/>
        <v>58.92560829129765</v>
      </c>
      <c r="AK24" s="635">
        <f>IF(M24="","",(COS(RADIANS((90-$Q$8)-W24))*AD24)+(-SIN(RADIANS((90-$Q$8)-W24))*AE24))</f>
        <v>0.89200060006451376</v>
      </c>
      <c r="AL24" s="629">
        <f t="shared" si="91"/>
        <v>-0.27469461868655753</v>
      </c>
      <c r="AM24" s="634">
        <f t="shared" si="92"/>
        <v>-0.35899553750596119</v>
      </c>
      <c r="AN24" s="581">
        <f t="shared" si="93"/>
        <v>-37.422334184574588</v>
      </c>
      <c r="AO24" s="582">
        <f t="shared" si="94"/>
        <v>26.874272018015176</v>
      </c>
      <c r="AP24" s="585">
        <f t="shared" si="95"/>
        <v>-17.116393723987908</v>
      </c>
      <c r="AQ24" s="586">
        <f t="shared" si="9"/>
        <v>0.49085845056223149</v>
      </c>
      <c r="AS24" s="52">
        <f t="shared" si="116"/>
        <v>-13.952997985436355</v>
      </c>
      <c r="AT24" s="72">
        <f t="shared" si="10"/>
        <v>-0.41584696803502341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1.2270000000000001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1.127</v>
      </c>
      <c r="II24" s="734" cm="1">
        <f t="array" ref="II24">IFERROR(ROUND(VALUE(IF($IH24&lt;1,$IH24+LARGE((IF($M$9:$M$150="",0,$M$9:$M$150)-MOD(IF($M$9:$M$150="",0,$M$9:$M$150),1)),1),$IH24)),4),"")</f>
        <v>1.127</v>
      </c>
      <c r="IJ24" s="533">
        <f t="shared" si="112"/>
        <v>1613</v>
      </c>
      <c r="IK24" s="533">
        <f t="shared" si="66"/>
        <v>1313</v>
      </c>
      <c r="IL24" s="727">
        <f t="shared" si="225"/>
        <v>11.67599831419443</v>
      </c>
      <c r="IM24" s="759">
        <v>1.1911469070672E-2</v>
      </c>
      <c r="IN24" s="5">
        <f t="shared" si="226"/>
        <v>0.34</v>
      </c>
      <c r="IO24" s="771">
        <v>170</v>
      </c>
      <c r="IP24" s="9">
        <f t="shared" si="227"/>
        <v>-4.6211139372796337</v>
      </c>
      <c r="IQ24" s="5">
        <f t="shared" si="228"/>
        <v>-0.47080141993708247</v>
      </c>
      <c r="IR24" s="5">
        <f t="shared" si="71"/>
        <v>0.314</v>
      </c>
      <c r="IS24" s="5">
        <f t="shared" si="229"/>
        <v>0.29955476744739734</v>
      </c>
      <c r="IT24" s="727">
        <f t="shared" si="230"/>
        <v>45.831319261720076</v>
      </c>
      <c r="IU24" s="9">
        <f t="shared" si="231"/>
        <v>-4.6442530539163807</v>
      </c>
      <c r="IV24" s="5">
        <f t="shared" si="232"/>
        <v>-0.42554002219107512</v>
      </c>
      <c r="IW24" s="5">
        <f t="shared" si="76"/>
        <v>0.26600000000000001</v>
      </c>
      <c r="IX24" s="5">
        <f t="shared" si="233"/>
        <v>0.23727215961716067</v>
      </c>
      <c r="IY24" s="762">
        <f t="shared" si="234"/>
        <v>37.422334184574588</v>
      </c>
      <c r="JA24" s="798" t="str">
        <v>Inactive</v>
      </c>
      <c r="JB24" s="856" cm="1">
        <f t="array" ref="JB24">IF($JA24="","",COUNT(IF(IF($II$9:$II$150&lt;&gt;"",$IK$9:$IK$150,"")=$JA24,$IG$9:$IG$150,"")))</f>
        <v>11</v>
      </c>
      <c r="JC24" s="5"/>
      <c r="JD24" s="5"/>
      <c r="JE24" s="10"/>
      <c r="JF24" s="247">
        <v>11</v>
      </c>
      <c r="JG24" s="803" t="str">
        <v/>
      </c>
      <c r="JH24" s="787">
        <v>360</v>
      </c>
      <c r="JI24" s="803" t="str">
        <v/>
      </c>
    </row>
    <row r="25" spans="1:269" ht="15" customHeight="1" x14ac:dyDescent="0.25">
      <c r="A25" s="79"/>
      <c r="B25" s="707">
        <v>1.2514839228736034</v>
      </c>
      <c r="C25" s="708">
        <v>5.0702926219928539</v>
      </c>
      <c r="D25" s="709">
        <v>-0.92558570476999358</v>
      </c>
      <c r="E25" s="710">
        <v>-0.7678362904734084</v>
      </c>
      <c r="F25" s="708">
        <v>0.56647210893896038</v>
      </c>
      <c r="G25" s="711">
        <v>0.29922697209022159</v>
      </c>
      <c r="H25" s="710">
        <v>0.26600000000000001</v>
      </c>
      <c r="I25" s="708">
        <v>0.52</v>
      </c>
      <c r="J25" s="570">
        <v>1.2330000000000001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1.2330000000000001</v>
      </c>
      <c r="N25" s="632">
        <f t="shared" si="2"/>
        <v>1.2514839228736034</v>
      </c>
      <c r="O25" s="629">
        <f t="shared" si="3"/>
        <v>5.0702926219928539</v>
      </c>
      <c r="P25" s="633">
        <f t="shared" si="4"/>
        <v>-0.92558570476999358</v>
      </c>
      <c r="Q25" s="585">
        <f t="shared" si="113"/>
        <v>76.135002001858027</v>
      </c>
      <c r="R25" s="629">
        <f>IF(M25="","",SQRT(N25^2+O25^2))</f>
        <v>5.2224591220847554</v>
      </c>
      <c r="S25" s="634">
        <f>IF(M25="","",P25)</f>
        <v>-0.92558570476999358</v>
      </c>
      <c r="T25" s="635">
        <f>IF(M25="","",X25*COS(RADIANS(W25)))</f>
        <v>5.070401815245658</v>
      </c>
      <c r="U25" s="629">
        <f>IF(M25="","",X25*SIN(RADIANS(W25)))</f>
        <v>-1.2510414516712889</v>
      </c>
      <c r="V25" s="636">
        <f>IF(M25="","",Y25)</f>
        <v>-0.92558570476999358</v>
      </c>
      <c r="W25" s="585">
        <f t="shared" si="224"/>
        <v>346.14000200113611</v>
      </c>
      <c r="X25" s="629">
        <f>IF(M25="","",R25)</f>
        <v>5.2224591220847554</v>
      </c>
      <c r="Y25" s="630">
        <f t="shared" si="223"/>
        <v>-0.92558570476999358</v>
      </c>
      <c r="Z25" s="632">
        <f t="shared" si="6"/>
        <v>0.7678362904734084</v>
      </c>
      <c r="AA25" s="629">
        <f t="shared" si="7"/>
        <v>-0.56647210893896038</v>
      </c>
      <c r="AB25" s="629">
        <f t="shared" si="8"/>
        <v>-0.29922697209022159</v>
      </c>
      <c r="AC25" s="636">
        <f>IF(M25="","",SQRT(Z25^2+AA25^2+AB25^2))</f>
        <v>1</v>
      </c>
      <c r="AD25" s="637">
        <f>IF(M25="","",Z25*(1/SQRT(Z25^2+AA25^2+AB25^2)))</f>
        <v>0.7678362904734084</v>
      </c>
      <c r="AE25" s="629">
        <f>IF(M25="","",AA25*(1/SQRT(Z25^2+AA25^2+AB25^2)))</f>
        <v>-0.56647210893896038</v>
      </c>
      <c r="AF25" s="633">
        <f>IF(M25="","",AB25*(1/SQRT(Z25^2+AA25^2+AB25^2)))</f>
        <v>-0.29922697209022159</v>
      </c>
      <c r="AG25" s="602">
        <f>IF(M25="","",DEGREES(ATAN2(-AF25,AE25)))</f>
        <v>-62.155688570978938</v>
      </c>
      <c r="AH25" s="603">
        <f>IF(M25="","",DEGREES(ACOS(AD25)))</f>
        <v>39.840014761787678</v>
      </c>
      <c r="AI25" s="585">
        <f>IF(M25="","",DEGREES(-ACOS(-AF25)))</f>
        <v>-72.588820798480469</v>
      </c>
      <c r="AJ25" s="586">
        <f>IF(M25="","",DEGREES(ATAN2(-AE25,AD25)))</f>
        <v>53.581906015982057</v>
      </c>
      <c r="AK25" s="635">
        <f>IF(M25="","",(COS(RADIANS((90-$Q$8)-W25))*AD25)+(-SIN(RADIANS((90-$Q$8)-W25))*AE25))</f>
        <v>0.88121042367144264</v>
      </c>
      <c r="AL25" s="629">
        <f>IF(M25="","",(SIN(RADIANS((90-$Q$8)-W25))*AD25)+(COS(RADIANS((90-$Q$8)-W25))*AE25))</f>
        <v>-0.36596640335762276</v>
      </c>
      <c r="AM25" s="634">
        <f>IF(M25="","",AF25)</f>
        <v>-0.29922697209022159</v>
      </c>
      <c r="AN25" s="581">
        <f>IF(M25="","",DEGREES(ATAN2(-AM25,AL25)))</f>
        <v>-50.729362380478946</v>
      </c>
      <c r="AO25" s="582">
        <f>IF(ROUND(IF(M25="",0,DEGREES(ACOS(AK25))),4)=90,0,IF(M25="","",DEGREES(ACOS(AK25))))</f>
        <v>28.211277425907149</v>
      </c>
      <c r="AP25" s="585">
        <f>IF(M25="","",DEGREES(ATAN2(AK25,AL25)))</f>
        <v>-22.55309598587597</v>
      </c>
      <c r="AQ25" s="586">
        <f t="shared" si="9"/>
        <v>0.4365151494231122</v>
      </c>
      <c r="AS25" s="52">
        <f t="shared" si="116"/>
        <v>-13.859997998863889</v>
      </c>
      <c r="AT25" s="72">
        <f t="shared" si="10"/>
        <v>-0.91595723393795059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1.2330000000000001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1.133</v>
      </c>
      <c r="II25" s="734" cm="1">
        <f t="array" ref="II25">IFERROR(ROUND(VALUE(IF($IH25&lt;1,$IH25+LARGE((IF($M$9:$M$150="",0,$M$9:$M$150)-MOD(IF($M$9:$M$150="",0,$M$9:$M$150),1)),1),$IH25)),4),"")</f>
        <v>1.133</v>
      </c>
      <c r="IJ25" s="533">
        <f t="shared" si="112"/>
        <v>1613</v>
      </c>
      <c r="IK25" s="533">
        <f t="shared" si="66"/>
        <v>1313</v>
      </c>
      <c r="IL25" s="727">
        <f t="shared" si="225"/>
        <v>10.676998458432138</v>
      </c>
      <c r="IM25" s="759">
        <v>9.7296161538545194E-3</v>
      </c>
      <c r="IN25" s="5">
        <f t="shared" si="226"/>
        <v>0.32</v>
      </c>
      <c r="IO25" s="771">
        <v>160</v>
      </c>
      <c r="IP25" s="9">
        <f t="shared" si="227"/>
        <v>-5.1885156485631958</v>
      </c>
      <c r="IQ25" s="5">
        <f t="shared" si="228"/>
        <v>-0.96700291648079617</v>
      </c>
      <c r="IR25" s="5">
        <f t="shared" si="71"/>
        <v>0.314</v>
      </c>
      <c r="IS25" s="5">
        <f t="shared" si="229"/>
        <v>0.29697828570895529</v>
      </c>
      <c r="IT25" s="727">
        <f t="shared" si="230"/>
        <v>59.585738932340547</v>
      </c>
      <c r="IU25" s="9">
        <f t="shared" si="231"/>
        <v>-5.2224591220847554</v>
      </c>
      <c r="IV25" s="5">
        <f t="shared" si="232"/>
        <v>-0.92558570476999358</v>
      </c>
      <c r="IW25" s="5">
        <f t="shared" si="76"/>
        <v>0.26600000000000001</v>
      </c>
      <c r="IX25" s="5">
        <f t="shared" si="233"/>
        <v>0.23440197269660376</v>
      </c>
      <c r="IY25" s="762">
        <f t="shared" si="234"/>
        <v>50.729362380478946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1.3573913831080517</v>
      </c>
      <c r="C26" s="708">
        <v>5.4600304131980124</v>
      </c>
      <c r="D26" s="709">
        <v>-1.574284601471494</v>
      </c>
      <c r="E26" s="710">
        <v>-0.72910561354169945</v>
      </c>
      <c r="F26" s="708">
        <v>0.64287003233686146</v>
      </c>
      <c r="G26" s="711">
        <v>0.23478314638232631</v>
      </c>
      <c r="H26" s="710">
        <v>0.26600000000000001</v>
      </c>
      <c r="I26" s="708">
        <v>0.52</v>
      </c>
      <c r="J26" s="570">
        <v>1.2390000000000001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1.2390000000000001</v>
      </c>
      <c r="N26" s="632">
        <f t="shared" si="2"/>
        <v>1.3573913831080517</v>
      </c>
      <c r="O26" s="629">
        <f t="shared" si="3"/>
        <v>5.4600304131980124</v>
      </c>
      <c r="P26" s="633">
        <f t="shared" si="4"/>
        <v>-1.574284601471494</v>
      </c>
      <c r="Q26" s="585">
        <f t="shared" si="113"/>
        <v>76.039002015718708</v>
      </c>
      <c r="R26" s="629">
        <f>IF(M26="","",SQRT(N26^2+O26^2))</f>
        <v>5.6262281752505601</v>
      </c>
      <c r="S26" s="634">
        <f>IF(M26="","",P26)</f>
        <v>-1.574284601471494</v>
      </c>
      <c r="T26" s="635">
        <f>IF(M26="","",X26*COS(RADIANS(W26)))</f>
        <v>5.4601488471348771</v>
      </c>
      <c r="U26" s="629">
        <f>IF(M26="","",X26*SIN(RADIANS(W26)))</f>
        <v>-1.3569149004690442</v>
      </c>
      <c r="V26" s="636">
        <f>IF(M26="","",Y26)</f>
        <v>-1.574284601471494</v>
      </c>
      <c r="W26" s="585">
        <f t="shared" si="224"/>
        <v>346.04400201499681</v>
      </c>
      <c r="X26" s="629">
        <f>IF(M26="","",R26)</f>
        <v>5.6262281752505601</v>
      </c>
      <c r="Y26" s="630">
        <f t="shared" si="223"/>
        <v>-1.574284601471494</v>
      </c>
      <c r="Z26" s="632">
        <f t="shared" si="6"/>
        <v>0.72910561354169945</v>
      </c>
      <c r="AA26" s="629">
        <f t="shared" si="7"/>
        <v>-0.64287003233686146</v>
      </c>
      <c r="AB26" s="629">
        <f t="shared" si="8"/>
        <v>-0.23478314638232631</v>
      </c>
      <c r="AC26" s="636">
        <f>IF(M26="","",SQRT(Z26^2+AA26^2+AB26^2))</f>
        <v>1</v>
      </c>
      <c r="AD26" s="637">
        <f>IF(M26="","",Z26*(1/SQRT(Z26^2+AA26^2+AB26^2)))</f>
        <v>0.72910561354169945</v>
      </c>
      <c r="AE26" s="629">
        <f>IF(M26="","",AA26*(1/SQRT(Z26^2+AA26^2+AB26^2)))</f>
        <v>-0.64287003233686146</v>
      </c>
      <c r="AF26" s="633">
        <f>IF(M26="","",AB26*(1/SQRT(Z26^2+AA26^2+AB26^2)))</f>
        <v>-0.23478314638232631</v>
      </c>
      <c r="AG26" s="602">
        <f>IF(M26="","",DEGREES(ATAN2(-AF26,AE26)))</f>
        <v>-69.937255229860909</v>
      </c>
      <c r="AH26" s="603">
        <f>IF(M26="","",DEGREES(ACOS(AD26)))</f>
        <v>43.188533202492906</v>
      </c>
      <c r="AI26" s="585">
        <f>IF(M26="","",DEGREES(-ACOS(-AF26)))</f>
        <v>-76.421159655343246</v>
      </c>
      <c r="AJ26" s="586">
        <f>IF(M26="","",DEGREES(ATAN2(-AE26,AD26)))</f>
        <v>48.596596946477469</v>
      </c>
      <c r="AK26" s="635">
        <f>IF(M26="","",(COS(RADIANS((90-$Q$8)-W26))*AD26)+(-SIN(RADIANS((90-$Q$8)-W26))*AE26))</f>
        <v>0.86266765505069032</v>
      </c>
      <c r="AL26" s="629">
        <f>IF(M26="","",(SIN(RADIANS((90-$Q$8)-W26))*AD26)+(COS(RADIANS((90-$Q$8)-W26))*AE26))</f>
        <v>-0.44797476614666404</v>
      </c>
      <c r="AM26" s="634">
        <f>IF(M26="","",AF26)</f>
        <v>-0.23478314638232631</v>
      </c>
      <c r="AN26" s="581">
        <f>IF(M26="","",DEGREES(ATAN2(-AM26,AL26)))</f>
        <v>-62.341009428635473</v>
      </c>
      <c r="AO26" s="582">
        <f t="shared" si="94"/>
        <v>30.382560396340295</v>
      </c>
      <c r="AP26" s="585">
        <f>IF(M26="","",DEGREES(ATAN2(AK26,AL26)))</f>
        <v>-27.442405069241261</v>
      </c>
      <c r="AQ26" s="586">
        <f t="shared" si="9"/>
        <v>0.40518950823270827</v>
      </c>
      <c r="AS26" s="52">
        <f t="shared" si="116"/>
        <v>-13.955997985003194</v>
      </c>
      <c r="AT26" s="72">
        <f t="shared" si="10"/>
        <v>-1.5645894639824098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1.2390000000000001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1.139</v>
      </c>
      <c r="II26" s="734" cm="1">
        <f t="array" ref="II26">IFERROR(ROUND(VALUE(IF($IH26&lt;1,$IH26+LARGE((IF($M$9:$M$150="",0,$M$9:$M$150)-MOD(IF($M$9:$M$150="",0,$M$9:$M$150),1)),1),$IH26)),4),"")</f>
        <v>1.139</v>
      </c>
      <c r="IJ26" s="533">
        <f t="shared" si="112"/>
        <v>1613</v>
      </c>
      <c r="IK26" s="533">
        <f t="shared" si="66"/>
        <v>1313</v>
      </c>
      <c r="IL26" s="727">
        <f t="shared" si="225"/>
        <v>10.110998540152423</v>
      </c>
      <c r="IM26" s="759">
        <v>7.7435142043985397E-3</v>
      </c>
      <c r="IN26" s="5">
        <f t="shared" si="226"/>
        <v>0.3</v>
      </c>
      <c r="IO26" s="771">
        <v>150</v>
      </c>
      <c r="IP26" s="9">
        <f t="shared" si="227"/>
        <v>-5.5822168359659781</v>
      </c>
      <c r="IQ26" s="5">
        <f t="shared" si="228"/>
        <v>-1.6097048548698423</v>
      </c>
      <c r="IR26" s="5">
        <f t="shared" si="71"/>
        <v>0.314</v>
      </c>
      <c r="IS26" s="5">
        <f t="shared" si="229"/>
        <v>0.29283565825974178</v>
      </c>
      <c r="IT26" s="727">
        <f t="shared" si="230"/>
        <v>70.490763213102113</v>
      </c>
      <c r="IU26" s="9">
        <f t="shared" si="231"/>
        <v>-5.6262281752505601</v>
      </c>
      <c r="IV26" s="5">
        <f t="shared" si="232"/>
        <v>-1.574284601471494</v>
      </c>
      <c r="IW26" s="5">
        <f t="shared" si="76"/>
        <v>0.26600000000000001</v>
      </c>
      <c r="IX26" s="5">
        <f t="shared" si="233"/>
        <v>0.22946959624348368</v>
      </c>
      <c r="IY26" s="762">
        <f t="shared" si="234"/>
        <v>62.341009428635473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1.4139924150231884</v>
      </c>
      <c r="C27" s="708">
        <v>5.6510422191123677</v>
      </c>
      <c r="D27" s="709">
        <v>-2.3160312758760231</v>
      </c>
      <c r="E27" s="710">
        <v>-0.70593761388194554</v>
      </c>
      <c r="F27" s="708">
        <v>0.69264979303052532</v>
      </c>
      <c r="G27" s="711">
        <v>0.14794711731370702</v>
      </c>
      <c r="H27" s="710">
        <v>0.26600000000000001</v>
      </c>
      <c r="I27" s="708">
        <v>0.52</v>
      </c>
      <c r="J27" s="570">
        <v>1.2450000000000001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1.2450000000000001</v>
      </c>
      <c r="N27" s="632">
        <f t="shared" si="2"/>
        <v>1.4139924150231884</v>
      </c>
      <c r="O27" s="629">
        <f t="shared" si="3"/>
        <v>5.6510422191123677</v>
      </c>
      <c r="P27" s="633">
        <f t="shared" si="4"/>
        <v>-2.3160312758760231</v>
      </c>
      <c r="Q27" s="585">
        <f t="shared" si="113"/>
        <v>75.952002028279963</v>
      </c>
      <c r="R27" s="629">
        <f t="shared" si="79"/>
        <v>5.8252598836389726</v>
      </c>
      <c r="S27" s="634">
        <f t="shared" si="80"/>
        <v>-2.3160312758760231</v>
      </c>
      <c r="T27" s="635">
        <f t="shared" si="81"/>
        <v>5.6511655916930286</v>
      </c>
      <c r="U27" s="629">
        <f t="shared" si="82"/>
        <v>-1.413499263246474</v>
      </c>
      <c r="V27" s="636">
        <f t="shared" si="114"/>
        <v>-2.3160312758760231</v>
      </c>
      <c r="W27" s="585">
        <f t="shared" si="224"/>
        <v>345.95700202755802</v>
      </c>
      <c r="X27" s="629">
        <f t="shared" si="83"/>
        <v>5.8252598836389726</v>
      </c>
      <c r="Y27" s="630">
        <f t="shared" si="223"/>
        <v>-2.3160312758760231</v>
      </c>
      <c r="Z27" s="632">
        <f t="shared" si="6"/>
        <v>0.70593761388194554</v>
      </c>
      <c r="AA27" s="629">
        <f t="shared" si="7"/>
        <v>-0.69264979303052532</v>
      </c>
      <c r="AB27" s="629">
        <f t="shared" si="8"/>
        <v>-0.14794711731370702</v>
      </c>
      <c r="AC27" s="636">
        <f t="shared" si="84"/>
        <v>1</v>
      </c>
      <c r="AD27" s="637">
        <f t="shared" si="115"/>
        <v>0.70593761388194554</v>
      </c>
      <c r="AE27" s="629">
        <f t="shared" si="85"/>
        <v>-0.69264979303052532</v>
      </c>
      <c r="AF27" s="633">
        <f t="shared" si="86"/>
        <v>-0.14794711731370702</v>
      </c>
      <c r="AG27" s="602">
        <f t="shared" si="87"/>
        <v>-77.943039585009899</v>
      </c>
      <c r="AH27" s="603">
        <f t="shared" si="88"/>
        <v>45.094657687706253</v>
      </c>
      <c r="AI27" s="585">
        <f t="shared" si="89"/>
        <v>-81.492022306646447</v>
      </c>
      <c r="AJ27" s="586">
        <f t="shared" si="90"/>
        <v>45.544344345864232</v>
      </c>
      <c r="AK27" s="635">
        <f t="shared" si="211"/>
        <v>0.85295504629314212</v>
      </c>
      <c r="AL27" s="629">
        <f t="shared" si="91"/>
        <v>-0.5005790042357231</v>
      </c>
      <c r="AM27" s="634">
        <f t="shared" si="92"/>
        <v>-0.14794711731370702</v>
      </c>
      <c r="AN27" s="581">
        <f t="shared" si="93"/>
        <v>-73.534850779716407</v>
      </c>
      <c r="AO27" s="582">
        <f t="shared" si="94"/>
        <v>31.465453900874696</v>
      </c>
      <c r="AP27" s="585">
        <f t="shared" si="95"/>
        <v>-30.40765768241571</v>
      </c>
      <c r="AQ27" s="586">
        <f t="shared" si="9"/>
        <v>0.39134583274043655</v>
      </c>
      <c r="AS27" s="52">
        <f t="shared" si="116"/>
        <v>-14.042997972441981</v>
      </c>
      <c r="AT27" s="72">
        <f t="shared" si="10"/>
        <v>-2.3062757217289951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1.2450000000000001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1.145</v>
      </c>
      <c r="II27" s="734" cm="1">
        <f t="array" ref="II27">IFERROR(ROUND(VALUE(IF($IH27&lt;1,$IH27+LARGE((IF($M$9:$M$150="",0,$M$9:$M$150)-MOD(IF($M$9:$M$150="",0,$M$9:$M$150),1)),1),$IH27)),4),"")</f>
        <v>1.145</v>
      </c>
      <c r="IJ27" s="533">
        <f t="shared" si="112"/>
        <v>1613</v>
      </c>
      <c r="IK27" s="533">
        <f t="shared" si="66"/>
        <v>1313</v>
      </c>
      <c r="IL27" s="727">
        <f t="shared" si="225"/>
        <v>9.8559985769699097</v>
      </c>
      <c r="IM27" s="759">
        <v>5.4654224254914001E-3</v>
      </c>
      <c r="IN27" s="5">
        <f t="shared" si="226"/>
        <v>0.3</v>
      </c>
      <c r="IO27" s="771">
        <v>150</v>
      </c>
      <c r="IP27" s="9">
        <f t="shared" si="227"/>
        <v>-5.7795174310245718</v>
      </c>
      <c r="IQ27" s="5">
        <f t="shared" si="228"/>
        <v>-2.338107051730868</v>
      </c>
      <c r="IR27" s="5">
        <f t="shared" si="71"/>
        <v>0.314</v>
      </c>
      <c r="IS27" s="5">
        <f t="shared" si="229"/>
        <v>0.28252397930573098</v>
      </c>
      <c r="IT27" s="727">
        <f t="shared" si="230"/>
        <v>77.537060244072507</v>
      </c>
      <c r="IU27" s="9">
        <f t="shared" si="231"/>
        <v>-5.8252598836389726</v>
      </c>
      <c r="IV27" s="5">
        <f t="shared" si="232"/>
        <v>-2.3160312758760231</v>
      </c>
      <c r="IW27" s="5">
        <f t="shared" si="76"/>
        <v>0.26600000000000001</v>
      </c>
      <c r="IX27" s="5">
        <f t="shared" si="233"/>
        <v>0.22688604231397583</v>
      </c>
      <c r="IY27" s="762">
        <f t="shared" si="234"/>
        <v>73.534850779716407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2.7777850701617139</v>
      </c>
      <c r="C28" s="708">
        <v>1.2761677323517269</v>
      </c>
      <c r="D28" s="709">
        <v>-0.17910026872641044</v>
      </c>
      <c r="E28" s="710">
        <v>-0.37497876330148971</v>
      </c>
      <c r="F28" s="708">
        <v>0.88967201713831567</v>
      </c>
      <c r="G28" s="711">
        <v>0.2605275973748768</v>
      </c>
      <c r="H28" s="710">
        <v>0.314</v>
      </c>
      <c r="I28" s="708">
        <v>0.52</v>
      </c>
      <c r="J28" s="570">
        <v>2.1139999999999999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2.1139999999999999</v>
      </c>
      <c r="N28" s="632">
        <f t="shared" si="2"/>
        <v>2.7777850701617139</v>
      </c>
      <c r="O28" s="629">
        <f t="shared" si="3"/>
        <v>1.2761677323517269</v>
      </c>
      <c r="P28" s="633">
        <f t="shared" si="4"/>
        <v>-0.17910026872641044</v>
      </c>
      <c r="Q28" s="585">
        <f t="shared" si="113"/>
        <v>24.674957454200133</v>
      </c>
      <c r="R28" s="629">
        <f t="shared" si="79"/>
        <v>3.0569092196382064</v>
      </c>
      <c r="S28" s="634">
        <f t="shared" si="80"/>
        <v>-0.17910026872641044</v>
      </c>
      <c r="T28" s="635">
        <f t="shared" si="81"/>
        <v>1.2764101349340684</v>
      </c>
      <c r="U28" s="629">
        <f t="shared" si="82"/>
        <v>-2.7776736929572308</v>
      </c>
      <c r="V28" s="636">
        <f t="shared" si="114"/>
        <v>-0.17910026872641044</v>
      </c>
      <c r="W28" s="585">
        <f t="shared" si="224"/>
        <v>294.67995745347821</v>
      </c>
      <c r="X28" s="629">
        <f t="shared" si="83"/>
        <v>3.0569092196382064</v>
      </c>
      <c r="Y28" s="630">
        <f t="shared" si="223"/>
        <v>-0.17910026872641044</v>
      </c>
      <c r="Z28" s="632">
        <f t="shared" si="6"/>
        <v>0.37497876330148971</v>
      </c>
      <c r="AA28" s="629">
        <f t="shared" si="7"/>
        <v>-0.88967201713831567</v>
      </c>
      <c r="AB28" s="629">
        <f t="shared" si="8"/>
        <v>-0.2605275973748768</v>
      </c>
      <c r="AC28" s="636">
        <f t="shared" si="84"/>
        <v>1</v>
      </c>
      <c r="AD28" s="637">
        <f t="shared" si="115"/>
        <v>0.37497876330148971</v>
      </c>
      <c r="AE28" s="629">
        <f t="shared" si="85"/>
        <v>-0.88967201713831567</v>
      </c>
      <c r="AF28" s="633">
        <f t="shared" si="86"/>
        <v>-0.2605275973748768</v>
      </c>
      <c r="AG28" s="602">
        <f t="shared" si="87"/>
        <v>-73.678093058548882</v>
      </c>
      <c r="AH28" s="603">
        <f t="shared" si="88"/>
        <v>67.976999714189944</v>
      </c>
      <c r="AI28" s="585">
        <f t="shared" si="89"/>
        <v>-74.898629799398876</v>
      </c>
      <c r="AJ28" s="586">
        <f t="shared" si="90"/>
        <v>22.854439186213124</v>
      </c>
      <c r="AK28" s="635">
        <f t="shared" si="211"/>
        <v>0.96497907940462502</v>
      </c>
      <c r="AL28" s="629">
        <f t="shared" si="91"/>
        <v>-3.0671604416406484E-2</v>
      </c>
      <c r="AM28" s="634">
        <f t="shared" si="92"/>
        <v>-0.2605275973748768</v>
      </c>
      <c r="AN28" s="581">
        <f t="shared" si="93"/>
        <v>-6.7144569038611142</v>
      </c>
      <c r="AO28" s="582">
        <f t="shared" si="94"/>
        <v>15.208174108501202</v>
      </c>
      <c r="AP28" s="585">
        <f t="shared" si="95"/>
        <v>-1.8205182679869938</v>
      </c>
      <c r="AQ28" s="586">
        <f t="shared" si="9"/>
        <v>0.74571985633111315</v>
      </c>
      <c r="AS28" s="52">
        <f t="shared" si="116"/>
        <v>-65.32004254652179</v>
      </c>
      <c r="AT28" s="72">
        <f t="shared" si="10"/>
        <v>-0.13373565584738276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2.1139999999999999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3.4834115429492432</v>
      </c>
      <c r="C29" s="708">
        <v>1.5411600671560839</v>
      </c>
      <c r="D29" s="709">
        <v>-0.22640041138364075</v>
      </c>
      <c r="E29" s="710">
        <v>-0.27629677922628815</v>
      </c>
      <c r="F29" s="708">
        <v>0.93024162261456744</v>
      </c>
      <c r="G29" s="711">
        <v>0.24147590634387628</v>
      </c>
      <c r="H29" s="710">
        <v>0.314</v>
      </c>
      <c r="I29" s="708">
        <v>0.52</v>
      </c>
      <c r="J29" s="570">
        <v>2.12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843"/>
      <c r="M29" s="168">
        <f t="shared" si="1"/>
        <v>2.12</v>
      </c>
      <c r="N29" s="632">
        <f t="shared" si="2"/>
        <v>3.4834115429492432</v>
      </c>
      <c r="O29" s="629">
        <f t="shared" si="3"/>
        <v>1.5411600671560839</v>
      </c>
      <c r="P29" s="633">
        <f t="shared" si="4"/>
        <v>-0.22640041138364075</v>
      </c>
      <c r="Q29" s="585">
        <f t="shared" si="113"/>
        <v>23.865957571005271</v>
      </c>
      <c r="R29" s="629">
        <f>IF(M29="","",SQRT(N29^2+O29^2))</f>
        <v>3.8091114882802488</v>
      </c>
      <c r="S29" s="634">
        <f>IF(M29="","",P29)</f>
        <v>-0.22640041138364075</v>
      </c>
      <c r="T29" s="635">
        <f>IF(M29="","",X29*COS(RADIANS(W29)))</f>
        <v>1.5414640462466389</v>
      </c>
      <c r="U29" s="629">
        <f>IF(M29="","",X29*SIN(RADIANS(W29)))</f>
        <v>-3.4832770381176275</v>
      </c>
      <c r="V29" s="636">
        <f>IF(M29="","",Y29)</f>
        <v>-0.22640041138364075</v>
      </c>
      <c r="W29" s="585">
        <f t="shared" si="224"/>
        <v>293.87095757028334</v>
      </c>
      <c r="X29" s="629">
        <f>IF(M29="","",R29)</f>
        <v>3.8091114882802488</v>
      </c>
      <c r="Y29" s="630">
        <f t="shared" si="223"/>
        <v>-0.22640041138364075</v>
      </c>
      <c r="Z29" s="632">
        <f t="shared" si="6"/>
        <v>0.27629677922628815</v>
      </c>
      <c r="AA29" s="629">
        <f t="shared" si="7"/>
        <v>-0.93024162261456744</v>
      </c>
      <c r="AB29" s="629">
        <f t="shared" si="8"/>
        <v>-0.24147590634387628</v>
      </c>
      <c r="AC29" s="636">
        <f>IF(M29="","",SQRT(Z29^2+AA29^2+AB29^2))</f>
        <v>1</v>
      </c>
      <c r="AD29" s="637">
        <f>IF(M29="","",Z29*(1/SQRT(Z29^2+AA29^2+AB29^2)))</f>
        <v>0.27629677922628815</v>
      </c>
      <c r="AE29" s="629">
        <f>IF(M29="","",AA29*(1/SQRT(Z29^2+AA29^2+AB29^2)))</f>
        <v>-0.93024162261456744</v>
      </c>
      <c r="AF29" s="633">
        <f>IF(M29="","",AB29*(1/SQRT(Z29^2+AA29^2+AB29^2)))</f>
        <v>-0.24147590634387628</v>
      </c>
      <c r="AG29" s="602">
        <f>IF(M29="","",DEGREES(ATAN2(-AF29,AE29)))</f>
        <v>-75.448108132281163</v>
      </c>
      <c r="AH29" s="603">
        <f>IF(M29="","",DEGREES(ACOS(AD29)))</f>
        <v>73.960691351664465</v>
      </c>
      <c r="AI29" s="585">
        <f>IF(M29="","",DEGREES(-ACOS(-AF29)))</f>
        <v>-76.026334073430959</v>
      </c>
      <c r="AJ29" s="586">
        <f>IF(M29="","",DEGREES(ATAN2(-AE29,AD29)))</f>
        <v>16.542269485155053</v>
      </c>
      <c r="AK29" s="635">
        <f>IF(M29="","",(COS(RADIANS((90-$Q$8)-W29))*AD29)+(-SIN(RADIANS((90-$Q$8)-W29))*AE29))</f>
        <v>0.96249006626741129</v>
      </c>
      <c r="AL29" s="629">
        <f>IF(M29="","",(SIN(RADIANS((90-$Q$8)-W29))*AD29)+(COS(RADIANS((90-$Q$8)-W29))*AE29))</f>
        <v>-0.12370229986527265</v>
      </c>
      <c r="AM29" s="634">
        <f>IF(M29="","",AF29)</f>
        <v>-0.24147590634387628</v>
      </c>
      <c r="AN29" s="581">
        <f>IF(M29="","",DEGREES(ATAN2(-AM29,AL29)))</f>
        <v>-27.12497204208637</v>
      </c>
      <c r="AO29" s="582">
        <f t="shared" si="94"/>
        <v>15.742646433086161</v>
      </c>
      <c r="AP29" s="585">
        <f>IF(M29="","",DEGREES(ATAN2(AK29,AL29)))</f>
        <v>-7.3236880858501818</v>
      </c>
      <c r="AQ29" s="586">
        <f t="shared" si="9"/>
        <v>0.5984712521913117</v>
      </c>
      <c r="AS29" s="52">
        <f t="shared" si="116"/>
        <v>-66.129042429716662</v>
      </c>
      <c r="AT29" s="72">
        <f t="shared" si="10"/>
        <v>-0.18047399303017217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23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140</v>
      </c>
    </row>
    <row r="30" spans="1:269" ht="15" customHeight="1" x14ac:dyDescent="0.25">
      <c r="A30" s="79"/>
      <c r="B30" s="707">
        <v>4.1579671967361005</v>
      </c>
      <c r="C30" s="708">
        <v>1.7548513502944634</v>
      </c>
      <c r="D30" s="709">
        <v>-0.49580122389649117</v>
      </c>
      <c r="E30" s="710">
        <v>-0.19045307823629931</v>
      </c>
      <c r="F30" s="708">
        <v>0.96074952538239411</v>
      </c>
      <c r="G30" s="711">
        <v>0.20171260364147431</v>
      </c>
      <c r="H30" s="710">
        <v>0.314</v>
      </c>
      <c r="I30" s="708">
        <v>0.52</v>
      </c>
      <c r="J30" s="570">
        <v>2.1259999999999999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843"/>
      <c r="M30" s="168">
        <f t="shared" si="1"/>
        <v>2.1259999999999999</v>
      </c>
      <c r="N30" s="632">
        <f t="shared" si="2"/>
        <v>4.1579671967361005</v>
      </c>
      <c r="O30" s="629">
        <f t="shared" si="3"/>
        <v>1.7548513502944634</v>
      </c>
      <c r="P30" s="633">
        <f t="shared" si="4"/>
        <v>-0.49580122389649117</v>
      </c>
      <c r="Q30" s="585">
        <f t="shared" si="113"/>
        <v>22.881957713077274</v>
      </c>
      <c r="R30" s="629">
        <f>IF(M30="","",SQRT(N30^2+O30^2))</f>
        <v>4.5131136115506516</v>
      </c>
      <c r="S30" s="634">
        <f>IF(M30="","",P30)</f>
        <v>-0.49580122389649117</v>
      </c>
      <c r="T30" s="635">
        <f>IF(M30="","",X30*COS(RADIANS(W30)))</f>
        <v>1.7552141946485003</v>
      </c>
      <c r="U30" s="629">
        <f>IF(M30="","",X30*SIN(RADIANS(W30)))</f>
        <v>-4.1578140412563167</v>
      </c>
      <c r="V30" s="636">
        <f>IF(M30="","",Y30)</f>
        <v>-0.49580122389649117</v>
      </c>
      <c r="W30" s="585">
        <f t="shared" si="224"/>
        <v>292.88695771235535</v>
      </c>
      <c r="X30" s="629">
        <f>IF(M30="","",R30)</f>
        <v>4.5131136115506516</v>
      </c>
      <c r="Y30" s="630">
        <f t="shared" si="223"/>
        <v>-0.49580122389649117</v>
      </c>
      <c r="Z30" s="632">
        <f t="shared" si="6"/>
        <v>0.19045307823629931</v>
      </c>
      <c r="AA30" s="629">
        <f t="shared" si="7"/>
        <v>-0.96074952538239411</v>
      </c>
      <c r="AB30" s="629">
        <f t="shared" si="8"/>
        <v>-0.20171260364147431</v>
      </c>
      <c r="AC30" s="636">
        <f>IF(M30="","",SQRT(Z30^2+AA30^2+AB30^2))</f>
        <v>1</v>
      </c>
      <c r="AD30" s="637">
        <f>IF(M30="","",Z30*(1/SQRT(Z30^2+AA30^2+AB30^2)))</f>
        <v>0.19045307823629931</v>
      </c>
      <c r="AE30" s="629">
        <f>IF(M30="","",AA30*(1/SQRT(Z30^2+AA30^2+AB30^2)))</f>
        <v>-0.96074952538239411</v>
      </c>
      <c r="AF30" s="633">
        <f>IF(M30="","",AB30*(1/SQRT(Z30^2+AA30^2+AB30^2)))</f>
        <v>-0.20171260364147431</v>
      </c>
      <c r="AG30" s="602">
        <f>IF(M30="","",DEGREES(ATAN2(-AF30,AE30)))</f>
        <v>-78.142779584799712</v>
      </c>
      <c r="AH30" s="603">
        <f>IF(M30="","",DEGREES(ACOS(AD30)))</f>
        <v>79.020773499571831</v>
      </c>
      <c r="AI30" s="585">
        <f>IF(M30="","",DEGREES(-ACOS(-AF30)))</f>
        <v>-78.362874675102702</v>
      </c>
      <c r="AJ30" s="586">
        <f>IF(M30="","",DEGREES(ATAN2(-AE30,AD30)))</f>
        <v>11.212598657536844</v>
      </c>
      <c r="AK30" s="635">
        <f>IF(M30="","",(COS(RADIANS((90-$Q$8)-W30))*AD30)+(-SIN(RADIANS((90-$Q$8)-W30))*AE30))</f>
        <v>0.95920072591372085</v>
      </c>
      <c r="AL30" s="629">
        <f>IF(M30="","",(SIN(RADIANS((90-$Q$8)-W30))*AD30)+(COS(RADIANS((90-$Q$8)-W30))*AE30))</f>
        <v>-0.19810601439322489</v>
      </c>
      <c r="AM30" s="634">
        <f>IF(M30="","",AF30)</f>
        <v>-0.20171260364147431</v>
      </c>
      <c r="AN30" s="581">
        <f>IF(M30="","",DEGREES(ATAN2(-AM30,AL30)))</f>
        <v>-44.483173798200951</v>
      </c>
      <c r="AO30" s="582">
        <f>IF(ROUND(IF(M30="",0,DEGREES(ACOS(AK30))),4)=90,0,IF(M30="","",DEGREES(ACOS(AK30))))</f>
        <v>16.422965996855634</v>
      </c>
      <c r="AP30" s="585">
        <f>IF(M30="","",DEGREES(ATAN2(AK30,AL30)))</f>
        <v>-11.669359055540427</v>
      </c>
      <c r="AQ30" s="586">
        <f t="shared" si="9"/>
        <v>0.50512080263184489</v>
      </c>
      <c r="AS30" s="52">
        <f t="shared" si="116"/>
        <v>-67.113042287644646</v>
      </c>
      <c r="AT30" s="72">
        <f t="shared" si="10"/>
        <v>-0.44919147230835038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11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360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4.7346780602572647</v>
      </c>
      <c r="C31" s="708">
        <v>1.908125503748882</v>
      </c>
      <c r="D31" s="709">
        <v>-0.96270263207113893</v>
      </c>
      <c r="E31" s="710">
        <v>-0.10172296547461462</v>
      </c>
      <c r="F31" s="708">
        <v>0.97926784669286915</v>
      </c>
      <c r="G31" s="711">
        <v>0.17517683273926901</v>
      </c>
      <c r="H31" s="710">
        <v>0.314</v>
      </c>
      <c r="I31" s="708">
        <v>0.52</v>
      </c>
      <c r="J31" s="570">
        <v>2.1320000000000001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2.1320000000000001</v>
      </c>
      <c r="N31" s="632">
        <f t="shared" si="2"/>
        <v>4.7346780602572647</v>
      </c>
      <c r="O31" s="629">
        <f t="shared" si="3"/>
        <v>1.908125503748882</v>
      </c>
      <c r="P31" s="633">
        <f t="shared" si="4"/>
        <v>-0.96270263207113893</v>
      </c>
      <c r="Q31" s="585">
        <f t="shared" si="113"/>
        <v>21.949957847641404</v>
      </c>
      <c r="R31" s="629">
        <f>IF(M31="","",SQRT(N31^2+O31^2))</f>
        <v>5.1047153958216338</v>
      </c>
      <c r="S31" s="634">
        <f>IF(M31="","",P31)</f>
        <v>-0.96270263207113893</v>
      </c>
      <c r="T31" s="635">
        <f>IF(M31="","",X31*COS(RADIANS(W31)))</f>
        <v>1.9085386750289688</v>
      </c>
      <c r="U31" s="629">
        <f>IF(M31="","",X31*SIN(RADIANS(W31)))</f>
        <v>-4.7345115268902971</v>
      </c>
      <c r="V31" s="636">
        <f>IF(M31="","",Y31)</f>
        <v>-0.96270263207113893</v>
      </c>
      <c r="W31" s="585">
        <f t="shared" si="224"/>
        <v>291.95495784691951</v>
      </c>
      <c r="X31" s="629">
        <f>IF(M31="","",R31)</f>
        <v>5.1047153958216338</v>
      </c>
      <c r="Y31" s="630">
        <f t="shared" si="223"/>
        <v>-0.96270263207113893</v>
      </c>
      <c r="Z31" s="632">
        <f t="shared" si="6"/>
        <v>0.10172296547461462</v>
      </c>
      <c r="AA31" s="629">
        <f t="shared" si="7"/>
        <v>-0.97926784669286915</v>
      </c>
      <c r="AB31" s="629">
        <f t="shared" si="8"/>
        <v>-0.17517683273926901</v>
      </c>
      <c r="AC31" s="636">
        <f>IF(M31="","",SQRT(Z31^2+AA31^2+AB31^2))</f>
        <v>1</v>
      </c>
      <c r="AD31" s="637">
        <f>IF(M31="","",Z31*(1/SQRT(Z31^2+AA31^2+AB31^2)))</f>
        <v>0.10172296547461462</v>
      </c>
      <c r="AE31" s="629">
        <f>IF(M31="","",AA31*(1/SQRT(Z31^2+AA31^2+AB31^2)))</f>
        <v>-0.97926784669286915</v>
      </c>
      <c r="AF31" s="633">
        <f>IF(M31="","",AB31*(1/SQRT(Z31^2+AA31^2+AB31^2)))</f>
        <v>-0.17517683273926901</v>
      </c>
      <c r="AG31" s="602">
        <f>IF(M31="","",DEGREES(ATAN2(-AF31,AE31)))</f>
        <v>-79.857889598791118</v>
      </c>
      <c r="AH31" s="603">
        <f>IF(M31="","",DEGREES(ACOS(AD31)))</f>
        <v>84.161604861741537</v>
      </c>
      <c r="AI31" s="585">
        <f>IF(M31="","",DEGREES(-ACOS(-AF31)))</f>
        <v>-79.911051158652128</v>
      </c>
      <c r="AJ31" s="586">
        <f>IF(M31="","",DEGREES(ATAN2(-AE31,AD31)))</f>
        <v>5.9304185333732784</v>
      </c>
      <c r="AK31" s="635">
        <f>IF(M31="","",(COS(RADIANS((90-$Q$8)-W31))*AD31)+(-SIN(RADIANS((90-$Q$8)-W31))*AE31))</f>
        <v>0.94630509225748216</v>
      </c>
      <c r="AL31" s="629">
        <f>IF(M31="","",(SIN(RADIANS((90-$Q$8)-W31))*AD31)+(COS(RADIANS((90-$Q$8)-W31))*AE31))</f>
        <v>-0.27169790142545558</v>
      </c>
      <c r="AM31" s="634">
        <f>IF(M31="","",AF31)</f>
        <v>-0.17517683273926901</v>
      </c>
      <c r="AN31" s="581">
        <f>IF(M31="","",DEGREES(ATAN2(-AM31,AL31)))</f>
        <v>-57.188158652665535</v>
      </c>
      <c r="AO31" s="582">
        <f t="shared" si="94"/>
        <v>18.86109410766279</v>
      </c>
      <c r="AP31" s="585">
        <f>IF(M31="","",DEGREES(ATAN2(AK31,AL31)))</f>
        <v>-16.019539314268162</v>
      </c>
      <c r="AQ31" s="586">
        <f t="shared" si="9"/>
        <v>0.44658326451444663</v>
      </c>
      <c r="AS31" s="52">
        <f t="shared" si="116"/>
        <v>-68.045042153080487</v>
      </c>
      <c r="AT31" s="72">
        <f t="shared" si="10"/>
        <v>-0.9154456583542232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2.1320000000000001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5.1547198220027184</v>
      </c>
      <c r="C32" s="708">
        <v>2.0033137875755767</v>
      </c>
      <c r="D32" s="709">
        <v>-1.5848045083303968</v>
      </c>
      <c r="E32" s="710">
        <v>-3.808079931116521E-2</v>
      </c>
      <c r="F32" s="708">
        <v>0.99198475132401431</v>
      </c>
      <c r="G32" s="711">
        <v>0.12048280318973502</v>
      </c>
      <c r="H32" s="710">
        <v>0.314</v>
      </c>
      <c r="I32" s="708">
        <v>0.52</v>
      </c>
      <c r="J32" s="570">
        <v>2.1379999999999999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2.1379999999999999</v>
      </c>
      <c r="N32" s="632">
        <f t="shared" si="2"/>
        <v>5.1547198220027184</v>
      </c>
      <c r="O32" s="629">
        <f t="shared" si="3"/>
        <v>2.0033137875755767</v>
      </c>
      <c r="P32" s="633">
        <f t="shared" si="4"/>
        <v>-1.5848045083303968</v>
      </c>
      <c r="Q32" s="585">
        <f t="shared" si="113"/>
        <v>21.237957950441473</v>
      </c>
      <c r="R32" s="629">
        <f t="shared" si="79"/>
        <v>5.5303166794351064</v>
      </c>
      <c r="S32" s="634">
        <f t="shared" si="80"/>
        <v>-1.5848045083303968</v>
      </c>
      <c r="T32" s="635">
        <f t="shared" si="81"/>
        <v>2.0037636140465631</v>
      </c>
      <c r="U32" s="629">
        <f t="shared" si="82"/>
        <v>-5.1545449802927514</v>
      </c>
      <c r="V32" s="636">
        <f t="shared" si="114"/>
        <v>-1.5848045083303968</v>
      </c>
      <c r="W32" s="585">
        <f t="shared" si="224"/>
        <v>291.24295794971954</v>
      </c>
      <c r="X32" s="629">
        <f t="shared" si="83"/>
        <v>5.5303166794351064</v>
      </c>
      <c r="Y32" s="630">
        <f t="shared" si="223"/>
        <v>-1.5848045083303968</v>
      </c>
      <c r="Z32" s="632">
        <f t="shared" si="6"/>
        <v>3.808079931116521E-2</v>
      </c>
      <c r="AA32" s="629">
        <f t="shared" si="7"/>
        <v>-0.99198475132401431</v>
      </c>
      <c r="AB32" s="629">
        <f t="shared" si="8"/>
        <v>-0.12048280318973502</v>
      </c>
      <c r="AC32" s="636">
        <f t="shared" si="84"/>
        <v>1</v>
      </c>
      <c r="AD32" s="637">
        <f t="shared" si="115"/>
        <v>3.808079931116521E-2</v>
      </c>
      <c r="AE32" s="629">
        <f t="shared" si="85"/>
        <v>-0.99198475132401431</v>
      </c>
      <c r="AF32" s="633">
        <f t="shared" si="86"/>
        <v>-0.12048280318973502</v>
      </c>
      <c r="AG32" s="602">
        <f t="shared" si="87"/>
        <v>-83.074985124662149</v>
      </c>
      <c r="AH32" s="603">
        <f t="shared" si="88"/>
        <v>87.817603235980684</v>
      </c>
      <c r="AI32" s="585">
        <f t="shared" si="89"/>
        <v>-83.080032667641547</v>
      </c>
      <c r="AJ32" s="586">
        <f t="shared" si="90"/>
        <v>2.1984191139602469</v>
      </c>
      <c r="AK32" s="635">
        <f t="shared" si="211"/>
        <v>0.93840760880376739</v>
      </c>
      <c r="AL32" s="629">
        <f t="shared" si="91"/>
        <v>-0.32384418147426858</v>
      </c>
      <c r="AM32" s="634">
        <f t="shared" si="92"/>
        <v>-0.12048280318973502</v>
      </c>
      <c r="AN32" s="581">
        <f t="shared" si="93"/>
        <v>-69.592814673283286</v>
      </c>
      <c r="AO32" s="582">
        <f t="shared" si="94"/>
        <v>20.214168087889522</v>
      </c>
      <c r="AP32" s="585">
        <f t="shared" si="95"/>
        <v>-19.039538836481228</v>
      </c>
      <c r="AQ32" s="586">
        <f t="shared" si="9"/>
        <v>0.41221641183986191</v>
      </c>
      <c r="AS32" s="52">
        <f t="shared" si="116"/>
        <v>-68.757042050280461</v>
      </c>
      <c r="AT32" s="72">
        <f t="shared" si="10"/>
        <v>-1.5370530902404256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2.1379999999999999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5.3794981123286041</v>
      </c>
      <c r="C33" s="708">
        <v>2.0487412959081768</v>
      </c>
      <c r="D33" s="709">
        <v>-2.3043066783489423</v>
      </c>
      <c r="E33" s="710">
        <v>6.0327353768099931E-2</v>
      </c>
      <c r="F33" s="708">
        <v>0.99327918041624774</v>
      </c>
      <c r="G33" s="711">
        <v>9.8777933461707698E-2</v>
      </c>
      <c r="H33" s="710">
        <v>0.314</v>
      </c>
      <c r="I33" s="708">
        <v>0.52</v>
      </c>
      <c r="J33" s="570">
        <v>2.1440000000000001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2.1440000000000001</v>
      </c>
      <c r="N33" s="632">
        <f t="shared" si="2"/>
        <v>5.3794981123286041</v>
      </c>
      <c r="O33" s="629">
        <f t="shared" si="3"/>
        <v>2.0487412959081768</v>
      </c>
      <c r="P33" s="633">
        <f t="shared" si="4"/>
        <v>-2.3043066783489423</v>
      </c>
      <c r="Q33" s="585">
        <f t="shared" si="113"/>
        <v>20.848958006606111</v>
      </c>
      <c r="R33" s="629">
        <f t="shared" si="79"/>
        <v>5.7564173613547629</v>
      </c>
      <c r="S33" s="634">
        <f t="shared" si="80"/>
        <v>-2.3043066783489423</v>
      </c>
      <c r="T33" s="635">
        <f t="shared" si="81"/>
        <v>2.0492107378095965</v>
      </c>
      <c r="U33" s="629">
        <f t="shared" si="82"/>
        <v>-5.3793193054653647</v>
      </c>
      <c r="V33" s="636">
        <f t="shared" si="114"/>
        <v>-2.3043066783489423</v>
      </c>
      <c r="W33" s="585">
        <f t="shared" si="224"/>
        <v>290.85395800588418</v>
      </c>
      <c r="X33" s="629">
        <f t="shared" si="83"/>
        <v>5.7564173613547629</v>
      </c>
      <c r="Y33" s="630">
        <f t="shared" si="223"/>
        <v>-2.3043066783489423</v>
      </c>
      <c r="Z33" s="632">
        <f t="shared" si="6"/>
        <v>-6.0327353768099931E-2</v>
      </c>
      <c r="AA33" s="629">
        <f t="shared" si="7"/>
        <v>-0.99327918041624774</v>
      </c>
      <c r="AB33" s="629">
        <f t="shared" si="8"/>
        <v>-9.8777933461707698E-2</v>
      </c>
      <c r="AC33" s="636">
        <f t="shared" si="84"/>
        <v>1</v>
      </c>
      <c r="AD33" s="637">
        <f t="shared" si="115"/>
        <v>-6.0327353768099931E-2</v>
      </c>
      <c r="AE33" s="629">
        <f t="shared" si="85"/>
        <v>-0.99327918041624774</v>
      </c>
      <c r="AF33" s="633">
        <f t="shared" si="86"/>
        <v>-9.8777933461707698E-2</v>
      </c>
      <c r="AG33" s="602">
        <f t="shared" si="87"/>
        <v>-84.320819485742206</v>
      </c>
      <c r="AH33" s="603">
        <f t="shared" si="88"/>
        <v>93.458602794579164</v>
      </c>
      <c r="AI33" s="585">
        <f t="shared" si="89"/>
        <v>-84.331197196559444</v>
      </c>
      <c r="AJ33" s="586">
        <f t="shared" si="90"/>
        <v>-3.4756210406794605</v>
      </c>
      <c r="AK33" s="635">
        <f t="shared" si="211"/>
        <v>0.90677030650510049</v>
      </c>
      <c r="AL33" s="629">
        <f t="shared" si="91"/>
        <v>-0.40989087706568988</v>
      </c>
      <c r="AM33" s="634">
        <f t="shared" si="92"/>
        <v>-9.8777933461707698E-2</v>
      </c>
      <c r="AN33" s="581">
        <f t="shared" si="93"/>
        <v>-76.450865744065638</v>
      </c>
      <c r="AO33" s="582">
        <f t="shared" si="94"/>
        <v>24.937220909829371</v>
      </c>
      <c r="AP33" s="585">
        <f t="shared" si="95"/>
        <v>-24.324579047285564</v>
      </c>
      <c r="AQ33" s="586">
        <f t="shared" si="9"/>
        <v>0.39602589318735709</v>
      </c>
      <c r="AS33" s="52">
        <f t="shared" si="116"/>
        <v>-69.146041994115819</v>
      </c>
      <c r="AT33" s="72">
        <f t="shared" si="10"/>
        <v>-2.2562851214090855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2.1440000000000001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5.4780028251527968</v>
      </c>
      <c r="C34" s="708">
        <v>2.0673383488824073</v>
      </c>
      <c r="D34" s="709">
        <v>-3.0531089367365523</v>
      </c>
      <c r="E34" s="710">
        <v>0.1688829028883336</v>
      </c>
      <c r="F34" s="708">
        <v>0.98393140480715813</v>
      </c>
      <c r="G34" s="711">
        <v>5.7944419457113976E-2</v>
      </c>
      <c r="H34" s="710">
        <v>0.314</v>
      </c>
      <c r="I34" s="708">
        <v>0.52</v>
      </c>
      <c r="J34" s="570">
        <v>2.15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</v>
      </c>
      <c r="N34" s="632">
        <f t="shared" si="2"/>
        <v>5.4780028251527968</v>
      </c>
      <c r="O34" s="629">
        <f t="shared" si="3"/>
        <v>2.0673383488824073</v>
      </c>
      <c r="P34" s="633">
        <f t="shared" si="4"/>
        <v>-3.0531089367365523</v>
      </c>
      <c r="Q34" s="585">
        <f t="shared" si="113"/>
        <v>20.675958031584216</v>
      </c>
      <c r="R34" s="629">
        <f>IF(M34="","",SQRT(N34^2+O34^2))</f>
        <v>5.8551176590348595</v>
      </c>
      <c r="S34" s="634">
        <f>IF(M34="","",P34)</f>
        <v>-3.0531089367365523</v>
      </c>
      <c r="T34" s="635">
        <f>IF(M34="","",X34*COS(RADIANS(W34)))</f>
        <v>2.067816386869604</v>
      </c>
      <c r="U34" s="629">
        <f>IF(M34="","",X34*SIN(RADIANS(W34)))</f>
        <v>-5.4778223950156866</v>
      </c>
      <c r="V34" s="636">
        <f>IF(M34="","",Y34)</f>
        <v>-3.0531089367365523</v>
      </c>
      <c r="W34" s="585">
        <f t="shared" si="224"/>
        <v>290.68095803086231</v>
      </c>
      <c r="X34" s="629">
        <f>IF(M34="","",R34)</f>
        <v>5.8551176590348595</v>
      </c>
      <c r="Y34" s="630">
        <f t="shared" si="223"/>
        <v>-3.0531089367365523</v>
      </c>
      <c r="Z34" s="632">
        <f t="shared" si="6"/>
        <v>-0.1688829028883336</v>
      </c>
      <c r="AA34" s="629">
        <f t="shared" si="7"/>
        <v>-0.98393140480715813</v>
      </c>
      <c r="AB34" s="629">
        <f t="shared" si="8"/>
        <v>-5.7944419457113976E-2</v>
      </c>
      <c r="AC34" s="636">
        <f>IF(M34="","",SQRT(Z34^2+AA34^2+AB34^2))</f>
        <v>1</v>
      </c>
      <c r="AD34" s="637">
        <f>IF(M34="","",Z34*(1/SQRT(Z34^2+AA34^2+AB34^2)))</f>
        <v>-0.1688829028883336</v>
      </c>
      <c r="AE34" s="629">
        <f>IF(M34="","",AA34*(1/SQRT(Z34^2+AA34^2+AB34^2)))</f>
        <v>-0.98393140480715813</v>
      </c>
      <c r="AF34" s="633">
        <f>IF(M34="","",AB34*(1/SQRT(Z34^2+AA34^2+AB34^2)))</f>
        <v>-5.7944419457113976E-2</v>
      </c>
      <c r="AG34" s="602">
        <f>IF(M34="","",DEGREES(ATAN2(-AF34,AE34)))</f>
        <v>-86.629703435147945</v>
      </c>
      <c r="AH34" s="603">
        <f>IF(M34="","",DEGREES(ACOS(AD34)))</f>
        <v>99.72287502911071</v>
      </c>
      <c r="AI34" s="585">
        <f>IF(M34="","",DEGREES(-ACOS(-AF34)))</f>
        <v>-86.67816867504537</v>
      </c>
      <c r="AJ34" s="586">
        <f>IF(M34="","",DEGREES(ATAN2(-AE34,AD34)))</f>
        <v>-9.7393981085670749</v>
      </c>
      <c r="AK34" s="635">
        <f>IF(M34="","",(COS(RADIANS((90-$Q$8)-W34))*AD34)+(-SIN(RADIANS((90-$Q$8)-W34))*AE34))</f>
        <v>0.86092905509766549</v>
      </c>
      <c r="AL34" s="629">
        <f>IF(M34="","",(SIN(RADIANS((90-$Q$8)-W34))*AD34)+(COS(RADIANS((90-$Q$8)-W34))*AE34))</f>
        <v>-0.50541429178686548</v>
      </c>
      <c r="AM34" s="634">
        <f>IF(M34="","",AF34)</f>
        <v>-5.7944419457113976E-2</v>
      </c>
      <c r="AN34" s="581">
        <f>IF(M34="","",DEGREES(ATAN2(-AM34,AL34)))</f>
        <v>-83.459744878346697</v>
      </c>
      <c r="AO34" s="582">
        <f t="shared" si="94"/>
        <v>30.578942280356578</v>
      </c>
      <c r="AP34" s="585">
        <f>IF(M34="","",DEGREES(ATAN2(AK34,AL34)))</f>
        <v>-30.415356140151275</v>
      </c>
      <c r="AQ34" s="586">
        <f t="shared" si="9"/>
        <v>0.38935025280170987</v>
      </c>
      <c r="AS34" s="52">
        <f t="shared" si="116"/>
        <v>-69.319041969137686</v>
      </c>
      <c r="AT34" s="72">
        <f t="shared" si="10"/>
        <v>-3.0049672409251524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5.5626829036354648</v>
      </c>
      <c r="C35" s="708">
        <v>2.0827855988271877</v>
      </c>
      <c r="D35" s="709">
        <v>-3.7774111212319399</v>
      </c>
      <c r="E35" s="710">
        <v>0.24992437092290612</v>
      </c>
      <c r="F35" s="708">
        <v>0.96826536074506597</v>
      </c>
      <c r="G35" s="711">
        <v>1.3008419215060828E-7</v>
      </c>
      <c r="H35" s="710">
        <v>0.26600000000000001</v>
      </c>
      <c r="I35" s="708">
        <v>0.52</v>
      </c>
      <c r="J35" s="570">
        <v>2.1560000000000001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2.1560000000000001</v>
      </c>
      <c r="N35" s="632">
        <f t="shared" si="2"/>
        <v>5.5626829036354648</v>
      </c>
      <c r="O35" s="629">
        <f t="shared" si="3"/>
        <v>2.0827855988271877</v>
      </c>
      <c r="P35" s="633">
        <f t="shared" si="4"/>
        <v>-3.7774111212319399</v>
      </c>
      <c r="Q35" s="585">
        <f t="shared" si="113"/>
        <v>20.526958145605526</v>
      </c>
      <c r="R35" s="629">
        <f>IF(M35="","",SQRT(N35^2+O35^2))</f>
        <v>5.9398179212060205</v>
      </c>
      <c r="S35" s="634">
        <f>IF(M35="","",P35)</f>
        <v>-3.7774111212319399</v>
      </c>
      <c r="T35" s="635">
        <f>IF(M35="","",X35*COS(RADIANS(W35)))</f>
        <v>2.0832710264853906</v>
      </c>
      <c r="U35" s="629">
        <f>IF(M35="","",X35*SIN(RADIANS(W35)))</f>
        <v>-5.5625011251492538</v>
      </c>
      <c r="V35" s="636">
        <f>IF(M35="","",Y35)</f>
        <v>-3.7774111212319399</v>
      </c>
      <c r="W35" s="585">
        <f t="shared" si="224"/>
        <v>290.53195814488362</v>
      </c>
      <c r="X35" s="629">
        <f>IF(M35="","",R35)</f>
        <v>5.9398179212060205</v>
      </c>
      <c r="Y35" s="630">
        <f t="shared" si="223"/>
        <v>-3.7774111212319399</v>
      </c>
      <c r="Z35" s="632">
        <f t="shared" si="6"/>
        <v>-0.24992437092290612</v>
      </c>
      <c r="AA35" s="629">
        <f t="shared" si="7"/>
        <v>-0.96826536074506597</v>
      </c>
      <c r="AB35" s="629">
        <f t="shared" si="8"/>
        <v>-1.3008419215060828E-7</v>
      </c>
      <c r="AC35" s="636">
        <f>IF(M35="","",SQRT(Z35^2+AA35^2+AB35^2))</f>
        <v>1</v>
      </c>
      <c r="AD35" s="637">
        <f>IF(M35="","",Z35*(1/SQRT(Z35^2+AA35^2+AB35^2)))</f>
        <v>-0.24992437092290612</v>
      </c>
      <c r="AE35" s="629">
        <f>IF(M35="","",AA35*(1/SQRT(Z35^2+AA35^2+AB35^2)))</f>
        <v>-0.96826536074506597</v>
      </c>
      <c r="AF35" s="633">
        <f>IF(M35="","",AB35*(1/SQRT(Z35^2+AA35^2+AB35^2)))</f>
        <v>-1.3008419215060828E-7</v>
      </c>
      <c r="AG35" s="602">
        <f>IF(M35="","",DEGREES(ATAN2(-AF35,AE35)))</f>
        <v>-89.999992302445705</v>
      </c>
      <c r="AH35" s="603">
        <f>IF(M35="","",DEGREES(ACOS(AD35)))</f>
        <v>104.473036893528</v>
      </c>
      <c r="AI35" s="585">
        <f>IF(M35="","",DEGREES(-ACOS(-AF35)))</f>
        <v>-89.999992546724812</v>
      </c>
      <c r="AJ35" s="586">
        <f>IF(M35="","",DEGREES(ATAN2(-AE35,AD35)))</f>
        <v>-14.473036893528132</v>
      </c>
      <c r="AK35" s="635">
        <f>IF(M35="","",(COS(RADIANS((90-$Q$8)-W35))*AD35)+(-SIN(RADIANS((90-$Q$8)-W35))*AE35))</f>
        <v>0.81915209395120958</v>
      </c>
      <c r="AL35" s="629">
        <f>IF(M35="","",(SIN(RADIANS((90-$Q$8)-W35))*AD35)+(COS(RADIANS((90-$Q$8)-W35))*AE35))</f>
        <v>-0.57357636542602752</v>
      </c>
      <c r="AM35" s="634">
        <f>IF(M35="","",AF35)</f>
        <v>-1.3008419215060828E-7</v>
      </c>
      <c r="AN35" s="581">
        <f>IF(M35="","",DEGREES(ATAN2(-AM35,AL35)))</f>
        <v>-89.99998700560964</v>
      </c>
      <c r="AO35" s="582">
        <f t="shared" si="94"/>
        <v>34.999995039134319</v>
      </c>
      <c r="AP35" s="585">
        <f>IF(M35="","",DEGREES(ATAN2(AK35,AL35)))</f>
        <v>-34.999995039133637</v>
      </c>
      <c r="AQ35" s="586">
        <f t="shared" si="9"/>
        <v>0.38379838651474818</v>
      </c>
      <c r="AS35" s="52">
        <f t="shared" si="116"/>
        <v>-69.468041855116383</v>
      </c>
      <c r="AT35" s="72">
        <f t="shared" si="10"/>
        <v>-3.7291659532774992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2.1560000000000001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3.7947617475263153</v>
      </c>
      <c r="C36" s="708">
        <v>0.39522723350472128</v>
      </c>
      <c r="D36" s="709">
        <v>-0.23244743482267766</v>
      </c>
      <c r="E36" s="710">
        <v>0.15610715705109365</v>
      </c>
      <c r="F36" s="708">
        <v>1.6258903510772787E-2</v>
      </c>
      <c r="G36" s="711">
        <v>0.98760629988576554</v>
      </c>
      <c r="H36" s="710">
        <v>0.26250000000000001</v>
      </c>
      <c r="I36" s="708">
        <v>0.40699999999999997</v>
      </c>
      <c r="J36" s="570">
        <v>2.2200000000000002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2.2200000000000002</v>
      </c>
      <c r="N36" s="632">
        <f t="shared" si="2"/>
        <v>3.7947617475263153</v>
      </c>
      <c r="O36" s="629">
        <f t="shared" si="3"/>
        <v>0.39522723350472128</v>
      </c>
      <c r="P36" s="633">
        <f t="shared" si="4"/>
        <v>-0.23244743482267766</v>
      </c>
      <c r="Q36" s="585">
        <f t="shared" si="113"/>
        <v>5.9459601583327775</v>
      </c>
      <c r="R36" s="629">
        <f>IF(M36="","",SQRT(N36^2+O36^2))</f>
        <v>3.8152878379740591</v>
      </c>
      <c r="S36" s="634">
        <f>IF(M36="","",P36)</f>
        <v>-0.23244743482267766</v>
      </c>
      <c r="T36" s="635">
        <f>IF(M36="","",X36*COS(RADIANS(W36)))</f>
        <v>0.39555838738568827</v>
      </c>
      <c r="U36" s="629">
        <f>IF(M36="","",X36*SIN(RADIANS(W36)))</f>
        <v>-3.7947272429993704</v>
      </c>
      <c r="V36" s="636">
        <f>IF(M36="","",Y36)</f>
        <v>-0.23244743482267766</v>
      </c>
      <c r="W36" s="585">
        <f t="shared" si="224"/>
        <v>275.95096015761084</v>
      </c>
      <c r="X36" s="629">
        <f>IF(M36="","",R36)</f>
        <v>3.8152878379740591</v>
      </c>
      <c r="Y36" s="630">
        <f t="shared" si="223"/>
        <v>-0.23244743482267766</v>
      </c>
      <c r="Z36" s="632">
        <f t="shared" si="6"/>
        <v>-0.15610715705109365</v>
      </c>
      <c r="AA36" s="629">
        <f t="shared" si="7"/>
        <v>-1.6258903510772787E-2</v>
      </c>
      <c r="AB36" s="629">
        <f t="shared" si="8"/>
        <v>-0.98760629988576554</v>
      </c>
      <c r="AC36" s="636">
        <f>IF(M36="","",SQRT(Z36^2+AA36^2+AB36^2))</f>
        <v>1</v>
      </c>
      <c r="AD36" s="637">
        <f>IF(M36="","",Z36*(1/SQRT(Z36^2+AA36^2+AB36^2)))</f>
        <v>-0.15610715705109365</v>
      </c>
      <c r="AE36" s="629">
        <f>IF(M36="","",AA36*(1/SQRT(Z36^2+AA36^2+AB36^2)))</f>
        <v>-1.6258903510772787E-2</v>
      </c>
      <c r="AF36" s="633">
        <f>IF(M36="","",AB36*(1/SQRT(Z36^2+AA36^2+AB36^2)))</f>
        <v>-0.98760629988576554</v>
      </c>
      <c r="AG36" s="602">
        <f>IF(M36="","",DEGREES(ATAN2(-AF36,AE36)))</f>
        <v>-0.94317179238079663</v>
      </c>
      <c r="AH36" s="603">
        <f>IF(M36="","",DEGREES(ACOS(AD36)))</f>
        <v>98.981013368462825</v>
      </c>
      <c r="AI36" s="585">
        <f>IF(M36="","",DEGREES(-ACOS(-AF36)))</f>
        <v>-9.0299986962387528</v>
      </c>
      <c r="AJ36" s="586">
        <f>IF(M36="","",DEGREES(ATAN2(-AE36,AD36)))</f>
        <v>-84.053957049312203</v>
      </c>
      <c r="AK36" s="635">
        <f>IF(M36="","",(COS(RADIANS((90-$Q$8)-W36))*AD36)+(-SIN(RADIANS((90-$Q$8)-W36))*AE36))</f>
        <v>2.267948968452671E-7</v>
      </c>
      <c r="AL36" s="629">
        <f>IF(M36="","",(SIN(RADIANS((90-$Q$8)-W36))*AD36)+(COS(RADIANS((90-$Q$8)-W36))*AE36))</f>
        <v>-0.15695157350563899</v>
      </c>
      <c r="AM36" s="634">
        <f>IF(M36="","",AF36)</f>
        <v>-0.98760629988576554</v>
      </c>
      <c r="AN36" s="581">
        <f>IF(M36="","",DEGREES(ATAN2(-AM36,AL36)))</f>
        <v>-9.0299986962294962</v>
      </c>
      <c r="AO36" s="582">
        <f t="shared" si="94"/>
        <v>0</v>
      </c>
      <c r="AP36" s="585">
        <f>IF(M36="","",DEGREES(ATAN2(AK36,AL36)))</f>
        <v>-89.999917207644913</v>
      </c>
      <c r="AQ36" s="586">
        <f t="shared" si="9"/>
        <v>0.59750249185366766</v>
      </c>
      <c r="AS36" s="52">
        <f t="shared" si="116"/>
        <v>-84.049039842389163</v>
      </c>
      <c r="AT36" s="72">
        <f t="shared" si="10"/>
        <v>-0.17407657382151984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2.2200000000000002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2.12</v>
      </c>
      <c r="II36" s="734" cm="1">
        <f t="array" ref="II36">IFERROR(ROUND(VALUE(IF($IH36&lt;1,$IH36+LARGE((IF($M$9:$M$150="",0,$M$9:$M$150)-MOD(IF($M$9:$M$150="",0,$M$9:$M$150),1)),1),$IH36)),4),"")</f>
        <v>2.12</v>
      </c>
      <c r="IJ36" s="533">
        <f t="shared" si="112"/>
        <v>1613</v>
      </c>
      <c r="IK36" s="533" t="str">
        <f t="shared" si="66"/>
        <v>Inactive</v>
      </c>
      <c r="IL36" s="727">
        <f t="shared" si="225"/>
        <v>17.919997412672501</v>
      </c>
      <c r="IM36" s="759">
        <v>4.06977618408738E-2</v>
      </c>
      <c r="IN36" s="5">
        <f t="shared" si="226"/>
        <v>0.9</v>
      </c>
      <c r="IO36" s="771">
        <v>450</v>
      </c>
      <c r="IP36" s="9">
        <f t="shared" si="227"/>
        <v>-3.8091114882802488</v>
      </c>
      <c r="IQ36" s="5">
        <f t="shared" si="228"/>
        <v>-0.22640041138364075</v>
      </c>
      <c r="IR36" s="5">
        <f t="shared" si="71"/>
        <v>0.314</v>
      </c>
      <c r="IS36" s="5">
        <f t="shared" si="229"/>
        <v>0.30222188080796714</v>
      </c>
      <c r="IT36" s="727">
        <f t="shared" si="230"/>
        <v>27.12497204208637</v>
      </c>
      <c r="IU36" s="9">
        <f t="shared" si="231"/>
        <v>-3.8152878379740591</v>
      </c>
      <c r="IV36" s="5">
        <f t="shared" si="232"/>
        <v>-0.23244743482267766</v>
      </c>
      <c r="IW36" s="5">
        <f t="shared" si="76"/>
        <v>0.26250000000000001</v>
      </c>
      <c r="IX36" s="5">
        <f t="shared" si="233"/>
        <v>0.26250000000000001</v>
      </c>
      <c r="IY36" s="762">
        <f t="shared" si="234"/>
        <v>9.0299986962294962</v>
      </c>
    </row>
    <row r="37" spans="1:267" ht="15" customHeight="1" x14ac:dyDescent="0.25">
      <c r="A37" s="79"/>
      <c r="B37" s="707">
        <v>4.4511121978311454</v>
      </c>
      <c r="C37" s="708">
        <v>0.86415725668411136</v>
      </c>
      <c r="D37" s="709">
        <v>-0.45057969497096789</v>
      </c>
      <c r="E37" s="710">
        <v>7.7194312826123962E-2</v>
      </c>
      <c r="F37" s="708">
        <v>0.93178905406322576</v>
      </c>
      <c r="G37" s="711">
        <v>0.35469733124913921</v>
      </c>
      <c r="H37" s="710">
        <v>0.26600000000000001</v>
      </c>
      <c r="I37" s="708">
        <v>0.52</v>
      </c>
      <c r="J37" s="570">
        <v>2.226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2.226</v>
      </c>
      <c r="N37" s="632">
        <f t="shared" si="2"/>
        <v>4.4511121978311454</v>
      </c>
      <c r="O37" s="629">
        <f t="shared" si="3"/>
        <v>0.86415725668411136</v>
      </c>
      <c r="P37" s="633">
        <f t="shared" si="4"/>
        <v>-0.45057969497096789</v>
      </c>
      <c r="Q37" s="585">
        <f t="shared" si="113"/>
        <v>10.98695943050253</v>
      </c>
      <c r="R37" s="629">
        <f t="shared" si="79"/>
        <v>4.5342218254030113</v>
      </c>
      <c r="S37" s="634">
        <f t="shared" si="80"/>
        <v>-0.45057969497096789</v>
      </c>
      <c r="T37" s="635">
        <f t="shared" si="81"/>
        <v>0.86454568615320515</v>
      </c>
      <c r="U37" s="629">
        <f t="shared" si="82"/>
        <v>-4.4510367689466346</v>
      </c>
      <c r="V37" s="636">
        <f t="shared" si="114"/>
        <v>-0.45057969497096789</v>
      </c>
      <c r="W37" s="585">
        <f t="shared" si="224"/>
        <v>280.99195942978059</v>
      </c>
      <c r="X37" s="629">
        <f t="shared" si="83"/>
        <v>4.5342218254030113</v>
      </c>
      <c r="Y37" s="630">
        <f t="shared" si="223"/>
        <v>-0.45057969497096789</v>
      </c>
      <c r="Z37" s="632">
        <f t="shared" si="6"/>
        <v>-7.7194312826123962E-2</v>
      </c>
      <c r="AA37" s="629">
        <f t="shared" si="7"/>
        <v>-0.93178905406322576</v>
      </c>
      <c r="AB37" s="629">
        <f t="shared" si="8"/>
        <v>-0.35469733124913921</v>
      </c>
      <c r="AC37" s="636">
        <f t="shared" si="84"/>
        <v>1</v>
      </c>
      <c r="AD37" s="637">
        <f t="shared" si="115"/>
        <v>-7.7194312826123962E-2</v>
      </c>
      <c r="AE37" s="629">
        <f t="shared" si="85"/>
        <v>-0.93178905406322576</v>
      </c>
      <c r="AF37" s="633">
        <f t="shared" si="86"/>
        <v>-0.35469733124913921</v>
      </c>
      <c r="AG37" s="602">
        <f t="shared" si="87"/>
        <v>-69.160037724897307</v>
      </c>
      <c r="AH37" s="603">
        <f t="shared" si="88"/>
        <v>94.427312805413379</v>
      </c>
      <c r="AI37" s="585">
        <f t="shared" si="89"/>
        <v>-69.225104342875881</v>
      </c>
      <c r="AJ37" s="586">
        <f t="shared" si="90"/>
        <v>-4.7358692773681668</v>
      </c>
      <c r="AK37" s="635">
        <f t="shared" si="211"/>
        <v>0.89999778481949788</v>
      </c>
      <c r="AL37" s="629">
        <f t="shared" si="91"/>
        <v>-0.25336493546806205</v>
      </c>
      <c r="AM37" s="634">
        <f t="shared" si="92"/>
        <v>-0.35469733124913921</v>
      </c>
      <c r="AN37" s="581">
        <f t="shared" si="93"/>
        <v>-35.538715187126833</v>
      </c>
      <c r="AO37" s="582">
        <f t="shared" si="94"/>
        <v>25.842223937221394</v>
      </c>
      <c r="AP37" s="585">
        <f t="shared" si="95"/>
        <v>-15.722828707870676</v>
      </c>
      <c r="AQ37" s="586">
        <f t="shared" si="9"/>
        <v>0.50276942907006772</v>
      </c>
      <c r="AS37" s="52">
        <f t="shared" si="116"/>
        <v>-79.008040570219407</v>
      </c>
      <c r="AT37" s="72">
        <f t="shared" si="10"/>
        <v>-0.39570952790881686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2.1259999999999999</v>
      </c>
      <c r="II37" s="734" cm="1">
        <f t="array" ref="II37">IFERROR(ROUND(VALUE(IF($IH37&lt;1,$IH37+LARGE((IF($M$9:$M$150="",0,$M$9:$M$150)-MOD(IF($M$9:$M$150="",0,$M$9:$M$150),1)),1),$IH37)),4),"")</f>
        <v>2.1259999999999999</v>
      </c>
      <c r="IJ37" s="533">
        <f t="shared" si="112"/>
        <v>1613</v>
      </c>
      <c r="IK37" s="533">
        <f t="shared" si="66"/>
        <v>1313</v>
      </c>
      <c r="IL37" s="727">
        <f t="shared" si="225"/>
        <v>11.894998282574761</v>
      </c>
      <c r="IM37" s="759">
        <v>1.2312670722223499E-2</v>
      </c>
      <c r="IN37" s="5">
        <f t="shared" si="226"/>
        <v>0.34</v>
      </c>
      <c r="IO37" s="771">
        <v>170</v>
      </c>
      <c r="IP37" s="9">
        <f t="shared" si="227"/>
        <v>-4.5131136115506516</v>
      </c>
      <c r="IQ37" s="5">
        <f t="shared" si="228"/>
        <v>-0.49580122389649117</v>
      </c>
      <c r="IR37" s="5">
        <f t="shared" si="71"/>
        <v>0.314</v>
      </c>
      <c r="IS37" s="5">
        <f t="shared" si="229"/>
        <v>0.30118902793690833</v>
      </c>
      <c r="IT37" s="727">
        <f t="shared" si="230"/>
        <v>44.483173798200951</v>
      </c>
      <c r="IU37" s="9">
        <f t="shared" si="231"/>
        <v>-4.5342218254030113</v>
      </c>
      <c r="IV37" s="5">
        <f t="shared" si="232"/>
        <v>-0.45057969497096789</v>
      </c>
      <c r="IW37" s="5">
        <f t="shared" si="76"/>
        <v>0.26600000000000001</v>
      </c>
      <c r="IX37" s="5">
        <f t="shared" si="233"/>
        <v>0.23939941076198645</v>
      </c>
      <c r="IY37" s="762">
        <f t="shared" si="234"/>
        <v>35.538715187126833</v>
      </c>
    </row>
    <row r="38" spans="1:267" ht="15" customHeight="1" x14ac:dyDescent="0.25">
      <c r="A38" s="79"/>
      <c r="B38" s="707">
        <v>5.0401692747385072</v>
      </c>
      <c r="C38" s="708">
        <v>0.99249283164101876</v>
      </c>
      <c r="D38" s="709">
        <v>-0.92038767065740201</v>
      </c>
      <c r="E38" s="710">
        <v>0.1763191232321451</v>
      </c>
      <c r="F38" s="708">
        <v>0.93334151463458803</v>
      </c>
      <c r="G38" s="711">
        <v>0.31270622610088977</v>
      </c>
      <c r="H38" s="710">
        <v>0.26600000000000001</v>
      </c>
      <c r="I38" s="708">
        <v>0.52</v>
      </c>
      <c r="J38" s="570">
        <v>2.2320000000000002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2.2320000000000002</v>
      </c>
      <c r="N38" s="632">
        <f t="shared" si="2"/>
        <v>5.0401692747385072</v>
      </c>
      <c r="O38" s="629">
        <f t="shared" si="3"/>
        <v>0.99249283164101876</v>
      </c>
      <c r="P38" s="633">
        <f t="shared" si="4"/>
        <v>-0.92038767065740201</v>
      </c>
      <c r="Q38" s="585">
        <f t="shared" si="113"/>
        <v>11.13995940841207</v>
      </c>
      <c r="R38" s="629">
        <f t="shared" si="79"/>
        <v>5.1369590555966953</v>
      </c>
      <c r="S38" s="634">
        <f t="shared" si="80"/>
        <v>-0.92038767065740201</v>
      </c>
      <c r="T38" s="635">
        <f t="shared" si="81"/>
        <v>0.99293266554133497</v>
      </c>
      <c r="U38" s="629">
        <f t="shared" si="82"/>
        <v>-5.0400826442210125</v>
      </c>
      <c r="V38" s="636">
        <f t="shared" si="114"/>
        <v>-0.92038767065740201</v>
      </c>
      <c r="W38" s="585">
        <f t="shared" si="224"/>
        <v>281.14495940769018</v>
      </c>
      <c r="X38" s="629">
        <f t="shared" si="83"/>
        <v>5.1369590555966953</v>
      </c>
      <c r="Y38" s="630">
        <f t="shared" si="223"/>
        <v>-0.92038767065740201</v>
      </c>
      <c r="Z38" s="632">
        <f t="shared" si="6"/>
        <v>-0.1763191232321451</v>
      </c>
      <c r="AA38" s="629">
        <f t="shared" si="7"/>
        <v>-0.93334151463458803</v>
      </c>
      <c r="AB38" s="629">
        <f t="shared" si="8"/>
        <v>-0.31270622610088977</v>
      </c>
      <c r="AC38" s="636">
        <f t="shared" si="84"/>
        <v>1</v>
      </c>
      <c r="AD38" s="637">
        <f t="shared" si="115"/>
        <v>-0.1763191232321451</v>
      </c>
      <c r="AE38" s="629">
        <f t="shared" si="85"/>
        <v>-0.93334151463458803</v>
      </c>
      <c r="AF38" s="633">
        <f t="shared" si="86"/>
        <v>-0.31270622610088977</v>
      </c>
      <c r="AG38" s="602">
        <f t="shared" si="87"/>
        <v>-71.477118387012737</v>
      </c>
      <c r="AH38" s="603">
        <f t="shared" si="88"/>
        <v>100.15543206821854</v>
      </c>
      <c r="AI38" s="585">
        <f t="shared" si="89"/>
        <v>-71.777603840675923</v>
      </c>
      <c r="AJ38" s="586">
        <f t="shared" si="90"/>
        <v>-10.697772153458038</v>
      </c>
      <c r="AK38" s="635">
        <f t="shared" si="211"/>
        <v>0.88168967476496984</v>
      </c>
      <c r="AL38" s="629">
        <f t="shared" si="91"/>
        <v>-0.35332440273858967</v>
      </c>
      <c r="AM38" s="634">
        <f t="shared" si="92"/>
        <v>-0.31270622610088977</v>
      </c>
      <c r="AN38" s="581">
        <f t="shared" si="93"/>
        <v>-48.489886537793659</v>
      </c>
      <c r="AO38" s="582">
        <f t="shared" si="94"/>
        <v>28.153135565656481</v>
      </c>
      <c r="AP38" s="585">
        <f t="shared" si="95"/>
        <v>-21.83773156187014</v>
      </c>
      <c r="AQ38" s="586">
        <f t="shared" si="9"/>
        <v>0.44378026356081318</v>
      </c>
      <c r="AS38" s="52">
        <f t="shared" si="116"/>
        <v>-78.85504059230982</v>
      </c>
      <c r="AT38" s="72">
        <f t="shared" si="10"/>
        <v>-0.86562375357991039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2.2320000000000002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2.1320000000000001</v>
      </c>
      <c r="II38" s="734" cm="1">
        <f t="array" ref="II38">IFERROR(ROUND(VALUE(IF($IH38&lt;1,$IH38+LARGE((IF($M$9:$M$150="",0,$M$9:$M$150)-MOD(IF($M$9:$M$150="",0,$M$9:$M$150),1)),1),$IH38)),4),"")</f>
        <v>2.1320000000000001</v>
      </c>
      <c r="IJ38" s="533">
        <f t="shared" si="112"/>
        <v>1613</v>
      </c>
      <c r="IK38" s="533">
        <f t="shared" si="66"/>
        <v>1313</v>
      </c>
      <c r="IL38" s="727">
        <f t="shared" si="225"/>
        <v>10.809998439229332</v>
      </c>
      <c r="IM38" s="759">
        <v>1.00742732105343E-2</v>
      </c>
      <c r="IN38" s="5">
        <f t="shared" si="226"/>
        <v>0.32</v>
      </c>
      <c r="IO38" s="771">
        <v>160</v>
      </c>
      <c r="IP38" s="9">
        <f t="shared" si="227"/>
        <v>-5.1047153958216338</v>
      </c>
      <c r="IQ38" s="5">
        <f t="shared" si="228"/>
        <v>-0.96270263207113893</v>
      </c>
      <c r="IR38" s="5">
        <f t="shared" si="71"/>
        <v>0.314</v>
      </c>
      <c r="IS38" s="5">
        <f t="shared" si="229"/>
        <v>0.2971397989688494</v>
      </c>
      <c r="IT38" s="727">
        <f t="shared" si="230"/>
        <v>57.188158652665535</v>
      </c>
      <c r="IU38" s="9">
        <f t="shared" si="231"/>
        <v>-5.1369590555966953</v>
      </c>
      <c r="IV38" s="5">
        <f t="shared" si="232"/>
        <v>-0.92038767065740201</v>
      </c>
      <c r="IW38" s="5">
        <f t="shared" si="76"/>
        <v>0.26600000000000001</v>
      </c>
      <c r="IX38" s="5">
        <f t="shared" si="233"/>
        <v>0.23452945348748203</v>
      </c>
      <c r="IY38" s="762">
        <f t="shared" si="234"/>
        <v>48.489886537793659</v>
      </c>
    </row>
    <row r="39" spans="1:267" ht="15" customHeight="1" x14ac:dyDescent="0.25">
      <c r="A39" s="79"/>
      <c r="B39" s="707">
        <v>5.4690663853039423</v>
      </c>
      <c r="C39" s="708">
        <v>1.0688213938894673</v>
      </c>
      <c r="D39" s="709">
        <v>-1.5484549472204736</v>
      </c>
      <c r="E39" s="710">
        <v>0.25375243322866131</v>
      </c>
      <c r="F39" s="708">
        <v>0.93727653382631049</v>
      </c>
      <c r="G39" s="711">
        <v>0.23900293255328711</v>
      </c>
      <c r="H39" s="710">
        <v>0.26600000000000001</v>
      </c>
      <c r="I39" s="708">
        <v>0.52</v>
      </c>
      <c r="J39" s="570">
        <v>2.238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2.238</v>
      </c>
      <c r="N39" s="632">
        <f t="shared" si="2"/>
        <v>5.4690663853039423</v>
      </c>
      <c r="O39" s="629">
        <f t="shared" si="3"/>
        <v>1.0688213938894673</v>
      </c>
      <c r="P39" s="633">
        <f t="shared" si="4"/>
        <v>-1.5484549472204736</v>
      </c>
      <c r="Q39" s="585">
        <f t="shared" si="113"/>
        <v>11.057959420251406</v>
      </c>
      <c r="R39" s="629">
        <f t="shared" si="79"/>
        <v>5.5725278194816896</v>
      </c>
      <c r="S39" s="634">
        <f t="shared" si="80"/>
        <v>-1.5484549472204736</v>
      </c>
      <c r="T39" s="635">
        <f t="shared" si="81"/>
        <v>1.0692986558273525</v>
      </c>
      <c r="U39" s="629">
        <f t="shared" si="82"/>
        <v>-5.4689730922306774</v>
      </c>
      <c r="V39" s="636">
        <f t="shared" si="114"/>
        <v>-1.5484549472204736</v>
      </c>
      <c r="W39" s="585">
        <f t="shared" si="224"/>
        <v>281.06295941952948</v>
      </c>
      <c r="X39" s="629">
        <f t="shared" si="83"/>
        <v>5.5725278194816896</v>
      </c>
      <c r="Y39" s="630">
        <f t="shared" si="223"/>
        <v>-1.5484549472204736</v>
      </c>
      <c r="Z39" s="632">
        <f t="shared" si="6"/>
        <v>-0.25375243322866131</v>
      </c>
      <c r="AA39" s="629">
        <f t="shared" si="7"/>
        <v>-0.93727653382631049</v>
      </c>
      <c r="AB39" s="629">
        <f t="shared" si="8"/>
        <v>-0.23900293255328711</v>
      </c>
      <c r="AC39" s="636">
        <f t="shared" si="84"/>
        <v>1</v>
      </c>
      <c r="AD39" s="637">
        <f t="shared" si="115"/>
        <v>-0.25375243322866131</v>
      </c>
      <c r="AE39" s="629">
        <f t="shared" si="85"/>
        <v>-0.93727653382631049</v>
      </c>
      <c r="AF39" s="633">
        <f t="shared" si="86"/>
        <v>-0.23900293255328711</v>
      </c>
      <c r="AG39" s="602">
        <f t="shared" si="87"/>
        <v>-75.694596444794286</v>
      </c>
      <c r="AH39" s="603">
        <f t="shared" si="88"/>
        <v>104.69967353691928</v>
      </c>
      <c r="AI39" s="585">
        <f t="shared" si="89"/>
        <v>-76.172299883297114</v>
      </c>
      <c r="AJ39" s="586">
        <f t="shared" si="90"/>
        <v>-15.14875454590528</v>
      </c>
      <c r="AK39" s="635">
        <f t="shared" si="211"/>
        <v>0.87120454356904797</v>
      </c>
      <c r="AL39" s="629">
        <f t="shared" si="91"/>
        <v>-0.42881259484252088</v>
      </c>
      <c r="AM39" s="634">
        <f t="shared" si="92"/>
        <v>-0.23900293255328711</v>
      </c>
      <c r="AN39" s="581">
        <f t="shared" si="93"/>
        <v>-60.866458749909064</v>
      </c>
      <c r="AO39" s="582">
        <f t="shared" si="94"/>
        <v>29.401081643128755</v>
      </c>
      <c r="AP39" s="585">
        <f t="shared" si="95"/>
        <v>-26.206713966156659</v>
      </c>
      <c r="AQ39" s="586">
        <f t="shared" si="9"/>
        <v>0.40909403513242476</v>
      </c>
      <c r="AS39" s="52">
        <f t="shared" si="116"/>
        <v>-78.937040580470523</v>
      </c>
      <c r="AT39" s="72">
        <f t="shared" si="10"/>
        <v>-1.4936340857067594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2.238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2.1379999999999999</v>
      </c>
      <c r="II39" s="734" cm="1">
        <f t="array" ref="II39">IFERROR(ROUND(VALUE(IF($IH39&lt;1,$IH39+LARGE((IF($M$9:$M$150="",0,$M$9:$M$150)-MOD(IF($M$9:$M$150="",0,$M$9:$M$150),1)),1),$IH39)),4),"")</f>
        <v>2.1379999999999999</v>
      </c>
      <c r="IJ39" s="533">
        <f t="shared" si="112"/>
        <v>1613</v>
      </c>
      <c r="IK39" s="533">
        <f t="shared" si="66"/>
        <v>1313</v>
      </c>
      <c r="IL39" s="727">
        <f t="shared" si="225"/>
        <v>10.179998530190062</v>
      </c>
      <c r="IM39" s="759">
        <v>8.0756469051731505E-3</v>
      </c>
      <c r="IN39" s="5">
        <f t="shared" si="226"/>
        <v>0.3</v>
      </c>
      <c r="IO39" s="771">
        <v>150</v>
      </c>
      <c r="IP39" s="9">
        <f t="shared" si="227"/>
        <v>-5.5303166794351064</v>
      </c>
      <c r="IQ39" s="5">
        <f t="shared" si="228"/>
        <v>-1.5848045083303968</v>
      </c>
      <c r="IR39" s="5">
        <f t="shared" si="71"/>
        <v>0.314</v>
      </c>
      <c r="IS39" s="5">
        <f t="shared" si="229"/>
        <v>0.29465998916438296</v>
      </c>
      <c r="IT39" s="727">
        <f t="shared" si="230"/>
        <v>69.592814673283286</v>
      </c>
      <c r="IU39" s="9">
        <f t="shared" si="231"/>
        <v>-5.5725278194816896</v>
      </c>
      <c r="IV39" s="5">
        <f t="shared" si="232"/>
        <v>-1.5484549472204736</v>
      </c>
      <c r="IW39" s="5">
        <f t="shared" si="76"/>
        <v>0.26600000000000001</v>
      </c>
      <c r="IX39" s="5">
        <f t="shared" si="233"/>
        <v>0.23174040858936679</v>
      </c>
      <c r="IY39" s="762">
        <f t="shared" si="234"/>
        <v>60.866458749909064</v>
      </c>
    </row>
    <row r="40" spans="1:267" ht="15" customHeight="1" x14ac:dyDescent="0.25">
      <c r="A40" s="79"/>
      <c r="B40" s="707">
        <v>5.6969165256086924</v>
      </c>
      <c r="C40" s="708">
        <v>1.1035467782534187</v>
      </c>
      <c r="D40" s="709">
        <v>-2.2795077723715709</v>
      </c>
      <c r="E40" s="710">
        <v>0.32385152551799024</v>
      </c>
      <c r="F40" s="708">
        <v>0.9316951235333415</v>
      </c>
      <c r="G40" s="711">
        <v>0.16451257156783516</v>
      </c>
      <c r="H40" s="710">
        <v>0.26600000000000001</v>
      </c>
      <c r="I40" s="708">
        <v>0.52</v>
      </c>
      <c r="J40" s="570">
        <v>2.2440000000000002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2.2440000000000002</v>
      </c>
      <c r="N40" s="632">
        <f t="shared" si="2"/>
        <v>5.6969165256086924</v>
      </c>
      <c r="O40" s="629">
        <f t="shared" si="3"/>
        <v>1.1035467782534187</v>
      </c>
      <c r="P40" s="633">
        <f t="shared" si="4"/>
        <v>-2.2795077723715709</v>
      </c>
      <c r="Q40" s="585">
        <f t="shared" si="113"/>
        <v>10.962959433967699</v>
      </c>
      <c r="R40" s="629">
        <f t="shared" si="79"/>
        <v>5.8028159880825889</v>
      </c>
      <c r="S40" s="634">
        <f t="shared" si="80"/>
        <v>-2.2795077723715709</v>
      </c>
      <c r="T40" s="635">
        <f t="shared" si="81"/>
        <v>1.1040439237319277</v>
      </c>
      <c r="U40" s="629">
        <f t="shared" si="82"/>
        <v>-5.6968202013068243</v>
      </c>
      <c r="V40" s="636">
        <f t="shared" si="114"/>
        <v>-2.2795077723715709</v>
      </c>
      <c r="W40" s="585">
        <f t="shared" si="224"/>
        <v>280.96795943324577</v>
      </c>
      <c r="X40" s="629">
        <f t="shared" si="83"/>
        <v>5.8028159880825889</v>
      </c>
      <c r="Y40" s="630">
        <f t="shared" si="223"/>
        <v>-2.2795077723715709</v>
      </c>
      <c r="Z40" s="632">
        <f t="shared" si="6"/>
        <v>-0.32385152551799024</v>
      </c>
      <c r="AA40" s="629">
        <f t="shared" si="7"/>
        <v>-0.9316951235333415</v>
      </c>
      <c r="AB40" s="629">
        <f t="shared" si="8"/>
        <v>-0.16451257156783516</v>
      </c>
      <c r="AC40" s="636">
        <f t="shared" si="84"/>
        <v>1</v>
      </c>
      <c r="AD40" s="637">
        <f t="shared" si="115"/>
        <v>-0.32385152551799024</v>
      </c>
      <c r="AE40" s="629">
        <f t="shared" si="85"/>
        <v>-0.9316951235333415</v>
      </c>
      <c r="AF40" s="633">
        <f t="shared" si="86"/>
        <v>-0.16451257156783516</v>
      </c>
      <c r="AG40" s="602">
        <f t="shared" si="87"/>
        <v>-79.986307773303238</v>
      </c>
      <c r="AH40" s="603">
        <f t="shared" si="88"/>
        <v>108.89600952765039</v>
      </c>
      <c r="AI40" s="585">
        <f t="shared" si="89"/>
        <v>-80.531080061426081</v>
      </c>
      <c r="AJ40" s="586">
        <f t="shared" si="90"/>
        <v>-19.167138728723295</v>
      </c>
      <c r="AK40" s="635">
        <f t="shared" si="211"/>
        <v>0.85310374284400536</v>
      </c>
      <c r="AL40" s="629">
        <f t="shared" si="91"/>
        <v>-0.49512586050587876</v>
      </c>
      <c r="AM40" s="634">
        <f t="shared" si="92"/>
        <v>-0.16451257156783516</v>
      </c>
      <c r="AN40" s="581">
        <f t="shared" si="93"/>
        <v>-71.620202741837389</v>
      </c>
      <c r="AO40" s="582">
        <f t="shared" si="94"/>
        <v>31.449128376315585</v>
      </c>
      <c r="AP40" s="585">
        <f t="shared" si="95"/>
        <v>-30.130098162690985</v>
      </c>
      <c r="AQ40" s="586">
        <f t="shared" si="9"/>
        <v>0.39285941687844306</v>
      </c>
      <c r="AS40" s="52">
        <f t="shared" si="116"/>
        <v>-79.032040566754233</v>
      </c>
      <c r="AT40" s="72">
        <f t="shared" si="10"/>
        <v>-2.2246209386451596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2.2440000000000002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2.1440000000000001</v>
      </c>
      <c r="II40" s="734" cm="1">
        <f t="array" ref="II40">IFERROR(ROUND(VALUE(IF($IH40&lt;1,$IH40+LARGE((IF($M$9:$M$150="",0,$M$9:$M$150)-MOD(IF($M$9:$M$150="",0,$M$9:$M$150),1)),1),$IH40)),4),"")</f>
        <v>2.1440000000000001</v>
      </c>
      <c r="IJ40" s="533">
        <f t="shared" si="112"/>
        <v>1613</v>
      </c>
      <c r="IK40" s="533">
        <f t="shared" si="66"/>
        <v>1313</v>
      </c>
      <c r="IL40" s="727">
        <f t="shared" si="225"/>
        <v>9.8859985726384139</v>
      </c>
      <c r="IM40" s="759">
        <v>5.9163490177594098E-3</v>
      </c>
      <c r="IN40" s="5">
        <f t="shared" si="226"/>
        <v>0.3</v>
      </c>
      <c r="IO40" s="771">
        <v>150</v>
      </c>
      <c r="IP40" s="9">
        <f t="shared" si="227"/>
        <v>-5.7564173613547629</v>
      </c>
      <c r="IQ40" s="5">
        <f t="shared" si="228"/>
        <v>-2.3043066783489423</v>
      </c>
      <c r="IR40" s="5">
        <f t="shared" si="71"/>
        <v>0.314</v>
      </c>
      <c r="IS40" s="5">
        <f t="shared" si="229"/>
        <v>0.28472587624260154</v>
      </c>
      <c r="IT40" s="727">
        <f t="shared" si="230"/>
        <v>76.450865744065638</v>
      </c>
      <c r="IU40" s="9">
        <f t="shared" si="231"/>
        <v>-5.8028159880825889</v>
      </c>
      <c r="IV40" s="5">
        <f t="shared" si="232"/>
        <v>-2.2795077723715709</v>
      </c>
      <c r="IW40" s="5">
        <f t="shared" si="76"/>
        <v>0.26600000000000001</v>
      </c>
      <c r="IX40" s="5">
        <f t="shared" si="233"/>
        <v>0.22692559559650544</v>
      </c>
      <c r="IY40" s="762">
        <f t="shared" si="234"/>
        <v>71.620202741837389</v>
      </c>
    </row>
    <row r="41" spans="1:267" ht="15" customHeight="1" x14ac:dyDescent="0.25">
      <c r="A41" s="79"/>
      <c r="B41" s="707">
        <v>0.43431554368760344</v>
      </c>
      <c r="C41" s="708">
        <v>-0.30411140094846495</v>
      </c>
      <c r="D41" s="709">
        <v>-0.72340218178098026</v>
      </c>
      <c r="E41" s="710">
        <v>0.48327680144980684</v>
      </c>
      <c r="F41" s="708">
        <v>0.82587943137992426</v>
      </c>
      <c r="G41" s="711">
        <v>0.29045946017304536</v>
      </c>
      <c r="H41" s="710">
        <v>0.314</v>
      </c>
      <c r="I41" s="708">
        <v>0.52</v>
      </c>
      <c r="J41" s="570">
        <v>3.1019999999999999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3.1019999999999999</v>
      </c>
      <c r="N41" s="632">
        <f t="shared" ref="N41:N72" si="240">IF(M41="","",B41)</f>
        <v>0.43431554368760344</v>
      </c>
      <c r="O41" s="629">
        <f t="shared" ref="O41:O72" si="241">IF(M41="","",C41)</f>
        <v>-0.30411140094846495</v>
      </c>
      <c r="P41" s="633">
        <f t="shared" ref="P41:P72" si="242">IF(M41="","",D41)</f>
        <v>-0.72340218178098026</v>
      </c>
      <c r="Q41" s="585">
        <f t="shared" si="113"/>
        <v>324.9999660702029</v>
      </c>
      <c r="R41" s="629">
        <f t="shared" si="79"/>
        <v>0.53020159908802289</v>
      </c>
      <c r="S41" s="634">
        <f t="shared" si="80"/>
        <v>-0.72340218178098026</v>
      </c>
      <c r="T41" s="635">
        <f t="shared" si="81"/>
        <v>-0.30407349861486538</v>
      </c>
      <c r="U41" s="629">
        <f t="shared" si="82"/>
        <v>-0.43434208075618463</v>
      </c>
      <c r="V41" s="636">
        <f t="shared" si="114"/>
        <v>-0.72340218178098026</v>
      </c>
      <c r="W41" s="585">
        <f t="shared" si="224"/>
        <v>235.00496606948099</v>
      </c>
      <c r="X41" s="629">
        <f t="shared" si="83"/>
        <v>0.53020159908802289</v>
      </c>
      <c r="Y41" s="630">
        <f t="shared" si="223"/>
        <v>-0.72340218178098026</v>
      </c>
      <c r="Z41" s="632">
        <f t="shared" ref="Z41:Z72" si="243">IF(M41="","",-E41)</f>
        <v>-0.48327680144980684</v>
      </c>
      <c r="AA41" s="629">
        <f t="shared" ref="AA41:AA72" si="244">IF(M41="","",-F41)</f>
        <v>-0.82587943137992426</v>
      </c>
      <c r="AB41" s="629">
        <f t="shared" ref="AB41:AB72" si="245">IF(M41="","",-G41)</f>
        <v>-0.29045946017304536</v>
      </c>
      <c r="AC41" s="636">
        <f t="shared" si="84"/>
        <v>1</v>
      </c>
      <c r="AD41" s="637">
        <f t="shared" si="115"/>
        <v>-0.48327680144980684</v>
      </c>
      <c r="AE41" s="629">
        <f t="shared" si="85"/>
        <v>-0.82587943137992426</v>
      </c>
      <c r="AF41" s="633">
        <f t="shared" si="86"/>
        <v>-0.29045946017304536</v>
      </c>
      <c r="AG41" s="602">
        <f t="shared" si="87"/>
        <v>-70.623370912380253</v>
      </c>
      <c r="AH41" s="603">
        <f t="shared" si="88"/>
        <v>118.89963469300343</v>
      </c>
      <c r="AI41" s="585">
        <f t="shared" si="89"/>
        <v>-73.114534769632428</v>
      </c>
      <c r="AJ41" s="586">
        <f t="shared" si="90"/>
        <v>-30.334731981014414</v>
      </c>
      <c r="AK41" s="635">
        <f t="shared" si="211"/>
        <v>0.95371696400905337</v>
      </c>
      <c r="AL41" s="629">
        <f t="shared" si="91"/>
        <v>7.782836601996157E-2</v>
      </c>
      <c r="AM41" s="634">
        <f t="shared" si="92"/>
        <v>-0.29045946017304536</v>
      </c>
      <c r="AN41" s="581">
        <f t="shared" si="93"/>
        <v>14.999997834268274</v>
      </c>
      <c r="AO41" s="582">
        <f t="shared" si="94"/>
        <v>17.49999747331298</v>
      </c>
      <c r="AP41" s="585">
        <f t="shared" si="95"/>
        <v>4.6653019487827061</v>
      </c>
      <c r="AQ41" s="586">
        <f t="shared" ref="AQ41:AQ72" si="246">IF(M41="","",DEGREES(ATAN(($AS$5*SIN(RADIANS(90)))/(($X41*2*PI())-($AS$5*COS(RADIANS(90)))))))</f>
        <v>4.2916910711134246</v>
      </c>
      <c r="AS41" s="52">
        <f t="shared" si="116"/>
        <v>-124.99503393051901</v>
      </c>
      <c r="AT41" s="72">
        <f t="shared" ref="AT41:AT72" si="247">IF(M41="","",Y41+(((AS41-$AS$9)*$AS$6)*-1))</f>
        <v>-0.63659660266306561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3.1019999999999999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1.0071500584004307</v>
      </c>
      <c r="C42" s="708">
        <v>-0.7052149518410743</v>
      </c>
      <c r="D42" s="709">
        <v>-0.54000162864491208</v>
      </c>
      <c r="E42" s="710">
        <v>0.49916002344389943</v>
      </c>
      <c r="F42" s="708">
        <v>0.82966215254342957</v>
      </c>
      <c r="G42" s="711">
        <v>0.24999996726497564</v>
      </c>
      <c r="H42" s="710">
        <v>0.314</v>
      </c>
      <c r="I42" s="708">
        <v>0.52</v>
      </c>
      <c r="J42" s="570">
        <v>3.105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3.105</v>
      </c>
      <c r="N42" s="632">
        <f t="shared" si="240"/>
        <v>1.0071500584004307</v>
      </c>
      <c r="O42" s="629">
        <f t="shared" si="241"/>
        <v>-0.7052149518410743</v>
      </c>
      <c r="P42" s="633">
        <f t="shared" si="242"/>
        <v>-0.54000162864491208</v>
      </c>
      <c r="Q42" s="585">
        <f t="shared" si="113"/>
        <v>324.9999660702029</v>
      </c>
      <c r="R42" s="629">
        <f t="shared" ref="R42:R47" si="385">IF(M42="","",SQRT(N42^2+O42^2))</f>
        <v>1.2295037081831839</v>
      </c>
      <c r="S42" s="634">
        <f t="shared" ref="S42:S47" si="386">IF(M42="","",P42)</f>
        <v>-0.54000162864491208</v>
      </c>
      <c r="T42" s="635">
        <f t="shared" ref="T42:T47" si="387">IF(M42="","",X42*COS(RADIANS(W42)))</f>
        <v>-0.7051270587457128</v>
      </c>
      <c r="U42" s="629">
        <f t="shared" ref="U42:U47" si="388">IF(M42="","",X42*SIN(RADIANS(W42)))</f>
        <v>-1.0072115961707448</v>
      </c>
      <c r="V42" s="636">
        <f t="shared" ref="V42:V47" si="389">IF(M42="","",Y42)</f>
        <v>-0.54000162864491208</v>
      </c>
      <c r="W42" s="585">
        <f t="shared" si="224"/>
        <v>235.00496606948099</v>
      </c>
      <c r="X42" s="629">
        <f t="shared" ref="X42:X47" si="390">IF(M42="","",R42)</f>
        <v>1.2295037081831839</v>
      </c>
      <c r="Y42" s="630">
        <f t="shared" si="223"/>
        <v>-0.54000162864491208</v>
      </c>
      <c r="Z42" s="632">
        <f t="shared" si="243"/>
        <v>-0.49916002344389943</v>
      </c>
      <c r="AA42" s="629">
        <f t="shared" si="244"/>
        <v>-0.82966215254342957</v>
      </c>
      <c r="AB42" s="629">
        <f t="shared" si="245"/>
        <v>-0.24999996726497564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-0.49916002344389943</v>
      </c>
      <c r="AE42" s="629">
        <f t="shared" ref="AE42:AE47" si="393">IF(M42="","",AA42*(1/SQRT(Z42^2+AA42^2+AB42^2)))</f>
        <v>-0.82966215254342957</v>
      </c>
      <c r="AF42" s="633">
        <f t="shared" ref="AF42:AF47" si="394">IF(M42="","",AB42*(1/SQRT(Z42^2+AA42^2+AB42^2)))</f>
        <v>-0.24999996726497564</v>
      </c>
      <c r="AG42" s="602">
        <f t="shared" ref="AG42:AG47" si="395">IF(M42="","",DEGREES(ATAN2(-AF42,AE42)))</f>
        <v>-73.231004817230939</v>
      </c>
      <c r="AH42" s="603">
        <f t="shared" ref="AH42:AH47" si="396">IF(M42="","",DEGREES(ACOS(AD42)))</f>
        <v>119.94444314080609</v>
      </c>
      <c r="AI42" s="585">
        <f t="shared" ref="AI42:AI47" si="397">IF(M42="","",DEGREES(-ACOS(-AF42)))</f>
        <v>-75.522489751159469</v>
      </c>
      <c r="AJ42" s="586">
        <f t="shared" ref="AJ42:AJ47" si="398">IF(M42="","",DEGREES(ATAN2(-AE42,AD42)))</f>
        <v>-31.032904284710551</v>
      </c>
      <c r="AK42" s="635">
        <f t="shared" ref="AK42:AK47" si="399">IF(M42="","",(COS(RADIANS((90-$Q$8)-W42))*AD42)+(-SIN(RADIANS((90-$Q$8)-W42))*AE42))</f>
        <v>0.9659258360722075</v>
      </c>
      <c r="AL42" s="629">
        <f t="shared" ref="AL42:AL47" si="400">IF(M42="","",(SIN(RADIANS((90-$Q$8)-W42))*AD42)+(COS(RADIANS((90-$Q$8)-W42))*AE42))</f>
        <v>6.698727920820724E-2</v>
      </c>
      <c r="AM42" s="634">
        <f t="shared" ref="AM42:AM47" si="401">IF(M42="","",AF42)</f>
        <v>-0.24999996726497564</v>
      </c>
      <c r="AN42" s="581">
        <f t="shared" ref="AN42:AN47" si="402">IF(M42="","",DEGREES(ATAN2(-AM42,AL42)))</f>
        <v>14.999997834268278</v>
      </c>
      <c r="AO42" s="582">
        <f t="shared" si="94"/>
        <v>14.99999783426823</v>
      </c>
      <c r="AP42" s="585">
        <f t="shared" ref="AP42:AP47" si="403">IF(M42="","",DEGREES(ATAN2(AK42,AL42)))</f>
        <v>3.9671296450865734</v>
      </c>
      <c r="AQ42" s="586">
        <f t="shared" si="246"/>
        <v>1.8535375559866956</v>
      </c>
      <c r="AS42" s="52">
        <f t="shared" si="116"/>
        <v>-124.99503393051901</v>
      </c>
      <c r="AT42" s="72">
        <f t="shared" si="247"/>
        <v>-0.45319604952699744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3.105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1.6030028054361962</v>
      </c>
      <c r="C43" s="708">
        <v>-1.1224360628367618</v>
      </c>
      <c r="D43" s="709">
        <v>-0.34510104082473914</v>
      </c>
      <c r="E43" s="710">
        <v>0.49916002344389948</v>
      </c>
      <c r="F43" s="708">
        <v>0.82966215254342957</v>
      </c>
      <c r="G43" s="711">
        <v>0.24999996726497564</v>
      </c>
      <c r="H43" s="710">
        <v>0.314</v>
      </c>
      <c r="I43" s="708">
        <v>0.52</v>
      </c>
      <c r="J43" s="570">
        <v>3.1080000000000001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3.1080000000000001</v>
      </c>
      <c r="N43" s="632">
        <f t="shared" si="240"/>
        <v>1.6030028054361962</v>
      </c>
      <c r="O43" s="629">
        <f t="shared" si="241"/>
        <v>-1.1224360628367618</v>
      </c>
      <c r="P43" s="633">
        <f t="shared" si="242"/>
        <v>-0.34510104082473914</v>
      </c>
      <c r="Q43" s="585">
        <f t="shared" si="113"/>
        <v>324.9999660702029</v>
      </c>
      <c r="R43" s="629">
        <f t="shared" si="385"/>
        <v>1.9569059020282009</v>
      </c>
      <c r="S43" s="634">
        <f t="shared" si="386"/>
        <v>-0.34510104082473914</v>
      </c>
      <c r="T43" s="635">
        <f t="shared" si="387"/>
        <v>-1.1222961701988496</v>
      </c>
      <c r="U43" s="629">
        <f t="shared" si="388"/>
        <v>-1.6031007503428476</v>
      </c>
      <c r="V43" s="636">
        <f t="shared" si="389"/>
        <v>-0.34510104082473914</v>
      </c>
      <c r="W43" s="585">
        <f t="shared" si="224"/>
        <v>235.00496606948099</v>
      </c>
      <c r="X43" s="629">
        <f t="shared" si="390"/>
        <v>1.9569059020282009</v>
      </c>
      <c r="Y43" s="630">
        <f t="shared" si="223"/>
        <v>-0.34510104082473914</v>
      </c>
      <c r="Z43" s="632">
        <f t="shared" si="243"/>
        <v>-0.49916002344389948</v>
      </c>
      <c r="AA43" s="629">
        <f t="shared" si="244"/>
        <v>-0.82966215254342957</v>
      </c>
      <c r="AB43" s="629">
        <f t="shared" si="245"/>
        <v>-0.24999996726497564</v>
      </c>
      <c r="AC43" s="636">
        <f t="shared" si="391"/>
        <v>1</v>
      </c>
      <c r="AD43" s="637">
        <f t="shared" si="392"/>
        <v>-0.49916002344389948</v>
      </c>
      <c r="AE43" s="629">
        <f t="shared" si="393"/>
        <v>-0.82966215254342957</v>
      </c>
      <c r="AF43" s="633">
        <f t="shared" si="394"/>
        <v>-0.24999996726497564</v>
      </c>
      <c r="AG43" s="602">
        <f t="shared" si="395"/>
        <v>-73.231004817230939</v>
      </c>
      <c r="AH43" s="603">
        <f t="shared" si="396"/>
        <v>119.94444314080609</v>
      </c>
      <c r="AI43" s="585">
        <f t="shared" si="397"/>
        <v>-75.522489751159469</v>
      </c>
      <c r="AJ43" s="586">
        <f t="shared" si="398"/>
        <v>-31.032904284710551</v>
      </c>
      <c r="AK43" s="635">
        <f t="shared" si="399"/>
        <v>0.9659258360722075</v>
      </c>
      <c r="AL43" s="629">
        <f t="shared" si="400"/>
        <v>6.6987279208207184E-2</v>
      </c>
      <c r="AM43" s="634">
        <f t="shared" si="401"/>
        <v>-0.24999996726497564</v>
      </c>
      <c r="AN43" s="581">
        <f t="shared" si="402"/>
        <v>14.999997834268264</v>
      </c>
      <c r="AO43" s="582">
        <f t="shared" si="94"/>
        <v>14.99999783426823</v>
      </c>
      <c r="AP43" s="585">
        <f t="shared" si="403"/>
        <v>3.9671296450865703</v>
      </c>
      <c r="AQ43" s="586">
        <f t="shared" si="246"/>
        <v>1.1648043751027541</v>
      </c>
      <c r="AS43" s="52">
        <f t="shared" ref="AS43:AS74" si="406">IF(G43="","",IF(AND(W43&lt;(AS42+180),W43&gt;(AS42-180)),W43,IF(W43&gt;(AS42+180),W43-360,IF(W43&lt;(AS42-180),W43+360,"Error"))))</f>
        <v>-124.99503393051901</v>
      </c>
      <c r="AT43" s="72">
        <f t="shared" si="247"/>
        <v>-0.25829546170682449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3.1080000000000001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2.196485059672816</v>
      </c>
      <c r="C44" s="708">
        <v>-1.5425151008953157</v>
      </c>
      <c r="D44" s="709">
        <v>-0.15090045511577263</v>
      </c>
      <c r="E44" s="710">
        <v>0.52837162678019567</v>
      </c>
      <c r="F44" s="708">
        <v>0.80898275497856686</v>
      </c>
      <c r="G44" s="711">
        <v>0.25762438968571599</v>
      </c>
      <c r="H44" s="710">
        <v>0.314</v>
      </c>
      <c r="I44" s="708">
        <v>0.52</v>
      </c>
      <c r="J44" s="570">
        <v>3.1120000000000001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3.1120000000000001</v>
      </c>
      <c r="N44" s="632">
        <f t="shared" si="240"/>
        <v>2.196485059672816</v>
      </c>
      <c r="O44" s="629">
        <f t="shared" si="241"/>
        <v>-1.5425151008953157</v>
      </c>
      <c r="P44" s="633">
        <f t="shared" si="242"/>
        <v>-0.15090045511577263</v>
      </c>
      <c r="Q44" s="585">
        <f t="shared" si="113"/>
        <v>324.92096608160909</v>
      </c>
      <c r="R44" s="629">
        <f t="shared" si="385"/>
        <v>2.6840080949684149</v>
      </c>
      <c r="S44" s="634">
        <f t="shared" si="386"/>
        <v>-0.15090045511577263</v>
      </c>
      <c r="T44" s="635">
        <f t="shared" si="387"/>
        <v>-1.5423234155684626</v>
      </c>
      <c r="U44" s="629">
        <f t="shared" si="388"/>
        <v>-2.196619661125979</v>
      </c>
      <c r="V44" s="636">
        <f t="shared" si="389"/>
        <v>-0.15090045511577263</v>
      </c>
      <c r="W44" s="585">
        <f t="shared" si="224"/>
        <v>234.92596608088718</v>
      </c>
      <c r="X44" s="629">
        <f t="shared" si="390"/>
        <v>2.6840080949684149</v>
      </c>
      <c r="Y44" s="630">
        <f t="shared" si="223"/>
        <v>-0.15090045511577263</v>
      </c>
      <c r="Z44" s="632">
        <f t="shared" si="243"/>
        <v>-0.52837162678019567</v>
      </c>
      <c r="AA44" s="629">
        <f t="shared" si="244"/>
        <v>-0.80898275497856686</v>
      </c>
      <c r="AB44" s="629">
        <f t="shared" si="245"/>
        <v>-0.25762438968571599</v>
      </c>
      <c r="AC44" s="636">
        <f t="shared" si="391"/>
        <v>1</v>
      </c>
      <c r="AD44" s="637">
        <f t="shared" si="392"/>
        <v>-0.52837162678019567</v>
      </c>
      <c r="AE44" s="629">
        <f t="shared" si="393"/>
        <v>-0.80898275497856686</v>
      </c>
      <c r="AF44" s="633">
        <f t="shared" si="394"/>
        <v>-0.25762438968571599</v>
      </c>
      <c r="AG44" s="602">
        <f t="shared" si="395"/>
        <v>-72.335677410951561</v>
      </c>
      <c r="AH44" s="603">
        <f t="shared" si="396"/>
        <v>121.89549809476212</v>
      </c>
      <c r="AI44" s="585">
        <f t="shared" si="397"/>
        <v>-75.070851602438182</v>
      </c>
      <c r="AJ44" s="586">
        <f t="shared" si="398"/>
        <v>-33.14979390106798</v>
      </c>
      <c r="AK44" s="635">
        <f t="shared" si="399"/>
        <v>0.96569744066548857</v>
      </c>
      <c r="AL44" s="629">
        <f t="shared" si="400"/>
        <v>3.2528863047873779E-2</v>
      </c>
      <c r="AM44" s="634">
        <f t="shared" si="401"/>
        <v>-0.25762438968571599</v>
      </c>
      <c r="AN44" s="581">
        <f t="shared" si="402"/>
        <v>7.1963516742266282</v>
      </c>
      <c r="AO44" s="582">
        <f t="shared" si="94"/>
        <v>15.050475643880663</v>
      </c>
      <c r="AP44" s="585">
        <f t="shared" si="403"/>
        <v>1.9292400173229176</v>
      </c>
      <c r="AQ44" s="586">
        <f t="shared" si="246"/>
        <v>0.84931176591189217</v>
      </c>
      <c r="AS44" s="52">
        <f t="shared" si="406"/>
        <v>-125.07403391911282</v>
      </c>
      <c r="AT44" s="72">
        <f t="shared" si="247"/>
        <v>-6.4040014894667832E-2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3.1120000000000001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2.7897015108526739</v>
      </c>
      <c r="C45" s="708">
        <v>-2.0038681806211041</v>
      </c>
      <c r="D45" s="709">
        <v>-8.4300254249566817E-2</v>
      </c>
      <c r="E45" s="710">
        <v>0.62828022789316595</v>
      </c>
      <c r="F45" s="708">
        <v>0.73547276502127135</v>
      </c>
      <c r="G45" s="711">
        <v>0.25366073237786968</v>
      </c>
      <c r="H45" s="710">
        <v>0.314</v>
      </c>
      <c r="I45" s="708">
        <v>0.52</v>
      </c>
      <c r="J45" s="570">
        <v>3.117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3.117</v>
      </c>
      <c r="N45" s="632">
        <f t="shared" si="240"/>
        <v>2.7897015108526739</v>
      </c>
      <c r="O45" s="629">
        <f t="shared" si="241"/>
        <v>-2.0038681806211041</v>
      </c>
      <c r="P45" s="633">
        <f t="shared" si="242"/>
        <v>-8.4300254249566817E-2</v>
      </c>
      <c r="Q45" s="585">
        <f t="shared" si="113"/>
        <v>324.30996616982657</v>
      </c>
      <c r="R45" s="629">
        <f t="shared" si="385"/>
        <v>3.4348103593880444</v>
      </c>
      <c r="S45" s="634">
        <f t="shared" si="386"/>
        <v>-8.4300254249566817E-2</v>
      </c>
      <c r="T45" s="635">
        <f t="shared" si="387"/>
        <v>-2.0036247256438378</v>
      </c>
      <c r="U45" s="629">
        <f t="shared" si="388"/>
        <v>-2.789876370692451</v>
      </c>
      <c r="V45" s="636">
        <f t="shared" si="389"/>
        <v>-8.4300254249566817E-2</v>
      </c>
      <c r="W45" s="585">
        <f t="shared" si="224"/>
        <v>234.31496616910465</v>
      </c>
      <c r="X45" s="629">
        <f t="shared" si="390"/>
        <v>3.4348103593880444</v>
      </c>
      <c r="Y45" s="630">
        <f t="shared" si="223"/>
        <v>-8.4300254249566817E-2</v>
      </c>
      <c r="Z45" s="632">
        <f t="shared" si="243"/>
        <v>-0.62828022789316595</v>
      </c>
      <c r="AA45" s="629">
        <f t="shared" si="244"/>
        <v>-0.73547276502127135</v>
      </c>
      <c r="AB45" s="629">
        <f t="shared" si="245"/>
        <v>-0.25366073237786968</v>
      </c>
      <c r="AC45" s="636">
        <f t="shared" si="391"/>
        <v>1</v>
      </c>
      <c r="AD45" s="637">
        <f t="shared" si="392"/>
        <v>-0.62828022789316595</v>
      </c>
      <c r="AE45" s="629">
        <f t="shared" si="393"/>
        <v>-0.73547276502127135</v>
      </c>
      <c r="AF45" s="633">
        <f t="shared" si="394"/>
        <v>-0.25366073237786968</v>
      </c>
      <c r="AG45" s="602">
        <f t="shared" si="395"/>
        <v>-70.97095220706629</v>
      </c>
      <c r="AH45" s="603">
        <f t="shared" si="396"/>
        <v>128.92335453371106</v>
      </c>
      <c r="AI45" s="585">
        <f t="shared" si="397"/>
        <v>-75.30575825643119</v>
      </c>
      <c r="AJ45" s="586">
        <f t="shared" si="398"/>
        <v>-40.505726746048282</v>
      </c>
      <c r="AK45" s="635">
        <f t="shared" si="399"/>
        <v>0.96387861178722445</v>
      </c>
      <c r="AL45" s="629">
        <f t="shared" si="400"/>
        <v>-8.1205015785084877E-2</v>
      </c>
      <c r="AM45" s="634">
        <f t="shared" si="401"/>
        <v>-0.25366073237786968</v>
      </c>
      <c r="AN45" s="581">
        <f t="shared" si="402"/>
        <v>-17.751552007912018</v>
      </c>
      <c r="AO45" s="582">
        <f t="shared" si="94"/>
        <v>15.446705535741847</v>
      </c>
      <c r="AP45" s="585">
        <f t="shared" si="403"/>
        <v>-4.8156929158748216</v>
      </c>
      <c r="AQ45" s="586">
        <f t="shared" si="246"/>
        <v>0.66368283274413276</v>
      </c>
      <c r="AS45" s="52">
        <f t="shared" si="406"/>
        <v>-125.68503383089535</v>
      </c>
      <c r="AT45" s="72">
        <f t="shared" si="247"/>
        <v>2.984491465831407E-3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3.117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3.3479328260781958</v>
      </c>
      <c r="C46" s="708">
        <v>-2.4882110918884721</v>
      </c>
      <c r="D46" s="709">
        <v>-0.24400073590621951</v>
      </c>
      <c r="E46" s="710">
        <v>0.70389463777450312</v>
      </c>
      <c r="F46" s="708">
        <v>0.67408110507984054</v>
      </c>
      <c r="G46" s="711">
        <v>0.22393526449990403</v>
      </c>
      <c r="H46" s="710">
        <v>0.314</v>
      </c>
      <c r="I46" s="708">
        <v>0.52</v>
      </c>
      <c r="J46" s="570">
        <v>3.1230000000000002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3.1230000000000002</v>
      </c>
      <c r="N46" s="632">
        <f t="shared" si="240"/>
        <v>3.3479328260781958</v>
      </c>
      <c r="O46" s="629">
        <f t="shared" si="241"/>
        <v>-2.4882110918884721</v>
      </c>
      <c r="P46" s="633">
        <f t="shared" si="242"/>
        <v>-0.24400073590621951</v>
      </c>
      <c r="Q46" s="585">
        <f t="shared" si="113"/>
        <v>323.37996630410191</v>
      </c>
      <c r="R46" s="629">
        <f t="shared" si="385"/>
        <v>4.1713125806787428</v>
      </c>
      <c r="S46" s="634">
        <f t="shared" si="386"/>
        <v>-0.24400073590621951</v>
      </c>
      <c r="T46" s="635">
        <f t="shared" si="387"/>
        <v>-2.487918920201869</v>
      </c>
      <c r="U46" s="629">
        <f t="shared" si="388"/>
        <v>-3.3481499506787804</v>
      </c>
      <c r="V46" s="636">
        <f t="shared" si="389"/>
        <v>-0.24400073590621951</v>
      </c>
      <c r="W46" s="585">
        <f t="shared" si="224"/>
        <v>233.38496630338</v>
      </c>
      <c r="X46" s="629">
        <f t="shared" si="390"/>
        <v>4.1713125806787428</v>
      </c>
      <c r="Y46" s="630">
        <f t="shared" si="223"/>
        <v>-0.24400073590621951</v>
      </c>
      <c r="Z46" s="632">
        <f t="shared" si="243"/>
        <v>-0.70389463777450312</v>
      </c>
      <c r="AA46" s="629">
        <f t="shared" si="244"/>
        <v>-0.67408110507984054</v>
      </c>
      <c r="AB46" s="629">
        <f t="shared" si="245"/>
        <v>-0.22393526449990403</v>
      </c>
      <c r="AC46" s="636">
        <f t="shared" si="391"/>
        <v>1</v>
      </c>
      <c r="AD46" s="637">
        <f t="shared" si="392"/>
        <v>-0.70389463777450312</v>
      </c>
      <c r="AE46" s="629">
        <f t="shared" si="393"/>
        <v>-0.67408110507984054</v>
      </c>
      <c r="AF46" s="633">
        <f t="shared" si="394"/>
        <v>-0.22393526449990403</v>
      </c>
      <c r="AG46" s="602">
        <f t="shared" si="395"/>
        <v>-71.623090064637836</v>
      </c>
      <c r="AH46" s="603">
        <f t="shared" si="396"/>
        <v>134.74031255256978</v>
      </c>
      <c r="AI46" s="585">
        <f t="shared" si="397"/>
        <v>-77.059724206794229</v>
      </c>
      <c r="AJ46" s="586">
        <f t="shared" si="398"/>
        <v>-46.239443540155946</v>
      </c>
      <c r="AK46" s="635">
        <f t="shared" si="399"/>
        <v>0.96090058628859609</v>
      </c>
      <c r="AL46" s="629">
        <f t="shared" si="400"/>
        <v>-0.16285902057789242</v>
      </c>
      <c r="AM46" s="634">
        <f t="shared" si="401"/>
        <v>-0.22393526449990403</v>
      </c>
      <c r="AN46" s="581">
        <f t="shared" si="402"/>
        <v>-36.026873024613622</v>
      </c>
      <c r="AO46" s="582">
        <f t="shared" si="94"/>
        <v>16.074891934551854</v>
      </c>
      <c r="AP46" s="585">
        <f t="shared" si="403"/>
        <v>-9.6194098442578309</v>
      </c>
      <c r="AQ46" s="586">
        <f t="shared" si="246"/>
        <v>0.54650843122598824</v>
      </c>
      <c r="AS46" s="52">
        <f t="shared" si="406"/>
        <v>-126.61503369662</v>
      </c>
      <c r="AT46" s="72">
        <f t="shared" si="247"/>
        <v>-0.15607015695073473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3.1230000000000002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3.8239722013405348</v>
      </c>
      <c r="C47" s="708">
        <v>-2.9450712531091794</v>
      </c>
      <c r="D47" s="709">
        <v>-0.61680186027441064</v>
      </c>
      <c r="E47" s="710">
        <v>0.76838508422741092</v>
      </c>
      <c r="F47" s="708">
        <v>0.61091345556280052</v>
      </c>
      <c r="G47" s="711">
        <v>0.19070687493940255</v>
      </c>
      <c r="H47" s="710">
        <v>0.314</v>
      </c>
      <c r="I47" s="708">
        <v>0.52</v>
      </c>
      <c r="J47" s="570">
        <v>3.129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3.129</v>
      </c>
      <c r="N47" s="632">
        <f t="shared" si="240"/>
        <v>3.8239722013405348</v>
      </c>
      <c r="O47" s="629">
        <f t="shared" si="241"/>
        <v>-2.9450712531091794</v>
      </c>
      <c r="P47" s="633">
        <f t="shared" si="242"/>
        <v>-0.61680186027441064</v>
      </c>
      <c r="Q47" s="585">
        <f t="shared" si="113"/>
        <v>322.39796644588517</v>
      </c>
      <c r="R47" s="629">
        <f t="shared" si="385"/>
        <v>4.8266145570695045</v>
      </c>
      <c r="S47" s="634">
        <f t="shared" si="386"/>
        <v>-0.61680186027441064</v>
      </c>
      <c r="T47" s="635">
        <f t="shared" si="387"/>
        <v>-2.9447375374166946</v>
      </c>
      <c r="U47" s="629">
        <f t="shared" si="388"/>
        <v>-3.8242291926928633</v>
      </c>
      <c r="V47" s="636">
        <f t="shared" si="389"/>
        <v>-0.61680186027441064</v>
      </c>
      <c r="W47" s="585">
        <f t="shared" si="224"/>
        <v>232.40296644516326</v>
      </c>
      <c r="X47" s="629">
        <f t="shared" si="390"/>
        <v>4.8266145570695045</v>
      </c>
      <c r="Y47" s="630">
        <f t="shared" si="223"/>
        <v>-0.61680186027441064</v>
      </c>
      <c r="Z47" s="632">
        <f t="shared" si="243"/>
        <v>-0.76838508422741092</v>
      </c>
      <c r="AA47" s="629">
        <f t="shared" si="244"/>
        <v>-0.61091345556280052</v>
      </c>
      <c r="AB47" s="629">
        <f t="shared" si="245"/>
        <v>-0.19070687493940255</v>
      </c>
      <c r="AC47" s="636">
        <f t="shared" si="391"/>
        <v>1</v>
      </c>
      <c r="AD47" s="637">
        <f t="shared" si="392"/>
        <v>-0.76838508422741092</v>
      </c>
      <c r="AE47" s="629">
        <f t="shared" si="393"/>
        <v>-0.61091345556280052</v>
      </c>
      <c r="AF47" s="633">
        <f t="shared" si="394"/>
        <v>-0.19070687493940255</v>
      </c>
      <c r="AG47" s="602">
        <f t="shared" si="395"/>
        <v>-72.66337149700594</v>
      </c>
      <c r="AH47" s="603">
        <f t="shared" si="396"/>
        <v>140.20909148834994</v>
      </c>
      <c r="AI47" s="585">
        <f t="shared" si="397"/>
        <v>-79.005960522488891</v>
      </c>
      <c r="AJ47" s="586">
        <f t="shared" si="398"/>
        <v>-51.513138878858136</v>
      </c>
      <c r="AK47" s="635">
        <f t="shared" si="399"/>
        <v>0.95285522388292732</v>
      </c>
      <c r="AL47" s="629">
        <f t="shared" si="400"/>
        <v>-0.23600383507448269</v>
      </c>
      <c r="AM47" s="634">
        <f t="shared" si="401"/>
        <v>-0.19070687493940255</v>
      </c>
      <c r="AN47" s="581">
        <f t="shared" si="402"/>
        <v>-51.059471636099886</v>
      </c>
      <c r="AO47" s="582">
        <f t="shared" si="94"/>
        <v>17.663452196824004</v>
      </c>
      <c r="AP47" s="585">
        <f t="shared" si="403"/>
        <v>-13.911105324743279</v>
      </c>
      <c r="AQ47" s="586">
        <f t="shared" si="246"/>
        <v>0.47231345405259445</v>
      </c>
      <c r="AS47" s="52">
        <f t="shared" si="406"/>
        <v>-127.59703355483674</v>
      </c>
      <c r="AT47" s="72">
        <f t="shared" si="247"/>
        <v>-0.52818933697294201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4.1833627429830802</v>
      </c>
      <c r="C48" s="708">
        <v>-3.3206923146190475</v>
      </c>
      <c r="D48" s="709">
        <v>-1.1676035214922209</v>
      </c>
      <c r="E48" s="710">
        <v>0.81849946460144984</v>
      </c>
      <c r="F48" s="708">
        <v>0.55659650065769217</v>
      </c>
      <c r="G48" s="711">
        <v>0.1423339801409057</v>
      </c>
      <c r="H48" s="710">
        <v>0.314</v>
      </c>
      <c r="I48" s="708">
        <v>0.52</v>
      </c>
      <c r="J48" s="570">
        <v>3.1349999999999998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3.1349999999999998</v>
      </c>
      <c r="N48" s="632">
        <f t="shared" si="240"/>
        <v>4.1833627429830802</v>
      </c>
      <c r="O48" s="629">
        <f t="shared" si="241"/>
        <v>-3.3206923146190475</v>
      </c>
      <c r="P48" s="633">
        <f t="shared" si="242"/>
        <v>-1.1676035214922209</v>
      </c>
      <c r="Q48" s="585">
        <f t="shared" si="113"/>
        <v>321.55796656716615</v>
      </c>
      <c r="R48" s="629">
        <f t="shared" si="79"/>
        <v>5.3411161088061858</v>
      </c>
      <c r="S48" s="634">
        <f t="shared" si="80"/>
        <v>-1.1676035214922209</v>
      </c>
      <c r="T48" s="635">
        <f t="shared" si="81"/>
        <v>-3.320327234759612</v>
      </c>
      <c r="U48" s="629">
        <f t="shared" si="82"/>
        <v>-4.1836525120834924</v>
      </c>
      <c r="V48" s="636">
        <f t="shared" si="114"/>
        <v>-1.1676035214922209</v>
      </c>
      <c r="W48" s="585">
        <f t="shared" si="224"/>
        <v>231.56296656644423</v>
      </c>
      <c r="X48" s="629">
        <f t="shared" si="83"/>
        <v>5.3411161088061858</v>
      </c>
      <c r="Y48" s="630">
        <f t="shared" si="223"/>
        <v>-1.1676035214922209</v>
      </c>
      <c r="Z48" s="632">
        <f t="shared" si="243"/>
        <v>-0.81849946460144984</v>
      </c>
      <c r="AA48" s="629">
        <f t="shared" si="244"/>
        <v>-0.55659650065769217</v>
      </c>
      <c r="AB48" s="629">
        <f t="shared" si="245"/>
        <v>-0.1423339801409057</v>
      </c>
      <c r="AC48" s="636">
        <f t="shared" si="84"/>
        <v>1</v>
      </c>
      <c r="AD48" s="637">
        <f t="shared" si="115"/>
        <v>-0.81849946460144984</v>
      </c>
      <c r="AE48" s="629">
        <f t="shared" si="85"/>
        <v>-0.55659650065769217</v>
      </c>
      <c r="AF48" s="633">
        <f t="shared" si="86"/>
        <v>-0.1423339801409057</v>
      </c>
      <c r="AG48" s="602">
        <f t="shared" si="87"/>
        <v>-75.65561206505626</v>
      </c>
      <c r="AH48" s="603">
        <f t="shared" si="88"/>
        <v>144.93486527680523</v>
      </c>
      <c r="AI48" s="585">
        <f t="shared" si="89"/>
        <v>-81.817073790304192</v>
      </c>
      <c r="AJ48" s="586">
        <f t="shared" si="90"/>
        <v>-55.783490607898706</v>
      </c>
      <c r="AK48" s="635">
        <f t="shared" si="211"/>
        <v>0.94482685688627233</v>
      </c>
      <c r="AL48" s="629">
        <f t="shared" si="91"/>
        <v>-0.29503092821542615</v>
      </c>
      <c r="AM48" s="634">
        <f t="shared" si="92"/>
        <v>-0.1423339801409057</v>
      </c>
      <c r="AN48" s="581">
        <f t="shared" si="93"/>
        <v>-64.245596121270665</v>
      </c>
      <c r="AO48" s="582">
        <f t="shared" si="94"/>
        <v>19.121360352317858</v>
      </c>
      <c r="AP48" s="585">
        <f t="shared" si="95"/>
        <v>-17.341457175064882</v>
      </c>
      <c r="AQ48" s="586">
        <f t="shared" si="246"/>
        <v>0.42681799375662027</v>
      </c>
      <c r="AS48" s="52">
        <f t="shared" si="406"/>
        <v>-128.43703343355577</v>
      </c>
      <c r="AT48" s="72">
        <f t="shared" si="247"/>
        <v>-1.0784076649416419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3.1349999999999998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4.405076744393762</v>
      </c>
      <c r="C49" s="708">
        <v>-3.5669104669306009</v>
      </c>
      <c r="D49" s="709">
        <v>-1.846705569663998</v>
      </c>
      <c r="E49" s="710">
        <v>0.86368416696749406</v>
      </c>
      <c r="F49" s="708">
        <v>0.49251136078270524</v>
      </c>
      <c r="G49" s="711">
        <v>0.1071551176082315</v>
      </c>
      <c r="H49" s="710">
        <v>0.314</v>
      </c>
      <c r="I49" s="708">
        <v>0.52</v>
      </c>
      <c r="J49" s="570">
        <v>3.141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3.141</v>
      </c>
      <c r="N49" s="632">
        <f t="shared" si="240"/>
        <v>4.405076744393762</v>
      </c>
      <c r="O49" s="629">
        <f t="shared" si="241"/>
        <v>-3.5669104669306009</v>
      </c>
      <c r="P49" s="633">
        <f t="shared" si="242"/>
        <v>-1.846705569663998</v>
      </c>
      <c r="Q49" s="585">
        <f t="shared" si="113"/>
        <v>321.0019666474426</v>
      </c>
      <c r="R49" s="629">
        <f t="shared" si="79"/>
        <v>5.6681170950411586</v>
      </c>
      <c r="S49" s="634">
        <f t="shared" si="80"/>
        <v>-1.846705569663998</v>
      </c>
      <c r="T49" s="635">
        <f t="shared" si="81"/>
        <v>-3.5665260379398416</v>
      </c>
      <c r="U49" s="629">
        <f t="shared" si="82"/>
        <v>-4.4053879992340006</v>
      </c>
      <c r="V49" s="636">
        <f t="shared" si="114"/>
        <v>-1.846705569663998</v>
      </c>
      <c r="W49" s="585">
        <f t="shared" si="224"/>
        <v>231.00696664672068</v>
      </c>
      <c r="X49" s="629">
        <f t="shared" si="83"/>
        <v>5.6681170950411586</v>
      </c>
      <c r="Y49" s="630">
        <f t="shared" si="223"/>
        <v>-1.846705569663998</v>
      </c>
      <c r="Z49" s="632">
        <f t="shared" si="243"/>
        <v>-0.86368416696749406</v>
      </c>
      <c r="AA49" s="629">
        <f t="shared" si="244"/>
        <v>-0.49251136078270524</v>
      </c>
      <c r="AB49" s="629">
        <f t="shared" si="245"/>
        <v>-0.1071551176082315</v>
      </c>
      <c r="AC49" s="636">
        <f t="shared" si="84"/>
        <v>1</v>
      </c>
      <c r="AD49" s="637">
        <f t="shared" si="115"/>
        <v>-0.86368416696749406</v>
      </c>
      <c r="AE49" s="629">
        <f t="shared" si="85"/>
        <v>-0.49251136078270524</v>
      </c>
      <c r="AF49" s="633">
        <f t="shared" si="86"/>
        <v>-0.1071551176082315</v>
      </c>
      <c r="AG49" s="602">
        <f t="shared" si="87"/>
        <v>-77.72551448508618</v>
      </c>
      <c r="AH49" s="603">
        <f t="shared" si="88"/>
        <v>149.73279226276964</v>
      </c>
      <c r="AI49" s="585">
        <f t="shared" si="89"/>
        <v>-83.848653631567274</v>
      </c>
      <c r="AJ49" s="586">
        <f t="shared" si="90"/>
        <v>-60.306276687629698</v>
      </c>
      <c r="AK49" s="635">
        <f t="shared" si="211"/>
        <v>0.92627487205680037</v>
      </c>
      <c r="AL49" s="629">
        <f t="shared" si="91"/>
        <v>-0.36129301427861055</v>
      </c>
      <c r="AM49" s="634">
        <f t="shared" si="92"/>
        <v>-0.1071551176082315</v>
      </c>
      <c r="AN49" s="581">
        <f t="shared" si="93"/>
        <v>-73.480283326109742</v>
      </c>
      <c r="AO49" s="582">
        <f t="shared" si="94"/>
        <v>22.138613285457538</v>
      </c>
      <c r="AP49" s="585">
        <f t="shared" si="95"/>
        <v>-21.308243335072273</v>
      </c>
      <c r="AQ49" s="586">
        <f t="shared" si="246"/>
        <v>0.40219514680860724</v>
      </c>
      <c r="AS49" s="52">
        <f t="shared" si="406"/>
        <v>-128.99303335327932</v>
      </c>
      <c r="AT49" s="72">
        <f t="shared" si="247"/>
        <v>-1.7571236020580554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3.141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4.5047589684941922</v>
      </c>
      <c r="C50" s="708">
        <v>-3.6815958008142791</v>
      </c>
      <c r="D50" s="709">
        <v>-2.5871078027171333</v>
      </c>
      <c r="E50" s="710">
        <v>0.91488608795475235</v>
      </c>
      <c r="F50" s="708">
        <v>0.39522312844915231</v>
      </c>
      <c r="G50" s="711">
        <v>8.235365690553309E-2</v>
      </c>
      <c r="H50" s="710">
        <v>0.314</v>
      </c>
      <c r="I50" s="708">
        <v>0.52</v>
      </c>
      <c r="J50" s="570">
        <v>3.1469999999999998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3.1469999999999998</v>
      </c>
      <c r="N50" s="632">
        <f t="shared" si="240"/>
        <v>4.5047589684941922</v>
      </c>
      <c r="O50" s="629">
        <f t="shared" si="241"/>
        <v>-3.6815958008142791</v>
      </c>
      <c r="P50" s="633">
        <f t="shared" si="242"/>
        <v>-2.5871078027171333</v>
      </c>
      <c r="Q50" s="585">
        <f t="shared" si="113"/>
        <v>320.74196668498195</v>
      </c>
      <c r="R50" s="629">
        <f t="shared" si="79"/>
        <v>5.8178175465377215</v>
      </c>
      <c r="S50" s="634">
        <f t="shared" si="80"/>
        <v>-2.5871078027171333</v>
      </c>
      <c r="T50" s="635">
        <f t="shared" si="81"/>
        <v>-3.6812026724730194</v>
      </c>
      <c r="U50" s="629">
        <f t="shared" si="82"/>
        <v>-4.5050802311368106</v>
      </c>
      <c r="V50" s="636">
        <f t="shared" si="114"/>
        <v>-2.5871078027171333</v>
      </c>
      <c r="W50" s="585">
        <f t="shared" si="224"/>
        <v>230.74696668426003</v>
      </c>
      <c r="X50" s="629">
        <f t="shared" si="83"/>
        <v>5.8178175465377215</v>
      </c>
      <c r="Y50" s="630">
        <f t="shared" si="223"/>
        <v>-2.5871078027171333</v>
      </c>
      <c r="Z50" s="632">
        <f t="shared" si="243"/>
        <v>-0.91488608795475235</v>
      </c>
      <c r="AA50" s="629">
        <f t="shared" si="244"/>
        <v>-0.39522312844915231</v>
      </c>
      <c r="AB50" s="629">
        <f t="shared" si="245"/>
        <v>-8.235365690553309E-2</v>
      </c>
      <c r="AC50" s="636">
        <f t="shared" si="84"/>
        <v>1</v>
      </c>
      <c r="AD50" s="637">
        <f t="shared" si="115"/>
        <v>-0.91488608795475235</v>
      </c>
      <c r="AE50" s="629">
        <f t="shared" si="85"/>
        <v>-0.39522312844915231</v>
      </c>
      <c r="AF50" s="633">
        <f t="shared" si="86"/>
        <v>-8.235365690553309E-2</v>
      </c>
      <c r="AG50" s="602">
        <f t="shared" si="87"/>
        <v>-78.229556795019093</v>
      </c>
      <c r="AH50" s="603">
        <f t="shared" si="88"/>
        <v>156.18955520868531</v>
      </c>
      <c r="AI50" s="585">
        <f t="shared" si="89"/>
        <v>-85.276133092764894</v>
      </c>
      <c r="AJ50" s="586">
        <f t="shared" si="90"/>
        <v>-66.636059876588902</v>
      </c>
      <c r="AK50" s="635">
        <f t="shared" si="211"/>
        <v>0.88497545185811155</v>
      </c>
      <c r="AL50" s="629">
        <f t="shared" si="91"/>
        <v>-0.458297201390994</v>
      </c>
      <c r="AM50" s="634">
        <f t="shared" si="92"/>
        <v>-8.235365690553309E-2</v>
      </c>
      <c r="AN50" s="581">
        <f t="shared" si="93"/>
        <v>-79.812961071721361</v>
      </c>
      <c r="AO50" s="582">
        <f t="shared" si="94"/>
        <v>27.75149945145381</v>
      </c>
      <c r="AP50" s="585">
        <f t="shared" si="95"/>
        <v>-27.378026561570845</v>
      </c>
      <c r="AQ50" s="586">
        <f t="shared" si="246"/>
        <v>0.39184643916705042</v>
      </c>
      <c r="AS50" s="52">
        <f t="shared" si="406"/>
        <v>-129.25303331573997</v>
      </c>
      <c r="AT50" s="72">
        <f t="shared" si="247"/>
        <v>-2.4973452795817042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3.1469999999999998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4.5850872506812825</v>
      </c>
      <c r="C51" s="708">
        <v>-3.7760312182165752</v>
      </c>
      <c r="D51" s="709">
        <v>-3.306309971830875</v>
      </c>
      <c r="E51" s="710">
        <v>0.96350454499707949</v>
      </c>
      <c r="F51" s="708">
        <v>0.267691971807064</v>
      </c>
      <c r="G51" s="711">
        <v>1.3008419205995495E-7</v>
      </c>
      <c r="H51" s="710">
        <v>0.26600000000000001</v>
      </c>
      <c r="I51" s="708">
        <v>0.52</v>
      </c>
      <c r="J51" s="570">
        <v>3.153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3.153</v>
      </c>
      <c r="N51" s="632">
        <f t="shared" si="240"/>
        <v>4.5850872506812825</v>
      </c>
      <c r="O51" s="629">
        <f t="shared" si="241"/>
        <v>-3.7760312182165752</v>
      </c>
      <c r="P51" s="633">
        <f t="shared" si="242"/>
        <v>-3.306309971830875</v>
      </c>
      <c r="Q51" s="585">
        <f t="shared" si="113"/>
        <v>320.52696671602405</v>
      </c>
      <c r="R51" s="629">
        <f t="shared" si="79"/>
        <v>5.9398179144908294</v>
      </c>
      <c r="S51" s="634">
        <f t="shared" si="80"/>
        <v>-3.306309971830875</v>
      </c>
      <c r="T51" s="635">
        <f t="shared" si="81"/>
        <v>-3.7756310795517232</v>
      </c>
      <c r="U51" s="629">
        <f t="shared" si="82"/>
        <v>-4.5854167540616491</v>
      </c>
      <c r="V51" s="636">
        <f t="shared" si="114"/>
        <v>-3.306309971830875</v>
      </c>
      <c r="W51" s="585">
        <f t="shared" si="224"/>
        <v>230.53196671530213</v>
      </c>
      <c r="X51" s="629">
        <f t="shared" si="83"/>
        <v>5.9398179144908294</v>
      </c>
      <c r="Y51" s="630">
        <f t="shared" si="223"/>
        <v>-3.306309971830875</v>
      </c>
      <c r="Z51" s="632">
        <f t="shared" si="243"/>
        <v>-0.96350454499707949</v>
      </c>
      <c r="AA51" s="629">
        <f t="shared" si="244"/>
        <v>-0.267691971807064</v>
      </c>
      <c r="AB51" s="629">
        <f t="shared" si="245"/>
        <v>-1.3008419205995495E-7</v>
      </c>
      <c r="AC51" s="636">
        <f t="shared" si="84"/>
        <v>1</v>
      </c>
      <c r="AD51" s="637">
        <f t="shared" si="115"/>
        <v>-0.96350454499707949</v>
      </c>
      <c r="AE51" s="629">
        <f t="shared" si="85"/>
        <v>-0.267691971807064</v>
      </c>
      <c r="AF51" s="633">
        <f t="shared" si="86"/>
        <v>-1.3008419205995495E-7</v>
      </c>
      <c r="AG51" s="602">
        <f t="shared" si="87"/>
        <v>-89.999972157270406</v>
      </c>
      <c r="AH51" s="603">
        <f t="shared" si="88"/>
        <v>164.47302823059943</v>
      </c>
      <c r="AI51" s="585">
        <f t="shared" si="89"/>
        <v>-89.999992546724812</v>
      </c>
      <c r="AJ51" s="586">
        <f t="shared" si="90"/>
        <v>-74.473028230601187</v>
      </c>
      <c r="AK51" s="635">
        <f t="shared" si="211"/>
        <v>0.81915209487729235</v>
      </c>
      <c r="AL51" s="629">
        <f t="shared" si="91"/>
        <v>-0.57357636410344393</v>
      </c>
      <c r="AM51" s="634">
        <f t="shared" si="92"/>
        <v>-1.3008419205995495E-7</v>
      </c>
      <c r="AN51" s="581">
        <f t="shared" si="93"/>
        <v>-89.999987005609626</v>
      </c>
      <c r="AO51" s="582">
        <f t="shared" si="94"/>
        <v>34.999994946625911</v>
      </c>
      <c r="AP51" s="585">
        <f t="shared" si="95"/>
        <v>-34.999994946625229</v>
      </c>
      <c r="AQ51" s="586">
        <f t="shared" si="246"/>
        <v>0.38379838694863389</v>
      </c>
      <c r="AS51" s="52">
        <f t="shared" si="406"/>
        <v>-129.46803328469787</v>
      </c>
      <c r="AT51" s="72">
        <f t="shared" si="247"/>
        <v>-3.2163981431614475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3.153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0.88061168106460352</v>
      </c>
      <c r="C52" s="708">
        <v>-1.7361581769513814</v>
      </c>
      <c r="D52" s="709">
        <v>-0.36331793360422759</v>
      </c>
      <c r="E52" s="710">
        <v>-0.11707823752833646</v>
      </c>
      <c r="F52" s="708">
        <v>0.23082453401992087</v>
      </c>
      <c r="G52" s="711">
        <v>0.96592583607218263</v>
      </c>
      <c r="H52" s="710">
        <v>0.26250000000000001</v>
      </c>
      <c r="I52" s="708">
        <v>0.40699999999999997</v>
      </c>
      <c r="J52" s="570">
        <v>3.2080000000000002</v>
      </c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Inactive</v>
      </c>
      <c r="L52" s="320"/>
      <c r="M52" s="168">
        <f t="shared" si="239"/>
        <v>3.2080000000000002</v>
      </c>
      <c r="N52" s="632">
        <f t="shared" si="240"/>
        <v>0.88061168106460352</v>
      </c>
      <c r="O52" s="629">
        <f t="shared" si="241"/>
        <v>-1.7361581769513814</v>
      </c>
      <c r="P52" s="633">
        <f t="shared" si="242"/>
        <v>-0.36331793360422759</v>
      </c>
      <c r="Q52" s="585">
        <f t="shared" si="113"/>
        <v>296.89497012806225</v>
      </c>
      <c r="R52" s="629">
        <f t="shared" si="79"/>
        <v>1.9467208706495576</v>
      </c>
      <c r="S52" s="634">
        <f t="shared" si="80"/>
        <v>-0.36331793360422759</v>
      </c>
      <c r="T52" s="635">
        <f t="shared" si="81"/>
        <v>-1.7360813224854454</v>
      </c>
      <c r="U52" s="629">
        <f t="shared" si="82"/>
        <v>-0.88076318607203286</v>
      </c>
      <c r="V52" s="636">
        <f t="shared" si="114"/>
        <v>-0.36331793360422759</v>
      </c>
      <c r="W52" s="585">
        <f t="shared" si="224"/>
        <v>206.89997012734034</v>
      </c>
      <c r="X52" s="629">
        <f t="shared" si="83"/>
        <v>1.9467208706495576</v>
      </c>
      <c r="Y52" s="630">
        <f t="shared" si="223"/>
        <v>-0.36331793360422759</v>
      </c>
      <c r="Z52" s="632">
        <f t="shared" si="243"/>
        <v>0.11707823752833646</v>
      </c>
      <c r="AA52" s="629">
        <f t="shared" si="244"/>
        <v>-0.23082453401992087</v>
      </c>
      <c r="AB52" s="629">
        <f t="shared" si="245"/>
        <v>-0.96592583607218263</v>
      </c>
      <c r="AC52" s="636">
        <f t="shared" si="84"/>
        <v>1</v>
      </c>
      <c r="AD52" s="637">
        <f t="shared" si="115"/>
        <v>0.11707823752833646</v>
      </c>
      <c r="AE52" s="629">
        <f t="shared" si="85"/>
        <v>-0.23082453401992087</v>
      </c>
      <c r="AF52" s="633">
        <f t="shared" si="86"/>
        <v>-0.96592583607218263</v>
      </c>
      <c r="AG52" s="602">
        <f t="shared" si="87"/>
        <v>-13.439764670504923</v>
      </c>
      <c r="AH52" s="603">
        <f t="shared" si="88"/>
        <v>83.276490829539995</v>
      </c>
      <c r="AI52" s="585">
        <f t="shared" si="89"/>
        <v>-14.999997834273739</v>
      </c>
      <c r="AJ52" s="586">
        <f t="shared" si="90"/>
        <v>26.89491992158602</v>
      </c>
      <c r="AK52" s="635">
        <f t="shared" si="211"/>
        <v>2.267948967932254E-7</v>
      </c>
      <c r="AL52" s="629">
        <f t="shared" si="91"/>
        <v>0.25881900859133927</v>
      </c>
      <c r="AM52" s="634">
        <f t="shared" si="92"/>
        <v>-0.96592583607218263</v>
      </c>
      <c r="AN52" s="581">
        <f t="shared" si="93"/>
        <v>14.999997834268264</v>
      </c>
      <c r="AO52" s="582">
        <f t="shared" si="94"/>
        <v>0</v>
      </c>
      <c r="AP52" s="585">
        <f t="shared" si="95"/>
        <v>89.999949793523783</v>
      </c>
      <c r="AQ52" s="586">
        <f t="shared" si="246"/>
        <v>1.1708968124413921</v>
      </c>
      <c r="AS52" s="52">
        <f t="shared" si="406"/>
        <v>-153.10002987265966</v>
      </c>
      <c r="AT52" s="72">
        <f t="shared" si="247"/>
        <v>-0.25699499619315969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Nose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3.2080000000000002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3.1080000000000001</v>
      </c>
      <c r="II52" s="734" cm="1">
        <f t="array" ref="II52">IFERROR(ROUND(VALUE(IF($IH52&lt;1,$IH52+LARGE((IF($M$9:$M$150="",0,$M$9:$M$150)-MOD(IF($M$9:$M$150="",0,$M$9:$M$150),1)),1),$IH52)),4),"")</f>
        <v>3.1080000000000001</v>
      </c>
      <c r="IJ52" s="533">
        <f t="shared" si="112"/>
        <v>1613</v>
      </c>
      <c r="IK52" s="533" t="str">
        <f t="shared" si="382"/>
        <v>Inactive</v>
      </c>
      <c r="IL52" s="727">
        <f t="shared" si="225"/>
        <v>28.104995942140647</v>
      </c>
      <c r="IM52" s="759">
        <v>4.4101108712564903E-2</v>
      </c>
      <c r="IN52" s="5">
        <f t="shared" si="226"/>
        <v>0.72</v>
      </c>
      <c r="IO52" s="771">
        <v>360</v>
      </c>
      <c r="IP52" s="9">
        <f t="shared" si="227"/>
        <v>-1.9569059020282009</v>
      </c>
      <c r="IQ52" s="5">
        <f t="shared" si="228"/>
        <v>-0.34510104082473914</v>
      </c>
      <c r="IR52" s="5">
        <f t="shared" si="383"/>
        <v>0.314</v>
      </c>
      <c r="IS52" s="5">
        <f t="shared" si="229"/>
        <v>0.30330071252667318</v>
      </c>
      <c r="IT52" s="727">
        <f t="shared" si="230"/>
        <v>-14.999997834268264</v>
      </c>
      <c r="IU52" s="9">
        <f t="shared" si="231"/>
        <v>-1.9467208706495576</v>
      </c>
      <c r="IV52" s="5">
        <f t="shared" si="232"/>
        <v>-0.36331793360422759</v>
      </c>
      <c r="IW52" s="5">
        <f t="shared" si="384"/>
        <v>0.26250000000000001</v>
      </c>
      <c r="IX52" s="5">
        <f t="shared" si="233"/>
        <v>0.26250000000000001</v>
      </c>
      <c r="IY52" s="762">
        <f t="shared" si="234"/>
        <v>-14.999997834268264</v>
      </c>
    </row>
    <row r="53" spans="1:259" ht="15" customHeight="1" x14ac:dyDescent="0.25">
      <c r="A53" s="79"/>
      <c r="B53" s="707">
        <v>1.4393731623958994</v>
      </c>
      <c r="C53" s="708">
        <v>-2.2557153287057936</v>
      </c>
      <c r="D53" s="709">
        <v>-0.16227415595719952</v>
      </c>
      <c r="E53" s="710">
        <v>-0.11183907800417493</v>
      </c>
      <c r="F53" s="708">
        <v>0.17526916303356485</v>
      </c>
      <c r="G53" s="711">
        <v>0.97814760702088821</v>
      </c>
      <c r="H53" s="710">
        <v>0.26250000000000001</v>
      </c>
      <c r="I53" s="708">
        <v>0.40699999999999997</v>
      </c>
      <c r="J53" s="570">
        <v>3.2109999999999999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Inactive</v>
      </c>
      <c r="L53" s="320"/>
      <c r="M53" s="168">
        <f t="shared" si="239"/>
        <v>3.2109999999999999</v>
      </c>
      <c r="N53" s="632">
        <f t="shared" si="240"/>
        <v>1.4393731623958994</v>
      </c>
      <c r="O53" s="629">
        <f t="shared" si="241"/>
        <v>-2.2557153287057936</v>
      </c>
      <c r="P53" s="633">
        <f t="shared" si="242"/>
        <v>-0.16227415595719952</v>
      </c>
      <c r="Q53" s="585">
        <f t="shared" si="113"/>
        <v>302.54196931273646</v>
      </c>
      <c r="R53" s="629">
        <f t="shared" ref="R53:R58" si="410">IF(M53="","",SQRT(N53^2+O53^2))</f>
        <v>2.675826366710639</v>
      </c>
      <c r="S53" s="634">
        <f t="shared" ref="S53:S58" si="411">IF(M53="","",P53)</f>
        <v>-0.16227415595719952</v>
      </c>
      <c r="T53" s="635">
        <f t="shared" ref="T53:T58" si="412">IF(M53="","",X53*COS(RADIANS(W53)))</f>
        <v>-2.2555897111307206</v>
      </c>
      <c r="U53" s="629">
        <f t="shared" ref="U53:U58" si="413">IF(M53="","",X53*SIN(RADIANS(W53)))</f>
        <v>-1.4395700051838713</v>
      </c>
      <c r="V53" s="636">
        <f t="shared" ref="V53:V58" si="414">IF(M53="","",Y53)</f>
        <v>-0.16227415595719952</v>
      </c>
      <c r="W53" s="585">
        <f t="shared" si="224"/>
        <v>212.54696931201454</v>
      </c>
      <c r="X53" s="629">
        <f t="shared" ref="X53:X58" si="415">IF(M53="","",R53)</f>
        <v>2.675826366710639</v>
      </c>
      <c r="Y53" s="630">
        <f t="shared" si="223"/>
        <v>-0.16227415595719952</v>
      </c>
      <c r="Z53" s="632">
        <f t="shared" si="243"/>
        <v>0.11183907800417493</v>
      </c>
      <c r="AA53" s="629">
        <f t="shared" si="244"/>
        <v>-0.17526916303356485</v>
      </c>
      <c r="AB53" s="629">
        <f t="shared" si="245"/>
        <v>-0.97814760702088821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0.11183907800417493</v>
      </c>
      <c r="AE53" s="629">
        <f t="shared" ref="AE53:AE58" si="418">IF(M53="","",AA53*(1/SQRT(Z53^2+AA53^2+AB53^2)))</f>
        <v>-0.17526916303356485</v>
      </c>
      <c r="AF53" s="633">
        <f t="shared" ref="AF53:AF58" si="419">IF(M53="","",AB53*(1/SQRT(Z53^2+AA53^2+AB53^2)))</f>
        <v>-0.97814760702088821</v>
      </c>
      <c r="AG53" s="602">
        <f t="shared" ref="AG53:AG58" si="420">IF(M53="","",DEGREES(ATAN2(-AF53,AE53)))</f>
        <v>-10.158724459083849</v>
      </c>
      <c r="AH53" s="603">
        <f t="shared" ref="AH53:AH58" si="421">IF(M53="","",DEGREES(ACOS(AD53)))</f>
        <v>83.57865876414391</v>
      </c>
      <c r="AI53" s="585">
        <f t="shared" ref="AI53:AI58" si="422">IF(M53="","",DEGREES(-ACOS(-AF53)))</f>
        <v>-11.999998267421518</v>
      </c>
      <c r="AJ53" s="586">
        <f t="shared" ref="AJ53:AJ58" si="423">IF(M53="","",DEGREES(ATAN2(-AE53,AD53)))</f>
        <v>32.541906813161773</v>
      </c>
      <c r="AK53" s="635">
        <f t="shared" ref="AK53:AK58" si="424">IF(M53="","",(COS(RADIANS((90-$Q$8)-W53))*AD53)+(-SIN(RADIANS((90-$Q$8)-W53))*AE53))</f>
        <v>2.2679489676546982E-7</v>
      </c>
      <c r="AL53" s="629">
        <f t="shared" ref="AL53:AL58" si="425">IF(M53="","",(SIN(RADIANS((90-$Q$8)-W53))*AD53)+(COS(RADIANS((90-$Q$8)-W53))*AE53))</f>
        <v>0.20791166123923599</v>
      </c>
      <c r="AM53" s="634">
        <f t="shared" ref="AM53:AM58" si="426">IF(M53="","",AF53)</f>
        <v>-0.97814760702088821</v>
      </c>
      <c r="AN53" s="581">
        <f t="shared" ref="AN53:AN58" si="427">IF(M53="","",DEGREES(ATAN2(-AM53,AL53)))</f>
        <v>11.999998267414613</v>
      </c>
      <c r="AO53" s="582">
        <f t="shared" si="94"/>
        <v>0</v>
      </c>
      <c r="AP53" s="585">
        <f t="shared" ref="AP53:AP58" si="428">IF(M53="","",DEGREES(ATAN2(AK53,AL53)))</f>
        <v>89.999937500425304</v>
      </c>
      <c r="AQ53" s="586">
        <f t="shared" si="246"/>
        <v>0.85190827801085145</v>
      </c>
      <c r="AS53" s="52">
        <f t="shared" si="406"/>
        <v>-147.45303068798546</v>
      </c>
      <c r="AT53" s="72">
        <f t="shared" si="247"/>
        <v>-5.9872745757710941E-2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3.2109999999999999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>Inactive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1.9843516708477917</v>
      </c>
      <c r="C54" s="708">
        <v>-2.8066524940806183</v>
      </c>
      <c r="D54" s="709">
        <v>-9.1192093559983534E-2</v>
      </c>
      <c r="E54" s="710">
        <v>3.6349801082070303E-2</v>
      </c>
      <c r="F54" s="708">
        <v>-5.1412500014844022E-2</v>
      </c>
      <c r="G54" s="711">
        <v>0.99801575478722659</v>
      </c>
      <c r="H54" s="710">
        <v>0.26250000000000001</v>
      </c>
      <c r="I54" s="708">
        <v>0.40699999999999997</v>
      </c>
      <c r="J54" s="570">
        <v>3.2170000000000001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Inactive</v>
      </c>
      <c r="L54" s="320"/>
      <c r="M54" s="168">
        <f t="shared" si="239"/>
        <v>3.2170000000000001</v>
      </c>
      <c r="N54" s="632">
        <f t="shared" si="240"/>
        <v>1.9843516708477917</v>
      </c>
      <c r="O54" s="629">
        <f t="shared" si="241"/>
        <v>-2.8066524940806183</v>
      </c>
      <c r="P54" s="633">
        <f t="shared" si="242"/>
        <v>-9.1192093559983534E-2</v>
      </c>
      <c r="Q54" s="585">
        <f t="shared" si="113"/>
        <v>305.26096892016147</v>
      </c>
      <c r="R54" s="629">
        <f t="shared" si="410"/>
        <v>3.4372881427260906</v>
      </c>
      <c r="S54" s="634">
        <f t="shared" si="411"/>
        <v>-9.1192093559983534E-2</v>
      </c>
      <c r="T54" s="635">
        <f t="shared" si="412"/>
        <v>-2.8064793160680339</v>
      </c>
      <c r="U54" s="629">
        <f t="shared" si="413"/>
        <v>-1.9845965898911742</v>
      </c>
      <c r="V54" s="636">
        <f t="shared" si="414"/>
        <v>-9.1192093559983534E-2</v>
      </c>
      <c r="W54" s="585">
        <f t="shared" si="224"/>
        <v>215.26596891943956</v>
      </c>
      <c r="X54" s="629">
        <f t="shared" si="415"/>
        <v>3.4372881427260906</v>
      </c>
      <c r="Y54" s="630">
        <f t="shared" si="223"/>
        <v>-9.1192093559983534E-2</v>
      </c>
      <c r="Z54" s="632">
        <f t="shared" si="243"/>
        <v>-3.6349801082070303E-2</v>
      </c>
      <c r="AA54" s="629">
        <f t="shared" si="244"/>
        <v>5.1412500014844022E-2</v>
      </c>
      <c r="AB54" s="629">
        <f t="shared" si="245"/>
        <v>-0.99801575478722659</v>
      </c>
      <c r="AC54" s="636">
        <f t="shared" si="416"/>
        <v>1</v>
      </c>
      <c r="AD54" s="637">
        <f t="shared" si="417"/>
        <v>-3.6349801082070303E-2</v>
      </c>
      <c r="AE54" s="629">
        <f t="shared" si="418"/>
        <v>5.1412500014844022E-2</v>
      </c>
      <c r="AF54" s="633">
        <f t="shared" si="419"/>
        <v>-0.99801575478722659</v>
      </c>
      <c r="AG54" s="602">
        <f t="shared" si="420"/>
        <v>2.9489691341069424</v>
      </c>
      <c r="AH54" s="603">
        <f t="shared" si="421"/>
        <v>92.08314910694429</v>
      </c>
      <c r="AI54" s="585">
        <f t="shared" si="422"/>
        <v>-3.6099994788039083</v>
      </c>
      <c r="AJ54" s="586">
        <f t="shared" si="423"/>
        <v>-144.73882470403109</v>
      </c>
      <c r="AK54" s="635">
        <f t="shared" si="424"/>
        <v>2.2679489666138641E-7</v>
      </c>
      <c r="AL54" s="629">
        <f t="shared" si="425"/>
        <v>-6.2964698017468332E-2</v>
      </c>
      <c r="AM54" s="634">
        <f t="shared" si="426"/>
        <v>-0.99801575478722659</v>
      </c>
      <c r="AN54" s="581">
        <f t="shared" si="427"/>
        <v>-3.6099994787805652</v>
      </c>
      <c r="AO54" s="582">
        <f t="shared" si="94"/>
        <v>0</v>
      </c>
      <c r="AP54" s="585">
        <f t="shared" si="428"/>
        <v>-89.999793624192563</v>
      </c>
      <c r="AQ54" s="586">
        <f t="shared" si="246"/>
        <v>0.66320445698371311</v>
      </c>
      <c r="AS54" s="52">
        <f t="shared" si="406"/>
        <v>-144.73403108056044</v>
      </c>
      <c r="AT54" s="72">
        <f t="shared" si="247"/>
        <v>9.3211224676821164E-3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3.2170000000000001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3.117</v>
      </c>
      <c r="II54" s="734" cm="1">
        <f t="array" ref="II54">IFERROR(ROUND(VALUE(IF($IH54&lt;1,$IH54+LARGE((IF($M$9:$M$150="",0,$M$9:$M$150)-MOD(IF($M$9:$M$150="",0,$M$9:$M$150),1)),1),$IH54)),4),"")</f>
        <v>3.117</v>
      </c>
      <c r="IJ54" s="533">
        <f t="shared" si="112"/>
        <v>1613</v>
      </c>
      <c r="IK54" s="533" t="str">
        <f t="shared" si="382"/>
        <v>Inactive</v>
      </c>
      <c r="IL54" s="727">
        <f t="shared" si="225"/>
        <v>19.048997249665092</v>
      </c>
      <c r="IM54" s="759">
        <v>4.5389192606074998E-2</v>
      </c>
      <c r="IN54" s="5">
        <f t="shared" si="226"/>
        <v>0.88</v>
      </c>
      <c r="IO54" s="771">
        <v>440</v>
      </c>
      <c r="IP54" s="9">
        <f t="shared" si="227"/>
        <v>-3.4348103593880444</v>
      </c>
      <c r="IQ54" s="5">
        <f t="shared" si="228"/>
        <v>-8.4300254249566817E-2</v>
      </c>
      <c r="IR54" s="5">
        <f t="shared" si="383"/>
        <v>0.314</v>
      </c>
      <c r="IS54" s="5">
        <f t="shared" si="229"/>
        <v>0.30265788410118849</v>
      </c>
      <c r="IT54" s="727">
        <f t="shared" si="230"/>
        <v>17.751552007912018</v>
      </c>
      <c r="IU54" s="9">
        <f t="shared" si="231"/>
        <v>-3.4372881427260906</v>
      </c>
      <c r="IV54" s="5">
        <f t="shared" si="232"/>
        <v>-9.1192093559983534E-2</v>
      </c>
      <c r="IW54" s="5">
        <f t="shared" si="384"/>
        <v>0.26250000000000001</v>
      </c>
      <c r="IX54" s="5">
        <f t="shared" si="233"/>
        <v>0.26250000000000001</v>
      </c>
      <c r="IY54" s="762">
        <f t="shared" si="234"/>
        <v>3.6099994787805652</v>
      </c>
    </row>
    <row r="55" spans="1:259" ht="15" customHeight="1" x14ac:dyDescent="0.25">
      <c r="A55" s="79"/>
      <c r="B55" s="707">
        <v>2.730817473823298</v>
      </c>
      <c r="C55" s="708">
        <v>-3.1736391319101127</v>
      </c>
      <c r="D55" s="709">
        <v>-0.19790669003418515</v>
      </c>
      <c r="E55" s="710">
        <v>0.81614248834899206</v>
      </c>
      <c r="F55" s="708">
        <v>0.43380879427693647</v>
      </c>
      <c r="G55" s="711">
        <v>0.38173468367376051</v>
      </c>
      <c r="H55" s="710">
        <v>0.26600000000000001</v>
      </c>
      <c r="I55" s="708">
        <v>0.52</v>
      </c>
      <c r="J55" s="570">
        <v>3.2229999999999999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3.2229999999999999</v>
      </c>
      <c r="N55" s="632">
        <f t="shared" si="240"/>
        <v>2.730817473823298</v>
      </c>
      <c r="O55" s="629">
        <f t="shared" si="241"/>
        <v>-3.1736391319101127</v>
      </c>
      <c r="P55" s="633">
        <f t="shared" si="242"/>
        <v>-0.19790669003418515</v>
      </c>
      <c r="Q55" s="585">
        <f t="shared" si="113"/>
        <v>310.71096813327893</v>
      </c>
      <c r="R55" s="629">
        <f t="shared" si="410"/>
        <v>4.1868065891476087</v>
      </c>
      <c r="S55" s="634">
        <f t="shared" si="411"/>
        <v>-0.19790669003418515</v>
      </c>
      <c r="T55" s="635">
        <f t="shared" si="412"/>
        <v>-3.1734008110795586</v>
      </c>
      <c r="U55" s="629">
        <f t="shared" si="413"/>
        <v>-2.7310944156453898</v>
      </c>
      <c r="V55" s="636">
        <f t="shared" si="414"/>
        <v>-0.19790669003418515</v>
      </c>
      <c r="W55" s="585">
        <f t="shared" si="224"/>
        <v>220.71596813255701</v>
      </c>
      <c r="X55" s="629">
        <f t="shared" si="415"/>
        <v>4.1868065891476087</v>
      </c>
      <c r="Y55" s="630">
        <f t="shared" si="223"/>
        <v>-0.19790669003418515</v>
      </c>
      <c r="Z55" s="632">
        <f t="shared" si="243"/>
        <v>-0.81614248834899206</v>
      </c>
      <c r="AA55" s="629">
        <f t="shared" si="244"/>
        <v>-0.43380879427693647</v>
      </c>
      <c r="AB55" s="629">
        <f t="shared" si="245"/>
        <v>-0.38173468367376051</v>
      </c>
      <c r="AC55" s="636">
        <f t="shared" si="416"/>
        <v>1</v>
      </c>
      <c r="AD55" s="637">
        <f t="shared" si="417"/>
        <v>-0.81614248834899206</v>
      </c>
      <c r="AE55" s="629">
        <f t="shared" si="418"/>
        <v>-0.43380879427693647</v>
      </c>
      <c r="AF55" s="633">
        <f t="shared" si="419"/>
        <v>-0.38173468367376051</v>
      </c>
      <c r="AG55" s="602">
        <f t="shared" si="420"/>
        <v>-48.653492302584681</v>
      </c>
      <c r="AH55" s="603">
        <f t="shared" si="421"/>
        <v>144.70048567640043</v>
      </c>
      <c r="AI55" s="585">
        <f t="shared" si="422"/>
        <v>-67.558825579689653</v>
      </c>
      <c r="AJ55" s="586">
        <f t="shared" si="423"/>
        <v>-62.007764814513784</v>
      </c>
      <c r="AK55" s="635">
        <f t="shared" si="424"/>
        <v>0.90159272791176126</v>
      </c>
      <c r="AL55" s="629">
        <f t="shared" si="425"/>
        <v>-0.20349246732280513</v>
      </c>
      <c r="AM55" s="634">
        <f t="shared" si="426"/>
        <v>-0.38173468367376051</v>
      </c>
      <c r="AN55" s="581">
        <f t="shared" si="427"/>
        <v>-28.060874547352096</v>
      </c>
      <c r="AO55" s="582">
        <f>IF(ROUND(IF(M55="",0,DEGREES(ACOS(AK55))),4)=90,0,IF(M55="","",DEGREES(ACOS(AK55))))</f>
        <v>25.63177955797353</v>
      </c>
      <c r="AP55" s="585">
        <f t="shared" si="428"/>
        <v>-12.718732947792695</v>
      </c>
      <c r="AQ55" s="586">
        <f t="shared" si="246"/>
        <v>0.54448610338580361</v>
      </c>
      <c r="AS55" s="52">
        <f t="shared" si="406"/>
        <v>-139.28403186744299</v>
      </c>
      <c r="AT55" s="72">
        <f t="shared" si="247"/>
        <v>-0.10117819568229551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3.2229999999999999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3.1230000000000002</v>
      </c>
      <c r="II55" s="734" cm="1">
        <f t="array" ref="II55">IFERROR(ROUND(VALUE(IF($IH55&lt;1,$IH55+LARGE((IF($M$9:$M$150="",0,$M$9:$M$150)-MOD(IF($M$9:$M$150="",0,$M$9:$M$150),1)),1),$IH55)),4),"")</f>
        <v>3.1230000000000002</v>
      </c>
      <c r="IJ55" s="533">
        <f t="shared" si="112"/>
        <v>1613</v>
      </c>
      <c r="IK55" s="533">
        <f t="shared" si="382"/>
        <v>1313</v>
      </c>
      <c r="IL55" s="727">
        <f t="shared" si="225"/>
        <v>12.668998170822988</v>
      </c>
      <c r="IM55" s="759">
        <v>1.35627199425549E-2</v>
      </c>
      <c r="IN55" s="5">
        <f t="shared" si="226"/>
        <v>0.36</v>
      </c>
      <c r="IO55" s="771">
        <v>180</v>
      </c>
      <c r="IP55" s="9">
        <f t="shared" si="227"/>
        <v>-4.1713125806787428</v>
      </c>
      <c r="IQ55" s="5">
        <f t="shared" si="228"/>
        <v>-0.24400073590621951</v>
      </c>
      <c r="IR55" s="5">
        <f t="shared" si="383"/>
        <v>0.314</v>
      </c>
      <c r="IS55" s="5">
        <f t="shared" si="229"/>
        <v>0.30172278409461917</v>
      </c>
      <c r="IT55" s="727">
        <f t="shared" si="230"/>
        <v>36.026873024613622</v>
      </c>
      <c r="IU55" s="9">
        <f t="shared" si="231"/>
        <v>-4.1868065891476087</v>
      </c>
      <c r="IV55" s="5">
        <f t="shared" si="232"/>
        <v>-0.19790669003418515</v>
      </c>
      <c r="IW55" s="5">
        <f t="shared" si="384"/>
        <v>0.26600000000000001</v>
      </c>
      <c r="IX55" s="5">
        <f t="shared" si="233"/>
        <v>0.2398236656245285</v>
      </c>
      <c r="IY55" s="762">
        <f t="shared" si="234"/>
        <v>28.060874547352096</v>
      </c>
    </row>
    <row r="56" spans="1:259" ht="15" customHeight="1" x14ac:dyDescent="0.25">
      <c r="A56" s="79"/>
      <c r="B56" s="707">
        <v>3.1912521327495069</v>
      </c>
      <c r="C56" s="708">
        <v>-3.6566588323860327</v>
      </c>
      <c r="D56" s="709">
        <v>-0.5726796276869901</v>
      </c>
      <c r="E56" s="710">
        <v>0.87172811826909313</v>
      </c>
      <c r="F56" s="708">
        <v>0.35610582812791708</v>
      </c>
      <c r="G56" s="711">
        <v>0.33656905233897627</v>
      </c>
      <c r="H56" s="710">
        <v>0.26600000000000001</v>
      </c>
      <c r="I56" s="708">
        <v>0.52</v>
      </c>
      <c r="J56" s="570">
        <v>3.2290000000000001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3.2290000000000001</v>
      </c>
      <c r="N56" s="632">
        <f t="shared" si="240"/>
        <v>3.1912521327495069</v>
      </c>
      <c r="O56" s="629">
        <f t="shared" si="241"/>
        <v>-3.6566588323860327</v>
      </c>
      <c r="P56" s="633">
        <f t="shared" si="242"/>
        <v>-0.5726796276869901</v>
      </c>
      <c r="Q56" s="585">
        <f t="shared" si="113"/>
        <v>311.1119680753817</v>
      </c>
      <c r="R56" s="629">
        <f t="shared" si="410"/>
        <v>4.8533744952604945</v>
      </c>
      <c r="S56" s="634">
        <f t="shared" si="411"/>
        <v>-0.5726796276869901</v>
      </c>
      <c r="T56" s="635">
        <f t="shared" si="412"/>
        <v>-3.6563803292181865</v>
      </c>
      <c r="U56" s="629">
        <f t="shared" si="413"/>
        <v>-3.1915712242328804</v>
      </c>
      <c r="V56" s="636">
        <f t="shared" si="414"/>
        <v>-0.5726796276869901</v>
      </c>
      <c r="W56" s="585">
        <f t="shared" si="224"/>
        <v>221.11696807465978</v>
      </c>
      <c r="X56" s="629">
        <f t="shared" si="415"/>
        <v>4.8533744952604945</v>
      </c>
      <c r="Y56" s="630">
        <f t="shared" si="223"/>
        <v>-0.5726796276869901</v>
      </c>
      <c r="Z56" s="632">
        <f t="shared" si="243"/>
        <v>-0.87172811826909313</v>
      </c>
      <c r="AA56" s="629">
        <f t="shared" si="244"/>
        <v>-0.35610582812791708</v>
      </c>
      <c r="AB56" s="629">
        <f t="shared" si="245"/>
        <v>-0.33656905233897627</v>
      </c>
      <c r="AC56" s="636">
        <f t="shared" si="416"/>
        <v>1</v>
      </c>
      <c r="AD56" s="637">
        <f t="shared" si="417"/>
        <v>-0.87172811826909313</v>
      </c>
      <c r="AE56" s="629">
        <f t="shared" si="418"/>
        <v>-0.35610582812791708</v>
      </c>
      <c r="AF56" s="633">
        <f t="shared" si="419"/>
        <v>-0.33656905233897627</v>
      </c>
      <c r="AG56" s="602">
        <f t="shared" si="420"/>
        <v>-46.615589283911099</v>
      </c>
      <c r="AH56" s="603">
        <f t="shared" si="421"/>
        <v>150.6600832243831</v>
      </c>
      <c r="AI56" s="585">
        <f t="shared" si="422"/>
        <v>-70.332020516555517</v>
      </c>
      <c r="AJ56" s="586">
        <f t="shared" si="423"/>
        <v>-67.7797096250453</v>
      </c>
      <c r="AK56" s="635">
        <f t="shared" si="424"/>
        <v>0.89093388751028102</v>
      </c>
      <c r="AL56" s="629">
        <f t="shared" si="425"/>
        <v>-0.30489027713828715</v>
      </c>
      <c r="AM56" s="634">
        <f t="shared" si="426"/>
        <v>-0.33656905233897627</v>
      </c>
      <c r="AN56" s="581">
        <f t="shared" si="427"/>
        <v>-42.172717594638115</v>
      </c>
      <c r="AO56" s="582">
        <f t="shared" ref="AO56:AO119" si="461">IF(ROUND(IF(M56="",0,DEGREES(ACOS(AK56))),4)=90,0,IF(M56="","",DEGREES(ACOS(AK56))))</f>
        <v>27.009165658528495</v>
      </c>
      <c r="AP56" s="585">
        <f t="shared" si="428"/>
        <v>-18.891677700426989</v>
      </c>
      <c r="AQ56" s="586">
        <f t="shared" si="246"/>
        <v>0.46970938733582607</v>
      </c>
      <c r="AS56" s="52">
        <f t="shared" si="406"/>
        <v>-138.88303192534022</v>
      </c>
      <c r="AT56" s="72">
        <f t="shared" si="247"/>
        <v>-0.47622960551711629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3.2290000000000001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3.129</v>
      </c>
      <c r="II56" s="734" cm="1">
        <f t="array" ref="II56">IFERROR(ROUND(VALUE(IF($IH56&lt;1,$IH56+LARGE((IF($M$9:$M$150="",0,$M$9:$M$150)-MOD(IF($M$9:$M$150="",0,$M$9:$M$150),1)),1),$IH56)),4),"")</f>
        <v>3.129</v>
      </c>
      <c r="IJ56" s="533">
        <f t="shared" si="112"/>
        <v>1613</v>
      </c>
      <c r="IK56" s="533">
        <f t="shared" si="382"/>
        <v>1313</v>
      </c>
      <c r="IL56" s="727">
        <f t="shared" si="225"/>
        <v>11.285998370503478</v>
      </c>
      <c r="IM56" s="759">
        <v>1.1154456062041501E-2</v>
      </c>
      <c r="IN56" s="5">
        <f t="shared" si="226"/>
        <v>0.34</v>
      </c>
      <c r="IO56" s="771">
        <v>170</v>
      </c>
      <c r="IP56" s="9">
        <f t="shared" si="227"/>
        <v>-4.8266145570695045</v>
      </c>
      <c r="IQ56" s="5">
        <f t="shared" si="228"/>
        <v>-0.61680186027441064</v>
      </c>
      <c r="IR56" s="5">
        <f t="shared" si="383"/>
        <v>0.314</v>
      </c>
      <c r="IS56" s="5">
        <f t="shared" si="229"/>
        <v>0.2991965402992392</v>
      </c>
      <c r="IT56" s="727">
        <f t="shared" si="230"/>
        <v>51.059471636099886</v>
      </c>
      <c r="IU56" s="9">
        <f t="shared" si="231"/>
        <v>-4.8533744952604945</v>
      </c>
      <c r="IV56" s="5">
        <f t="shared" si="232"/>
        <v>-0.5726796276869901</v>
      </c>
      <c r="IW56" s="5">
        <f t="shared" si="384"/>
        <v>0.26600000000000001</v>
      </c>
      <c r="IX56" s="5">
        <f t="shared" si="233"/>
        <v>0.2369884140777348</v>
      </c>
      <c r="IY56" s="762">
        <f t="shared" si="234"/>
        <v>42.172717594638115</v>
      </c>
    </row>
    <row r="57" spans="1:259" ht="15" customHeight="1" x14ac:dyDescent="0.25">
      <c r="A57" s="79"/>
      <c r="B57" s="707">
        <v>3.5363679811794033</v>
      </c>
      <c r="C57" s="708">
        <v>-4.0522485408706279</v>
      </c>
      <c r="D57" s="709">
        <v>-1.1281737160911751</v>
      </c>
      <c r="E57" s="710">
        <v>0.91912469514332806</v>
      </c>
      <c r="F57" s="708">
        <v>0.28563309873663484</v>
      </c>
      <c r="G57" s="711">
        <v>0.27133655795670453</v>
      </c>
      <c r="H57" s="710">
        <v>0.26600000000000001</v>
      </c>
      <c r="I57" s="708">
        <v>0.52</v>
      </c>
      <c r="J57" s="570">
        <v>3.2349999999999999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3.2349999999999999</v>
      </c>
      <c r="N57" s="632">
        <f t="shared" si="240"/>
        <v>3.5363679811794033</v>
      </c>
      <c r="O57" s="629">
        <f t="shared" si="241"/>
        <v>-4.0522485408706279</v>
      </c>
      <c r="P57" s="633">
        <f t="shared" si="242"/>
        <v>-1.1281737160911751</v>
      </c>
      <c r="Q57" s="585">
        <f t="shared" si="113"/>
        <v>311.1109680755261</v>
      </c>
      <c r="R57" s="629">
        <f t="shared" si="410"/>
        <v>5.3783470262989743</v>
      </c>
      <c r="S57" s="634">
        <f t="shared" si="411"/>
        <v>-1.1281737160911751</v>
      </c>
      <c r="T57" s="635">
        <f t="shared" si="412"/>
        <v>-4.051939919161593</v>
      </c>
      <c r="U57" s="629">
        <f t="shared" si="413"/>
        <v>-3.5367215930581479</v>
      </c>
      <c r="V57" s="636">
        <f t="shared" si="414"/>
        <v>-1.1281737160911751</v>
      </c>
      <c r="W57" s="585">
        <f t="shared" si="224"/>
        <v>221.11596807480419</v>
      </c>
      <c r="X57" s="629">
        <f t="shared" si="415"/>
        <v>5.3783470262989743</v>
      </c>
      <c r="Y57" s="630">
        <f t="shared" si="223"/>
        <v>-1.1281737160911751</v>
      </c>
      <c r="Z57" s="632">
        <f t="shared" si="243"/>
        <v>-0.91912469514332806</v>
      </c>
      <c r="AA57" s="629">
        <f t="shared" si="244"/>
        <v>-0.28563309873663484</v>
      </c>
      <c r="AB57" s="629">
        <f t="shared" si="245"/>
        <v>-0.27133655795670453</v>
      </c>
      <c r="AC57" s="636">
        <f t="shared" si="416"/>
        <v>1</v>
      </c>
      <c r="AD57" s="637">
        <f t="shared" si="417"/>
        <v>-0.91912469514332806</v>
      </c>
      <c r="AE57" s="629">
        <f t="shared" si="418"/>
        <v>-0.28563309873663484</v>
      </c>
      <c r="AF57" s="633">
        <f t="shared" si="419"/>
        <v>-0.27133655795670453</v>
      </c>
      <c r="AG57" s="602">
        <f t="shared" si="420"/>
        <v>-46.470370260841293</v>
      </c>
      <c r="AH57" s="603">
        <f t="shared" si="421"/>
        <v>156.79845194570038</v>
      </c>
      <c r="AI57" s="585">
        <f t="shared" si="422"/>
        <v>-74.256184679614577</v>
      </c>
      <c r="AJ57" s="586">
        <f t="shared" si="423"/>
        <v>-72.736509446004078</v>
      </c>
      <c r="AK57" s="635">
        <f t="shared" si="424"/>
        <v>0.8803123759695477</v>
      </c>
      <c r="AL57" s="629">
        <f t="shared" si="425"/>
        <v>-0.38913570002128778</v>
      </c>
      <c r="AM57" s="634">
        <f t="shared" si="426"/>
        <v>-0.27133655795670453</v>
      </c>
      <c r="AN57" s="581">
        <f t="shared" si="427"/>
        <v>-55.112705460072569</v>
      </c>
      <c r="AO57" s="582">
        <f t="shared" si="461"/>
        <v>28.319931869645174</v>
      </c>
      <c r="AP57" s="585">
        <f t="shared" si="428"/>
        <v>-23.847477521530177</v>
      </c>
      <c r="AQ57" s="586">
        <f t="shared" si="246"/>
        <v>0.42386350910925202</v>
      </c>
      <c r="AS57" s="52">
        <f t="shared" si="406"/>
        <v>-138.88403192519581</v>
      </c>
      <c r="AT57" s="72">
        <f t="shared" si="247"/>
        <v>-1.0317229994769572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3.2349999999999999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3.1349999999999998</v>
      </c>
      <c r="II57" s="734" cm="1">
        <f t="array" ref="II57">IFERROR(ROUND(VALUE(IF($IH57&lt;1,$IH57+LARGE((IF($M$9:$M$150="",0,$M$9:$M$150)-MOD(IF($M$9:$M$150="",0,$M$9:$M$150),1)),1),$IH57)),4),"")</f>
        <v>3.1349999999999998</v>
      </c>
      <c r="IJ57" s="533">
        <f t="shared" si="112"/>
        <v>1613</v>
      </c>
      <c r="IK57" s="533">
        <f t="shared" si="382"/>
        <v>1313</v>
      </c>
      <c r="IL57" s="727">
        <f t="shared" si="225"/>
        <v>10.446998491640045</v>
      </c>
      <c r="IM57" s="759">
        <v>9.0647432541203395E-3</v>
      </c>
      <c r="IN57" s="5">
        <f t="shared" si="226"/>
        <v>0.32</v>
      </c>
      <c r="IO57" s="771">
        <v>160</v>
      </c>
      <c r="IP57" s="9">
        <f t="shared" si="227"/>
        <v>-5.3411161088061858</v>
      </c>
      <c r="IQ57" s="5">
        <f t="shared" si="228"/>
        <v>-1.1676035214922209</v>
      </c>
      <c r="IR57" s="5">
        <f t="shared" si="383"/>
        <v>0.314</v>
      </c>
      <c r="IS57" s="5">
        <f t="shared" si="229"/>
        <v>0.2966756330622895</v>
      </c>
      <c r="IT57" s="727">
        <f t="shared" si="230"/>
        <v>64.245596121270665</v>
      </c>
      <c r="IU57" s="9">
        <f t="shared" si="231"/>
        <v>-5.3783470262989743</v>
      </c>
      <c r="IV57" s="5">
        <f t="shared" si="232"/>
        <v>-1.1281737160911751</v>
      </c>
      <c r="IW57" s="5">
        <f t="shared" si="384"/>
        <v>0.26600000000000001</v>
      </c>
      <c r="IX57" s="5">
        <f t="shared" si="233"/>
        <v>0.2341630920078997</v>
      </c>
      <c r="IY57" s="762">
        <f t="shared" si="234"/>
        <v>55.112705460072569</v>
      </c>
    </row>
    <row r="58" spans="1:259" ht="15" customHeight="1" x14ac:dyDescent="0.25">
      <c r="A58" s="79"/>
      <c r="B58" s="707">
        <v>3.7498790443094605</v>
      </c>
      <c r="C58" s="708">
        <v>-4.3131390522305759</v>
      </c>
      <c r="D58" s="709">
        <v>-1.8137144880643818</v>
      </c>
      <c r="E58" s="710">
        <v>0.95592577060496775</v>
      </c>
      <c r="F58" s="708">
        <v>0.2015765624158633</v>
      </c>
      <c r="G58" s="711">
        <v>0.21347789248046814</v>
      </c>
      <c r="H58" s="710">
        <v>0.26600000000000001</v>
      </c>
      <c r="I58" s="708">
        <v>0.52</v>
      </c>
      <c r="J58" s="570">
        <v>3.2410000000000001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3.2410000000000001</v>
      </c>
      <c r="N58" s="632">
        <f t="shared" si="240"/>
        <v>3.7498790443094605</v>
      </c>
      <c r="O58" s="629">
        <f t="shared" si="241"/>
        <v>-4.3131390522305759</v>
      </c>
      <c r="P58" s="633">
        <f t="shared" si="242"/>
        <v>-1.8137144880643818</v>
      </c>
      <c r="Q58" s="585">
        <f t="shared" si="113"/>
        <v>311.00396809097498</v>
      </c>
      <c r="R58" s="629">
        <f t="shared" si="410"/>
        <v>5.7153093818994352</v>
      </c>
      <c r="S58" s="634">
        <f t="shared" si="411"/>
        <v>-1.8137144880643818</v>
      </c>
      <c r="T58" s="635">
        <f t="shared" si="412"/>
        <v>-4.3128117971756534</v>
      </c>
      <c r="U58" s="629">
        <f t="shared" si="413"/>
        <v>-3.7502554223639502</v>
      </c>
      <c r="V58" s="636">
        <f t="shared" si="414"/>
        <v>-1.8137144880643818</v>
      </c>
      <c r="W58" s="585">
        <f t="shared" si="224"/>
        <v>221.00896809025306</v>
      </c>
      <c r="X58" s="629">
        <f t="shared" si="415"/>
        <v>5.7153093818994352</v>
      </c>
      <c r="Y58" s="630">
        <f t="shared" si="223"/>
        <v>-1.8137144880643818</v>
      </c>
      <c r="Z58" s="632">
        <f t="shared" si="243"/>
        <v>-0.95592577060496775</v>
      </c>
      <c r="AA58" s="629">
        <f t="shared" si="244"/>
        <v>-0.2015765624158633</v>
      </c>
      <c r="AB58" s="629">
        <f t="shared" si="245"/>
        <v>-0.21347789248046814</v>
      </c>
      <c r="AC58" s="636">
        <f t="shared" si="416"/>
        <v>1</v>
      </c>
      <c r="AD58" s="637">
        <f t="shared" si="417"/>
        <v>-0.95592577060496775</v>
      </c>
      <c r="AE58" s="629">
        <f t="shared" si="418"/>
        <v>-0.2015765624158633</v>
      </c>
      <c r="AF58" s="633">
        <f t="shared" si="419"/>
        <v>-0.21347789248046814</v>
      </c>
      <c r="AG58" s="602">
        <f t="shared" si="420"/>
        <v>-43.357542773038695</v>
      </c>
      <c r="AH58" s="603">
        <f t="shared" si="421"/>
        <v>162.92588739272642</v>
      </c>
      <c r="AI58" s="585">
        <f t="shared" si="422"/>
        <v>-77.673756087894674</v>
      </c>
      <c r="AJ58" s="586">
        <f t="shared" si="423"/>
        <v>-78.092458917111742</v>
      </c>
      <c r="AK58" s="635">
        <f t="shared" si="424"/>
        <v>0.85365956126693632</v>
      </c>
      <c r="AL58" s="629">
        <f t="shared" si="425"/>
        <v>-0.47507109244789858</v>
      </c>
      <c r="AM58" s="634">
        <f t="shared" si="426"/>
        <v>-0.21347789248046814</v>
      </c>
      <c r="AN58" s="581">
        <f t="shared" si="427"/>
        <v>-65.802761584343031</v>
      </c>
      <c r="AO58" s="582">
        <f t="shared" si="461"/>
        <v>31.388037104638208</v>
      </c>
      <c r="AP58" s="585">
        <f t="shared" si="428"/>
        <v>-29.096427008086728</v>
      </c>
      <c r="AQ58" s="586">
        <f t="shared" si="246"/>
        <v>0.39887426045444718</v>
      </c>
      <c r="AS58" s="52">
        <f t="shared" si="406"/>
        <v>-138.99103190974694</v>
      </c>
      <c r="AT58" s="72">
        <f t="shared" si="247"/>
        <v>-1.7171894659053366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3.2410000000000001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3.141</v>
      </c>
      <c r="II58" s="734" cm="1">
        <f t="array" ref="II58">IFERROR(ROUND(VALUE(IF($IH58&lt;1,$IH58+LARGE((IF($M$9:$M$150="",0,$M$9:$M$150)-MOD(IF($M$9:$M$150="",0,$M$9:$M$150),1)),1),$IH58)),4),"")</f>
        <v>3.141</v>
      </c>
      <c r="IJ58" s="533">
        <f t="shared" si="112"/>
        <v>1613</v>
      </c>
      <c r="IK58" s="533">
        <f t="shared" si="382"/>
        <v>1313</v>
      </c>
      <c r="IL58" s="727">
        <f t="shared" si="225"/>
        <v>9.9979985564676213</v>
      </c>
      <c r="IM58" s="759">
        <v>7.0947639970151697E-3</v>
      </c>
      <c r="IN58" s="5">
        <f t="shared" si="226"/>
        <v>0.28000000000000003</v>
      </c>
      <c r="IO58" s="771">
        <v>140</v>
      </c>
      <c r="IP58" s="9">
        <f t="shared" si="227"/>
        <v>-5.6681170950411586</v>
      </c>
      <c r="IQ58" s="5">
        <f t="shared" si="228"/>
        <v>-1.846705569663998</v>
      </c>
      <c r="IR58" s="5">
        <f t="shared" si="383"/>
        <v>0.314</v>
      </c>
      <c r="IS58" s="5">
        <f t="shared" si="229"/>
        <v>0.29085030982583532</v>
      </c>
      <c r="IT58" s="727">
        <f t="shared" si="230"/>
        <v>73.480283326109742</v>
      </c>
      <c r="IU58" s="9">
        <f t="shared" si="231"/>
        <v>-5.7153093818994352</v>
      </c>
      <c r="IV58" s="5">
        <f t="shared" si="232"/>
        <v>-1.8137144880643818</v>
      </c>
      <c r="IW58" s="5">
        <f t="shared" si="384"/>
        <v>0.26600000000000001</v>
      </c>
      <c r="IX58" s="5">
        <f t="shared" si="233"/>
        <v>0.22707344329700507</v>
      </c>
      <c r="IY58" s="762">
        <f t="shared" si="234"/>
        <v>65.802761584343031</v>
      </c>
    </row>
    <row r="59" spans="1:259" ht="15" customHeight="1" x14ac:dyDescent="0.25">
      <c r="A59" s="79"/>
      <c r="B59" s="707">
        <v>-0.60627719584895845</v>
      </c>
      <c r="C59" s="708">
        <v>-3.252791330746251</v>
      </c>
      <c r="D59" s="709">
        <v>-0.16950023977272316</v>
      </c>
      <c r="E59" s="710">
        <v>0.93578189841369042</v>
      </c>
      <c r="F59" s="708">
        <v>-0.24200673706140424</v>
      </c>
      <c r="G59" s="711">
        <v>0.25640783493911018</v>
      </c>
      <c r="H59" s="710">
        <v>0.314</v>
      </c>
      <c r="I59" s="708">
        <v>0.52</v>
      </c>
      <c r="J59" s="570">
        <v>4.1159999999999997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4.1159999999999997</v>
      </c>
      <c r="N59" s="632">
        <f t="shared" si="240"/>
        <v>-0.60627719584895845</v>
      </c>
      <c r="O59" s="629">
        <f t="shared" si="241"/>
        <v>-3.252791330746251</v>
      </c>
      <c r="P59" s="633">
        <f t="shared" si="242"/>
        <v>-0.16950023977272316</v>
      </c>
      <c r="Q59" s="585">
        <f t="shared" si="113"/>
        <v>259.44197553560559</v>
      </c>
      <c r="R59" s="629">
        <f t="shared" si="79"/>
        <v>3.3088099793708983</v>
      </c>
      <c r="S59" s="634">
        <f t="shared" si="80"/>
        <v>-0.16950023977272316</v>
      </c>
      <c r="T59" s="635">
        <f t="shared" si="81"/>
        <v>-3.2528442260190742</v>
      </c>
      <c r="U59" s="629">
        <f t="shared" si="82"/>
        <v>0.60599333398876287</v>
      </c>
      <c r="V59" s="636">
        <f t="shared" si="114"/>
        <v>-0.16950023977272316</v>
      </c>
      <c r="W59" s="585">
        <f t="shared" si="224"/>
        <v>169.44697553488368</v>
      </c>
      <c r="X59" s="629">
        <f t="shared" si="83"/>
        <v>3.3088099793708983</v>
      </c>
      <c r="Y59" s="630">
        <f t="shared" si="223"/>
        <v>-0.16950023977272316</v>
      </c>
      <c r="Z59" s="632">
        <f t="shared" si="243"/>
        <v>-0.93578189841369042</v>
      </c>
      <c r="AA59" s="629">
        <f t="shared" si="244"/>
        <v>0.24200673706140424</v>
      </c>
      <c r="AB59" s="629">
        <f t="shared" si="245"/>
        <v>-0.25640783493911018</v>
      </c>
      <c r="AC59" s="636">
        <f t="shared" si="84"/>
        <v>1</v>
      </c>
      <c r="AD59" s="637">
        <f t="shared" si="115"/>
        <v>-0.93578189841369042</v>
      </c>
      <c r="AE59" s="629">
        <f t="shared" si="85"/>
        <v>0.24200673706140424</v>
      </c>
      <c r="AF59" s="633">
        <f t="shared" si="86"/>
        <v>-0.25640783493911018</v>
      </c>
      <c r="AG59" s="602">
        <f t="shared" si="87"/>
        <v>43.344966877738379</v>
      </c>
      <c r="AH59" s="603">
        <f t="shared" si="88"/>
        <v>159.35483540414731</v>
      </c>
      <c r="AI59" s="585">
        <f t="shared" si="89"/>
        <v>-75.142977993890582</v>
      </c>
      <c r="AJ59" s="586">
        <f t="shared" si="90"/>
        <v>-104.49983259574591</v>
      </c>
      <c r="AK59" s="635">
        <f t="shared" si="211"/>
        <v>0.96428215353669144</v>
      </c>
      <c r="AL59" s="629">
        <f t="shared" si="91"/>
        <v>-6.6445094269468263E-2</v>
      </c>
      <c r="AM59" s="634">
        <f t="shared" si="92"/>
        <v>-0.25640783493911018</v>
      </c>
      <c r="AN59" s="581">
        <f t="shared" si="93"/>
        <v>-14.527961727834233</v>
      </c>
      <c r="AO59" s="582">
        <f t="shared" si="461"/>
        <v>15.359655827892999</v>
      </c>
      <c r="AP59" s="585">
        <f t="shared" si="95"/>
        <v>-3.9418081313515136</v>
      </c>
      <c r="AQ59" s="586">
        <f t="shared" si="246"/>
        <v>0.68895366333081853</v>
      </c>
      <c r="AS59" s="52">
        <f t="shared" si="406"/>
        <v>-190.55302446511632</v>
      </c>
      <c r="AT59" s="72">
        <f t="shared" si="247"/>
        <v>-3.7168278339115929E-2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4.1159999999999997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-0.80482348973033757</v>
      </c>
      <c r="C60" s="708">
        <v>-3.9717898311582585</v>
      </c>
      <c r="D60" s="709">
        <v>-0.29240061044024124</v>
      </c>
      <c r="E60" s="710">
        <v>0.91402448164637373</v>
      </c>
      <c r="F60" s="708">
        <v>-0.33299587413730941</v>
      </c>
      <c r="G60" s="711">
        <v>0.23167432908850097</v>
      </c>
      <c r="H60" s="710">
        <v>0.314</v>
      </c>
      <c r="I60" s="708">
        <v>0.52</v>
      </c>
      <c r="J60" s="570">
        <v>4.1219999999999999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4.1219999999999999</v>
      </c>
      <c r="N60" s="632">
        <f t="shared" si="240"/>
        <v>-0.80482348973033757</v>
      </c>
      <c r="O60" s="629">
        <f t="shared" si="241"/>
        <v>-3.9717898311582585</v>
      </c>
      <c r="P60" s="633">
        <f t="shared" si="242"/>
        <v>-0.29240061044024124</v>
      </c>
      <c r="Q60" s="585">
        <f t="shared" si="113"/>
        <v>258.54497566511634</v>
      </c>
      <c r="R60" s="629">
        <f t="shared" si="79"/>
        <v>4.0525122223768637</v>
      </c>
      <c r="S60" s="634">
        <f t="shared" si="80"/>
        <v>-0.29240061044024124</v>
      </c>
      <c r="T60" s="635">
        <f t="shared" si="81"/>
        <v>-3.9718600501235444</v>
      </c>
      <c r="U60" s="629">
        <f t="shared" si="82"/>
        <v>0.8044768826675277</v>
      </c>
      <c r="V60" s="636">
        <f t="shared" si="114"/>
        <v>-0.29240061044024124</v>
      </c>
      <c r="W60" s="585">
        <f t="shared" si="224"/>
        <v>168.54997566439442</v>
      </c>
      <c r="X60" s="629">
        <f t="shared" si="83"/>
        <v>4.0525122223768637</v>
      </c>
      <c r="Y60" s="630">
        <f t="shared" si="223"/>
        <v>-0.29240061044024124</v>
      </c>
      <c r="Z60" s="632">
        <f t="shared" si="243"/>
        <v>-0.91402448164637373</v>
      </c>
      <c r="AA60" s="629">
        <f t="shared" si="244"/>
        <v>0.33299587413730941</v>
      </c>
      <c r="AB60" s="629">
        <f t="shared" si="245"/>
        <v>-0.23167432908850097</v>
      </c>
      <c r="AC60" s="636">
        <f t="shared" si="84"/>
        <v>1</v>
      </c>
      <c r="AD60" s="637">
        <f t="shared" si="115"/>
        <v>-0.91402448164637373</v>
      </c>
      <c r="AE60" s="629">
        <f t="shared" si="85"/>
        <v>0.33299587413730941</v>
      </c>
      <c r="AF60" s="633">
        <f t="shared" si="86"/>
        <v>-0.23167432908850097</v>
      </c>
      <c r="AG60" s="602">
        <f t="shared" si="87"/>
        <v>55.172609263403032</v>
      </c>
      <c r="AH60" s="603">
        <f t="shared" si="88"/>
        <v>156.06756818506045</v>
      </c>
      <c r="AI60" s="585">
        <f t="shared" si="89"/>
        <v>-76.604333439022327</v>
      </c>
      <c r="AJ60" s="586">
        <f t="shared" si="90"/>
        <v>-110.01760947001014</v>
      </c>
      <c r="AK60" s="635">
        <f t="shared" si="211"/>
        <v>0.96195047151155388</v>
      </c>
      <c r="AL60" s="629">
        <f t="shared" si="91"/>
        <v>-0.1448388608077687</v>
      </c>
      <c r="AM60" s="634">
        <f t="shared" si="92"/>
        <v>-0.23167432908850097</v>
      </c>
      <c r="AN60" s="581">
        <f t="shared" si="93"/>
        <v>-32.012924006491659</v>
      </c>
      <c r="AO60" s="582">
        <f t="shared" si="461"/>
        <v>15.856197122859058</v>
      </c>
      <c r="AP60" s="585">
        <f t="shared" si="95"/>
        <v>-8.562585135126497</v>
      </c>
      <c r="AQ60" s="586">
        <f t="shared" si="246"/>
        <v>0.56252844082742215</v>
      </c>
      <c r="AS60" s="52">
        <f t="shared" si="406"/>
        <v>-191.45002433560558</v>
      </c>
      <c r="AT60" s="72">
        <f t="shared" si="247"/>
        <v>-0.15944573242990537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4.1219999999999999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-1.0183238747234333</v>
      </c>
      <c r="C61" s="708">
        <v>-4.614693021735282</v>
      </c>
      <c r="D61" s="709">
        <v>-0.63120163226412329</v>
      </c>
      <c r="E61" s="710">
        <v>0.88237111495993381</v>
      </c>
      <c r="F61" s="708">
        <v>-0.42592900365406727</v>
      </c>
      <c r="G61" s="711">
        <v>0.20001424781904134</v>
      </c>
      <c r="H61" s="710">
        <v>0.314</v>
      </c>
      <c r="I61" s="708">
        <v>0.52</v>
      </c>
      <c r="J61" s="570">
        <v>4.1280000000000001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4.1280000000000001</v>
      </c>
      <c r="N61" s="632">
        <f t="shared" si="240"/>
        <v>-1.0183238747234333</v>
      </c>
      <c r="O61" s="629">
        <f t="shared" si="241"/>
        <v>-4.614693021735282</v>
      </c>
      <c r="P61" s="633">
        <f t="shared" si="242"/>
        <v>-0.63120163226412329</v>
      </c>
      <c r="Q61" s="585">
        <f t="shared" si="113"/>
        <v>257.55597580791027</v>
      </c>
      <c r="R61" s="629">
        <f t="shared" si="79"/>
        <v>4.7257142527541864</v>
      </c>
      <c r="S61" s="634">
        <f t="shared" si="80"/>
        <v>-0.63120163226412329</v>
      </c>
      <c r="T61" s="635">
        <f t="shared" si="81"/>
        <v>-4.6147818696732239</v>
      </c>
      <c r="U61" s="629">
        <f t="shared" si="82"/>
        <v>1.0179211629686076</v>
      </c>
      <c r="V61" s="636">
        <f t="shared" si="114"/>
        <v>-0.63120163226412329</v>
      </c>
      <c r="W61" s="585">
        <f t="shared" si="224"/>
        <v>167.56097580718836</v>
      </c>
      <c r="X61" s="629">
        <f t="shared" si="83"/>
        <v>4.7257142527541864</v>
      </c>
      <c r="Y61" s="630">
        <f t="shared" si="223"/>
        <v>-0.63120163226412329</v>
      </c>
      <c r="Z61" s="632">
        <f t="shared" si="243"/>
        <v>-0.88237111495993381</v>
      </c>
      <c r="AA61" s="629">
        <f t="shared" si="244"/>
        <v>0.42592900365406727</v>
      </c>
      <c r="AB61" s="629">
        <f t="shared" si="245"/>
        <v>-0.20001424781904134</v>
      </c>
      <c r="AC61" s="636">
        <f t="shared" si="84"/>
        <v>1</v>
      </c>
      <c r="AD61" s="637">
        <f t="shared" si="115"/>
        <v>-0.88237111495993381</v>
      </c>
      <c r="AE61" s="629">
        <f t="shared" si="85"/>
        <v>0.42592900365406727</v>
      </c>
      <c r="AF61" s="633">
        <f t="shared" si="86"/>
        <v>-0.20001424781904134</v>
      </c>
      <c r="AG61" s="602">
        <f t="shared" si="87"/>
        <v>64.845471804185635</v>
      </c>
      <c r="AH61" s="603">
        <f t="shared" si="88"/>
        <v>151.92972586658303</v>
      </c>
      <c r="AI61" s="585">
        <f t="shared" si="89"/>
        <v>-78.462207792528105</v>
      </c>
      <c r="AJ61" s="586">
        <f t="shared" si="90"/>
        <v>-115.76704953477604</v>
      </c>
      <c r="AK61" s="635">
        <f t="shared" si="211"/>
        <v>0.95342317778070962</v>
      </c>
      <c r="AL61" s="629">
        <f t="shared" si="91"/>
        <v>-0.22578428807141679</v>
      </c>
      <c r="AM61" s="634">
        <f t="shared" si="92"/>
        <v>-0.20001424781904134</v>
      </c>
      <c r="AN61" s="581">
        <f t="shared" si="93"/>
        <v>-48.463411942271208</v>
      </c>
      <c r="AO61" s="582">
        <f t="shared" si="461"/>
        <v>17.555888372199998</v>
      </c>
      <c r="AP61" s="585">
        <f t="shared" si="95"/>
        <v>-13.323025342686305</v>
      </c>
      <c r="AQ61" s="586">
        <f t="shared" si="246"/>
        <v>0.48239750486958966</v>
      </c>
      <c r="AS61" s="52">
        <f t="shared" si="406"/>
        <v>-192.43902419281164</v>
      </c>
      <c r="AT61" s="72">
        <f t="shared" si="247"/>
        <v>-0.49755994879739429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4.1280000000000001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-1.2133571215447849</v>
      </c>
      <c r="C62" s="708">
        <v>-5.1256590933139305</v>
      </c>
      <c r="D62" s="709">
        <v>-1.1554032132560907</v>
      </c>
      <c r="E62" s="710">
        <v>0.85356053464113035</v>
      </c>
      <c r="F62" s="708">
        <v>-0.49788661948758484</v>
      </c>
      <c r="G62" s="711">
        <v>0.15343835191493904</v>
      </c>
      <c r="H62" s="710">
        <v>0.314</v>
      </c>
      <c r="I62" s="708">
        <v>0.52</v>
      </c>
      <c r="J62" s="570">
        <v>4.1340000000000003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4.1340000000000003</v>
      </c>
      <c r="N62" s="632">
        <f t="shared" si="240"/>
        <v>-1.2133571215447849</v>
      </c>
      <c r="O62" s="629">
        <f t="shared" si="241"/>
        <v>-5.1256590933139305</v>
      </c>
      <c r="P62" s="633">
        <f t="shared" si="242"/>
        <v>-1.1554032132560907</v>
      </c>
      <c r="Q62" s="585">
        <f t="shared" si="113"/>
        <v>256.68197593410025</v>
      </c>
      <c r="R62" s="629">
        <f t="shared" si="79"/>
        <v>5.2673158862247123</v>
      </c>
      <c r="S62" s="634">
        <f t="shared" si="80"/>
        <v>-1.1554032132560907</v>
      </c>
      <c r="T62" s="635">
        <f t="shared" si="81"/>
        <v>-5.125764959165318</v>
      </c>
      <c r="U62" s="629">
        <f t="shared" si="82"/>
        <v>1.2129098188522467</v>
      </c>
      <c r="V62" s="636">
        <f t="shared" si="114"/>
        <v>-1.1554032132560907</v>
      </c>
      <c r="W62" s="585">
        <f t="shared" si="224"/>
        <v>166.68697593337833</v>
      </c>
      <c r="X62" s="629">
        <f t="shared" si="83"/>
        <v>5.2673158862247123</v>
      </c>
      <c r="Y62" s="630">
        <f t="shared" si="223"/>
        <v>-1.1554032132560907</v>
      </c>
      <c r="Z62" s="632">
        <f t="shared" si="243"/>
        <v>-0.85356053464113035</v>
      </c>
      <c r="AA62" s="629">
        <f t="shared" si="244"/>
        <v>0.49788661948758484</v>
      </c>
      <c r="AB62" s="629">
        <f t="shared" si="245"/>
        <v>-0.15343835191493904</v>
      </c>
      <c r="AC62" s="636">
        <f t="shared" si="84"/>
        <v>1</v>
      </c>
      <c r="AD62" s="637">
        <f t="shared" si="115"/>
        <v>-0.85356053464113035</v>
      </c>
      <c r="AE62" s="629">
        <f t="shared" si="85"/>
        <v>0.49788661948758484</v>
      </c>
      <c r="AF62" s="633">
        <f t="shared" si="86"/>
        <v>-0.15343835191493904</v>
      </c>
      <c r="AG62" s="602">
        <f t="shared" si="87"/>
        <v>72.871784900943538</v>
      </c>
      <c r="AH62" s="603">
        <f t="shared" si="88"/>
        <v>148.60107084105817</v>
      </c>
      <c r="AI62" s="585">
        <f t="shared" si="89"/>
        <v>-81.17376299220706</v>
      </c>
      <c r="AJ62" s="586">
        <f t="shared" si="90"/>
        <v>-120.25525055479036</v>
      </c>
      <c r="AK62" s="635">
        <f t="shared" si="211"/>
        <v>0.945296370885228</v>
      </c>
      <c r="AL62" s="629">
        <f t="shared" si="91"/>
        <v>-0.28787400603883123</v>
      </c>
      <c r="AM62" s="634">
        <f t="shared" si="92"/>
        <v>-0.15343835191493904</v>
      </c>
      <c r="AN62" s="581">
        <f t="shared" si="93"/>
        <v>-61.942150735205814</v>
      </c>
      <c r="AO62" s="582">
        <f t="shared" si="461"/>
        <v>19.039066475675561</v>
      </c>
      <c r="AP62" s="585">
        <f t="shared" si="95"/>
        <v>-16.937226488890591</v>
      </c>
      <c r="AQ62" s="586">
        <f t="shared" si="246"/>
        <v>0.43279790339165453</v>
      </c>
      <c r="AS62" s="52">
        <f t="shared" si="406"/>
        <v>-193.31302406662167</v>
      </c>
      <c r="AT62" s="72">
        <f t="shared" si="247"/>
        <v>-1.0211545854325492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4.1340000000000003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-1.3547988639484205</v>
      </c>
      <c r="C63" s="708">
        <v>-5.4626203159090618</v>
      </c>
      <c r="D63" s="709">
        <v>-1.8171052089493109</v>
      </c>
      <c r="E63" s="710">
        <v>0.82179462986341079</v>
      </c>
      <c r="F63" s="708">
        <v>-0.55940201842912152</v>
      </c>
      <c r="G63" s="711">
        <v>0.10827265631305376</v>
      </c>
      <c r="H63" s="710">
        <v>0.314</v>
      </c>
      <c r="I63" s="708">
        <v>0.52</v>
      </c>
      <c r="J63" s="570">
        <v>4.1399999999999997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4.1399999999999997</v>
      </c>
      <c r="N63" s="632">
        <f t="shared" si="240"/>
        <v>-1.3547988639484205</v>
      </c>
      <c r="O63" s="629">
        <f t="shared" si="241"/>
        <v>-5.4626203159090618</v>
      </c>
      <c r="P63" s="633">
        <f t="shared" si="242"/>
        <v>-1.8171052089493109</v>
      </c>
      <c r="Q63" s="585">
        <f t="shared" si="113"/>
        <v>256.07097602231772</v>
      </c>
      <c r="R63" s="629">
        <f t="shared" si="79"/>
        <v>5.6281169744007942</v>
      </c>
      <c r="S63" s="634">
        <f t="shared" si="80"/>
        <v>-1.8171052089493109</v>
      </c>
      <c r="T63" s="635">
        <f t="shared" si="81"/>
        <v>-5.4627385235961219</v>
      </c>
      <c r="U63" s="629">
        <f t="shared" si="82"/>
        <v>1.354322155307667</v>
      </c>
      <c r="V63" s="636">
        <f t="shared" si="114"/>
        <v>-1.8171052089493109</v>
      </c>
      <c r="W63" s="585">
        <f t="shared" si="224"/>
        <v>166.07597602159581</v>
      </c>
      <c r="X63" s="629">
        <f t="shared" si="83"/>
        <v>5.6281169744007942</v>
      </c>
      <c r="Y63" s="630">
        <f t="shared" si="223"/>
        <v>-1.8171052089493109</v>
      </c>
      <c r="Z63" s="632">
        <f t="shared" si="243"/>
        <v>-0.82179462986341079</v>
      </c>
      <c r="AA63" s="629">
        <f t="shared" si="244"/>
        <v>0.55940201842912152</v>
      </c>
      <c r="AB63" s="629">
        <f t="shared" si="245"/>
        <v>-0.10827265631305376</v>
      </c>
      <c r="AC63" s="636">
        <f t="shared" si="84"/>
        <v>1</v>
      </c>
      <c r="AD63" s="637">
        <f t="shared" si="115"/>
        <v>-0.82179462986341079</v>
      </c>
      <c r="AE63" s="629">
        <f t="shared" si="85"/>
        <v>0.55940201842912152</v>
      </c>
      <c r="AF63" s="633">
        <f t="shared" si="86"/>
        <v>-0.10827265631305376</v>
      </c>
      <c r="AG63" s="602">
        <f t="shared" si="87"/>
        <v>79.045809220838734</v>
      </c>
      <c r="AH63" s="603">
        <f t="shared" si="88"/>
        <v>145.26484868918905</v>
      </c>
      <c r="AI63" s="585">
        <f t="shared" si="89"/>
        <v>-83.784248664521172</v>
      </c>
      <c r="AJ63" s="586">
        <f t="shared" si="90"/>
        <v>-124.24342428603775</v>
      </c>
      <c r="AK63" s="635">
        <f t="shared" si="211"/>
        <v>0.93228859377317674</v>
      </c>
      <c r="AL63" s="629">
        <f t="shared" si="91"/>
        <v>-0.34513042435483465</v>
      </c>
      <c r="AM63" s="634">
        <f t="shared" si="92"/>
        <v>-0.10827265631305376</v>
      </c>
      <c r="AN63" s="581">
        <f t="shared" si="93"/>
        <v>-72.582566537476836</v>
      </c>
      <c r="AO63" s="582">
        <f t="shared" si="461"/>
        <v>21.205577565565783</v>
      </c>
      <c r="AP63" s="585">
        <f t="shared" si="95"/>
        <v>-20.314400308355467</v>
      </c>
      <c r="AQ63" s="586">
        <f t="shared" si="246"/>
        <v>0.40505353094247915</v>
      </c>
      <c r="AS63" s="52">
        <f t="shared" si="406"/>
        <v>-193.92402397840419</v>
      </c>
      <c r="AT63" s="72">
        <f t="shared" si="247"/>
        <v>-1.682432275631476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4.1399999999999997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-1.4254390017986023</v>
      </c>
      <c r="C64" s="708">
        <v>-5.622128295365501</v>
      </c>
      <c r="D64" s="709">
        <v>-2.5524074266207983</v>
      </c>
      <c r="E64" s="710">
        <v>0.75643085942452037</v>
      </c>
      <c r="F64" s="708">
        <v>-0.64802437187395445</v>
      </c>
      <c r="G64" s="711">
        <v>8.8751159810159769E-2</v>
      </c>
      <c r="H64" s="710">
        <v>0.314</v>
      </c>
      <c r="I64" s="708">
        <v>0.52</v>
      </c>
      <c r="J64" s="570">
        <v>4.1459999999999999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4.1459999999999999</v>
      </c>
      <c r="N64" s="632">
        <f t="shared" si="240"/>
        <v>-1.4254390017986023</v>
      </c>
      <c r="O64" s="629">
        <f t="shared" si="241"/>
        <v>-5.622128295365501</v>
      </c>
      <c r="P64" s="633">
        <f t="shared" si="242"/>
        <v>-2.5524074266207983</v>
      </c>
      <c r="Q64" s="585">
        <f t="shared" si="113"/>
        <v>255.77297606534358</v>
      </c>
      <c r="R64" s="629">
        <f t="shared" si="79"/>
        <v>5.8000174928527581</v>
      </c>
      <c r="S64" s="634">
        <f t="shared" si="80"/>
        <v>-2.5524074266207983</v>
      </c>
      <c r="T64" s="635">
        <f t="shared" si="81"/>
        <v>-5.622252666959251</v>
      </c>
      <c r="U64" s="629">
        <f t="shared" si="82"/>
        <v>1.4249483731937751</v>
      </c>
      <c r="V64" s="636">
        <f t="shared" si="114"/>
        <v>-2.5524074266207983</v>
      </c>
      <c r="W64" s="585">
        <f t="shared" si="224"/>
        <v>165.77797606462167</v>
      </c>
      <c r="X64" s="629">
        <f t="shared" si="83"/>
        <v>5.8000174928527581</v>
      </c>
      <c r="Y64" s="630">
        <f t="shared" si="223"/>
        <v>-2.5524074266207983</v>
      </c>
      <c r="Z64" s="632">
        <f t="shared" si="243"/>
        <v>-0.75643085942452037</v>
      </c>
      <c r="AA64" s="629">
        <f t="shared" si="244"/>
        <v>0.64802437187395445</v>
      </c>
      <c r="AB64" s="629">
        <f t="shared" si="245"/>
        <v>-8.8751159810159769E-2</v>
      </c>
      <c r="AC64" s="636">
        <f t="shared" si="84"/>
        <v>1</v>
      </c>
      <c r="AD64" s="637">
        <f t="shared" si="115"/>
        <v>-0.75643085942452037</v>
      </c>
      <c r="AE64" s="629">
        <f t="shared" si="85"/>
        <v>0.64802437187395445</v>
      </c>
      <c r="AF64" s="633">
        <f t="shared" si="86"/>
        <v>-8.8751159810159769E-2</v>
      </c>
      <c r="AG64" s="602">
        <f t="shared" si="87"/>
        <v>82.201487302669008</v>
      </c>
      <c r="AH64" s="603">
        <f t="shared" si="88"/>
        <v>139.15055265406497</v>
      </c>
      <c r="AI64" s="585">
        <f t="shared" si="89"/>
        <v>-84.908233693307423</v>
      </c>
      <c r="AJ64" s="586">
        <f t="shared" si="90"/>
        <v>-130.58622971268557</v>
      </c>
      <c r="AK64" s="635">
        <f t="shared" si="211"/>
        <v>0.89249223100141906</v>
      </c>
      <c r="AL64" s="629">
        <f t="shared" si="91"/>
        <v>-0.44224523653111436</v>
      </c>
      <c r="AM64" s="634">
        <f t="shared" si="92"/>
        <v>-8.8751159810159769E-2</v>
      </c>
      <c r="AN64" s="581">
        <f t="shared" si="93"/>
        <v>-78.652437222834507</v>
      </c>
      <c r="AO64" s="582">
        <f t="shared" si="461"/>
        <v>26.811890290056262</v>
      </c>
      <c r="AP64" s="585">
        <f t="shared" si="95"/>
        <v>-26.359205778029153</v>
      </c>
      <c r="AQ64" s="586">
        <f t="shared" si="246"/>
        <v>0.39304896470689571</v>
      </c>
      <c r="AS64" s="52">
        <f t="shared" si="406"/>
        <v>-194.22202393537833</v>
      </c>
      <c r="AT64" s="72">
        <f t="shared" si="247"/>
        <v>-2.417527548888398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4.1459999999999999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-1.4845039436981087</v>
      </c>
      <c r="C65" s="708">
        <v>-5.7513202813114983</v>
      </c>
      <c r="D65" s="709">
        <v>-3.2680095848769071</v>
      </c>
      <c r="E65" s="710">
        <v>0.64980605906346156</v>
      </c>
      <c r="F65" s="708">
        <v>-0.7601000497331889</v>
      </c>
      <c r="G65" s="711">
        <v>1.3008419207734734E-7</v>
      </c>
      <c r="H65" s="710">
        <v>0.26600000000000001</v>
      </c>
      <c r="I65" s="708">
        <v>0.52</v>
      </c>
      <c r="J65" s="570">
        <v>4.1520000000000001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4.1520000000000001</v>
      </c>
      <c r="N65" s="632">
        <f t="shared" si="240"/>
        <v>-1.4845039436981087</v>
      </c>
      <c r="O65" s="629">
        <f t="shared" si="241"/>
        <v>-5.7513202813114983</v>
      </c>
      <c r="P65" s="633">
        <f t="shared" si="242"/>
        <v>-3.2680095848769071</v>
      </c>
      <c r="Q65" s="585">
        <f t="shared" si="113"/>
        <v>255.52697619336993</v>
      </c>
      <c r="R65" s="629">
        <f t="shared" si="79"/>
        <v>5.9398179212060205</v>
      </c>
      <c r="S65" s="634">
        <f t="shared" si="80"/>
        <v>-3.2680095848769071</v>
      </c>
      <c r="T65" s="635">
        <f t="shared" si="81"/>
        <v>-5.7514498068011131</v>
      </c>
      <c r="U65" s="629">
        <f t="shared" si="82"/>
        <v>1.4840020407424146</v>
      </c>
      <c r="V65" s="636">
        <f t="shared" si="114"/>
        <v>-3.2680095848769071</v>
      </c>
      <c r="W65" s="585">
        <f t="shared" si="224"/>
        <v>165.53197619264802</v>
      </c>
      <c r="X65" s="629">
        <f t="shared" si="83"/>
        <v>5.9398179212060205</v>
      </c>
      <c r="Y65" s="630">
        <f t="shared" si="223"/>
        <v>-3.2680095848769071</v>
      </c>
      <c r="Z65" s="632">
        <f t="shared" si="243"/>
        <v>-0.64980605906346156</v>
      </c>
      <c r="AA65" s="629">
        <f t="shared" si="244"/>
        <v>0.7601000497331889</v>
      </c>
      <c r="AB65" s="629">
        <f t="shared" si="245"/>
        <v>-1.3008419207734734E-7</v>
      </c>
      <c r="AC65" s="636">
        <f t="shared" si="84"/>
        <v>1</v>
      </c>
      <c r="AD65" s="637">
        <f t="shared" si="115"/>
        <v>-0.64980605906346156</v>
      </c>
      <c r="AE65" s="629">
        <f t="shared" si="85"/>
        <v>0.7601000497331889</v>
      </c>
      <c r="AF65" s="633">
        <f t="shared" si="86"/>
        <v>-1.3008419207734734E-7</v>
      </c>
      <c r="AG65" s="602">
        <f t="shared" si="87"/>
        <v>89.999990194349834</v>
      </c>
      <c r="AH65" s="603">
        <f t="shared" si="88"/>
        <v>130.52698115423587</v>
      </c>
      <c r="AI65" s="585">
        <f t="shared" si="89"/>
        <v>-89.999992546724812</v>
      </c>
      <c r="AJ65" s="586">
        <f t="shared" si="90"/>
        <v>-139.4730188457637</v>
      </c>
      <c r="AK65" s="635">
        <f t="shared" si="211"/>
        <v>0.81915209395120958</v>
      </c>
      <c r="AL65" s="629">
        <f t="shared" si="91"/>
        <v>-0.5735763654260273</v>
      </c>
      <c r="AM65" s="634">
        <f t="shared" si="92"/>
        <v>-1.3008419207734734E-7</v>
      </c>
      <c r="AN65" s="581">
        <f t="shared" si="93"/>
        <v>-89.999987005609654</v>
      </c>
      <c r="AO65" s="582">
        <f t="shared" si="461"/>
        <v>34.999995039134319</v>
      </c>
      <c r="AP65" s="585">
        <f t="shared" si="95"/>
        <v>-34.999995039133623</v>
      </c>
      <c r="AQ65" s="586">
        <f t="shared" si="246"/>
        <v>0.38379838651474818</v>
      </c>
      <c r="AS65" s="52">
        <f t="shared" si="406"/>
        <v>-194.46802380735198</v>
      </c>
      <c r="AT65" s="72">
        <f t="shared" si="247"/>
        <v>-3.1329588739000807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4.1520000000000001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1313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-1.9541638976062898</v>
      </c>
      <c r="C66" s="708">
        <v>-3.5600514966829957</v>
      </c>
      <c r="D66" s="709">
        <v>-0.2982336400487301</v>
      </c>
      <c r="E66" s="710">
        <v>-0.1052955158979948</v>
      </c>
      <c r="F66" s="708">
        <v>-0.19182545561705394</v>
      </c>
      <c r="G66" s="711">
        <v>0.9757642383839884</v>
      </c>
      <c r="H66" s="710">
        <v>0.26250000000000001</v>
      </c>
      <c r="I66" s="708">
        <v>0.40699999999999997</v>
      </c>
      <c r="J66" s="570">
        <v>4.2220000000000004</v>
      </c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Inactive</v>
      </c>
      <c r="L66" s="320"/>
      <c r="M66" s="168">
        <f t="shared" si="239"/>
        <v>4.2220000000000004</v>
      </c>
      <c r="N66" s="632">
        <f t="shared" si="240"/>
        <v>-1.9541638976062898</v>
      </c>
      <c r="O66" s="629">
        <f t="shared" si="241"/>
        <v>-3.5600514966829957</v>
      </c>
      <c r="P66" s="633">
        <f t="shared" si="242"/>
        <v>-0.2982336400487301</v>
      </c>
      <c r="Q66" s="585">
        <f t="shared" si="113"/>
        <v>241.23697816408199</v>
      </c>
      <c r="R66" s="629">
        <f t="shared" si="79"/>
        <v>4.061123391100379</v>
      </c>
      <c r="S66" s="634">
        <f t="shared" si="80"/>
        <v>-0.2982336400487301</v>
      </c>
      <c r="T66" s="635">
        <f t="shared" si="81"/>
        <v>-3.560222016073173</v>
      </c>
      <c r="U66" s="629">
        <f t="shared" si="82"/>
        <v>1.9538532171098502</v>
      </c>
      <c r="V66" s="636">
        <f t="shared" si="114"/>
        <v>-0.2982336400487301</v>
      </c>
      <c r="W66" s="585">
        <f t="shared" si="224"/>
        <v>151.24197816336007</v>
      </c>
      <c r="X66" s="629">
        <f t="shared" si="83"/>
        <v>4.061123391100379</v>
      </c>
      <c r="Y66" s="630">
        <f t="shared" si="223"/>
        <v>-0.2982336400487301</v>
      </c>
      <c r="Z66" s="632">
        <f t="shared" si="243"/>
        <v>0.1052955158979948</v>
      </c>
      <c r="AA66" s="629">
        <f t="shared" si="244"/>
        <v>0.19182545561705394</v>
      </c>
      <c r="AB66" s="629">
        <f t="shared" si="245"/>
        <v>-0.9757642383839884</v>
      </c>
      <c r="AC66" s="636">
        <f t="shared" si="84"/>
        <v>1</v>
      </c>
      <c r="AD66" s="637">
        <f t="shared" si="115"/>
        <v>0.1052955158979948</v>
      </c>
      <c r="AE66" s="629">
        <f t="shared" si="85"/>
        <v>0.19182545561705394</v>
      </c>
      <c r="AF66" s="633">
        <f t="shared" si="86"/>
        <v>-0.9757642383839884</v>
      </c>
      <c r="AG66" s="602">
        <f t="shared" si="87"/>
        <v>11.121943790373122</v>
      </c>
      <c r="AH66" s="603">
        <f t="shared" si="88"/>
        <v>83.955807243220661</v>
      </c>
      <c r="AI66" s="585">
        <f t="shared" si="89"/>
        <v>-12.639998175016618</v>
      </c>
      <c r="AJ66" s="586">
        <f t="shared" si="90"/>
        <v>151.2370375467921</v>
      </c>
      <c r="AK66" s="635">
        <f t="shared" si="211"/>
        <v>2.2679489676546982E-7</v>
      </c>
      <c r="AL66" s="629">
        <f t="shared" si="91"/>
        <v>-0.21882447552973541</v>
      </c>
      <c r="AM66" s="634">
        <f t="shared" si="92"/>
        <v>-0.9757642383839884</v>
      </c>
      <c r="AN66" s="581">
        <f t="shared" si="93"/>
        <v>-12.639998175010067</v>
      </c>
      <c r="AO66" s="582">
        <f t="shared" si="461"/>
        <v>0</v>
      </c>
      <c r="AP66" s="585">
        <f t="shared" si="95"/>
        <v>-89.999940617289866</v>
      </c>
      <c r="AQ66" s="586">
        <f t="shared" si="246"/>
        <v>0.56133573709523965</v>
      </c>
      <c r="AS66" s="52">
        <f t="shared" si="406"/>
        <v>-208.75802183663993</v>
      </c>
      <c r="AT66" s="72">
        <f t="shared" si="247"/>
        <v>-0.15325931932934259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Nose</v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4.2220000000000004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4.1219999999999999</v>
      </c>
      <c r="II66" s="734" cm="1">
        <f t="array" ref="II66">IFERROR(ROUND(VALUE(IF($IH66&lt;1,$IH66+LARGE((IF($M$9:$M$150="",0,$M$9:$M$150)-MOD(IF($M$9:$M$150="",0,$M$9:$M$150),1)),1),$IH66)),4),"")</f>
        <v>4.1219999999999999</v>
      </c>
      <c r="IJ66" s="533">
        <f t="shared" si="112"/>
        <v>1613</v>
      </c>
      <c r="IK66" s="533" t="str">
        <f t="shared" si="382"/>
        <v>Inactive</v>
      </c>
      <c r="IL66" s="727">
        <f t="shared" si="225"/>
        <v>17.30799750103435</v>
      </c>
      <c r="IM66" s="759">
        <v>3.7671093037314501E-2</v>
      </c>
      <c r="IN66" s="5">
        <f t="shared" si="226"/>
        <v>0.92</v>
      </c>
      <c r="IO66" s="771">
        <v>460</v>
      </c>
      <c r="IP66" s="9">
        <f t="shared" si="227"/>
        <v>-4.0525122223768637</v>
      </c>
      <c r="IQ66" s="5">
        <f t="shared" si="228"/>
        <v>-0.29240061044024124</v>
      </c>
      <c r="IR66" s="5">
        <f t="shared" si="383"/>
        <v>0.314</v>
      </c>
      <c r="IS66" s="5">
        <f t="shared" si="229"/>
        <v>0.30205244805462794</v>
      </c>
      <c r="IT66" s="727">
        <f t="shared" si="230"/>
        <v>32.012924006491659</v>
      </c>
      <c r="IU66" s="9">
        <f t="shared" si="231"/>
        <v>-4.061123391100379</v>
      </c>
      <c r="IV66" s="5">
        <f t="shared" si="232"/>
        <v>-0.2982336400487301</v>
      </c>
      <c r="IW66" s="5">
        <f t="shared" si="384"/>
        <v>0.26250000000000001</v>
      </c>
      <c r="IX66" s="5">
        <f t="shared" si="233"/>
        <v>0.26250000000000001</v>
      </c>
      <c r="IY66" s="762">
        <f t="shared" si="234"/>
        <v>12.639998175010067</v>
      </c>
    </row>
    <row r="67" spans="1:259" ht="15" customHeight="1" x14ac:dyDescent="0.25">
      <c r="A67" s="79"/>
      <c r="B67" s="707">
        <v>-1.925908964742534</v>
      </c>
      <c r="C67" s="708">
        <v>-4.3427814859474045</v>
      </c>
      <c r="D67" s="709">
        <v>-0.5864691197294899</v>
      </c>
      <c r="E67" s="710">
        <v>0.69733171856123677</v>
      </c>
      <c r="F67" s="708">
        <v>-0.62655996887684695</v>
      </c>
      <c r="G67" s="711">
        <v>0.34806763665913654</v>
      </c>
      <c r="H67" s="710">
        <v>0.26600000000000001</v>
      </c>
      <c r="I67" s="708">
        <v>0.52</v>
      </c>
      <c r="J67" s="570">
        <v>4.2279999999999998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4.2279999999999998</v>
      </c>
      <c r="N67" s="632">
        <f t="shared" si="240"/>
        <v>-1.925908964742534</v>
      </c>
      <c r="O67" s="629">
        <f t="shared" si="241"/>
        <v>-4.3427814859474045</v>
      </c>
      <c r="P67" s="633">
        <f t="shared" si="242"/>
        <v>-0.5864691197294899</v>
      </c>
      <c r="Q67" s="585">
        <f t="shared" si="113"/>
        <v>246.08397746426189</v>
      </c>
      <c r="R67" s="629">
        <f>IF(M67="","",SQRT(N67^2+O67^2))</f>
        <v>4.7506711499706231</v>
      </c>
      <c r="S67" s="634">
        <f>IF(M67="","",P67)</f>
        <v>-0.5864691197294899</v>
      </c>
      <c r="T67" s="635">
        <f>IF(M67="","",X67*COS(RADIANS(W67)))</f>
        <v>-4.3429495366494857</v>
      </c>
      <c r="U67" s="629">
        <f>IF(M67="","",X67*SIN(RADIANS(W67)))</f>
        <v>1.9255299782862951</v>
      </c>
      <c r="V67" s="636">
        <f>IF(M67="","",Y67)</f>
        <v>-0.5864691197294899</v>
      </c>
      <c r="W67" s="585">
        <f t="shared" si="224"/>
        <v>156.08897746353998</v>
      </c>
      <c r="X67" s="629">
        <f>IF(M67="","",R67)</f>
        <v>4.7506711499706231</v>
      </c>
      <c r="Y67" s="630">
        <f t="shared" si="223"/>
        <v>-0.5864691197294899</v>
      </c>
      <c r="Z67" s="632">
        <f t="shared" si="243"/>
        <v>-0.69733171856123677</v>
      </c>
      <c r="AA67" s="629">
        <f t="shared" si="244"/>
        <v>0.62655996887684695</v>
      </c>
      <c r="AB67" s="629">
        <f t="shared" si="245"/>
        <v>-0.34806763665913654</v>
      </c>
      <c r="AC67" s="636">
        <f>IF(M67="","",SQRT(Z67^2+AA67^2+AB67^2))</f>
        <v>1</v>
      </c>
      <c r="AD67" s="637">
        <f>IF(M67="","",Z67*(1/SQRT(Z67^2+AA67^2+AB67^2)))</f>
        <v>-0.69733171856123677</v>
      </c>
      <c r="AE67" s="629">
        <f>IF(M67="","",AA67*(1/SQRT(Z67^2+AA67^2+AB67^2)))</f>
        <v>0.62655996887684695</v>
      </c>
      <c r="AF67" s="633">
        <f>IF(M67="","",AB67*(1/SQRT(Z67^2+AA67^2+AB67^2)))</f>
        <v>-0.34806763665913654</v>
      </c>
      <c r="AG67" s="602">
        <f>IF(M67="","",DEGREES(ATAN2(-AF67,AE67)))</f>
        <v>60.946879772821696</v>
      </c>
      <c r="AH67" s="603">
        <f>IF(M67="","",DEGREES(ACOS(AD67)))</f>
        <v>134.21331749843574</v>
      </c>
      <c r="AI67" s="585">
        <f>IF(M67="","",DEGREES(-ACOS(-AF67)))</f>
        <v>-69.630831395792171</v>
      </c>
      <c r="AJ67" s="586">
        <f>IF(M67="","",DEGREES(ATAN2(-AE67,AD67)))</f>
        <v>-131.94003169269538</v>
      </c>
      <c r="AK67" s="635">
        <f>IF(M67="","",(COS(RADIANS((90-$Q$8)-W67))*AD67)+(-SIN(RADIANS((90-$Q$8)-W67))*AE67))</f>
        <v>0.8914649329003832</v>
      </c>
      <c r="AL67" s="629">
        <f>IF(M67="","",(SIN(RADIANS((90-$Q$8)-W67))*AD67)+(COS(RADIANS((90-$Q$8)-W67))*AE67))</f>
        <v>-0.29006756750701856</v>
      </c>
      <c r="AM67" s="634">
        <f>IF(M67="","",AF67)</f>
        <v>-0.34806763665913654</v>
      </c>
      <c r="AN67" s="581">
        <f>IF(M67="","",DEGREES(ATAN2(-AM67,AL67)))</f>
        <v>-39.806659479199709</v>
      </c>
      <c r="AO67" s="582">
        <f t="shared" si="461"/>
        <v>26.942089172814658</v>
      </c>
      <c r="AP67" s="585">
        <f>IF(M67="","",DEGREES(ATAN2(AK67,AL67)))</f>
        <v>-18.024009156957259</v>
      </c>
      <c r="AQ67" s="586">
        <f t="shared" si="246"/>
        <v>0.47986342492466616</v>
      </c>
      <c r="AS67" s="52">
        <f t="shared" si="406"/>
        <v>-203.91102253646002</v>
      </c>
      <c r="AT67" s="72">
        <f t="shared" si="247"/>
        <v>-0.44486077074633845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4.2279999999999998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4.1280000000000001</v>
      </c>
      <c r="II67" s="734" cm="1">
        <f t="array" ref="II67">IFERROR(ROUND(VALUE(IF($IH67&lt;1,$IH67+LARGE((IF($M$9:$M$150="",0,$M$9:$M$150)-MOD(IF($M$9:$M$150="",0,$M$9:$M$150),1)),1),$IH67)),4),"")</f>
        <v>4.1280000000000001</v>
      </c>
      <c r="IJ67" s="533">
        <f t="shared" si="112"/>
        <v>1613</v>
      </c>
      <c r="IK67" s="533">
        <f t="shared" si="382"/>
        <v>1313</v>
      </c>
      <c r="IL67" s="727">
        <f t="shared" si="225"/>
        <v>11.47199834364838</v>
      </c>
      <c r="IM67" s="759">
        <v>1.1527804887963299E-2</v>
      </c>
      <c r="IN67" s="5">
        <f t="shared" si="226"/>
        <v>0.34</v>
      </c>
      <c r="IO67" s="771">
        <v>170</v>
      </c>
      <c r="IP67" s="9">
        <f t="shared" si="227"/>
        <v>-4.7257142527541864</v>
      </c>
      <c r="IQ67" s="5">
        <f t="shared" si="228"/>
        <v>-0.63120163226412329</v>
      </c>
      <c r="IR67" s="5">
        <f t="shared" si="383"/>
        <v>0.314</v>
      </c>
      <c r="IS67" s="5">
        <f t="shared" si="229"/>
        <v>0.29937487782314282</v>
      </c>
      <c r="IT67" s="727">
        <f t="shared" si="230"/>
        <v>48.463411942271208</v>
      </c>
      <c r="IU67" s="9">
        <f t="shared" si="231"/>
        <v>-4.7506711499706231</v>
      </c>
      <c r="IV67" s="5">
        <f t="shared" si="232"/>
        <v>-0.5864691197294899</v>
      </c>
      <c r="IW67" s="5">
        <f t="shared" si="384"/>
        <v>0.26600000000000001</v>
      </c>
      <c r="IX67" s="5">
        <f t="shared" si="233"/>
        <v>0.23712967215150194</v>
      </c>
      <c r="IY67" s="762">
        <f t="shared" si="234"/>
        <v>39.806659479199709</v>
      </c>
    </row>
    <row r="68" spans="1:259" ht="15" customHeight="1" x14ac:dyDescent="0.25">
      <c r="A68" s="79"/>
      <c r="B68" s="707">
        <v>-2.1463218396010486</v>
      </c>
      <c r="C68" s="708">
        <v>-4.849156557725796</v>
      </c>
      <c r="D68" s="709">
        <v>-1.1149513630499206</v>
      </c>
      <c r="E68" s="710">
        <v>0.65242200027039821</v>
      </c>
      <c r="F68" s="708">
        <v>-0.70206346192989755</v>
      </c>
      <c r="G68" s="711">
        <v>0.28539871931419036</v>
      </c>
      <c r="H68" s="710">
        <v>0.26600000000000001</v>
      </c>
      <c r="I68" s="708">
        <v>0.52</v>
      </c>
      <c r="J68" s="570">
        <v>4.234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4.234</v>
      </c>
      <c r="N68" s="632">
        <f t="shared" si="240"/>
        <v>-2.1463218396010486</v>
      </c>
      <c r="O68" s="629">
        <f t="shared" si="241"/>
        <v>-4.849156557725796</v>
      </c>
      <c r="P68" s="633">
        <f t="shared" si="242"/>
        <v>-1.1149513630499206</v>
      </c>
      <c r="Q68" s="585">
        <f t="shared" si="113"/>
        <v>246.12497745834222</v>
      </c>
      <c r="R68" s="629">
        <f>IF(M68="","",SQRT(N68^2+O68^2))</f>
        <v>5.3029253021783669</v>
      </c>
      <c r="S68" s="634">
        <f>IF(M68="","",P68)</f>
        <v>-1.1149513630499206</v>
      </c>
      <c r="T68" s="635">
        <f>IF(M68="","",X68*COS(RADIANS(W68)))</f>
        <v>-4.8493438411488441</v>
      </c>
      <c r="U68" s="629">
        <f>IF(M68="","",X68*SIN(RADIANS(W68)))</f>
        <v>2.1458986627507128</v>
      </c>
      <c r="V68" s="636">
        <f>IF(M68="","",Y68)</f>
        <v>-1.1149513630499206</v>
      </c>
      <c r="W68" s="585">
        <f t="shared" si="224"/>
        <v>156.1299774576203</v>
      </c>
      <c r="X68" s="629">
        <f>IF(M68="","",R68)</f>
        <v>5.3029253021783669</v>
      </c>
      <c r="Y68" s="630">
        <f t="shared" si="223"/>
        <v>-1.1149513630499206</v>
      </c>
      <c r="Z68" s="632">
        <f t="shared" si="243"/>
        <v>-0.65242200027039821</v>
      </c>
      <c r="AA68" s="629">
        <f t="shared" si="244"/>
        <v>0.70206346192989755</v>
      </c>
      <c r="AB68" s="629">
        <f t="shared" si="245"/>
        <v>-0.28539871931419036</v>
      </c>
      <c r="AC68" s="636">
        <f>IF(M68="","",SQRT(Z68^2+AA68^2+AB68^2))</f>
        <v>1</v>
      </c>
      <c r="AD68" s="637">
        <f>IF(M68="","",Z68*(1/SQRT(Z68^2+AA68^2+AB68^2)))</f>
        <v>-0.65242200027039821</v>
      </c>
      <c r="AE68" s="629">
        <f>IF(M68="","",AA68*(1/SQRT(Z68^2+AA68^2+AB68^2)))</f>
        <v>0.70206346192989755</v>
      </c>
      <c r="AF68" s="633">
        <f>IF(M68="","",AB68*(1/SQRT(Z68^2+AA68^2+AB68^2)))</f>
        <v>-0.28539871931419036</v>
      </c>
      <c r="AG68" s="602">
        <f>IF(M68="","",DEGREES(ATAN2(-AF68,AE68)))</f>
        <v>67.877562998264978</v>
      </c>
      <c r="AH68" s="603">
        <f>IF(M68="","",DEGREES(ACOS(AD68)))</f>
        <v>130.72446019744521</v>
      </c>
      <c r="AI68" s="585">
        <f>IF(M68="","",DEGREES(-ACOS(-AF68)))</f>
        <v>-73.417316576119433</v>
      </c>
      <c r="AJ68" s="586">
        <f>IF(M68="","",DEGREES(ATAN2(-AE68,AD68)))</f>
        <v>-137.09893268220327</v>
      </c>
      <c r="AK68" s="635">
        <f>IF(M68="","",(COS(RADIANS((90-$Q$8)-W68))*AD68)+(-SIN(RADIANS((90-$Q$8)-W68))*AE68))</f>
        <v>0.88074983070631685</v>
      </c>
      <c r="AL68" s="629">
        <f>IF(M68="","",(SIN(RADIANS((90-$Q$8)-W68))*AD68)+(COS(RADIANS((90-$Q$8)-W68))*AE68))</f>
        <v>-0.3779250014548049</v>
      </c>
      <c r="AM68" s="634">
        <f>IF(M68="","",AF68)</f>
        <v>-0.28539871931419036</v>
      </c>
      <c r="AN68" s="581">
        <f>IF(M68="","",DEGREES(ATAN2(-AM68,AL68)))</f>
        <v>-52.940886251228818</v>
      </c>
      <c r="AO68" s="582">
        <f t="shared" si="461"/>
        <v>28.267052259583014</v>
      </c>
      <c r="AP68" s="585">
        <f>IF(M68="","",DEGREES(ATAN2(AK68,AL68)))</f>
        <v>-23.223910140545499</v>
      </c>
      <c r="AQ68" s="586">
        <f t="shared" si="246"/>
        <v>0.4298917526664357</v>
      </c>
      <c r="AS68" s="52">
        <f t="shared" si="406"/>
        <v>-203.8700225423797</v>
      </c>
      <c r="AT68" s="72">
        <f t="shared" si="247"/>
        <v>-0.97337148628488046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Taper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4.234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4.1340000000000003</v>
      </c>
      <c r="II68" s="734" cm="1">
        <f t="array" ref="II68">IFERROR(ROUND(VALUE(IF($IH68&lt;1,$IH68+LARGE((IF($M$9:$M$150="",0,$M$9:$M$150)-MOD(IF($M$9:$M$150="",0,$M$9:$M$150),1)),1),$IH68)),4),"")</f>
        <v>4.1340000000000003</v>
      </c>
      <c r="IJ68" s="533">
        <f t="shared" si="112"/>
        <v>1613</v>
      </c>
      <c r="IK68" s="533">
        <f t="shared" si="382"/>
        <v>1313</v>
      </c>
      <c r="IL68" s="727">
        <f t="shared" si="225"/>
        <v>10.556998475758036</v>
      </c>
      <c r="IM68" s="759">
        <v>9.3957861428464705E-3</v>
      </c>
      <c r="IN68" s="5">
        <f t="shared" si="226"/>
        <v>0.32</v>
      </c>
      <c r="IO68" s="771">
        <v>160</v>
      </c>
      <c r="IP68" s="9">
        <f t="shared" si="227"/>
        <v>-5.2673158862247123</v>
      </c>
      <c r="IQ68" s="5">
        <f t="shared" si="228"/>
        <v>-1.1554032132560907</v>
      </c>
      <c r="IR68" s="5">
        <f t="shared" si="383"/>
        <v>0.314</v>
      </c>
      <c r="IS68" s="5">
        <f t="shared" si="229"/>
        <v>0.29682306045796159</v>
      </c>
      <c r="IT68" s="727">
        <f t="shared" si="230"/>
        <v>61.942150735205814</v>
      </c>
      <c r="IU68" s="9">
        <f t="shared" si="231"/>
        <v>-5.3029253021783669</v>
      </c>
      <c r="IV68" s="5">
        <f t="shared" si="232"/>
        <v>-1.1149513630499206</v>
      </c>
      <c r="IW68" s="5">
        <f t="shared" si="384"/>
        <v>0.26600000000000001</v>
      </c>
      <c r="IX68" s="5">
        <f t="shared" si="233"/>
        <v>0.2342794549678803</v>
      </c>
      <c r="IY68" s="762">
        <f t="shared" si="234"/>
        <v>52.940886251228818</v>
      </c>
    </row>
    <row r="69" spans="1:259" ht="15" customHeight="1" x14ac:dyDescent="0.25">
      <c r="A69" s="79"/>
      <c r="B69" s="707">
        <v>-2.3057550523720107</v>
      </c>
      <c r="C69" s="708">
        <v>-5.1839177398772627</v>
      </c>
      <c r="D69" s="709">
        <v>-1.783030562535225</v>
      </c>
      <c r="E69" s="710">
        <v>0.60246061321674671</v>
      </c>
      <c r="F69" s="708">
        <v>-0.76750812827622317</v>
      </c>
      <c r="G69" s="711">
        <v>0.21902621430420216</v>
      </c>
      <c r="H69" s="710">
        <v>0.26600000000000001</v>
      </c>
      <c r="I69" s="708">
        <v>0.52</v>
      </c>
      <c r="J69" s="570">
        <v>4.24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4.24</v>
      </c>
      <c r="N69" s="632">
        <f t="shared" si="240"/>
        <v>-2.3057550523720107</v>
      </c>
      <c r="O69" s="629">
        <f t="shared" si="241"/>
        <v>-5.1839177398772627</v>
      </c>
      <c r="P69" s="633">
        <f t="shared" si="242"/>
        <v>-1.783030562535225</v>
      </c>
      <c r="Q69" s="585">
        <f t="shared" si="113"/>
        <v>246.02097747335796</v>
      </c>
      <c r="R69" s="629">
        <f t="shared" si="79"/>
        <v>5.6735799540813066</v>
      </c>
      <c r="S69" s="634">
        <f t="shared" si="80"/>
        <v>-1.783030562535225</v>
      </c>
      <c r="T69" s="635">
        <f t="shared" si="81"/>
        <v>-5.184118935196107</v>
      </c>
      <c r="U69" s="629">
        <f t="shared" si="82"/>
        <v>2.3053026614946739</v>
      </c>
      <c r="V69" s="636">
        <f t="shared" si="114"/>
        <v>-1.783030562535225</v>
      </c>
      <c r="W69" s="585">
        <f t="shared" si="224"/>
        <v>156.02597747263604</v>
      </c>
      <c r="X69" s="629">
        <f t="shared" si="83"/>
        <v>5.6735799540813066</v>
      </c>
      <c r="Y69" s="630">
        <f t="shared" si="223"/>
        <v>-1.783030562535225</v>
      </c>
      <c r="Z69" s="632">
        <f t="shared" si="243"/>
        <v>-0.60246061321674671</v>
      </c>
      <c r="AA69" s="629">
        <f t="shared" si="244"/>
        <v>0.76750812827622317</v>
      </c>
      <c r="AB69" s="629">
        <f t="shared" si="245"/>
        <v>-0.21902621430420216</v>
      </c>
      <c r="AC69" s="636">
        <f t="shared" si="84"/>
        <v>1</v>
      </c>
      <c r="AD69" s="637">
        <f t="shared" si="115"/>
        <v>-0.60246061321674671</v>
      </c>
      <c r="AE69" s="629">
        <f t="shared" si="85"/>
        <v>0.76750812827622317</v>
      </c>
      <c r="AF69" s="633">
        <f t="shared" si="86"/>
        <v>-0.21902621430420216</v>
      </c>
      <c r="AG69" s="602">
        <f t="shared" si="87"/>
        <v>74.072676077166122</v>
      </c>
      <c r="AH69" s="603">
        <f t="shared" si="88"/>
        <v>127.04633009990219</v>
      </c>
      <c r="AI69" s="585">
        <f t="shared" si="89"/>
        <v>-77.348155676150398</v>
      </c>
      <c r="AJ69" s="586">
        <f t="shared" si="90"/>
        <v>-141.8696229457986</v>
      </c>
      <c r="AK69" s="635">
        <f t="shared" si="211"/>
        <v>0.86238178443602775</v>
      </c>
      <c r="AL69" s="629">
        <f t="shared" si="91"/>
        <v>-0.45642652784484639</v>
      </c>
      <c r="AM69" s="634">
        <f t="shared" si="92"/>
        <v>-0.21902621430420216</v>
      </c>
      <c r="AN69" s="581">
        <f t="shared" si="93"/>
        <v>-64.364964865438424</v>
      </c>
      <c r="AO69" s="582">
        <f t="shared" si="461"/>
        <v>30.414929365913977</v>
      </c>
      <c r="AP69" s="585">
        <f t="shared" si="95"/>
        <v>-27.890600419156563</v>
      </c>
      <c r="AQ69" s="586">
        <f t="shared" si="246"/>
        <v>0.40180790218701817</v>
      </c>
      <c r="AS69" s="52">
        <f t="shared" si="406"/>
        <v>-203.97402252736396</v>
      </c>
      <c r="AT69" s="72">
        <f t="shared" si="247"/>
        <v>-1.6413784635583901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4.1399999999999997</v>
      </c>
      <c r="II69" s="734" cm="1">
        <f t="array" ref="II69">IFERROR(ROUND(VALUE(IF($IH69&lt;1,$IH69+LARGE((IF($M$9:$M$150="",0,$M$9:$M$150)-MOD(IF($M$9:$M$150="",0,$M$9:$M$150),1)),1),$IH69)),4),"")</f>
        <v>4.1399999999999997</v>
      </c>
      <c r="IJ69" s="533">
        <f t="shared" si="112"/>
        <v>1613</v>
      </c>
      <c r="IK69" s="533">
        <f t="shared" si="382"/>
        <v>1313</v>
      </c>
      <c r="IL69" s="727">
        <f t="shared" si="225"/>
        <v>10.049998548959763</v>
      </c>
      <c r="IM69" s="759">
        <v>7.4261626143277198E-3</v>
      </c>
      <c r="IN69" s="5">
        <f t="shared" si="226"/>
        <v>0.3</v>
      </c>
      <c r="IO69" s="771">
        <v>150</v>
      </c>
      <c r="IP69" s="9">
        <f t="shared" si="227"/>
        <v>-5.6281169744007942</v>
      </c>
      <c r="IQ69" s="5">
        <f t="shared" si="228"/>
        <v>-1.8171052089493109</v>
      </c>
      <c r="IR69" s="5">
        <f t="shared" si="383"/>
        <v>0.314</v>
      </c>
      <c r="IS69" s="5">
        <f t="shared" si="229"/>
        <v>0.2927386184447775</v>
      </c>
      <c r="IT69" s="727">
        <f t="shared" si="230"/>
        <v>72.582566537476836</v>
      </c>
      <c r="IU69" s="9">
        <f t="shared" si="231"/>
        <v>-5.6735799540813066</v>
      </c>
      <c r="IV69" s="5">
        <f t="shared" si="232"/>
        <v>-1.783030562535225</v>
      </c>
      <c r="IW69" s="5">
        <f t="shared" si="384"/>
        <v>0.26600000000000001</v>
      </c>
      <c r="IX69" s="5">
        <f t="shared" si="233"/>
        <v>0.22939355465998343</v>
      </c>
      <c r="IY69" s="762">
        <f t="shared" si="234"/>
        <v>64.364964865438424</v>
      </c>
    </row>
    <row r="70" spans="1:259" ht="15" customHeight="1" x14ac:dyDescent="0.25">
      <c r="A70" s="79"/>
      <c r="B70" s="707">
        <v>-0.68798040905691349</v>
      </c>
      <c r="C70" s="708">
        <v>-0.32081029067958017</v>
      </c>
      <c r="D70" s="709">
        <v>-0.66600200866205828</v>
      </c>
      <c r="E70" s="710">
        <v>0.46892874510133487</v>
      </c>
      <c r="F70" s="708">
        <v>-0.84711619532694482</v>
      </c>
      <c r="G70" s="711">
        <v>0.24999996726497561</v>
      </c>
      <c r="H70" s="710">
        <v>0.314</v>
      </c>
      <c r="I70" s="708">
        <v>0.52</v>
      </c>
      <c r="J70" s="570">
        <v>5.1029999999999998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5.1029999999999998</v>
      </c>
      <c r="N70" s="632">
        <f t="shared" si="240"/>
        <v>-0.68798040905691349</v>
      </c>
      <c r="O70" s="629">
        <f t="shared" si="241"/>
        <v>-0.32081029067958017</v>
      </c>
      <c r="P70" s="633">
        <f t="shared" si="242"/>
        <v>-0.66600200866205828</v>
      </c>
      <c r="Q70" s="585">
        <f t="shared" si="113"/>
        <v>204.99998339605673</v>
      </c>
      <c r="R70" s="629">
        <f t="shared" si="79"/>
        <v>0.75910228945250502</v>
      </c>
      <c r="S70" s="634">
        <f t="shared" si="80"/>
        <v>-0.66600200866205828</v>
      </c>
      <c r="T70" s="635">
        <f t="shared" si="81"/>
        <v>-0.32087032706591723</v>
      </c>
      <c r="U70" s="629">
        <f t="shared" si="82"/>
        <v>0.68795241046212352</v>
      </c>
      <c r="V70" s="636">
        <f t="shared" si="114"/>
        <v>-0.66600200866205828</v>
      </c>
      <c r="W70" s="585">
        <f t="shared" si="224"/>
        <v>115.00498339533482</v>
      </c>
      <c r="X70" s="629">
        <f t="shared" si="83"/>
        <v>0.75910228945250502</v>
      </c>
      <c r="Y70" s="630">
        <f t="shared" si="223"/>
        <v>-0.66600200866205828</v>
      </c>
      <c r="Z70" s="632">
        <f t="shared" si="243"/>
        <v>-0.46892874510133487</v>
      </c>
      <c r="AA70" s="629">
        <f t="shared" si="244"/>
        <v>0.84711619532694482</v>
      </c>
      <c r="AB70" s="629">
        <f t="shared" si="245"/>
        <v>-0.24999996726497561</v>
      </c>
      <c r="AC70" s="636">
        <f t="shared" si="84"/>
        <v>1</v>
      </c>
      <c r="AD70" s="637">
        <f t="shared" si="115"/>
        <v>-0.46892874510133487</v>
      </c>
      <c r="AE70" s="629">
        <f t="shared" si="85"/>
        <v>0.84711619532694482</v>
      </c>
      <c r="AF70" s="633">
        <f t="shared" si="86"/>
        <v>-0.24999996726497561</v>
      </c>
      <c r="AG70" s="602">
        <f t="shared" si="87"/>
        <v>73.557675922032189</v>
      </c>
      <c r="AH70" s="603">
        <f t="shared" si="88"/>
        <v>117.96478150797752</v>
      </c>
      <c r="AI70" s="585">
        <f t="shared" si="89"/>
        <v>-75.522489751159469</v>
      </c>
      <c r="AJ70" s="586">
        <f t="shared" si="90"/>
        <v>-151.03288695885672</v>
      </c>
      <c r="AK70" s="635">
        <f t="shared" si="211"/>
        <v>0.9659258360722075</v>
      </c>
      <c r="AL70" s="629">
        <f t="shared" si="91"/>
        <v>6.6987279208206907E-2</v>
      </c>
      <c r="AM70" s="634">
        <f t="shared" si="92"/>
        <v>-0.24999996726497561</v>
      </c>
      <c r="AN70" s="581">
        <f t="shared" si="93"/>
        <v>14.999997834268207</v>
      </c>
      <c r="AO70" s="582">
        <f t="shared" si="461"/>
        <v>14.99999783426823</v>
      </c>
      <c r="AP70" s="585">
        <f t="shared" si="95"/>
        <v>3.9671296450865539</v>
      </c>
      <c r="AQ70" s="586">
        <f t="shared" si="246"/>
        <v>3.0004418843116407</v>
      </c>
      <c r="AS70" s="52">
        <f t="shared" si="406"/>
        <v>-244.99501660466518</v>
      </c>
      <c r="AT70" s="72">
        <f t="shared" si="247"/>
        <v>-0.49586310824265323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5.1029999999999998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-1.3340892664099282</v>
      </c>
      <c r="C71" s="708">
        <v>-0.62209557091337364</v>
      </c>
      <c r="D71" s="709">
        <v>-0.47500143260432071</v>
      </c>
      <c r="E71" s="710">
        <v>0.46892874510133475</v>
      </c>
      <c r="F71" s="708">
        <v>-0.84711619532694482</v>
      </c>
      <c r="G71" s="711">
        <v>0.24999996726497561</v>
      </c>
      <c r="H71" s="710">
        <v>0.314</v>
      </c>
      <c r="I71" s="708">
        <v>0.52</v>
      </c>
      <c r="J71" s="570">
        <v>5.1059999999999999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5.1059999999999999</v>
      </c>
      <c r="N71" s="632">
        <f t="shared" si="240"/>
        <v>-1.3340892664099282</v>
      </c>
      <c r="O71" s="629">
        <f t="shared" si="241"/>
        <v>-0.62209557091337364</v>
      </c>
      <c r="P71" s="633">
        <f t="shared" si="242"/>
        <v>-0.47500143260432071</v>
      </c>
      <c r="Q71" s="585">
        <f t="shared" si="113"/>
        <v>204.99998339605673</v>
      </c>
      <c r="R71" s="629">
        <f t="shared" si="79"/>
        <v>1.4720044395653895</v>
      </c>
      <c r="S71" s="634">
        <f t="shared" si="80"/>
        <v>-0.47500143260432071</v>
      </c>
      <c r="T71" s="635">
        <f t="shared" si="81"/>
        <v>-0.62221198977872483</v>
      </c>
      <c r="U71" s="629">
        <f t="shared" si="82"/>
        <v>1.3340349732581289</v>
      </c>
      <c r="V71" s="636">
        <f t="shared" si="114"/>
        <v>-0.47500143260432071</v>
      </c>
      <c r="W71" s="585">
        <f t="shared" si="224"/>
        <v>115.00498339533482</v>
      </c>
      <c r="X71" s="629">
        <f t="shared" si="83"/>
        <v>1.4720044395653895</v>
      </c>
      <c r="Y71" s="630">
        <f t="shared" si="223"/>
        <v>-0.47500143260432071</v>
      </c>
      <c r="Z71" s="632">
        <f t="shared" si="243"/>
        <v>-0.46892874510133475</v>
      </c>
      <c r="AA71" s="629">
        <f t="shared" si="244"/>
        <v>0.84711619532694482</v>
      </c>
      <c r="AB71" s="629">
        <f t="shared" si="245"/>
        <v>-0.24999996726497561</v>
      </c>
      <c r="AC71" s="636">
        <f t="shared" si="84"/>
        <v>1</v>
      </c>
      <c r="AD71" s="637">
        <f t="shared" si="115"/>
        <v>-0.46892874510133475</v>
      </c>
      <c r="AE71" s="629">
        <f t="shared" si="85"/>
        <v>0.84711619532694482</v>
      </c>
      <c r="AF71" s="633">
        <f t="shared" si="86"/>
        <v>-0.24999996726497561</v>
      </c>
      <c r="AG71" s="602">
        <f t="shared" si="87"/>
        <v>73.557675922032189</v>
      </c>
      <c r="AH71" s="603">
        <f t="shared" si="88"/>
        <v>117.96478150797752</v>
      </c>
      <c r="AI71" s="585">
        <f t="shared" si="89"/>
        <v>-75.522489751159469</v>
      </c>
      <c r="AJ71" s="586">
        <f t="shared" si="90"/>
        <v>-151.03288695885672</v>
      </c>
      <c r="AK71" s="635">
        <f t="shared" si="211"/>
        <v>0.9659258360722075</v>
      </c>
      <c r="AL71" s="629">
        <f t="shared" si="91"/>
        <v>6.6987279208206796E-2</v>
      </c>
      <c r="AM71" s="634">
        <f t="shared" si="92"/>
        <v>-0.24999996726497561</v>
      </c>
      <c r="AN71" s="581">
        <f t="shared" si="93"/>
        <v>14.999997834268182</v>
      </c>
      <c r="AO71" s="582">
        <f t="shared" si="461"/>
        <v>14.99999783426823</v>
      </c>
      <c r="AP71" s="585">
        <f t="shared" si="95"/>
        <v>3.9671296450865472</v>
      </c>
      <c r="AQ71" s="586">
        <f t="shared" si="246"/>
        <v>1.5483456407705449</v>
      </c>
      <c r="AS71" s="52">
        <f t="shared" si="406"/>
        <v>-244.99501660466518</v>
      </c>
      <c r="AT71" s="72">
        <f t="shared" si="247"/>
        <v>-0.30486253218491566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5.1059999999999999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-1.9932489970213016</v>
      </c>
      <c r="C72" s="708">
        <v>-0.92946656868871125</v>
      </c>
      <c r="D72" s="709">
        <v>-0.28010084478414793</v>
      </c>
      <c r="E72" s="710">
        <v>0.46892874510133487</v>
      </c>
      <c r="F72" s="708">
        <v>-0.84711619532694482</v>
      </c>
      <c r="G72" s="711">
        <v>0.24999996726497561</v>
      </c>
      <c r="H72" s="710">
        <v>0.314</v>
      </c>
      <c r="I72" s="708">
        <v>0.52</v>
      </c>
      <c r="J72" s="570">
        <v>5.109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5.109</v>
      </c>
      <c r="N72" s="632">
        <f t="shared" si="240"/>
        <v>-1.9932489970213016</v>
      </c>
      <c r="O72" s="629">
        <f t="shared" si="241"/>
        <v>-0.92946656868871125</v>
      </c>
      <c r="P72" s="633">
        <f t="shared" si="242"/>
        <v>-0.28010084478414793</v>
      </c>
      <c r="Q72" s="585">
        <f t="shared" si="113"/>
        <v>204.99998339605673</v>
      </c>
      <c r="R72" s="629">
        <f t="shared" si="79"/>
        <v>2.1993066331088058</v>
      </c>
      <c r="S72" s="634">
        <f t="shared" si="80"/>
        <v>-0.28010084478414793</v>
      </c>
      <c r="T72" s="635">
        <f t="shared" si="81"/>
        <v>-0.9296405089132812</v>
      </c>
      <c r="U72" s="629">
        <f t="shared" si="82"/>
        <v>1.993167878183834</v>
      </c>
      <c r="V72" s="636">
        <f t="shared" si="114"/>
        <v>-0.28010084478414793</v>
      </c>
      <c r="W72" s="585">
        <f t="shared" si="224"/>
        <v>115.00498339533482</v>
      </c>
      <c r="X72" s="629">
        <f t="shared" si="83"/>
        <v>2.1993066331088058</v>
      </c>
      <c r="Y72" s="630">
        <f t="shared" si="223"/>
        <v>-0.28010084478414793</v>
      </c>
      <c r="Z72" s="632">
        <f t="shared" si="243"/>
        <v>-0.46892874510133487</v>
      </c>
      <c r="AA72" s="629">
        <f t="shared" si="244"/>
        <v>0.84711619532694482</v>
      </c>
      <c r="AB72" s="629">
        <f t="shared" si="245"/>
        <v>-0.24999996726497561</v>
      </c>
      <c r="AC72" s="636">
        <f t="shared" si="84"/>
        <v>1</v>
      </c>
      <c r="AD72" s="637">
        <f t="shared" si="115"/>
        <v>-0.46892874510133487</v>
      </c>
      <c r="AE72" s="629">
        <f t="shared" si="85"/>
        <v>0.84711619532694482</v>
      </c>
      <c r="AF72" s="633">
        <f t="shared" si="86"/>
        <v>-0.24999996726497561</v>
      </c>
      <c r="AG72" s="602">
        <f t="shared" si="87"/>
        <v>73.557675922032189</v>
      </c>
      <c r="AH72" s="603">
        <f t="shared" si="88"/>
        <v>117.96478150797752</v>
      </c>
      <c r="AI72" s="585">
        <f t="shared" si="89"/>
        <v>-75.522489751159469</v>
      </c>
      <c r="AJ72" s="586">
        <f t="shared" si="90"/>
        <v>-151.03288695885672</v>
      </c>
      <c r="AK72" s="635">
        <f t="shared" si="211"/>
        <v>0.9659258360722075</v>
      </c>
      <c r="AL72" s="629">
        <f t="shared" si="91"/>
        <v>6.6987279208206907E-2</v>
      </c>
      <c r="AM72" s="634">
        <f t="shared" si="92"/>
        <v>-0.24999996726497561</v>
      </c>
      <c r="AN72" s="581">
        <f t="shared" si="93"/>
        <v>14.999997834268207</v>
      </c>
      <c r="AO72" s="582">
        <f t="shared" si="461"/>
        <v>14.99999783426823</v>
      </c>
      <c r="AP72" s="585">
        <f t="shared" si="95"/>
        <v>3.9671296450865539</v>
      </c>
      <c r="AQ72" s="586">
        <f t="shared" si="246"/>
        <v>1.0364530014793738</v>
      </c>
      <c r="AS72" s="52">
        <f t="shared" si="406"/>
        <v>-244.99501660466518</v>
      </c>
      <c r="AT72" s="72">
        <f t="shared" si="247"/>
        <v>-0.10996194436474288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5.109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-2.6618494497053766</v>
      </c>
      <c r="C73" s="708">
        <v>-1.2283679855914467</v>
      </c>
      <c r="D73" s="709">
        <v>-0.10340031185534057</v>
      </c>
      <c r="E73" s="710">
        <v>0.39562895490739125</v>
      </c>
      <c r="F73" s="708">
        <v>-0.88051720697421199</v>
      </c>
      <c r="G73" s="711">
        <v>0.26108844911488943</v>
      </c>
      <c r="H73" s="710">
        <v>0.314</v>
      </c>
      <c r="I73" s="708">
        <v>0.52</v>
      </c>
      <c r="J73" s="570">
        <v>5.1130000000000004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5.1130000000000004</v>
      </c>
      <c r="N73" s="632">
        <f t="shared" ref="N73:N104" si="465">IF(M73="","",B73)</f>
        <v>-2.6618494497053766</v>
      </c>
      <c r="O73" s="629">
        <f t="shared" ref="O73:O104" si="466">IF(M73="","",C73)</f>
        <v>-1.2283679855914467</v>
      </c>
      <c r="P73" s="633">
        <f t="shared" ref="P73:P104" si="467">IF(M73="","",D73)</f>
        <v>-0.10340031185534057</v>
      </c>
      <c r="Q73" s="585">
        <f t="shared" si="113"/>
        <v>204.77198342897586</v>
      </c>
      <c r="R73" s="629">
        <f>IF(M73="","",SQRT(N73^2+O73^2))</f>
        <v>2.9316088417322672</v>
      </c>
      <c r="S73" s="634">
        <f>IF(M73="","",P73)</f>
        <v>-0.10340031185534057</v>
      </c>
      <c r="T73" s="635">
        <f>IF(M73="","",X73*COS(RADIANS(W73)))</f>
        <v>-1.2286002710657853</v>
      </c>
      <c r="U73" s="629">
        <f>IF(M73="","",X73*SIN(RADIANS(W73)))</f>
        <v>2.6617422442565477</v>
      </c>
      <c r="V73" s="636">
        <f>IF(M73="","",Y73)</f>
        <v>-0.10340031185534057</v>
      </c>
      <c r="W73" s="585">
        <f t="shared" si="224"/>
        <v>114.77698342825394</v>
      </c>
      <c r="X73" s="629">
        <f>IF(M73="","",R73)</f>
        <v>2.9316088417322672</v>
      </c>
      <c r="Y73" s="630">
        <f t="shared" si="223"/>
        <v>-0.10340031185534057</v>
      </c>
      <c r="Z73" s="632">
        <f t="shared" ref="Z73:Z104" si="468">IF(M73="","",-E73)</f>
        <v>-0.39562895490739125</v>
      </c>
      <c r="AA73" s="629">
        <f t="shared" ref="AA73:AA104" si="469">IF(M73="","",-F73)</f>
        <v>0.88051720697421199</v>
      </c>
      <c r="AB73" s="629">
        <f t="shared" ref="AB73:AB104" si="470">IF(M73="","",-G73)</f>
        <v>-0.26108844911488943</v>
      </c>
      <c r="AC73" s="636">
        <f>IF(M73="","",SQRT(Z73^2+AA73^2+AB73^2))</f>
        <v>1</v>
      </c>
      <c r="AD73" s="637">
        <f>IF(M73="","",Z73*(1/SQRT(Z73^2+AA73^2+AB73^2)))</f>
        <v>-0.39562895490739125</v>
      </c>
      <c r="AE73" s="629">
        <f>IF(M73="","",AA73*(1/SQRT(Z73^2+AA73^2+AB73^2)))</f>
        <v>0.88051720697421199</v>
      </c>
      <c r="AF73" s="633">
        <f>IF(M73="","",AB73*(1/SQRT(Z73^2+AA73^2+AB73^2)))</f>
        <v>-0.26108844911488943</v>
      </c>
      <c r="AG73" s="602">
        <f>IF(M73="","",DEGREES(ATAN2(-AF73,AE73)))</f>
        <v>73.484006804529656</v>
      </c>
      <c r="AH73" s="603">
        <f>IF(M73="","",DEGREES(ACOS(AD73)))</f>
        <v>113.30520614026757</v>
      </c>
      <c r="AI73" s="585">
        <f>IF(M73="","",DEGREES(-ACOS(-AF73)))</f>
        <v>-74.865343339647595</v>
      </c>
      <c r="AJ73" s="586">
        <f>IF(M73="","",DEGREES(ATAN2(-AE73,AD73)))</f>
        <v>-155.80493571352233</v>
      </c>
      <c r="AK73" s="635">
        <f>IF(M73="","",(COS(RADIANS((90-$Q$8)-W73))*AD73)+(-SIN(RADIANS((90-$Q$8)-W73))*AE73))</f>
        <v>0.96526594712736791</v>
      </c>
      <c r="AL73" s="629">
        <f>IF(M73="","",(SIN(RADIANS((90-$Q$8)-W73))*AD73)+(COS(RADIANS((90-$Q$8)-W73))*AE73))</f>
        <v>-9.7197250520400513E-3</v>
      </c>
      <c r="AM73" s="634">
        <f>IF(M73="","",AF73)</f>
        <v>-0.26108844911488943</v>
      </c>
      <c r="AN73" s="581">
        <f>IF(M73="","",DEGREES(ATAN2(-AM73,AL73)))</f>
        <v>-2.1320061067196496</v>
      </c>
      <c r="AO73" s="582">
        <f t="shared" si="461"/>
        <v>15.145391722151091</v>
      </c>
      <c r="AP73" s="585">
        <f>IF(M73="","",DEGREES(ATAN2(AK73,AL73)))</f>
        <v>-0.576919142498169</v>
      </c>
      <c r="AQ73" s="586">
        <f t="shared" ref="AQ73:AQ104" si="471">IF(M73="","",DEGREES(ATAN(($AS$5*SIN(RADIANS(90)))/(($X73*2*PI())-($AS$5*COS(RADIANS(90)))))))</f>
        <v>0.77758895858079069</v>
      </c>
      <c r="AS73" s="52">
        <f t="shared" si="406"/>
        <v>-245.22301657174606</v>
      </c>
      <c r="AT73" s="72">
        <f t="shared" ref="AT73:AT104" si="472">IF(M73="","",Y73+(((AS73-$AS$9)*$AS$6)*-1))</f>
        <v>6.6896921874537302E-2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5.1130000000000004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-3.3661762223062492</v>
      </c>
      <c r="C74" s="708">
        <v>-1.5001252127649707</v>
      </c>
      <c r="D74" s="709">
        <v>-0.11270033990422518</v>
      </c>
      <c r="E74" s="710">
        <v>0.29163078201639719</v>
      </c>
      <c r="F74" s="708">
        <v>-0.92431075395409024</v>
      </c>
      <c r="G74" s="711">
        <v>0.24617294145646068</v>
      </c>
      <c r="H74" s="710">
        <v>0.314</v>
      </c>
      <c r="I74" s="708">
        <v>0.52</v>
      </c>
      <c r="J74" s="570">
        <v>5.1189999999999998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5.1189999999999998</v>
      </c>
      <c r="N74" s="632">
        <f t="shared" si="465"/>
        <v>-3.3661762223062492</v>
      </c>
      <c r="O74" s="629">
        <f t="shared" si="466"/>
        <v>-1.5001252127649707</v>
      </c>
      <c r="P74" s="633">
        <f t="shared" si="467"/>
        <v>-0.11270033990422518</v>
      </c>
      <c r="Q74" s="585">
        <f t="shared" ref="Q74:Q129" si="520">IF(M74="","",IF(DEGREES(ATAN2(N74,O74))&lt;0,DEGREES(ATAN2(N74,O74))+360,IF(DEGREES(ATAN2(N74,O74))&gt;360,DEGREES(ATAN2(N74,O74))-360,DEGREES(ATAN2(N74,O74)))))</f>
        <v>204.01998353755118</v>
      </c>
      <c r="R74" s="629">
        <f>IF(M74="","",SQRT(N74^2+O74^2))</f>
        <v>3.6853111148983229</v>
      </c>
      <c r="S74" s="634">
        <f>IF(M74="","",P74)</f>
        <v>-0.11270033990422518</v>
      </c>
      <c r="T74" s="635">
        <f>IF(M74="","",X74*COS(RADIANS(W74)))</f>
        <v>-1.5004189613015404</v>
      </c>
      <c r="U74" s="629">
        <f>IF(M74="","",X74*SIN(RADIANS(W74)))</f>
        <v>3.366045298887097</v>
      </c>
      <c r="V74" s="636">
        <f>IF(M74="","",Y74)</f>
        <v>-0.11270033990422518</v>
      </c>
      <c r="W74" s="585">
        <f t="shared" si="224"/>
        <v>114.02498353682927</v>
      </c>
      <c r="X74" s="629">
        <f>IF(M74="","",R74)</f>
        <v>3.6853111148983229</v>
      </c>
      <c r="Y74" s="630">
        <f t="shared" si="223"/>
        <v>-0.11270033990422518</v>
      </c>
      <c r="Z74" s="632">
        <f t="shared" si="468"/>
        <v>-0.29163078201639719</v>
      </c>
      <c r="AA74" s="629">
        <f t="shared" si="469"/>
        <v>0.92431075395409024</v>
      </c>
      <c r="AB74" s="629">
        <f t="shared" si="470"/>
        <v>-0.24617294145646068</v>
      </c>
      <c r="AC74" s="636">
        <f>IF(M74="","",SQRT(Z74^2+AA74^2+AB74^2))</f>
        <v>1</v>
      </c>
      <c r="AD74" s="637">
        <f>IF(M74="","",Z74*(1/SQRT(Z74^2+AA74^2+AB74^2)))</f>
        <v>-0.29163078201639719</v>
      </c>
      <c r="AE74" s="629">
        <f>IF(M74="","",AA74*(1/SQRT(Z74^2+AA74^2+AB74^2)))</f>
        <v>0.92431075395409024</v>
      </c>
      <c r="AF74" s="633">
        <f>IF(M74="","",AB74*(1/SQRT(Z74^2+AA74^2+AB74^2)))</f>
        <v>-0.24617294145646068</v>
      </c>
      <c r="AG74" s="602">
        <f>IF(M74="","",DEGREES(ATAN2(-AF74,AE74)))</f>
        <v>75.086520437986422</v>
      </c>
      <c r="AH74" s="603">
        <f>IF(M74="","",DEGREES(ACOS(AD74)))</f>
        <v>106.9556138131146</v>
      </c>
      <c r="AI74" s="585">
        <f>IF(M74="","",DEGREES(-ACOS(-AF74)))</f>
        <v>-75.74883848641764</v>
      </c>
      <c r="AJ74" s="586">
        <f>IF(M74="","",DEGREES(ATAN2(-AE74,AD74)))</f>
        <v>-162.48890908743553</v>
      </c>
      <c r="AK74" s="635">
        <f>IF(M74="","",(COS(RADIANS((90-$Q$8)-W74))*AD74)+(-SIN(RADIANS((90-$Q$8)-W74))*AE74))</f>
        <v>0.96297855466167237</v>
      </c>
      <c r="AL74" s="629">
        <f>IF(M74="","",(SIN(RADIANS((90-$Q$8)-W74))*AD74)+(COS(RADIANS((90-$Q$8)-W74))*AE74))</f>
        <v>-0.10986894991939572</v>
      </c>
      <c r="AM74" s="634">
        <f>IF(M74="","",AF74)</f>
        <v>-0.24617294145646068</v>
      </c>
      <c r="AN74" s="581">
        <f>IF(M74="","",DEGREES(ATAN2(-AM74,AL74)))</f>
        <v>-24.051588334262071</v>
      </c>
      <c r="AO74" s="582">
        <f t="shared" si="461"/>
        <v>15.639157514735112</v>
      </c>
      <c r="AP74" s="585">
        <f>IF(M74="","",DEGREES(ATAN2(AK74,AL74)))</f>
        <v>-6.5088926249867338</v>
      </c>
      <c r="AQ74" s="586">
        <f t="shared" si="471"/>
        <v>0.61857411423923758</v>
      </c>
      <c r="AS74" s="52">
        <f t="shared" si="406"/>
        <v>-245.97501646317073</v>
      </c>
      <c r="AT74" s="72">
        <f t="shared" si="472"/>
        <v>5.8119115972475405E-2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5.1189999999999998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-4.0505707678961143</v>
      </c>
      <c r="C75" s="708">
        <v>-1.7232866694752436</v>
      </c>
      <c r="D75" s="709">
        <v>-0.3463010444439501</v>
      </c>
      <c r="E75" s="710">
        <v>0.20379456623279452</v>
      </c>
      <c r="F75" s="708">
        <v>-0.95632072877275598</v>
      </c>
      <c r="G75" s="711">
        <v>0.20956726484241778</v>
      </c>
      <c r="H75" s="710">
        <v>0.314</v>
      </c>
      <c r="I75" s="708">
        <v>0.52</v>
      </c>
      <c r="J75" s="570">
        <v>5.125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5.125</v>
      </c>
      <c r="N75" s="632">
        <f t="shared" si="465"/>
        <v>-4.0505707678961143</v>
      </c>
      <c r="O75" s="629">
        <f t="shared" si="466"/>
        <v>-1.7232866694752436</v>
      </c>
      <c r="P75" s="633">
        <f t="shared" si="467"/>
        <v>-0.3463010444439501</v>
      </c>
      <c r="Q75" s="585">
        <f t="shared" si="520"/>
        <v>203.04698367803499</v>
      </c>
      <c r="R75" s="629">
        <f>IF(M75="","",SQRT(N75^2+O75^2))</f>
        <v>4.4019132761704425</v>
      </c>
      <c r="S75" s="634">
        <f>IF(M75="","",P75)</f>
        <v>-0.3463010444439501</v>
      </c>
      <c r="T75" s="635">
        <f>IF(M75="","",X75*COS(RADIANS(W75)))</f>
        <v>-1.7236401418443958</v>
      </c>
      <c r="U75" s="629">
        <f>IF(M75="","",X75*SIN(RADIANS(W75)))</f>
        <v>4.0504203673629027</v>
      </c>
      <c r="V75" s="636">
        <f>IF(M75="","",Y75)</f>
        <v>-0.3463010444439501</v>
      </c>
      <c r="W75" s="585">
        <f t="shared" si="224"/>
        <v>113.05198367731307</v>
      </c>
      <c r="X75" s="629">
        <f>IF(M75="","",R75)</f>
        <v>4.4019132761704425</v>
      </c>
      <c r="Y75" s="630">
        <f t="shared" si="223"/>
        <v>-0.3463010444439501</v>
      </c>
      <c r="Z75" s="632">
        <f t="shared" si="468"/>
        <v>-0.20379456623279452</v>
      </c>
      <c r="AA75" s="629">
        <f t="shared" si="469"/>
        <v>0.95632072877275598</v>
      </c>
      <c r="AB75" s="629">
        <f t="shared" si="470"/>
        <v>-0.20956726484241778</v>
      </c>
      <c r="AC75" s="636">
        <f>IF(M75="","",SQRT(Z75^2+AA75^2+AB75^2))</f>
        <v>1</v>
      </c>
      <c r="AD75" s="637">
        <f>IF(M75="","",Z75*(1/SQRT(Z75^2+AA75^2+AB75^2)))</f>
        <v>-0.20379456623279452</v>
      </c>
      <c r="AE75" s="629">
        <f>IF(M75="","",AA75*(1/SQRT(Z75^2+AA75^2+AB75^2)))</f>
        <v>0.95632072877275598</v>
      </c>
      <c r="AF75" s="633">
        <f>IF(M75="","",AB75*(1/SQRT(Z75^2+AA75^2+AB75^2)))</f>
        <v>-0.20956726484241778</v>
      </c>
      <c r="AG75" s="602">
        <f>IF(M75="","",DEGREES(ATAN2(-AF75,AE75)))</f>
        <v>77.639638680194579</v>
      </c>
      <c r="AH75" s="603">
        <f>IF(M75="","",DEGREES(ACOS(AD75)))</f>
        <v>101.75894320260832</v>
      </c>
      <c r="AI75" s="585">
        <f>IF(M75="","",DEGREES(-ACOS(-AF75)))</f>
        <v>-77.903005927876421</v>
      </c>
      <c r="AJ75" s="586">
        <f>IF(M75="","",DEGREES(ATAN2(-AE75,AD75)))</f>
        <v>-167.97006243623215</v>
      </c>
      <c r="AK75" s="635">
        <f>IF(M75="","",(COS(RADIANS((90-$Q$8)-W75))*AD75)+(-SIN(RADIANS((90-$Q$8)-W75))*AE75))</f>
        <v>0.95977384899231999</v>
      </c>
      <c r="AL75" s="629">
        <f>IF(M75="","",(SIN(RADIANS((90-$Q$8)-W75))*AD75)+(COS(RADIANS((90-$Q$8)-W75))*AE75))</f>
        <v>-0.18685748659589579</v>
      </c>
      <c r="AM75" s="634">
        <f>IF(M75="","",AF75)</f>
        <v>-0.20956726484241778</v>
      </c>
      <c r="AN75" s="581">
        <f>IF(M75="","",DEGREES(ATAN2(-AM75,AL75)))</f>
        <v>-41.72130999327819</v>
      </c>
      <c r="AO75" s="582">
        <f t="shared" si="461"/>
        <v>16.306417594944556</v>
      </c>
      <c r="AP75" s="585">
        <f>IF(M75="","",DEGREES(ATAN2(AK75,AL75)))</f>
        <v>-11.017046114267158</v>
      </c>
      <c r="AQ75" s="586">
        <f t="shared" si="471"/>
        <v>0.51788038637655287</v>
      </c>
      <c r="AS75" s="52">
        <f t="shared" ref="AS75:AS106" si="543">IF(G75="","",IF(AND(W75&lt;(AS74+180),W75&gt;(AS74-180)),W75,IF(W75&gt;(AS74+180),W75-360,IF(W75&lt;(AS74-180),W75+360,"Error"))))</f>
        <v>-246.94801632268693</v>
      </c>
      <c r="AT75" s="72">
        <f t="shared" si="472"/>
        <v>-0.17480589422036327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5.125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-4.6480503865995599</v>
      </c>
      <c r="C76" s="708">
        <v>-1.8868090404672009</v>
      </c>
      <c r="D76" s="709">
        <v>-0.78280236093192068</v>
      </c>
      <c r="E76" s="710">
        <v>0.12196569896386103</v>
      </c>
      <c r="F76" s="708">
        <v>-0.97766701333070249</v>
      </c>
      <c r="G76" s="711">
        <v>0.17114782885354096</v>
      </c>
      <c r="H76" s="710">
        <v>0.314</v>
      </c>
      <c r="I76" s="708">
        <v>0.52</v>
      </c>
      <c r="J76" s="570">
        <v>5.1310000000000002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5.1310000000000002</v>
      </c>
      <c r="N76" s="632">
        <f t="shared" si="465"/>
        <v>-4.6480503865995599</v>
      </c>
      <c r="O76" s="629">
        <f t="shared" si="466"/>
        <v>-1.8868090404672009</v>
      </c>
      <c r="P76" s="633">
        <f t="shared" si="467"/>
        <v>-0.78280236093192068</v>
      </c>
      <c r="Q76" s="585">
        <f t="shared" si="520"/>
        <v>202.09398381563116</v>
      </c>
      <c r="R76" s="629">
        <f t="shared" si="79"/>
        <v>5.0164151295080313</v>
      </c>
      <c r="S76" s="634">
        <f t="shared" si="80"/>
        <v>-0.78280236093192068</v>
      </c>
      <c r="T76" s="635">
        <f t="shared" si="81"/>
        <v>-1.8872146521389124</v>
      </c>
      <c r="U76" s="629">
        <f t="shared" si="82"/>
        <v>4.6478857137745209</v>
      </c>
      <c r="V76" s="636">
        <f t="shared" si="114"/>
        <v>-0.78280236093192068</v>
      </c>
      <c r="W76" s="585">
        <f t="shared" si="224"/>
        <v>112.09898381490925</v>
      </c>
      <c r="X76" s="629">
        <f t="shared" si="83"/>
        <v>5.0164151295080313</v>
      </c>
      <c r="Y76" s="630">
        <f t="shared" ref="Y76:Y129" si="644">IF(M76="","",S76)</f>
        <v>-0.78280236093192068</v>
      </c>
      <c r="Z76" s="632">
        <f t="shared" si="468"/>
        <v>-0.12196569896386103</v>
      </c>
      <c r="AA76" s="629">
        <f t="shared" si="469"/>
        <v>0.97766701333070249</v>
      </c>
      <c r="AB76" s="629">
        <f t="shared" si="470"/>
        <v>-0.17114782885354096</v>
      </c>
      <c r="AC76" s="636">
        <f t="shared" si="84"/>
        <v>1</v>
      </c>
      <c r="AD76" s="637">
        <f t="shared" si="115"/>
        <v>-0.12196569896386103</v>
      </c>
      <c r="AE76" s="629">
        <f t="shared" si="85"/>
        <v>0.97766701333070249</v>
      </c>
      <c r="AF76" s="633">
        <f t="shared" si="86"/>
        <v>-0.17114782885354096</v>
      </c>
      <c r="AG76" s="602">
        <f t="shared" si="87"/>
        <v>80.070564414640643</v>
      </c>
      <c r="AH76" s="603">
        <f t="shared" si="88"/>
        <v>97.005562260001838</v>
      </c>
      <c r="AI76" s="585">
        <f t="shared" si="89"/>
        <v>-80.145437050811523</v>
      </c>
      <c r="AJ76" s="586">
        <f t="shared" si="90"/>
        <v>-172.88898730670365</v>
      </c>
      <c r="AK76" s="635">
        <f t="shared" si="211"/>
        <v>0.95174968567195806</v>
      </c>
      <c r="AL76" s="629">
        <f t="shared" si="91"/>
        <v>-0.25471740518081698</v>
      </c>
      <c r="AM76" s="634">
        <f t="shared" si="92"/>
        <v>-0.17114782885354096</v>
      </c>
      <c r="AN76" s="581">
        <f t="shared" si="93"/>
        <v>-56.102349967648045</v>
      </c>
      <c r="AO76" s="582">
        <f t="shared" si="461"/>
        <v>17.87103052163884</v>
      </c>
      <c r="AP76" s="585">
        <f t="shared" si="95"/>
        <v>-14.982971122334803</v>
      </c>
      <c r="AQ76" s="586">
        <f t="shared" si="471"/>
        <v>0.45444381446354098</v>
      </c>
      <c r="AS76" s="52">
        <f t="shared" si="543"/>
        <v>-247.90101618509075</v>
      </c>
      <c r="AT76" s="72">
        <f t="shared" si="472"/>
        <v>-0.61064540524833122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5.1310000000000002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-5.0977255792341243</v>
      </c>
      <c r="C77" s="708">
        <v>-1.9912092876761538</v>
      </c>
      <c r="D77" s="709">
        <v>-1.3826041699341767</v>
      </c>
      <c r="E77" s="710">
        <v>4.5290265025342717E-2</v>
      </c>
      <c r="F77" s="708">
        <v>-0.99017322070427694</v>
      </c>
      <c r="G77" s="711">
        <v>0.13230942859091216</v>
      </c>
      <c r="H77" s="710">
        <v>0.314</v>
      </c>
      <c r="I77" s="708">
        <v>0.52</v>
      </c>
      <c r="J77" s="570">
        <v>5.1369999999999996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5.1369999999999996</v>
      </c>
      <c r="N77" s="632">
        <f t="shared" si="465"/>
        <v>-5.0977255792341243</v>
      </c>
      <c r="O77" s="629">
        <f t="shared" si="466"/>
        <v>-1.9912092876761538</v>
      </c>
      <c r="P77" s="633">
        <f t="shared" si="467"/>
        <v>-1.3826041699341767</v>
      </c>
      <c r="Q77" s="585">
        <f t="shared" si="520"/>
        <v>201.33598392507278</v>
      </c>
      <c r="R77" s="629">
        <f t="shared" si="79"/>
        <v>5.472816506014583</v>
      </c>
      <c r="S77" s="634">
        <f t="shared" si="80"/>
        <v>-1.3826041699341767</v>
      </c>
      <c r="T77" s="635">
        <f t="shared" si="81"/>
        <v>-1.9916541405080013</v>
      </c>
      <c r="U77" s="629">
        <f t="shared" si="82"/>
        <v>5.0975517940579085</v>
      </c>
      <c r="V77" s="636">
        <f t="shared" si="114"/>
        <v>-1.3826041699341767</v>
      </c>
      <c r="W77" s="585">
        <f t="shared" si="224"/>
        <v>111.34098392435087</v>
      </c>
      <c r="X77" s="629">
        <f t="shared" si="83"/>
        <v>5.472816506014583</v>
      </c>
      <c r="Y77" s="630">
        <f t="shared" si="644"/>
        <v>-1.3826041699341767</v>
      </c>
      <c r="Z77" s="632">
        <f t="shared" si="468"/>
        <v>-4.5290265025342717E-2</v>
      </c>
      <c r="AA77" s="629">
        <f t="shared" si="469"/>
        <v>0.99017322070427694</v>
      </c>
      <c r="AB77" s="629">
        <f t="shared" si="470"/>
        <v>-0.13230942859091216</v>
      </c>
      <c r="AC77" s="636">
        <f t="shared" si="84"/>
        <v>1</v>
      </c>
      <c r="AD77" s="637">
        <f t="shared" si="115"/>
        <v>-4.5290265025342717E-2</v>
      </c>
      <c r="AE77" s="629">
        <f t="shared" si="85"/>
        <v>0.99017322070427694</v>
      </c>
      <c r="AF77" s="633">
        <f t="shared" si="86"/>
        <v>-0.13230942859091216</v>
      </c>
      <c r="AG77" s="602">
        <f t="shared" si="87"/>
        <v>82.389078195709146</v>
      </c>
      <c r="AH77" s="603">
        <f t="shared" si="88"/>
        <v>92.595828986188536</v>
      </c>
      <c r="AI77" s="585">
        <f t="shared" si="89"/>
        <v>-82.396934184942864</v>
      </c>
      <c r="AJ77" s="586">
        <f t="shared" si="90"/>
        <v>-177.38113129395808</v>
      </c>
      <c r="AK77" s="635">
        <f t="shared" si="211"/>
        <v>0.93878787015245047</v>
      </c>
      <c r="AL77" s="629">
        <f t="shared" si="91"/>
        <v>-0.31807475530222795</v>
      </c>
      <c r="AM77" s="634">
        <f t="shared" si="92"/>
        <v>-0.13230942859091216</v>
      </c>
      <c r="AN77" s="581">
        <f t="shared" si="93"/>
        <v>-67.414174339006962</v>
      </c>
      <c r="AO77" s="582">
        <f t="shared" si="461"/>
        <v>20.151018678131951</v>
      </c>
      <c r="AP77" s="585">
        <f t="shared" si="95"/>
        <v>-18.717115219030866</v>
      </c>
      <c r="AQ77" s="586">
        <f t="shared" si="471"/>
        <v>0.41654721377700504</v>
      </c>
      <c r="AS77" s="52">
        <f t="shared" si="543"/>
        <v>-248.65901607564913</v>
      </c>
      <c r="AT77" s="72">
        <f t="shared" si="472"/>
        <v>-1.2099208254376994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5.1369999999999996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-5.3538185999412828</v>
      </c>
      <c r="C78" s="708">
        <v>-2.0436733714930906</v>
      </c>
      <c r="D78" s="709">
        <v>-2.0910063064750211</v>
      </c>
      <c r="E78" s="710">
        <v>-4.2015377826148781E-2</v>
      </c>
      <c r="F78" s="708">
        <v>-0.99385610601707863</v>
      </c>
      <c r="G78" s="711">
        <v>0.10239506120265511</v>
      </c>
      <c r="H78" s="710">
        <v>0.314</v>
      </c>
      <c r="I78" s="708">
        <v>0.52</v>
      </c>
      <c r="J78" s="570">
        <v>5.1429999999999998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5.1429999999999998</v>
      </c>
      <c r="N78" s="632">
        <f t="shared" si="465"/>
        <v>-5.3538185999412828</v>
      </c>
      <c r="O78" s="629">
        <f t="shared" si="466"/>
        <v>-2.0436733714930906</v>
      </c>
      <c r="P78" s="633">
        <f t="shared" si="467"/>
        <v>-2.0910063064750211</v>
      </c>
      <c r="Q78" s="585">
        <f t="shared" si="520"/>
        <v>200.89298398903406</v>
      </c>
      <c r="R78" s="629">
        <f>IF(M78="","",SQRT(N78^2+O78^2))</f>
        <v>5.7306172835417284</v>
      </c>
      <c r="S78" s="634">
        <f>IF(M78="","",P78)</f>
        <v>-2.0910063064750211</v>
      </c>
      <c r="T78" s="635">
        <f>IF(M78="","",X78*COS(RADIANS(W78)))</f>
        <v>-2.0441405724539283</v>
      </c>
      <c r="U78" s="629">
        <f>IF(M78="","",X78*SIN(RADIANS(W78)))</f>
        <v>5.3536402354355959</v>
      </c>
      <c r="V78" s="636">
        <f>IF(M78="","",Y78)</f>
        <v>-2.0910063064750211</v>
      </c>
      <c r="W78" s="585">
        <f t="shared" si="224"/>
        <v>110.89798398831215</v>
      </c>
      <c r="X78" s="629">
        <f>IF(M78="","",R78)</f>
        <v>5.7306172835417284</v>
      </c>
      <c r="Y78" s="630">
        <f t="shared" si="644"/>
        <v>-2.0910063064750211</v>
      </c>
      <c r="Z78" s="632">
        <f t="shared" si="468"/>
        <v>4.2015377826148781E-2</v>
      </c>
      <c r="AA78" s="629">
        <f t="shared" si="469"/>
        <v>0.99385610601707863</v>
      </c>
      <c r="AB78" s="629">
        <f t="shared" si="470"/>
        <v>-0.10239506120265511</v>
      </c>
      <c r="AC78" s="636">
        <f>IF(M78="","",SQRT(Z78^2+AA78^2+AB78^2))</f>
        <v>1</v>
      </c>
      <c r="AD78" s="637">
        <f>IF(M78="","",Z78*(1/SQRT(Z78^2+AA78^2+AB78^2)))</f>
        <v>4.2015377826148781E-2</v>
      </c>
      <c r="AE78" s="629">
        <f>IF(M78="","",AA78*(1/SQRT(Z78^2+AA78^2+AB78^2)))</f>
        <v>0.99385610601707863</v>
      </c>
      <c r="AF78" s="633">
        <f>IF(M78="","",AB78*(1/SQRT(Z78^2+AA78^2+AB78^2)))</f>
        <v>-0.10239506120265511</v>
      </c>
      <c r="AG78" s="602">
        <f>IF(M78="","",DEGREES(ATAN2(-AF78,AE78)))</f>
        <v>84.117681879647051</v>
      </c>
      <c r="AH78" s="603">
        <f>IF(M78="","",DEGREES(ACOS(AD78)))</f>
        <v>87.591987347002586</v>
      </c>
      <c r="AI78" s="585">
        <f>IF(M78="","",DEGREES(-ACOS(-AF78)))</f>
        <v>-84.122894480123961</v>
      </c>
      <c r="AJ78" s="586">
        <f>IF(M78="","",DEGREES(ATAN2(-AE78,AD78)))</f>
        <v>177.57925594438242</v>
      </c>
      <c r="AK78" s="635">
        <f>IF(M78="","",(COS(RADIANS((90-$Q$8)-W78))*AD78)+(-SIN(RADIANS((90-$Q$8)-W78))*AE78))</f>
        <v>0.91352455384483033</v>
      </c>
      <c r="AL78" s="629">
        <f>IF(M78="","",(SIN(RADIANS((90-$Q$8)-W78))*AD78)+(COS(RADIANS((90-$Q$8)-W78))*AE78))</f>
        <v>-0.39368533242160364</v>
      </c>
      <c r="AM78" s="634">
        <f>IF(M78="","",AF78)</f>
        <v>-0.10239506120265511</v>
      </c>
      <c r="AN78" s="581">
        <f>IF(M78="","",DEGREES(ATAN2(-AM78,AL78)))</f>
        <v>-75.420757086749546</v>
      </c>
      <c r="AO78" s="582">
        <f t="shared" si="461"/>
        <v>24.002944485799635</v>
      </c>
      <c r="AP78" s="585">
        <f>IF(M78="","",DEGREES(ATAN2(AK78,AL78)))</f>
        <v>-23.313728044651622</v>
      </c>
      <c r="AQ78" s="586">
        <f t="shared" si="471"/>
        <v>0.39780880255447565</v>
      </c>
      <c r="AS78" s="52">
        <f t="shared" si="543"/>
        <v>-249.10201601168785</v>
      </c>
      <c r="AT78" s="72">
        <f t="shared" si="472"/>
        <v>-1.9180153231340724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5.1429999999999998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-5.4682204507629271</v>
      </c>
      <c r="C79" s="708">
        <v>-2.0655031569436164</v>
      </c>
      <c r="D79" s="709">
        <v>-2.837508557925811</v>
      </c>
      <c r="E79" s="710">
        <v>-0.15117917492142938</v>
      </c>
      <c r="F79" s="708">
        <v>-0.98623722292113591</v>
      </c>
      <c r="G79" s="711">
        <v>6.6940250932316495E-2</v>
      </c>
      <c r="H79" s="710">
        <v>0.314</v>
      </c>
      <c r="I79" s="708">
        <v>0.52</v>
      </c>
      <c r="J79" s="570">
        <v>5.149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5.149</v>
      </c>
      <c r="N79" s="632">
        <f t="shared" si="465"/>
        <v>-5.4682204507629271</v>
      </c>
      <c r="O79" s="629">
        <f t="shared" si="466"/>
        <v>-2.0655031569436164</v>
      </c>
      <c r="P79" s="633">
        <f t="shared" si="467"/>
        <v>-2.837508557925811</v>
      </c>
      <c r="Q79" s="585">
        <f t="shared" si="520"/>
        <v>200.6929840179105</v>
      </c>
      <c r="R79" s="629">
        <f>IF(M79="","",SQRT(N79^2+O79^2))</f>
        <v>5.8453176294779698</v>
      </c>
      <c r="S79" s="634">
        <f>IF(M79="","",P79)</f>
        <v>-2.837508557925811</v>
      </c>
      <c r="T79" s="635">
        <f>IF(M79="","",X79*COS(RADIANS(W79)))</f>
        <v>-2.0659803412647153</v>
      </c>
      <c r="U79" s="629">
        <f>IF(M79="","",X79*SIN(RADIANS(W79)))</f>
        <v>5.4680401808137518</v>
      </c>
      <c r="V79" s="636">
        <f>IF(M79="","",Y79)</f>
        <v>-2.837508557925811</v>
      </c>
      <c r="W79" s="585">
        <f t="shared" ref="W79:W129" si="645">IF(M79="","",IF(Q79-$Q$8&lt;0,360+Q79-$Q$8,Q79-$Q$8))</f>
        <v>110.69798401718859</v>
      </c>
      <c r="X79" s="629">
        <f>IF(M79="","",R79)</f>
        <v>5.8453176294779698</v>
      </c>
      <c r="Y79" s="630">
        <f t="shared" si="644"/>
        <v>-2.837508557925811</v>
      </c>
      <c r="Z79" s="632">
        <f t="shared" si="468"/>
        <v>0.15117917492142938</v>
      </c>
      <c r="AA79" s="629">
        <f t="shared" si="469"/>
        <v>0.98623722292113591</v>
      </c>
      <c r="AB79" s="629">
        <f t="shared" si="470"/>
        <v>-6.6940250932316495E-2</v>
      </c>
      <c r="AC79" s="636">
        <f>IF(M79="","",SQRT(Z79^2+AA79^2+AB79^2))</f>
        <v>1</v>
      </c>
      <c r="AD79" s="637">
        <f>IF(M79="","",Z79*(1/SQRT(Z79^2+AA79^2+AB79^2)))</f>
        <v>0.15117917492142938</v>
      </c>
      <c r="AE79" s="629">
        <f>IF(M79="","",AA79*(1/SQRT(Z79^2+AA79^2+AB79^2)))</f>
        <v>0.98623722292113591</v>
      </c>
      <c r="AF79" s="633">
        <f>IF(M79="","",AB79*(1/SQRT(Z79^2+AA79^2+AB79^2)))</f>
        <v>-6.6940250932316495E-2</v>
      </c>
      <c r="AG79" s="602">
        <f>IF(M79="","",DEGREES(ATAN2(-AF79,AE79)))</f>
        <v>86.11703939463824</v>
      </c>
      <c r="AH79" s="603">
        <f>IF(M79="","",DEGREES(ACOS(AD79)))</f>
        <v>81.304732354029539</v>
      </c>
      <c r="AI79" s="585">
        <f>IF(M79="","",DEGREES(-ACOS(-AF79)))</f>
        <v>-86.161735952480015</v>
      </c>
      <c r="AJ79" s="586">
        <f>IF(M79="","",DEGREES(ATAN2(-AE79,AD79)))</f>
        <v>171.28503291806143</v>
      </c>
      <c r="AK79" s="635">
        <f>IF(M79="","",(COS(RADIANS((90-$Q$8)-W79))*AD79)+(-SIN(RADIANS((90-$Q$8)-W79))*AE79))</f>
        <v>0.86919168652095835</v>
      </c>
      <c r="AL79" s="629">
        <f>IF(M79="","",(SIN(RADIANS((90-$Q$8)-W79))*AD79)+(COS(RADIANS((90-$Q$8)-W79))*AE79))</f>
        <v>-0.48992327449098649</v>
      </c>
      <c r="AM79" s="634">
        <f>IF(M79="","",AF79)</f>
        <v>-6.6940250932316495E-2</v>
      </c>
      <c r="AN79" s="581">
        <f>IF(M79="","",DEGREES(ATAN2(-AM79,AL79)))</f>
        <v>-82.219618104887502</v>
      </c>
      <c r="AO79" s="582">
        <f t="shared" si="461"/>
        <v>29.635156295113308</v>
      </c>
      <c r="AP79" s="585">
        <f>IF(M79="","",DEGREES(ATAN2(AK79,AL79)))</f>
        <v>-29.407951099849072</v>
      </c>
      <c r="AQ79" s="586">
        <f t="shared" si="471"/>
        <v>0.39000300197066956</v>
      </c>
      <c r="AS79" s="52">
        <f t="shared" si="543"/>
        <v>-249.30201598281141</v>
      </c>
      <c r="AT79" s="72">
        <f t="shared" si="472"/>
        <v>-2.6643786857160268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5.149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-5.562681955978598</v>
      </c>
      <c r="C80" s="708">
        <v>-2.082788110667118</v>
      </c>
      <c r="D80" s="709">
        <v>-3.5606107388019885</v>
      </c>
      <c r="E80" s="710">
        <v>-0.2499239317275958</v>
      </c>
      <c r="F80" s="708">
        <v>-0.96826547410811004</v>
      </c>
      <c r="G80" s="711">
        <v>1.3008419225801865E-7</v>
      </c>
      <c r="H80" s="710">
        <v>0.26600000000000001</v>
      </c>
      <c r="I80" s="708">
        <v>0.52</v>
      </c>
      <c r="J80" s="570">
        <v>5.1550000000000002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1313</v>
      </c>
      <c r="L80" s="320"/>
      <c r="M80" s="168">
        <f t="shared" si="464"/>
        <v>5.1550000000000002</v>
      </c>
      <c r="N80" s="632">
        <f t="shared" si="465"/>
        <v>-5.562681955978598</v>
      </c>
      <c r="O80" s="629">
        <f t="shared" si="466"/>
        <v>-2.082788110667118</v>
      </c>
      <c r="P80" s="633">
        <f t="shared" si="467"/>
        <v>-3.5606107388019885</v>
      </c>
      <c r="Q80" s="585">
        <f t="shared" si="520"/>
        <v>200.52698404187794</v>
      </c>
      <c r="R80" s="629">
        <f t="shared" si="79"/>
        <v>5.9398179144908294</v>
      </c>
      <c r="S80" s="634">
        <f t="shared" si="80"/>
        <v>-3.5606107388019885</v>
      </c>
      <c r="T80" s="635">
        <f t="shared" si="81"/>
        <v>-2.0832735382426129</v>
      </c>
      <c r="U80" s="629">
        <f t="shared" si="82"/>
        <v>5.5625001772731917</v>
      </c>
      <c r="V80" s="636">
        <f t="shared" si="114"/>
        <v>-3.5606107388019885</v>
      </c>
      <c r="W80" s="585">
        <f t="shared" si="645"/>
        <v>110.53198404115602</v>
      </c>
      <c r="X80" s="629">
        <f t="shared" si="83"/>
        <v>5.9398179144908294</v>
      </c>
      <c r="Y80" s="630">
        <f t="shared" si="644"/>
        <v>-3.5606107388019885</v>
      </c>
      <c r="Z80" s="632">
        <f t="shared" si="468"/>
        <v>0.2499239317275958</v>
      </c>
      <c r="AA80" s="629">
        <f t="shared" si="469"/>
        <v>0.96826547410811004</v>
      </c>
      <c r="AB80" s="629">
        <f t="shared" si="470"/>
        <v>-1.3008419225801865E-7</v>
      </c>
      <c r="AC80" s="636">
        <f t="shared" si="84"/>
        <v>1</v>
      </c>
      <c r="AD80" s="637">
        <f t="shared" si="115"/>
        <v>0.2499239317275958</v>
      </c>
      <c r="AE80" s="629">
        <f t="shared" si="85"/>
        <v>0.96826547410811004</v>
      </c>
      <c r="AF80" s="633">
        <f t="shared" si="86"/>
        <v>-1.3008419225801865E-7</v>
      </c>
      <c r="AG80" s="602">
        <f t="shared" si="87"/>
        <v>89.9999923024466</v>
      </c>
      <c r="AH80" s="603">
        <f t="shared" si="88"/>
        <v>75.526989095252759</v>
      </c>
      <c r="AI80" s="585">
        <f t="shared" si="89"/>
        <v>-89.999992546724798</v>
      </c>
      <c r="AJ80" s="586">
        <f t="shared" si="90"/>
        <v>165.52698909525265</v>
      </c>
      <c r="AK80" s="635">
        <f t="shared" si="211"/>
        <v>0.81915209487729179</v>
      </c>
      <c r="AL80" s="629">
        <f t="shared" si="91"/>
        <v>-0.57357636410344481</v>
      </c>
      <c r="AM80" s="634">
        <f t="shared" si="92"/>
        <v>-1.3008419225801865E-7</v>
      </c>
      <c r="AN80" s="581">
        <f t="shared" si="93"/>
        <v>-89.999987005609611</v>
      </c>
      <c r="AO80" s="582">
        <f t="shared" si="461"/>
        <v>34.999994946625968</v>
      </c>
      <c r="AP80" s="585">
        <f t="shared" si="95"/>
        <v>-34.999994946625293</v>
      </c>
      <c r="AQ80" s="586">
        <f t="shared" si="471"/>
        <v>0.38379838694863389</v>
      </c>
      <c r="AS80" s="52">
        <f t="shared" si="543"/>
        <v>-249.46801595884398</v>
      </c>
      <c r="AT80" s="72">
        <f t="shared" si="472"/>
        <v>-3.3873655888310705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5.1550000000000002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1313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-2.1888338429637431</v>
      </c>
      <c r="C81" s="708">
        <v>3.5493591790686306E-2</v>
      </c>
      <c r="D81" s="709">
        <v>-0.29589995249381862</v>
      </c>
      <c r="E81" s="710">
        <v>0.25878498330542349</v>
      </c>
      <c r="F81" s="708">
        <v>-4.1966205293007064E-3</v>
      </c>
      <c r="G81" s="711">
        <v>0.96592583607218252</v>
      </c>
      <c r="H81" s="710">
        <v>0.26250000000000001</v>
      </c>
      <c r="I81" s="708">
        <v>0.40699999999999997</v>
      </c>
      <c r="J81" s="570">
        <v>5.2089999999999996</v>
      </c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Inactive</v>
      </c>
      <c r="L81" s="320"/>
      <c r="M81" s="168">
        <f t="shared" si="464"/>
        <v>5.2089999999999996</v>
      </c>
      <c r="N81" s="632">
        <f t="shared" si="465"/>
        <v>-2.1888338429637431</v>
      </c>
      <c r="O81" s="629">
        <f t="shared" si="466"/>
        <v>3.5493591790686306E-2</v>
      </c>
      <c r="P81" s="633">
        <f t="shared" si="467"/>
        <v>-0.29589995249381862</v>
      </c>
      <c r="Q81" s="585">
        <f t="shared" si="520"/>
        <v>179.07098713974059</v>
      </c>
      <c r="R81" s="629">
        <f t="shared" si="79"/>
        <v>2.1891216017301627</v>
      </c>
      <c r="S81" s="634">
        <f t="shared" si="80"/>
        <v>-0.29589995249381862</v>
      </c>
      <c r="T81" s="635">
        <f t="shared" si="81"/>
        <v>3.5302579896664285E-2</v>
      </c>
      <c r="U81" s="629">
        <f t="shared" si="82"/>
        <v>2.1888369320290337</v>
      </c>
      <c r="V81" s="636">
        <f t="shared" si="114"/>
        <v>-0.29589995249381862</v>
      </c>
      <c r="W81" s="585">
        <f t="shared" si="645"/>
        <v>89.075987139018679</v>
      </c>
      <c r="X81" s="629">
        <f t="shared" si="83"/>
        <v>2.1891216017301627</v>
      </c>
      <c r="Y81" s="630">
        <f t="shared" si="644"/>
        <v>-0.29589995249381862</v>
      </c>
      <c r="Z81" s="632">
        <f t="shared" si="468"/>
        <v>-0.25878498330542349</v>
      </c>
      <c r="AA81" s="629">
        <f t="shared" si="469"/>
        <v>4.1966205293007064E-3</v>
      </c>
      <c r="AB81" s="629">
        <f t="shared" si="470"/>
        <v>-0.96592583607218252</v>
      </c>
      <c r="AC81" s="636">
        <f t="shared" si="84"/>
        <v>1</v>
      </c>
      <c r="AD81" s="637">
        <f t="shared" si="115"/>
        <v>-0.25878498330542349</v>
      </c>
      <c r="AE81" s="629">
        <f t="shared" si="85"/>
        <v>4.1966205293007064E-3</v>
      </c>
      <c r="AF81" s="633">
        <f t="shared" si="86"/>
        <v>-0.96592583607218252</v>
      </c>
      <c r="AG81" s="602">
        <f t="shared" si="87"/>
        <v>0.24892918552876925</v>
      </c>
      <c r="AH81" s="603">
        <f t="shared" si="88"/>
        <v>104.99797956743306</v>
      </c>
      <c r="AI81" s="585">
        <f t="shared" si="89"/>
        <v>-14.999997834273763</v>
      </c>
      <c r="AJ81" s="586">
        <f t="shared" si="90"/>
        <v>-90.929063066735608</v>
      </c>
      <c r="AK81" s="635">
        <f t="shared" si="211"/>
        <v>2.2679489670995867E-7</v>
      </c>
      <c r="AL81" s="629">
        <f t="shared" si="91"/>
        <v>0.25881900859133938</v>
      </c>
      <c r="AM81" s="634">
        <f t="shared" si="92"/>
        <v>-0.96592583607218252</v>
      </c>
      <c r="AN81" s="581">
        <f t="shared" si="93"/>
        <v>14.999997834268274</v>
      </c>
      <c r="AO81" s="582">
        <f t="shared" si="461"/>
        <v>0</v>
      </c>
      <c r="AP81" s="585">
        <f t="shared" si="95"/>
        <v>89.999949793523797</v>
      </c>
      <c r="AQ81" s="586">
        <f t="shared" si="471"/>
        <v>1.0412741075777299</v>
      </c>
      <c r="AS81" s="52">
        <f t="shared" si="543"/>
        <v>-270.92401286098129</v>
      </c>
      <c r="AT81" s="72">
        <f t="shared" si="472"/>
        <v>-0.10775480467419404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Nose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5.2089999999999996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5.109</v>
      </c>
      <c r="II81" s="734" cm="1">
        <f t="array" ref="II81">IFERROR(ROUND(VALUE(IF($IH81&lt;1,$IH81+LARGE((IF($M$9:$M$150="",0,$M$9:$M$150)-MOD(IF($M$9:$M$150="",0,$M$9:$M$150),1)),1),$IH81)),4),"")</f>
        <v>5.109</v>
      </c>
      <c r="IJ81" s="533">
        <f t="shared" si="542"/>
        <v>1613</v>
      </c>
      <c r="IK81" s="533" t="str">
        <f t="shared" si="517"/>
        <v>Inactive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25.92899625631614</v>
      </c>
      <c r="IM81" s="759">
        <v>4.3364096735819098E-2</v>
      </c>
      <c r="IN81" s="5">
        <f t="shared" ref="IN81:IN144" si="648">IF(ISNUMBER($II81),(($IO81*12)/60)/$AS$3,"")</f>
        <v>0.76</v>
      </c>
      <c r="IO81" s="771">
        <v>380</v>
      </c>
      <c r="IP81" s="9">
        <f t="shared" ref="IP81:IP144" si="649">IF(ISNUMBER($II81),(INDEX($X$9:$X$150,MATCH($II81,$M$9:$M$150,0))*-1),"")</f>
        <v>-2.1993066331088058</v>
      </c>
      <c r="IQ81" s="5">
        <f t="shared" ref="IQ81:IQ144" si="650">IF(ISNUMBER($II81),INDEX($Y$9:$Y$150,MATCH($II81,$M$9:$M$150,0)),"")</f>
        <v>-0.28010084478414793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0.30330071252667318</v>
      </c>
      <c r="IT81" s="727">
        <f t="shared" ref="IT81:IT144" si="652">IF(ISNUMBER($II81),(-1*INDEX($AN$9:$AN$150,MATCH($II81,$M$9:$M$150,0))),"")</f>
        <v>-14.999997834268207</v>
      </c>
      <c r="IU81" s="9">
        <f t="shared" ref="IU81:IU144" si="653">IF(ISNUMBER($II81),-$X81,"")</f>
        <v>-2.1891216017301627</v>
      </c>
      <c r="IV81" s="5">
        <f t="shared" ref="IV81:IV144" si="654">IF(ISNUMBER($II81),$Y81,"")</f>
        <v>-0.29589995249381862</v>
      </c>
      <c r="IW81" s="5">
        <f t="shared" si="519"/>
        <v>0.26250000000000001</v>
      </c>
      <c r="IX81" s="5">
        <f t="shared" ref="IX81:IX144" si="655">IF(ISNUMBER($II81),$IW81*COS(RADIANS($AO81)),"")</f>
        <v>0.26250000000000001</v>
      </c>
      <c r="IY81" s="762">
        <f t="shared" ref="IY81:IY144" si="656">IF(ISNUMBER($II81),(-1*$AN81),"")</f>
        <v>-14.999997834268274</v>
      </c>
    </row>
    <row r="82" spans="1:259" ht="15" customHeight="1" x14ac:dyDescent="0.25">
      <c r="A82" s="79"/>
      <c r="B82" s="707">
        <v>-2.9213934705753872</v>
      </c>
      <c r="C82" s="708">
        <v>-0.18891734860446913</v>
      </c>
      <c r="D82" s="709">
        <v>-0.11267742584444346</v>
      </c>
      <c r="E82" s="710">
        <v>0.10431058727155974</v>
      </c>
      <c r="F82" s="708">
        <v>6.7452110905862461E-3</v>
      </c>
      <c r="G82" s="711">
        <v>0.99452189694868243</v>
      </c>
      <c r="H82" s="710">
        <v>0.26250000000000001</v>
      </c>
      <c r="I82" s="708">
        <v>0.40699999999999997</v>
      </c>
      <c r="J82" s="570">
        <v>5.2130000000000001</v>
      </c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Inactive</v>
      </c>
      <c r="L82" s="320"/>
      <c r="M82" s="168">
        <f t="shared" si="464"/>
        <v>5.2130000000000001</v>
      </c>
      <c r="N82" s="632">
        <f t="shared" si="465"/>
        <v>-2.9213934705753872</v>
      </c>
      <c r="O82" s="629">
        <f t="shared" si="466"/>
        <v>-0.18891734860446913</v>
      </c>
      <c r="P82" s="633">
        <f t="shared" si="467"/>
        <v>-0.11267742584444346</v>
      </c>
      <c r="Q82" s="585">
        <f t="shared" si="520"/>
        <v>183.69998647139579</v>
      </c>
      <c r="R82" s="629">
        <f t="shared" si="79"/>
        <v>2.9274954439801011</v>
      </c>
      <c r="S82" s="634">
        <f t="shared" si="80"/>
        <v>-0.11267742584444346</v>
      </c>
      <c r="T82" s="635">
        <f t="shared" si="81"/>
        <v>-0.18917228752203202</v>
      </c>
      <c r="U82" s="629">
        <f t="shared" si="82"/>
        <v>2.9213769733052137</v>
      </c>
      <c r="V82" s="636">
        <f t="shared" si="114"/>
        <v>-0.11267742584444346</v>
      </c>
      <c r="W82" s="585">
        <f t="shared" si="645"/>
        <v>93.704986470673873</v>
      </c>
      <c r="X82" s="629">
        <f t="shared" si="83"/>
        <v>2.9274954439801011</v>
      </c>
      <c r="Y82" s="630">
        <f t="shared" si="644"/>
        <v>-0.11267742584444346</v>
      </c>
      <c r="Z82" s="632">
        <f t="shared" si="468"/>
        <v>-0.10431058727155974</v>
      </c>
      <c r="AA82" s="629">
        <f t="shared" si="469"/>
        <v>-6.7452110905862461E-3</v>
      </c>
      <c r="AB82" s="629">
        <f t="shared" si="470"/>
        <v>-0.99452189694868243</v>
      </c>
      <c r="AC82" s="636">
        <f t="shared" si="84"/>
        <v>1</v>
      </c>
      <c r="AD82" s="637">
        <f t="shared" si="115"/>
        <v>-0.10431058727155974</v>
      </c>
      <c r="AE82" s="629">
        <f t="shared" si="85"/>
        <v>-6.7452110905862461E-3</v>
      </c>
      <c r="AF82" s="633">
        <f t="shared" si="86"/>
        <v>-0.99452189694868243</v>
      </c>
      <c r="AG82" s="602">
        <f t="shared" si="87"/>
        <v>-0.38859496487360884</v>
      </c>
      <c r="AH82" s="603">
        <f t="shared" si="88"/>
        <v>95.987448007454987</v>
      </c>
      <c r="AI82" s="585">
        <f t="shared" si="89"/>
        <v>-5.999999133721337</v>
      </c>
      <c r="AJ82" s="586">
        <f t="shared" si="90"/>
        <v>-86.300137842995341</v>
      </c>
      <c r="AK82" s="635">
        <f t="shared" si="211"/>
        <v>2.2679489671689756E-7</v>
      </c>
      <c r="AL82" s="629">
        <f t="shared" si="91"/>
        <v>0.10452844823081807</v>
      </c>
      <c r="AM82" s="634">
        <f t="shared" si="92"/>
        <v>-0.99452189694868243</v>
      </c>
      <c r="AN82" s="581">
        <f t="shared" si="93"/>
        <v>5.9999991337073073</v>
      </c>
      <c r="AO82" s="582">
        <f t="shared" si="461"/>
        <v>0</v>
      </c>
      <c r="AP82" s="585">
        <f t="shared" si="95"/>
        <v>89.999875685608885</v>
      </c>
      <c r="AQ82" s="586">
        <f t="shared" si="471"/>
        <v>0.77868140745853731</v>
      </c>
      <c r="AS82" s="52">
        <f t="shared" si="543"/>
        <v>-266.29501352932613</v>
      </c>
      <c r="AT82" s="72">
        <f t="shared" si="472"/>
        <v>7.2253139105976139E-2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Nose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5.2130000000000001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5.1130000000000004</v>
      </c>
      <c r="II82" s="734" cm="1">
        <f t="array" ref="II82">IFERROR(ROUND(VALUE(IF($IH82&lt;1,$IH82+LARGE((IF($M$9:$M$150="",0,$M$9:$M$150)-MOD(IF($M$9:$M$150="",0,$M$9:$M$150),1)),1),$IH82)),4),"")</f>
        <v>5.1130000000000004</v>
      </c>
      <c r="IJ82" s="533">
        <f t="shared" si="542"/>
        <v>1613</v>
      </c>
      <c r="IK82" s="533" t="str">
        <f t="shared" si="517"/>
        <v>Inactive</v>
      </c>
      <c r="IL82" s="727">
        <f t="shared" si="647"/>
        <v>21.071996957580069</v>
      </c>
      <c r="IM82" s="759">
        <v>4.9464625716678097E-2</v>
      </c>
      <c r="IN82" s="5">
        <f t="shared" si="648"/>
        <v>0.84</v>
      </c>
      <c r="IO82" s="771">
        <v>420</v>
      </c>
      <c r="IP82" s="9">
        <f t="shared" si="649"/>
        <v>-2.9316088417322672</v>
      </c>
      <c r="IQ82" s="5">
        <f t="shared" si="650"/>
        <v>-0.10340031185534057</v>
      </c>
      <c r="IR82" s="5">
        <f t="shared" si="518"/>
        <v>0.314</v>
      </c>
      <c r="IS82" s="5">
        <f t="shared" si="651"/>
        <v>0.30309350739799351</v>
      </c>
      <c r="IT82" s="727">
        <f t="shared" si="652"/>
        <v>2.1320061067196496</v>
      </c>
      <c r="IU82" s="9">
        <f t="shared" si="653"/>
        <v>-2.9274954439801011</v>
      </c>
      <c r="IV82" s="5">
        <f t="shared" si="654"/>
        <v>-0.11267742584444346</v>
      </c>
      <c r="IW82" s="5">
        <f t="shared" si="519"/>
        <v>0.26250000000000001</v>
      </c>
      <c r="IX82" s="5">
        <f t="shared" si="655"/>
        <v>0.26250000000000001</v>
      </c>
      <c r="IY82" s="762">
        <f t="shared" si="656"/>
        <v>-5.9999991337073073</v>
      </c>
    </row>
    <row r="83" spans="1:259" ht="15" customHeight="1" x14ac:dyDescent="0.25">
      <c r="A83" s="79"/>
      <c r="B83" s="707">
        <v>-3.6716571997095198</v>
      </c>
      <c r="C83" s="708">
        <v>-0.37003920847914423</v>
      </c>
      <c r="D83" s="709">
        <v>-0.11895500736059988</v>
      </c>
      <c r="E83" s="710">
        <v>-0.12504604801610114</v>
      </c>
      <c r="F83" s="708">
        <v>-1.2602695471245168E-2</v>
      </c>
      <c r="G83" s="711">
        <v>0.99207089360711209</v>
      </c>
      <c r="H83" s="710">
        <v>0.26250000000000001</v>
      </c>
      <c r="I83" s="708">
        <v>0.40699999999999997</v>
      </c>
      <c r="J83" s="570">
        <v>5.2190000000000003</v>
      </c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Inactive</v>
      </c>
      <c r="L83" s="320"/>
      <c r="M83" s="168">
        <f t="shared" si="464"/>
        <v>5.2190000000000003</v>
      </c>
      <c r="N83" s="632">
        <f t="shared" si="465"/>
        <v>-3.6716571997095198</v>
      </c>
      <c r="O83" s="629">
        <f t="shared" si="466"/>
        <v>-0.37003920847914423</v>
      </c>
      <c r="P83" s="633">
        <f t="shared" si="467"/>
        <v>-0.11895500736059988</v>
      </c>
      <c r="Q83" s="585">
        <f t="shared" si="520"/>
        <v>185.75498617469054</v>
      </c>
      <c r="R83" s="629">
        <f t="shared" si="79"/>
        <v>3.6902568485121225</v>
      </c>
      <c r="S83" s="634">
        <f t="shared" si="80"/>
        <v>-0.11895500736059988</v>
      </c>
      <c r="T83" s="635">
        <f t="shared" si="81"/>
        <v>-0.37035961955916857</v>
      </c>
      <c r="U83" s="629">
        <f t="shared" si="82"/>
        <v>3.6716248937208453</v>
      </c>
      <c r="V83" s="636">
        <f t="shared" si="114"/>
        <v>-0.11895500736059988</v>
      </c>
      <c r="W83" s="585">
        <f t="shared" si="645"/>
        <v>95.759986173968628</v>
      </c>
      <c r="X83" s="629">
        <f t="shared" si="83"/>
        <v>3.6902568485121225</v>
      </c>
      <c r="Y83" s="630">
        <f t="shared" si="644"/>
        <v>-0.11895500736059988</v>
      </c>
      <c r="Z83" s="632">
        <f t="shared" si="468"/>
        <v>0.12504604801610114</v>
      </c>
      <c r="AA83" s="629">
        <f t="shared" si="469"/>
        <v>1.2602695471245168E-2</v>
      </c>
      <c r="AB83" s="629">
        <f t="shared" si="470"/>
        <v>-0.99207089360711209</v>
      </c>
      <c r="AC83" s="636">
        <f t="shared" si="84"/>
        <v>1</v>
      </c>
      <c r="AD83" s="637">
        <f t="shared" si="115"/>
        <v>0.12504604801610114</v>
      </c>
      <c r="AE83" s="629">
        <f t="shared" si="85"/>
        <v>1.2602695471245168E-2</v>
      </c>
      <c r="AF83" s="633">
        <f t="shared" si="86"/>
        <v>-0.99207089360711209</v>
      </c>
      <c r="AG83" s="602">
        <f t="shared" si="87"/>
        <v>0.72781333167176476</v>
      </c>
      <c r="AH83" s="603">
        <f t="shared" si="88"/>
        <v>82.816584996887016</v>
      </c>
      <c r="AI83" s="585">
        <f t="shared" si="89"/>
        <v>-7.2199989575727672</v>
      </c>
      <c r="AJ83" s="586">
        <f t="shared" si="90"/>
        <v>95.755089567751455</v>
      </c>
      <c r="AK83" s="635">
        <f t="shared" si="211"/>
        <v>2.2679489667873365E-7</v>
      </c>
      <c r="AL83" s="629">
        <f t="shared" si="91"/>
        <v>-0.12567952123371007</v>
      </c>
      <c r="AM83" s="634">
        <f t="shared" si="92"/>
        <v>-0.99207089360711209</v>
      </c>
      <c r="AN83" s="581">
        <f t="shared" si="93"/>
        <v>-7.2199989575611294</v>
      </c>
      <c r="AO83" s="582">
        <f t="shared" si="461"/>
        <v>0</v>
      </c>
      <c r="AP83" s="585">
        <f t="shared" si="95"/>
        <v>-89.999896606939089</v>
      </c>
      <c r="AQ83" s="586">
        <f t="shared" si="471"/>
        <v>0.61774515688582288</v>
      </c>
      <c r="AS83" s="52">
        <f t="shared" si="543"/>
        <v>-264.24001382603137</v>
      </c>
      <c r="AT83" s="72">
        <f t="shared" si="472"/>
        <v>6.4548474462531702E-2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Nose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5.2190000000000003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5.1189999999999998</v>
      </c>
      <c r="II83" s="734" cm="1">
        <f t="array" ref="II83">IFERROR(ROUND(VALUE(IF($IH83&lt;1,$IH83+LARGE((IF($M$9:$M$150="",0,$M$9:$M$150)-MOD(IF($M$9:$M$150="",0,$M$9:$M$150),1)),1),$IH83)),4),"")</f>
        <v>5.1189999999999998</v>
      </c>
      <c r="IJ83" s="533">
        <f t="shared" si="542"/>
        <v>1613</v>
      </c>
      <c r="IK83" s="533" t="str">
        <f>IF(ISNUMBER($II83),INDEX($K$9:$K$150,MATCH($IG83,$M$9:$M$150,0)),"")</f>
        <v>Inactive</v>
      </c>
      <c r="IL83" s="727">
        <f>IF(ISNUMBER($II83),IFERROR(IF(INDEX($W$9:$W$150,MATCH($II83,$M$9:$M$150,0))&lt;$W83,((INDEX($W$9:$W$150,MATCH($II83,$M$9:$M$150,0))+360)-$W83),INDEX($W$9:$W$150,MATCH($II83,$M$9:$M$150,0))-$W83),""),"")</f>
        <v>18.26499736286064</v>
      </c>
      <c r="IM83" s="759">
        <v>4.2313936881892202E-2</v>
      </c>
      <c r="IN83" s="5">
        <f t="shared" si="648"/>
        <v>0.9</v>
      </c>
      <c r="IO83" s="771">
        <v>450</v>
      </c>
      <c r="IP83" s="9">
        <f t="shared" si="649"/>
        <v>-3.6853111148983229</v>
      </c>
      <c r="IQ83" s="5">
        <f t="shared" si="650"/>
        <v>-0.11270033990422518</v>
      </c>
      <c r="IR83" s="5">
        <f t="shared" si="518"/>
        <v>0.314</v>
      </c>
      <c r="IS83" s="5">
        <f t="shared" si="651"/>
        <v>0.30237526616376514</v>
      </c>
      <c r="IT83" s="727">
        <f t="shared" si="652"/>
        <v>24.051588334262071</v>
      </c>
      <c r="IU83" s="9">
        <f t="shared" si="653"/>
        <v>-3.6902568485121225</v>
      </c>
      <c r="IV83" s="5">
        <f t="shared" si="654"/>
        <v>-0.11895500736059988</v>
      </c>
      <c r="IW83" s="5">
        <f t="shared" si="519"/>
        <v>0.26250000000000001</v>
      </c>
      <c r="IX83" s="5">
        <f t="shared" si="655"/>
        <v>0.26250000000000001</v>
      </c>
      <c r="IY83" s="762">
        <f t="shared" si="656"/>
        <v>7.2199989575611294</v>
      </c>
    </row>
    <row r="84" spans="1:259" ht="15" customHeight="1" x14ac:dyDescent="0.25">
      <c r="A84" s="79"/>
      <c r="B84" s="707">
        <v>-4.341192981420634</v>
      </c>
      <c r="C84" s="708">
        <v>-0.83715958320271544</v>
      </c>
      <c r="D84" s="709">
        <v>-0.30070866036761945</v>
      </c>
      <c r="E84" s="710">
        <v>-6.250227032183453E-2</v>
      </c>
      <c r="F84" s="708">
        <v>-0.92918007069184927</v>
      </c>
      <c r="G84" s="711">
        <v>0.36430462861965734</v>
      </c>
      <c r="H84" s="710">
        <v>0.26600000000000001</v>
      </c>
      <c r="I84" s="708">
        <v>0.52</v>
      </c>
      <c r="J84" s="570">
        <v>5.2249999999999996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5.2249999999999996</v>
      </c>
      <c r="N84" s="632">
        <f t="shared" si="465"/>
        <v>-4.341192981420634</v>
      </c>
      <c r="O84" s="629">
        <f t="shared" si="466"/>
        <v>-0.83715958320271544</v>
      </c>
      <c r="P84" s="633">
        <f t="shared" si="467"/>
        <v>-0.30070866036761945</v>
      </c>
      <c r="Q84" s="585">
        <f t="shared" si="520"/>
        <v>190.91498542967881</v>
      </c>
      <c r="R84" s="629">
        <f t="shared" si="79"/>
        <v>4.4211754850586873</v>
      </c>
      <c r="S84" s="634">
        <f t="shared" si="80"/>
        <v>-0.30070866036761945</v>
      </c>
      <c r="T84" s="635">
        <f t="shared" si="81"/>
        <v>-0.83753842051482041</v>
      </c>
      <c r="U84" s="629">
        <f t="shared" si="82"/>
        <v>4.3411199089457853</v>
      </c>
      <c r="V84" s="636">
        <f t="shared" si="114"/>
        <v>-0.30070866036761945</v>
      </c>
      <c r="W84" s="585">
        <f t="shared" si="645"/>
        <v>100.91998542895689</v>
      </c>
      <c r="X84" s="629">
        <f t="shared" si="83"/>
        <v>4.4211754850586873</v>
      </c>
      <c r="Y84" s="630">
        <f t="shared" si="644"/>
        <v>-0.30070866036761945</v>
      </c>
      <c r="Z84" s="632">
        <f t="shared" si="468"/>
        <v>6.250227032183453E-2</v>
      </c>
      <c r="AA84" s="629">
        <f t="shared" si="469"/>
        <v>0.92918007069184927</v>
      </c>
      <c r="AB84" s="629">
        <f t="shared" si="470"/>
        <v>-0.36430462861965734</v>
      </c>
      <c r="AC84" s="636">
        <f t="shared" si="84"/>
        <v>1</v>
      </c>
      <c r="AD84" s="637">
        <f t="shared" si="115"/>
        <v>6.250227032183453E-2</v>
      </c>
      <c r="AE84" s="629">
        <f t="shared" si="85"/>
        <v>0.92918007069184927</v>
      </c>
      <c r="AF84" s="633">
        <f t="shared" si="86"/>
        <v>-0.36430462861965734</v>
      </c>
      <c r="AG84" s="602">
        <f t="shared" si="87"/>
        <v>68.591290803557428</v>
      </c>
      <c r="AH84" s="603">
        <f t="shared" si="88"/>
        <v>86.416547966850516</v>
      </c>
      <c r="AI84" s="585">
        <f t="shared" si="89"/>
        <v>-68.635205368866352</v>
      </c>
      <c r="AJ84" s="586">
        <f t="shared" si="90"/>
        <v>176.15173652108939</v>
      </c>
      <c r="AK84" s="635">
        <f t="shared" si="211"/>
        <v>0.90053553410099141</v>
      </c>
      <c r="AL84" s="629">
        <f t="shared" si="91"/>
        <v>-0.23731390475009248</v>
      </c>
      <c r="AM84" s="634">
        <f t="shared" si="92"/>
        <v>-0.36430462861965734</v>
      </c>
      <c r="AN84" s="581">
        <f t="shared" si="93"/>
        <v>-33.080869133542805</v>
      </c>
      <c r="AO84" s="582">
        <f t="shared" si="461"/>
        <v>25.771449667669398</v>
      </c>
      <c r="AP84" s="585">
        <f t="shared" si="95"/>
        <v>-14.763248908589416</v>
      </c>
      <c r="AQ84" s="586">
        <f t="shared" si="471"/>
        <v>0.51562420350243887</v>
      </c>
      <c r="AS84" s="52">
        <f t="shared" si="543"/>
        <v>-259.08001457104308</v>
      </c>
      <c r="AT84" s="72">
        <f t="shared" si="472"/>
        <v>-0.12078851136045196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Nose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5.2249999999999996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5.125</v>
      </c>
      <c r="II84" s="734" cm="1">
        <f t="array" ref="II84">IFERROR(ROUND(VALUE(IF($IH84&lt;1,$IH84+LARGE((IF($M$9:$M$150="",0,$M$9:$M$150)-MOD(IF($M$9:$M$150="",0,$M$9:$M$150),1)),1),$IH84)),4),"")</f>
        <v>5.125</v>
      </c>
      <c r="IJ84" s="533">
        <f t="shared" si="542"/>
        <v>1613</v>
      </c>
      <c r="IK84" s="533">
        <f t="shared" si="517"/>
        <v>1313</v>
      </c>
      <c r="IL84" s="727">
        <f t="shared" si="647"/>
        <v>12.131998248356183</v>
      </c>
      <c r="IM84" s="759">
        <v>1.27111514795372E-2</v>
      </c>
      <c r="IN84" s="5">
        <f t="shared" si="648"/>
        <v>0.34</v>
      </c>
      <c r="IO84" s="771">
        <v>170</v>
      </c>
      <c r="IP84" s="9">
        <f t="shared" si="649"/>
        <v>-4.4019132761704425</v>
      </c>
      <c r="IQ84" s="5">
        <f t="shared" si="650"/>
        <v>-0.3463010444439501</v>
      </c>
      <c r="IR84" s="5">
        <f t="shared" si="518"/>
        <v>0.314</v>
      </c>
      <c r="IS84" s="5">
        <f t="shared" si="651"/>
        <v>0.30136898858358846</v>
      </c>
      <c r="IT84" s="727">
        <f t="shared" si="652"/>
        <v>41.72130999327819</v>
      </c>
      <c r="IU84" s="9">
        <f t="shared" si="653"/>
        <v>-4.4211754850586873</v>
      </c>
      <c r="IV84" s="5">
        <f t="shared" si="654"/>
        <v>-0.30070866036761945</v>
      </c>
      <c r="IW84" s="5">
        <f t="shared" si="519"/>
        <v>0.26600000000000001</v>
      </c>
      <c r="IX84" s="5">
        <f t="shared" si="655"/>
        <v>0.23954245207086372</v>
      </c>
      <c r="IY84" s="762">
        <f t="shared" si="656"/>
        <v>33.080869133542805</v>
      </c>
    </row>
    <row r="85" spans="1:259" ht="15" customHeight="1" x14ac:dyDescent="0.25">
      <c r="A85" s="79"/>
      <c r="B85" s="707">
        <v>-4.9516173279349625</v>
      </c>
      <c r="C85" s="708">
        <v>-0.97496804652071978</v>
      </c>
      <c r="D85" s="709">
        <v>-0.74010971299887152</v>
      </c>
      <c r="E85" s="710">
        <v>-0.15437646030674648</v>
      </c>
      <c r="F85" s="708">
        <v>-0.93738306875596</v>
      </c>
      <c r="G85" s="711">
        <v>0.31221929939197995</v>
      </c>
      <c r="H85" s="710">
        <v>0.26600000000000001</v>
      </c>
      <c r="I85" s="708">
        <v>0.52</v>
      </c>
      <c r="J85" s="570">
        <v>5.2309999999999999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1313</v>
      </c>
      <c r="L85" s="320"/>
      <c r="M85" s="168">
        <f t="shared" si="464"/>
        <v>5.2309999999999999</v>
      </c>
      <c r="N85" s="632">
        <f t="shared" si="465"/>
        <v>-4.9516173279349625</v>
      </c>
      <c r="O85" s="629">
        <f t="shared" si="466"/>
        <v>-0.97496804652071978</v>
      </c>
      <c r="P85" s="633">
        <f t="shared" si="467"/>
        <v>-0.74010971299887152</v>
      </c>
      <c r="Q85" s="585">
        <f t="shared" si="520"/>
        <v>191.13898539733722</v>
      </c>
      <c r="R85" s="629">
        <f t="shared" si="79"/>
        <v>5.0466896926641134</v>
      </c>
      <c r="S85" s="634">
        <f t="shared" si="80"/>
        <v>-0.74010971299887152</v>
      </c>
      <c r="T85" s="635">
        <f t="shared" si="81"/>
        <v>-0.97540015287373594</v>
      </c>
      <c r="U85" s="629">
        <f t="shared" si="82"/>
        <v>4.9515322270804312</v>
      </c>
      <c r="V85" s="636">
        <f t="shared" si="114"/>
        <v>-0.74010971299887152</v>
      </c>
      <c r="W85" s="585">
        <f t="shared" si="645"/>
        <v>101.14398539661531</v>
      </c>
      <c r="X85" s="629">
        <f t="shared" si="83"/>
        <v>5.0466896926641134</v>
      </c>
      <c r="Y85" s="630">
        <f t="shared" si="644"/>
        <v>-0.74010971299887152</v>
      </c>
      <c r="Z85" s="632">
        <f t="shared" si="468"/>
        <v>0.15437646030674648</v>
      </c>
      <c r="AA85" s="629">
        <f t="shared" si="469"/>
        <v>0.93738306875596</v>
      </c>
      <c r="AB85" s="629">
        <f t="shared" si="470"/>
        <v>-0.31221929939197995</v>
      </c>
      <c r="AC85" s="636">
        <f t="shared" si="84"/>
        <v>1</v>
      </c>
      <c r="AD85" s="637">
        <f t="shared" si="115"/>
        <v>0.15437646030674648</v>
      </c>
      <c r="AE85" s="629">
        <f t="shared" si="85"/>
        <v>0.93738306875596</v>
      </c>
      <c r="AF85" s="633">
        <f t="shared" si="86"/>
        <v>-0.31221929939197995</v>
      </c>
      <c r="AG85" s="602">
        <f t="shared" si="87"/>
        <v>71.578349612534893</v>
      </c>
      <c r="AH85" s="603">
        <f t="shared" si="88"/>
        <v>81.119365203766122</v>
      </c>
      <c r="AI85" s="585">
        <f t="shared" si="89"/>
        <v>-71.806973210518493</v>
      </c>
      <c r="AJ85" s="586">
        <f t="shared" si="90"/>
        <v>170.64797557874206</v>
      </c>
      <c r="AK85" s="635">
        <f t="shared" si="211"/>
        <v>0.88990019274595311</v>
      </c>
      <c r="AL85" s="629">
        <f t="shared" si="91"/>
        <v>-0.33256090575697062</v>
      </c>
      <c r="AM85" s="634">
        <f t="shared" si="92"/>
        <v>-0.31221929939197995</v>
      </c>
      <c r="AN85" s="581">
        <f t="shared" si="93"/>
        <v>-46.806975075663011</v>
      </c>
      <c r="AO85" s="582">
        <f t="shared" si="461"/>
        <v>27.13929217057964</v>
      </c>
      <c r="AP85" s="585">
        <f t="shared" si="95"/>
        <v>-20.491009818595177</v>
      </c>
      <c r="AQ85" s="586">
        <f t="shared" si="471"/>
        <v>0.45171776689965332</v>
      </c>
      <c r="AS85" s="52">
        <f t="shared" si="543"/>
        <v>-258.85601460338466</v>
      </c>
      <c r="AT85" s="72">
        <f t="shared" si="472"/>
        <v>-0.56034511952480015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5.2309999999999999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5.1310000000000002</v>
      </c>
      <c r="II85" s="734" cm="1">
        <f t="array" ref="II85">IFERROR(ROUND(VALUE(IF($IH85&lt;1,$IH85+LARGE((IF($M$9:$M$150="",0,$M$9:$M$150)-MOD(IF($M$9:$M$150="",0,$M$9:$M$150),1)),1),$IH85)),4),"")</f>
        <v>5.1310000000000002</v>
      </c>
      <c r="IJ85" s="533">
        <f t="shared" si="542"/>
        <v>1613</v>
      </c>
      <c r="IK85" s="533">
        <f t="shared" si="517"/>
        <v>1313</v>
      </c>
      <c r="IL85" s="727">
        <f t="shared" si="647"/>
        <v>10.95499841829394</v>
      </c>
      <c r="IM85" s="759">
        <v>1.0432883955667599E-2</v>
      </c>
      <c r="IN85" s="5">
        <f t="shared" si="648"/>
        <v>0.32</v>
      </c>
      <c r="IO85" s="771">
        <v>160</v>
      </c>
      <c r="IP85" s="9">
        <f t="shared" si="649"/>
        <v>-5.0164151295080313</v>
      </c>
      <c r="IQ85" s="5">
        <f t="shared" si="650"/>
        <v>-0.78280236093192068</v>
      </c>
      <c r="IR85" s="5">
        <f t="shared" si="518"/>
        <v>0.314</v>
      </c>
      <c r="IS85" s="5">
        <f t="shared" si="651"/>
        <v>0.29884940130099485</v>
      </c>
      <c r="IT85" s="727">
        <f t="shared" si="652"/>
        <v>56.102349967648045</v>
      </c>
      <c r="IU85" s="9">
        <f t="shared" si="653"/>
        <v>-5.0466896926641134</v>
      </c>
      <c r="IV85" s="5">
        <f t="shared" si="654"/>
        <v>-0.74010971299887152</v>
      </c>
      <c r="IW85" s="5">
        <f t="shared" si="519"/>
        <v>0.26600000000000001</v>
      </c>
      <c r="IX85" s="5">
        <f t="shared" si="655"/>
        <v>0.23671345127042354</v>
      </c>
      <c r="IY85" s="762">
        <f t="shared" si="656"/>
        <v>46.806975075663011</v>
      </c>
    </row>
    <row r="86" spans="1:259" ht="15" customHeight="1" x14ac:dyDescent="0.25">
      <c r="A86" s="79"/>
      <c r="B86" s="707">
        <v>-5.4107842276910958</v>
      </c>
      <c r="C86" s="708">
        <v>-1.0592967751544942</v>
      </c>
      <c r="D86" s="709">
        <v>-1.3450329190312593</v>
      </c>
      <c r="E86" s="710">
        <v>-0.2440265091774283</v>
      </c>
      <c r="F86" s="708">
        <v>-0.9358773175587437</v>
      </c>
      <c r="G86" s="711">
        <v>0.25413521853086218</v>
      </c>
      <c r="H86" s="710">
        <v>0.26600000000000001</v>
      </c>
      <c r="I86" s="708">
        <v>0.52</v>
      </c>
      <c r="J86" s="570">
        <v>5.2370000000000001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1313</v>
      </c>
      <c r="L86" s="320"/>
      <c r="M86" s="168">
        <f t="shared" si="464"/>
        <v>5.2370000000000001</v>
      </c>
      <c r="N86" s="632">
        <f t="shared" si="465"/>
        <v>-5.4107842276910958</v>
      </c>
      <c r="O86" s="629">
        <f t="shared" si="466"/>
        <v>-1.0592967751544942</v>
      </c>
      <c r="P86" s="633">
        <f t="shared" si="467"/>
        <v>-1.3450329190312593</v>
      </c>
      <c r="Q86" s="585">
        <f t="shared" si="520"/>
        <v>191.07698540628891</v>
      </c>
      <c r="R86" s="629">
        <f t="shared" si="79"/>
        <v>5.513501212159424</v>
      </c>
      <c r="S86" s="634">
        <f t="shared" si="80"/>
        <v>-1.3450329190312593</v>
      </c>
      <c r="T86" s="635">
        <f t="shared" si="81"/>
        <v>-1.059768951051659</v>
      </c>
      <c r="U86" s="629">
        <f t="shared" si="82"/>
        <v>5.4106917660194158</v>
      </c>
      <c r="V86" s="636">
        <f t="shared" si="114"/>
        <v>-1.3450329190312593</v>
      </c>
      <c r="W86" s="585">
        <f t="shared" si="645"/>
        <v>101.081985405567</v>
      </c>
      <c r="X86" s="629">
        <f t="shared" si="83"/>
        <v>5.513501212159424</v>
      </c>
      <c r="Y86" s="630">
        <f t="shared" si="644"/>
        <v>-1.3450329190312593</v>
      </c>
      <c r="Z86" s="632">
        <f t="shared" si="468"/>
        <v>0.2440265091774283</v>
      </c>
      <c r="AA86" s="629">
        <f t="shared" si="469"/>
        <v>0.9358773175587437</v>
      </c>
      <c r="AB86" s="629">
        <f t="shared" si="470"/>
        <v>-0.25413521853086218</v>
      </c>
      <c r="AC86" s="636">
        <f t="shared" si="84"/>
        <v>1</v>
      </c>
      <c r="AD86" s="637">
        <f t="shared" si="115"/>
        <v>0.2440265091774283</v>
      </c>
      <c r="AE86" s="629">
        <f t="shared" si="85"/>
        <v>0.9358773175587437</v>
      </c>
      <c r="AF86" s="633">
        <f t="shared" si="86"/>
        <v>-0.25413521853086218</v>
      </c>
      <c r="AG86" s="602">
        <f t="shared" si="87"/>
        <v>74.80781225281909</v>
      </c>
      <c r="AH86" s="603">
        <f t="shared" si="88"/>
        <v>75.875689244969394</v>
      </c>
      <c r="AI86" s="585">
        <f t="shared" si="89"/>
        <v>-75.277651160838346</v>
      </c>
      <c r="AJ86" s="586">
        <f t="shared" si="90"/>
        <v>165.38574099668617</v>
      </c>
      <c r="AK86" s="635">
        <f t="shared" si="211"/>
        <v>0.87155757290470981</v>
      </c>
      <c r="AL86" s="629">
        <f t="shared" si="91"/>
        <v>-0.41928831108763631</v>
      </c>
      <c r="AM86" s="634">
        <f t="shared" si="92"/>
        <v>-0.25413521853086218</v>
      </c>
      <c r="AN86" s="581">
        <f t="shared" si="93"/>
        <v>-58.779489470163483</v>
      </c>
      <c r="AO86" s="582">
        <f t="shared" si="461"/>
        <v>29.359852914256912</v>
      </c>
      <c r="AP86" s="585">
        <f t="shared" si="95"/>
        <v>-25.691244409602753</v>
      </c>
      <c r="AQ86" s="586">
        <f t="shared" si="471"/>
        <v>0.41347357512528632</v>
      </c>
      <c r="AS86" s="52">
        <f t="shared" si="543"/>
        <v>-258.91801459443298</v>
      </c>
      <c r="AT86" s="72">
        <f t="shared" si="472"/>
        <v>-1.1652252700078489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Taper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5.2370000000000001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5.1369999999999996</v>
      </c>
      <c r="II86" s="734" cm="1">
        <f t="array" ref="II86">IFERROR(ROUND(VALUE(IF($IH86&lt;1,$IH86+LARGE((IF($M$9:$M$150="",0,$M$9:$M$150)-MOD(IF($M$9:$M$150="",0,$M$9:$M$150),1)),1),$IH86)),4),"")</f>
        <v>5.1369999999999996</v>
      </c>
      <c r="IJ86" s="533">
        <f t="shared" si="542"/>
        <v>1613</v>
      </c>
      <c r="IK86" s="533">
        <f t="shared" si="517"/>
        <v>1313</v>
      </c>
      <c r="IL86" s="727">
        <f t="shared" si="647"/>
        <v>10.258998518783869</v>
      </c>
      <c r="IM86" s="759">
        <v>8.3985757688553094E-3</v>
      </c>
      <c r="IN86" s="5">
        <f t="shared" si="648"/>
        <v>0.3</v>
      </c>
      <c r="IO86" s="771">
        <v>150</v>
      </c>
      <c r="IP86" s="9">
        <f t="shared" si="649"/>
        <v>-5.472816506014583</v>
      </c>
      <c r="IQ86" s="5">
        <f t="shared" si="650"/>
        <v>-1.3826041699341767</v>
      </c>
      <c r="IR86" s="5">
        <f t="shared" si="518"/>
        <v>0.314</v>
      </c>
      <c r="IS86" s="5">
        <f t="shared" si="651"/>
        <v>0.29477939122786945</v>
      </c>
      <c r="IT86" s="727">
        <f t="shared" si="652"/>
        <v>67.414174339006962</v>
      </c>
      <c r="IU86" s="9">
        <f t="shared" si="653"/>
        <v>-5.513501212159424</v>
      </c>
      <c r="IV86" s="5">
        <f t="shared" si="654"/>
        <v>-1.3450329190312593</v>
      </c>
      <c r="IW86" s="5">
        <f t="shared" si="519"/>
        <v>0.26600000000000001</v>
      </c>
      <c r="IX86" s="5">
        <f t="shared" si="655"/>
        <v>0.23183431439265281</v>
      </c>
      <c r="IY86" s="762">
        <f t="shared" si="656"/>
        <v>58.779489470163483</v>
      </c>
    </row>
    <row r="87" spans="1:259" ht="15" customHeight="1" x14ac:dyDescent="0.25">
      <c r="A87" s="79"/>
      <c r="B87" s="707">
        <v>-5.6717939067772356</v>
      </c>
      <c r="C87" s="708">
        <v>-1.1000181942287899</v>
      </c>
      <c r="D87" s="709">
        <v>-2.0634761544350169</v>
      </c>
      <c r="E87" s="710">
        <v>-0.31769175252654608</v>
      </c>
      <c r="F87" s="708">
        <v>-0.93078155972789978</v>
      </c>
      <c r="G87" s="711">
        <v>0.18088017704300849</v>
      </c>
      <c r="H87" s="710">
        <v>0.26600000000000001</v>
      </c>
      <c r="I87" s="708">
        <v>0.52</v>
      </c>
      <c r="J87" s="570">
        <v>5.2430000000000003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5.2430000000000003</v>
      </c>
      <c r="N87" s="632">
        <f t="shared" si="465"/>
        <v>-5.6717939067772356</v>
      </c>
      <c r="O87" s="629">
        <f t="shared" si="466"/>
        <v>-1.1000181942287899</v>
      </c>
      <c r="P87" s="633">
        <f t="shared" si="467"/>
        <v>-2.0634761544350169</v>
      </c>
      <c r="Q87" s="585">
        <f t="shared" si="520"/>
        <v>190.97598542087152</v>
      </c>
      <c r="R87" s="629">
        <f t="shared" si="79"/>
        <v>5.7774809518153969</v>
      </c>
      <c r="S87" s="634">
        <f t="shared" si="80"/>
        <v>-2.0634761544350169</v>
      </c>
      <c r="T87" s="635">
        <f t="shared" si="81"/>
        <v>-1.1005131473589813</v>
      </c>
      <c r="U87" s="629">
        <f t="shared" si="82"/>
        <v>5.6716978904980273</v>
      </c>
      <c r="V87" s="636">
        <f t="shared" si="114"/>
        <v>-2.0634761544350169</v>
      </c>
      <c r="W87" s="585">
        <f t="shared" si="645"/>
        <v>100.98098542014961</v>
      </c>
      <c r="X87" s="629">
        <f t="shared" si="83"/>
        <v>5.7774809518153969</v>
      </c>
      <c r="Y87" s="630">
        <f t="shared" si="644"/>
        <v>-2.0634761544350169</v>
      </c>
      <c r="Z87" s="632">
        <f t="shared" si="468"/>
        <v>0.31769175252654608</v>
      </c>
      <c r="AA87" s="629">
        <f t="shared" si="469"/>
        <v>0.93078155972789978</v>
      </c>
      <c r="AB87" s="629">
        <f t="shared" si="470"/>
        <v>-0.18088017704300849</v>
      </c>
      <c r="AC87" s="636">
        <f t="shared" si="84"/>
        <v>1</v>
      </c>
      <c r="AD87" s="637">
        <f t="shared" si="115"/>
        <v>0.31769175252654608</v>
      </c>
      <c r="AE87" s="629">
        <f t="shared" si="85"/>
        <v>0.93078155972789978</v>
      </c>
      <c r="AF87" s="633">
        <f t="shared" si="86"/>
        <v>-0.18088017704300849</v>
      </c>
      <c r="AG87" s="602">
        <f t="shared" si="87"/>
        <v>79.002694743081847</v>
      </c>
      <c r="AH87" s="603">
        <f t="shared" si="88"/>
        <v>71.47661084450327</v>
      </c>
      <c r="AI87" s="585">
        <f t="shared" si="89"/>
        <v>-79.578968182911396</v>
      </c>
      <c r="AJ87" s="586">
        <f t="shared" si="90"/>
        <v>161.15434443877905</v>
      </c>
      <c r="AK87" s="635">
        <f t="shared" si="211"/>
        <v>0.85326710934817773</v>
      </c>
      <c r="AL87" s="629">
        <f t="shared" si="91"/>
        <v>-0.48909876472701808</v>
      </c>
      <c r="AM87" s="634">
        <f t="shared" si="92"/>
        <v>-0.18088017704300849</v>
      </c>
      <c r="AN87" s="581">
        <f t="shared" si="93"/>
        <v>-69.704425902355297</v>
      </c>
      <c r="AO87" s="582">
        <f t="shared" si="461"/>
        <v>31.431183451558944</v>
      </c>
      <c r="AP87" s="585">
        <f t="shared" si="95"/>
        <v>-29.821640982092468</v>
      </c>
      <c r="AQ87" s="586">
        <f t="shared" si="471"/>
        <v>0.3945821042654406</v>
      </c>
      <c r="AS87" s="52">
        <f t="shared" si="543"/>
        <v>-259.01901457985036</v>
      </c>
      <c r="AT87" s="72">
        <f t="shared" si="472"/>
        <v>-1.8835983665328444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Taper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5.2430000000000003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5.1429999999999998</v>
      </c>
      <c r="II87" s="734" cm="1">
        <f t="array" ref="II87">IFERROR(ROUND(VALUE(IF($IH87&lt;1,$IH87+LARGE((IF($M$9:$M$150="",0,$M$9:$M$150)-MOD(IF($M$9:$M$150="",0,$M$9:$M$150),1)),1),$IH87)),4),"")</f>
        <v>5.1429999999999998</v>
      </c>
      <c r="IJ87" s="533">
        <f t="shared" si="542"/>
        <v>1613</v>
      </c>
      <c r="IK87" s="533">
        <f t="shared" si="517"/>
        <v>1313</v>
      </c>
      <c r="IL87" s="727">
        <f t="shared" si="647"/>
        <v>9.9169985681625406</v>
      </c>
      <c r="IM87" s="759">
        <v>6.3300205281205399E-3</v>
      </c>
      <c r="IN87" s="5">
        <f t="shared" si="648"/>
        <v>0.3</v>
      </c>
      <c r="IO87" s="771">
        <v>150</v>
      </c>
      <c r="IP87" s="9">
        <f t="shared" si="649"/>
        <v>-5.7306172835417284</v>
      </c>
      <c r="IQ87" s="5">
        <f t="shared" si="650"/>
        <v>-2.0910063064750211</v>
      </c>
      <c r="IR87" s="5">
        <f t="shared" si="518"/>
        <v>0.314</v>
      </c>
      <c r="IS87" s="5">
        <f t="shared" si="651"/>
        <v>0.28684670990727679</v>
      </c>
      <c r="IT87" s="727">
        <f t="shared" si="652"/>
        <v>75.420757086749546</v>
      </c>
      <c r="IU87" s="9">
        <f t="shared" si="653"/>
        <v>-5.7774809518153969</v>
      </c>
      <c r="IV87" s="5">
        <f t="shared" si="654"/>
        <v>-2.0634761544350169</v>
      </c>
      <c r="IW87" s="5">
        <f t="shared" si="519"/>
        <v>0.26600000000000001</v>
      </c>
      <c r="IX87" s="5">
        <f t="shared" si="655"/>
        <v>0.22696905108661528</v>
      </c>
      <c r="IY87" s="762">
        <f t="shared" si="656"/>
        <v>69.704425902355297</v>
      </c>
    </row>
    <row r="88" spans="1:259" ht="15" customHeight="1" x14ac:dyDescent="0.25">
      <c r="A88" s="79"/>
      <c r="B88" s="707">
        <v>-2.2954481240470503</v>
      </c>
      <c r="C88" s="708">
        <v>1.6159632682789726</v>
      </c>
      <c r="D88" s="709">
        <v>-0.214000373985128</v>
      </c>
      <c r="E88" s="710">
        <v>-0.54647546999195928</v>
      </c>
      <c r="F88" s="708">
        <v>-0.79605180271292653</v>
      </c>
      <c r="G88" s="711">
        <v>0.26012706144222514</v>
      </c>
      <c r="H88" s="710">
        <v>0.314</v>
      </c>
      <c r="I88" s="708">
        <v>0.52</v>
      </c>
      <c r="J88" s="570">
        <v>6.1120000000000001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6.1120000000000001</v>
      </c>
      <c r="N88" s="632">
        <f t="shared" si="465"/>
        <v>-2.2954481240470503</v>
      </c>
      <c r="O88" s="629">
        <f t="shared" si="466"/>
        <v>1.6159632682789726</v>
      </c>
      <c r="P88" s="633">
        <f t="shared" si="467"/>
        <v>-0.214000373985128</v>
      </c>
      <c r="Q88" s="585">
        <f t="shared" si="520"/>
        <v>144.85499207991904</v>
      </c>
      <c r="R88" s="629">
        <f t="shared" si="79"/>
        <v>2.8072084665407346</v>
      </c>
      <c r="S88" s="634">
        <f t="shared" si="80"/>
        <v>-0.214000373985128</v>
      </c>
      <c r="T88" s="635">
        <f t="shared" si="81"/>
        <v>1.6157629465171528</v>
      </c>
      <c r="U88" s="629">
        <f t="shared" si="82"/>
        <v>2.2955891346842083</v>
      </c>
      <c r="V88" s="636">
        <f t="shared" si="114"/>
        <v>-0.214000373985128</v>
      </c>
      <c r="W88" s="585">
        <f t="shared" si="645"/>
        <v>54.859992079197127</v>
      </c>
      <c r="X88" s="629">
        <f t="shared" si="83"/>
        <v>2.8072084665407346</v>
      </c>
      <c r="Y88" s="630">
        <f t="shared" si="644"/>
        <v>-0.214000373985128</v>
      </c>
      <c r="Z88" s="632">
        <f t="shared" si="468"/>
        <v>0.54647546999195928</v>
      </c>
      <c r="AA88" s="629">
        <f t="shared" si="469"/>
        <v>0.79605180271292653</v>
      </c>
      <c r="AB88" s="629">
        <f t="shared" si="470"/>
        <v>-0.26012706144222514</v>
      </c>
      <c r="AC88" s="636">
        <f t="shared" si="84"/>
        <v>1</v>
      </c>
      <c r="AD88" s="637">
        <f t="shared" si="115"/>
        <v>0.54647546999195928</v>
      </c>
      <c r="AE88" s="629">
        <f t="shared" si="85"/>
        <v>0.79605180271292653</v>
      </c>
      <c r="AF88" s="633">
        <f t="shared" si="86"/>
        <v>-0.26012706144222514</v>
      </c>
      <c r="AG88" s="602">
        <f t="shared" si="87"/>
        <v>71.904082163066846</v>
      </c>
      <c r="AH88" s="603">
        <f t="shared" si="88"/>
        <v>56.87445013547481</v>
      </c>
      <c r="AI88" s="585">
        <f t="shared" si="89"/>
        <v>-74.922398347642698</v>
      </c>
      <c r="AJ88" s="586">
        <f t="shared" si="90"/>
        <v>145.53109100838319</v>
      </c>
      <c r="AK88" s="635">
        <f t="shared" si="211"/>
        <v>0.96550717056083113</v>
      </c>
      <c r="AL88" s="629">
        <f t="shared" si="91"/>
        <v>1.1393660564151031E-2</v>
      </c>
      <c r="AM88" s="634">
        <f t="shared" si="92"/>
        <v>-0.26012706144222514</v>
      </c>
      <c r="AN88" s="581">
        <f t="shared" si="93"/>
        <v>2.5079731217783068</v>
      </c>
      <c r="AO88" s="582">
        <f t="shared" si="461"/>
        <v>15.0924014196007</v>
      </c>
      <c r="AP88" s="585">
        <f t="shared" si="95"/>
        <v>0.67609892846414499</v>
      </c>
      <c r="AQ88" s="586">
        <f t="shared" si="471"/>
        <v>0.81204300107643557</v>
      </c>
      <c r="AS88" s="52">
        <f t="shared" si="543"/>
        <v>-305.14000792080287</v>
      </c>
      <c r="AT88" s="72">
        <f t="shared" si="472"/>
        <v>-2.0941184850717665E-3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6.1120000000000001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-2.8865927798625641</v>
      </c>
      <c r="C89" s="708">
        <v>2.0842520835845528</v>
      </c>
      <c r="D89" s="709">
        <v>-0.18530028742566707</v>
      </c>
      <c r="E89" s="710">
        <v>-0.64159915218876351</v>
      </c>
      <c r="F89" s="708">
        <v>-0.72507570710643221</v>
      </c>
      <c r="G89" s="711">
        <v>0.25023138666995226</v>
      </c>
      <c r="H89" s="710">
        <v>0.314</v>
      </c>
      <c r="I89" s="708">
        <v>0.52</v>
      </c>
      <c r="J89" s="570">
        <v>6.1180000000000003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6.1180000000000003</v>
      </c>
      <c r="N89" s="632">
        <f t="shared" si="465"/>
        <v>-2.8865927798625641</v>
      </c>
      <c r="O89" s="629">
        <f t="shared" si="466"/>
        <v>2.0842520835845528</v>
      </c>
      <c r="P89" s="633">
        <f t="shared" si="467"/>
        <v>-0.18530028742566707</v>
      </c>
      <c r="Q89" s="585">
        <f t="shared" si="520"/>
        <v>144.16899217896517</v>
      </c>
      <c r="R89" s="629">
        <f t="shared" si="79"/>
        <v>3.5604107381987875</v>
      </c>
      <c r="S89" s="634">
        <f t="shared" si="80"/>
        <v>-0.18530028742566707</v>
      </c>
      <c r="T89" s="635">
        <f t="shared" si="81"/>
        <v>2.0840001729441378</v>
      </c>
      <c r="U89" s="629">
        <f t="shared" si="82"/>
        <v>2.8867746541512447</v>
      </c>
      <c r="V89" s="636">
        <f t="shared" si="114"/>
        <v>-0.18530028742566707</v>
      </c>
      <c r="W89" s="585">
        <f t="shared" si="645"/>
        <v>54.173992178243253</v>
      </c>
      <c r="X89" s="629">
        <f t="shared" si="83"/>
        <v>3.5604107381987875</v>
      </c>
      <c r="Y89" s="630">
        <f t="shared" si="644"/>
        <v>-0.18530028742566707</v>
      </c>
      <c r="Z89" s="632">
        <f t="shared" si="468"/>
        <v>0.64159915218876351</v>
      </c>
      <c r="AA89" s="629">
        <f t="shared" si="469"/>
        <v>0.72507570710643221</v>
      </c>
      <c r="AB89" s="629">
        <f t="shared" si="470"/>
        <v>-0.25023138666995226</v>
      </c>
      <c r="AC89" s="636">
        <f t="shared" si="84"/>
        <v>1</v>
      </c>
      <c r="AD89" s="637">
        <f t="shared" si="115"/>
        <v>0.64159915218876351</v>
      </c>
      <c r="AE89" s="629">
        <f t="shared" si="85"/>
        <v>0.72507570710643221</v>
      </c>
      <c r="AF89" s="633">
        <f t="shared" si="86"/>
        <v>-0.25023138666995226</v>
      </c>
      <c r="AG89" s="602">
        <f t="shared" si="87"/>
        <v>70.959897700752734</v>
      </c>
      <c r="AH89" s="603">
        <f t="shared" si="88"/>
        <v>50.088832132637584</v>
      </c>
      <c r="AI89" s="585">
        <f t="shared" si="89"/>
        <v>-75.508795125407062</v>
      </c>
      <c r="AJ89" s="586">
        <f t="shared" si="90"/>
        <v>138.49528610963867</v>
      </c>
      <c r="AK89" s="635">
        <f t="shared" si="211"/>
        <v>0.96344296290322073</v>
      </c>
      <c r="AL89" s="629">
        <f t="shared" si="91"/>
        <v>-9.5717868538198636E-2</v>
      </c>
      <c r="AM89" s="634">
        <f t="shared" si="92"/>
        <v>-0.25023138666995226</v>
      </c>
      <c r="AN89" s="581">
        <f t="shared" si="93"/>
        <v>-20.932724059184295</v>
      </c>
      <c r="AO89" s="582">
        <f t="shared" si="461"/>
        <v>15.540147116079467</v>
      </c>
      <c r="AP89" s="585">
        <f t="shared" si="95"/>
        <v>-5.6737060693265073</v>
      </c>
      <c r="AQ89" s="586">
        <f t="shared" si="471"/>
        <v>0.64027212120345867</v>
      </c>
      <c r="AS89" s="52">
        <f t="shared" si="543"/>
        <v>-305.82600782175678</v>
      </c>
      <c r="AT89" s="72">
        <f t="shared" si="472"/>
        <v>2.7082356894496035E-2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6.1180000000000003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-3.4340935718593122</v>
      </c>
      <c r="C90" s="708">
        <v>2.5677224645762462</v>
      </c>
      <c r="D90" s="709">
        <v>-0.38240088188105958</v>
      </c>
      <c r="E90" s="710">
        <v>-0.71530616029307947</v>
      </c>
      <c r="F90" s="708">
        <v>-0.66426636797661232</v>
      </c>
      <c r="G90" s="711">
        <v>0.2169960585400838</v>
      </c>
      <c r="H90" s="710">
        <v>0.314</v>
      </c>
      <c r="I90" s="708">
        <v>0.52</v>
      </c>
      <c r="J90" s="570">
        <v>6.1239999999999997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6.1239999999999997</v>
      </c>
      <c r="N90" s="632">
        <f t="shared" si="465"/>
        <v>-3.4340935718593122</v>
      </c>
      <c r="O90" s="629">
        <f t="shared" si="466"/>
        <v>2.5677224645762462</v>
      </c>
      <c r="P90" s="633">
        <f t="shared" si="467"/>
        <v>-0.38240088188105958</v>
      </c>
      <c r="Q90" s="585">
        <f t="shared" si="520"/>
        <v>143.2139923168501</v>
      </c>
      <c r="R90" s="629">
        <f t="shared" si="79"/>
        <v>4.2879129323454039</v>
      </c>
      <c r="S90" s="634">
        <f t="shared" si="80"/>
        <v>-0.38240088188105958</v>
      </c>
      <c r="T90" s="635">
        <f t="shared" si="81"/>
        <v>2.5674227736444841</v>
      </c>
      <c r="U90" s="629">
        <f t="shared" si="82"/>
        <v>3.4343176348070408</v>
      </c>
      <c r="V90" s="636">
        <f t="shared" si="114"/>
        <v>-0.38240088188105958</v>
      </c>
      <c r="W90" s="585">
        <f t="shared" si="645"/>
        <v>53.21899231612818</v>
      </c>
      <c r="X90" s="629">
        <f t="shared" si="83"/>
        <v>4.2879129323454039</v>
      </c>
      <c r="Y90" s="630">
        <f t="shared" si="644"/>
        <v>-0.38240088188105958</v>
      </c>
      <c r="Z90" s="632">
        <f t="shared" si="468"/>
        <v>0.71530616029307947</v>
      </c>
      <c r="AA90" s="629">
        <f t="shared" si="469"/>
        <v>0.66426636797661232</v>
      </c>
      <c r="AB90" s="629">
        <f t="shared" si="470"/>
        <v>-0.2169960585400838</v>
      </c>
      <c r="AC90" s="636">
        <f t="shared" si="84"/>
        <v>1</v>
      </c>
      <c r="AD90" s="637">
        <f t="shared" si="115"/>
        <v>0.71530616029307947</v>
      </c>
      <c r="AE90" s="629">
        <f t="shared" si="85"/>
        <v>0.66426636797661232</v>
      </c>
      <c r="AF90" s="633">
        <f t="shared" si="86"/>
        <v>-0.2169960585400838</v>
      </c>
      <c r="AG90" s="602">
        <f t="shared" si="87"/>
        <v>71.909325270226404</v>
      </c>
      <c r="AH90" s="603">
        <f t="shared" si="88"/>
        <v>44.331704272035026</v>
      </c>
      <c r="AI90" s="585">
        <f t="shared" si="89"/>
        <v>-77.467341929895838</v>
      </c>
      <c r="AJ90" s="586">
        <f t="shared" si="90"/>
        <v>132.88120489044996</v>
      </c>
      <c r="AK90" s="635">
        <f t="shared" si="211"/>
        <v>0.96034145890475098</v>
      </c>
      <c r="AL90" s="629">
        <f t="shared" si="91"/>
        <v>-0.17509138438759098</v>
      </c>
      <c r="AM90" s="634">
        <f t="shared" si="92"/>
        <v>-0.2169960585400838</v>
      </c>
      <c r="AN90" s="581">
        <f t="shared" si="93"/>
        <v>-38.899622279908932</v>
      </c>
      <c r="AO90" s="582">
        <f t="shared" si="461"/>
        <v>16.190186025980495</v>
      </c>
      <c r="AP90" s="585">
        <f t="shared" si="95"/>
        <v>-10.332787426400104</v>
      </c>
      <c r="AQ90" s="586">
        <f t="shared" si="471"/>
        <v>0.53164820259842416</v>
      </c>
      <c r="AS90" s="52">
        <f t="shared" si="543"/>
        <v>-306.78100768387185</v>
      </c>
      <c r="AT90" s="72">
        <f t="shared" si="472"/>
        <v>-0.16935504321220546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6.1239999999999997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-3.892682231860586</v>
      </c>
      <c r="C91" s="708">
        <v>3.0147982070412227</v>
      </c>
      <c r="D91" s="709">
        <v>-0.78740210336474392</v>
      </c>
      <c r="E91" s="710">
        <v>-0.7773092923960222</v>
      </c>
      <c r="F91" s="708">
        <v>-0.60249020350005489</v>
      </c>
      <c r="G91" s="711">
        <v>0.18109615854914715</v>
      </c>
      <c r="H91" s="710">
        <v>0.314</v>
      </c>
      <c r="I91" s="708">
        <v>0.52</v>
      </c>
      <c r="J91" s="570">
        <v>6.13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6.13</v>
      </c>
      <c r="N91" s="632">
        <f t="shared" si="465"/>
        <v>-3.892682231860586</v>
      </c>
      <c r="O91" s="629">
        <f t="shared" si="466"/>
        <v>3.0147982070412227</v>
      </c>
      <c r="P91" s="633">
        <f t="shared" si="467"/>
        <v>-0.78740210336474392</v>
      </c>
      <c r="Q91" s="585">
        <f t="shared" si="520"/>
        <v>142.24299245704512</v>
      </c>
      <c r="R91" s="629">
        <f t="shared" si="79"/>
        <v>4.9236148496223873</v>
      </c>
      <c r="S91" s="634">
        <f t="shared" si="80"/>
        <v>-0.78740210336474392</v>
      </c>
      <c r="T91" s="635">
        <f t="shared" si="81"/>
        <v>3.0144584950028053</v>
      </c>
      <c r="U91" s="629">
        <f t="shared" si="82"/>
        <v>3.8929453077750145</v>
      </c>
      <c r="V91" s="636">
        <f t="shared" si="114"/>
        <v>-0.78740210336474392</v>
      </c>
      <c r="W91" s="585">
        <f t="shared" si="645"/>
        <v>52.247992456323203</v>
      </c>
      <c r="X91" s="629">
        <f t="shared" si="83"/>
        <v>4.9236148496223873</v>
      </c>
      <c r="Y91" s="630">
        <f t="shared" si="644"/>
        <v>-0.78740210336474392</v>
      </c>
      <c r="Z91" s="632">
        <f t="shared" si="468"/>
        <v>0.7773092923960222</v>
      </c>
      <c r="AA91" s="629">
        <f t="shared" si="469"/>
        <v>0.60249020350005489</v>
      </c>
      <c r="AB91" s="629">
        <f t="shared" si="470"/>
        <v>-0.18109615854914715</v>
      </c>
      <c r="AC91" s="636">
        <f t="shared" si="84"/>
        <v>1</v>
      </c>
      <c r="AD91" s="637">
        <f t="shared" si="115"/>
        <v>0.7773092923960222</v>
      </c>
      <c r="AE91" s="629">
        <f t="shared" si="85"/>
        <v>0.60249020350005489</v>
      </c>
      <c r="AF91" s="633">
        <f t="shared" si="86"/>
        <v>-0.18109615854914715</v>
      </c>
      <c r="AG91" s="602">
        <f t="shared" si="87"/>
        <v>73.27030322139322</v>
      </c>
      <c r="AH91" s="603">
        <f t="shared" si="88"/>
        <v>38.98512733126735</v>
      </c>
      <c r="AI91" s="585">
        <f t="shared" si="89"/>
        <v>-79.566385555478206</v>
      </c>
      <c r="AJ91" s="586">
        <f t="shared" si="90"/>
        <v>127.77916108101235</v>
      </c>
      <c r="AK91" s="635">
        <f t="shared" si="211"/>
        <v>0.95229495284878762</v>
      </c>
      <c r="AL91" s="629">
        <f t="shared" si="91"/>
        <v>-0.24563897112931349</v>
      </c>
      <c r="AM91" s="634">
        <f t="shared" si="92"/>
        <v>-0.18109615854914715</v>
      </c>
      <c r="AN91" s="581">
        <f t="shared" si="93"/>
        <v>-53.600681515776238</v>
      </c>
      <c r="AO91" s="582">
        <f t="shared" si="461"/>
        <v>17.768943226144938</v>
      </c>
      <c r="AP91" s="585">
        <f t="shared" si="95"/>
        <v>-14.463831376032777</v>
      </c>
      <c r="AQ91" s="586">
        <f t="shared" si="471"/>
        <v>0.46300880085516721</v>
      </c>
      <c r="AS91" s="52">
        <f t="shared" si="543"/>
        <v>-307.75200754367677</v>
      </c>
      <c r="AT91" s="72">
        <f t="shared" si="472"/>
        <v>-0.57368195923769194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6.13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-4.2303353405389803</v>
      </c>
      <c r="C92" s="708">
        <v>3.3718383002429766</v>
      </c>
      <c r="D92" s="709">
        <v>-1.3634038405859841</v>
      </c>
      <c r="E92" s="710">
        <v>-0.82915157484449953</v>
      </c>
      <c r="F92" s="708">
        <v>-0.54015791467202867</v>
      </c>
      <c r="G92" s="711">
        <v>0.14400379560987864</v>
      </c>
      <c r="H92" s="710">
        <v>0.314</v>
      </c>
      <c r="I92" s="708">
        <v>0.52</v>
      </c>
      <c r="J92" s="570">
        <v>6.1360000000000001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6.1360000000000001</v>
      </c>
      <c r="N92" s="632">
        <f t="shared" si="465"/>
        <v>-4.2303353405389803</v>
      </c>
      <c r="O92" s="629">
        <f t="shared" si="466"/>
        <v>3.3718383002429766</v>
      </c>
      <c r="P92" s="633">
        <f t="shared" si="467"/>
        <v>-1.3634038405859841</v>
      </c>
      <c r="Q92" s="585">
        <f t="shared" si="520"/>
        <v>141.44299257255082</v>
      </c>
      <c r="R92" s="629">
        <f t="shared" si="79"/>
        <v>5.4097163157044106</v>
      </c>
      <c r="S92" s="634">
        <f t="shared" si="80"/>
        <v>-1.3634038405859841</v>
      </c>
      <c r="T92" s="635">
        <f t="shared" si="81"/>
        <v>3.3714691210569625</v>
      </c>
      <c r="U92" s="629">
        <f t="shared" si="82"/>
        <v>4.230629572789125</v>
      </c>
      <c r="V92" s="636">
        <f t="shared" si="114"/>
        <v>-1.3634038405859841</v>
      </c>
      <c r="W92" s="585">
        <f t="shared" si="645"/>
        <v>51.447992571828905</v>
      </c>
      <c r="X92" s="629">
        <f t="shared" si="83"/>
        <v>5.4097163157044106</v>
      </c>
      <c r="Y92" s="630">
        <f t="shared" si="644"/>
        <v>-1.3634038405859841</v>
      </c>
      <c r="Z92" s="632">
        <f t="shared" si="468"/>
        <v>0.82915157484449953</v>
      </c>
      <c r="AA92" s="629">
        <f t="shared" si="469"/>
        <v>0.54015791467202867</v>
      </c>
      <c r="AB92" s="629">
        <f t="shared" si="470"/>
        <v>-0.14400379560987864</v>
      </c>
      <c r="AC92" s="636">
        <f t="shared" si="84"/>
        <v>1</v>
      </c>
      <c r="AD92" s="637">
        <f t="shared" si="115"/>
        <v>0.82915157484449953</v>
      </c>
      <c r="AE92" s="629">
        <f t="shared" si="85"/>
        <v>0.54015791467202867</v>
      </c>
      <c r="AF92" s="633">
        <f t="shared" si="86"/>
        <v>-0.14400379560987864</v>
      </c>
      <c r="AG92" s="602">
        <f t="shared" si="87"/>
        <v>75.072377225387655</v>
      </c>
      <c r="AH92" s="603">
        <f t="shared" si="88"/>
        <v>33.988317381237046</v>
      </c>
      <c r="AI92" s="585">
        <f t="shared" si="89"/>
        <v>-81.720404538970286</v>
      </c>
      <c r="AJ92" s="586">
        <f t="shared" si="90"/>
        <v>123.08257776925306</v>
      </c>
      <c r="AK92" s="635">
        <f t="shared" si="211"/>
        <v>0.93920158769264472</v>
      </c>
      <c r="AL92" s="629">
        <f t="shared" si="91"/>
        <v>-0.31171025733132968</v>
      </c>
      <c r="AM92" s="634">
        <f t="shared" si="92"/>
        <v>-0.14400379560987864</v>
      </c>
      <c r="AN92" s="581">
        <f t="shared" si="93"/>
        <v>-65.204023793863726</v>
      </c>
      <c r="AO92" s="582">
        <f t="shared" si="461"/>
        <v>20.082097104764909</v>
      </c>
      <c r="AP92" s="585">
        <f t="shared" si="95"/>
        <v>-18.360414803297758</v>
      </c>
      <c r="AQ92" s="586">
        <f t="shared" si="471"/>
        <v>0.42140574322847518</v>
      </c>
      <c r="AS92" s="52">
        <f t="shared" si="543"/>
        <v>-308.55200742817112</v>
      </c>
      <c r="AT92" s="73">
        <f t="shared" si="472"/>
        <v>-1.1491281409835887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6.1360000000000001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-4.4277271123401079</v>
      </c>
      <c r="C93" s="708">
        <v>3.5928029081441837</v>
      </c>
      <c r="D93" s="709">
        <v>-2.0582059361091041</v>
      </c>
      <c r="E93" s="710">
        <v>-0.87282607445575799</v>
      </c>
      <c r="F93" s="708">
        <v>-0.47656166484377827</v>
      </c>
      <c r="G93" s="711">
        <v>0.10518375992270892</v>
      </c>
      <c r="H93" s="710">
        <v>0.314</v>
      </c>
      <c r="I93" s="708">
        <v>0.52</v>
      </c>
      <c r="J93" s="570">
        <v>6.1420000000000003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6.1420000000000003</v>
      </c>
      <c r="N93" s="632">
        <f t="shared" si="465"/>
        <v>-4.4277271123401079</v>
      </c>
      <c r="O93" s="629">
        <f t="shared" si="466"/>
        <v>3.5928029081441837</v>
      </c>
      <c r="P93" s="633">
        <f t="shared" si="467"/>
        <v>-2.0582059361091041</v>
      </c>
      <c r="Q93" s="585">
        <f t="shared" si="520"/>
        <v>140.94299264474188</v>
      </c>
      <c r="R93" s="629">
        <f t="shared" si="79"/>
        <v>5.7020171972838671</v>
      </c>
      <c r="S93" s="634">
        <f t="shared" si="80"/>
        <v>-2.0582059361091041</v>
      </c>
      <c r="T93" s="635">
        <f t="shared" si="81"/>
        <v>3.5924165024376364</v>
      </c>
      <c r="U93" s="629">
        <f t="shared" si="82"/>
        <v>4.4280406266355214</v>
      </c>
      <c r="V93" s="636">
        <f t="shared" si="114"/>
        <v>-2.0582059361091041</v>
      </c>
      <c r="W93" s="585">
        <f t="shared" si="645"/>
        <v>50.947992644019962</v>
      </c>
      <c r="X93" s="629">
        <f t="shared" si="83"/>
        <v>5.7020171972838671</v>
      </c>
      <c r="Y93" s="630">
        <f t="shared" si="644"/>
        <v>-2.0582059361091041</v>
      </c>
      <c r="Z93" s="632">
        <f t="shared" si="468"/>
        <v>0.87282607445575799</v>
      </c>
      <c r="AA93" s="629">
        <f t="shared" si="469"/>
        <v>0.47656166484377827</v>
      </c>
      <c r="AB93" s="629">
        <f t="shared" si="470"/>
        <v>-0.10518375992270892</v>
      </c>
      <c r="AC93" s="636">
        <f t="shared" si="84"/>
        <v>1</v>
      </c>
      <c r="AD93" s="637">
        <f t="shared" si="115"/>
        <v>0.87282607445575799</v>
      </c>
      <c r="AE93" s="629">
        <f t="shared" si="85"/>
        <v>0.47656166484377827</v>
      </c>
      <c r="AF93" s="633">
        <f t="shared" si="86"/>
        <v>-0.10518375992270892</v>
      </c>
      <c r="AG93" s="602">
        <f t="shared" si="87"/>
        <v>77.553574916358329</v>
      </c>
      <c r="AH93" s="603">
        <f t="shared" si="88"/>
        <v>29.2112728895675</v>
      </c>
      <c r="AI93" s="585">
        <f t="shared" si="89"/>
        <v>-83.962246144867393</v>
      </c>
      <c r="AJ93" s="586">
        <f t="shared" si="90"/>
        <v>118.6344708961647</v>
      </c>
      <c r="AK93" s="635">
        <f t="shared" si="211"/>
        <v>0.92002126286787678</v>
      </c>
      <c r="AL93" s="629">
        <f t="shared" si="91"/>
        <v>-0.37748808261919869</v>
      </c>
      <c r="AM93" s="634">
        <f t="shared" si="92"/>
        <v>-0.10518375992270892</v>
      </c>
      <c r="AN93" s="581">
        <f t="shared" si="93"/>
        <v>-74.429968629191876</v>
      </c>
      <c r="AO93" s="582">
        <f t="shared" si="461"/>
        <v>23.070809382024663</v>
      </c>
      <c r="AP93" s="585">
        <f t="shared" si="95"/>
        <v>-22.308521748577181</v>
      </c>
      <c r="AQ93" s="586">
        <f t="shared" si="471"/>
        <v>0.39980406094837789</v>
      </c>
      <c r="AS93" s="52">
        <f t="shared" si="543"/>
        <v>-309.05200735598004</v>
      </c>
      <c r="AT93" s="73">
        <f t="shared" si="472"/>
        <v>-1.8435830143346192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6.1420000000000003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-4.5147127530370748</v>
      </c>
      <c r="C94" s="708">
        <v>3.6932771888330334</v>
      </c>
      <c r="D94" s="709">
        <v>-2.8022081800198713</v>
      </c>
      <c r="E94" s="710">
        <v>-0.92246021979671367</v>
      </c>
      <c r="F94" s="708">
        <v>-0.37871173189191865</v>
      </c>
      <c r="G94" s="711">
        <v>7.5130333554578307E-2</v>
      </c>
      <c r="H94" s="710">
        <v>0.314</v>
      </c>
      <c r="I94" s="708">
        <v>0.52</v>
      </c>
      <c r="J94" s="570">
        <v>6.1479999999999997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6.1479999999999997</v>
      </c>
      <c r="N94" s="632">
        <f t="shared" si="465"/>
        <v>-4.5147127530370748</v>
      </c>
      <c r="O94" s="629">
        <f t="shared" si="466"/>
        <v>3.6932771888330334</v>
      </c>
      <c r="P94" s="633">
        <f t="shared" si="467"/>
        <v>-2.8022081800198713</v>
      </c>
      <c r="Q94" s="585">
        <f t="shared" si="520"/>
        <v>140.71499267766097</v>
      </c>
      <c r="R94" s="629">
        <f t="shared" si="79"/>
        <v>5.8329175920794594</v>
      </c>
      <c r="S94" s="634">
        <f t="shared" si="80"/>
        <v>-2.8022081800198713</v>
      </c>
      <c r="T94" s="635">
        <f t="shared" si="81"/>
        <v>3.6928831918158562</v>
      </c>
      <c r="U94" s="629">
        <f t="shared" si="82"/>
        <v>4.5150350350350523</v>
      </c>
      <c r="V94" s="636">
        <f t="shared" si="114"/>
        <v>-2.8022081800198713</v>
      </c>
      <c r="W94" s="585">
        <f t="shared" si="645"/>
        <v>50.719992676939057</v>
      </c>
      <c r="X94" s="629">
        <f t="shared" si="83"/>
        <v>5.8329175920794594</v>
      </c>
      <c r="Y94" s="630">
        <f t="shared" si="644"/>
        <v>-2.8022081800198713</v>
      </c>
      <c r="Z94" s="632">
        <f t="shared" si="468"/>
        <v>0.92246021979671367</v>
      </c>
      <c r="AA94" s="629">
        <f t="shared" si="469"/>
        <v>0.37871173189191865</v>
      </c>
      <c r="AB94" s="629">
        <f t="shared" si="470"/>
        <v>-7.5130333554578307E-2</v>
      </c>
      <c r="AC94" s="636">
        <f t="shared" si="84"/>
        <v>1</v>
      </c>
      <c r="AD94" s="637">
        <f t="shared" si="115"/>
        <v>0.92246021979671367</v>
      </c>
      <c r="AE94" s="629">
        <f t="shared" si="85"/>
        <v>0.37871173189191865</v>
      </c>
      <c r="AF94" s="633">
        <f t="shared" si="86"/>
        <v>-7.5130333554578307E-2</v>
      </c>
      <c r="AG94" s="602">
        <f t="shared" si="87"/>
        <v>78.779126091594122</v>
      </c>
      <c r="AH94" s="603">
        <f t="shared" si="88"/>
        <v>22.711558583719441</v>
      </c>
      <c r="AI94" s="585">
        <f t="shared" si="89"/>
        <v>-85.691289004352171</v>
      </c>
      <c r="AJ94" s="586">
        <f t="shared" si="90"/>
        <v>112.32037251309688</v>
      </c>
      <c r="AK94" s="635">
        <f t="shared" si="211"/>
        <v>0.87720697100645928</v>
      </c>
      <c r="AL94" s="629">
        <f t="shared" si="91"/>
        <v>-0.47419759910574255</v>
      </c>
      <c r="AM94" s="634">
        <f t="shared" si="92"/>
        <v>-7.5130333554578307E-2</v>
      </c>
      <c r="AN94" s="581">
        <f t="shared" si="93"/>
        <v>-80.997075408626856</v>
      </c>
      <c r="AO94" s="582">
        <f t="shared" si="461"/>
        <v>28.692744201986997</v>
      </c>
      <c r="AP94" s="585">
        <f t="shared" si="95"/>
        <v>-28.394620164564081</v>
      </c>
      <c r="AQ94" s="586">
        <f t="shared" si="471"/>
        <v>0.39083207282227828</v>
      </c>
      <c r="AS94" s="52">
        <f t="shared" si="543"/>
        <v>-309.28000732306094</v>
      </c>
      <c r="AT94" s="73">
        <f t="shared" si="472"/>
        <v>-2.5874269249349138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6.1479999999999997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-4.5850889747303318</v>
      </c>
      <c r="C95" s="708">
        <v>3.7760291353333795</v>
      </c>
      <c r="D95" s="709">
        <v>-3.523610355768831</v>
      </c>
      <c r="E95" s="710">
        <v>-0.96350442357463439</v>
      </c>
      <c r="F95" s="708">
        <v>-0.26769240884286349</v>
      </c>
      <c r="G95" s="711">
        <v>1.300841925034794E-7</v>
      </c>
      <c r="H95" s="710">
        <v>0.26600000000000001</v>
      </c>
      <c r="I95" s="708">
        <v>0.52</v>
      </c>
      <c r="J95" s="570">
        <v>6.1539999999999999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1313</v>
      </c>
      <c r="L95" s="320"/>
      <c r="M95" s="168">
        <f t="shared" si="464"/>
        <v>6.1539999999999999</v>
      </c>
      <c r="N95" s="632">
        <f t="shared" si="465"/>
        <v>-4.5850889747303318</v>
      </c>
      <c r="O95" s="629">
        <f t="shared" si="466"/>
        <v>3.7760291353333795</v>
      </c>
      <c r="P95" s="633">
        <f t="shared" si="467"/>
        <v>-3.523610355768831</v>
      </c>
      <c r="Q95" s="585">
        <f t="shared" si="520"/>
        <v>140.52699279731323</v>
      </c>
      <c r="R95" s="629">
        <f t="shared" si="79"/>
        <v>5.9398179212060187</v>
      </c>
      <c r="S95" s="634">
        <f t="shared" si="80"/>
        <v>-3.523610355768831</v>
      </c>
      <c r="T95" s="635">
        <f t="shared" si="81"/>
        <v>3.7756289965180798</v>
      </c>
      <c r="U95" s="629">
        <f t="shared" si="82"/>
        <v>4.58541847792893</v>
      </c>
      <c r="V95" s="636">
        <f t="shared" si="114"/>
        <v>-3.523610355768831</v>
      </c>
      <c r="W95" s="585">
        <f t="shared" si="645"/>
        <v>50.531992796591311</v>
      </c>
      <c r="X95" s="629">
        <f t="shared" si="83"/>
        <v>5.9398179212060187</v>
      </c>
      <c r="Y95" s="630">
        <f t="shared" si="644"/>
        <v>-3.523610355768831</v>
      </c>
      <c r="Z95" s="632">
        <f t="shared" si="468"/>
        <v>0.96350442357463439</v>
      </c>
      <c r="AA95" s="629">
        <f t="shared" si="469"/>
        <v>0.26769240884286349</v>
      </c>
      <c r="AB95" s="629">
        <f t="shared" si="470"/>
        <v>-1.300841925034794E-7</v>
      </c>
      <c r="AC95" s="636">
        <f t="shared" si="84"/>
        <v>1</v>
      </c>
      <c r="AD95" s="637">
        <f t="shared" si="115"/>
        <v>0.96350442357463439</v>
      </c>
      <c r="AE95" s="629">
        <f t="shared" si="85"/>
        <v>0.26769240884286349</v>
      </c>
      <c r="AF95" s="633">
        <f t="shared" si="86"/>
        <v>-1.300841925034794E-7</v>
      </c>
      <c r="AG95" s="602">
        <f t="shared" si="87"/>
        <v>89.999972157315767</v>
      </c>
      <c r="AH95" s="603">
        <f t="shared" si="88"/>
        <v>15.526997758181309</v>
      </c>
      <c r="AI95" s="585">
        <f t="shared" si="89"/>
        <v>-89.999992546724783</v>
      </c>
      <c r="AJ95" s="586">
        <f t="shared" si="90"/>
        <v>105.52699775817958</v>
      </c>
      <c r="AK95" s="635">
        <f t="shared" si="211"/>
        <v>0.81915209395120947</v>
      </c>
      <c r="AL95" s="629">
        <f t="shared" si="91"/>
        <v>-0.57357636542602775</v>
      </c>
      <c r="AM95" s="634">
        <f t="shared" si="92"/>
        <v>-1.300841925034794E-7</v>
      </c>
      <c r="AN95" s="581">
        <f t="shared" si="93"/>
        <v>-89.999987005609611</v>
      </c>
      <c r="AO95" s="582">
        <f t="shared" si="461"/>
        <v>34.999995039134333</v>
      </c>
      <c r="AP95" s="585">
        <f t="shared" si="95"/>
        <v>-34.999995039133651</v>
      </c>
      <c r="AQ95" s="586">
        <f t="shared" si="471"/>
        <v>0.38379838651474835</v>
      </c>
      <c r="AS95" s="52">
        <f t="shared" si="543"/>
        <v>-309.46800720340866</v>
      </c>
      <c r="AT95" s="73">
        <f t="shared" si="472"/>
        <v>-3.3086985452114095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6.1539999999999999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1313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-2.071117011743782</v>
      </c>
      <c r="C96" s="708">
        <v>2.9006001102390986</v>
      </c>
      <c r="D96" s="709">
        <v>-0.19183664851352022</v>
      </c>
      <c r="E96" s="710">
        <v>-5.4888518999983447E-2</v>
      </c>
      <c r="F96" s="708">
        <v>7.6871000061063691E-2</v>
      </c>
      <c r="G96" s="711">
        <v>0.99552905524228696</v>
      </c>
      <c r="H96" s="710">
        <v>0.26250000000000001</v>
      </c>
      <c r="I96" s="708">
        <v>0.40699999999999997</v>
      </c>
      <c r="J96" s="570">
        <v>6.218</v>
      </c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Inactive</v>
      </c>
      <c r="L96" s="320"/>
      <c r="M96" s="168">
        <f t="shared" si="464"/>
        <v>6.218</v>
      </c>
      <c r="N96" s="632">
        <f t="shared" si="465"/>
        <v>-2.071117011743782</v>
      </c>
      <c r="O96" s="629">
        <f t="shared" si="466"/>
        <v>2.9006001102390986</v>
      </c>
      <c r="P96" s="633">
        <f t="shared" si="467"/>
        <v>-0.19183664851352022</v>
      </c>
      <c r="Q96" s="585">
        <f t="shared" si="520"/>
        <v>125.52799487039218</v>
      </c>
      <c r="R96" s="629">
        <f t="shared" si="79"/>
        <v>3.5641277580711894</v>
      </c>
      <c r="S96" s="634">
        <f t="shared" si="80"/>
        <v>-0.19183664851352022</v>
      </c>
      <c r="T96" s="635">
        <f t="shared" si="81"/>
        <v>2.9004193601655159</v>
      </c>
      <c r="U96" s="629">
        <f t="shared" si="82"/>
        <v>2.071370128931723</v>
      </c>
      <c r="V96" s="636">
        <f t="shared" si="114"/>
        <v>-0.19183664851352022</v>
      </c>
      <c r="W96" s="585">
        <f t="shared" si="645"/>
        <v>35.532994869670262</v>
      </c>
      <c r="X96" s="629">
        <f t="shared" si="83"/>
        <v>3.5641277580711894</v>
      </c>
      <c r="Y96" s="630">
        <f t="shared" si="644"/>
        <v>-0.19183664851352022</v>
      </c>
      <c r="Z96" s="632">
        <f t="shared" si="468"/>
        <v>5.4888518999983447E-2</v>
      </c>
      <c r="AA96" s="629">
        <f t="shared" si="469"/>
        <v>-7.6871000061063691E-2</v>
      </c>
      <c r="AB96" s="629">
        <f t="shared" si="470"/>
        <v>-0.99552905524228696</v>
      </c>
      <c r="AC96" s="636">
        <f t="shared" si="84"/>
        <v>1</v>
      </c>
      <c r="AD96" s="637">
        <f t="shared" si="115"/>
        <v>5.4888518999983447E-2</v>
      </c>
      <c r="AE96" s="629">
        <f t="shared" si="85"/>
        <v>-7.6871000061063691E-2</v>
      </c>
      <c r="AF96" s="633">
        <f t="shared" si="86"/>
        <v>-0.99552905524228696</v>
      </c>
      <c r="AG96" s="602">
        <f t="shared" si="87"/>
        <v>-4.4154025865311528</v>
      </c>
      <c r="AH96" s="603">
        <f t="shared" si="88"/>
        <v>86.853538249994855</v>
      </c>
      <c r="AI96" s="585">
        <f t="shared" si="89"/>
        <v>-5.4199992174644489</v>
      </c>
      <c r="AJ96" s="586">
        <f t="shared" si="90"/>
        <v>35.528132441498748</v>
      </c>
      <c r="AK96" s="635">
        <f t="shared" si="211"/>
        <v>2.2679489668914199E-7</v>
      </c>
      <c r="AL96" s="629">
        <f t="shared" si="91"/>
        <v>-9.4455810664819145E-2</v>
      </c>
      <c r="AM96" s="634">
        <f t="shared" si="92"/>
        <v>-0.99552905524228696</v>
      </c>
      <c r="AN96" s="581">
        <f t="shared" si="93"/>
        <v>-5.4199992174489324</v>
      </c>
      <c r="AO96" s="582">
        <f t="shared" si="461"/>
        <v>0</v>
      </c>
      <c r="AP96" s="585">
        <f t="shared" si="95"/>
        <v>-89.999862428893437</v>
      </c>
      <c r="AQ96" s="586">
        <f t="shared" si="471"/>
        <v>0.63960443852099824</v>
      </c>
      <c r="AS96" s="52">
        <f t="shared" si="543"/>
        <v>-324.46700513032977</v>
      </c>
      <c r="AT96" s="73">
        <f t="shared" si="472"/>
        <v>3.3491132826485248E-2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Nose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6.218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0.11799999999999999</v>
      </c>
      <c r="II96" s="734" cm="1">
        <f t="array" ref="II96">IFERROR(ROUND(VALUE(IF($IH96&lt;1,$IH96+LARGE((IF($M$9:$M$150="",0,$M$9:$M$150)-MOD(IF($M$9:$M$150="",0,$M$9:$M$150),1)),1),$IH96)),4),"")</f>
        <v>6.1180000000000003</v>
      </c>
      <c r="IJ96" s="533">
        <f t="shared" si="542"/>
        <v>1613</v>
      </c>
      <c r="IK96" s="533" t="str">
        <f t="shared" si="517"/>
        <v>Inactive</v>
      </c>
      <c r="IL96" s="727">
        <f t="shared" si="647"/>
        <v>18.640997308572992</v>
      </c>
      <c r="IM96" s="759">
        <v>4.3889215041273098E-2</v>
      </c>
      <c r="IN96" s="5">
        <f t="shared" si="648"/>
        <v>0.88</v>
      </c>
      <c r="IO96" s="771">
        <v>440</v>
      </c>
      <c r="IP96" s="9">
        <f t="shared" si="649"/>
        <v>-3.5604107381987875</v>
      </c>
      <c r="IQ96" s="5">
        <f t="shared" si="650"/>
        <v>-0.18530028742566707</v>
      </c>
      <c r="IR96" s="5">
        <f t="shared" si="518"/>
        <v>0.314</v>
      </c>
      <c r="IS96" s="5">
        <f t="shared" si="651"/>
        <v>0.30252109035161129</v>
      </c>
      <c r="IT96" s="727">
        <f t="shared" si="652"/>
        <v>20.932724059184295</v>
      </c>
      <c r="IU96" s="9">
        <f t="shared" si="653"/>
        <v>-3.5641277580711894</v>
      </c>
      <c r="IV96" s="5">
        <f t="shared" si="654"/>
        <v>-0.19183664851352022</v>
      </c>
      <c r="IW96" s="5">
        <f t="shared" si="519"/>
        <v>0.26250000000000001</v>
      </c>
      <c r="IX96" s="5">
        <f t="shared" si="655"/>
        <v>0.26250000000000001</v>
      </c>
      <c r="IY96" s="762">
        <f t="shared" si="656"/>
        <v>5.4199992174489324</v>
      </c>
    </row>
    <row r="97" spans="1:259" ht="15" customHeight="1" x14ac:dyDescent="0.25">
      <c r="A97" s="79"/>
      <c r="B97" s="707">
        <v>-2.8145361234279904</v>
      </c>
      <c r="C97" s="708">
        <v>3.2579122231802482</v>
      </c>
      <c r="D97" s="709">
        <v>-0.33651623793421231</v>
      </c>
      <c r="E97" s="710">
        <v>-0.82611261544326053</v>
      </c>
      <c r="F97" s="708">
        <v>-0.42208230432287086</v>
      </c>
      <c r="G97" s="711">
        <v>0.37334230269685631</v>
      </c>
      <c r="H97" s="710">
        <v>0.26600000000000001</v>
      </c>
      <c r="I97" s="708">
        <v>0.52</v>
      </c>
      <c r="J97" s="570">
        <v>6.2240000000000002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1313</v>
      </c>
      <c r="L97" s="320"/>
      <c r="M97" s="168">
        <f t="shared" si="464"/>
        <v>6.2240000000000002</v>
      </c>
      <c r="N97" s="632">
        <f t="shared" si="465"/>
        <v>-2.8145361234279904</v>
      </c>
      <c r="O97" s="629">
        <f t="shared" si="466"/>
        <v>3.2579122231802482</v>
      </c>
      <c r="P97" s="633">
        <f t="shared" si="467"/>
        <v>-0.33651623793421231</v>
      </c>
      <c r="Q97" s="585">
        <f t="shared" si="520"/>
        <v>130.8239941057445</v>
      </c>
      <c r="R97" s="629">
        <f t="shared" si="79"/>
        <v>4.3052997159348072</v>
      </c>
      <c r="S97" s="634">
        <f t="shared" si="80"/>
        <v>-0.33651623793421231</v>
      </c>
      <c r="T97" s="635">
        <f t="shared" si="81"/>
        <v>3.2576665961994666</v>
      </c>
      <c r="U97" s="629">
        <f t="shared" si="82"/>
        <v>2.8148204191448012</v>
      </c>
      <c r="V97" s="636">
        <f t="shared" si="114"/>
        <v>-0.33651623793421231</v>
      </c>
      <c r="W97" s="585">
        <f t="shared" si="645"/>
        <v>40.828994105022588</v>
      </c>
      <c r="X97" s="629">
        <f t="shared" si="83"/>
        <v>4.3052997159348072</v>
      </c>
      <c r="Y97" s="630">
        <f t="shared" si="644"/>
        <v>-0.33651623793421231</v>
      </c>
      <c r="Z97" s="632">
        <f t="shared" si="468"/>
        <v>0.82611261544326053</v>
      </c>
      <c r="AA97" s="629">
        <f t="shared" si="469"/>
        <v>0.42208230432287086</v>
      </c>
      <c r="AB97" s="629">
        <f t="shared" si="470"/>
        <v>-0.37334230269685631</v>
      </c>
      <c r="AC97" s="636">
        <f t="shared" si="84"/>
        <v>1</v>
      </c>
      <c r="AD97" s="637">
        <f t="shared" si="115"/>
        <v>0.82611261544326053</v>
      </c>
      <c r="AE97" s="629">
        <f t="shared" si="85"/>
        <v>0.42208230432287086</v>
      </c>
      <c r="AF97" s="633">
        <f t="shared" si="86"/>
        <v>-0.37334230269685631</v>
      </c>
      <c r="AG97" s="602">
        <f t="shared" si="87"/>
        <v>48.506440600377005</v>
      </c>
      <c r="AH97" s="603">
        <f t="shared" si="88"/>
        <v>34.298543909129855</v>
      </c>
      <c r="AI97" s="585">
        <f t="shared" si="89"/>
        <v>-68.0781059779207</v>
      </c>
      <c r="AJ97" s="586">
        <f t="shared" si="90"/>
        <v>117.06366427783897</v>
      </c>
      <c r="AK97" s="635">
        <f t="shared" si="211"/>
        <v>0.90106811049509572</v>
      </c>
      <c r="AL97" s="629">
        <f t="shared" si="91"/>
        <v>-0.22066215186525967</v>
      </c>
      <c r="AM97" s="634">
        <f t="shared" si="92"/>
        <v>-0.37334230269685631</v>
      </c>
      <c r="AN97" s="581">
        <f t="shared" si="93"/>
        <v>-30.585003974577397</v>
      </c>
      <c r="AO97" s="582">
        <f t="shared" si="461"/>
        <v>25.70117728856215</v>
      </c>
      <c r="AP97" s="585">
        <f t="shared" si="95"/>
        <v>-13.760329827905537</v>
      </c>
      <c r="AQ97" s="586">
        <f t="shared" si="471"/>
        <v>0.52950128473281333</v>
      </c>
      <c r="AS97" s="52">
        <f t="shared" si="543"/>
        <v>-319.17100589497738</v>
      </c>
      <c r="AT97" s="73">
        <f t="shared" si="472"/>
        <v>-0.11486623384097935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Nose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6.2240000000000002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0.124</v>
      </c>
      <c r="II97" s="734" cm="1">
        <f t="array" ref="II97">IFERROR(ROUND(VALUE(IF($IH97&lt;1,$IH97+LARGE((IF($M$9:$M$150="",0,$M$9:$M$150)-MOD(IF($M$9:$M$150="",0,$M$9:$M$150),1)),1),$IH97)),4),"")</f>
        <v>6.1239999999999997</v>
      </c>
      <c r="IJ97" s="533">
        <f t="shared" si="542"/>
        <v>1613</v>
      </c>
      <c r="IK97" s="533">
        <f t="shared" si="517"/>
        <v>1313</v>
      </c>
      <c r="IL97" s="727">
        <f t="shared" si="647"/>
        <v>12.389998211105592</v>
      </c>
      <c r="IM97" s="759">
        <v>1.31267065123558E-2</v>
      </c>
      <c r="IN97" s="5">
        <f t="shared" si="648"/>
        <v>0.36</v>
      </c>
      <c r="IO97" s="771">
        <v>180</v>
      </c>
      <c r="IP97" s="9">
        <f t="shared" si="649"/>
        <v>-4.2879129323454039</v>
      </c>
      <c r="IQ97" s="5">
        <f t="shared" si="650"/>
        <v>-0.38240088188105958</v>
      </c>
      <c r="IR97" s="5">
        <f t="shared" si="518"/>
        <v>0.314</v>
      </c>
      <c r="IS97" s="5">
        <f t="shared" si="651"/>
        <v>0.30154721809609181</v>
      </c>
      <c r="IT97" s="727">
        <f t="shared" si="652"/>
        <v>38.899622279908932</v>
      </c>
      <c r="IU97" s="9">
        <f t="shared" si="653"/>
        <v>-4.3052997159348072</v>
      </c>
      <c r="IV97" s="5">
        <f t="shared" si="654"/>
        <v>-0.33651623793421231</v>
      </c>
      <c r="IW97" s="5">
        <f t="shared" si="519"/>
        <v>0.26600000000000001</v>
      </c>
      <c r="IX97" s="5">
        <f t="shared" si="655"/>
        <v>0.23968411739169548</v>
      </c>
      <c r="IY97" s="762">
        <f t="shared" si="656"/>
        <v>30.585003974577397</v>
      </c>
    </row>
    <row r="98" spans="1:259" ht="15" customHeight="1" x14ac:dyDescent="0.25">
      <c r="A98" s="79"/>
      <c r="B98" s="707">
        <v>-3.2573682704410465</v>
      </c>
      <c r="C98" s="708">
        <v>3.730047758497768</v>
      </c>
      <c r="D98" s="709">
        <v>-0.74395615735680753</v>
      </c>
      <c r="E98" s="710">
        <v>-0.88052206128727795</v>
      </c>
      <c r="F98" s="708">
        <v>-0.34538526395885688</v>
      </c>
      <c r="G98" s="711">
        <v>0.32463813550855991</v>
      </c>
      <c r="H98" s="710">
        <v>0.26600000000000001</v>
      </c>
      <c r="I98" s="708">
        <v>0.52</v>
      </c>
      <c r="J98" s="570">
        <v>6.23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6.23</v>
      </c>
      <c r="N98" s="632">
        <f t="shared" si="465"/>
        <v>-3.2573682704410465</v>
      </c>
      <c r="O98" s="629">
        <f t="shared" si="466"/>
        <v>3.730047758497768</v>
      </c>
      <c r="P98" s="633">
        <f t="shared" si="467"/>
        <v>-0.74395615735680753</v>
      </c>
      <c r="Q98" s="585">
        <f t="shared" si="520"/>
        <v>131.12999406156359</v>
      </c>
      <c r="R98" s="629">
        <f t="shared" si="79"/>
        <v>4.9521413883238754</v>
      </c>
      <c r="S98" s="634">
        <f t="shared" si="80"/>
        <v>-0.74395615735680753</v>
      </c>
      <c r="T98" s="635">
        <f t="shared" si="81"/>
        <v>3.72976348532986</v>
      </c>
      <c r="U98" s="629">
        <f t="shared" si="82"/>
        <v>3.2576937660637126</v>
      </c>
      <c r="V98" s="636">
        <f t="shared" si="114"/>
        <v>-0.74395615735680753</v>
      </c>
      <c r="W98" s="585">
        <f t="shared" si="645"/>
        <v>41.134994060841677</v>
      </c>
      <c r="X98" s="629">
        <f t="shared" si="83"/>
        <v>4.9521413883238754</v>
      </c>
      <c r="Y98" s="630">
        <f t="shared" si="644"/>
        <v>-0.74395615735680753</v>
      </c>
      <c r="Z98" s="632">
        <f t="shared" si="468"/>
        <v>0.88052206128727795</v>
      </c>
      <c r="AA98" s="629">
        <f t="shared" si="469"/>
        <v>0.34538526395885688</v>
      </c>
      <c r="AB98" s="629">
        <f t="shared" si="470"/>
        <v>-0.32463813550855991</v>
      </c>
      <c r="AC98" s="636">
        <f t="shared" si="84"/>
        <v>1</v>
      </c>
      <c r="AD98" s="637">
        <f t="shared" si="115"/>
        <v>0.88052206128727795</v>
      </c>
      <c r="AE98" s="629">
        <f t="shared" si="85"/>
        <v>0.34538526395885688</v>
      </c>
      <c r="AF98" s="633">
        <f t="shared" si="86"/>
        <v>-0.32463813550855991</v>
      </c>
      <c r="AG98" s="602">
        <f t="shared" si="87"/>
        <v>46.773584614686044</v>
      </c>
      <c r="AH98" s="603">
        <f t="shared" si="88"/>
        <v>28.294596382473024</v>
      </c>
      <c r="AI98" s="585">
        <f t="shared" si="89"/>
        <v>-71.056347014299874</v>
      </c>
      <c r="AJ98" s="586">
        <f t="shared" si="90"/>
        <v>111.41762179543151</v>
      </c>
      <c r="AK98" s="635">
        <f t="shared" si="211"/>
        <v>0.89041002571260797</v>
      </c>
      <c r="AL98" s="629">
        <f t="shared" si="91"/>
        <v>-0.31902988431179785</v>
      </c>
      <c r="AM98" s="634">
        <f t="shared" si="92"/>
        <v>-0.32463813550855991</v>
      </c>
      <c r="AN98" s="581">
        <f t="shared" si="93"/>
        <v>-44.500797020822127</v>
      </c>
      <c r="AO98" s="582">
        <f t="shared" si="461"/>
        <v>27.075184178330797</v>
      </c>
      <c r="AP98" s="585">
        <f t="shared" si="95"/>
        <v>-19.712372266132078</v>
      </c>
      <c r="AQ98" s="586">
        <f t="shared" si="471"/>
        <v>0.46034177917893698</v>
      </c>
      <c r="AS98" s="52">
        <f t="shared" si="543"/>
        <v>-318.86500593915832</v>
      </c>
      <c r="AT98" s="73">
        <f t="shared" si="472"/>
        <v>-0.52251865323289337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Taper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6.23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0.13</v>
      </c>
      <c r="II98" s="734" cm="1">
        <f t="array" ref="II98">IFERROR(ROUND(VALUE(IF($IH98&lt;1,$IH98+LARGE((IF($M$9:$M$150="",0,$M$9:$M$150)-MOD(IF($M$9:$M$150="",0,$M$9:$M$150),1)),1),$IH98)),4),"")</f>
        <v>6.13</v>
      </c>
      <c r="IJ98" s="533">
        <f t="shared" si="542"/>
        <v>1613</v>
      </c>
      <c r="IK98" s="533">
        <f t="shared" si="517"/>
        <v>1313</v>
      </c>
      <c r="IL98" s="727">
        <f t="shared" si="647"/>
        <v>11.112998395481526</v>
      </c>
      <c r="IM98" s="759">
        <v>1.0794038654810999E-2</v>
      </c>
      <c r="IN98" s="5">
        <f t="shared" si="648"/>
        <v>0.34</v>
      </c>
      <c r="IO98" s="771">
        <v>170</v>
      </c>
      <c r="IP98" s="9">
        <f t="shared" si="649"/>
        <v>-4.9236148496223873</v>
      </c>
      <c r="IQ98" s="5">
        <f t="shared" si="650"/>
        <v>-0.78740210336474392</v>
      </c>
      <c r="IR98" s="5">
        <f t="shared" si="518"/>
        <v>0.314</v>
      </c>
      <c r="IS98" s="5">
        <f t="shared" si="651"/>
        <v>0.29902061519451933</v>
      </c>
      <c r="IT98" s="727">
        <f t="shared" si="652"/>
        <v>53.600681515776238</v>
      </c>
      <c r="IU98" s="9">
        <f t="shared" si="653"/>
        <v>-4.9521413883238754</v>
      </c>
      <c r="IV98" s="5">
        <f t="shared" si="654"/>
        <v>-0.74395615735680753</v>
      </c>
      <c r="IW98" s="5">
        <f t="shared" si="519"/>
        <v>0.26600000000000001</v>
      </c>
      <c r="IX98" s="5">
        <f t="shared" si="655"/>
        <v>0.23684906683955373</v>
      </c>
      <c r="IY98" s="762">
        <f t="shared" si="656"/>
        <v>44.500797020822127</v>
      </c>
    </row>
    <row r="99" spans="1:259" ht="15" customHeight="1" x14ac:dyDescent="0.25">
      <c r="A99" s="79"/>
      <c r="B99" s="707">
        <v>-3.5815755868550689</v>
      </c>
      <c r="C99" s="708">
        <v>4.1063613693767236</v>
      </c>
      <c r="D99" s="709">
        <v>-1.3246777051921577</v>
      </c>
      <c r="E99" s="710">
        <v>-0.9260121816089435</v>
      </c>
      <c r="F99" s="708">
        <v>-0.26483661681804294</v>
      </c>
      <c r="G99" s="711">
        <v>0.26900372842066378</v>
      </c>
      <c r="H99" s="710">
        <v>0.26600000000000001</v>
      </c>
      <c r="I99" s="708">
        <v>0.52</v>
      </c>
      <c r="J99" s="570">
        <v>6.2359999999999998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6.2359999999999998</v>
      </c>
      <c r="N99" s="632">
        <f t="shared" si="465"/>
        <v>-3.5815755868550689</v>
      </c>
      <c r="O99" s="629">
        <f t="shared" si="466"/>
        <v>4.1063613693767236</v>
      </c>
      <c r="P99" s="633">
        <f t="shared" si="467"/>
        <v>-1.3246777051921577</v>
      </c>
      <c r="Q99" s="585">
        <f t="shared" si="520"/>
        <v>131.09499406661695</v>
      </c>
      <c r="R99" s="629">
        <f t="shared" si="79"/>
        <v>5.4488427560598325</v>
      </c>
      <c r="S99" s="634">
        <f t="shared" si="80"/>
        <v>-1.3246777051921577</v>
      </c>
      <c r="T99" s="635">
        <f t="shared" si="81"/>
        <v>4.1060488023543895</v>
      </c>
      <c r="U99" s="629">
        <f t="shared" si="82"/>
        <v>3.5819339207961107</v>
      </c>
      <c r="V99" s="636">
        <f t="shared" si="114"/>
        <v>-1.3246777051921577</v>
      </c>
      <c r="W99" s="585">
        <f t="shared" si="645"/>
        <v>41.099994065895032</v>
      </c>
      <c r="X99" s="629">
        <f t="shared" si="83"/>
        <v>5.4488427560598325</v>
      </c>
      <c r="Y99" s="630">
        <f t="shared" si="644"/>
        <v>-1.3246777051921577</v>
      </c>
      <c r="Z99" s="632">
        <f t="shared" si="468"/>
        <v>0.9260121816089435</v>
      </c>
      <c r="AA99" s="629">
        <f t="shared" si="469"/>
        <v>0.26483661681804294</v>
      </c>
      <c r="AB99" s="629">
        <f t="shared" si="470"/>
        <v>-0.26900372842066378</v>
      </c>
      <c r="AC99" s="636">
        <f t="shared" si="84"/>
        <v>1</v>
      </c>
      <c r="AD99" s="637">
        <f t="shared" si="115"/>
        <v>0.9260121816089435</v>
      </c>
      <c r="AE99" s="629">
        <f t="shared" si="85"/>
        <v>0.26483661681804294</v>
      </c>
      <c r="AF99" s="633">
        <f t="shared" si="86"/>
        <v>-0.26900372842066378</v>
      </c>
      <c r="AG99" s="602">
        <f t="shared" si="87"/>
        <v>44.552763179962376</v>
      </c>
      <c r="AH99" s="603">
        <f t="shared" si="88"/>
        <v>22.178518392083248</v>
      </c>
      <c r="AI99" s="585">
        <f t="shared" si="89"/>
        <v>-74.395008504525492</v>
      </c>
      <c r="AJ99" s="586">
        <f t="shared" si="90"/>
        <v>105.9603655064976</v>
      </c>
      <c r="AK99" s="635">
        <f t="shared" si="211"/>
        <v>0.87194166250222604</v>
      </c>
      <c r="AL99" s="629">
        <f t="shared" si="91"/>
        <v>-0.40909012611970469</v>
      </c>
      <c r="AM99" s="634">
        <f t="shared" si="92"/>
        <v>-0.26900372842066378</v>
      </c>
      <c r="AN99" s="581">
        <f t="shared" si="93"/>
        <v>-56.672443035801308</v>
      </c>
      <c r="AO99" s="582">
        <f t="shared" si="461"/>
        <v>29.314936809760937</v>
      </c>
      <c r="AP99" s="585">
        <f t="shared" si="95"/>
        <v>-25.134628560119339</v>
      </c>
      <c r="AQ99" s="586">
        <f t="shared" si="471"/>
        <v>0.41837986797434984</v>
      </c>
      <c r="AS99" s="52">
        <f t="shared" si="543"/>
        <v>-318.90000593410497</v>
      </c>
      <c r="AT99" s="73">
        <f t="shared" si="472"/>
        <v>-1.1032158955161973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6.2359999999999998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0.13600000000000001</v>
      </c>
      <c r="II99" s="734" cm="1">
        <f t="array" ref="II99">IFERROR(ROUND(VALUE(IF($IH99&lt;1,$IH99+LARGE((IF($M$9:$M$150="",0,$M$9:$M$150)-MOD(IF($M$9:$M$150="",0,$M$9:$M$150),1)),1),$IH99)),4),"")</f>
        <v>6.1360000000000001</v>
      </c>
      <c r="IJ99" s="533">
        <f t="shared" si="542"/>
        <v>1613</v>
      </c>
      <c r="IK99" s="533">
        <f t="shared" si="517"/>
        <v>1313</v>
      </c>
      <c r="IL99" s="727">
        <f t="shared" si="647"/>
        <v>10.347998505933873</v>
      </c>
      <c r="IM99" s="759">
        <v>8.7245860173904895E-3</v>
      </c>
      <c r="IN99" s="5">
        <f t="shared" si="648"/>
        <v>0.3</v>
      </c>
      <c r="IO99" s="771">
        <v>150</v>
      </c>
      <c r="IP99" s="9">
        <f t="shared" si="649"/>
        <v>-5.4097163157044106</v>
      </c>
      <c r="IQ99" s="5">
        <f t="shared" si="650"/>
        <v>-1.3634038405859841</v>
      </c>
      <c r="IR99" s="5">
        <f t="shared" si="518"/>
        <v>0.314</v>
      </c>
      <c r="IS99" s="5">
        <f t="shared" si="651"/>
        <v>0.29490929853549047</v>
      </c>
      <c r="IT99" s="727">
        <f t="shared" si="652"/>
        <v>65.204023793863726</v>
      </c>
      <c r="IU99" s="9">
        <f t="shared" si="653"/>
        <v>-5.4488427560598325</v>
      </c>
      <c r="IV99" s="5">
        <f t="shared" si="654"/>
        <v>-1.3246777051921577</v>
      </c>
      <c r="IW99" s="5">
        <f t="shared" si="519"/>
        <v>0.26600000000000001</v>
      </c>
      <c r="IX99" s="5">
        <f t="shared" si="655"/>
        <v>0.23193648222559213</v>
      </c>
      <c r="IY99" s="762">
        <f t="shared" si="656"/>
        <v>56.672443035801308</v>
      </c>
    </row>
    <row r="100" spans="1:259" ht="15" customHeight="1" x14ac:dyDescent="0.25">
      <c r="A100" s="79"/>
      <c r="B100" s="707">
        <v>-3.7709434978666265</v>
      </c>
      <c r="C100" s="708">
        <v>4.3396575742571368</v>
      </c>
      <c r="D100" s="709">
        <v>-2.0279379410112321</v>
      </c>
      <c r="E100" s="710">
        <v>-0.96064254259911475</v>
      </c>
      <c r="F100" s="708">
        <v>-0.19563575421046425</v>
      </c>
      <c r="G100" s="711">
        <v>0.19721195963533988</v>
      </c>
      <c r="H100" s="710">
        <v>0.26600000000000001</v>
      </c>
      <c r="I100" s="708">
        <v>0.52</v>
      </c>
      <c r="J100" s="570">
        <v>6.242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6.242</v>
      </c>
      <c r="N100" s="632">
        <f t="shared" si="465"/>
        <v>-3.7709434978666265</v>
      </c>
      <c r="O100" s="629">
        <f t="shared" si="466"/>
        <v>4.3396575742571368</v>
      </c>
      <c r="P100" s="633">
        <f t="shared" si="467"/>
        <v>-2.0279379410112321</v>
      </c>
      <c r="Q100" s="585">
        <f t="shared" si="520"/>
        <v>130.98899408192148</v>
      </c>
      <c r="R100" s="629">
        <f t="shared" si="79"/>
        <v>5.7491427818336467</v>
      </c>
      <c r="S100" s="634">
        <f t="shared" si="80"/>
        <v>-2.0279379410112321</v>
      </c>
      <c r="T100" s="635">
        <f t="shared" si="81"/>
        <v>4.339328480881159</v>
      </c>
      <c r="U100" s="629">
        <f t="shared" si="82"/>
        <v>3.7713221900181817</v>
      </c>
      <c r="V100" s="636">
        <f t="shared" si="114"/>
        <v>-2.0279379410112321</v>
      </c>
      <c r="W100" s="585">
        <f t="shared" si="645"/>
        <v>40.99399408119956</v>
      </c>
      <c r="X100" s="629">
        <f t="shared" si="83"/>
        <v>5.7491427818336467</v>
      </c>
      <c r="Y100" s="630">
        <f t="shared" si="644"/>
        <v>-2.0279379410112321</v>
      </c>
      <c r="Z100" s="632">
        <f t="shared" si="468"/>
        <v>0.96064254259911475</v>
      </c>
      <c r="AA100" s="629">
        <f t="shared" si="469"/>
        <v>0.19563575421046425</v>
      </c>
      <c r="AB100" s="629">
        <f t="shared" si="470"/>
        <v>-0.19721195963533988</v>
      </c>
      <c r="AC100" s="636">
        <f t="shared" si="84"/>
        <v>1</v>
      </c>
      <c r="AD100" s="637">
        <f t="shared" si="115"/>
        <v>0.96064254259911475</v>
      </c>
      <c r="AE100" s="629">
        <f t="shared" si="85"/>
        <v>0.19563575421046425</v>
      </c>
      <c r="AF100" s="633">
        <f t="shared" si="86"/>
        <v>-0.19721195963533988</v>
      </c>
      <c r="AG100" s="602">
        <f t="shared" si="87"/>
        <v>44.770115923540182</v>
      </c>
      <c r="AH100" s="603">
        <f t="shared" si="88"/>
        <v>16.12820117079459</v>
      </c>
      <c r="AI100" s="585">
        <f t="shared" si="89"/>
        <v>-78.626030826616642</v>
      </c>
      <c r="AJ100" s="586">
        <f t="shared" si="90"/>
        <v>101.51092831614829</v>
      </c>
      <c r="AK100" s="635">
        <f t="shared" si="211"/>
        <v>0.85344741775036337</v>
      </c>
      <c r="AL100" s="629">
        <f t="shared" si="91"/>
        <v>-0.48242610637487898</v>
      </c>
      <c r="AM100" s="634">
        <f t="shared" si="92"/>
        <v>-0.19721195963533988</v>
      </c>
      <c r="AN100" s="581">
        <f t="shared" si="93"/>
        <v>-67.765646121119318</v>
      </c>
      <c r="AO100" s="582">
        <f t="shared" si="461"/>
        <v>31.411366868747098</v>
      </c>
      <c r="AP100" s="585">
        <f t="shared" si="95"/>
        <v>-29.478065765773174</v>
      </c>
      <c r="AQ100" s="586">
        <f t="shared" si="471"/>
        <v>0.39652698178974066</v>
      </c>
      <c r="AS100" s="52">
        <f t="shared" si="543"/>
        <v>-319.00600591880044</v>
      </c>
      <c r="AT100" s="73">
        <f t="shared" si="472"/>
        <v>-1.8064025202347886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6.242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0.14199999999999999</v>
      </c>
      <c r="II100" s="734" cm="1">
        <f t="array" ref="II100">IFERROR(ROUND(VALUE(IF($IH100&lt;1,$IH100+LARGE((IF($M$9:$M$150="",0,$M$9:$M$150)-MOD(IF($M$9:$M$150="",0,$M$9:$M$150),1)),1),$IH100)),4),"")</f>
        <v>6.1420000000000003</v>
      </c>
      <c r="IJ100" s="533">
        <f t="shared" si="542"/>
        <v>1613</v>
      </c>
      <c r="IK100" s="533">
        <f t="shared" si="517"/>
        <v>1313</v>
      </c>
      <c r="IL100" s="727">
        <f t="shared" si="647"/>
        <v>9.9539985628204022</v>
      </c>
      <c r="IM100" s="759">
        <v>6.7343872942501196E-3</v>
      </c>
      <c r="IN100" s="5">
        <f t="shared" si="648"/>
        <v>0.3</v>
      </c>
      <c r="IO100" s="771">
        <v>150</v>
      </c>
      <c r="IP100" s="9">
        <f t="shared" si="649"/>
        <v>-5.7020171972838671</v>
      </c>
      <c r="IQ100" s="5">
        <f t="shared" si="650"/>
        <v>-2.0582059361091041</v>
      </c>
      <c r="IR100" s="5">
        <f t="shared" si="518"/>
        <v>0.314</v>
      </c>
      <c r="IS100" s="5">
        <f t="shared" si="651"/>
        <v>0.28888667654051331</v>
      </c>
      <c r="IT100" s="727">
        <f t="shared" si="652"/>
        <v>74.429968629191876</v>
      </c>
      <c r="IU100" s="9">
        <f t="shared" si="653"/>
        <v>-5.7491427818336467</v>
      </c>
      <c r="IV100" s="5">
        <f t="shared" si="654"/>
        <v>-2.0279379410112321</v>
      </c>
      <c r="IW100" s="5">
        <f t="shared" si="519"/>
        <v>0.26600000000000001</v>
      </c>
      <c r="IX100" s="5">
        <f t="shared" si="655"/>
        <v>0.22701701312159667</v>
      </c>
      <c r="IY100" s="762">
        <f t="shared" si="656"/>
        <v>67.765646121119318</v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0.96591604655908048</v>
      </c>
      <c r="F157" s="170">
        <f t="shared" si="929"/>
        <v>6.1490359010817314E-2</v>
      </c>
      <c r="G157" s="170">
        <f t="shared" si="929"/>
        <v>-0.25144607125265883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0.96423026396684608</v>
      </c>
      <c r="F158" s="170">
        <f t="shared" si="929"/>
        <v>-5.8733809099453096E-2</v>
      </c>
      <c r="G158" s="170">
        <f t="shared" si="929"/>
        <v>-0.25847695781074093</v>
      </c>
      <c r="H158" s="139"/>
      <c r="I158" s="86"/>
      <c r="J158" s="79">
        <f t="shared" si="930"/>
        <v>1.115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0.95863831988853232</v>
      </c>
      <c r="F159" s="170">
        <f t="shared" si="929"/>
        <v>-0.15881549225671435</v>
      </c>
      <c r="G159" s="170">
        <f t="shared" si="929"/>
        <v>-0.23619951536899811</v>
      </c>
      <c r="H159" s="139"/>
      <c r="I159" s="86"/>
      <c r="J159" s="79">
        <f t="shared" si="930"/>
        <v>1.121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0.94467636974648916</v>
      </c>
      <c r="F160" s="170">
        <f t="shared" si="929"/>
        <v>-0.25287326368180579</v>
      </c>
      <c r="G160" s="170">
        <f t="shared" si="929"/>
        <v>-0.2089058854065784</v>
      </c>
      <c r="H160" s="139"/>
      <c r="I160" s="86"/>
      <c r="J160" s="79">
        <f t="shared" si="930"/>
        <v>1.127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0.92875093757488225</v>
      </c>
      <c r="F161" s="170">
        <f t="shared" si="929"/>
        <v>-0.33224767080816958</v>
      </c>
      <c r="G161" s="170">
        <f t="shared" si="929"/>
        <v>-0.16441770341518422</v>
      </c>
      <c r="H161" s="139"/>
      <c r="I161" s="86"/>
      <c r="J161" s="79">
        <f t="shared" si="930"/>
        <v>1.133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0.90765063001120572</v>
      </c>
      <c r="F162" s="170">
        <f t="shared" si="929"/>
        <v>-0.40204781889021007</v>
      </c>
      <c r="G162" s="170">
        <f t="shared" si="929"/>
        <v>-0.12053167702262538</v>
      </c>
      <c r="H162" s="139"/>
      <c r="I162" s="86"/>
      <c r="J162" s="79">
        <f t="shared" si="930"/>
        <v>1.139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0.86620285509917971</v>
      </c>
      <c r="F163" s="170">
        <f t="shared" si="929"/>
        <v>-0.49073763514495139</v>
      </c>
      <c r="G163" s="170">
        <f t="shared" si="929"/>
        <v>-9.4176362588338114E-2</v>
      </c>
      <c r="H163" s="139"/>
      <c r="I163" s="86"/>
      <c r="J163" s="79">
        <f t="shared" si="930"/>
        <v>1.145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0.81062077874397176</v>
      </c>
      <c r="F164" s="170">
        <f t="shared" si="929"/>
        <v>-0.58360122988936414</v>
      </c>
      <c r="G164" s="170">
        <f t="shared" si="929"/>
        <v>-4.7995390821810716E-2</v>
      </c>
      <c r="H164" s="139"/>
      <c r="I164" s="86"/>
      <c r="J164" s="79">
        <f t="shared" si="930"/>
        <v>1.151</v>
      </c>
    </row>
    <row r="165" spans="5:16" x14ac:dyDescent="0.25">
      <c r="E165" s="170">
        <f t="shared" si="929"/>
        <v>0.7719243057347317</v>
      </c>
      <c r="F165" s="170">
        <f t="shared" si="929"/>
        <v>-0.63571445336403642</v>
      </c>
      <c r="G165" s="170">
        <f t="shared" si="929"/>
        <v>-1.3008419221110988E-7</v>
      </c>
      <c r="H165" s="139"/>
      <c r="I165" s="86"/>
      <c r="J165" s="79">
        <f t="shared" si="930"/>
        <v>1.157</v>
      </c>
    </row>
    <row r="166" spans="5:16" x14ac:dyDescent="0.25">
      <c r="E166" s="170">
        <f t="shared" si="929"/>
        <v>0.10506086394882855</v>
      </c>
      <c r="F166" s="170">
        <f t="shared" si="929"/>
        <v>0.23653645400779333</v>
      </c>
      <c r="G166" s="170">
        <f t="shared" si="929"/>
        <v>-0.96592583607218263</v>
      </c>
      <c r="H166" s="139"/>
      <c r="I166" s="86"/>
      <c r="J166" s="79">
        <f t="shared" si="930"/>
        <v>1.21</v>
      </c>
    </row>
    <row r="167" spans="5:16" x14ac:dyDescent="0.25">
      <c r="E167" s="170">
        <f t="shared" si="929"/>
        <v>2.1255697522925109E-7</v>
      </c>
      <c r="F167" s="170">
        <f t="shared" si="929"/>
        <v>-7.9091449944917098E-8</v>
      </c>
      <c r="G167" s="170">
        <f t="shared" si="929"/>
        <v>-0.99999999999997435</v>
      </c>
      <c r="H167" s="139"/>
      <c r="I167" s="86"/>
      <c r="J167" s="79">
        <f t="shared" si="930"/>
        <v>1.2150000000000001</v>
      </c>
    </row>
    <row r="168" spans="5:16" x14ac:dyDescent="0.25">
      <c r="E168" s="170">
        <f t="shared" si="929"/>
        <v>-6.0843814353658481E-2</v>
      </c>
      <c r="F168" s="170">
        <f t="shared" si="929"/>
        <v>-0.17777171223532001</v>
      </c>
      <c r="G168" s="170">
        <f t="shared" si="929"/>
        <v>-0.98218900858430513</v>
      </c>
      <c r="H168" s="139"/>
      <c r="I168" s="86"/>
      <c r="J168" s="79">
        <f t="shared" si="930"/>
        <v>1.2210000000000001</v>
      </c>
    </row>
    <row r="169" spans="5:16" x14ac:dyDescent="0.25">
      <c r="E169" s="170">
        <f t="shared" si="929"/>
        <v>0.79940309542768195</v>
      </c>
      <c r="F169" s="170">
        <f t="shared" si="929"/>
        <v>-0.48174359888995555</v>
      </c>
      <c r="G169" s="170">
        <f t="shared" si="929"/>
        <v>-0.35899553750596119</v>
      </c>
      <c r="H169" s="139"/>
      <c r="I169" s="86"/>
      <c r="J169" s="79">
        <f t="shared" si="930"/>
        <v>1.2270000000000001</v>
      </c>
    </row>
    <row r="170" spans="5:16" x14ac:dyDescent="0.25">
      <c r="E170" s="170">
        <f t="shared" si="929"/>
        <v>0.7678362904734084</v>
      </c>
      <c r="F170" s="170">
        <f t="shared" si="929"/>
        <v>-0.56647210893896038</v>
      </c>
      <c r="G170" s="170">
        <f t="shared" si="929"/>
        <v>-0.29922697209022159</v>
      </c>
      <c r="H170" s="139"/>
      <c r="I170" s="86"/>
      <c r="J170" s="79">
        <f t="shared" si="930"/>
        <v>1.2330000000000001</v>
      </c>
    </row>
    <row r="171" spans="5:16" x14ac:dyDescent="0.25">
      <c r="E171" s="170">
        <f t="shared" si="929"/>
        <v>0.72910561354169945</v>
      </c>
      <c r="F171" s="170">
        <f t="shared" si="929"/>
        <v>-0.64287003233686146</v>
      </c>
      <c r="G171" s="170">
        <f t="shared" si="929"/>
        <v>-0.23478314638232631</v>
      </c>
      <c r="H171" s="139"/>
      <c r="I171" s="86"/>
      <c r="J171" s="79">
        <f t="shared" si="930"/>
        <v>1.2390000000000001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0.70593761388194554</v>
      </c>
      <c r="F172" s="170">
        <f t="shared" si="929"/>
        <v>-0.69264979303052532</v>
      </c>
      <c r="G172" s="170">
        <f t="shared" si="929"/>
        <v>-0.14794711731370702</v>
      </c>
      <c r="H172" s="139"/>
      <c r="I172" s="86"/>
      <c r="J172" s="79">
        <f t="shared" si="930"/>
        <v>1.2450000000000001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0.37497876330148971</v>
      </c>
      <c r="F173" s="170">
        <f t="shared" si="929"/>
        <v>-0.88967201713831567</v>
      </c>
      <c r="G173" s="170">
        <f t="shared" si="929"/>
        <v>-0.2605275973748768</v>
      </c>
      <c r="H173" s="139"/>
      <c r="I173" s="86"/>
      <c r="J173" s="79">
        <f t="shared" si="930"/>
        <v>2.1139999999999999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0.27629677922628815</v>
      </c>
      <c r="F174" s="170">
        <f t="shared" si="933"/>
        <v>-0.93024162261456744</v>
      </c>
      <c r="G174" s="170">
        <f t="shared" si="933"/>
        <v>-0.24147590634387628</v>
      </c>
      <c r="H174" s="139"/>
      <c r="I174" s="86"/>
      <c r="J174" s="79">
        <f t="shared" si="930"/>
        <v>2.12</v>
      </c>
    </row>
    <row r="175" spans="5:16" x14ac:dyDescent="0.25">
      <c r="E175" s="170">
        <f t="shared" si="933"/>
        <v>0.19045307823629931</v>
      </c>
      <c r="F175" s="170">
        <f t="shared" si="933"/>
        <v>-0.96074952538239411</v>
      </c>
      <c r="G175" s="170">
        <f t="shared" si="933"/>
        <v>-0.20171260364147431</v>
      </c>
      <c r="H175" s="139"/>
      <c r="I175" s="86"/>
      <c r="J175" s="79">
        <f t="shared" si="930"/>
        <v>2.1259999999999999</v>
      </c>
    </row>
    <row r="176" spans="5:16" x14ac:dyDescent="0.25">
      <c r="E176" s="170">
        <f t="shared" si="933"/>
        <v>0.10172296547461462</v>
      </c>
      <c r="F176" s="170">
        <f t="shared" si="933"/>
        <v>-0.97926784669286915</v>
      </c>
      <c r="G176" s="170">
        <f t="shared" si="933"/>
        <v>-0.17517683273926901</v>
      </c>
      <c r="H176" s="139"/>
      <c r="I176" s="86"/>
      <c r="J176" s="79">
        <f t="shared" si="930"/>
        <v>2.1320000000000001</v>
      </c>
    </row>
    <row r="177" spans="5:10" x14ac:dyDescent="0.25">
      <c r="E177" s="170">
        <f t="shared" si="933"/>
        <v>3.808079931116521E-2</v>
      </c>
      <c r="F177" s="170">
        <f t="shared" si="933"/>
        <v>-0.99198475132401431</v>
      </c>
      <c r="G177" s="170">
        <f t="shared" si="933"/>
        <v>-0.12048280318973502</v>
      </c>
      <c r="H177" s="139"/>
      <c r="I177" s="86"/>
      <c r="J177" s="79">
        <f t="shared" si="930"/>
        <v>2.1379999999999999</v>
      </c>
    </row>
    <row r="178" spans="5:10" x14ac:dyDescent="0.25">
      <c r="E178" s="170">
        <f t="shared" si="933"/>
        <v>-6.0327353768099931E-2</v>
      </c>
      <c r="F178" s="170">
        <f t="shared" si="933"/>
        <v>-0.99327918041624774</v>
      </c>
      <c r="G178" s="170">
        <f t="shared" si="933"/>
        <v>-9.8777933461707698E-2</v>
      </c>
      <c r="H178" s="139"/>
      <c r="I178" s="86"/>
      <c r="J178" s="79">
        <f t="shared" si="930"/>
        <v>2.1440000000000001</v>
      </c>
    </row>
    <row r="179" spans="5:10" x14ac:dyDescent="0.25">
      <c r="E179" s="170">
        <f t="shared" si="933"/>
        <v>-0.1688829028883336</v>
      </c>
      <c r="F179" s="170">
        <f t="shared" si="933"/>
        <v>-0.98393140480715813</v>
      </c>
      <c r="G179" s="170">
        <f t="shared" si="933"/>
        <v>-5.7944419457113976E-2</v>
      </c>
      <c r="H179" s="139"/>
      <c r="I179" s="86"/>
      <c r="J179" s="79">
        <f t="shared" si="930"/>
        <v>2.15</v>
      </c>
    </row>
    <row r="180" spans="5:10" x14ac:dyDescent="0.25">
      <c r="E180" s="170">
        <f t="shared" si="933"/>
        <v>-0.24992437092290612</v>
      </c>
      <c r="F180" s="170">
        <f t="shared" si="933"/>
        <v>-0.96826536074506597</v>
      </c>
      <c r="G180" s="170">
        <f t="shared" si="933"/>
        <v>-1.3008419215060828E-7</v>
      </c>
      <c r="H180" s="139"/>
      <c r="I180" s="86"/>
      <c r="J180" s="79">
        <f t="shared" si="930"/>
        <v>2.1560000000000001</v>
      </c>
    </row>
    <row r="181" spans="5:10" x14ac:dyDescent="0.25">
      <c r="E181" s="170">
        <f t="shared" si="933"/>
        <v>-0.15610715705109365</v>
      </c>
      <c r="F181" s="170">
        <f t="shared" si="933"/>
        <v>-1.6258903510772787E-2</v>
      </c>
      <c r="G181" s="170">
        <f t="shared" si="933"/>
        <v>-0.98760629988576554</v>
      </c>
      <c r="H181" s="139"/>
      <c r="I181" s="86"/>
      <c r="J181" s="79">
        <f t="shared" si="930"/>
        <v>2.2200000000000002</v>
      </c>
    </row>
    <row r="182" spans="5:10" x14ac:dyDescent="0.25">
      <c r="E182" s="170">
        <f t="shared" si="933"/>
        <v>-7.7194312826123962E-2</v>
      </c>
      <c r="F182" s="170">
        <f t="shared" si="933"/>
        <v>-0.93178905406322576</v>
      </c>
      <c r="G182" s="170">
        <f t="shared" si="933"/>
        <v>-0.35469733124913921</v>
      </c>
      <c r="H182" s="139"/>
      <c r="I182" s="86"/>
      <c r="J182" s="79">
        <f t="shared" si="930"/>
        <v>2.226</v>
      </c>
    </row>
    <row r="183" spans="5:10" x14ac:dyDescent="0.25">
      <c r="E183" s="170">
        <f t="shared" si="933"/>
        <v>-0.1763191232321451</v>
      </c>
      <c r="F183" s="170">
        <f t="shared" si="933"/>
        <v>-0.93334151463458803</v>
      </c>
      <c r="G183" s="170">
        <f t="shared" si="933"/>
        <v>-0.31270622610088977</v>
      </c>
      <c r="H183" s="139"/>
      <c r="I183" s="86"/>
      <c r="J183" s="79">
        <f t="shared" si="930"/>
        <v>2.2320000000000002</v>
      </c>
    </row>
    <row r="184" spans="5:10" x14ac:dyDescent="0.25">
      <c r="E184" s="170">
        <f t="shared" si="933"/>
        <v>-0.25375243322866131</v>
      </c>
      <c r="F184" s="170">
        <f t="shared" si="933"/>
        <v>-0.93727653382631049</v>
      </c>
      <c r="G184" s="170">
        <f t="shared" si="933"/>
        <v>-0.23900293255328711</v>
      </c>
      <c r="H184" s="139"/>
      <c r="I184" s="86"/>
      <c r="J184" s="79">
        <f t="shared" si="930"/>
        <v>2.238</v>
      </c>
    </row>
    <row r="185" spans="5:10" x14ac:dyDescent="0.25">
      <c r="E185" s="170">
        <f t="shared" si="933"/>
        <v>-0.32385152551799024</v>
      </c>
      <c r="F185" s="170">
        <f t="shared" si="933"/>
        <v>-0.9316951235333415</v>
      </c>
      <c r="G185" s="170">
        <f t="shared" si="933"/>
        <v>-0.16451257156783516</v>
      </c>
      <c r="H185" s="139"/>
      <c r="I185" s="86"/>
      <c r="J185" s="79">
        <f t="shared" si="930"/>
        <v>2.2440000000000002</v>
      </c>
    </row>
    <row r="186" spans="5:10" x14ac:dyDescent="0.25">
      <c r="E186" s="170">
        <f t="shared" si="933"/>
        <v>-0.48327680144980684</v>
      </c>
      <c r="F186" s="170">
        <f t="shared" si="933"/>
        <v>-0.82587943137992426</v>
      </c>
      <c r="G186" s="170">
        <f t="shared" si="933"/>
        <v>-0.29045946017304536</v>
      </c>
      <c r="H186" s="139"/>
      <c r="I186" s="86"/>
      <c r="J186" s="79">
        <f t="shared" si="930"/>
        <v>3.1019999999999999</v>
      </c>
    </row>
    <row r="187" spans="5:10" x14ac:dyDescent="0.25">
      <c r="E187" s="170">
        <f t="shared" si="933"/>
        <v>-0.49916002344389943</v>
      </c>
      <c r="F187" s="170">
        <f t="shared" si="933"/>
        <v>-0.82966215254342957</v>
      </c>
      <c r="G187" s="170">
        <f t="shared" si="933"/>
        <v>-0.24999996726497564</v>
      </c>
      <c r="H187" s="139"/>
      <c r="I187" s="86"/>
      <c r="J187" s="79">
        <f t="shared" si="930"/>
        <v>3.105</v>
      </c>
    </row>
    <row r="188" spans="5:10" x14ac:dyDescent="0.25">
      <c r="E188" s="170">
        <f t="shared" si="933"/>
        <v>-0.49916002344389948</v>
      </c>
      <c r="F188" s="170">
        <f t="shared" si="933"/>
        <v>-0.82966215254342957</v>
      </c>
      <c r="G188" s="170">
        <f t="shared" si="933"/>
        <v>-0.24999996726497564</v>
      </c>
      <c r="H188" s="139"/>
      <c r="I188" s="86"/>
      <c r="J188" s="79">
        <f t="shared" si="930"/>
        <v>3.1080000000000001</v>
      </c>
    </row>
    <row r="189" spans="5:10" x14ac:dyDescent="0.25">
      <c r="E189" s="170">
        <f t="shared" si="933"/>
        <v>-0.52837162678019567</v>
      </c>
      <c r="F189" s="170">
        <f t="shared" si="933"/>
        <v>-0.80898275497856686</v>
      </c>
      <c r="G189" s="170">
        <f t="shared" si="933"/>
        <v>-0.25762438968571599</v>
      </c>
      <c r="H189" s="139"/>
      <c r="I189" s="86"/>
      <c r="J189" s="79">
        <f t="shared" si="930"/>
        <v>3.1120000000000001</v>
      </c>
    </row>
    <row r="190" spans="5:10" x14ac:dyDescent="0.25">
      <c r="E190" s="170">
        <f t="shared" si="933"/>
        <v>-0.62828022789316595</v>
      </c>
      <c r="F190" s="170">
        <f t="shared" si="933"/>
        <v>-0.73547276502127135</v>
      </c>
      <c r="G190" s="170">
        <f t="shared" si="933"/>
        <v>-0.25366073237786968</v>
      </c>
      <c r="H190" s="139"/>
      <c r="I190" s="86"/>
      <c r="J190" s="79">
        <f t="shared" si="930"/>
        <v>3.117</v>
      </c>
    </row>
    <row r="191" spans="5:10" x14ac:dyDescent="0.25">
      <c r="E191" s="170">
        <f t="shared" si="933"/>
        <v>-0.70389463777450312</v>
      </c>
      <c r="F191" s="170">
        <f t="shared" si="933"/>
        <v>-0.67408110507984054</v>
      </c>
      <c r="G191" s="170">
        <f t="shared" si="933"/>
        <v>-0.22393526449990403</v>
      </c>
      <c r="H191" s="139"/>
      <c r="I191" s="86"/>
      <c r="J191" s="79">
        <f t="shared" si="930"/>
        <v>3.1230000000000002</v>
      </c>
    </row>
    <row r="192" spans="5:10" x14ac:dyDescent="0.25">
      <c r="E192" s="170">
        <f t="shared" si="933"/>
        <v>-0.76838508422741092</v>
      </c>
      <c r="F192" s="170">
        <f t="shared" si="933"/>
        <v>-0.61091345556280052</v>
      </c>
      <c r="G192" s="170">
        <f t="shared" si="933"/>
        <v>-0.19070687493940255</v>
      </c>
      <c r="H192" s="139"/>
      <c r="I192" s="86"/>
      <c r="J192" s="79">
        <f t="shared" si="930"/>
        <v>3.129</v>
      </c>
    </row>
    <row r="193" spans="5:10" x14ac:dyDescent="0.25">
      <c r="E193" s="170">
        <f t="shared" si="933"/>
        <v>-0.81849946460144984</v>
      </c>
      <c r="F193" s="170">
        <f t="shared" si="933"/>
        <v>-0.55659650065769217</v>
      </c>
      <c r="G193" s="170">
        <f t="shared" si="933"/>
        <v>-0.1423339801409057</v>
      </c>
      <c r="H193" s="139"/>
      <c r="I193" s="86"/>
      <c r="J193" s="79">
        <f t="shared" si="930"/>
        <v>3.1349999999999998</v>
      </c>
    </row>
    <row r="194" spans="5:10" x14ac:dyDescent="0.25">
      <c r="E194" s="170">
        <f t="shared" ref="E194:G213" si="934">E49*-1</f>
        <v>-0.86368416696749406</v>
      </c>
      <c r="F194" s="170">
        <f t="shared" si="934"/>
        <v>-0.49251136078270524</v>
      </c>
      <c r="G194" s="170">
        <f t="shared" si="934"/>
        <v>-0.1071551176082315</v>
      </c>
      <c r="H194" s="139"/>
      <c r="I194" s="86"/>
      <c r="J194" s="79">
        <f t="shared" si="930"/>
        <v>3.141</v>
      </c>
    </row>
    <row r="195" spans="5:10" x14ac:dyDescent="0.25">
      <c r="E195" s="170">
        <f t="shared" si="934"/>
        <v>-0.91488608795475235</v>
      </c>
      <c r="F195" s="170">
        <f t="shared" si="934"/>
        <v>-0.39522312844915231</v>
      </c>
      <c r="G195" s="170">
        <f t="shared" si="934"/>
        <v>-8.235365690553309E-2</v>
      </c>
      <c r="H195" s="139"/>
      <c r="I195" s="86"/>
      <c r="J195" s="79">
        <f t="shared" si="930"/>
        <v>3.1469999999999998</v>
      </c>
    </row>
    <row r="196" spans="5:10" x14ac:dyDescent="0.25">
      <c r="E196" s="170">
        <f t="shared" si="934"/>
        <v>-0.96350454499707949</v>
      </c>
      <c r="F196" s="170">
        <f t="shared" si="934"/>
        <v>-0.267691971807064</v>
      </c>
      <c r="G196" s="170">
        <f t="shared" si="934"/>
        <v>-1.3008419205995495E-7</v>
      </c>
      <c r="H196" s="139"/>
      <c r="I196" s="86"/>
      <c r="J196" s="79">
        <f t="shared" si="930"/>
        <v>3.153</v>
      </c>
    </row>
    <row r="197" spans="5:10" x14ac:dyDescent="0.25">
      <c r="E197" s="170">
        <f t="shared" si="934"/>
        <v>0.11707823752833646</v>
      </c>
      <c r="F197" s="170">
        <f t="shared" si="934"/>
        <v>-0.23082453401992087</v>
      </c>
      <c r="G197" s="170">
        <f t="shared" si="934"/>
        <v>-0.96592583607218263</v>
      </c>
      <c r="H197" s="139"/>
      <c r="I197" s="86"/>
      <c r="J197" s="79">
        <f t="shared" si="930"/>
        <v>3.2080000000000002</v>
      </c>
    </row>
    <row r="198" spans="5:10" x14ac:dyDescent="0.25">
      <c r="E198" s="170">
        <f t="shared" si="934"/>
        <v>0.11183907800417493</v>
      </c>
      <c r="F198" s="170">
        <f t="shared" si="934"/>
        <v>-0.17526916303356485</v>
      </c>
      <c r="G198" s="170">
        <f t="shared" si="934"/>
        <v>-0.97814760702088821</v>
      </c>
      <c r="H198" s="139"/>
      <c r="I198" s="86"/>
      <c r="J198" s="79">
        <f t="shared" si="930"/>
        <v>3.2109999999999999</v>
      </c>
    </row>
    <row r="199" spans="5:10" x14ac:dyDescent="0.25">
      <c r="E199" s="170">
        <f t="shared" si="934"/>
        <v>-3.6349801082070303E-2</v>
      </c>
      <c r="F199" s="170">
        <f t="shared" si="934"/>
        <v>5.1412500014844022E-2</v>
      </c>
      <c r="G199" s="170">
        <f t="shared" si="934"/>
        <v>-0.99801575478722659</v>
      </c>
      <c r="H199" s="139"/>
      <c r="I199" s="86"/>
      <c r="J199" s="79">
        <f t="shared" si="930"/>
        <v>3.2170000000000001</v>
      </c>
    </row>
    <row r="200" spans="5:10" x14ac:dyDescent="0.25">
      <c r="E200" s="170">
        <f t="shared" si="934"/>
        <v>-0.81614248834899206</v>
      </c>
      <c r="F200" s="170">
        <f t="shared" si="934"/>
        <v>-0.43380879427693647</v>
      </c>
      <c r="G200" s="170">
        <f t="shared" si="934"/>
        <v>-0.38173468367376051</v>
      </c>
      <c r="H200" s="139"/>
      <c r="I200" s="86"/>
      <c r="J200" s="79">
        <f t="shared" si="930"/>
        <v>3.2229999999999999</v>
      </c>
    </row>
    <row r="201" spans="5:10" x14ac:dyDescent="0.25">
      <c r="E201" s="170">
        <f t="shared" si="934"/>
        <v>-0.87172811826909313</v>
      </c>
      <c r="F201" s="170">
        <f t="shared" si="934"/>
        <v>-0.35610582812791708</v>
      </c>
      <c r="G201" s="170">
        <f t="shared" si="934"/>
        <v>-0.33656905233897627</v>
      </c>
      <c r="H201" s="139"/>
      <c r="I201" s="86"/>
      <c r="J201" s="79">
        <f t="shared" si="930"/>
        <v>3.2290000000000001</v>
      </c>
    </row>
    <row r="202" spans="5:10" x14ac:dyDescent="0.25">
      <c r="E202" s="170">
        <f t="shared" si="934"/>
        <v>-0.91912469514332806</v>
      </c>
      <c r="F202" s="170">
        <f t="shared" si="934"/>
        <v>-0.28563309873663484</v>
      </c>
      <c r="G202" s="170">
        <f t="shared" si="934"/>
        <v>-0.27133655795670453</v>
      </c>
      <c r="H202" s="139"/>
      <c r="I202" s="86"/>
      <c r="J202" s="79">
        <f t="shared" si="930"/>
        <v>3.2349999999999999</v>
      </c>
    </row>
    <row r="203" spans="5:10" x14ac:dyDescent="0.25">
      <c r="E203" s="170">
        <f t="shared" si="934"/>
        <v>-0.95592577060496775</v>
      </c>
      <c r="F203" s="170">
        <f t="shared" si="934"/>
        <v>-0.2015765624158633</v>
      </c>
      <c r="G203" s="170">
        <f t="shared" si="934"/>
        <v>-0.21347789248046814</v>
      </c>
      <c r="H203" s="139"/>
      <c r="I203" s="86"/>
      <c r="J203" s="79">
        <f t="shared" si="930"/>
        <v>3.2410000000000001</v>
      </c>
    </row>
    <row r="204" spans="5:10" x14ac:dyDescent="0.25">
      <c r="E204" s="170">
        <f t="shared" si="934"/>
        <v>-0.93578189841369042</v>
      </c>
      <c r="F204" s="170">
        <f t="shared" si="934"/>
        <v>0.24200673706140424</v>
      </c>
      <c r="G204" s="170">
        <f t="shared" si="934"/>
        <v>-0.25640783493911018</v>
      </c>
      <c r="H204" s="139"/>
      <c r="I204" s="86"/>
      <c r="J204" s="79">
        <f t="shared" si="930"/>
        <v>4.1159999999999997</v>
      </c>
    </row>
    <row r="205" spans="5:10" x14ac:dyDescent="0.25">
      <c r="E205" s="170">
        <f t="shared" si="934"/>
        <v>-0.91402448164637373</v>
      </c>
      <c r="F205" s="170">
        <f t="shared" si="934"/>
        <v>0.33299587413730941</v>
      </c>
      <c r="G205" s="170">
        <f t="shared" si="934"/>
        <v>-0.23167432908850097</v>
      </c>
      <c r="H205" s="139"/>
      <c r="I205" s="86"/>
      <c r="J205" s="79">
        <f t="shared" si="930"/>
        <v>4.1219999999999999</v>
      </c>
    </row>
    <row r="206" spans="5:10" x14ac:dyDescent="0.25">
      <c r="E206" s="170">
        <f t="shared" si="934"/>
        <v>-0.88237111495993381</v>
      </c>
      <c r="F206" s="170">
        <f t="shared" si="934"/>
        <v>0.42592900365406727</v>
      </c>
      <c r="G206" s="170">
        <f t="shared" si="934"/>
        <v>-0.20001424781904134</v>
      </c>
      <c r="H206" s="139"/>
      <c r="I206" s="86"/>
      <c r="J206" s="79">
        <f t="shared" si="930"/>
        <v>4.1280000000000001</v>
      </c>
    </row>
    <row r="207" spans="5:10" x14ac:dyDescent="0.25">
      <c r="E207" s="170">
        <f t="shared" si="934"/>
        <v>-0.85356053464113035</v>
      </c>
      <c r="F207" s="170">
        <f t="shared" si="934"/>
        <v>0.49788661948758484</v>
      </c>
      <c r="G207" s="170">
        <f t="shared" si="934"/>
        <v>-0.15343835191493904</v>
      </c>
      <c r="H207" s="139"/>
      <c r="I207" s="86"/>
      <c r="J207" s="79">
        <f t="shared" si="930"/>
        <v>4.1340000000000003</v>
      </c>
    </row>
    <row r="208" spans="5:10" x14ac:dyDescent="0.25">
      <c r="E208" s="170">
        <f t="shared" si="934"/>
        <v>-0.82179462986341079</v>
      </c>
      <c r="F208" s="170">
        <f t="shared" si="934"/>
        <v>0.55940201842912152</v>
      </c>
      <c r="G208" s="170">
        <f t="shared" si="934"/>
        <v>-0.10827265631305376</v>
      </c>
      <c r="H208" s="139"/>
      <c r="I208" s="86"/>
      <c r="J208" s="79">
        <f t="shared" si="930"/>
        <v>4.1399999999999997</v>
      </c>
    </row>
    <row r="209" spans="5:10" x14ac:dyDescent="0.25">
      <c r="E209" s="170">
        <f t="shared" si="934"/>
        <v>-0.75643085942452037</v>
      </c>
      <c r="F209" s="170">
        <f t="shared" si="934"/>
        <v>0.64802437187395445</v>
      </c>
      <c r="G209" s="170">
        <f t="shared" si="934"/>
        <v>-8.8751159810159769E-2</v>
      </c>
      <c r="H209" s="139"/>
      <c r="I209" s="86"/>
      <c r="J209" s="79">
        <f t="shared" si="930"/>
        <v>4.1459999999999999</v>
      </c>
    </row>
    <row r="210" spans="5:10" x14ac:dyDescent="0.25">
      <c r="E210" s="170">
        <f t="shared" si="934"/>
        <v>-0.64980605906346156</v>
      </c>
      <c r="F210" s="170">
        <f t="shared" si="934"/>
        <v>0.7601000497331889</v>
      </c>
      <c r="G210" s="170">
        <f t="shared" si="934"/>
        <v>-1.3008419207734734E-7</v>
      </c>
      <c r="H210" s="139"/>
      <c r="I210" s="86"/>
      <c r="J210" s="79">
        <f t="shared" si="930"/>
        <v>4.1520000000000001</v>
      </c>
    </row>
    <row r="211" spans="5:10" x14ac:dyDescent="0.25">
      <c r="E211" s="170">
        <f t="shared" si="934"/>
        <v>0.1052955158979948</v>
      </c>
      <c r="F211" s="170">
        <f t="shared" si="934"/>
        <v>0.19182545561705394</v>
      </c>
      <c r="G211" s="170">
        <f t="shared" si="934"/>
        <v>-0.9757642383839884</v>
      </c>
      <c r="H211" s="139"/>
      <c r="I211" s="86"/>
      <c r="J211" s="79">
        <f t="shared" si="930"/>
        <v>4.2220000000000004</v>
      </c>
    </row>
    <row r="212" spans="5:10" x14ac:dyDescent="0.25">
      <c r="E212" s="170">
        <f t="shared" si="934"/>
        <v>-0.69733171856123677</v>
      </c>
      <c r="F212" s="170">
        <f t="shared" si="934"/>
        <v>0.62655996887684695</v>
      </c>
      <c r="G212" s="170">
        <f t="shared" si="934"/>
        <v>-0.34806763665913654</v>
      </c>
      <c r="H212" s="139"/>
      <c r="I212" s="86"/>
      <c r="J212" s="79">
        <f t="shared" si="930"/>
        <v>4.2279999999999998</v>
      </c>
    </row>
    <row r="213" spans="5:10" x14ac:dyDescent="0.25">
      <c r="E213" s="170">
        <f t="shared" si="934"/>
        <v>-0.65242200027039821</v>
      </c>
      <c r="F213" s="170">
        <f t="shared" si="934"/>
        <v>0.70206346192989755</v>
      </c>
      <c r="G213" s="170">
        <f t="shared" si="934"/>
        <v>-0.28539871931419036</v>
      </c>
      <c r="H213" s="139"/>
      <c r="I213" s="86"/>
      <c r="J213" s="79">
        <f t="shared" si="930"/>
        <v>4.234</v>
      </c>
    </row>
    <row r="214" spans="5:10" x14ac:dyDescent="0.25">
      <c r="E214" s="170">
        <f t="shared" ref="E214:G233" si="935">E69*-1</f>
        <v>-0.60246061321674671</v>
      </c>
      <c r="F214" s="170">
        <f t="shared" si="935"/>
        <v>0.76750812827622317</v>
      </c>
      <c r="G214" s="170">
        <f t="shared" si="935"/>
        <v>-0.21902621430420216</v>
      </c>
      <c r="H214" s="139"/>
      <c r="I214" s="86"/>
      <c r="J214" s="79">
        <f t="shared" si="930"/>
        <v>4.24</v>
      </c>
    </row>
    <row r="215" spans="5:10" x14ac:dyDescent="0.25">
      <c r="E215" s="170">
        <f t="shared" si="935"/>
        <v>-0.46892874510133487</v>
      </c>
      <c r="F215" s="170">
        <f t="shared" si="935"/>
        <v>0.84711619532694482</v>
      </c>
      <c r="G215" s="170">
        <f t="shared" si="935"/>
        <v>-0.24999996726497561</v>
      </c>
      <c r="H215" s="139"/>
      <c r="I215" s="86"/>
      <c r="J215" s="79">
        <f t="shared" si="930"/>
        <v>5.1029999999999998</v>
      </c>
    </row>
    <row r="216" spans="5:10" x14ac:dyDescent="0.25">
      <c r="E216" s="170">
        <f t="shared" si="935"/>
        <v>-0.46892874510133475</v>
      </c>
      <c r="F216" s="170">
        <f t="shared" si="935"/>
        <v>0.84711619532694482</v>
      </c>
      <c r="G216" s="170">
        <f t="shared" si="935"/>
        <v>-0.24999996726497561</v>
      </c>
      <c r="H216" s="139"/>
      <c r="I216" s="86"/>
      <c r="J216" s="79">
        <f t="shared" si="930"/>
        <v>5.1059999999999999</v>
      </c>
    </row>
    <row r="217" spans="5:10" x14ac:dyDescent="0.25">
      <c r="E217" s="170">
        <f t="shared" si="935"/>
        <v>-0.46892874510133487</v>
      </c>
      <c r="F217" s="170">
        <f t="shared" si="935"/>
        <v>0.84711619532694482</v>
      </c>
      <c r="G217" s="170">
        <f t="shared" si="935"/>
        <v>-0.24999996726497561</v>
      </c>
      <c r="H217" s="139"/>
      <c r="I217" s="86"/>
      <c r="J217" s="79">
        <f t="shared" si="930"/>
        <v>5.109</v>
      </c>
    </row>
    <row r="218" spans="5:10" x14ac:dyDescent="0.25">
      <c r="E218" s="170">
        <f t="shared" si="935"/>
        <v>-0.39562895490739125</v>
      </c>
      <c r="F218" s="170">
        <f t="shared" si="935"/>
        <v>0.88051720697421199</v>
      </c>
      <c r="G218" s="170">
        <f t="shared" si="935"/>
        <v>-0.26108844911488943</v>
      </c>
      <c r="H218" s="139"/>
      <c r="I218" s="86"/>
      <c r="J218" s="79">
        <f t="shared" si="930"/>
        <v>5.1130000000000004</v>
      </c>
    </row>
    <row r="219" spans="5:10" x14ac:dyDescent="0.25">
      <c r="E219" s="170">
        <f t="shared" si="935"/>
        <v>-0.29163078201639719</v>
      </c>
      <c r="F219" s="170">
        <f t="shared" si="935"/>
        <v>0.92431075395409024</v>
      </c>
      <c r="G219" s="170">
        <f t="shared" si="935"/>
        <v>-0.24617294145646068</v>
      </c>
      <c r="H219" s="139"/>
      <c r="I219" s="86"/>
      <c r="J219" s="79">
        <f t="shared" ref="J219:J282" si="936">J74</f>
        <v>5.1189999999999998</v>
      </c>
    </row>
    <row r="220" spans="5:10" x14ac:dyDescent="0.25">
      <c r="E220" s="170">
        <f t="shared" si="935"/>
        <v>-0.20379456623279452</v>
      </c>
      <c r="F220" s="170">
        <f t="shared" si="935"/>
        <v>0.95632072877275598</v>
      </c>
      <c r="G220" s="170">
        <f t="shared" si="935"/>
        <v>-0.20956726484241778</v>
      </c>
      <c r="H220" s="139"/>
      <c r="I220" s="86"/>
      <c r="J220" s="79">
        <f t="shared" si="936"/>
        <v>5.125</v>
      </c>
    </row>
    <row r="221" spans="5:10" x14ac:dyDescent="0.25">
      <c r="E221" s="170">
        <f t="shared" si="935"/>
        <v>-0.12196569896386103</v>
      </c>
      <c r="F221" s="170">
        <f t="shared" si="935"/>
        <v>0.97766701333070249</v>
      </c>
      <c r="G221" s="170">
        <f t="shared" si="935"/>
        <v>-0.17114782885354096</v>
      </c>
      <c r="H221" s="139"/>
      <c r="I221" s="86"/>
      <c r="J221" s="79">
        <f t="shared" si="936"/>
        <v>5.1310000000000002</v>
      </c>
    </row>
    <row r="222" spans="5:10" x14ac:dyDescent="0.25">
      <c r="E222" s="170">
        <f t="shared" si="935"/>
        <v>-4.5290265025342717E-2</v>
      </c>
      <c r="F222" s="170">
        <f t="shared" si="935"/>
        <v>0.99017322070427694</v>
      </c>
      <c r="G222" s="170">
        <f t="shared" si="935"/>
        <v>-0.13230942859091216</v>
      </c>
      <c r="H222" s="139"/>
      <c r="I222" s="86"/>
      <c r="J222" s="79">
        <f t="shared" si="936"/>
        <v>5.1369999999999996</v>
      </c>
    </row>
    <row r="223" spans="5:10" x14ac:dyDescent="0.25">
      <c r="E223" s="170">
        <f t="shared" si="935"/>
        <v>4.2015377826148781E-2</v>
      </c>
      <c r="F223" s="170">
        <f t="shared" si="935"/>
        <v>0.99385610601707863</v>
      </c>
      <c r="G223" s="170">
        <f t="shared" si="935"/>
        <v>-0.10239506120265511</v>
      </c>
      <c r="H223" s="139"/>
      <c r="I223" s="86"/>
      <c r="J223" s="79">
        <f t="shared" si="936"/>
        <v>5.1429999999999998</v>
      </c>
    </row>
    <row r="224" spans="5:10" x14ac:dyDescent="0.25">
      <c r="E224" s="170">
        <f t="shared" si="935"/>
        <v>0.15117917492142938</v>
      </c>
      <c r="F224" s="170">
        <f t="shared" si="935"/>
        <v>0.98623722292113591</v>
      </c>
      <c r="G224" s="170">
        <f t="shared" si="935"/>
        <v>-6.6940250932316495E-2</v>
      </c>
      <c r="H224" s="139"/>
      <c r="I224" s="86"/>
      <c r="J224" s="79">
        <f t="shared" si="936"/>
        <v>5.149</v>
      </c>
    </row>
    <row r="225" spans="5:10" x14ac:dyDescent="0.25">
      <c r="E225" s="170">
        <f t="shared" si="935"/>
        <v>0.2499239317275958</v>
      </c>
      <c r="F225" s="170">
        <f t="shared" si="935"/>
        <v>0.96826547410811004</v>
      </c>
      <c r="G225" s="170">
        <f t="shared" si="935"/>
        <v>-1.3008419225801865E-7</v>
      </c>
      <c r="H225" s="139"/>
      <c r="I225" s="86"/>
      <c r="J225" s="79">
        <f t="shared" si="936"/>
        <v>5.1550000000000002</v>
      </c>
    </row>
    <row r="226" spans="5:10" x14ac:dyDescent="0.25">
      <c r="E226" s="170">
        <f t="shared" si="935"/>
        <v>-0.25878498330542349</v>
      </c>
      <c r="F226" s="170">
        <f t="shared" si="935"/>
        <v>4.1966205293007064E-3</v>
      </c>
      <c r="G226" s="170">
        <f t="shared" si="935"/>
        <v>-0.96592583607218252</v>
      </c>
      <c r="H226" s="139"/>
      <c r="I226" s="86"/>
      <c r="J226" s="79">
        <f t="shared" si="936"/>
        <v>5.2089999999999996</v>
      </c>
    </row>
    <row r="227" spans="5:10" x14ac:dyDescent="0.25">
      <c r="E227" s="170">
        <f t="shared" si="935"/>
        <v>-0.10431058727155974</v>
      </c>
      <c r="F227" s="170">
        <f t="shared" si="935"/>
        <v>-6.7452110905862461E-3</v>
      </c>
      <c r="G227" s="170">
        <f t="shared" si="935"/>
        <v>-0.99452189694868243</v>
      </c>
      <c r="H227" s="139"/>
      <c r="I227" s="86"/>
      <c r="J227" s="79">
        <f t="shared" si="936"/>
        <v>5.2130000000000001</v>
      </c>
    </row>
    <row r="228" spans="5:10" x14ac:dyDescent="0.25">
      <c r="E228" s="170">
        <f t="shared" si="935"/>
        <v>0.12504604801610114</v>
      </c>
      <c r="F228" s="170">
        <f t="shared" si="935"/>
        <v>1.2602695471245168E-2</v>
      </c>
      <c r="G228" s="170">
        <f t="shared" si="935"/>
        <v>-0.99207089360711209</v>
      </c>
      <c r="H228" s="139"/>
      <c r="I228" s="86"/>
      <c r="J228" s="79">
        <f t="shared" si="936"/>
        <v>5.2190000000000003</v>
      </c>
    </row>
    <row r="229" spans="5:10" x14ac:dyDescent="0.25">
      <c r="E229" s="170">
        <f t="shared" si="935"/>
        <v>6.250227032183453E-2</v>
      </c>
      <c r="F229" s="170">
        <f t="shared" si="935"/>
        <v>0.92918007069184927</v>
      </c>
      <c r="G229" s="170">
        <f t="shared" si="935"/>
        <v>-0.36430462861965734</v>
      </c>
      <c r="H229" s="139"/>
      <c r="I229" s="86"/>
      <c r="J229" s="79">
        <f t="shared" si="936"/>
        <v>5.2249999999999996</v>
      </c>
    </row>
    <row r="230" spans="5:10" x14ac:dyDescent="0.25">
      <c r="E230" s="170">
        <f t="shared" si="935"/>
        <v>0.15437646030674648</v>
      </c>
      <c r="F230" s="170">
        <f t="shared" si="935"/>
        <v>0.93738306875596</v>
      </c>
      <c r="G230" s="170">
        <f t="shared" si="935"/>
        <v>-0.31221929939197995</v>
      </c>
      <c r="H230" s="139"/>
      <c r="I230" s="86"/>
      <c r="J230" s="79">
        <f t="shared" si="936"/>
        <v>5.2309999999999999</v>
      </c>
    </row>
    <row r="231" spans="5:10" x14ac:dyDescent="0.25">
      <c r="E231" s="170">
        <f t="shared" si="935"/>
        <v>0.2440265091774283</v>
      </c>
      <c r="F231" s="170">
        <f t="shared" si="935"/>
        <v>0.9358773175587437</v>
      </c>
      <c r="G231" s="170">
        <f t="shared" si="935"/>
        <v>-0.25413521853086218</v>
      </c>
      <c r="H231" s="139"/>
      <c r="I231" s="86"/>
      <c r="J231" s="79">
        <f t="shared" si="936"/>
        <v>5.2370000000000001</v>
      </c>
    </row>
    <row r="232" spans="5:10" x14ac:dyDescent="0.25">
      <c r="E232" s="170">
        <f t="shared" si="935"/>
        <v>0.31769175252654608</v>
      </c>
      <c r="F232" s="170">
        <f t="shared" si="935"/>
        <v>0.93078155972789978</v>
      </c>
      <c r="G232" s="170">
        <f t="shared" si="935"/>
        <v>-0.18088017704300849</v>
      </c>
      <c r="H232" s="139"/>
      <c r="I232" s="86"/>
      <c r="J232" s="79">
        <f t="shared" si="936"/>
        <v>5.2430000000000003</v>
      </c>
    </row>
    <row r="233" spans="5:10" x14ac:dyDescent="0.25">
      <c r="E233" s="170">
        <f t="shared" si="935"/>
        <v>0.54647546999195928</v>
      </c>
      <c r="F233" s="170">
        <f t="shared" si="935"/>
        <v>0.79605180271292653</v>
      </c>
      <c r="G233" s="170">
        <f t="shared" si="935"/>
        <v>-0.26012706144222514</v>
      </c>
      <c r="H233" s="139"/>
      <c r="I233" s="86"/>
      <c r="J233" s="79">
        <f t="shared" si="936"/>
        <v>6.1120000000000001</v>
      </c>
    </row>
    <row r="234" spans="5:10" x14ac:dyDescent="0.25">
      <c r="E234" s="170">
        <f t="shared" ref="E234:G253" si="937">E89*-1</f>
        <v>0.64159915218876351</v>
      </c>
      <c r="F234" s="170">
        <f t="shared" si="937"/>
        <v>0.72507570710643221</v>
      </c>
      <c r="G234" s="170">
        <f t="shared" si="937"/>
        <v>-0.25023138666995226</v>
      </c>
      <c r="H234" s="139"/>
      <c r="I234" s="86"/>
      <c r="J234" s="79">
        <f t="shared" si="936"/>
        <v>6.1180000000000003</v>
      </c>
    </row>
    <row r="235" spans="5:10" x14ac:dyDescent="0.25">
      <c r="E235" s="170">
        <f t="shared" si="937"/>
        <v>0.71530616029307947</v>
      </c>
      <c r="F235" s="170">
        <f t="shared" si="937"/>
        <v>0.66426636797661232</v>
      </c>
      <c r="G235" s="170">
        <f t="shared" si="937"/>
        <v>-0.2169960585400838</v>
      </c>
      <c r="H235" s="139"/>
      <c r="I235" s="86"/>
      <c r="J235" s="79">
        <f t="shared" si="936"/>
        <v>6.1239999999999997</v>
      </c>
    </row>
    <row r="236" spans="5:10" x14ac:dyDescent="0.25">
      <c r="E236" s="170">
        <f t="shared" si="937"/>
        <v>0.7773092923960222</v>
      </c>
      <c r="F236" s="170">
        <f t="shared" si="937"/>
        <v>0.60249020350005489</v>
      </c>
      <c r="G236" s="170">
        <f t="shared" si="937"/>
        <v>-0.18109615854914715</v>
      </c>
      <c r="H236" s="139"/>
      <c r="I236" s="86"/>
      <c r="J236" s="79">
        <f t="shared" si="936"/>
        <v>6.13</v>
      </c>
    </row>
    <row r="237" spans="5:10" x14ac:dyDescent="0.25">
      <c r="E237" s="170">
        <f t="shared" si="937"/>
        <v>0.82915157484449953</v>
      </c>
      <c r="F237" s="170">
        <f t="shared" si="937"/>
        <v>0.54015791467202867</v>
      </c>
      <c r="G237" s="170">
        <f t="shared" si="937"/>
        <v>-0.14400379560987864</v>
      </c>
      <c r="H237" s="139"/>
      <c r="I237" s="86"/>
      <c r="J237" s="79">
        <f t="shared" si="936"/>
        <v>6.1360000000000001</v>
      </c>
    </row>
    <row r="238" spans="5:10" x14ac:dyDescent="0.25">
      <c r="E238" s="170">
        <f t="shared" si="937"/>
        <v>0.87282607445575799</v>
      </c>
      <c r="F238" s="170">
        <f t="shared" si="937"/>
        <v>0.47656166484377827</v>
      </c>
      <c r="G238" s="170">
        <f t="shared" si="937"/>
        <v>-0.10518375992270892</v>
      </c>
      <c r="H238" s="139"/>
      <c r="I238" s="86"/>
      <c r="J238" s="79">
        <f t="shared" si="936"/>
        <v>6.1420000000000003</v>
      </c>
    </row>
    <row r="239" spans="5:10" x14ac:dyDescent="0.25">
      <c r="E239" s="170">
        <f t="shared" si="937"/>
        <v>0.92246021979671367</v>
      </c>
      <c r="F239" s="170">
        <f t="shared" si="937"/>
        <v>0.37871173189191865</v>
      </c>
      <c r="G239" s="170">
        <f t="shared" si="937"/>
        <v>-7.5130333554578307E-2</v>
      </c>
      <c r="H239" s="139"/>
      <c r="I239" s="86"/>
      <c r="J239" s="79">
        <f t="shared" si="936"/>
        <v>6.1479999999999997</v>
      </c>
    </row>
    <row r="240" spans="5:10" x14ac:dyDescent="0.25">
      <c r="E240" s="170">
        <f t="shared" si="937"/>
        <v>0.96350442357463439</v>
      </c>
      <c r="F240" s="170">
        <f t="shared" si="937"/>
        <v>0.26769240884286349</v>
      </c>
      <c r="G240" s="170">
        <f t="shared" si="937"/>
        <v>-1.300841925034794E-7</v>
      </c>
      <c r="H240" s="139"/>
      <c r="I240" s="86"/>
      <c r="J240" s="79">
        <f t="shared" si="936"/>
        <v>6.1539999999999999</v>
      </c>
    </row>
    <row r="241" spans="5:10" x14ac:dyDescent="0.25">
      <c r="E241" s="170">
        <f t="shared" si="937"/>
        <v>5.4888518999983447E-2</v>
      </c>
      <c r="F241" s="170">
        <f t="shared" si="937"/>
        <v>-7.6871000061063691E-2</v>
      </c>
      <c r="G241" s="170">
        <f t="shared" si="937"/>
        <v>-0.99552905524228696</v>
      </c>
      <c r="H241" s="139"/>
      <c r="I241" s="86"/>
      <c r="J241" s="79">
        <f t="shared" si="936"/>
        <v>6.218</v>
      </c>
    </row>
    <row r="242" spans="5:10" x14ac:dyDescent="0.25">
      <c r="E242" s="170">
        <f t="shared" si="937"/>
        <v>0.82611261544326053</v>
      </c>
      <c r="F242" s="170">
        <f t="shared" si="937"/>
        <v>0.42208230432287086</v>
      </c>
      <c r="G242" s="170">
        <f t="shared" si="937"/>
        <v>-0.37334230269685631</v>
      </c>
      <c r="H242" s="139"/>
      <c r="I242" s="86"/>
      <c r="J242" s="79">
        <f t="shared" si="936"/>
        <v>6.2240000000000002</v>
      </c>
    </row>
    <row r="243" spans="5:10" x14ac:dyDescent="0.25">
      <c r="E243" s="170">
        <f t="shared" si="937"/>
        <v>0.88052206128727795</v>
      </c>
      <c r="F243" s="170">
        <f t="shared" si="937"/>
        <v>0.34538526395885688</v>
      </c>
      <c r="G243" s="170">
        <f t="shared" si="937"/>
        <v>-0.32463813550855991</v>
      </c>
      <c r="H243" s="139"/>
      <c r="I243" s="86"/>
      <c r="J243" s="79">
        <f t="shared" si="936"/>
        <v>6.23</v>
      </c>
    </row>
    <row r="244" spans="5:10" x14ac:dyDescent="0.25">
      <c r="E244" s="170">
        <f t="shared" si="937"/>
        <v>0.9260121816089435</v>
      </c>
      <c r="F244" s="170">
        <f t="shared" si="937"/>
        <v>0.26483661681804294</v>
      </c>
      <c r="G244" s="170">
        <f t="shared" si="937"/>
        <v>-0.26900372842066378</v>
      </c>
      <c r="H244" s="139"/>
      <c r="I244" s="86"/>
      <c r="J244" s="79">
        <f t="shared" si="936"/>
        <v>6.2359999999999998</v>
      </c>
    </row>
    <row r="245" spans="5:10" x14ac:dyDescent="0.25">
      <c r="E245" s="170">
        <f t="shared" si="937"/>
        <v>0.96064254259911475</v>
      </c>
      <c r="F245" s="170">
        <f t="shared" si="937"/>
        <v>0.19563575421046425</v>
      </c>
      <c r="G245" s="170">
        <f t="shared" si="937"/>
        <v>-0.19721195963533988</v>
      </c>
      <c r="H245" s="139"/>
      <c r="I245" s="86"/>
      <c r="J245" s="79">
        <f t="shared" si="936"/>
        <v>6.242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18D230D6-F3CA-4ED0-A9C2-01C533365AB9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1232F819-4F0C-4A21-B7BC-F6B2E523B43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1.127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1.133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1.139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1.145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1.157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</v>
      </c>
      <c r="N176" s="869" t="str">
        <f>Assy.Model!K21</f>
        <v>Inactive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1.2150000000000001</v>
      </c>
      <c r="N177" s="869" t="str">
        <f>Assy.Model!K22</f>
        <v>Inactive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1.2210000000000001</v>
      </c>
      <c r="N178" s="869" t="str">
        <f>Assy.Model!K23</f>
        <v>Inactive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1.2270000000000001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1.2330000000000001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1.2390000000000001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1.2450000000000001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2.1139999999999999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2.1320000000000001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2.1379999999999999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2.1440000000000001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2.1560000000000001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2.2200000000000002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2.226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2.2320000000000002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2.238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2.2440000000000002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3.1019999999999999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3.105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3.1080000000000001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3.1120000000000001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3.117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3.1230000000000002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3.1349999999999998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3.141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3.1469999999999998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3.153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3.2080000000000002</v>
      </c>
      <c r="N207" s="869" t="str">
        <f>Assy.Model!K52</f>
        <v>Inactive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3.2109999999999999</v>
      </c>
      <c r="N208" s="869" t="str">
        <f>Assy.Model!K53</f>
        <v>Inactive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3.2170000000000001</v>
      </c>
      <c r="N209" s="869" t="str">
        <f>Assy.Model!K54</f>
        <v>Inactive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3.2229999999999999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3.2290000000000001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3.2349999999999999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3.2410000000000001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4.1159999999999997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4.1219999999999999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4.1280000000000001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4.1340000000000003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4.1399999999999997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4.1459999999999999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4.1520000000000001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4.2220000000000004</v>
      </c>
      <c r="N221" s="869" t="str">
        <f>Assy.Model!K66</f>
        <v>Inactive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4.2279999999999998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4.234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5.1029999999999998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5.1059999999999999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5.109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5.1130000000000004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5.1189999999999998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5.125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5.1310000000000002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5.1369999999999996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5.1429999999999998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5.149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5.1550000000000002</v>
      </c>
      <c r="N235" s="869">
        <f>Assy.Model!K80</f>
        <v>1313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5.2089999999999996</v>
      </c>
      <c r="N236" s="869" t="str">
        <f>Assy.Model!K81</f>
        <v>Inactive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5.2130000000000001</v>
      </c>
      <c r="N237" s="869" t="str">
        <f>Assy.Model!K82</f>
        <v>Inactive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5.2190000000000003</v>
      </c>
      <c r="N238" s="869" t="str">
        <f>Assy.Model!K83</f>
        <v>Inactive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5.2249999999999996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5.2309999999999999</v>
      </c>
      <c r="N240" s="869">
        <f>Assy.Model!K85</f>
        <v>1313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5.2370000000000001</v>
      </c>
      <c r="N241" s="869">
        <f>Assy.Model!K86</f>
        <v>1313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5.2430000000000003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6.1120000000000001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6.1180000000000003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6.1239999999999997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6.13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6.1360000000000001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6.1420000000000003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6.1479999999999997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6.1539999999999999</v>
      </c>
      <c r="N250" s="869">
        <f>Assy.Model!K95</f>
        <v>1313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6.218</v>
      </c>
      <c r="N251" s="869" t="str">
        <f>Assy.Model!K96</f>
        <v>Inactive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6.2240000000000002</v>
      </c>
      <c r="N252" s="869">
        <f>Assy.Model!K97</f>
        <v>1313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6.23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6.2359999999999998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6.242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2023-03-28T19:55:56Z</dcterms:modified>
</cp:coreProperties>
</file>